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onthly outages (Mtpa)" sheetId="2" state="visible" r:id="rId4"/>
    <sheet name="Monthly capacity (Mtpa)" sheetId="3" state="visible" r:id="rId5"/>
    <sheet name="Commissioning schedule" sheetId="4" state="visible" r:id="rId6"/>
    <sheet name="Train detail" sheetId="5" state="visible" r:id="rId7"/>
    <sheet name="Terminal x Year" sheetId="6" state="visible" r:id="rId8"/>
    <sheet name="Country x Year" sheetId="7" state="visible" r:id="rId9"/>
    <sheet name="Under construction" sheetId="8" state="visible" r:id="rId10"/>
    <sheet name="Additions (monthly)" sheetId="9" state="visible" r:id="rId11"/>
    <sheet name="Outages (event ledger)" sheetId="10" state="visible" r:id="rId12"/>
  </sheets>
  <definedNames>
    <definedName function="false" hidden="true" localSheetId="8" name="_xlnm._FilterDatabase" vbProcedure="false">'Additions (monthly)'!$A$1:$F$106</definedName>
    <definedName function="false" hidden="true" localSheetId="3" name="_xlnm._FilterDatabase" vbProcedure="false">'Commissioning schedule'!$A$1:$L$54</definedName>
    <definedName function="false" hidden="true" localSheetId="6" name="_xlnm._FilterDatabase" vbProcedure="false">'Country x Year'!$A$1:$S$27</definedName>
    <definedName function="false" hidden="true" localSheetId="9" name="_xlnm._FilterDatabase" vbProcedure="false">'Outages (event ledger)'!$A$1:$L$65</definedName>
    <definedName function="false" hidden="true" localSheetId="5" name="_xlnm._FilterDatabase" vbProcedure="false">'Terminal x Year'!$A$1:$T$56</definedName>
    <definedName function="false" hidden="true" localSheetId="4" name="_xlnm._FilterDatabase" vbProcedure="false">'Train detail'!$A$1:$I$181</definedName>
    <definedName function="false" hidden="true" localSheetId="7" name="_xlnm._FilterDatabase" vbProcedure="false">'Under construction'!$A$1:$H$114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54" authorId="0">
      <text>
        <r>
          <rPr>
            <sz val="10"/>
            <rFont val="Arial"/>
            <family val="2"/>
          </rPr>
          <t xml:space="preserve">Technical | 2014-04→2016-05 | ~5.2 Mtpa offline (H)
Pipeline/technical failure — full shutdown. Offline ~2 yrs; first post-shutdown cargo Jun 2016</t>
        </r>
      </text>
    </comment>
    <comment ref="L77" authorId="0">
      <text>
        <r>
          <rPr>
            <sz val="10"/>
            <rFont val="Arial"/>
            <family val="2"/>
          </rPr>
          <t xml:space="preserve">Reliability | 2016-03→2016-07 | ~5.2 Mtpa offline (M)
Startup teething — propane circuit breakdown. 1 train (~5.2) down &gt;3 months after first cargo; dates approx</t>
        </r>
      </text>
    </comment>
    <comment ref="L127" authorId="0">
      <text>
        <r>
          <rPr>
            <sz val="10"/>
            <rFont val="Arial"/>
            <family val="2"/>
          </rPr>
          <t xml:space="preserve">Technical | 2020-05→2020-09 | ~5.2 Mtpa offline (H)
Propane heat-exchanger weld cracks (T2). T2 shut late-May; restart deferred to ~Sep/Oct</t>
        </r>
      </text>
    </comment>
    <comment ref="L132" authorId="0">
      <text>
        <r>
          <rPr>
            <sz val="10"/>
            <rFont val="Arial"/>
            <family val="2"/>
          </rPr>
          <t xml:space="preserve">Technical | 2020-10→2020-12 | ~5.2 Mtpa offline (M)
Weld-crack inspection/repair (T1). ~45-90 day window; ~1 train offline</t>
        </r>
      </text>
    </comment>
    <comment ref="L135" authorId="0">
      <text>
        <r>
          <rPr>
            <sz val="10"/>
            <rFont val="Arial"/>
            <family val="2"/>
          </rPr>
          <t xml:space="preserve">Technical | 2021-01→2021-03 | ~5.2 Mtpa offline (M)
Weld-crack inspection/repair (T3). ~1 train offline Q1 2021</t>
        </r>
      </text>
    </comment>
    <comment ref="L145" authorId="0">
      <text>
        <r>
          <rPr>
            <sz val="10"/>
            <rFont val="Arial"/>
            <family val="2"/>
          </rPr>
          <t xml:space="preserve">Technical | 2021-11→2021-11 | ~2.5 Mtpa offline (L)
Gas leak precautionary trip (T1). Brief; days not weeks</t>
        </r>
      </text>
    </comment>
    <comment ref="L166" authorId="0">
      <text>
        <r>
          <rPr>
            <sz val="10"/>
            <rFont val="Arial"/>
            <family val="2"/>
          </rPr>
          <t xml:space="preserve">Strike | 2023-08→2023-10 | ~0.0 Mtpa offline (H)
Protected industrial action (strikes). Documented but actual output NOT materially affected — threat only</t>
        </r>
      </text>
    </comment>
    <comment ref="L197" authorId="0">
      <text>
        <r>
          <rPr>
            <sz val="10"/>
            <rFont val="Arial"/>
            <family val="2"/>
          </rPr>
          <t xml:space="preserve">Weather | 2026-03→2026-03 | ~1.5 Mtpa offline (M)
Tropical cyclone — one of three trains tripped. ~1 train (~5.2) down ~Mar 27-29; brief; diluted</t>
        </r>
      </text>
    </comment>
    <comment ref="M164" authorId="0">
      <text>
        <r>
          <rPr>
            <sz val="10"/>
            <rFont val="Arial"/>
            <family val="2"/>
          </rPr>
          <t xml:space="preserve">Technical | 2023-06→2023-07 | ~1.5 Mtpa offline (L)
Reduced-rate running (equipment/power). "Producing at reduced rate"; magnitude/dates uncertain</t>
        </r>
      </text>
    </comment>
    <comment ref="M177" authorId="0">
      <text>
        <r>
          <rPr>
            <sz val="10"/>
            <rFont val="Arial"/>
            <family val="2"/>
          </rPr>
          <t xml:space="preserve">Technical | 2024-07→2024-07 | ~4.45 Mtpa offline (M)
Train 2 "glitch". Shut 20 Jul, restart 28 Jul; plant ~50% on T1</t>
        </r>
      </text>
    </comment>
    <comment ref="M178" authorId="0">
      <text>
        <r>
          <rPr>
            <sz val="10"/>
            <rFont val="Arial"/>
            <family val="2"/>
          </rPr>
          <t xml:space="preserve">Technical | 2024-08→2024-10 | ~4.45 Mtpa offline (M)
Train 2 recurring cooling/heat-exchanger fault. Shut 20 Aug; full ops ~Oct/Nov; ~50% plant meanwhile</t>
        </r>
      </text>
    </comment>
    <comment ref="N97" authorId="0">
      <text>
        <r>
          <rPr>
            <sz val="10"/>
            <rFont val="Arial"/>
            <family val="2"/>
          </rPr>
          <t xml:space="preserve">Technical | 2017-11→2017-11 | ~2.5 Mtpa offline (L)
Partial unplanned outage (Friday trip). Brief partial; quickly resumed</t>
        </r>
      </text>
    </comment>
    <comment ref="N197" authorId="0">
      <text>
        <r>
          <rPr>
            <sz val="10"/>
            <rFont val="Arial"/>
            <family val="2"/>
          </rPr>
          <t xml:space="preserve">Weather | 2026-03→2026-03 | ~3.0 Mtpa offline (M)
Tropical cyclone — Karratha Gas Plant weather shutdown. Halted ~Mar 27, restarted ~Apr 1 (~1 wk); peak ~14.3; diluted</t>
        </r>
      </text>
    </comment>
    <comment ref="O181" authorId="0">
      <text>
        <r>
          <rPr>
            <sz val="10"/>
            <rFont val="Arial"/>
            <family val="2"/>
          </rPr>
          <t xml:space="preserve">Technical | 2024-11→2024-12 | ~4.9 Mtpa offline (M)
Unplanned safe shutdown (under investigation). Shut 26 Nov; single-train plant offline</t>
        </r>
      </text>
    </comment>
    <comment ref="P124" authorId="0">
      <text>
        <r>
          <rPr>
            <sz val="10"/>
            <rFont val="Arial"/>
            <family val="2"/>
          </rPr>
          <t xml:space="preserve">Technical | 2020-02→2021-01 | ~3.6 Mtpa offline (H)
Feb 2020 electrical trip after safety incidents. Whole unit offline most of 2020; cargoes resumed Jan 2021</t>
        </r>
      </text>
    </comment>
    <comment ref="P146" authorId="0">
      <text>
        <r>
          <rPr>
            <sz val="10"/>
            <rFont val="Arial"/>
            <family val="2"/>
          </rPr>
          <t xml:space="preserve">Fire/explosion | 2021-12→2022-04 | ~3.6 Mtpa offline (M)
Fire following power outage. Down Dec 2021; resumed ~Apr 2022</t>
        </r>
      </text>
    </comment>
    <comment ref="P152" authorId="0">
      <text>
        <r>
          <rPr>
            <sz val="10"/>
            <rFont val="Arial"/>
            <family val="2"/>
          </rPr>
          <t xml:space="preserve">Strike | 2022-06→2022-09 | ~3.6 Mtpa offline (H)
Industrial action (pay dispute) — ACTUAL loss. Shipments halted 10 Jun; restart ~19 Sep</t>
        </r>
      </text>
    </comment>
    <comment ref="P158" authorId="0">
      <text>
        <r>
          <rPr>
            <sz val="10"/>
            <rFont val="Arial"/>
            <family val="2"/>
          </rPr>
          <t xml:space="preserve">Fire/explosion | 2022-12→2023-01 | ~3.6 Mtpa offline (M)
Small fire. Halted Dec 2022; resumed Jan 2023</t>
        </r>
      </text>
    </comment>
    <comment ref="R166" authorId="0">
      <text>
        <r>
          <rPr>
            <sz val="10"/>
            <rFont val="Arial"/>
            <family val="2"/>
          </rPr>
          <t xml:space="preserve">Strike | 2023-08→2023-10 | ~0.0 Mtpa offline (H)
Protected industrial action (strikes). Documented but actual output NOT materially affected — threat only</t>
        </r>
      </text>
    </comment>
    <comment ref="R167" authorId="0">
      <text>
        <r>
          <rPr>
            <sz val="10"/>
            <rFont val="Arial"/>
            <family val="2"/>
          </rPr>
          <t xml:space="preserve">Technical | 2023-09→2023-09 | ~2.2 Mtpa offline (M)
Turbine trip (technical, not strike). 1 train to ~50% for days; concurrent with strike period</t>
        </r>
      </text>
    </comment>
    <comment ref="R197" authorId="0">
      <text>
        <r>
          <rPr>
            <sz val="10"/>
            <rFont val="Arial"/>
            <family val="2"/>
          </rPr>
          <t xml:space="preserve">Weather | 2026-03→2026-03 | ~2.0 Mtpa offline (H)
Cat-3 tropical cyclone (late Mar 2026) — plant + offshore platform damage. Landfall ~Mar 27; peak ~8.9 full plant for days; diluted over month</t>
        </r>
      </text>
    </comment>
    <comment ref="R198" authorId="0">
      <text>
        <r>
          <rPr>
            <sz val="10"/>
            <rFont val="Arial"/>
            <family val="2"/>
          </rPr>
          <t xml:space="preserve">Weather | 2026-04→2026-04 | ~4.0 Mtpa offline (M)
Cyclone damage recovery ("weeks to full rates"). Extended into April per operator; est. avg</t>
        </r>
      </text>
    </comment>
    <comment ref="Y39" authorId="0">
      <text>
        <r>
          <rPr>
            <sz val="10"/>
            <rFont val="Arial"/>
            <family val="2"/>
          </rPr>
          <t xml:space="preserve">Feedgas/structural | 2013-01→2021-02 | ~5.0 Mtpa offline (M)
Idled — feedgas diverted to domestic market. ~5 Mtpa idle from ~2012/13; restart Feb 2021</t>
        </r>
      </text>
    </comment>
    <comment ref="Z44" authorId="0">
      <text>
        <r>
          <rPr>
            <sz val="10"/>
            <rFont val="Arial"/>
            <family val="2"/>
          </rPr>
          <t xml:space="preserve">Feedgas/structural | 2013-06→2018-12 | ~5.0 Mtpa offline (M)
Domestic gas shortage — exports near zero. ~7.2 Mtpa plant largely idle; magnitude estimated</t>
        </r>
      </text>
    </comment>
    <comment ref="Z153" authorId="0">
      <text>
        <r>
          <rPr>
            <sz val="10"/>
            <rFont val="Arial"/>
            <family val="2"/>
          </rPr>
          <t xml:space="preserve">Feedgas/structural | 2022-07→2022-08 | ~7.2 Mtpa offline (H)
Summer domestic demand — exports fully halted. No exports Jul/Aug 2022</t>
        </r>
      </text>
    </comment>
    <comment ref="Z159" authorId="0">
      <text>
        <r>
          <rPr>
            <sz val="10"/>
            <rFont val="Arial"/>
            <family val="2"/>
          </rPr>
          <t xml:space="preserve">Feedgas/structural | 2023-01→2023-09 | ~4.0 Mtpa offline (M)
Domestic shortage — intermittent export halts. Exports restarted Oct 2023; magnitude estimated</t>
        </r>
      </text>
    </comment>
    <comment ref="Z176" authorId="0">
      <text>
        <r>
          <rPr>
            <sz val="10"/>
            <rFont val="Arial"/>
            <family val="2"/>
          </rPr>
          <t xml:space="preserve">Feedgas/structural | 2024-06→2024-10 | ~6.0 Mtpa offline (M)
Summer domestic demand — exports halted. Egypt halted LNG exports summer 2024</t>
        </r>
      </text>
    </comment>
    <comment ref="AA159" authorId="0">
      <text>
        <r>
          <rPr>
            <sz val="10"/>
            <rFont val="Arial"/>
            <family val="2"/>
          </rPr>
          <t xml:space="preserve">Feedgas/structural | 2023-01→2026-12 | ~2.0 Mtpa offline (L)
Alba field feedgas decline. 3.7 Mtpa plant under-fed from ~2023; magnitude estimated [carried forward through 2026]</t>
        </r>
      </text>
    </comment>
    <comment ref="AB3" authorId="0">
      <text>
        <r>
          <rPr>
            <sz val="10"/>
            <rFont val="Arial"/>
            <family val="2"/>
          </rPr>
          <t xml:space="preserve">Feedgas/structural | 2010-01→2026-12 | ~8.0 Mtpa offline (L)
Structural feedgas decline (field depletion). Chronic underutilization of ~17 Mtpa complex; rough estimate, not a discrete outage [carried forward through 2026]</t>
        </r>
      </text>
    </comment>
    <comment ref="AD181" authorId="0">
      <text>
        <r>
          <rPr>
            <sz val="10"/>
            <rFont val="Arial"/>
            <family val="2"/>
          </rPr>
          <t xml:space="preserve">Technical | 2024-11→2024-11 | ~2.0 Mtpa offline (M)
Train 3 trip (instrumentation/actuator leak). T3 (3.8) offline ~16-25 Nov; month-avg ~2</t>
        </r>
      </text>
    </comment>
    <comment ref="AE156" authorId="0">
      <text>
        <r>
          <rPr>
            <sz val="10"/>
            <rFont val="Arial"/>
            <family val="2"/>
          </rPr>
          <t xml:space="preserve">Feedgas/structural | 2022-10→2024-11 | ~2.5 Mtpa offline (M)
SSGP feedgas: pipeline leak then chronic decline (FM). FM 10 Oct 2022 to 1 Nov 2024; partial curtailment of MLNG Dua</t>
        </r>
      </text>
    </comment>
    <comment ref="AE186" authorId="0">
      <text>
        <r>
          <rPr>
            <sz val="10"/>
            <rFont val="Arial"/>
            <family val="2"/>
          </rPr>
          <t xml:space="preserve">Technical | 2025-04→2025-04 | ~0.5 Mtpa offline (L)
Boiler problem (minor). Off-takers said supply little affected</t>
        </r>
      </text>
    </comment>
    <comment ref="AL39" authorId="0">
      <text>
        <r>
          <rPr>
            <sz val="10"/>
            <rFont val="Arial"/>
            <family val="2"/>
          </rPr>
          <t xml:space="preserve">Feedgas/structural | 2013-01→2016-12 | ~3.5 Mtpa offline (L)
Chronic feedgas shortfall / pipeline vandalism. Ran below nameplate; magnitude estimated</t>
        </r>
      </text>
    </comment>
    <comment ref="AL135" authorId="0">
      <text>
        <r>
          <rPr>
            <sz val="10"/>
            <rFont val="Arial"/>
            <family val="2"/>
          </rPr>
          <t xml:space="preserve">Feedgas/structural | 2021-01→2022-09 | ~4.0 Mtpa offline (M)
Pipeline vandalism / feedgas curtailment. Exports reported down ~20%</t>
        </r>
      </text>
    </comment>
    <comment ref="AL156" authorId="0">
      <text>
        <r>
          <rPr>
            <sz val="10"/>
            <rFont val="Arial"/>
            <family val="2"/>
          </rPr>
          <t xml:space="preserve">Feedgas/structural | 2022-10→2023-03 | ~10.0 Mtpa offline (M)
Oct-2022 flooding force majeure. FM 17 Oct 2022; output below 50% of capacity</t>
        </r>
      </text>
    </comment>
    <comment ref="AL162" authorId="0">
      <text>
        <r>
          <rPr>
            <sz val="10"/>
            <rFont val="Arial"/>
            <family val="2"/>
          </rPr>
          <t xml:space="preserve">Feedgas/structural | 2023-04→2023-12 | ~5.0 Mtpa offline (M)
Continued FM / partial recovery. FM still active into Nov 2023; magnitude estimated</t>
        </r>
      </text>
    </comment>
    <comment ref="AN131" authorId="0">
      <text>
        <r>
          <rPr>
            <sz val="10"/>
            <rFont val="Arial"/>
            <family val="2"/>
          </rPr>
          <t xml:space="preserve">Fire/explosion | 2020-09→2022-06 | ~4.3 Mtpa offline (H)
Fire 28 Sep 2020. Full plant offline ~20 months to 2 Jun 2022</t>
        </r>
      </text>
    </comment>
    <comment ref="AN174" authorId="0">
      <text>
        <r>
          <rPr>
            <sz val="10"/>
            <rFont val="Arial"/>
            <family val="2"/>
          </rPr>
          <t xml:space="preserve">Technical | 2024-04→2024-04 | ~1.0 Mtpa offline (L)
Gas leak during maintenance (brief). Peak full trip ~days; month-avg small</t>
        </r>
      </text>
    </comment>
    <comment ref="AN183" authorId="0">
      <text>
        <r>
          <rPr>
            <sz val="10"/>
            <rFont val="Arial"/>
            <family val="2"/>
          </rPr>
          <t xml:space="preserve">Technical | 2025-01→2025-01 | ~1.0 Mtpa offline (L)
Compressor failure (~1 wk). Idled to ~9 Jan 2025; month-avg small</t>
        </r>
      </text>
    </comment>
    <comment ref="AQ126" authorId="0">
      <text>
        <r>
          <rPr>
            <sz val="10"/>
            <rFont val="Arial"/>
            <family val="2"/>
          </rPr>
          <t xml:space="preserve">Other | 2020-04→2020-06 | ~1.0 Mtpa offline (L)
COVID-19 + domestic gas; reduced cargoes. Partial reduction, not full halt</t>
        </r>
      </text>
    </comment>
    <comment ref="AQ139" authorId="0">
      <text>
        <r>
          <rPr>
            <sz val="10"/>
            <rFont val="Arial"/>
            <family val="2"/>
          </rPr>
          <t xml:space="preserve">Technical | 2021-05→2021-05 | ~3.3 Mtpa offline (M)
Compressor problem — full halt (~3 wks). Sub-month full outage; restart end-May</t>
        </r>
      </text>
    </comment>
    <comment ref="AR197" authorId="0">
      <text>
        <r>
          <rPr>
            <sz val="10"/>
            <rFont val="Arial"/>
            <family val="2"/>
          </rPr>
          <t xml:space="preserve">War/conflict | 2026-03→2026-12 | ~12.8 Mtpa offline (H)
Missile strikes destroyed 2 trains (T4 &amp; T6) ~Mar 18 2026; FM declared Mar 25. ~17% of Qatar ~77 Mtpa; destroyed trains out for years (repair est. 3-5 yrs); still offline mid-2026</t>
        </r>
      </text>
    </comment>
    <comment ref="AU153" authorId="0">
      <text>
        <r>
          <rPr>
            <sz val="10"/>
            <rFont val="Arial"/>
            <family val="2"/>
          </rPr>
          <t xml:space="preserve">Technical | 2022-07→2022-09 | ~0.5 Mtpa offline (L)
2022 ownership transfer transition. Actual output held ~10-11 Mt; negligible real offline</t>
        </r>
      </text>
    </comment>
    <comment ref="AW104" authorId="0">
      <text>
        <r>
          <rPr>
            <sz val="10"/>
            <rFont val="Arial"/>
            <family val="2"/>
          </rPr>
          <t xml:space="preserve">Technical | 2018-06→2019-12 | ~0.5 Mtpa offline (L)
Minor unplanned ramp-up trips. Ran at/above nameplate overall; losses immaterial</t>
        </r>
      </text>
    </comment>
    <comment ref="AX134" authorId="0">
      <text>
        <r>
          <rPr>
            <sz val="10"/>
            <rFont val="Arial"/>
            <family val="2"/>
          </rPr>
          <t xml:space="preserve">Feedgas/structural | 2020-12→2026-12 | ~3.3 Mtpa offline (H)
Train 1 mothballed (feedgas shortage). Train 1 (3.3) offline from Dec 2020; decommission confirmed 2025 [carried forward through 2026]</t>
        </r>
      </text>
    </comment>
    <comment ref="AX135" authorId="0">
      <text>
        <r>
          <rPr>
            <sz val="10"/>
            <rFont val="Arial"/>
            <family val="2"/>
          </rPr>
          <t xml:space="preserve">Feedgas/structural | 2021-01→2026-12 | ~3.3 Mtpa offline (M)
Trains 2-4 feedgas shortfall (~30%). ~12 Mtpa x ~30% shortfall; structural [carried forward through 2026]</t>
        </r>
      </text>
    </comment>
    <comment ref="AZ154" authorId="0">
      <text>
        <r>
          <rPr>
            <sz val="10"/>
            <rFont val="Arial"/>
            <family val="2"/>
          </rPr>
          <t xml:space="preserve">Reliability | 2022-08→2024-12 | ~2.0 Mtpa offline (L)
Power-island/HRSG failures; repeated block trips. Chronic partial derates vs ~10 Mtpa nameplate during extended commissioning</t>
        </r>
      </text>
    </comment>
    <comment ref="BA130" authorId="0">
      <text>
        <r>
          <rPr>
            <sz val="10"/>
            <rFont val="Arial"/>
            <family val="2"/>
          </rPr>
          <t xml:space="preserve">Weather | 2020-08→2020-08 | ~3.0 Mtpa offline (M)
Hurricane Laura (landfall Aug 27). ~13.5 Mtpa down only last ~5 days of Aug; diluted over month</t>
        </r>
      </text>
    </comment>
    <comment ref="BA131" authorId="0">
      <text>
        <r>
          <rPr>
            <sz val="10"/>
            <rFont val="Arial"/>
            <family val="2"/>
          </rPr>
          <t xml:space="preserve">Weather | 2020-09→2020-09 | ~13.5 Mtpa offline (H)
Hurricane Laura power-loss outage. Full facility offline entire month (grid power out)</t>
        </r>
      </text>
    </comment>
    <comment ref="BA132" authorId="0">
      <text>
        <r>
          <rPr>
            <sz val="10"/>
            <rFont val="Arial"/>
            <family val="2"/>
          </rPr>
          <t xml:space="preserve">Weather | 2020-10→2020-10 | ~7.0 Mtpa offline (M)
Post-Laura restart. First cargo Oct 6; ~6-wk ramp; partial-month avg</t>
        </r>
      </text>
    </comment>
    <comment ref="BA158" authorId="0">
      <text>
        <r>
          <rPr>
            <sz val="10"/>
            <rFont val="Arial"/>
            <family val="2"/>
          </rPr>
          <t xml:space="preserve">Weather | 2022-12→2022-12 | ~0.5 Mtpa offline (L)
Winter Storm Elliott. Brief freeze-off; diluted</t>
        </r>
      </text>
    </comment>
    <comment ref="BB136" authorId="0">
      <text>
        <r>
          <rPr>
            <sz val="10"/>
            <rFont val="Arial"/>
            <family val="2"/>
          </rPr>
          <t xml:space="preserve">Weather | 2021-02→2021-02 | ~3.0 Mtpa offline (M)
Winter Storm Uri. ~9-13 Mtpa cut at peak ~1 wk mid-Feb; diluted</t>
        </r>
      </text>
    </comment>
    <comment ref="BB158" authorId="0">
      <text>
        <r>
          <rPr>
            <sz val="10"/>
            <rFont val="Arial"/>
            <family val="2"/>
          </rPr>
          <t xml:space="preserve">Weather | 2022-12→2022-12 | ~0.5 Mtpa offline (L)
Winter Storm Elliott. Brief freeze-off; diluted</t>
        </r>
      </text>
    </comment>
    <comment ref="BD127" authorId="0">
      <text>
        <r>
          <rPr>
            <sz val="10"/>
            <rFont val="Arial"/>
            <family val="2"/>
          </rPr>
          <t xml:space="preserve">Fire/explosion | 2020-05→2020-11 | ~0.75 Mtpa offline (L)
May 2020 compressor fire (MMLS Unit 2). ~3 of 10 small units (~0.75 Mtpa) offline into Nov</t>
        </r>
      </text>
    </comment>
    <comment ref="BE152" authorId="0">
      <text>
        <r>
          <rPr>
            <sz val="10"/>
            <rFont val="Arial"/>
            <family val="2"/>
          </rPr>
          <t xml:space="preserve">Fire/explosion | 2022-06→2023-01 | ~15.0 Mtpa offline (H)
June 8 2022 explosion &amp; fire. All 3 trains (~15 Mtpa) fully offline; phased restart began Feb 2023</t>
        </r>
      </text>
    </comment>
    <comment ref="BE160" authorId="0">
      <text>
        <r>
          <rPr>
            <sz val="10"/>
            <rFont val="Arial"/>
            <family val="2"/>
          </rPr>
          <t xml:space="preserve">Fire/explosion | 2023-02→2023-02 | ~12.0 Mtpa offline (M)
Phased restart after fire. Production resumed ~Feb 11, Train 1 ~Feb 21; partial-month avg</t>
        </r>
      </text>
    </comment>
    <comment ref="BE161" authorId="0">
      <text>
        <r>
          <rPr>
            <sz val="10"/>
            <rFont val="Arial"/>
            <family val="2"/>
          </rPr>
          <t xml:space="preserve">Fire/explosion | 2023-03→2023-03 | ~5.0 Mtpa offline (M)
Continued ramp after fire. Trains 2&amp;3 near full early Mar; Train 1 re-approved Mar 10</t>
        </r>
      </text>
    </comment>
    <comment ref="BE162" authorId="0">
      <text>
        <r>
          <rPr>
            <sz val="10"/>
            <rFont val="Arial"/>
            <family val="2"/>
          </rPr>
          <t xml:space="preserve">Fire/explosion | 2023-04→2023-04 | ~2.0 Mtpa offline (L)
Final ramp to 3-train output. ~Back to ~15 Mtpa by end Apr 2023</t>
        </r>
      </text>
    </comment>
    <comment ref="BE177" authorId="0">
      <text>
        <r>
          <rPr>
            <sz val="10"/>
            <rFont val="Arial"/>
            <family val="2"/>
          </rPr>
          <t xml:space="preserve">Weather | 2024-07→2024-07 | ~10.0 Mtpa offline (M)
Hurricane Beryl (Jul 8) shutdown. All trains down early Jul; partial restart mid-Jul; month avg</t>
        </r>
      </text>
    </comment>
    <comment ref="BE178" authorId="0">
      <text>
        <r>
          <rPr>
            <sz val="10"/>
            <rFont val="Arial"/>
            <family val="2"/>
          </rPr>
          <t xml:space="preserve">Weather | 2024-08→2024-08 | ~2.0 Mtpa offline (L)
Post-Beryl ramp. 3 trains restarted early Aug, ramping</t>
        </r>
      </text>
    </comment>
    <comment ref="BE199" authorId="0">
      <text>
        <r>
          <rPr>
            <sz val="10"/>
            <rFont val="Arial"/>
            <family val="2"/>
          </rPr>
          <t xml:space="preserve">Technical | 2026-05→2026-05 | ~4.0 Mtpa offline (L)
Unplanned — brief Train 1 shutdown / reduced output. ~3 cargoes cancelled early-mid May 2026; root cause unclear (separate from planned Jul turnaround)</t>
        </r>
      </text>
    </comment>
    <comment ref="BH136" authorId="0">
      <text>
        <r>
          <rPr>
            <sz val="10"/>
            <rFont val="Arial"/>
            <family val="2"/>
          </rPr>
          <t xml:space="preserve">Weather | 2021-02→2021-02 | ~4.0 Mtpa offline (M)
Winter Storm Uri (freeze-offs/power). ~15-20 Mtpa cut at peak ~1 wk mid-Feb; diluted over month</t>
        </r>
      </text>
    </comment>
    <comment ref="BH158" authorId="0">
      <text>
        <r>
          <rPr>
            <sz val="10"/>
            <rFont val="Arial"/>
            <family val="2"/>
          </rPr>
          <t xml:space="preserve">Weather | 2022-12→2022-12 | ~1.0 Mtpa offline (L)
Winter Storm Elliott (Dec 23-26). Brief freeze-off/feedgas curtailment; diluted over month</t>
        </r>
      </text>
    </comment>
    <comment ref="BI66" authorId="0">
      <text>
        <r>
          <rPr>
            <sz val="10"/>
            <rFont val="Arial"/>
            <family val="2"/>
          </rPr>
          <t xml:space="preserve">War/conflict | 2015-04→2026-12 | ~6.7 Mtpa offline (H)
Civil war — force majeure/security shutdown (NOT sanctions). FM Apr 2015; plant essentially offline continuously through 2025 [carried forward through 2026]</t>
        </r>
      </text>
    </comment>
  </commentList>
</comments>
</file>

<file path=xl/sharedStrings.xml><?xml version="1.0" encoding="utf-8"?>
<sst xmlns="http://schemas.openxmlformats.org/spreadsheetml/2006/main" count="3297" uniqueCount="1074">
  <si>
    <t xml:space="preserve">Global LNG Liquefaction (Export) Capacity by Terminal by Year</t>
  </si>
  <si>
    <t xml:space="preserve">Nameplate capacity in Mtpa · 2010–2025</t>
  </si>
  <si>
    <t xml:space="preserve">WHAT THIS IS</t>
  </si>
  <si>
    <t xml:space="preserve">Year-by-year nameplate liquefaction (LNG export) capacity for every operational export terminal worldwide, from 2010 to 2025. "Nameplate" = design/rated capacity in million tonnes per annum (Mtpa).</t>
  </si>
  <si>
    <t xml:space="preserve">SOURCE</t>
  </si>
  <si>
    <t xml:space="preserve">IGU (International Gas Union) World LNG Report 2026 — Appendix 1: "Table of Global Liquefaction Plants, end-2025" (train-level nameplate capacity, start year, technology, ownership).</t>
  </si>
  <si>
    <t xml:space="preserve">GIIGNL 2026 Annual Report — used for cross-validation. It reports global liquefaction capacity of 524 MTPA across 24 exporting countries at end-2025, consistent with the IGU total of 524.6 Mtpa used here.</t>
  </si>
  <si>
    <t xml:space="preserve">SHEETS</t>
  </si>
  <si>
    <t xml:space="preserve">• Terminal x Year — one row per export terminal; columns 2010–2025 show operational nameplate capacity as of each year-end. THE MAIN DELIVERABLE.</t>
  </si>
  <si>
    <t xml:space="preserve">• Country x Year — the same series aggregated to the 26 exporting countries.</t>
  </si>
  <si>
    <t xml:space="preserve">• Train detail — the underlying train-by-train records (country, plant, train, technology, start year, capacity, ownership). All year figures are SUMIFS formulas over this sheet.</t>
  </si>
  <si>
    <t xml:space="preserve">• Under construction — IGU Appendix 2 (plants sanctioned / under construction, end-2025). Reference only; NOT included in the 2010–2025 series.</t>
  </si>
  <si>
    <t xml:space="preserve">HOW THE YEAR COLUMNS WORK</t>
  </si>
  <si>
    <t xml:space="preserve">Each cell is CUMULATIVE: the total nameplate capacity of that terminal from all trains whose start year is ≤ that column's year. A terminal that started in 2004 therefore carries its capacity across every year from 2010 onward. Capacity steps up in the year a new train comes online.</t>
  </si>
  <si>
    <t xml:space="preserve">IMPORTANT CAVEATS</t>
  </si>
  <si>
    <t xml:space="preserve">1. Snapshot basis. The source lists plants OPERATIONAL at end-2025 with their original start years. Trains that were built and later RETIRED before end-2025 are not in the source, so historical years (e.g. 2010) reflect "capacity online then that is still operational in 2025," not the retirement-adjusted capacity that physically existed in that year. Early-year totals are therefore slightly understated versus contemporaneous figures.</t>
  </si>
  <si>
    <t xml:space="preserve">2. Start-year granularity is annual. A train is credited to its full-year start; no partial-year proration.</t>
  </si>
  <si>
    <t xml:space="preserve">3. China "Inland facilities" (3.87 Mtpa aggregate) had no start year in the source; set to 2010 so it appears across the series. Flagged in the Train detail sheet.</t>
  </si>
  <si>
    <t xml:space="preserve">4. Figures are nameplate/design capacity, not actual output or exports (utilisation is typically below 100%, occasionally above).</t>
  </si>
  <si>
    <t xml:space="preserve">Built 2026-07-31 from user-provided reports. Global end-2025 total: 524.6 Mtpa across 55 terminals / 26 countries / 180 trains.</t>
  </si>
  <si>
    <t xml:space="preserve">TIME</t>
  </si>
  <si>
    <t xml:space="preserve">Algeria</t>
  </si>
  <si>
    <t xml:space="preserve">Angola</t>
  </si>
  <si>
    <t xml:space="preserve">Australia</t>
  </si>
  <si>
    <t xml:space="preserve">Brunei</t>
  </si>
  <si>
    <t xml:space="preserve">Cameroon</t>
  </si>
  <si>
    <t xml:space="preserve">Canada</t>
  </si>
  <si>
    <t xml:space="preserve">China</t>
  </si>
  <si>
    <t xml:space="preserve">Congo</t>
  </si>
  <si>
    <t xml:space="preserve">Egypt</t>
  </si>
  <si>
    <t xml:space="preserve">Equatorial Guinea</t>
  </si>
  <si>
    <t xml:space="preserve">Indonesia</t>
  </si>
  <si>
    <t xml:space="preserve">Malaysia</t>
  </si>
  <si>
    <t xml:space="preserve">Mauritania</t>
  </si>
  <si>
    <t xml:space="preserve">Mexico</t>
  </si>
  <si>
    <t xml:space="preserve">Mozambique</t>
  </si>
  <si>
    <t xml:space="preserve">Nigeria</t>
  </si>
  <si>
    <t xml:space="preserve">Norway</t>
  </si>
  <si>
    <t xml:space="preserve">Oman</t>
  </si>
  <si>
    <t xml:space="preserve">Papua New Guinea</t>
  </si>
  <si>
    <t xml:space="preserve">Peru</t>
  </si>
  <si>
    <t xml:space="preserve">Qatar</t>
  </si>
  <si>
    <t xml:space="preserve">Russia</t>
  </si>
  <si>
    <t xml:space="preserve">Trinidad and Tobago</t>
  </si>
  <si>
    <t xml:space="preserve">UAE</t>
  </si>
  <si>
    <t xml:space="preserve">United States</t>
  </si>
  <si>
    <t xml:space="preserve">Yemen</t>
  </si>
  <si>
    <t xml:space="preserve">Month</t>
  </si>
  <si>
    <t xml:space="preserve">MonthKey</t>
  </si>
  <si>
    <t xml:space="preserve">Total offline</t>
  </si>
  <si>
    <t xml:space="preserve">Arzew GL1Z</t>
  </si>
  <si>
    <t xml:space="preserve">Arzew GL2Z</t>
  </si>
  <si>
    <t xml:space="preserve">Arzew GL3Z (Gassi Touil)</t>
  </si>
  <si>
    <t xml:space="preserve">Skikda GL1K</t>
  </si>
  <si>
    <t xml:space="preserve">Angola LNG</t>
  </si>
  <si>
    <t xml:space="preserve">Australia Pacific LNG</t>
  </si>
  <si>
    <t xml:space="preserve">Darwin LNG</t>
  </si>
  <si>
    <t xml:space="preserve">GLNG</t>
  </si>
  <si>
    <t xml:space="preserve">Gorgon LNG</t>
  </si>
  <si>
    <t xml:space="preserve">Ichthys LNG</t>
  </si>
  <si>
    <t xml:space="preserve">North West Shelf LNG</t>
  </si>
  <si>
    <t xml:space="preserve">Pluto LNG</t>
  </si>
  <si>
    <t xml:space="preserve">Prelude FLNG</t>
  </si>
  <si>
    <t xml:space="preserve">Queensland Curtis LNG</t>
  </si>
  <si>
    <t xml:space="preserve">Wheatstone LNG</t>
  </si>
  <si>
    <t xml:space="preserve">Brunei LNG</t>
  </si>
  <si>
    <t xml:space="preserve">Cameroon FLNG</t>
  </si>
  <si>
    <t xml:space="preserve">LNG Canada</t>
  </si>
  <si>
    <t xml:space="preserve">Inland facilities</t>
  </si>
  <si>
    <t xml:space="preserve">Congo Marine XII FLNG</t>
  </si>
  <si>
    <t xml:space="preserve">Congo Nguya FLNG</t>
  </si>
  <si>
    <t xml:space="preserve">Damietta LNG</t>
  </si>
  <si>
    <t xml:space="preserve">Egyptian LNG (Idku)</t>
  </si>
  <si>
    <t xml:space="preserve">EG LNG</t>
  </si>
  <si>
    <t xml:space="preserve">Bontang LNG</t>
  </si>
  <si>
    <t xml:space="preserve">Donggi- Senoro LNG</t>
  </si>
  <si>
    <t xml:space="preserve">Tangguh LNG</t>
  </si>
  <si>
    <t xml:space="preserve">MLNG</t>
  </si>
  <si>
    <t xml:space="preserve">Petronas FLNG 1 Satu</t>
  </si>
  <si>
    <t xml:space="preserve">Petronas FLNG 2 Rotan</t>
  </si>
  <si>
    <t xml:space="preserve">Tortue/ Ahmeyim FLNG</t>
  </si>
  <si>
    <t xml:space="preserve">Altamira LNG</t>
  </si>
  <si>
    <t xml:space="preserve">Energia Costa Azul (ECA)</t>
  </si>
  <si>
    <t xml:space="preserve">Coral South FLNG</t>
  </si>
  <si>
    <t xml:space="preserve">NLNG</t>
  </si>
  <si>
    <t xml:space="preserve">Nordic LNG</t>
  </si>
  <si>
    <t xml:space="preserve">Snohvit LNG</t>
  </si>
  <si>
    <t xml:space="preserve">Oman LNG</t>
  </si>
  <si>
    <t xml:space="preserve">PNG LNG</t>
  </si>
  <si>
    <t xml:space="preserve">Peru LNG</t>
  </si>
  <si>
    <t xml:space="preserve">QatarGas LNG</t>
  </si>
  <si>
    <t xml:space="preserve">Arctic LNG 2</t>
  </si>
  <si>
    <t xml:space="preserve">Portovaya LNG</t>
  </si>
  <si>
    <t xml:space="preserve">Sakhalin 2</t>
  </si>
  <si>
    <t xml:space="preserve">Vysotsk LNG</t>
  </si>
  <si>
    <t xml:space="preserve">Yamal LNG</t>
  </si>
  <si>
    <t xml:space="preserve">Atlantic LNG</t>
  </si>
  <si>
    <t xml:space="preserve">Adgas LNG</t>
  </si>
  <si>
    <t xml:space="preserve">Calcasieu Pass LNG</t>
  </si>
  <si>
    <t xml:space="preserve">Cameron LNG</t>
  </si>
  <si>
    <t xml:space="preserve">Corpus Christi LNG</t>
  </si>
  <si>
    <t xml:space="preserve">Cove Point LNG</t>
  </si>
  <si>
    <t xml:space="preserve">Elba Island LNG</t>
  </si>
  <si>
    <t xml:space="preserve">Freeport LNG</t>
  </si>
  <si>
    <t xml:space="preserve">Golden Pass LNG</t>
  </si>
  <si>
    <t xml:space="preserve">Plaquemines LNG</t>
  </si>
  <si>
    <t xml:space="preserve">Sabine Pass LNG</t>
  </si>
  <si>
    <t xml:space="preserve">Yemen LNG</t>
  </si>
  <si>
    <t xml:space="preserve">MONTHLY LNG EXPORT CAPACITY OFFLINE (Mtpa), estimated, Jan 2010 – Dec 2026. Each cell = approx nameplate OUT that month, live SUMIFS over "Outages (event ledger)". Hover shaded cells for basis; full notes/sources in ledger.</t>
  </si>
  <si>
    <t xml:space="preserve">HEAVILY ESTIMATED. Short trips diluted to a monthly average (peak noted); partial-train events show affected train(s) only. Order-of-magnitude, not precise.</t>
  </si>
  <si>
    <t xml:space="preserve">2026 UPDATE: Ras Laffan (Qatar) — 2 trains destroyed by missile strikes ~Mar 2026 (~12.8 Mtpa), out for years (ongoing). Late-Mar 2026 WA cyclone hit Wheatstone, North West Shelf &amp; Gorgon (mostly brief). Freeport brief May-2026 trip. Ongoing structural shut-ins (Yemen, Trinidad, Bontang, EG LNG) carried forward through 2026.</t>
  </si>
  <si>
    <t xml:space="preserve">COVERAGE/SCOPE: discrete unplanned events researched through ~June 2026 (report date late Jul 2026); H2-2026 will miss new events not yet known. Sanctions &amp; planned maintenance excluded. The 2023 Gorgon/Wheatstone strikes logged ~0 (no real output loss). Filter ledger by Type to isolate event-driven vs structural/feedgas.</t>
  </si>
  <si>
    <t xml:space="preserve">Global Total</t>
  </si>
  <si>
    <t xml:space="preserve">MONTH-BY-MONTH LNG EXPORT (LIQUEFACTION) NAMEPLATE CAPACITY, Mtpa, Jan 2010 – Dec 2026. Each cell = terminal nameplate operational as of month-end (cumulative). Global Total &amp; terminal columns are live SUMIFS over "Additions (monthly)".</t>
  </si>
  <si>
    <t xml:space="preserve">2026 ADDITIONS (from IEA Global LNG Capacity Tracker + operator news): Golden Pass T1 (Mar) &amp; T2 (Oct), LNG Canada T2, Corpus Christi Stage 3 T5-T7, ECA Mexico (Jun), Congo Nguya FLNG (Feb), Qatar NFE T1 (~Sep), Pluto T2/Scarborough (~Nov). Global total: 524.55 (Dec 2025) → 565.07 Mtpa (Dec 2026).</t>
  </si>
  <si>
    <t xml:space="preserve">IEA GAPS: some H1-2026 startups the IEA tracker had not yet logged are included from news (e.g., Congo Nguya FLNG, Golden Pass T1, ECA). H2-2026 items (NFE, Golden Pass T2, Pluto T2, Corpus T7) are expected/forecast and carry slippage risk. Plaquemines is already at full nameplate (19.44) from 2025 — its 2026 "ramp" is output, not nameplate, so not re-added.</t>
  </si>
  <si>
    <t xml:space="preserve">Nameplate only — not actual output. See "Monthly outages (Mtpa)" for estimated capacity offline; net available = capacity − outages.</t>
  </si>
  <si>
    <t xml:space="preserve">Commissioning
Month</t>
  </si>
  <si>
    <t xml:space="preserve">Month
(date)</t>
  </si>
  <si>
    <t xml:space="preserve">Country</t>
  </si>
  <si>
    <t xml:space="preserve">Terminal</t>
  </si>
  <si>
    <t xml:space="preserve">Trains
added</t>
  </si>
  <si>
    <t xml:space="preserve">Capacity
added (Mtpa)</t>
  </si>
  <si>
    <t xml:space="preserve">Cumulative
capacity (Mtpa)</t>
  </si>
  <si>
    <t xml:space="preserve">IGU start
year</t>
  </si>
  <si>
    <t xml:space="preserve">Basis</t>
  </si>
  <si>
    <t xml:space="preserve">Conf.</t>
  </si>
  <si>
    <t xml:space="preserve">Notes</t>
  </si>
  <si>
    <t xml:space="preserve">Source</t>
  </si>
  <si>
    <t xml:space="preserve">≤2009 (baseline)</t>
  </si>
  <si>
    <t xml:space="preserve">—</t>
  </si>
  <si>
    <t xml:space="preserve">Pre-2010 baseline — all plants online before 2010 (55 trains)</t>
  </si>
  <si>
    <t xml:space="preserve">≤2009</t>
  </si>
  <si>
    <t xml:space="preserve">operating</t>
  </si>
  <si>
    <t xml:space="preserve">Sum of all trains with start year ≤2009; already online at Jan 2010</t>
  </si>
  <si>
    <t xml:space="preserve">IGU WLR 2026 App.1</t>
  </si>
  <si>
    <t xml:space="preserve">2010-01</t>
  </si>
  <si>
    <t xml:space="preserve">baseline</t>
  </si>
  <si>
    <t xml:space="preserve">High</t>
  </si>
  <si>
    <t xml:space="preserve">Aggregate pre-2010 small-scale inland capacity; treated as online at Jan 2010</t>
  </si>
  <si>
    <t xml:space="preserve">2010-06</t>
  </si>
  <si>
    <t xml:space="preserve">first-cargo</t>
  </si>
  <si>
    <t xml:space="preserve">First cargo 22 Jun 2010</t>
  </si>
  <si>
    <t xml:space="preserve">https://www.prnewswire.com/news-releases/peru-lng-inaugurates-the-first-natural-gas-liquefaction-lng-plant-in-south-america-96065044.html</t>
  </si>
  <si>
    <t xml:space="preserve">2010-11</t>
  </si>
  <si>
    <t xml:space="preserve">first-LNG</t>
  </si>
  <si>
    <t xml:space="preserve">Low</t>
  </si>
  <si>
    <t xml:space="preserve">Official opening Oct 2011; commissioning ~late 2010</t>
  </si>
  <si>
    <t xml:space="preserve">https://www.gem.wiki/Risavika_LNG_Terminal</t>
  </si>
  <si>
    <t xml:space="preserve">First LNG 1 Nov 2010</t>
  </si>
  <si>
    <t xml:space="preserve">https://www.offshore-energy.biz/qatargas-train-6-produces-first-lng/</t>
  </si>
  <si>
    <t xml:space="preserve">2011-02</t>
  </si>
  <si>
    <t xml:space="preserve">Med</t>
  </si>
  <si>
    <t xml:space="preserve">Operations announced 10 Feb 2011</t>
  </si>
  <si>
    <t xml:space="preserve">https://www.ogj.com/pipelines-transportation/lng/article/17267015/qatargas-4s-train-7-begins-operations</t>
  </si>
  <si>
    <t xml:space="preserve">2012-04</t>
  </si>
  <si>
    <t xml:space="preserve">Woodside start 30 Apr 2012; first cargo May 2012</t>
  </si>
  <si>
    <t xml:space="preserve">https://www.bloomberg.com/news/articles/2012-04-30/woodside-starts-lng-production-at-pluto-development-in-australia</t>
  </si>
  <si>
    <t xml:space="preserve">2013-03</t>
  </si>
  <si>
    <t xml:space="preserve">Rebuilt train after 2004 explosion; ~2013</t>
  </si>
  <si>
    <t xml:space="preserve">https://www.gem.wiki/Sonatrach_Skikda_LNG_Terminal</t>
  </si>
  <si>
    <t xml:space="preserve">2013-06</t>
  </si>
  <si>
    <t xml:space="preserve">First cargo 16 Jun 2013</t>
  </si>
  <si>
    <t xml:space="preserve">https://www.prnewswire.com/news-releases/angola-lng-ships-first-cargo-211725271.html</t>
  </si>
  <si>
    <t xml:space="preserve">2014-04</t>
  </si>
  <si>
    <t xml:space="preserve">Start-up 28 Apr 2014; first cargo May 2014</t>
  </si>
  <si>
    <t xml:space="preserve">https://investor.exxonmobil.com/company-information/press-releases/detail/564/exxonmobil-starts-production-ahead-of-schedule-at-png-lng</t>
  </si>
  <si>
    <t xml:space="preserve">2014-11</t>
  </si>
  <si>
    <t xml:space="preserve">Project completed Nov 2014</t>
  </si>
  <si>
    <t xml:space="preserve">https://www.gem.wiki/Arzew-Bethioua_LNG_Terminal</t>
  </si>
  <si>
    <t xml:space="preserve">2014-12</t>
  </si>
  <si>
    <t xml:space="preserve">First LNG Dec 2014 (IGU lists 2015)</t>
  </si>
  <si>
    <t xml:space="preserve">https://www.oedigital.com/news/452553-qclng-begins-operations</t>
  </si>
  <si>
    <t xml:space="preserve">2015-06</t>
  </si>
  <si>
    <t xml:space="preserve">Commissioning ~Jun; first cargo Aug 2015</t>
  </si>
  <si>
    <t xml:space="preserve">https://www.gem.wiki/Donggi-Senoro_LNG_Terminal</t>
  </si>
  <si>
    <t xml:space="preserve">2015-09</t>
  </si>
  <si>
    <t xml:space="preserve">First LNG 24 Sep 2015</t>
  </si>
  <si>
    <t xml:space="preserve">https://www.santos.com/news/2015-glng-starts-lng-production-on-schedule/</t>
  </si>
  <si>
    <t xml:space="preserve">2015-12</t>
  </si>
  <si>
    <t xml:space="preserve">First LNG 11 Dec 2015 (IGU lists 2016)</t>
  </si>
  <si>
    <t xml:space="preserve">https://aplng.com.au/australia-pacific-lng-commences-production-of-lng-at-curtis-island/</t>
  </si>
  <si>
    <t xml:space="preserve">2016-01</t>
  </si>
  <si>
    <t xml:space="preserve">Liquefaction ~Jan; first cargo 24 Feb 2016</t>
  </si>
  <si>
    <t xml:space="preserve">https://rbnenergy.com/daily-posts/blog/lot-about-lng-exports-chenieres-sabine-pass</t>
  </si>
  <si>
    <t xml:space="preserve">2016-03</t>
  </si>
  <si>
    <t xml:space="preserve">First LNG 7 Mar 2016</t>
  </si>
  <si>
    <t xml:space="preserve">https://chevroncorp.gcs-web.com/news-releases/news-release-details/chevron-achieves-first-lng-production-gorgon</t>
  </si>
  <si>
    <t xml:space="preserve">2016-05</t>
  </si>
  <si>
    <t xml:space="preserve">First LNG 26 May 2016</t>
  </si>
  <si>
    <t xml:space="preserve">https://www.santos.com/news/first-lng-from-glng-train-2/</t>
  </si>
  <si>
    <t xml:space="preserve">2016-12</t>
  </si>
  <si>
    <t xml:space="preserve">First LNG 5 Dec 2016 (IGU lists 2017)</t>
  </si>
  <si>
    <t xml:space="preserve">https://www.petronas.com/media/media-releases/successful-production-lng-petronas-first-floating-lng-facility-pflng-satu</t>
  </si>
  <si>
    <t xml:space="preserve">2017-01</t>
  </si>
  <si>
    <t xml:space="preserve">commercial-start</t>
  </si>
  <si>
    <t xml:space="preserve">Commercial ops 1 Jan 2017; first LNG ~late 2016</t>
  </si>
  <si>
    <t xml:space="preserve">https://www.petronas.com/media/media-releases/petronas-lng-train-9-starts-commercial-operations</t>
  </si>
  <si>
    <t xml:space="preserve">Commissioning cargo Jan 2017</t>
  </si>
  <si>
    <t xml:space="preserve">https://www.offshore-energy.biz/chenieres-sabine-pass-lng-train-3-produces-commissioning-cargo/</t>
  </si>
  <si>
    <t xml:space="preserve">2017-10</t>
  </si>
  <si>
    <t xml:space="preserve">First LNG 8 Oct 2017</t>
  </si>
  <si>
    <t xml:space="preserve">https://www.businesswire.com/news/home/20171008005055/en/Chevron-Achieves-LNG-Production-Wheatstone</t>
  </si>
  <si>
    <t xml:space="preserve">2017-12</t>
  </si>
  <si>
    <t xml:space="preserve">First LNG Dec 2017; first cargo 8 Dec 2017</t>
  </si>
  <si>
    <t xml:space="preserve">https://www.gem.wiki/Yamal_LNG_Terminal</t>
  </si>
  <si>
    <t xml:space="preserve">2018-03</t>
  </si>
  <si>
    <t xml:space="preserve">Fired up ~12 Mar 2018; commercial Jun 2018</t>
  </si>
  <si>
    <t xml:space="preserve">https://www.tradewindsnews.com/gas/golar-flng-unit-produces-first-lng/2-1-292471</t>
  </si>
  <si>
    <t xml:space="preserve">First commissioning cargo 1 Mar 2018; first LNG ~Feb</t>
  </si>
  <si>
    <t xml:space="preserve">https://www.lngindustry.com/liquefaction/05032018/dominion-maryland-cove-point-lng-facility-exports-first-cargo/</t>
  </si>
  <si>
    <t xml:space="preserve">2018-07</t>
  </si>
  <si>
    <t xml:space="preserve">Train 2 first LNG Jul 2018; cargo Aug 2018</t>
  </si>
  <si>
    <t xml:space="preserve">2018-10</t>
  </si>
  <si>
    <t xml:space="preserve">First LNG/cargo Oct 2018; gas prod Jul 2018</t>
  </si>
  <si>
    <t xml:space="preserve">https://www.inpex.com/english/ichthys/schedule.html</t>
  </si>
  <si>
    <t xml:space="preserve">2018-11</t>
  </si>
  <si>
    <t xml:space="preserve">First LNG 16 Nov 2018 (IGU lists 2019)</t>
  </si>
  <si>
    <t xml:space="preserve">https://www.enerdata.net/publications/daily-energy-news/cheniere-energy-starts-production-corpus-christi-lng-project-us.html</t>
  </si>
  <si>
    <t xml:space="preserve">First commissioning cargo Nov 2018 (IGU lists 2019)</t>
  </si>
  <si>
    <t xml:space="preserve">https://lngir.cheniere.com/news-events/press-releases/detail/50/cheniere-reports-fourth-quarter-and-full-year-2018-results</t>
  </si>
  <si>
    <t xml:space="preserve">2019-04</t>
  </si>
  <si>
    <t xml:space="preserve">Launched operations Apr 2019</t>
  </si>
  <si>
    <t xml:space="preserve">https://lngprime.com/asia/novatek-in-vysotsk-lng-production-milestone/55544/</t>
  </si>
  <si>
    <t xml:space="preserve">2019-05</t>
  </si>
  <si>
    <t xml:space="preserve">First LNG May 2019</t>
  </si>
  <si>
    <t xml:space="preserve">https://cameronlng.com/2019/05/cameron-lng-achieves-first-lng-production-from-train-1/</t>
  </si>
  <si>
    <t xml:space="preserve">2019-06</t>
  </si>
  <si>
    <t xml:space="preserve">First LNG cargo 11 Jun 2019</t>
  </si>
  <si>
    <t xml:space="preserve">https://www.inpex.com/english/news/english/news/assets/pdf/e20190611.pdf</t>
  </si>
  <si>
    <t xml:space="preserve">2019-08</t>
  </si>
  <si>
    <t xml:space="preserve">First liquid Aug 2019; first cargo Sep 2019</t>
  </si>
  <si>
    <t xml:space="preserve">https://www.hydrocarbonengineering.com/gas-processing/20082019/first-liquid-from-freeport-lng-train-1-announced/</t>
  </si>
  <si>
    <t xml:space="preserve">2019-10</t>
  </si>
  <si>
    <t xml:space="preserve">First unit in-service 7 Oct 2019; first cargo Dec 2019</t>
  </si>
  <si>
    <t xml:space="preserve">https://www.lngindustry.com/liquefaction/07102019/kinder-morgan-announces-commercial-in-service-of-first-lng-unit-at-elba-island/</t>
  </si>
  <si>
    <t xml:space="preserve">2019-12</t>
  </si>
  <si>
    <t xml:space="preserve">Train 2 first LNG Dec 2019 (IGU lists 2020)</t>
  </si>
  <si>
    <t xml:space="preserve">https://www.hydrocarbonengineering.com/gas-processing/02012020/cameron-lng-facility-begins-production-at-train-2/</t>
  </si>
  <si>
    <t xml:space="preserve">Train 2 first prod Dec 2019 (IGU lists 2020)</t>
  </si>
  <si>
    <t xml:space="preserve">https://safety4sea.com/freeport-lng-train-2-begins-its-first-natural-gas-production/</t>
  </si>
  <si>
    <t xml:space="preserve">2020-08</t>
  </si>
  <si>
    <t xml:space="preserve">Final units through H1-H2 2020</t>
  </si>
  <si>
    <t xml:space="preserve">https://ir.kindermorgan.com/news/news-details/2020/Kinder-Morgan-Announces-Commercial-In-Service-of-the-Final-Unit-at-the-Elba-Island-Liquefaction-Facility/default.aspx</t>
  </si>
  <si>
    <t xml:space="preserve">2020-11</t>
  </si>
  <si>
    <t xml:space="preserve">First LNG ~Nov 2020; first cargo Dec 2020 (IGU lists 2021)</t>
  </si>
  <si>
    <t xml:space="preserve">https://www.offshore-energy.biz/cheniere-commissions-train-3-at-corpus-christi-lng/</t>
  </si>
  <si>
    <t xml:space="preserve">2021-01</t>
  </si>
  <si>
    <t xml:space="preserve">Train 4 first LNG Jan 2021</t>
  </si>
  <si>
    <t xml:space="preserve">https://www.naturalgasworld.com/yamal-train-4-produces-first-lng-novatek-84959</t>
  </si>
  <si>
    <t xml:space="preserve">2021-02</t>
  </si>
  <si>
    <t xml:space="preserve">First LNG Feb 2021</t>
  </si>
  <si>
    <t xml:space="preserve">https://www.lngindustry.com/liquid-natural-gas/15022021/petronas-pflng-dua-marks-commissioning-with-first-lng-production/</t>
  </si>
  <si>
    <t xml:space="preserve">2021-11</t>
  </si>
  <si>
    <t xml:space="preserve">Train 6 first LNG Nov 2021 (IGU lists 2022)</t>
  </si>
  <si>
    <t xml:space="preserve">https://www.businesswire.com/news/home/20211123005917/en/Cheniere-Partners-Announces-Achievement-of-First-LNG-at-Sabine-Pass-Train-6</t>
  </si>
  <si>
    <t xml:space="preserve">2022-02</t>
  </si>
  <si>
    <t xml:space="preserve">First LNG Jan/Feb 2022; 18 blocks ramp through 2022-23</t>
  </si>
  <si>
    <t xml:space="preserve">https://www.offshore-energy.biz/venture-global-starts-lng-production-at-calcasieu-pass/</t>
  </si>
  <si>
    <t xml:space="preserve">2022-09</t>
  </si>
  <si>
    <t xml:space="preserve">First LNG/cargo 14 Sep 2022</t>
  </si>
  <si>
    <t xml:space="preserve">https://lngprime.com/asia/gazprom-hits-portovaya-lng-production-milestone/82712/</t>
  </si>
  <si>
    <t xml:space="preserve">2022-11</t>
  </si>
  <si>
    <t xml:space="preserve">First cargo 13 Nov 2022</t>
  </si>
  <si>
    <t xml:space="preserve">https://www.eni.com/en-IT/media/press-release/2022/11/eni-coral-first-cargo.html</t>
  </si>
  <si>
    <t xml:space="preserve">2023-09</t>
  </si>
  <si>
    <t xml:space="preserve">Commissioning ~Sep; first cargo 22 Oct 2023</t>
  </si>
  <si>
    <t xml:space="preserve">https://naturalgasintel.com/news/first-lng-from-indonesias-tangguh-train-3-expansion-targeted-for-mid-september/</t>
  </si>
  <si>
    <t xml:space="preserve">2024-01</t>
  </si>
  <si>
    <t xml:space="preserve">Initial startup ~Dec 2023/Jan 2024; on-off due to sanctions (IGU lists 2025)</t>
  </si>
  <si>
    <t xml:space="preserve">https://polarjournal.ch/en/2024/01/24/semi-mature-start-up-of-arctic-lng-2-production/</t>
  </si>
  <si>
    <t xml:space="preserve">2024-02</t>
  </si>
  <si>
    <t xml:space="preserve">Gas into FLNG Dec 2023; first export Feb 2024</t>
  </si>
  <si>
    <t xml:space="preserve">https://www.gasworld.com/story/enis-congo-lng-project-marks-first-export-from-floating-site/2172714.article/</t>
  </si>
  <si>
    <t xml:space="preserve">2024-07</t>
  </si>
  <si>
    <t xml:space="preserve">First LNG Jul 2024</t>
  </si>
  <si>
    <t xml:space="preserve">https://ir.newfortressenergy.com/news-releases/news-release-details/new-fortress-energy-achieves-first-lng-its-fast-lng-asset</t>
  </si>
  <si>
    <t xml:space="preserve">2024-12</t>
  </si>
  <si>
    <t xml:space="preserve">First LNG 14 Dec 2024; modular ramp begins</t>
  </si>
  <si>
    <t xml:space="preserve">https://ventureglobal.com/2024/12/14/venture-globals-plaquemines-lng-achieves-historic-first-lng-production/</t>
  </si>
  <si>
    <t xml:space="preserve">First LNG 30 Dec 2024 (IGU lists 2025)</t>
  </si>
  <si>
    <t xml:space="preserve">https://lngir.cheniere.com/news-events/press-releases/detail/310/cheniere-achieves-first-lng-at-the-corpus-christi-stage-3</t>
  </si>
  <si>
    <t xml:space="preserve">2025-02</t>
  </si>
  <si>
    <t xml:space="preserve">First LNG 10 Feb 2025; first cargo Apr 2025</t>
  </si>
  <si>
    <t xml:space="preserve">https://www.offshore-mag.com/regional-reports/africa/news/55267008/kosmos-energy-first-gas-liquefied-at-offshore-gta-project</t>
  </si>
  <si>
    <t xml:space="preserve">2025-06</t>
  </si>
  <si>
    <t xml:space="preserve">First LNG Jun 2025; first cargo late Jun/Jul 2025</t>
  </si>
  <si>
    <t xml:space="preserve">https://pgjonline.com/news/2025/june/lng-canada-begins-first-lng-production-in-british-columbia</t>
  </si>
  <si>
    <t xml:space="preserve">Representative month; multiple modular blocks online through 2025</t>
  </si>
  <si>
    <t xml:space="preserve">https://www.eia.gov/todayinenergy/detail.php?id=64224</t>
  </si>
  <si>
    <t xml:space="preserve">HOW TO USE: rows are sorted by commissioning month. "Capacity added" is the nameplate step; "Cumulative capacity" forward-fills to give the export-capacity level. For a full month-by-month series, carry each cumulative value forward across the months until the next row.</t>
  </si>
  <si>
    <t xml:space="preserve">ORANGE ROWS: the researched first-LNG month falls in an EARLIER year than IGU's assigned "start year" (IGU tends to date plants to substantial-completion / commercial operations, not first commissioning LNG). Use the "IGU start year" column instead if you prefer to align with the annual file. This choice only shifts capacity by 1–2 months around a year boundary.</t>
  </si>
  <si>
    <t xml:space="preserve">BASIS: "first-LNG" = first commissioning production (preferred); "first-cargo" = first export shipment (first-LNG slightly earlier); "commercial-start" = declared commercial operations (first-LNG earlier). Confidence flags source certainty on the exact month.</t>
  </si>
  <si>
    <t xml:space="preserve">MODULAR PROJECTS (Calcasieu Pass, Plaquemines, Elba Island) ramp capacity over many months, not in a single step. The month shown is first-LNG; the full nameplate is reached gradually. For a precise monthly series these should be spread across their ramp — happy to model that.</t>
  </si>
  <si>
    <t xml:space="preserve">Cumulative reaches 524.55 Mtpa (end-2025), matching IGU WLR 2026 and GIIGNL (~524 Mtpa). Source: IGU World LNG Report 2026, Appendix 1, plus per-event commissioning sources listed per row.</t>
  </si>
  <si>
    <t xml:space="preserve">RefNo</t>
  </si>
  <si>
    <t xml:space="preserve">Train</t>
  </si>
  <si>
    <t xml:space="preserve">Technology</t>
  </si>
  <si>
    <t xml:space="preserve">Start Year</t>
  </si>
  <si>
    <t xml:space="preserve">Capacity (Mtpa)</t>
  </si>
  <si>
    <t xml:space="preserve">Ownership</t>
  </si>
  <si>
    <t xml:space="preserve">Note</t>
  </si>
  <si>
    <t xml:space="preserve">Brunei LNG T1-T2</t>
  </si>
  <si>
    <t xml:space="preserve">AP-C3MR</t>
  </si>
  <si>
    <t xml:space="preserve">Shell* (25%); Brunei Government (50%); Mitsubishi Corp (25%)</t>
  </si>
  <si>
    <t xml:space="preserve">Brunei LNG T3-T4</t>
  </si>
  <si>
    <t xml:space="preserve">Brunei LNG T5</t>
  </si>
  <si>
    <t xml:space="preserve">Adgas LNG T1</t>
  </si>
  <si>
    <t xml:space="preserve">ADNOC LNG* (0%); ADNOC (70%); Mitsui (15%); BP (10%); TotalEnergies (5%)</t>
  </si>
  <si>
    <t xml:space="preserve">Adgas LNG T2</t>
  </si>
  <si>
    <t xml:space="preserve">Adgas LNG T3</t>
  </si>
  <si>
    <t xml:space="preserve">Arzew GL1Z T1-T6</t>
  </si>
  <si>
    <t xml:space="preserve">Sonatrach* (100%)</t>
  </si>
  <si>
    <t xml:space="preserve">Arzew GL2Z T1-T6</t>
  </si>
  <si>
    <t xml:space="preserve">MLNG Satu T1-T3</t>
  </si>
  <si>
    <t xml:space="preserve">Petronas* (90%); Mitsubishi Corp (5%); Sarawak State (5%)</t>
  </si>
  <si>
    <t xml:space="preserve">MLNG Dua T4-T6</t>
  </si>
  <si>
    <t xml:space="preserve">Petronas* (80%); Mitsubishi Corp (10%); Sarawak State (10%)</t>
  </si>
  <si>
    <t xml:space="preserve">MLNG Tiga T7-T8</t>
  </si>
  <si>
    <t xml:space="preserve">Petronas* (60%); Sarawak State (25%); JX Nippon Oil and Gas (10%); Mitsubishi Corp (5%)</t>
  </si>
  <si>
    <t xml:space="preserve">MLNG T9</t>
  </si>
  <si>
    <t xml:space="preserve">AP-C3MR/ SplitMR</t>
  </si>
  <si>
    <t xml:space="preserve">Petronas* (80%); JX Nippon Oil and Gas (10%); Sarawak State (10%)</t>
  </si>
  <si>
    <t xml:space="preserve">Bontang LNG TC-TD</t>
  </si>
  <si>
    <t xml:space="preserve">Pertamina* (55%); Japan Indonesia LNG Co. (JILCO) (20%); PT VICO Indonesia (15%); TotalEnergies (10%)</t>
  </si>
  <si>
    <t xml:space="preserve">Bontang LNG TE</t>
  </si>
  <si>
    <t xml:space="preserve">Bontang LNG TF</t>
  </si>
  <si>
    <t xml:space="preserve">Bontang LNG TG</t>
  </si>
  <si>
    <t xml:space="preserve">Bontang LNG TH</t>
  </si>
  <si>
    <t xml:space="preserve">North West Shelf LNG T1</t>
  </si>
  <si>
    <t xml:space="preserve">Woodside* (33.33%); BP (16.67%); Chevron (16.67%); Shell (16.67%); Mitsubishi Corp (8.33%); Mitsui (8.33%)</t>
  </si>
  <si>
    <t xml:space="preserve">North West Shelf LNG T3</t>
  </si>
  <si>
    <t xml:space="preserve">North West Shelf LNG T4</t>
  </si>
  <si>
    <t xml:space="preserve">North West Shelf LNG T5</t>
  </si>
  <si>
    <t xml:space="preserve">Qatargas 1 T1</t>
  </si>
  <si>
    <t xml:space="preserve">QatarEnergy LNG* (0%); QatarEnergy (100%)</t>
  </si>
  <si>
    <t xml:space="preserve">Qatargas 1 T2</t>
  </si>
  <si>
    <t xml:space="preserve">Qatargas 1 T3</t>
  </si>
  <si>
    <t xml:space="preserve">Rasgas 1 T1</t>
  </si>
  <si>
    <t xml:space="preserve">QatarEnergy LNG* (0%); QatarEnergy (63%); ExxonMobil (25%); ITOCHU (4%); Korea Gas (3%); Sojitz (1.5%); Sumitomo (1.5%); Samsung (0.5%); Hyundai (0.4%); SK Earthon (0.4%); LG International (0.28%); Daesung (0.27%); Hanwha Energy (0.15%)</t>
  </si>
  <si>
    <t xml:space="preserve">Rasgas 1 T2</t>
  </si>
  <si>
    <t xml:space="preserve">Rasgas 2 T3</t>
  </si>
  <si>
    <t xml:space="preserve">QatarEnergy LNG* (0%); QatarEnergy (70%); ExxonMobil (30%)</t>
  </si>
  <si>
    <t xml:space="preserve">Rasgas 2 T4</t>
  </si>
  <si>
    <t xml:space="preserve">Rasgas 2 T5</t>
  </si>
  <si>
    <t xml:space="preserve">Qatargas 2 T4</t>
  </si>
  <si>
    <t xml:space="preserve">AP-X</t>
  </si>
  <si>
    <t xml:space="preserve">QatarEnergy LNG* (0%); QatarEnergy (67.5%); ExxonMobil (24.15%); TotalEnergies (8.35%)</t>
  </si>
  <si>
    <t xml:space="preserve">Qatargas 2 T5</t>
  </si>
  <si>
    <t xml:space="preserve">Rasgas 3 T6</t>
  </si>
  <si>
    <t xml:space="preserve">Rasgas 3 T7</t>
  </si>
  <si>
    <t xml:space="preserve">Qatargas 3 T6</t>
  </si>
  <si>
    <t xml:space="preserve">QatarEnergy LNG* (0%); QatarEnergy (68.5%); ConocoPhillips (30%); Mitsui (1.5%)</t>
  </si>
  <si>
    <t xml:space="preserve">Qatargas 4 T7</t>
  </si>
  <si>
    <t xml:space="preserve">QatarEnergy LNG* (0%); QatarEnergy (70%); Shell (30%)</t>
  </si>
  <si>
    <t xml:space="preserve">Atlantic LNG T2</t>
  </si>
  <si>
    <t xml:space="preserve">ConocoPhillips Optimized Cascade</t>
  </si>
  <si>
    <t xml:space="preserve">Atlantic LNG* (0%); Shell (51.1%); BP (37.8%); NGC (11.1%)</t>
  </si>
  <si>
    <t xml:space="preserve">Atlantic LNG T3</t>
  </si>
  <si>
    <t xml:space="preserve">Atlantic LNG T4</t>
  </si>
  <si>
    <t xml:space="preserve">NLNG T1</t>
  </si>
  <si>
    <t xml:space="preserve">Nigeria LNG (NLNG)* (0%); NNPC (Nigeria) (49%); Shell (25.6%); TotalEnergies (15%); Eni (10.4%)</t>
  </si>
  <si>
    <t xml:space="preserve">NLNG T2</t>
  </si>
  <si>
    <t xml:space="preserve">NLNG T3</t>
  </si>
  <si>
    <t xml:space="preserve">NLNG T4</t>
  </si>
  <si>
    <t xml:space="preserve">NLNG T5</t>
  </si>
  <si>
    <t xml:space="preserve">NLNG T6</t>
  </si>
  <si>
    <t xml:space="preserve">Oman LNG T1</t>
  </si>
  <si>
    <t xml:space="preserve">Oman LNG* (0%); Omani Government (51%); Shell (30%); TotalEnergies (5.54%); Korea LNG (5%); Mitsubishi Corp (2.77%); Mitsui (2.77%); PTTEP (2%); ITOCHU (0.92%)</t>
  </si>
  <si>
    <t xml:space="preserve">Oman LNG T2</t>
  </si>
  <si>
    <t xml:space="preserve">Oman LNG T3 (Qalhat)</t>
  </si>
  <si>
    <t xml:space="preserve">Oman LNG* (0%); Omani Government (65.6%); Shell (11.04%); Mitsubishi Corp (4.02%); Eni (3.68%); Naturgy (3.68%); ITOCHU (3.34%); Osaka Gas (3%); TotalEnergies (2.04%); Korea LNG (1.84%); Mitsui (1.02%); PTTEP (0.74%)</t>
  </si>
  <si>
    <t xml:space="preserve">Damietta LNG T1</t>
  </si>
  <si>
    <t xml:space="preserve">SEGAS* (0%); Eni (50%); EGAS (40%); EGPC (Egypt) (10%)</t>
  </si>
  <si>
    <t xml:space="preserve">Egyptian LNG (Idku) T1</t>
  </si>
  <si>
    <t xml:space="preserve">Shell* (35.5%); Petronas (35.5%); EGPC (Egypt) (24%); TotalEnergies (5%)</t>
  </si>
  <si>
    <t xml:space="preserve">Egyptian LNG (Idku) T2</t>
  </si>
  <si>
    <t xml:space="preserve">Shell* (38%); Petronas (38%); EGPC (Egypt) (24%)</t>
  </si>
  <si>
    <t xml:space="preserve">Darwin LNG T1</t>
  </si>
  <si>
    <t xml:space="preserve">Santos* (43.44%); SK Innovation (25%); Inpex (11.38%); Eni (10.98%); JERA (6.13%); Tokyo Gas (3.07%)</t>
  </si>
  <si>
    <t xml:space="preserve">EG LNG T1</t>
  </si>
  <si>
    <t xml:space="preserve">ConocoPhillips* (56%); Sonagas G.E. (25%); Mitsui (8.5%); Marubeni (6.5%); Equatorial Guinea Government (4%)</t>
  </si>
  <si>
    <t xml:space="preserve">Snohvit LNG T1</t>
  </si>
  <si>
    <t xml:space="preserve">Linde MFC</t>
  </si>
  <si>
    <t xml:space="preserve">Equinor* (36.79%); Petoro (30%); TotalEnergies (18.4%); Vaar Energi (12%); Harbour Energy (2.81%)</t>
  </si>
  <si>
    <t xml:space="preserve">Nordic LNG T1</t>
  </si>
  <si>
    <t xml:space="preserve">Linde</t>
  </si>
  <si>
    <t xml:space="preserve">North Sea Midstream Partners (100%)</t>
  </si>
  <si>
    <t xml:space="preserve">Yemen LNG (T1+T2)</t>
  </si>
  <si>
    <t xml:space="preserve">TotalEnergies* (39.62%); Yemen General Oil and Gas (21.73%); Hunt Oil (17.22%); Korea Gas (8.88%); SK Earthon (8.49%); Hyundai (3%); KNOC (S.Korea) (1.06%)</t>
  </si>
  <si>
    <t xml:space="preserve">Tangguh LNG T1</t>
  </si>
  <si>
    <t xml:space="preserve">BP* (40.22%); CNOOC (13.9%); JOGMEC (11.07%); Mitsubishi Corp (9.92%); Inpex (7.79%); JX Nippon Oil and Gas (7.46%); Sojitz (3.67%); Sumitomo (3.67%); Mitsui (2.3%)</t>
  </si>
  <si>
    <t xml:space="preserve">Tangguh LNG T2</t>
  </si>
  <si>
    <t xml:space="preserve">Tangguh LNG T3</t>
  </si>
  <si>
    <t xml:space="preserve">Sakhalin 2 T1</t>
  </si>
  <si>
    <t xml:space="preserve">Shell DMR</t>
  </si>
  <si>
    <t xml:space="preserve">Sakhalin Energy LLC* (0%); Gazprom (77.5%); Mitsui (12.5%); Mitsubishi Corp (10%)</t>
  </si>
  <si>
    <t xml:space="preserve">Sakhalin 2 T2</t>
  </si>
  <si>
    <t xml:space="preserve">Peru LNG T1</t>
  </si>
  <si>
    <t xml:space="preserve">Hunt Oil* (35%); MidOcean Energy (35%); Shell (20%); Marubeni (10%)</t>
  </si>
  <si>
    <t xml:space="preserve">Pluto LNG T1</t>
  </si>
  <si>
    <t xml:space="preserve">Shell Propane Precooled Mixed Refrigerant</t>
  </si>
  <si>
    <t xml:space="preserve">Woodside* (90%); Kansai Electric (5%); MidOcean Energy (5%)</t>
  </si>
  <si>
    <t xml:space="preserve">Angola LNG T1</t>
  </si>
  <si>
    <t xml:space="preserve">Angola LNG* (0%); Chevron (36.4%); Azule Energy (27.2%); Sonangol (22.8%); TotalEnergies (13.6%)</t>
  </si>
  <si>
    <t xml:space="preserve">Skikda GL1K T1 (rebuild)</t>
  </si>
  <si>
    <t xml:space="preserve">PNG LNG T1</t>
  </si>
  <si>
    <t xml:space="preserve">ExxonMobil* (33.2%); Santos (39.9%); Kumul Petroleum Holdings Limited (19.4%); JX Nippon Oil and Gas (3.72%); Mineral Resources Development (2.8%); Marubeni (0.98%)</t>
  </si>
  <si>
    <t xml:space="preserve">PNG LNG T2</t>
  </si>
  <si>
    <t xml:space="preserve">Arzew GL3Z (Gassi Touil) T1</t>
  </si>
  <si>
    <t xml:space="preserve">Donggi-Senoro LNG T1</t>
  </si>
  <si>
    <t xml:space="preserve">Donggi-Senoro LNG (DSLNG)* (0%); Mitsubishi Corp (44.92%); Pertamina (29%); Korea Gas (14.98%); MedcoEnergi (11.1%)</t>
  </si>
  <si>
    <t xml:space="preserve">GLNG T1</t>
  </si>
  <si>
    <t xml:space="preserve">Santos* (30%); Petronas (27.5%); TotalEnergies (27.5%); Korea Gas (15%)</t>
  </si>
  <si>
    <t xml:space="preserve">GLNG T2</t>
  </si>
  <si>
    <t xml:space="preserve">Queensland Curtis LNG T1</t>
  </si>
  <si>
    <t xml:space="preserve">Shell* (50%); CNOOC (50%)</t>
  </si>
  <si>
    <t xml:space="preserve">Queensland Curtis LNG T2</t>
  </si>
  <si>
    <t xml:space="preserve">Shell* (97.5%); MidOcean Energy (2.5%)</t>
  </si>
  <si>
    <t xml:space="preserve">Gorgon LNG T1</t>
  </si>
  <si>
    <t xml:space="preserve">Chevron* (47.33%); ExxonMobil (25%); Shell (25%); Osaka Gas (1.25%); MidOcean Energy (1%); JERA (0.42%)</t>
  </si>
  <si>
    <t xml:space="preserve">Gorgon LNG T2</t>
  </si>
  <si>
    <t xml:space="preserve">Gorgon LNG T3</t>
  </si>
  <si>
    <t xml:space="preserve">Australia Pacific LNG T1</t>
  </si>
  <si>
    <t xml:space="preserve">ConocoPhillips* (47.5%); Origin Energy (27.5%); Sinopec Group (parent) (25%)</t>
  </si>
  <si>
    <t xml:space="preserve">Australia Pacific LNG T2</t>
  </si>
  <si>
    <t xml:space="preserve">Sabine Pass T1-T2</t>
  </si>
  <si>
    <t xml:space="preserve">Cheniere Energy* (100%)</t>
  </si>
  <si>
    <t xml:space="preserve">Sabine Pass T3-T4</t>
  </si>
  <si>
    <t xml:space="preserve">Sabine Pass T5</t>
  </si>
  <si>
    <t xml:space="preserve">Sabine Pass T6</t>
  </si>
  <si>
    <t xml:space="preserve">Petronas FLNG Satu (PFLNG1)</t>
  </si>
  <si>
    <t xml:space="preserve">AP-N</t>
  </si>
  <si>
    <t xml:space="preserve">Petronas* (100%)</t>
  </si>
  <si>
    <t xml:space="preserve">Wheatstone LNG T1</t>
  </si>
  <si>
    <t xml:space="preserve">Chevron* (64.14%); Kuwait Petroleum Corp (KPC) (13.4%); Woodside (13%); JOGMEC (3.36%); Mitsubishi Corp (3.18%); Kyushu Electric (1.46%); Nippon Yusen Kabushiki Kaisha (NYK Line) (0.82%); JERA (0.64%)</t>
  </si>
  <si>
    <t xml:space="preserve">Wheatstone LNG T2</t>
  </si>
  <si>
    <t xml:space="preserve">Yamal LNG T1</t>
  </si>
  <si>
    <t xml:space="preserve">OOO Yamal LNG* (0%); Novatek (50.1%); CNPC (parent) (20%); TotalEnergies (20%); Silk Road Fund (9.9%)</t>
  </si>
  <si>
    <t xml:space="preserve">Yamal LNG T2</t>
  </si>
  <si>
    <t xml:space="preserve">Yamal LNG T3</t>
  </si>
  <si>
    <t xml:space="preserve">Yamal LNG T4</t>
  </si>
  <si>
    <t xml:space="preserve">Novatek Arctic Cascade</t>
  </si>
  <si>
    <t xml:space="preserve">Ichthys LNG T1</t>
  </si>
  <si>
    <t xml:space="preserve">Inpex* (66.25%); TotalEnergies (26%); CPC Corporation (2.63%); Tokyo Gas (1.58%); Kansai Electric (1.2%); Osaka Gas (1.2%); JERA (0.73%); Toho Gas (0.41%)</t>
  </si>
  <si>
    <t xml:space="preserve">Ichthys LNG T2</t>
  </si>
  <si>
    <t xml:space="preserve">Cove Point LNG T1</t>
  </si>
  <si>
    <t xml:space="preserve">Berkshire Hathaway Energy* (75%); Brookfield Asset Management (25%)</t>
  </si>
  <si>
    <t xml:space="preserve">Black and Veatch PRICO</t>
  </si>
  <si>
    <t xml:space="preserve">Perenco* (75%); SNH (Cameroon) (25%)</t>
  </si>
  <si>
    <t xml:space="preserve">Shell* (67.5%); Inpex (17.5%); Korea Gas (10%); CPC Corporation (5%)</t>
  </si>
  <si>
    <t xml:space="preserve">Cameron LNG T1</t>
  </si>
  <si>
    <t xml:space="preserve">Cameron LNG* (0%); Sempra (50.2%); Mitsui (16.6%); TotalEnergies (16.6%); Mitsubishi Corp (11.62%); Nippon Yusen Kabushiki Kaisha (NYK Line) (4.98%)</t>
  </si>
  <si>
    <t xml:space="preserve">Cameron LNG T2</t>
  </si>
  <si>
    <t xml:space="preserve">Cameron LNG T3</t>
  </si>
  <si>
    <t xml:space="preserve">Elba Island T1</t>
  </si>
  <si>
    <t xml:space="preserve">Shell MMLS</t>
  </si>
  <si>
    <t xml:space="preserve">Southern LNG* (0%); Kinder Morgan (51%); EIG Partners (49%)</t>
  </si>
  <si>
    <t xml:space="preserve">Elba Island T2</t>
  </si>
  <si>
    <t xml:space="preserve">Elba Island T3</t>
  </si>
  <si>
    <t xml:space="preserve">Elba Island T4</t>
  </si>
  <si>
    <t xml:space="preserve">Elba Island T10</t>
  </si>
  <si>
    <t xml:space="preserve">Elba Island T5</t>
  </si>
  <si>
    <t xml:space="preserve">Elba Island T6</t>
  </si>
  <si>
    <t xml:space="preserve">Elba Island T7</t>
  </si>
  <si>
    <t xml:space="preserve">Elba Island T8</t>
  </si>
  <si>
    <t xml:space="preserve">Elba Island T9</t>
  </si>
  <si>
    <t xml:space="preserve">Vysotsk LNG T1</t>
  </si>
  <si>
    <t xml:space="preserve">Air Liquide Smartfin</t>
  </si>
  <si>
    <t xml:space="preserve">Novatek* (51%); Gazprom (49%)</t>
  </si>
  <si>
    <t xml:space="preserve">Corpus Christi T1</t>
  </si>
  <si>
    <t xml:space="preserve">Corpus Christi T2</t>
  </si>
  <si>
    <t xml:space="preserve">Corpus Christi T3</t>
  </si>
  <si>
    <t xml:space="preserve">Corpus Christi Stage 3 T1</t>
  </si>
  <si>
    <t xml:space="preserve">Chart Industries IPSMR</t>
  </si>
  <si>
    <t xml:space="preserve">Corpus Christi Stage 3 T2</t>
  </si>
  <si>
    <t xml:space="preserve">Corpus Christi Stage 3 T3</t>
  </si>
  <si>
    <t xml:space="preserve">Corpus Christi Stage 3 T4</t>
  </si>
  <si>
    <t xml:space="preserve">Freeport LNG T1</t>
  </si>
  <si>
    <t xml:space="preserve">Freeport LNG* (50%); JERA (25%); Osaka Gas (25%)</t>
  </si>
  <si>
    <t xml:space="preserve">Freeport LNG T2</t>
  </si>
  <si>
    <t xml:space="preserve">Freeport LNG* (57.5%); Global Infrastructure Partners (GIP) (25%); Osaka Gas (10%); Dow Chemical Company (7.5%)</t>
  </si>
  <si>
    <t xml:space="preserve">Freeport LNG T3</t>
  </si>
  <si>
    <t xml:space="preserve">Petronas FLNG Rotan (PFLNG2)</t>
  </si>
  <si>
    <t xml:space="preserve">AP-DMR</t>
  </si>
  <si>
    <t xml:space="preserve">Eni* (25%); ExxonMobil (25%); CNPC (parent) (20%); ENH (Mozambique) (10%); Galp Energia SA (10%); Korea Gas (10%)</t>
  </si>
  <si>
    <t xml:space="preserve">Calcasieu Pass LNG T1</t>
  </si>
  <si>
    <t xml:space="preserve">BHGE SMR</t>
  </si>
  <si>
    <t xml:space="preserve">Venture Global LNG* (100%)</t>
  </si>
  <si>
    <t xml:space="preserve">Calcasieu Pass LNG T10</t>
  </si>
  <si>
    <t xml:space="preserve">Calcasieu Pass LNG T11</t>
  </si>
  <si>
    <t xml:space="preserve">Calcasieu Pass LNG T12</t>
  </si>
  <si>
    <t xml:space="preserve">Calcasieu Pass LNG T13</t>
  </si>
  <si>
    <t xml:space="preserve">Calcasieu Pass LNG T14</t>
  </si>
  <si>
    <t xml:space="preserve">Calcasieu Pass LNG T15</t>
  </si>
  <si>
    <t xml:space="preserve">Calcasieu Pass LNG T16</t>
  </si>
  <si>
    <t xml:space="preserve">Calcasieu Pass LNG T17</t>
  </si>
  <si>
    <t xml:space="preserve">Calcasieu Pass LNG T18</t>
  </si>
  <si>
    <t xml:space="preserve">Calcasieu Pass LNG T2</t>
  </si>
  <si>
    <t xml:space="preserve">Calcasieu Pass LNG T3</t>
  </si>
  <si>
    <t xml:space="preserve">Calcasieu Pass LNG T4</t>
  </si>
  <si>
    <t xml:space="preserve">Calcasieu Pass LNG T5</t>
  </si>
  <si>
    <t xml:space="preserve">Calcasieu Pass LNG T6</t>
  </si>
  <si>
    <t xml:space="preserve">Calcasieu Pass LNG T7</t>
  </si>
  <si>
    <t xml:space="preserve">Calcasieu Pass LNG T8</t>
  </si>
  <si>
    <t xml:space="preserve">Calcasieu Pass LNG T9</t>
  </si>
  <si>
    <t xml:space="preserve">Portovaya LNG T1</t>
  </si>
  <si>
    <t xml:space="preserve">Linde LIMUM</t>
  </si>
  <si>
    <t xml:space="preserve">Gazprom* (100%)</t>
  </si>
  <si>
    <t xml:space="preserve">Altamira LNG T1</t>
  </si>
  <si>
    <t xml:space="preserve">Fast LNG</t>
  </si>
  <si>
    <t xml:space="preserve">New Fortress Energy* (85%); Comision Federal de Electricidad (15%)</t>
  </si>
  <si>
    <t xml:space="preserve">Plaquemines LNG T1</t>
  </si>
  <si>
    <t xml:space="preserve">BHGE SCMR</t>
  </si>
  <si>
    <t xml:space="preserve">Plaquemines LNG T2</t>
  </si>
  <si>
    <t xml:space="preserve">Plaquemines LNG T3</t>
  </si>
  <si>
    <t xml:space="preserve">Plaquemines LNG T4</t>
  </si>
  <si>
    <t xml:space="preserve">Plaquemines LNG T5</t>
  </si>
  <si>
    <t xml:space="preserve">Plaquemines LNG T6</t>
  </si>
  <si>
    <t xml:space="preserve">Plaquemines LNG T7</t>
  </si>
  <si>
    <t xml:space="preserve">Plaquemines LNG T8</t>
  </si>
  <si>
    <t xml:space="preserve">Plaquemines LNG T9</t>
  </si>
  <si>
    <t xml:space="preserve">Plaquemines LNG T10</t>
  </si>
  <si>
    <t xml:space="preserve">Plaquemines LNG T11</t>
  </si>
  <si>
    <t xml:space="preserve">Plaquemines LNG T12</t>
  </si>
  <si>
    <t xml:space="preserve">Plaquemines LNG T13</t>
  </si>
  <si>
    <t xml:space="preserve">Plaquemines LNG T14</t>
  </si>
  <si>
    <t xml:space="preserve">Plaquemines LNG T15</t>
  </si>
  <si>
    <t xml:space="preserve">Plaquemines LNG T16</t>
  </si>
  <si>
    <t xml:space="preserve">Plaquemines LNG T17</t>
  </si>
  <si>
    <t xml:space="preserve">Plaquemines LNG T18</t>
  </si>
  <si>
    <t xml:space="preserve">Plaquemines LNG T19</t>
  </si>
  <si>
    <t xml:space="preserve">Plaquemines LNG T20</t>
  </si>
  <si>
    <t xml:space="preserve">Plaquemines LNG T21</t>
  </si>
  <si>
    <t xml:space="preserve">Plaquemines LNG T22</t>
  </si>
  <si>
    <t xml:space="preserve">Plaquemines LNG T23</t>
  </si>
  <si>
    <t xml:space="preserve">Plaquemines LNG T24</t>
  </si>
  <si>
    <t xml:space="preserve">Plaquemines LNG T25</t>
  </si>
  <si>
    <t xml:space="preserve">Plaquemines LNG T26</t>
  </si>
  <si>
    <t xml:space="preserve">Plaquemines LNG T27</t>
  </si>
  <si>
    <t xml:space="preserve">Plaquemines LNG T28</t>
  </si>
  <si>
    <t xml:space="preserve">Plaquemines LNG T29</t>
  </si>
  <si>
    <t xml:space="preserve">Plaquemines LNG T30</t>
  </si>
  <si>
    <t xml:space="preserve">Plaquemines LNG T31</t>
  </si>
  <si>
    <t xml:space="preserve">Plaquemines LNG T32</t>
  </si>
  <si>
    <t xml:space="preserve">Plaquemines LNG T33</t>
  </si>
  <si>
    <t xml:space="preserve">Plaquemines LNG T34</t>
  </si>
  <si>
    <t xml:space="preserve">Plaquemines LNG T35</t>
  </si>
  <si>
    <t xml:space="preserve">Plaquemines LNG T36</t>
  </si>
  <si>
    <t xml:space="preserve">Eni* (100%)</t>
  </si>
  <si>
    <t xml:space="preserve">Tortue/Ahmeyim FLNG T1</t>
  </si>
  <si>
    <t xml:space="preserve">BP* (56.29%); Kosmos Energy (26.71%); Petrosen (10%); Societe Mauritanienne des Hydrocarbures (7%)</t>
  </si>
  <si>
    <t xml:space="preserve">Arctic LNG 2 T1</t>
  </si>
  <si>
    <t xml:space="preserve">OOO Arctic LNG-2* (0%); Novatek (60%); CNOOC (10%); CNPC (parent) (10%); TotalEnergies (10%); JOGMEC (7.5%); Mitsui (2.5%)</t>
  </si>
  <si>
    <t xml:space="preserve">LNG Canada T1</t>
  </si>
  <si>
    <t xml:space="preserve">Shell* (40%); Petronas (20%); MidOcean Energy (5%); Mitsubishi Corp (15%); PetroChina (15%); Korea Gas (5%);</t>
  </si>
  <si>
    <t xml:space="preserve">-</t>
  </si>
  <si>
    <t xml:space="preserve">Start year not given in source; set to 2010 for inclusion</t>
  </si>
  <si>
    <t xml:space="preserve">First Online</t>
  </si>
  <si>
    <t xml:space="preserve">Nameplate end-2025 (Mtpa)</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</si>
  <si>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</si>
  <si>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</si>
  <si>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</si>
  <si>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</si>
  <si>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</si>
  <si>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</si>
  <si>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</si>
  <si>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</si>
  <si>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</si>
  <si>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</si>
  <si>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</si>
  <si>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</si>
  <si>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</si>
  <si>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</si>
  <si>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</si>
  <si>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</si>
  <si>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GLOBAL TOTAL</t>
  </si>
  <si>
    <t xml:space="preserve">Expected Start</t>
  </si>
  <si>
    <t xml:space="preserve">42</t>
  </si>
  <si>
    <t xml:space="preserve">Corpus Christi Stage 3 T5</t>
  </si>
  <si>
    <t xml:space="preserve">2026</t>
  </si>
  <si>
    <t xml:space="preserve">Cheniere Energy (100%)</t>
  </si>
  <si>
    <t xml:space="preserve">Corpus Christi Stage 3 T6</t>
  </si>
  <si>
    <t xml:space="preserve">Corpus Christi Stage 3 T7</t>
  </si>
  <si>
    <t xml:space="preserve">50</t>
  </si>
  <si>
    <t xml:space="preserve">Congo Marine XII FLNG 2</t>
  </si>
  <si>
    <t xml:space="preserve">Eni (100%)</t>
  </si>
  <si>
    <t xml:space="preserve">55</t>
  </si>
  <si>
    <t xml:space="preserve">Golden Pass LNG T1</t>
  </si>
  <si>
    <t xml:space="preserve">ExxonMobil (30%); QatarEnergy (70%)</t>
  </si>
  <si>
    <t xml:space="preserve">56</t>
  </si>
  <si>
    <t xml:space="preserve">Energía Costa Azul LNG</t>
  </si>
  <si>
    <t xml:space="preserve">Energía Costa Azul LNG T1</t>
  </si>
  <si>
    <t xml:space="preserve">Sempra (83.4%); TotalEnergies (16.6%)</t>
  </si>
  <si>
    <t xml:space="preserve">53</t>
  </si>
  <si>
    <t xml:space="preserve">LNG Canada T2</t>
  </si>
  <si>
    <t xml:space="preserve">Shell* (40%); Petronas (20%); MidOcean Energy (5%); Mitsubishi Corp (15%); PetroChina (15%); Korea Gas (5%)</t>
  </si>
  <si>
    <t xml:space="preserve">8</t>
  </si>
  <si>
    <t xml:space="preserve">QatarGas LNG T8</t>
  </si>
  <si>
    <t xml:space="preserve">2027</t>
  </si>
  <si>
    <t xml:space="preserve">CNPC (parent) (1.25%); ConocoPhillips (3.125%); CPC Corporation (1.25%); Eni (3.125%); ExxonMobil (6.25%); QatarEnergy (71.25%); Shell (6.25%); Sinopec Group (parent) (1.25%); TotalEnergies (6.25%)</t>
  </si>
  <si>
    <t xml:space="preserve">10</t>
  </si>
  <si>
    <t xml:space="preserve">NLNG T7</t>
  </si>
  <si>
    <t xml:space="preserve">Eni (10.4%); NNPC (Nigeria) (49%); Shell (25.6%); TotalEnergies (15%)</t>
  </si>
  <si>
    <t xml:space="preserve">21</t>
  </si>
  <si>
    <t xml:space="preserve">Pluto LNG T2 (expansion)</t>
  </si>
  <si>
    <t xml:space="preserve">Global Infrastructure Partners (GIP) (49%); Woodside (51%)</t>
  </si>
  <si>
    <t xml:space="preserve">48</t>
  </si>
  <si>
    <t xml:space="preserve">Altamira LNG T2</t>
  </si>
  <si>
    <t xml:space="preserve">New Fortress Energy (100%)</t>
  </si>
  <si>
    <t xml:space="preserve">Golden Pass LNG T2</t>
  </si>
  <si>
    <t xml:space="preserve">Golden Pass LNG T3</t>
  </si>
  <si>
    <t xml:space="preserve">57</t>
  </si>
  <si>
    <t xml:space="preserve">Port Arthur LNG</t>
  </si>
  <si>
    <t xml:space="preserve">Port Arthur LNG T1</t>
  </si>
  <si>
    <t xml:space="preserve">ConocoPhillips (30%); Kohlberg Kravis Roberts (KKR) (42%); Sempra (28%)</t>
  </si>
  <si>
    <t xml:space="preserve">58</t>
  </si>
  <si>
    <t xml:space="preserve">Woodfibre LNG</t>
  </si>
  <si>
    <t xml:space="preserve">Woodfibre LNG T1</t>
  </si>
  <si>
    <t xml:space="preserve">Enbridge (30%); Pacific Energy Corporation (70%)</t>
  </si>
  <si>
    <t xml:space="preserve">59</t>
  </si>
  <si>
    <t xml:space="preserve">Petronas FLNG 3 Tiga</t>
  </si>
  <si>
    <t xml:space="preserve">Petronas FLNG Tiga (PFLNG3)</t>
  </si>
  <si>
    <t xml:space="preserve">Petronas (75%); Sabah State Government (25%)</t>
  </si>
  <si>
    <t xml:space="preserve">60</t>
  </si>
  <si>
    <t xml:space="preserve">Genting FLNG</t>
  </si>
  <si>
    <t xml:space="preserve">Genting (100%)</t>
  </si>
  <si>
    <t xml:space="preserve">61</t>
  </si>
  <si>
    <t xml:space="preserve">Gabon</t>
  </si>
  <si>
    <t xml:space="preserve">Gabon LNG</t>
  </si>
  <si>
    <t xml:space="preserve">Aragon's ODEC</t>
  </si>
  <si>
    <t xml:space="preserve">Perenco (100%)</t>
  </si>
  <si>
    <t xml:space="preserve">62</t>
  </si>
  <si>
    <t xml:space="preserve">CP2 LNG</t>
  </si>
  <si>
    <t xml:space="preserve">CP2 LNG T1</t>
  </si>
  <si>
    <t xml:space="preserve">Venture Global (100%)</t>
  </si>
  <si>
    <t xml:space="preserve">CP2 LNG T10</t>
  </si>
  <si>
    <t xml:space="preserve">CP2 LNG T11</t>
  </si>
  <si>
    <t xml:space="preserve">CP2 LNG T12</t>
  </si>
  <si>
    <t xml:space="preserve">CP2 LNG T13</t>
  </si>
  <si>
    <t xml:space="preserve">CP2 LNG T14</t>
  </si>
  <si>
    <t xml:space="preserve">CP2 LNG T15</t>
  </si>
  <si>
    <t xml:space="preserve">CP2 LNG T16</t>
  </si>
  <si>
    <t xml:space="preserve">CP2 LNG T2</t>
  </si>
  <si>
    <t xml:space="preserve">CP2 LNG T3</t>
  </si>
  <si>
    <t xml:space="preserve">CP2 LNG T4</t>
  </si>
  <si>
    <t xml:space="preserve">CP2 LNG T5</t>
  </si>
  <si>
    <t xml:space="preserve">CP2 LNG T6</t>
  </si>
  <si>
    <t xml:space="preserve">CP2 LNG T7</t>
  </si>
  <si>
    <t xml:space="preserve">CP2 LNG T8</t>
  </si>
  <si>
    <t xml:space="preserve">CP2 LNG T9</t>
  </si>
  <si>
    <t xml:space="preserve">QatarGas LNG T10</t>
  </si>
  <si>
    <t xml:space="preserve">2028</t>
  </si>
  <si>
    <t xml:space="preserve">QatarGas LNG T9</t>
  </si>
  <si>
    <t xml:space="preserve">Port Arthur LNG T2</t>
  </si>
  <si>
    <t xml:space="preserve">CP2 LNG T17</t>
  </si>
  <si>
    <t xml:space="preserve">CP2 LNG T18</t>
  </si>
  <si>
    <t xml:space="preserve">CP2 LNG T19</t>
  </si>
  <si>
    <t xml:space="preserve">CP2 LNG T20</t>
  </si>
  <si>
    <t xml:space="preserve">CP2 LNG T21</t>
  </si>
  <si>
    <t xml:space="preserve">CP2 LNG T22</t>
  </si>
  <si>
    <t xml:space="preserve">CP2 LNG T23</t>
  </si>
  <si>
    <t xml:space="preserve">CP2 LNG T24</t>
  </si>
  <si>
    <t xml:space="preserve">CP2 LNG T25</t>
  </si>
  <si>
    <t xml:space="preserve">CP2 LNG T26</t>
  </si>
  <si>
    <t xml:space="preserve">63</t>
  </si>
  <si>
    <t xml:space="preserve">Rio Grande LNG</t>
  </si>
  <si>
    <t xml:space="preserve">Rio Grande LNG T1</t>
  </si>
  <si>
    <t xml:space="preserve">NextDecade (20.8%); Global Infrastructure Partners (34.4%); TotalEnergies (16.7%); XRG (11.7%); GIC (9.9%); Mubadala (6.5%)</t>
  </si>
  <si>
    <t xml:space="preserve">Rio Grande LNG T2</t>
  </si>
  <si>
    <t xml:space="preserve">64</t>
  </si>
  <si>
    <t xml:space="preserve">Marsa LNG</t>
  </si>
  <si>
    <t xml:space="preserve">Marsa LNG Train 1</t>
  </si>
  <si>
    <t xml:space="preserve">AP-SMR</t>
  </si>
  <si>
    <t xml:space="preserve">TotalEnergies (80%); OQ(20%)</t>
  </si>
  <si>
    <t xml:space="preserve">65</t>
  </si>
  <si>
    <t xml:space="preserve">Ruwais LNG</t>
  </si>
  <si>
    <t xml:space="preserve">Ruwais LNG T1</t>
  </si>
  <si>
    <t xml:space="preserve">ADNOC (60%); BP (10%); Mitsui (10%); Shell (10%); TotalEnergies (10%)</t>
  </si>
  <si>
    <t xml:space="preserve">Ruwais LNG T2</t>
  </si>
  <si>
    <t xml:space="preserve">66</t>
  </si>
  <si>
    <t xml:space="preserve">Argentina</t>
  </si>
  <si>
    <t xml:space="preserve">Southern Energy FLNG</t>
  </si>
  <si>
    <t xml:space="preserve">Pan American Energy (30%); YPF (25%); Pampa Energia (20%); Harbour Energy (15%); Golar LNG (10%)</t>
  </si>
  <si>
    <t xml:space="preserve">Southern Energy FLNG MK II</t>
  </si>
  <si>
    <t xml:space="preserve">QatarGas LNG T11</t>
  </si>
  <si>
    <t xml:space="preserve">2029</t>
  </si>
  <si>
    <t xml:space="preserve">CP2 LNG T27</t>
  </si>
  <si>
    <t xml:space="preserve">CP2 LNG T28</t>
  </si>
  <si>
    <t xml:space="preserve">CP2 LNG T29</t>
  </si>
  <si>
    <t xml:space="preserve">CP2 LNG T30</t>
  </si>
  <si>
    <t xml:space="preserve">CP2 LNG T31</t>
  </si>
  <si>
    <t xml:space="preserve">CP2 LNG T32</t>
  </si>
  <si>
    <t xml:space="preserve">CP2 LNG T33</t>
  </si>
  <si>
    <t xml:space="preserve">CP2 LNG T34</t>
  </si>
  <si>
    <t xml:space="preserve">CP2 LNG T35</t>
  </si>
  <si>
    <t xml:space="preserve">CP2 LNG T36</t>
  </si>
  <si>
    <t xml:space="preserve">Rio Grande LNG T3</t>
  </si>
  <si>
    <t xml:space="preserve">67</t>
  </si>
  <si>
    <t xml:space="preserve">Cedar FLNG</t>
  </si>
  <si>
    <t xml:space="preserve">Cedar FLNG 1</t>
  </si>
  <si>
    <t xml:space="preserve">Haisla Nation (50.1%); Pembina Pipeline Corporation (49.9%)</t>
  </si>
  <si>
    <t xml:space="preserve">68</t>
  </si>
  <si>
    <t xml:space="preserve">Coral North FLNG</t>
  </si>
  <si>
    <t xml:space="preserve">ADNOC (10%); CNPC (parent) (20%); ENH (Mozambique) (10%); Eni (25%); ExxonMobil (25%); Korea Gas (10%)</t>
  </si>
  <si>
    <t xml:space="preserve">69</t>
  </si>
  <si>
    <t xml:space="preserve">Woodside Louisiana LNG</t>
  </si>
  <si>
    <t xml:space="preserve">Woodside Louisiana LNG T1</t>
  </si>
  <si>
    <t xml:space="preserve">Woodside (60%); Stonepeak (40%)</t>
  </si>
  <si>
    <t xml:space="preserve">QatarGas LNG T12</t>
  </si>
  <si>
    <t xml:space="preserve">2030</t>
  </si>
  <si>
    <t xml:space="preserve">ConocoPhillips (6.25%); QatarEnergy (73.125%); Shell (9.375%); Sinopec Group (parent) (1.875%); TotalEnergies (9.375%)</t>
  </si>
  <si>
    <t xml:space="preserve">Corpus Christi Midscale T8</t>
  </si>
  <si>
    <t xml:space="preserve">Corpus Christi Midscale T9</t>
  </si>
  <si>
    <t xml:space="preserve">Port Arthur LNG T3</t>
  </si>
  <si>
    <t xml:space="preserve">Sempra (50.1%); Blackstone/ Consortium (49.9%)</t>
  </si>
  <si>
    <t xml:space="preserve">Rio Grande LNG T4</t>
  </si>
  <si>
    <t xml:space="preserve">NextDecade (40%); Global Infrastructure Partners (29.3%); TotalEnergies (10%); GIC (7.9%); Mubadala (5.2%); XRG (7.6%)</t>
  </si>
  <si>
    <t xml:space="preserve">Woodside Louisiana LNG T2</t>
  </si>
  <si>
    <t xml:space="preserve">IMO Number</t>
  </si>
  <si>
    <t xml:space="preserve">Name</t>
  </si>
  <si>
    <t xml:space="preserve">Shipowner</t>
  </si>
  <si>
    <t xml:space="preserve">Shipbuilder</t>
  </si>
  <si>
    <t xml:space="preserve">Capacity (cm)</t>
  </si>
  <si>
    <t xml:space="preserve">Cargo Type</t>
  </si>
  <si>
    <t xml:space="preserve">Vessel Type</t>
  </si>
  <si>
    <t xml:space="preserve">Propulsion Type</t>
  </si>
  <si>
    <t xml:space="preserve">9443401</t>
  </si>
  <si>
    <t xml:space="preserve">Aamira</t>
  </si>
  <si>
    <t xml:space="preserve">Nakilat</t>
  </si>
  <si>
    <t xml:space="preserve">HD Hyundai</t>
  </si>
  <si>
    <t xml:space="preserve">266000</t>
  </si>
  <si>
    <t xml:space="preserve">Membrane</t>
  </si>
  <si>
    <t xml:space="preserve">Q-Max</t>
  </si>
  <si>
    <t xml:space="preserve">SSD</t>
  </si>
  <si>
    <t xml:space="preserve">9501186</t>
  </si>
  <si>
    <t xml:space="preserve">Adam LNG</t>
  </si>
  <si>
    <t xml:space="preserve">Asyad Shipping</t>
  </si>
  <si>
    <t xml:space="preserve">162000</t>
  </si>
  <si>
    <t xml:space="preserve">Conventional</t>
  </si>
  <si>
    <t xml:space="preserve">DFDE</t>
  </si>
  <si>
    <t xml:space="preserve">9879698</t>
  </si>
  <si>
    <t xml:space="preserve">Adamastos</t>
  </si>
  <si>
    <t xml:space="preserve">Capital Gas</t>
  </si>
  <si>
    <t xml:space="preserve">174000</t>
  </si>
  <si>
    <t xml:space="preserve">X-DF</t>
  </si>
  <si>
    <t xml:space="preserve">9831220</t>
  </si>
  <si>
    <t xml:space="preserve">Adriano Knutsen</t>
  </si>
  <si>
    <t xml:space="preserve">Knutsen OAS</t>
  </si>
  <si>
    <t xml:space="preserve">180000</t>
  </si>
  <si>
    <t xml:space="preserve">ME-GI</t>
  </si>
  <si>
    <t xml:space="preserve">9958286</t>
  </si>
  <si>
    <t xml:space="preserve">Aktoras</t>
  </si>
  <si>
    <t xml:space="preserve">ME-GA</t>
  </si>
  <si>
    <t xml:space="preserve">9338266</t>
  </si>
  <si>
    <t xml:space="preserve">Al Aamriya</t>
  </si>
  <si>
    <t xml:space="preserve">NYK Line, K Line, MOL, lino, Mitsui, Nakilat</t>
  </si>
  <si>
    <t xml:space="preserve">Hanwha Ocean</t>
  </si>
  <si>
    <t xml:space="preserve">216200</t>
  </si>
  <si>
    <t xml:space="preserve">Q-Flex</t>
  </si>
  <si>
    <t xml:space="preserve">9325697</t>
  </si>
  <si>
    <t xml:space="preserve">Al Areesh</t>
  </si>
  <si>
    <t xml:space="preserve">Seapeak</t>
  </si>
  <si>
    <t xml:space="preserve">151700</t>
  </si>
  <si>
    <t xml:space="preserve">Steam</t>
  </si>
  <si>
    <t xml:space="preserve">9431147</t>
  </si>
  <si>
    <t xml:space="preserve">Al Bahiya</t>
  </si>
  <si>
    <t xml:space="preserve">210100</t>
  </si>
  <si>
    <t xml:space="preserve">9132741</t>
  </si>
  <si>
    <t xml:space="preserve">Al Bidda</t>
  </si>
  <si>
    <t xml:space="preserve">J4 Consortium</t>
  </si>
  <si>
    <t xml:space="preserve">Kawasaki</t>
  </si>
  <si>
    <t xml:space="preserve">137300</t>
  </si>
  <si>
    <t xml:space="preserve">Spherical</t>
  </si>
  <si>
    <t xml:space="preserve">9325702</t>
  </si>
  <si>
    <t xml:space="preserve">Al Daayen</t>
  </si>
  <si>
    <t xml:space="preserve">9443683</t>
  </si>
  <si>
    <t xml:space="preserve">Al Dafna</t>
  </si>
  <si>
    <t xml:space="preserve">Samsung</t>
  </si>
  <si>
    <t xml:space="preserve">266400</t>
  </si>
  <si>
    <t xml:space="preserve">9307176</t>
  </si>
  <si>
    <t xml:space="preserve">Al Deebel</t>
  </si>
  <si>
    <t xml:space="preserve">MOL, NYK Line, K Line</t>
  </si>
  <si>
    <t xml:space="preserve">145700</t>
  </si>
  <si>
    <t xml:space="preserve">9337705</t>
  </si>
  <si>
    <t xml:space="preserve">Al Gattara</t>
  </si>
  <si>
    <t xml:space="preserve">Nakilat, Asyad Shipping</t>
  </si>
  <si>
    <t xml:space="preserve">9337987</t>
  </si>
  <si>
    <t xml:space="preserve">Al Ghariya</t>
  </si>
  <si>
    <t xml:space="preserve">Commerz Real, Nakilat, PRONAV</t>
  </si>
  <si>
    <t xml:space="preserve">210200</t>
  </si>
  <si>
    <t xml:space="preserve">9337717</t>
  </si>
  <si>
    <t xml:space="preserve">Al Gharrafa</t>
  </si>
  <si>
    <t xml:space="preserve">9397286</t>
  </si>
  <si>
    <t xml:space="preserve">Al Ghashamiya</t>
  </si>
  <si>
    <t xml:space="preserve">217600</t>
  </si>
  <si>
    <t xml:space="preserve">9372743</t>
  </si>
  <si>
    <t xml:space="preserve">Al Ghuwairiya</t>
  </si>
  <si>
    <t xml:space="preserve">263300</t>
  </si>
  <si>
    <t xml:space="preserve">9337743</t>
  </si>
  <si>
    <t xml:space="preserve">Al Hamla</t>
  </si>
  <si>
    <t xml:space="preserve">9074640</t>
  </si>
  <si>
    <t xml:space="preserve">Al Hamra</t>
  </si>
  <si>
    <t xml:space="preserve">National Gas Shipping Co</t>
  </si>
  <si>
    <t xml:space="preserve">Kvaerner Masa</t>
  </si>
  <si>
    <t xml:space="preserve">135000</t>
  </si>
  <si>
    <t xml:space="preserve">9360879</t>
  </si>
  <si>
    <t xml:space="preserve">Al Huwaila</t>
  </si>
  <si>
    <t xml:space="preserve">Nakilat, Seapeak</t>
  </si>
  <si>
    <t xml:space="preserve">217000</t>
  </si>
  <si>
    <t xml:space="preserve">9132791</t>
  </si>
  <si>
    <t xml:space="preserve">Al Jasra</t>
  </si>
  <si>
    <t xml:space="preserve">Mitsubishi</t>
  </si>
  <si>
    <t xml:space="preserve">137200</t>
  </si>
  <si>
    <t xml:space="preserve">9324435</t>
  </si>
  <si>
    <t xml:space="preserve">Al Jassasiya</t>
  </si>
  <si>
    <t xml:space="preserve">Maran Gas Maritime, Nakilat</t>
  </si>
  <si>
    <t xml:space="preserve">9431123</t>
  </si>
  <si>
    <t xml:space="preserve">Al Karaana</t>
  </si>
  <si>
    <t xml:space="preserve">9397327</t>
  </si>
  <si>
    <t xml:space="preserve">Al Kharaitiyat</t>
  </si>
  <si>
    <t xml:space="preserve">216300</t>
  </si>
  <si>
    <t xml:space="preserve">9360881</t>
  </si>
  <si>
    <t xml:space="preserve">Al Kharsaah</t>
  </si>
  <si>
    <t xml:space="preserve">9431111</t>
  </si>
  <si>
    <t xml:space="preserve">Al Khattiya</t>
  </si>
  <si>
    <t xml:space="preserve">9085613</t>
  </si>
  <si>
    <t xml:space="preserve">Al Khor</t>
  </si>
  <si>
    <t xml:space="preserve">137400</t>
  </si>
  <si>
    <t xml:space="preserve">9360908</t>
  </si>
  <si>
    <t xml:space="preserve">Al Khuwair</t>
  </si>
  <si>
    <t xml:space="preserve">9397315</t>
  </si>
  <si>
    <t xml:space="preserve">Al Mafyar</t>
  </si>
  <si>
    <t xml:space="preserve">9325685</t>
  </si>
  <si>
    <t xml:space="preserve">Al Marrouna</t>
  </si>
  <si>
    <t xml:space="preserve">152600</t>
  </si>
  <si>
    <t xml:space="preserve">9397298</t>
  </si>
  <si>
    <t xml:space="preserve">Al Mayeda</t>
  </si>
  <si>
    <t xml:space="preserve">9431135</t>
  </si>
  <si>
    <t xml:space="preserve">Al Nuaman</t>
  </si>
  <si>
    <t xml:space="preserve">9360790</t>
  </si>
  <si>
    <t xml:space="preserve">Al Oraiq</t>
  </si>
  <si>
    <t xml:space="preserve">9976812</t>
  </si>
  <si>
    <t xml:space="preserve">Al Qaiyyah</t>
  </si>
  <si>
    <t xml:space="preserve">K3 Consortium</t>
  </si>
  <si>
    <t xml:space="preserve">Samsung Heavy Industries</t>
  </si>
  <si>
    <t xml:space="preserve">9086734</t>
  </si>
  <si>
    <t xml:space="preserve">Al Rayyan</t>
  </si>
  <si>
    <t xml:space="preserve">9397339</t>
  </si>
  <si>
    <t xml:space="preserve">Al Rekayyat</t>
  </si>
  <si>
    <t xml:space="preserve">9337951</t>
  </si>
  <si>
    <t xml:space="preserve">Al Ruwais</t>
  </si>
  <si>
    <t xml:space="preserve">Capacity added (Mtpa)</t>
  </si>
  <si>
    <t xml:space="preserve">Pre-2010 baseline (online before Jan 2010)</t>
  </si>
  <si>
    <t xml:space="preserve">No start year in source; small-scale aggregate, placed at series start</t>
  </si>
  <si>
    <t xml:space="preserve">First LNG Dec 2014 (IGU lists 2015) [first-LNG 2014-12 vs IGU 2015]</t>
  </si>
  <si>
    <t xml:space="preserve">First LNG 11 Dec 2015 (IGU lists 2016) [first-LNG 2015-12 vs IGU 2016]</t>
  </si>
  <si>
    <t xml:space="preserve">First LNG 5 Dec 2016 (IGU lists 2017) [first-LNG 2016-12 vs IGU 2017]</t>
  </si>
  <si>
    <t xml:space="preserve">First LNG 16 Nov 2018 (IGU lists 2019) [first-LNG 2018-11 vs IGU 2019]</t>
  </si>
  <si>
    <t xml:space="preserve">First commissioning cargo Nov 2018 (IGU lists 2019) [first-LNG 2018-11 vs IGU 2019]</t>
  </si>
  <si>
    <t xml:space="preserve">Modular ramp (10 MMLS units) — researched monthly</t>
  </si>
  <si>
    <t xml:space="preserve">Train 2 first LNG Dec 2019 (IGU lists 2020) [first-LNG 2019-12 vs IGU 2020]</t>
  </si>
  <si>
    <t xml:space="preserve">Train 2 first prod Dec 2019 (IGU lists 2020) [first-LNG 2019-12 vs IGU 2020]</t>
  </si>
  <si>
    <t xml:space="preserve">First LNG ~Nov 2020; first cargo Dec 2020 (IGU lists 2021) [first-LNG 2020-11 vs IGU 2021]</t>
  </si>
  <si>
    <t xml:space="preserve">Train 6 first LNG Nov 2021 (IGU lists 2022) [first-LNG 2021-11 vs IGU 2022]</t>
  </si>
  <si>
    <t xml:space="preserve">Modular ramp (18 blocks) — researched monthly</t>
  </si>
  <si>
    <t xml:space="preserve">Initial startup ~Dec 2023/Jan 2024; on-off due to sanctions (IGU lists 2025) [first-LNG 2024-01 vs IGU 2025]</t>
  </si>
  <si>
    <t xml:space="preserve">Stage 3 midscale trains ramp — researched monthly</t>
  </si>
  <si>
    <t xml:space="preserve">Modular ramp (36 trains) — researched monthly</t>
  </si>
  <si>
    <t xml:space="preserve">Train 2 — first production Nov 2025, ramps through 2026 (IEA 2026 addition)</t>
  </si>
  <si>
    <t xml:space="preserve">Eni Nguya FLNG (Congo LNG Phase 2) — first cargo late-Feb 2026 [may be missing from IEA tracker]</t>
  </si>
  <si>
    <t xml:space="preserve">Stage 3 Train 5 — substantial completion Mar 2026</t>
  </si>
  <si>
    <t xml:space="preserve">Golden Pass Train 1 (QatarEnergy/ExxonMobil) — first LNG Mar 2026, first cargo 22 Apr 2026 [new terminal]</t>
  </si>
  <si>
    <t xml:space="preserve">Stage 3 Train 6 — first LNG ~Apr 2026</t>
  </si>
  <si>
    <t xml:space="preserve">Sempra ECA LNG (Pacific Mexico) — first LNG Jun 2026 [new terminal]</t>
  </si>
  <si>
    <t xml:space="preserve">North Field East Train 1 (QatarEnergy) — first of four 8-Mtpa mega-trains, ~3Q 2026 (slippage risk)</t>
  </si>
  <si>
    <t xml:space="preserve">Golden Pass Train 2 — startup ~2H 2026</t>
  </si>
  <si>
    <t xml:space="preserve">Pluto Train 2 / Scarborough (Woodside) — first cargo ~Q4 2026</t>
  </si>
  <si>
    <t xml:space="preserve">Stage 3 Train 7 — SC expected end-2026</t>
  </si>
  <si>
    <t xml:space="preserve">Type</t>
  </si>
  <si>
    <t xml:space="preserve">Start</t>
  </si>
  <si>
    <t xml:space="preserve">StartKey</t>
  </si>
  <si>
    <t xml:space="preserve">End</t>
  </si>
  <si>
    <t xml:space="preserve">EndKey</t>
  </si>
  <si>
    <t xml:space="preserve">Est. Mtpa offline</t>
  </si>
  <si>
    <t xml:space="preserve">Cause</t>
  </si>
  <si>
    <t xml:space="preserve">Notes (estimation basis)</t>
  </si>
  <si>
    <t xml:space="preserve">Feedgas/structural</t>
  </si>
  <si>
    <t xml:space="preserve">L</t>
  </si>
  <si>
    <t xml:space="preserve">Structural feedgas decline (field depletion)</t>
  </si>
  <si>
    <t xml:space="preserve">Chronic underutilization of ~17 Mtpa complex; rough estimate, not a discrete outage [carried forward through 2026]</t>
  </si>
  <si>
    <t xml:space="preserve">https://www.gem.wiki/Bontang_LNG_Terminal</t>
  </si>
  <si>
    <t xml:space="preserve">M</t>
  </si>
  <si>
    <t xml:space="preserve">Idled — feedgas diverted to domestic market</t>
  </si>
  <si>
    <t xml:space="preserve">~5 Mtpa idle from ~2012/13; restart Feb 2021</t>
  </si>
  <si>
    <t xml:space="preserve">https://www.eni.com/en-IT/media/press-release/2021/03/eni-closes-agreement-partners-restart-damietta-liquefied-natural-gas-plant-egypt.html</t>
  </si>
  <si>
    <t xml:space="preserve">Chronic feedgas shortfall / pipeline vandalism</t>
  </si>
  <si>
    <t xml:space="preserve">Ran below nameplate; magnitude estimated</t>
  </si>
  <si>
    <t xml:space="preserve">https://www.naturalgasintel.com/news/nigerias-lng-output-still-weak-despite-europes-thirst-for-spot-supplies/</t>
  </si>
  <si>
    <t xml:space="preserve">Domestic gas shortage — exports near zero</t>
  </si>
  <si>
    <t xml:space="preserve">~7.2 Mtpa plant largely idle; magnitude estimated</t>
  </si>
  <si>
    <t xml:space="preserve">https://www.gem.wiki/Egyptian_LNG_Terminal</t>
  </si>
  <si>
    <t xml:space="preserve">Technical</t>
  </si>
  <si>
    <t xml:space="preserve">H</t>
  </si>
  <si>
    <t xml:space="preserve">Pipeline/technical failure — full shutdown</t>
  </si>
  <si>
    <t xml:space="preserve">Offline ~2 yrs; first post-shutdown cargo Jun 2016</t>
  </si>
  <si>
    <t xml:space="preserve">https://www.angolalng.com/news/angola-lng-loads-first-cargo-following-shutdown</t>
  </si>
  <si>
    <t xml:space="preserve">War/conflict</t>
  </si>
  <si>
    <t xml:space="preserve">Civil war — force majeure/security shutdown (NOT sanctions)</t>
  </si>
  <si>
    <t xml:space="preserve">FM Apr 2015; plant essentially offline continuously through 2025 [carried forward through 2026]</t>
  </si>
  <si>
    <t xml:space="preserve">https://www.lngindustry.com/liquefaction/14042015/yemen-lng-halts-production-586/</t>
  </si>
  <si>
    <t xml:space="preserve">Reliability</t>
  </si>
  <si>
    <t xml:space="preserve">Startup teething — propane circuit breakdown</t>
  </si>
  <si>
    <t xml:space="preserve">1 train (~5.2) down &gt;3 months after first cargo; dates approx</t>
  </si>
  <si>
    <t xml:space="preserve">https://www.boilingcold.com.au/gorgons-catastrophic-startup/</t>
  </si>
  <si>
    <t xml:space="preserve">Partial unplanned outage (Friday trip)</t>
  </si>
  <si>
    <t xml:space="preserve">Brief partial; quickly resumed</t>
  </si>
  <si>
    <t xml:space="preserve">https://spglobal.com/platts/en/market-insights/latest-news/natural-gas/111217-australias-north-west-shelf-lng-hit-by-partial-outage-friday-woodside</t>
  </si>
  <si>
    <t xml:space="preserve">Minor unplanned ramp-up trips</t>
  </si>
  <si>
    <t xml:space="preserve">Ran at/above nameplate overall; losses immaterial</t>
  </si>
  <si>
    <t xml:space="preserve">Feb 2020 electrical trip after safety incidents</t>
  </si>
  <si>
    <t xml:space="preserve">Whole unit offline most of 2020; cargoes resumed Jan 2021</t>
  </si>
  <si>
    <t xml:space="preserve">https://www.gem.wiki/Prelude_FLNG_Terminal</t>
  </si>
  <si>
    <t xml:space="preserve">Other</t>
  </si>
  <si>
    <t xml:space="preserve">COVID-19 + domestic gas; reduced cargoes</t>
  </si>
  <si>
    <t xml:space="preserve">Partial reduction, not full halt</t>
  </si>
  <si>
    <t xml:space="preserve">https://www.energyintel.com/0000017b-a7da-de4c-a17b-e7dacb410000</t>
  </si>
  <si>
    <t xml:space="preserve">Propane heat-exchanger weld cracks (T2)</t>
  </si>
  <si>
    <t xml:space="preserve">T2 shut late-May; restart deferred to ~Sep/Oct</t>
  </si>
  <si>
    <t xml:space="preserve">https://www.nsenergybusiness.com/news/gordon-lng-project-train-2-update/</t>
  </si>
  <si>
    <t xml:space="preserve">Fire/explosion</t>
  </si>
  <si>
    <t xml:space="preserve">May 2020 compressor fire (MMLS Unit 2)</t>
  </si>
  <si>
    <t xml:space="preserve">~3 of 10 small units (~0.75 Mtpa) offline into Nov</t>
  </si>
  <si>
    <t xml:space="preserve">https://www.spglobal.com/energy/en/news-research/latest-news/natural-gas/051420-compressor-fire-blamed-for-shutdown-of-three-liquefaction-units-at-elba-lng-terminal</t>
  </si>
  <si>
    <t xml:space="preserve">Weather</t>
  </si>
  <si>
    <t xml:space="preserve">Hurricane Laura (landfall Aug 27)</t>
  </si>
  <si>
    <t xml:space="preserve">~13.5 Mtpa down only last ~5 days of Aug; diluted over month</t>
  </si>
  <si>
    <t xml:space="preserve">https://www.spglobal.com/commodityinsights/en/market-insights/latest-news/natural-gas/100620-cameron-lng-ships-first-cargo-since-hurricane-laura-hit-us-gulf-coast-dispatcher</t>
  </si>
  <si>
    <t xml:space="preserve">Fire 28 Sep 2020</t>
  </si>
  <si>
    <t xml:space="preserve">Full plant offline ~20 months to 2 Jun 2022</t>
  </si>
  <si>
    <t xml:space="preserve">https://www.energyvoice.com/oilandgas/norway/416895/equinor-restarts-hammerfest-lng-plant-after-20-month-shutdown/</t>
  </si>
  <si>
    <t xml:space="preserve">Hurricane Laura power-loss outage</t>
  </si>
  <si>
    <t xml:space="preserve">Full facility offline entire month (grid power out)</t>
  </si>
  <si>
    <t xml:space="preserve">https://pgjonline.com/news/2020/09-september/sempra-says-6-weeks-until-cameron-lng-plant-in-full-service</t>
  </si>
  <si>
    <t xml:space="preserve">Weld-crack inspection/repair (T1)</t>
  </si>
  <si>
    <t xml:space="preserve">~45-90 day window; ~1 train offline</t>
  </si>
  <si>
    <t xml:space="preserve">https://www.boilingcold.com.au/chevron-shutdown-all-gorgon-trains/</t>
  </si>
  <si>
    <t xml:space="preserve">Post-Laura restart</t>
  </si>
  <si>
    <t xml:space="preserve">First cargo Oct 6; ~6-wk ramp; partial-month avg</t>
  </si>
  <si>
    <t xml:space="preserve">Train 1 mothballed (feedgas shortage)</t>
  </si>
  <si>
    <t xml:space="preserve">Train 1 (3.3) offline from Dec 2020; decommission confirmed 2025 [carried forward through 2026]</t>
  </si>
  <si>
    <t xml:space="preserve">https://www.gem.wiki/Atlantic_LNG_Terminal</t>
  </si>
  <si>
    <t xml:space="preserve">Weld-crack inspection/repair (T3)</t>
  </si>
  <si>
    <t xml:space="preserve">~1 train offline Q1 2021</t>
  </si>
  <si>
    <t xml:space="preserve">Pipeline vandalism / feedgas curtailment</t>
  </si>
  <si>
    <t xml:space="preserve">Exports reported down ~20%</t>
  </si>
  <si>
    <t xml:space="preserve">https://businessday.ng/energy/article/nigerias-lng-exports-fall-20-amid-rising-pipeline-attacks/</t>
  </si>
  <si>
    <t xml:space="preserve">Trains 2-4 feedgas shortfall (~30%)</t>
  </si>
  <si>
    <t xml:space="preserve">~12 Mtpa x ~30% shortfall; structural [carried forward through 2026]</t>
  </si>
  <si>
    <t xml:space="preserve">Winter Storm Uri</t>
  </si>
  <si>
    <t xml:space="preserve">~9-13 Mtpa cut at peak ~1 wk mid-Feb; diluted</t>
  </si>
  <si>
    <t xml:space="preserve">https://naturalgasintel.com/news/us-lng-feed-gas-deliveries-fall-off-cliff-as-operators-grapple-with-severe-cold/</t>
  </si>
  <si>
    <t xml:space="preserve">Winter Storm Uri (freeze-offs/power)</t>
  </si>
  <si>
    <t xml:space="preserve">~15-20 Mtpa cut at peak ~1 wk mid-Feb; diluted over month</t>
  </si>
  <si>
    <t xml:space="preserve">Compressor problem — full halt (~3 wks)</t>
  </si>
  <si>
    <t xml:space="preserve">Sub-month full outage; restart end-May</t>
  </si>
  <si>
    <t xml:space="preserve">https://newsbase.com/story/peru-lng-halts-production-citing-compressor-problem-210661</t>
  </si>
  <si>
    <t xml:space="preserve">Gas leak precautionary trip (T1)</t>
  </si>
  <si>
    <t xml:space="preserve">Brief; days not weeks</t>
  </si>
  <si>
    <t xml:space="preserve">https://www.spglobal.com/energy/en/news-research/latest-news/lng/111721-australias-gorgon-lng-train-1-shut-due-to-gas-leak</t>
  </si>
  <si>
    <t xml:space="preserve">Fire following power outage</t>
  </si>
  <si>
    <t xml:space="preserve">Down Dec 2021; resumed ~Apr 2022</t>
  </si>
  <si>
    <t xml:space="preserve">Strike</t>
  </si>
  <si>
    <t xml:space="preserve">Industrial action (pay dispute) — ACTUAL loss</t>
  </si>
  <si>
    <t xml:space="preserve">Shipments halted 10 Jun; restart ~19 Sep</t>
  </si>
  <si>
    <t xml:space="preserve">https://www.rigzone.com/news/prelude_lng_shipments_disrupted_until_midjuly_over_pay_spat-29-jun-2022-169508-article/</t>
  </si>
  <si>
    <t xml:space="preserve">June 8 2022 explosion &amp; fire</t>
  </si>
  <si>
    <t xml:space="preserve">All 3 trains (~15 Mtpa) fully offline; phased restart began Feb 2023</t>
  </si>
  <si>
    <t xml:space="preserve">https://www.rigzone.com/news/freeport_lng_gets_go_ahead_to_restart_final_train-10-mar-2023-172260-article/</t>
  </si>
  <si>
    <t xml:space="preserve">Summer domestic demand — exports fully halted</t>
  </si>
  <si>
    <t xml:space="preserve">No exports Jul/Aug 2022</t>
  </si>
  <si>
    <t xml:space="preserve">https://www.mees.com/2022/7/8/oil-gas/egypts-idku-to-shutter-for-july-august-on-gas-shortages/ecf97930-feb5-11ec-9992-ef71b7f17700</t>
  </si>
  <si>
    <t xml:space="preserve">2022 ownership transfer transition</t>
  </si>
  <si>
    <t xml:space="preserve">Actual output held ~10-11 Mt; negligible real offline</t>
  </si>
  <si>
    <t xml:space="preserve">https://www.gem.wiki/Sakhalin_II_LNG_Terminal</t>
  </si>
  <si>
    <t xml:space="preserve">Power-island/HRSG failures; repeated block trips</t>
  </si>
  <si>
    <t xml:space="preserve">Chronic partial derates vs ~10 Mtpa nameplate during extended commissioning</t>
  </si>
  <si>
    <t xml:space="preserve">https://ieefa.org/sites/default/files/2023-10/Calcasieu%20Pass%20LNG%20Unreliable%20Operations%20Excessive%20Pollution%20and%20Profits_October%202023.pdf</t>
  </si>
  <si>
    <t xml:space="preserve">SSGP feedgas: pipeline leak then chronic decline (FM)</t>
  </si>
  <si>
    <t xml:space="preserve">FM 10 Oct 2022 to 1 Nov 2024; partial curtailment of MLNG Dua</t>
  </si>
  <si>
    <t xml:space="preserve">https://www.petronas.com/media/media-releases/petronas-lifts-force-majeure-gas-supply-mlng-dua</t>
  </si>
  <si>
    <t xml:space="preserve">Oct-2022 flooding force majeure</t>
  </si>
  <si>
    <t xml:space="preserve">FM 17 Oct 2022; output below 50% of capacity</t>
  </si>
  <si>
    <t xml:space="preserve">https://www.hellenicshippingnews.com/nigeria-lng-remains-under-force-majeure-as-output-dips-below-50-of-capacity-operator/</t>
  </si>
  <si>
    <t xml:space="preserve">Small fire</t>
  </si>
  <si>
    <t xml:space="preserve">Halted Dec 2022; resumed Jan 2023</t>
  </si>
  <si>
    <t xml:space="preserve">https://www.offshore-energy.biz/shell-closes-prelude-flng-after-fire/</t>
  </si>
  <si>
    <t xml:space="preserve">Winter Storm Elliott</t>
  </si>
  <si>
    <t xml:space="preserve">Brief freeze-off; diluted</t>
  </si>
  <si>
    <t xml:space="preserve">https://rbnenergy.com/daily-posts/analyst-insight/winter-storm-temporarily-slashes-us-lng-feedgas-demand</t>
  </si>
  <si>
    <t xml:space="preserve">Winter Storm Elliott (Dec 23-26)</t>
  </si>
  <si>
    <t xml:space="preserve">Brief freeze-off/feedgas curtailment; diluted over month</t>
  </si>
  <si>
    <t xml:space="preserve">Domestic shortage — intermittent export halts</t>
  </si>
  <si>
    <t xml:space="preserve">Exports restarted Oct 2023; magnitude estimated</t>
  </si>
  <si>
    <t xml:space="preserve">https://www.mees.com/2023/10/6/news-in-brief/egypt-lng-exports-restart-the-end-of-blackouts/3d550820-6453-11ee-81ee-3f4b55b60daf</t>
  </si>
  <si>
    <t xml:space="preserve">Alba field feedgas decline</t>
  </si>
  <si>
    <t xml:space="preserve">3.7 Mtpa plant under-fed from ~2023; magnitude estimated [carried forward through 2026]</t>
  </si>
  <si>
    <t xml:space="preserve">https://www.gem.wiki/Equatorial_Guinea</t>
  </si>
  <si>
    <t xml:space="preserve">Phased restart after fire</t>
  </si>
  <si>
    <t xml:space="preserve">Production resumed ~Feb 11, Train 1 ~Feb 21; partial-month avg</t>
  </si>
  <si>
    <t xml:space="preserve">Continued ramp after fire</t>
  </si>
  <si>
    <t xml:space="preserve">Trains 2&amp;3 near full early Mar; Train 1 re-approved Mar 10</t>
  </si>
  <si>
    <t xml:space="preserve">https://maritime-executive.com/article/freeport-lng-expects-december-restart-after-cause-of-explosion-report</t>
  </si>
  <si>
    <t xml:space="preserve">Continued FM / partial recovery</t>
  </si>
  <si>
    <t xml:space="preserve">FM still active into Nov 2023; magnitude estimated</t>
  </si>
  <si>
    <t xml:space="preserve">https://nairametrics.com/2023/11/08/nlng-force-majeure-still-active-after-a-year/</t>
  </si>
  <si>
    <t xml:space="preserve">Final ramp to 3-train output</t>
  </si>
  <si>
    <t xml:space="preserve">~Back to ~15 Mtpa by end Apr 2023</t>
  </si>
  <si>
    <t xml:space="preserve">https://environenergy.com/2023/03/a-look-at-freeport-lngs-efforts-to-get-back-online-after-accident/</t>
  </si>
  <si>
    <t xml:space="preserve">Reduced-rate running (equipment/power)</t>
  </si>
  <si>
    <t xml:space="preserve">"Producing at reduced rate"; magnitude/dates uncertain</t>
  </si>
  <si>
    <t xml:space="preserve">https://lngprime.com/lng-terminals/inpex-says-ichthys-lng-production-temporarily-reduced/148160/</t>
  </si>
  <si>
    <t xml:space="preserve">Protected industrial action (strikes)</t>
  </si>
  <si>
    <t xml:space="preserve">Documented but actual output NOT materially affected — threat only</t>
  </si>
  <si>
    <t xml:space="preserve">https://spglobal.com/commodity-insights/en/news-research/latest-news/lng/091423-no-impact-on-gorgon-wheatstone-lng-output-in-australia-despite-strikes-sources</t>
  </si>
  <si>
    <t xml:space="preserve">Turbine trip (technical, not strike)</t>
  </si>
  <si>
    <t xml:space="preserve">1 train to ~50% for days; concurrent with strike period</t>
  </si>
  <si>
    <t xml:space="preserve">Gas leak during maintenance (brief)</t>
  </si>
  <si>
    <t xml:space="preserve">Peak full trip ~days; month-avg small</t>
  </si>
  <si>
    <t xml:space="preserve">https://www.havtil.no/en/supervision/investigation-reports/2024/equinor--hammerfest-lng--investigation-of-gas-leak/</t>
  </si>
  <si>
    <t xml:space="preserve">Summer domestic demand — exports halted</t>
  </si>
  <si>
    <t xml:space="preserve">Egypt halted LNG exports summer 2024</t>
  </si>
  <si>
    <t xml:space="preserve">https://www.naturalgasintel.com/news/egypt-again-halts-lng-exports-to-meet-domestic-demand-this-summer/</t>
  </si>
  <si>
    <t xml:space="preserve">Train 2 "glitch"</t>
  </si>
  <si>
    <t xml:space="preserve">Shut 20 Jul, restart 28 Jul; plant ~50% on T1</t>
  </si>
  <si>
    <t xml:space="preserve">https://www.spglobal.com/commodity-insights/en/news-research/latest-news/lng/082724-australias-ichthys-lng-to-resume-full-runs-in-oct-after-restarting-train-2-inpex</t>
  </si>
  <si>
    <t xml:space="preserve">Hurricane Beryl (Jul 8) shutdown</t>
  </si>
  <si>
    <t xml:space="preserve">All trains down early Jul; partial restart mid-Jul; month avg</t>
  </si>
  <si>
    <t xml:space="preserve">https://www.worldoil.com/news/2024/7/25/texas-freeport-lng-hub-to-restart-three-production-trains-in-early-august-following-hurricane-beryl/</t>
  </si>
  <si>
    <t xml:space="preserve">Train 2 recurring cooling/heat-exchanger fault</t>
  </si>
  <si>
    <t xml:space="preserve">Shut 20 Aug; full ops ~Oct/Nov; ~50% plant meanwhile</t>
  </si>
  <si>
    <t xml:space="preserve">https://pgjonline.com/news/2024/october/inpex-ichthys-lng-train-2-restarts-train-1-to-reach-full-operations-by-november</t>
  </si>
  <si>
    <t xml:space="preserve">Post-Beryl ramp</t>
  </si>
  <si>
    <t xml:space="preserve">3 trains restarted early Aug, ramping</t>
  </si>
  <si>
    <t xml:space="preserve">https://www.worldoil.com/news/2024/7/30/freeport-lng-to-restart-full-operations-following-hurricane-beryl-damage-in-texas/</t>
  </si>
  <si>
    <t xml:space="preserve">Unplanned safe shutdown (under investigation)</t>
  </si>
  <si>
    <t xml:space="preserve">Shut 26 Nov; single-train plant offline</t>
  </si>
  <si>
    <t xml:space="preserve">https://www.worldenergynews.com/news/woodside-energy-closes-pluto-lng-due-unplanned-755075</t>
  </si>
  <si>
    <t xml:space="preserve">Train 3 trip (instrumentation/actuator leak)</t>
  </si>
  <si>
    <t xml:space="preserve">T3 (3.8) offline ~16-25 Nov; month-avg ~2</t>
  </si>
  <si>
    <t xml:space="preserve">https://gasprocessingnews.com/news/2024/11/indonesia-regulator-confirms-disruption-at-bps-tangguh-lng-project/</t>
  </si>
  <si>
    <t xml:space="preserve">Compressor failure (~1 wk)</t>
  </si>
  <si>
    <t xml:space="preserve">Idled to ~9 Jan 2025; month-avg small</t>
  </si>
  <si>
    <t xml:space="preserve">https://www.oedigital.com/news/520730-compressor-failure-shuts-down-equinor-s-hammerfest-lng-plant</t>
  </si>
  <si>
    <t xml:space="preserve">Boiler problem (minor)</t>
  </si>
  <si>
    <t xml:space="preserve">Off-takers said supply little affected</t>
  </si>
  <si>
    <t xml:space="preserve">https://www.gasprocessingnews.com/news/2025/04/update-petronas-lng-units-repairing-output-interruptions-at-bintulu-site/</t>
  </si>
  <si>
    <t xml:space="preserve">Tropical cyclone — one of three trains tripped</t>
  </si>
  <si>
    <t xml:space="preserve">~1 train (~5.2) down ~Mar 27-29; brief; diluted</t>
  </si>
  <si>
    <t xml:space="preserve">https://lngprime.com/lng-terminals/chevron-says-all-gorgon-lng-trains-operating-wheatstone-damaged/181665/</t>
  </si>
  <si>
    <t xml:space="preserve">Tropical cyclone — Karratha Gas Plant weather shutdown</t>
  </si>
  <si>
    <t xml:space="preserve">Halted ~Mar 27, restarted ~Apr 1 (~1 wk); peak ~14.3; diluted</t>
  </si>
  <si>
    <t xml:space="preserve">https://www.bloomberg.com/news/articles/2026-04-01/woodside-says-north-west-shelf-back-online-after-cyclone-impact</t>
  </si>
  <si>
    <t xml:space="preserve">Cat-3 tropical cyclone (late Mar 2026) — plant + offshore platform damage</t>
  </si>
  <si>
    <t xml:space="preserve">Landfall ~Mar 27; peak ~8.9 full plant for days; diluted over month</t>
  </si>
  <si>
    <t xml:space="preserve">https://www.icis.com/explore/resources/news/2026/03/29/11193121/chevron-says-wheatstone-lng-could-be-offline-for-weeks-woodside-working-on-nws-lng/</t>
  </si>
  <si>
    <t xml:space="preserve">Missile strikes destroyed 2 trains (T4 &amp; T6) ~Mar 18 2026; FM declared Mar 25</t>
  </si>
  <si>
    <t xml:space="preserve">~17% of Qatar ~77 Mtpa; destroyed trains out for years (repair est. 3-5 yrs); still offline mid-2026</t>
  </si>
  <si>
    <t xml:space="preserve">https://www.thenationalnews.com/business/energy/2026/04/09/months-expected-until-qatars-ras-laffan-lng-site-resumes-full-operations/</t>
  </si>
  <si>
    <t xml:space="preserve">Cyclone damage recovery ("weeks to full rates")</t>
  </si>
  <si>
    <t xml:space="preserve">Extended into April per operator; est. avg</t>
  </si>
  <si>
    <t xml:space="preserve">Unplanned — brief Train 1 shutdown / reduced output</t>
  </si>
  <si>
    <t xml:space="preserve">~3 cargoes cancelled early-mid May 2026; root cause unclear (separate from planned Jul turnaround)</t>
  </si>
  <si>
    <t xml:space="preserve">https://pgjonline.com/news/2026/may/freeport-lng-takes-export-train-offline-in-texas</t>
  </si>
</sst>
</file>

<file path=xl/styles.xml><?xml version="1.0" encoding="utf-8"?>
<styleSheet xmlns="http://schemas.openxmlformats.org/spreadsheetml/2006/main">
  <numFmts count="5">
    <numFmt numFmtId="164" formatCode="General"/>
    <numFmt numFmtId="165" formatCode="yyyy\-mm"/>
    <numFmt numFmtId="166" formatCode="0.00"/>
    <numFmt numFmtId="167" formatCode="0.00;;&quot;&quot;"/>
    <numFmt numFmtId="168" formatCode="0"/>
  </numFmts>
  <fonts count="3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rgb="FF595959"/>
      <name val="Arial"/>
      <family val="0"/>
      <charset val="1"/>
    </font>
    <font>
      <b val="true"/>
      <sz val="10"/>
      <name val="Arial"/>
      <family val="0"/>
      <charset val="1"/>
    </font>
    <font>
      <sz val="10"/>
      <name val="Arial"/>
      <family val="0"/>
      <charset val="1"/>
    </font>
    <font>
      <b val="true"/>
      <sz val="10"/>
      <color rgb="FFC00000"/>
      <name val="Arial"/>
      <family val="0"/>
      <charset val="1"/>
    </font>
    <font>
      <i val="true"/>
      <sz val="9"/>
      <color rgb="FF595959"/>
      <name val="Arial"/>
      <family val="0"/>
      <charset val="1"/>
    </font>
    <font>
      <b val="true"/>
      <sz val="9"/>
      <color rgb="FFFFFFFF"/>
      <name val="Arial"/>
      <family val="0"/>
      <charset val="1"/>
    </font>
    <font>
      <sz val="9"/>
      <name val="Arial"/>
      <family val="0"/>
      <charset val="1"/>
    </font>
    <font>
      <sz val="8"/>
      <color rgb="FF808080"/>
      <name val="Arial"/>
      <family val="0"/>
      <charset val="1"/>
    </font>
    <font>
      <b val="true"/>
      <sz val="9"/>
      <name val="Arial"/>
      <family val="0"/>
      <charset val="1"/>
    </font>
    <font>
      <b val="true"/>
      <sz val="8"/>
      <name val="Arial"/>
      <family val="0"/>
      <charset val="1"/>
    </font>
    <font>
      <i val="true"/>
      <sz val="8"/>
      <name val="Arial"/>
      <family val="0"/>
      <charset val="1"/>
    </font>
    <font>
      <sz val="10"/>
      <name val="Arial"/>
      <family val="2"/>
    </font>
    <font>
      <b val="true"/>
      <sz val="10"/>
      <color rgb="FFFFFFFF"/>
      <name val="Arial"/>
      <family val="0"/>
      <charset val="1"/>
    </font>
    <font>
      <b val="true"/>
      <sz val="10"/>
      <color rgb="FF375623"/>
      <name val="Arial"/>
      <family val="0"/>
      <charset val="1"/>
    </font>
    <font>
      <sz val="8"/>
      <color rgb="FF0563C1"/>
      <name val="Arial"/>
      <family val="0"/>
      <charset val="1"/>
    </font>
    <font>
      <b val="true"/>
      <sz val="10"/>
      <color rgb="FFBF8F00"/>
      <name val="Arial"/>
      <family val="0"/>
      <charset val="1"/>
    </font>
    <font>
      <i val="true"/>
      <sz val="9"/>
      <name val="Arial"/>
      <family val="0"/>
      <charset val="1"/>
    </font>
    <font>
      <sz val="8"/>
      <name val="Arial"/>
      <family val="0"/>
      <charset val="1"/>
    </font>
    <font>
      <b val="true"/>
      <sz val="9"/>
      <color rgb="FF566573"/>
      <name val="Arial"/>
      <family val="0"/>
      <charset val="1"/>
    </font>
    <font>
      <b val="true"/>
      <sz val="9"/>
      <color rgb="FFC00000"/>
      <name val="Arial"/>
      <family val="0"/>
      <charset val="1"/>
    </font>
    <font>
      <b val="true"/>
      <sz val="9"/>
      <color rgb="FFBF8F00"/>
      <name val="Arial"/>
      <family val="0"/>
      <charset val="1"/>
    </font>
    <font>
      <b val="true"/>
      <sz val="9"/>
      <color rgb="FFB9770E"/>
      <name val="Arial"/>
      <family val="0"/>
      <charset val="1"/>
    </font>
    <font>
      <b val="true"/>
      <sz val="9"/>
      <color rgb="FF375623"/>
      <name val="Arial"/>
      <family val="0"/>
      <charset val="1"/>
    </font>
    <font>
      <b val="true"/>
      <sz val="9"/>
      <color rgb="FF922B21"/>
      <name val="Arial"/>
      <family val="0"/>
      <charset val="1"/>
    </font>
    <font>
      <b val="true"/>
      <sz val="9"/>
      <color rgb="FFC0392B"/>
      <name val="Arial"/>
      <family val="0"/>
      <charset val="1"/>
    </font>
    <font>
      <b val="true"/>
      <sz val="9"/>
      <color rgb="FF2E86C1"/>
      <name val="Arial"/>
      <family val="0"/>
      <charset val="1"/>
    </font>
    <font>
      <b val="true"/>
      <sz val="9"/>
      <color rgb="FF8E44AD"/>
      <name val="Arial"/>
      <family val="0"/>
      <charset val="1"/>
    </font>
  </fonts>
  <fills count="20">
    <fill>
      <patternFill patternType="none"/>
    </fill>
    <fill>
      <patternFill patternType="gray125"/>
    </fill>
    <fill>
      <patternFill patternType="solid">
        <fgColor rgb="FF7B241C"/>
        <bgColor rgb="FF922B21"/>
      </patternFill>
    </fill>
    <fill>
      <patternFill patternType="solid">
        <fgColor rgb="FFA93226"/>
        <bgColor rgb="FFC0392B"/>
      </patternFill>
    </fill>
    <fill>
      <patternFill patternType="solid">
        <fgColor rgb="FF7D6608"/>
        <bgColor rgb="FF7A4E1E"/>
      </patternFill>
    </fill>
    <fill>
      <patternFill patternType="solid">
        <fgColor rgb="FF1E6B4C"/>
        <bgColor rgb="FF1F6B4C"/>
      </patternFill>
    </fill>
    <fill>
      <patternFill patternType="solid">
        <fgColor rgb="FF5B2C6F"/>
        <bgColor rgb="FF7B241C"/>
      </patternFill>
    </fill>
    <fill>
      <patternFill patternType="solid">
        <fgColor rgb="FF145A6E"/>
        <bgColor rgb="FF1E6B4C"/>
      </patternFill>
    </fill>
    <fill>
      <patternFill patternType="solid">
        <fgColor rgb="FF6E4B1E"/>
        <bgColor rgb="FF7A4E1E"/>
      </patternFill>
    </fill>
    <fill>
      <patternFill patternType="solid">
        <fgColor rgb="FF515A5A"/>
        <bgColor rgb="FF595959"/>
      </patternFill>
    </fill>
    <fill>
      <patternFill patternType="solid">
        <fgColor rgb="FFF2D9D6"/>
        <bgColor rgb="FFFCE4D6"/>
      </patternFill>
    </fill>
    <fill>
      <patternFill patternType="solid">
        <fgColor rgb="FFF7ECEB"/>
        <bgColor rgb="FFEEF2FA"/>
      </patternFill>
    </fill>
    <fill>
      <patternFill patternType="solid">
        <fgColor rgb="FF1F3864"/>
        <bgColor rgb="FF145A6E"/>
      </patternFill>
    </fill>
    <fill>
      <patternFill patternType="solid">
        <fgColor rgb="FF2E5496"/>
        <bgColor rgb="FF145A6E"/>
      </patternFill>
    </fill>
    <fill>
      <patternFill patternType="solid">
        <fgColor rgb="FF1F6B4C"/>
        <bgColor rgb="FF1E6B4C"/>
      </patternFill>
    </fill>
    <fill>
      <patternFill patternType="solid">
        <fgColor rgb="FF7A4E1E"/>
        <bgColor rgb="FF6E4B1E"/>
      </patternFill>
    </fill>
    <fill>
      <patternFill patternType="solid">
        <fgColor rgb="FFD9E1F2"/>
        <bgColor rgb="FFD9D9D9"/>
      </patternFill>
    </fill>
    <fill>
      <patternFill patternType="solid">
        <fgColor rgb="FFEEF2FA"/>
        <bgColor rgb="FFF2F5FB"/>
      </patternFill>
    </fill>
    <fill>
      <patternFill patternType="solid">
        <fgColor rgb="FFF2F5FB"/>
        <bgColor rgb="FFEEF2FA"/>
      </patternFill>
    </fill>
    <fill>
      <patternFill patternType="solid">
        <fgColor rgb="FFFCE4D6"/>
        <bgColor rgb="FFF7ECEB"/>
      </patternFill>
    </fill>
  </fills>
  <borders count="4">
    <border diagonalUp="false" diagonalDown="false">
      <left/>
      <right/>
      <top/>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bottom" textRotation="90" wrapText="tru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6" fontId="13" fillId="10" borderId="0" xfId="0" applyFont="true" applyBorder="false" applyAlignment="true" applyProtection="false">
      <alignment horizontal="center" vertical="center" textRotation="0" wrapText="false" indent="0" shrinkToFit="false"/>
      <protection locked="true" hidden="false"/>
    </xf>
    <xf numFmtId="167" fontId="11" fillId="0" borderId="0" xfId="0" applyFont="true" applyBorder="false" applyAlignment="true" applyProtection="false">
      <alignment horizontal="center" vertical="center" textRotation="0" wrapText="false" indent="0" shrinkToFit="false"/>
      <protection locked="true" hidden="false"/>
    </xf>
    <xf numFmtId="165" fontId="11" fillId="11"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false" applyAlignment="true" applyProtection="false">
      <alignment horizontal="center" vertical="center" textRotation="0" wrapText="false" indent="0" shrinkToFit="false"/>
      <protection locked="true" hidden="false"/>
    </xf>
    <xf numFmtId="167" fontId="11" fillId="11"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0" fillId="12" borderId="0" xfId="0" applyFont="true" applyBorder="true" applyAlignment="true" applyProtection="false">
      <alignment horizontal="center" vertical="center" textRotation="0" wrapText="false" indent="0" shrinkToFit="false"/>
      <protection locked="true" hidden="false"/>
    </xf>
    <xf numFmtId="164" fontId="10" fillId="12" borderId="1" xfId="0" applyFont="true" applyBorder="true" applyAlignment="true" applyProtection="false">
      <alignment horizontal="center" vertical="center" textRotation="0" wrapText="false" indent="0" shrinkToFit="false"/>
      <protection locked="true" hidden="false"/>
    </xf>
    <xf numFmtId="164" fontId="10" fillId="13" borderId="2" xfId="0" applyFont="true" applyBorder="true" applyAlignment="true" applyProtection="false">
      <alignment horizontal="center" vertical="center" textRotation="0" wrapText="false" indent="0" shrinkToFit="false"/>
      <protection locked="true" hidden="false"/>
    </xf>
    <xf numFmtId="164" fontId="10" fillId="14" borderId="1" xfId="0" applyFont="true" applyBorder="true" applyAlignment="true" applyProtection="false">
      <alignment horizontal="center" vertical="center" textRotation="0" wrapText="false" indent="0" shrinkToFit="false"/>
      <protection locked="true" hidden="false"/>
    </xf>
    <xf numFmtId="164" fontId="10" fillId="15" borderId="2"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0" fillId="15" borderId="1" xfId="0" applyFont="true" applyBorder="true" applyAlignment="true" applyProtection="false">
      <alignment horizontal="center" vertical="center" textRotation="0" wrapText="false" indent="0" shrinkToFit="false"/>
      <protection locked="true" hidden="false"/>
    </xf>
    <xf numFmtId="164" fontId="10" fillId="14" borderId="2" xfId="0" applyFont="true" applyBorder="true" applyAlignment="true" applyProtection="false">
      <alignment horizontal="center" vertical="center" textRotation="0" wrapText="false" indent="0" shrinkToFit="false"/>
      <protection locked="true" hidden="false"/>
    </xf>
    <xf numFmtId="164" fontId="10" fillId="12" borderId="2" xfId="0" applyFont="true" applyBorder="true" applyAlignment="true" applyProtection="false">
      <alignment horizontal="center" vertical="center" textRotation="0" wrapText="false" indent="0" shrinkToFit="false"/>
      <protection locked="true" hidden="false"/>
    </xf>
    <xf numFmtId="164" fontId="10" fillId="12" borderId="2" xfId="0" applyFont="true" applyBorder="true" applyAlignment="true" applyProtection="false">
      <alignment horizontal="center" vertical="bottom" textRotation="90" wrapText="true" indent="0" shrinkToFit="false"/>
      <protection locked="true" hidden="false"/>
    </xf>
    <xf numFmtId="166" fontId="13" fillId="16" borderId="0" xfId="0" applyFont="true" applyBorder="false" applyAlignment="true" applyProtection="false">
      <alignment horizontal="center" vertical="center"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xf numFmtId="165" fontId="11" fillId="17" borderId="0" xfId="0" applyFont="true" applyBorder="false" applyAlignment="true" applyProtection="false">
      <alignment horizontal="center" vertical="center" textRotation="0" wrapText="false" indent="0" shrinkToFit="false"/>
      <protection locked="true" hidden="false"/>
    </xf>
    <xf numFmtId="164" fontId="12" fillId="17" borderId="0" xfId="0" applyFont="true" applyBorder="false" applyAlignment="true" applyProtection="false">
      <alignment horizontal="center" vertical="center" textRotation="0" wrapText="false" indent="0" shrinkToFit="false"/>
      <protection locked="true" hidden="false"/>
    </xf>
    <xf numFmtId="166" fontId="11" fillId="17" borderId="0" xfId="0" applyFont="true" applyBorder="false" applyAlignment="true" applyProtection="false">
      <alignment horizontal="center" vertical="center" textRotation="0" wrapText="false" indent="0" shrinkToFit="false"/>
      <protection locked="true" hidden="false"/>
    </xf>
    <xf numFmtId="164" fontId="17" fillId="12"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6" fontId="0" fillId="0" borderId="3" xfId="0" applyFont="fals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7" fillId="18" borderId="3" xfId="0" applyFont="true" applyBorder="true" applyAlignment="true" applyProtection="false">
      <alignment horizontal="center" vertical="center" textRotation="0" wrapText="false" indent="0" shrinkToFit="false"/>
      <protection locked="true" hidden="false"/>
    </xf>
    <xf numFmtId="165" fontId="7" fillId="18" borderId="3" xfId="0" applyFont="true" applyBorder="true" applyAlignment="true" applyProtection="false">
      <alignment horizontal="center" vertical="center" textRotation="0" wrapText="false" indent="0" shrinkToFit="false"/>
      <protection locked="true" hidden="false"/>
    </xf>
    <xf numFmtId="164" fontId="7" fillId="18" borderId="3" xfId="0" applyFont="true" applyBorder="true" applyAlignment="true" applyProtection="false">
      <alignment horizontal="left" vertical="center" textRotation="0" wrapText="false" indent="0" shrinkToFit="false"/>
      <protection locked="true" hidden="false"/>
    </xf>
    <xf numFmtId="166" fontId="7" fillId="18" borderId="3" xfId="0" applyFont="true" applyBorder="true" applyAlignment="true" applyProtection="false">
      <alignment horizontal="center" vertical="center" textRotation="0" wrapText="false" indent="0" shrinkToFit="false"/>
      <protection locked="true" hidden="false"/>
    </xf>
    <xf numFmtId="168" fontId="7" fillId="18" borderId="3" xfId="0" applyFont="true" applyBorder="true" applyAlignment="true" applyProtection="false">
      <alignment horizontal="center" vertical="center" textRotation="0" wrapText="false" indent="0" shrinkToFit="false"/>
      <protection locked="true" hidden="false"/>
    </xf>
    <xf numFmtId="164" fontId="18" fillId="18" borderId="3" xfId="0" applyFont="true" applyBorder="true" applyAlignment="true" applyProtection="false">
      <alignment horizontal="center" vertical="center" textRotation="0" wrapText="false" indent="0" shrinkToFit="false"/>
      <protection locked="true" hidden="false"/>
    </xf>
    <xf numFmtId="164" fontId="7" fillId="18" borderId="3" xfId="0" applyFont="true" applyBorder="true" applyAlignment="true" applyProtection="false">
      <alignment horizontal="left" vertical="center" textRotation="0" wrapText="true" indent="0" shrinkToFit="false"/>
      <protection locked="true" hidden="false"/>
    </xf>
    <xf numFmtId="164" fontId="19" fillId="18" borderId="3" xfId="0" applyFont="true" applyBorder="true" applyAlignment="true" applyProtection="false">
      <alignment horizontal="left"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5" fontId="7" fillId="0" borderId="3" xfId="0" applyFont="tru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0" shrinkToFit="false"/>
      <protection locked="true" hidden="false"/>
    </xf>
    <xf numFmtId="166" fontId="7" fillId="0" borderId="3" xfId="0" applyFont="true" applyBorder="true" applyAlignment="true" applyProtection="false">
      <alignment horizontal="center" vertical="center" textRotation="0" wrapText="false" indent="0" shrinkToFit="false"/>
      <protection locked="true" hidden="false"/>
    </xf>
    <xf numFmtId="168" fontId="7" fillId="0" borderId="3"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4" fontId="19" fillId="0" borderId="3" xfId="0" applyFont="true" applyBorder="true" applyAlignment="true" applyProtection="false">
      <alignment horizontal="left" vertical="center" textRotation="0" wrapText="false" indent="0" shrinkToFit="false"/>
      <protection locked="true" hidden="false"/>
    </xf>
    <xf numFmtId="164" fontId="8" fillId="18" borderId="3" xfId="0" applyFont="true" applyBorder="true" applyAlignment="true" applyProtection="false">
      <alignment horizontal="center" vertical="center" textRotation="0" wrapText="false" indent="0" shrinkToFit="false"/>
      <protection locked="true" hidden="false"/>
    </xf>
    <xf numFmtId="164" fontId="20" fillId="18" borderId="3"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center" vertical="center" textRotation="0" wrapText="false" indent="0" shrinkToFit="false"/>
      <protection locked="true" hidden="false"/>
    </xf>
    <xf numFmtId="164" fontId="7" fillId="19" borderId="3" xfId="0" applyFont="true" applyBorder="true" applyAlignment="true" applyProtection="false">
      <alignment horizontal="center" vertical="center" textRotation="0" wrapText="false" indent="0" shrinkToFit="false"/>
      <protection locked="true" hidden="false"/>
    </xf>
    <xf numFmtId="165" fontId="7" fillId="19" borderId="3" xfId="0" applyFont="true" applyBorder="true" applyAlignment="true" applyProtection="false">
      <alignment horizontal="center" vertical="center" textRotation="0" wrapText="false" indent="0" shrinkToFit="false"/>
      <protection locked="true" hidden="false"/>
    </xf>
    <xf numFmtId="164" fontId="7" fillId="19" borderId="3" xfId="0" applyFont="true" applyBorder="true" applyAlignment="true" applyProtection="false">
      <alignment horizontal="left" vertical="center" textRotation="0" wrapText="false" indent="0" shrinkToFit="false"/>
      <protection locked="true" hidden="false"/>
    </xf>
    <xf numFmtId="166" fontId="7" fillId="19" borderId="3" xfId="0" applyFont="true" applyBorder="true" applyAlignment="true" applyProtection="false">
      <alignment horizontal="center" vertical="center" textRotation="0" wrapText="false" indent="0" shrinkToFit="false"/>
      <protection locked="true" hidden="false"/>
    </xf>
    <xf numFmtId="168" fontId="7" fillId="19" borderId="3" xfId="0" applyFont="true" applyBorder="true" applyAlignment="true" applyProtection="false">
      <alignment horizontal="center" vertical="center" textRotation="0" wrapText="false" indent="0" shrinkToFit="false"/>
      <protection locked="true" hidden="false"/>
    </xf>
    <xf numFmtId="164" fontId="18" fillId="19" borderId="3" xfId="0" applyFont="true" applyBorder="true" applyAlignment="true" applyProtection="false">
      <alignment horizontal="center" vertical="center" textRotation="0" wrapText="false" indent="0" shrinkToFit="false"/>
      <protection locked="true" hidden="false"/>
    </xf>
    <xf numFmtId="164" fontId="7" fillId="19" borderId="3" xfId="0" applyFont="true" applyBorder="true" applyAlignment="true" applyProtection="false">
      <alignment horizontal="left" vertical="center" textRotation="0" wrapText="true" indent="0" shrinkToFit="false"/>
      <protection locked="true" hidden="false"/>
    </xf>
    <xf numFmtId="164" fontId="19" fillId="19" borderId="3" xfId="0" applyFont="true" applyBorder="true" applyAlignment="true" applyProtection="false">
      <alignment horizontal="left"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4" fontId="20" fillId="19" borderId="3"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true" applyAlignment="true" applyProtection="false">
      <alignment horizontal="left" vertical="center" textRotation="0" wrapText="true" indent="0" shrinkToFit="false"/>
      <protection locked="true" hidden="false"/>
    </xf>
    <xf numFmtId="164" fontId="17" fillId="12" borderId="3" xfId="0" applyFont="true" applyBorder="true" applyAlignment="true" applyProtection="false">
      <alignment horizontal="center" vertical="center" textRotation="0" wrapText="false" indent="0" shrinkToFit="false"/>
      <protection locked="true" hidden="false"/>
    </xf>
    <xf numFmtId="164" fontId="17" fillId="12" borderId="3" xfId="0" applyFont="true" applyBorder="true" applyAlignment="true" applyProtection="false">
      <alignment horizontal="center" vertical="bottom" textRotation="0" wrapText="true" indent="0" shrinkToFit="false"/>
      <protection locked="true" hidden="false"/>
    </xf>
    <xf numFmtId="166" fontId="6" fillId="18" borderId="3" xfId="0" applyFont="true" applyBorder="true" applyAlignment="true" applyProtection="false">
      <alignment horizontal="center" vertical="center" textRotation="0" wrapText="false" indent="0" shrinkToFit="false"/>
      <protection locked="true" hidden="false"/>
    </xf>
    <xf numFmtId="166" fontId="6" fillId="0" borderId="3" xfId="0" applyFont="true" applyBorder="true" applyAlignment="true" applyProtection="false">
      <alignment horizontal="center" vertical="center" textRotation="0" wrapText="false" indent="0" shrinkToFit="false"/>
      <protection locked="true" hidden="false"/>
    </xf>
    <xf numFmtId="164" fontId="6" fillId="16" borderId="3" xfId="0" applyFont="true" applyBorder="true" applyAlignment="true" applyProtection="false">
      <alignment horizontal="general" vertical="bottom" textRotation="0" wrapText="false" indent="0" shrinkToFit="false"/>
      <protection locked="true" hidden="false"/>
    </xf>
    <xf numFmtId="164" fontId="0" fillId="16" borderId="3" xfId="0" applyFont="false" applyBorder="true" applyAlignment="true" applyProtection="false">
      <alignment horizontal="general" vertical="bottom" textRotation="0" wrapText="false" indent="0" shrinkToFit="false"/>
      <protection locked="true" hidden="false"/>
    </xf>
    <xf numFmtId="166" fontId="6" fillId="16" borderId="3" xfId="0" applyFont="true" applyBorder="true" applyAlignment="true" applyProtection="false">
      <alignment horizontal="general" vertical="bottom" textRotation="0" wrapText="false" indent="0" shrinkToFit="false"/>
      <protection locked="true" hidden="false"/>
    </xf>
    <xf numFmtId="166" fontId="6" fillId="16" borderId="3" xfId="0" applyFont="true" applyBorder="true" applyAlignment="true" applyProtection="false">
      <alignment horizontal="center" vertical="center" textRotation="0" wrapText="false" indent="0" shrinkToFit="false"/>
      <protection locked="true" hidden="false"/>
    </xf>
    <xf numFmtId="165" fontId="11" fillId="17" borderId="2" xfId="0" applyFont="true" applyBorder="true" applyAlignment="true" applyProtection="false">
      <alignment horizontal="center" vertical="center" textRotation="0" wrapText="false" indent="0" shrinkToFit="false"/>
      <protection locked="true" hidden="false"/>
    </xf>
    <xf numFmtId="164" fontId="11" fillId="17" borderId="2" xfId="0" applyFont="true" applyBorder="true" applyAlignment="true" applyProtection="false">
      <alignment horizontal="center" vertical="center" textRotation="0" wrapText="false" indent="0" shrinkToFit="false"/>
      <protection locked="true" hidden="false"/>
    </xf>
    <xf numFmtId="164" fontId="11" fillId="17" borderId="2" xfId="0" applyFont="true" applyBorder="true" applyAlignment="false" applyProtection="false">
      <alignment horizontal="general" vertical="bottom" textRotation="0" wrapText="false" indent="0" shrinkToFit="false"/>
      <protection locked="true" hidden="false"/>
    </xf>
    <xf numFmtId="166" fontId="11" fillId="17" borderId="2" xfId="0" applyFont="true" applyBorder="true" applyAlignment="true" applyProtection="false">
      <alignment horizontal="center" vertical="center" textRotation="0" wrapText="false" indent="0" shrinkToFit="false"/>
      <protection locked="true" hidden="false"/>
    </xf>
    <xf numFmtId="164" fontId="22" fillId="17" borderId="2" xfId="0" applyFont="true" applyBorder="true" applyAlignment="false" applyProtection="false">
      <alignment horizontal="general" vertical="bottom" textRotation="0" wrapText="false" indent="0" shrinkToFit="false"/>
      <protection locked="true" hidden="false"/>
    </xf>
    <xf numFmtId="165" fontId="11" fillId="0"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4" fontId="22" fillId="0" borderId="2"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3" fillId="11" borderId="2" xfId="0" applyFont="true" applyBorder="true" applyAlignment="false" applyProtection="false">
      <alignment horizontal="general" vertical="bottom" textRotation="0" wrapText="false" indent="0" shrinkToFit="false"/>
      <protection locked="true" hidden="false"/>
    </xf>
    <xf numFmtId="164" fontId="11" fillId="11" borderId="2" xfId="0" applyFont="true" applyBorder="true" applyAlignment="false" applyProtection="false">
      <alignment horizontal="general" vertical="bottom" textRotation="0" wrapText="false" indent="0" shrinkToFit="false"/>
      <protection locked="true" hidden="false"/>
    </xf>
    <xf numFmtId="164" fontId="23" fillId="11" borderId="2" xfId="0" applyFont="true" applyBorder="true" applyAlignment="true" applyProtection="false">
      <alignment horizontal="center" vertical="center" textRotation="0" wrapText="false" indent="0" shrinkToFit="false"/>
      <protection locked="true" hidden="false"/>
    </xf>
    <xf numFmtId="165" fontId="11" fillId="11" borderId="2" xfId="0" applyFont="true" applyBorder="true" applyAlignment="true" applyProtection="false">
      <alignment horizontal="center" vertical="center" textRotation="0" wrapText="false" indent="0" shrinkToFit="false"/>
      <protection locked="true" hidden="false"/>
    </xf>
    <xf numFmtId="164" fontId="11" fillId="11" borderId="2" xfId="0" applyFont="true" applyBorder="true" applyAlignment="true" applyProtection="false">
      <alignment horizontal="center" vertical="center" textRotation="0" wrapText="false" indent="0" shrinkToFit="false"/>
      <protection locked="true" hidden="false"/>
    </xf>
    <xf numFmtId="166" fontId="13" fillId="11" borderId="2" xfId="0" applyFont="true" applyBorder="true" applyAlignment="true" applyProtection="false">
      <alignment horizontal="center" vertical="center" textRotation="0" wrapText="false" indent="0" shrinkToFit="false"/>
      <protection locked="true" hidden="false"/>
    </xf>
    <xf numFmtId="164" fontId="24" fillId="11" borderId="2" xfId="0" applyFont="true" applyBorder="true" applyAlignment="true" applyProtection="false">
      <alignment horizontal="center" vertical="center" textRotation="0" wrapText="false" indent="0" shrinkToFit="false"/>
      <protection locked="true" hidden="false"/>
    </xf>
    <xf numFmtId="164" fontId="11" fillId="11" borderId="2" xfId="0" applyFont="true" applyBorder="true" applyAlignment="true" applyProtection="false">
      <alignment horizontal="left" vertical="center" textRotation="0" wrapText="true" indent="0" shrinkToFit="false"/>
      <protection locked="true" hidden="false"/>
    </xf>
    <xf numFmtId="164" fontId="19" fillId="11"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4" fontId="23" fillId="0" borderId="2" xfId="0" applyFont="true" applyBorder="true" applyAlignment="true" applyProtection="false">
      <alignment horizontal="center" vertical="center" textRotation="0" wrapText="false" indent="0" shrinkToFit="false"/>
      <protection locked="true" hidden="false"/>
    </xf>
    <xf numFmtId="166" fontId="13" fillId="0"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26" fillId="11" borderId="2" xfId="0" applyFont="true" applyBorder="true" applyAlignment="true" applyProtection="false">
      <alignment horizontal="center" vertical="center" textRotation="0" wrapText="false" indent="0" shrinkToFit="false"/>
      <protection locked="true" hidden="false"/>
    </xf>
    <xf numFmtId="164" fontId="27" fillId="11" borderId="2" xfId="0" applyFont="true" applyBorder="true" applyAlignment="true" applyProtection="false">
      <alignment horizontal="center" vertical="center" textRotation="0" wrapText="false" indent="0" shrinkToFit="false"/>
      <protection locked="true" hidden="false"/>
    </xf>
    <xf numFmtId="164" fontId="28" fillId="0" borderId="2" xfId="0" applyFont="true" applyBorder="true" applyAlignment="true" applyProtection="false">
      <alignment horizontal="center" vertical="center" textRotation="0" wrapText="false" indent="0" shrinkToFit="false"/>
      <protection locked="true" hidden="false"/>
    </xf>
    <xf numFmtId="164" fontId="27" fillId="0" borderId="2" xfId="0" applyFont="true" applyBorder="true" applyAlignment="true" applyProtection="false">
      <alignment horizontal="center" vertical="center" textRotation="0" wrapText="false" indent="0" shrinkToFit="false"/>
      <protection locked="true" hidden="false"/>
    </xf>
    <xf numFmtId="164" fontId="25" fillId="11" borderId="2" xfId="0" applyFont="true" applyBorder="true" applyAlignment="true" applyProtection="false">
      <alignment horizontal="center" vertical="center" textRotation="0" wrapText="false" indent="0" shrinkToFit="false"/>
      <protection locked="true" hidden="false"/>
    </xf>
    <xf numFmtId="164" fontId="26" fillId="0"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29" fillId="11" borderId="2" xfId="0" applyFont="true" applyBorder="true" applyAlignment="true" applyProtection="false">
      <alignment horizontal="center" vertical="center" textRotation="0" wrapText="false" indent="0" shrinkToFit="false"/>
      <protection locked="true" hidden="false"/>
    </xf>
    <xf numFmtId="164" fontId="30" fillId="0" borderId="2" xfId="0" applyFont="true" applyBorder="true" applyAlignment="true" applyProtection="false">
      <alignment horizontal="center" vertical="center" textRotation="0" wrapText="false" indent="0" shrinkToFit="false"/>
      <protection locked="true" hidden="false"/>
    </xf>
    <xf numFmtId="164" fontId="30" fillId="11" borderId="2" xfId="0" applyFont="true" applyBorder="true" applyAlignment="true" applyProtection="false">
      <alignment horizontal="center" vertical="center" textRotation="0" wrapText="false" indent="0" shrinkToFit="false"/>
      <protection locked="true" hidden="false"/>
    </xf>
    <xf numFmtId="164" fontId="31" fillId="0" borderId="2" xfId="0" applyFont="true" applyBorder="true" applyAlignment="true" applyProtection="false">
      <alignment horizontal="center" vertical="center" textRotation="0" wrapText="false" indent="0" shrinkToFit="false"/>
      <protection locked="true" hidden="false"/>
    </xf>
    <xf numFmtId="164" fontId="29" fillId="0" borderId="2" xfId="0" applyFont="true" applyBorder="true" applyAlignment="true" applyProtection="false">
      <alignment horizontal="center" vertical="center" textRotation="0" wrapText="false" indent="0" shrinkToFit="false"/>
      <protection locked="true" hidden="false"/>
    </xf>
    <xf numFmtId="164" fontId="31" fillId="11"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fgColor rgb="FFF2F5FB"/>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375623"/>
          <bgColor rgb="FF000000"/>
        </patternFill>
      </fill>
    </dxf>
    <dxf>
      <fill>
        <patternFill patternType="solid">
          <fgColor rgb="FFBF8F00"/>
          <bgColor rgb="FF000000"/>
        </patternFill>
      </fill>
    </dxf>
    <dxf>
      <fill>
        <patternFill patternType="solid">
          <fgColor rgb="FFC00000"/>
          <bgColor rgb="FF000000"/>
        </patternFill>
      </fill>
    </dxf>
    <dxf>
      <fill>
        <patternFill patternType="solid">
          <fgColor rgb="FF0563C1"/>
          <bgColor rgb="FF000000"/>
        </patternFill>
      </fill>
    </dxf>
    <dxf>
      <fill>
        <patternFill patternType="solid">
          <fgColor rgb="FFEEF2FA"/>
          <bgColor rgb="FF000000"/>
        </patternFill>
      </fill>
    </dxf>
    <dxf>
      <fill>
        <patternFill patternType="solid">
          <fgColor rgb="FF7B241C"/>
          <bgColor rgb="FF000000"/>
        </patternFill>
      </fill>
    </dxf>
    <dxf>
      <fill>
        <patternFill patternType="solid">
          <fgColor rgb="FFF7ECEB"/>
          <bgColor rgb="FF000000"/>
        </patternFill>
      </fill>
    </dxf>
    <dxf>
      <fill>
        <patternFill patternType="solid">
          <fgColor rgb="FF2E86C1"/>
          <bgColor rgb="FF000000"/>
        </patternFill>
      </fill>
    </dxf>
    <dxf>
      <fill>
        <patternFill patternType="solid">
          <fgColor rgb="FF566573"/>
          <bgColor rgb="FF000000"/>
        </patternFill>
      </fill>
    </dxf>
    <dxf>
      <fill>
        <patternFill patternType="solid">
          <fgColor rgb="FF8E44AD"/>
          <bgColor rgb="FF000000"/>
        </patternFill>
      </fill>
    </dxf>
    <dxf>
      <fill>
        <patternFill patternType="solid">
          <fgColor rgb="FF922B21"/>
          <bgColor rgb="FF000000"/>
        </patternFill>
      </fill>
    </dxf>
    <dxf>
      <fill>
        <patternFill patternType="solid">
          <fgColor rgb="FFB9770E"/>
          <bgColor rgb="FF000000"/>
        </patternFill>
      </fill>
    </dxf>
    <dxf>
      <fill>
        <patternFill patternType="solid">
          <fgColor rgb="FFC0392B"/>
          <bgColor rgb="FF000000"/>
        </patternFill>
      </fill>
    </dxf>
  </dxfs>
  <colors>
    <indexedColors>
      <rgbColor rgb="FF000000"/>
      <rgbColor rgb="FFFFFFFF"/>
      <rgbColor rgb="FFC00000"/>
      <rgbColor rgb="FF00FF00"/>
      <rgbColor rgb="FF0000FF"/>
      <rgbColor rgb="FFFFFF00"/>
      <rgbColor rgb="FFFF00FF"/>
      <rgbColor rgb="FF00FFFF"/>
      <rgbColor rgb="FF7B241C"/>
      <rgbColor rgb="FF145A6E"/>
      <rgbColor rgb="FF000080"/>
      <rgbColor rgb="FF7D6608"/>
      <rgbColor rgb="FF7A4E1E"/>
      <rgbColor rgb="FF1E6B4C"/>
      <rgbColor rgb="FFBFBFBF"/>
      <rgbColor rgb="FF808080"/>
      <rgbColor rgb="FF9999FF"/>
      <rgbColor rgb="FFA93226"/>
      <rgbColor rgb="FFF7ECEB"/>
      <rgbColor rgb="FFEEF2FA"/>
      <rgbColor rgb="FF5B2C6F"/>
      <rgbColor rgb="FFFF8080"/>
      <rgbColor rgb="FF0563C1"/>
      <rgbColor rgb="FFD9D9D9"/>
      <rgbColor rgb="FF000080"/>
      <rgbColor rgb="FFFF00FF"/>
      <rgbColor rgb="FFFFFF00"/>
      <rgbColor rgb="FF00FFFF"/>
      <rgbColor rgb="FF800080"/>
      <rgbColor rgb="FFC0392B"/>
      <rgbColor rgb="FF1F6B4C"/>
      <rgbColor rgb="FF0000FF"/>
      <rgbColor rgb="FF00CCFF"/>
      <rgbColor rgb="FFF2F5FB"/>
      <rgbColor rgb="FFD9E1F2"/>
      <rgbColor rgb="FFFCE4D6"/>
      <rgbColor rgb="FF99CCFF"/>
      <rgbColor rgb="FFFF99CC"/>
      <rgbColor rgb="FFCC99FF"/>
      <rgbColor rgb="FFF2D9D6"/>
      <rgbColor rgb="FF2E86C1"/>
      <rgbColor rgb="FF33CCCC"/>
      <rgbColor rgb="FF99CC00"/>
      <rgbColor rgb="FFFFCC00"/>
      <rgbColor rgb="FFBF8F00"/>
      <rgbColor rgb="FFB9770E"/>
      <rgbColor rgb="FF566573"/>
      <rgbColor rgb="FF595959"/>
      <rgbColor rgb="FF1F3864"/>
      <rgbColor rgb="FF515A5A"/>
      <rgbColor rgb="FF003300"/>
      <rgbColor rgb="FF6E4B1E"/>
      <rgbColor rgb="FF922B21"/>
      <rgbColor rgb="FF8E44AD"/>
      <rgbColor rgb="FF2E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10"/>
  </cols>
  <sheetData>
    <row r="1" customFormat="false" ht="19.5" hidden="false" customHeight="true" outlineLevel="0" collapsed="false">
      <c r="B1" s="2" t="s">
        <v>0</v>
      </c>
    </row>
    <row r="2" customFormat="false" ht="15" hidden="false" customHeight="true" outlineLevel="0" collapsed="false">
      <c r="B2" s="3" t="s">
        <v>1</v>
      </c>
    </row>
    <row r="4" customFormat="false" ht="15" hidden="false" customHeight="true" outlineLevel="0" collapsed="false">
      <c r="B4" s="4" t="s">
        <v>2</v>
      </c>
    </row>
    <row r="5" customFormat="false" ht="30" hidden="false" customHeight="true" outlineLevel="0" collapsed="false">
      <c r="B5" s="5" t="s">
        <v>3</v>
      </c>
    </row>
    <row r="7" customFormat="false" ht="15" hidden="false" customHeight="true" outlineLevel="0" collapsed="false">
      <c r="B7" s="4" t="s">
        <v>4</v>
      </c>
    </row>
    <row r="8" customFormat="false" ht="23.25" hidden="false" customHeight="true" outlineLevel="0" collapsed="false">
      <c r="B8" s="5" t="s">
        <v>5</v>
      </c>
    </row>
    <row r="9" customFormat="false" ht="23.25" hidden="false" customHeight="true" outlineLevel="0" collapsed="false">
      <c r="B9" s="5" t="s">
        <v>6</v>
      </c>
    </row>
    <row r="11" customFormat="false" ht="15" hidden="false" customHeight="true" outlineLevel="0" collapsed="false">
      <c r="B11" s="4" t="s">
        <v>7</v>
      </c>
    </row>
    <row r="12" customFormat="false" ht="23.25" hidden="false" customHeight="true" outlineLevel="0" collapsed="false">
      <c r="B12" s="5" t="s">
        <v>8</v>
      </c>
    </row>
    <row r="13" customFormat="false" ht="15" hidden="false" customHeight="true" outlineLevel="0" collapsed="false">
      <c r="B13" s="5" t="s">
        <v>9</v>
      </c>
    </row>
    <row r="14" customFormat="false" ht="23.25" hidden="false" customHeight="true" outlineLevel="0" collapsed="false">
      <c r="B14" s="5" t="s">
        <v>10</v>
      </c>
    </row>
    <row r="15" customFormat="false" ht="23.25" hidden="false" customHeight="true" outlineLevel="0" collapsed="false">
      <c r="B15" s="5" t="s">
        <v>11</v>
      </c>
    </row>
    <row r="17" customFormat="false" ht="15" hidden="false" customHeight="true" outlineLevel="0" collapsed="false">
      <c r="B17" s="4" t="s">
        <v>12</v>
      </c>
    </row>
    <row r="18" customFormat="false" ht="30" hidden="false" customHeight="true" outlineLevel="0" collapsed="false">
      <c r="B18" s="5" t="s">
        <v>13</v>
      </c>
    </row>
    <row r="20" customFormat="false" ht="15" hidden="false" customHeight="true" outlineLevel="0" collapsed="false">
      <c r="B20" s="6" t="s">
        <v>14</v>
      </c>
    </row>
    <row r="21" customFormat="false" ht="43.5" hidden="false" customHeight="true" outlineLevel="0" collapsed="false">
      <c r="B21" s="5" t="s">
        <v>15</v>
      </c>
    </row>
    <row r="23" customFormat="false" ht="15" hidden="false" customHeight="true" outlineLevel="0" collapsed="false">
      <c r="B23" s="5" t="s">
        <v>16</v>
      </c>
    </row>
    <row r="24" customFormat="false" ht="23.25" hidden="false" customHeight="true" outlineLevel="0" collapsed="false">
      <c r="B24" s="5" t="s">
        <v>17</v>
      </c>
    </row>
    <row r="25" customFormat="false" ht="15" hidden="false" customHeight="true" outlineLevel="0" collapsed="false">
      <c r="B25" s="5" t="s">
        <v>18</v>
      </c>
    </row>
    <row r="27" customFormat="false" ht="15" hidden="false" customHeight="true" outlineLevel="0" collapsed="false">
      <c r="B27" s="7"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2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1"/>
    <col collapsed="false" customWidth="true" hidden="false" outlineLevel="0" max="61" min="4" style="0" width="6"/>
  </cols>
  <sheetData>
    <row r="1" customFormat="false" ht="15.75" hidden="false" customHeight="true" outlineLevel="0" collapsed="false">
      <c r="A1" s="8" t="s">
        <v>20</v>
      </c>
      <c r="B1" s="8"/>
      <c r="C1" s="8"/>
      <c r="D1" s="9" t="s">
        <v>21</v>
      </c>
      <c r="E1" s="9"/>
      <c r="F1" s="9"/>
      <c r="G1" s="9"/>
      <c r="H1" s="10" t="s">
        <v>22</v>
      </c>
      <c r="I1" s="11" t="s">
        <v>23</v>
      </c>
      <c r="J1" s="11"/>
      <c r="K1" s="11"/>
      <c r="L1" s="11"/>
      <c r="M1" s="11"/>
      <c r="N1" s="11"/>
      <c r="O1" s="11"/>
      <c r="P1" s="11"/>
      <c r="Q1" s="11"/>
      <c r="R1" s="11"/>
      <c r="S1" s="12" t="s">
        <v>24</v>
      </c>
      <c r="T1" s="13" t="s">
        <v>25</v>
      </c>
      <c r="U1" s="14" t="s">
        <v>26</v>
      </c>
      <c r="V1" s="15" t="s">
        <v>27</v>
      </c>
      <c r="W1" s="16" t="s">
        <v>28</v>
      </c>
      <c r="X1" s="16"/>
      <c r="Y1" s="9" t="s">
        <v>29</v>
      </c>
      <c r="Z1" s="9"/>
      <c r="AA1" s="10" t="s">
        <v>30</v>
      </c>
      <c r="AB1" s="11" t="s">
        <v>31</v>
      </c>
      <c r="AC1" s="11"/>
      <c r="AD1" s="11"/>
      <c r="AE1" s="17" t="s">
        <v>32</v>
      </c>
      <c r="AF1" s="17"/>
      <c r="AG1" s="17"/>
      <c r="AH1" s="13" t="s">
        <v>33</v>
      </c>
      <c r="AI1" s="18" t="s">
        <v>34</v>
      </c>
      <c r="AJ1" s="18"/>
      <c r="AK1" s="15" t="s">
        <v>35</v>
      </c>
      <c r="AL1" s="19" t="s">
        <v>36</v>
      </c>
      <c r="AM1" s="9" t="s">
        <v>37</v>
      </c>
      <c r="AN1" s="9"/>
      <c r="AO1" s="10" t="s">
        <v>38</v>
      </c>
      <c r="AP1" s="20" t="s">
        <v>39</v>
      </c>
      <c r="AQ1" s="12" t="s">
        <v>40</v>
      </c>
      <c r="AR1" s="13" t="s">
        <v>41</v>
      </c>
      <c r="AS1" s="18" t="s">
        <v>42</v>
      </c>
      <c r="AT1" s="18"/>
      <c r="AU1" s="18"/>
      <c r="AV1" s="18"/>
      <c r="AW1" s="18"/>
      <c r="AX1" s="15" t="s">
        <v>43</v>
      </c>
      <c r="AY1" s="19" t="s">
        <v>44</v>
      </c>
      <c r="AZ1" s="9" t="s">
        <v>45</v>
      </c>
      <c r="BA1" s="9"/>
      <c r="BB1" s="9"/>
      <c r="BC1" s="9"/>
      <c r="BD1" s="9"/>
      <c r="BE1" s="9"/>
      <c r="BF1" s="9"/>
      <c r="BG1" s="9"/>
      <c r="BH1" s="9"/>
      <c r="BI1" s="10" t="s">
        <v>46</v>
      </c>
    </row>
    <row r="2" customFormat="false" ht="91.5" hidden="false" customHeight="true" outlineLevel="0" collapsed="false">
      <c r="A2" s="21" t="s">
        <v>47</v>
      </c>
      <c r="B2" s="21" t="s">
        <v>48</v>
      </c>
      <c r="C2" s="21" t="s">
        <v>49</v>
      </c>
      <c r="D2" s="22" t="s">
        <v>50</v>
      </c>
      <c r="E2" s="22" t="s">
        <v>51</v>
      </c>
      <c r="F2" s="22" t="s">
        <v>52</v>
      </c>
      <c r="G2" s="22" t="s">
        <v>53</v>
      </c>
      <c r="H2" s="22" t="s">
        <v>54</v>
      </c>
      <c r="I2" s="22" t="s">
        <v>55</v>
      </c>
      <c r="J2" s="22" t="s">
        <v>56</v>
      </c>
      <c r="K2" s="22" t="s">
        <v>57</v>
      </c>
      <c r="L2" s="22" t="s">
        <v>58</v>
      </c>
      <c r="M2" s="22" t="s">
        <v>59</v>
      </c>
      <c r="N2" s="22" t="s">
        <v>60</v>
      </c>
      <c r="O2" s="22" t="s">
        <v>61</v>
      </c>
      <c r="P2" s="22" t="s">
        <v>62</v>
      </c>
      <c r="Q2" s="22" t="s">
        <v>63</v>
      </c>
      <c r="R2" s="22" t="s">
        <v>64</v>
      </c>
      <c r="S2" s="22" t="s">
        <v>65</v>
      </c>
      <c r="T2" s="22" t="s">
        <v>66</v>
      </c>
      <c r="U2" s="22" t="s">
        <v>67</v>
      </c>
      <c r="V2" s="22" t="s">
        <v>68</v>
      </c>
      <c r="W2" s="22" t="s">
        <v>69</v>
      </c>
      <c r="X2" s="22" t="s">
        <v>70</v>
      </c>
      <c r="Y2" s="22" t="s">
        <v>71</v>
      </c>
      <c r="Z2" s="22" t="s">
        <v>72</v>
      </c>
      <c r="AA2" s="22" t="s">
        <v>73</v>
      </c>
      <c r="AB2" s="22" t="s">
        <v>74</v>
      </c>
      <c r="AC2" s="22" t="s">
        <v>75</v>
      </c>
      <c r="AD2" s="22" t="s">
        <v>76</v>
      </c>
      <c r="AE2" s="22" t="s">
        <v>77</v>
      </c>
      <c r="AF2" s="22" t="s">
        <v>78</v>
      </c>
      <c r="AG2" s="22" t="s">
        <v>79</v>
      </c>
      <c r="AH2" s="22" t="s">
        <v>80</v>
      </c>
      <c r="AI2" s="22" t="s">
        <v>81</v>
      </c>
      <c r="AJ2" s="22" t="s">
        <v>82</v>
      </c>
      <c r="AK2" s="22" t="s">
        <v>83</v>
      </c>
      <c r="AL2" s="22" t="s">
        <v>84</v>
      </c>
      <c r="AM2" s="22" t="s">
        <v>85</v>
      </c>
      <c r="AN2" s="22" t="s">
        <v>86</v>
      </c>
      <c r="AO2" s="22" t="s">
        <v>87</v>
      </c>
      <c r="AP2" s="22" t="s">
        <v>88</v>
      </c>
      <c r="AQ2" s="22" t="s">
        <v>89</v>
      </c>
      <c r="AR2" s="22" t="s">
        <v>90</v>
      </c>
      <c r="AS2" s="22" t="s">
        <v>91</v>
      </c>
      <c r="AT2" s="22" t="s">
        <v>92</v>
      </c>
      <c r="AU2" s="22" t="s">
        <v>93</v>
      </c>
      <c r="AV2" s="22" t="s">
        <v>94</v>
      </c>
      <c r="AW2" s="22" t="s">
        <v>95</v>
      </c>
      <c r="AX2" s="22" t="s">
        <v>96</v>
      </c>
      <c r="AY2" s="22" t="s">
        <v>97</v>
      </c>
      <c r="AZ2" s="22" t="s">
        <v>98</v>
      </c>
      <c r="BA2" s="22" t="s">
        <v>99</v>
      </c>
      <c r="BB2" s="22" t="s">
        <v>100</v>
      </c>
      <c r="BC2" s="22" t="s">
        <v>101</v>
      </c>
      <c r="BD2" s="22" t="s">
        <v>102</v>
      </c>
      <c r="BE2" s="22" t="s">
        <v>103</v>
      </c>
      <c r="BF2" s="22" t="s">
        <v>104</v>
      </c>
      <c r="BG2" s="22" t="s">
        <v>105</v>
      </c>
      <c r="BH2" s="22" t="s">
        <v>106</v>
      </c>
      <c r="BI2" s="22" t="s">
        <v>107</v>
      </c>
    </row>
    <row r="3" customFormat="false" ht="15" hidden="false" customHeight="false" outlineLevel="0" collapsed="false">
      <c r="A3" s="23" t="n">
        <v>40179</v>
      </c>
      <c r="B3" s="24" t="n">
        <v>201001</v>
      </c>
      <c r="C3" s="25" t="n">
        <f aca="false">SUM(D3:BI3)</f>
        <v>8</v>
      </c>
      <c r="D3" s="26" t="n">
        <f aca="false">SUMIFS('Outages (event ledger)'!$H$2:$H$65,'Outages (event ledger)'!$A$2:$A$65,D$2,'Outages (event ledger)'!$E$2:$E$65,"&lt;="&amp;$B3,'Outages (event ledger)'!$G$2:$G$65,"&gt;="&amp;$B3)</f>
        <v>0</v>
      </c>
      <c r="E3" s="26" t="n">
        <f aca="false">SUMIFS('Outages (event ledger)'!$H$2:$H$65,'Outages (event ledger)'!$A$2:$A$65,E$2,'Outages (event ledger)'!$E$2:$E$65,"&lt;="&amp;$B3,'Outages (event ledger)'!$G$2:$G$65,"&gt;="&amp;$B3)</f>
        <v>0</v>
      </c>
      <c r="F3" s="26" t="n">
        <f aca="false">SUMIFS('Outages (event ledger)'!$H$2:$H$65,'Outages (event ledger)'!$A$2:$A$65,F$2,'Outages (event ledger)'!$E$2:$E$65,"&lt;="&amp;$B3,'Outages (event ledger)'!$G$2:$G$65,"&gt;="&amp;$B3)</f>
        <v>0</v>
      </c>
      <c r="G3" s="26" t="n">
        <f aca="false">SUMIFS('Outages (event ledger)'!$H$2:$H$65,'Outages (event ledger)'!$A$2:$A$65,G$2,'Outages (event ledger)'!$E$2:$E$65,"&lt;="&amp;$B3,'Outages (event ledger)'!$G$2:$G$65,"&gt;="&amp;$B3)</f>
        <v>0</v>
      </c>
      <c r="H3" s="26" t="n">
        <f aca="false">SUMIFS('Outages (event ledger)'!$H$2:$H$65,'Outages (event ledger)'!$A$2:$A$65,H$2,'Outages (event ledger)'!$E$2:$E$65,"&lt;="&amp;$B3,'Outages (event ledger)'!$G$2:$G$65,"&gt;="&amp;$B3)</f>
        <v>0</v>
      </c>
      <c r="I3" s="26" t="n">
        <f aca="false">SUMIFS('Outages (event ledger)'!$H$2:$H$65,'Outages (event ledger)'!$A$2:$A$65,I$2,'Outages (event ledger)'!$E$2:$E$65,"&lt;="&amp;$B3,'Outages (event ledger)'!$G$2:$G$65,"&gt;="&amp;$B3)</f>
        <v>0</v>
      </c>
      <c r="J3" s="26" t="n">
        <f aca="false">SUMIFS('Outages (event ledger)'!$H$2:$H$65,'Outages (event ledger)'!$A$2:$A$65,J$2,'Outages (event ledger)'!$E$2:$E$65,"&lt;="&amp;$B3,'Outages (event ledger)'!$G$2:$G$65,"&gt;="&amp;$B3)</f>
        <v>0</v>
      </c>
      <c r="K3" s="26" t="n">
        <f aca="false">SUMIFS('Outages (event ledger)'!$H$2:$H$65,'Outages (event ledger)'!$A$2:$A$65,K$2,'Outages (event ledger)'!$E$2:$E$65,"&lt;="&amp;$B3,'Outages (event ledger)'!$G$2:$G$65,"&gt;="&amp;$B3)</f>
        <v>0</v>
      </c>
      <c r="L3" s="26" t="n">
        <f aca="false">SUMIFS('Outages (event ledger)'!$H$2:$H$65,'Outages (event ledger)'!$A$2:$A$65,L$2,'Outages (event ledger)'!$E$2:$E$65,"&lt;="&amp;$B3,'Outages (event ledger)'!$G$2:$G$65,"&gt;="&amp;$B3)</f>
        <v>0</v>
      </c>
      <c r="M3" s="26" t="n">
        <f aca="false">SUMIFS('Outages (event ledger)'!$H$2:$H$65,'Outages (event ledger)'!$A$2:$A$65,M$2,'Outages (event ledger)'!$E$2:$E$65,"&lt;="&amp;$B3,'Outages (event ledger)'!$G$2:$G$65,"&gt;="&amp;$B3)</f>
        <v>0</v>
      </c>
      <c r="N3" s="26" t="n">
        <f aca="false">SUMIFS('Outages (event ledger)'!$H$2:$H$65,'Outages (event ledger)'!$A$2:$A$65,N$2,'Outages (event ledger)'!$E$2:$E$65,"&lt;="&amp;$B3,'Outages (event ledger)'!$G$2:$G$65,"&gt;="&amp;$B3)</f>
        <v>0</v>
      </c>
      <c r="O3" s="26" t="n">
        <f aca="false">SUMIFS('Outages (event ledger)'!$H$2:$H$65,'Outages (event ledger)'!$A$2:$A$65,O$2,'Outages (event ledger)'!$E$2:$E$65,"&lt;="&amp;$B3,'Outages (event ledger)'!$G$2:$G$65,"&gt;="&amp;$B3)</f>
        <v>0</v>
      </c>
      <c r="P3" s="26" t="n">
        <f aca="false">SUMIFS('Outages (event ledger)'!$H$2:$H$65,'Outages (event ledger)'!$A$2:$A$65,P$2,'Outages (event ledger)'!$E$2:$E$65,"&lt;="&amp;$B3,'Outages (event ledger)'!$G$2:$G$65,"&gt;="&amp;$B3)</f>
        <v>0</v>
      </c>
      <c r="Q3" s="26" t="n">
        <f aca="false">SUMIFS('Outages (event ledger)'!$H$2:$H$65,'Outages (event ledger)'!$A$2:$A$65,Q$2,'Outages (event ledger)'!$E$2:$E$65,"&lt;="&amp;$B3,'Outages (event ledger)'!$G$2:$G$65,"&gt;="&amp;$B3)</f>
        <v>0</v>
      </c>
      <c r="R3" s="26" t="n">
        <f aca="false">SUMIFS('Outages (event ledger)'!$H$2:$H$65,'Outages (event ledger)'!$A$2:$A$65,R$2,'Outages (event ledger)'!$E$2:$E$65,"&lt;="&amp;$B3,'Outages (event ledger)'!$G$2:$G$65,"&gt;="&amp;$B3)</f>
        <v>0</v>
      </c>
      <c r="S3" s="26" t="n">
        <f aca="false">SUMIFS('Outages (event ledger)'!$H$2:$H$65,'Outages (event ledger)'!$A$2:$A$65,S$2,'Outages (event ledger)'!$E$2:$E$65,"&lt;="&amp;$B3,'Outages (event ledger)'!$G$2:$G$65,"&gt;="&amp;$B3)</f>
        <v>0</v>
      </c>
      <c r="T3" s="26" t="n">
        <f aca="false">SUMIFS('Outages (event ledger)'!$H$2:$H$65,'Outages (event ledger)'!$A$2:$A$65,T$2,'Outages (event ledger)'!$E$2:$E$65,"&lt;="&amp;$B3,'Outages (event ledger)'!$G$2:$G$65,"&gt;="&amp;$B3)</f>
        <v>0</v>
      </c>
      <c r="U3" s="26" t="n">
        <f aca="false">SUMIFS('Outages (event ledger)'!$H$2:$H$65,'Outages (event ledger)'!$A$2:$A$65,U$2,'Outages (event ledger)'!$E$2:$E$65,"&lt;="&amp;$B3,'Outages (event ledger)'!$G$2:$G$65,"&gt;="&amp;$B3)</f>
        <v>0</v>
      </c>
      <c r="V3" s="26" t="n">
        <f aca="false">SUMIFS('Outages (event ledger)'!$H$2:$H$65,'Outages (event ledger)'!$A$2:$A$65,V$2,'Outages (event ledger)'!$E$2:$E$65,"&lt;="&amp;$B3,'Outages (event ledger)'!$G$2:$G$65,"&gt;="&amp;$B3)</f>
        <v>0</v>
      </c>
      <c r="W3" s="26" t="n">
        <f aca="false">SUMIFS('Outages (event ledger)'!$H$2:$H$65,'Outages (event ledger)'!$A$2:$A$65,W$2,'Outages (event ledger)'!$E$2:$E$65,"&lt;="&amp;$B3,'Outages (event ledger)'!$G$2:$G$65,"&gt;="&amp;$B3)</f>
        <v>0</v>
      </c>
      <c r="X3" s="26" t="n">
        <f aca="false">SUMIFS('Outages (event ledger)'!$H$2:$H$65,'Outages (event ledger)'!$A$2:$A$65,X$2,'Outages (event ledger)'!$E$2:$E$65,"&lt;="&amp;$B3,'Outages (event ledger)'!$G$2:$G$65,"&gt;="&amp;$B3)</f>
        <v>0</v>
      </c>
      <c r="Y3" s="26" t="n">
        <f aca="false">SUMIFS('Outages (event ledger)'!$H$2:$H$65,'Outages (event ledger)'!$A$2:$A$65,Y$2,'Outages (event ledger)'!$E$2:$E$65,"&lt;="&amp;$B3,'Outages (event ledger)'!$G$2:$G$65,"&gt;="&amp;$B3)</f>
        <v>0</v>
      </c>
      <c r="Z3" s="26" t="n">
        <f aca="false">SUMIFS('Outages (event ledger)'!$H$2:$H$65,'Outages (event ledger)'!$A$2:$A$65,Z$2,'Outages (event ledger)'!$E$2:$E$65,"&lt;="&amp;$B3,'Outages (event ledger)'!$G$2:$G$65,"&gt;="&amp;$B3)</f>
        <v>0</v>
      </c>
      <c r="AA3" s="26" t="n">
        <f aca="false">SUMIFS('Outages (event ledger)'!$H$2:$H$65,'Outages (event ledger)'!$A$2:$A$65,AA$2,'Outages (event ledger)'!$E$2:$E$65,"&lt;="&amp;$B3,'Outages (event ledger)'!$G$2:$G$65,"&gt;="&amp;$B3)</f>
        <v>0</v>
      </c>
      <c r="AB3" s="26" t="n">
        <f aca="false">SUMIFS('Outages (event ledger)'!$H$2:$H$65,'Outages (event ledger)'!$A$2:$A$65,AB$2,'Outages (event ledger)'!$E$2:$E$65,"&lt;="&amp;$B3,'Outages (event ledger)'!$G$2:$G$65,"&gt;="&amp;$B3)</f>
        <v>8</v>
      </c>
      <c r="AC3" s="26" t="n">
        <f aca="false">SUMIFS('Outages (event ledger)'!$H$2:$H$65,'Outages (event ledger)'!$A$2:$A$65,AC$2,'Outages (event ledger)'!$E$2:$E$65,"&lt;="&amp;$B3,'Outages (event ledger)'!$G$2:$G$65,"&gt;="&amp;$B3)</f>
        <v>0</v>
      </c>
      <c r="AD3" s="26" t="n">
        <f aca="false">SUMIFS('Outages (event ledger)'!$H$2:$H$65,'Outages (event ledger)'!$A$2:$A$65,AD$2,'Outages (event ledger)'!$E$2:$E$65,"&lt;="&amp;$B3,'Outages (event ledger)'!$G$2:$G$65,"&gt;="&amp;$B3)</f>
        <v>0</v>
      </c>
      <c r="AE3" s="26" t="n">
        <f aca="false">SUMIFS('Outages (event ledger)'!$H$2:$H$65,'Outages (event ledger)'!$A$2:$A$65,AE$2,'Outages (event ledger)'!$E$2:$E$65,"&lt;="&amp;$B3,'Outages (event ledger)'!$G$2:$G$65,"&gt;="&amp;$B3)</f>
        <v>0</v>
      </c>
      <c r="AF3" s="26" t="n">
        <f aca="false">SUMIFS('Outages (event ledger)'!$H$2:$H$65,'Outages (event ledger)'!$A$2:$A$65,AF$2,'Outages (event ledger)'!$E$2:$E$65,"&lt;="&amp;$B3,'Outages (event ledger)'!$G$2:$G$65,"&gt;="&amp;$B3)</f>
        <v>0</v>
      </c>
      <c r="AG3" s="26" t="n">
        <f aca="false">SUMIFS('Outages (event ledger)'!$H$2:$H$65,'Outages (event ledger)'!$A$2:$A$65,AG$2,'Outages (event ledger)'!$E$2:$E$65,"&lt;="&amp;$B3,'Outages (event ledger)'!$G$2:$G$65,"&gt;="&amp;$B3)</f>
        <v>0</v>
      </c>
      <c r="AH3" s="26" t="n">
        <f aca="false">SUMIFS('Outages (event ledger)'!$H$2:$H$65,'Outages (event ledger)'!$A$2:$A$65,AH$2,'Outages (event ledger)'!$E$2:$E$65,"&lt;="&amp;$B3,'Outages (event ledger)'!$G$2:$G$65,"&gt;="&amp;$B3)</f>
        <v>0</v>
      </c>
      <c r="AI3" s="26" t="n">
        <f aca="false">SUMIFS('Outages (event ledger)'!$H$2:$H$65,'Outages (event ledger)'!$A$2:$A$65,AI$2,'Outages (event ledger)'!$E$2:$E$65,"&lt;="&amp;$B3,'Outages (event ledger)'!$G$2:$G$65,"&gt;="&amp;$B3)</f>
        <v>0</v>
      </c>
      <c r="AJ3" s="26" t="n">
        <f aca="false">SUMIFS('Outages (event ledger)'!$H$2:$H$65,'Outages (event ledger)'!$A$2:$A$65,AJ$2,'Outages (event ledger)'!$E$2:$E$65,"&lt;="&amp;$B3,'Outages (event ledger)'!$G$2:$G$65,"&gt;="&amp;$B3)</f>
        <v>0</v>
      </c>
      <c r="AK3" s="26" t="n">
        <f aca="false">SUMIFS('Outages (event ledger)'!$H$2:$H$65,'Outages (event ledger)'!$A$2:$A$65,AK$2,'Outages (event ledger)'!$E$2:$E$65,"&lt;="&amp;$B3,'Outages (event ledger)'!$G$2:$G$65,"&gt;="&amp;$B3)</f>
        <v>0</v>
      </c>
      <c r="AL3" s="26" t="n">
        <f aca="false">SUMIFS('Outages (event ledger)'!$H$2:$H$65,'Outages (event ledger)'!$A$2:$A$65,AL$2,'Outages (event ledger)'!$E$2:$E$65,"&lt;="&amp;$B3,'Outages (event ledger)'!$G$2:$G$65,"&gt;="&amp;$B3)</f>
        <v>0</v>
      </c>
      <c r="AM3" s="26" t="n">
        <f aca="false">SUMIFS('Outages (event ledger)'!$H$2:$H$65,'Outages (event ledger)'!$A$2:$A$65,AM$2,'Outages (event ledger)'!$E$2:$E$65,"&lt;="&amp;$B3,'Outages (event ledger)'!$G$2:$G$65,"&gt;="&amp;$B3)</f>
        <v>0</v>
      </c>
      <c r="AN3" s="26" t="n">
        <f aca="false">SUMIFS('Outages (event ledger)'!$H$2:$H$65,'Outages (event ledger)'!$A$2:$A$65,AN$2,'Outages (event ledger)'!$E$2:$E$65,"&lt;="&amp;$B3,'Outages (event ledger)'!$G$2:$G$65,"&gt;="&amp;$B3)</f>
        <v>0</v>
      </c>
      <c r="AO3" s="26" t="n">
        <f aca="false">SUMIFS('Outages (event ledger)'!$H$2:$H$65,'Outages (event ledger)'!$A$2:$A$65,AO$2,'Outages (event ledger)'!$E$2:$E$65,"&lt;="&amp;$B3,'Outages (event ledger)'!$G$2:$G$65,"&gt;="&amp;$B3)</f>
        <v>0</v>
      </c>
      <c r="AP3" s="26" t="n">
        <f aca="false">SUMIFS('Outages (event ledger)'!$H$2:$H$65,'Outages (event ledger)'!$A$2:$A$65,AP$2,'Outages (event ledger)'!$E$2:$E$65,"&lt;="&amp;$B3,'Outages (event ledger)'!$G$2:$G$65,"&gt;="&amp;$B3)</f>
        <v>0</v>
      </c>
      <c r="AQ3" s="26" t="n">
        <f aca="false">SUMIFS('Outages (event ledger)'!$H$2:$H$65,'Outages (event ledger)'!$A$2:$A$65,AQ$2,'Outages (event ledger)'!$E$2:$E$65,"&lt;="&amp;$B3,'Outages (event ledger)'!$G$2:$G$65,"&gt;="&amp;$B3)</f>
        <v>0</v>
      </c>
      <c r="AR3" s="26" t="n">
        <f aca="false">SUMIFS('Outages (event ledger)'!$H$2:$H$65,'Outages (event ledger)'!$A$2:$A$65,AR$2,'Outages (event ledger)'!$E$2:$E$65,"&lt;="&amp;$B3,'Outages (event ledger)'!$G$2:$G$65,"&gt;="&amp;$B3)</f>
        <v>0</v>
      </c>
      <c r="AS3" s="26" t="n">
        <f aca="false">SUMIFS('Outages (event ledger)'!$H$2:$H$65,'Outages (event ledger)'!$A$2:$A$65,AS$2,'Outages (event ledger)'!$E$2:$E$65,"&lt;="&amp;$B3,'Outages (event ledger)'!$G$2:$G$65,"&gt;="&amp;$B3)</f>
        <v>0</v>
      </c>
      <c r="AT3" s="26" t="n">
        <f aca="false">SUMIFS('Outages (event ledger)'!$H$2:$H$65,'Outages (event ledger)'!$A$2:$A$65,AT$2,'Outages (event ledger)'!$E$2:$E$65,"&lt;="&amp;$B3,'Outages (event ledger)'!$G$2:$G$65,"&gt;="&amp;$B3)</f>
        <v>0</v>
      </c>
      <c r="AU3" s="26" t="n">
        <f aca="false">SUMIFS('Outages (event ledger)'!$H$2:$H$65,'Outages (event ledger)'!$A$2:$A$65,AU$2,'Outages (event ledger)'!$E$2:$E$65,"&lt;="&amp;$B3,'Outages (event ledger)'!$G$2:$G$65,"&gt;="&amp;$B3)</f>
        <v>0</v>
      </c>
      <c r="AV3" s="26" t="n">
        <f aca="false">SUMIFS('Outages (event ledger)'!$H$2:$H$65,'Outages (event ledger)'!$A$2:$A$65,AV$2,'Outages (event ledger)'!$E$2:$E$65,"&lt;="&amp;$B3,'Outages (event ledger)'!$G$2:$G$65,"&gt;="&amp;$B3)</f>
        <v>0</v>
      </c>
      <c r="AW3" s="26" t="n">
        <f aca="false">SUMIFS('Outages (event ledger)'!$H$2:$H$65,'Outages (event ledger)'!$A$2:$A$65,AW$2,'Outages (event ledger)'!$E$2:$E$65,"&lt;="&amp;$B3,'Outages (event ledger)'!$G$2:$G$65,"&gt;="&amp;$B3)</f>
        <v>0</v>
      </c>
      <c r="AX3" s="26" t="n">
        <f aca="false">SUMIFS('Outages (event ledger)'!$H$2:$H$65,'Outages (event ledger)'!$A$2:$A$65,AX$2,'Outages (event ledger)'!$E$2:$E$65,"&lt;="&amp;$B3,'Outages (event ledger)'!$G$2:$G$65,"&gt;="&amp;$B3)</f>
        <v>0</v>
      </c>
      <c r="AY3" s="26" t="n">
        <f aca="false">SUMIFS('Outages (event ledger)'!$H$2:$H$65,'Outages (event ledger)'!$A$2:$A$65,AY$2,'Outages (event ledger)'!$E$2:$E$65,"&lt;="&amp;$B3,'Outages (event ledger)'!$G$2:$G$65,"&gt;="&amp;$B3)</f>
        <v>0</v>
      </c>
      <c r="AZ3" s="26" t="n">
        <f aca="false">SUMIFS('Outages (event ledger)'!$H$2:$H$65,'Outages (event ledger)'!$A$2:$A$65,AZ$2,'Outages (event ledger)'!$E$2:$E$65,"&lt;="&amp;$B3,'Outages (event ledger)'!$G$2:$G$65,"&gt;="&amp;$B3)</f>
        <v>0</v>
      </c>
      <c r="BA3" s="26" t="n">
        <f aca="false">SUMIFS('Outages (event ledger)'!$H$2:$H$65,'Outages (event ledger)'!$A$2:$A$65,BA$2,'Outages (event ledger)'!$E$2:$E$65,"&lt;="&amp;$B3,'Outages (event ledger)'!$G$2:$G$65,"&gt;="&amp;$B3)</f>
        <v>0</v>
      </c>
      <c r="BB3" s="26" t="n">
        <f aca="false">SUMIFS('Outages (event ledger)'!$H$2:$H$65,'Outages (event ledger)'!$A$2:$A$65,BB$2,'Outages (event ledger)'!$E$2:$E$65,"&lt;="&amp;$B3,'Outages (event ledger)'!$G$2:$G$65,"&gt;="&amp;$B3)</f>
        <v>0</v>
      </c>
      <c r="BC3" s="26" t="n">
        <f aca="false">SUMIFS('Outages (event ledger)'!$H$2:$H$65,'Outages (event ledger)'!$A$2:$A$65,BC$2,'Outages (event ledger)'!$E$2:$E$65,"&lt;="&amp;$B3,'Outages (event ledger)'!$G$2:$G$65,"&gt;="&amp;$B3)</f>
        <v>0</v>
      </c>
      <c r="BD3" s="26" t="n">
        <f aca="false">SUMIFS('Outages (event ledger)'!$H$2:$H$65,'Outages (event ledger)'!$A$2:$A$65,BD$2,'Outages (event ledger)'!$E$2:$E$65,"&lt;="&amp;$B3,'Outages (event ledger)'!$G$2:$G$65,"&gt;="&amp;$B3)</f>
        <v>0</v>
      </c>
      <c r="BE3" s="26" t="n">
        <f aca="false">SUMIFS('Outages (event ledger)'!$H$2:$H$65,'Outages (event ledger)'!$A$2:$A$65,BE$2,'Outages (event ledger)'!$E$2:$E$65,"&lt;="&amp;$B3,'Outages (event ledger)'!$G$2:$G$65,"&gt;="&amp;$B3)</f>
        <v>0</v>
      </c>
      <c r="BF3" s="26" t="n">
        <f aca="false">SUMIFS('Outages (event ledger)'!$H$2:$H$65,'Outages (event ledger)'!$A$2:$A$65,BF$2,'Outages (event ledger)'!$E$2:$E$65,"&lt;="&amp;$B3,'Outages (event ledger)'!$G$2:$G$65,"&gt;="&amp;$B3)</f>
        <v>0</v>
      </c>
      <c r="BG3" s="26" t="n">
        <f aca="false">SUMIFS('Outages (event ledger)'!$H$2:$H$65,'Outages (event ledger)'!$A$2:$A$65,BG$2,'Outages (event ledger)'!$E$2:$E$65,"&lt;="&amp;$B3,'Outages (event ledger)'!$G$2:$G$65,"&gt;="&amp;$B3)</f>
        <v>0</v>
      </c>
      <c r="BH3" s="26" t="n">
        <f aca="false">SUMIFS('Outages (event ledger)'!$H$2:$H$65,'Outages (event ledger)'!$A$2:$A$65,BH$2,'Outages (event ledger)'!$E$2:$E$65,"&lt;="&amp;$B3,'Outages (event ledger)'!$G$2:$G$65,"&gt;="&amp;$B3)</f>
        <v>0</v>
      </c>
      <c r="BI3" s="26" t="n">
        <f aca="false">SUMIFS('Outages (event ledger)'!$H$2:$H$65,'Outages (event ledger)'!$A$2:$A$65,BI$2,'Outages (event ledger)'!$E$2:$E$65,"&lt;="&amp;$B3,'Outages (event ledger)'!$G$2:$G$65,"&gt;="&amp;$B3)</f>
        <v>0</v>
      </c>
    </row>
    <row r="4" customFormat="false" ht="15" hidden="false" customHeight="false" outlineLevel="0" collapsed="false">
      <c r="A4" s="23" t="n">
        <v>40210</v>
      </c>
      <c r="B4" s="24" t="n">
        <v>201002</v>
      </c>
      <c r="C4" s="25" t="n">
        <f aca="false">SUM(D4:BI4)</f>
        <v>8</v>
      </c>
      <c r="D4" s="26" t="n">
        <f aca="false">SUMIFS('Outages (event ledger)'!$H$2:$H$65,'Outages (event ledger)'!$A$2:$A$65,D$2,'Outages (event ledger)'!$E$2:$E$65,"&lt;="&amp;$B4,'Outages (event ledger)'!$G$2:$G$65,"&gt;="&amp;$B4)</f>
        <v>0</v>
      </c>
      <c r="E4" s="26" t="n">
        <f aca="false">SUMIFS('Outages (event ledger)'!$H$2:$H$65,'Outages (event ledger)'!$A$2:$A$65,E$2,'Outages (event ledger)'!$E$2:$E$65,"&lt;="&amp;$B4,'Outages (event ledger)'!$G$2:$G$65,"&gt;="&amp;$B4)</f>
        <v>0</v>
      </c>
      <c r="F4" s="26" t="n">
        <f aca="false">SUMIFS('Outages (event ledger)'!$H$2:$H$65,'Outages (event ledger)'!$A$2:$A$65,F$2,'Outages (event ledger)'!$E$2:$E$65,"&lt;="&amp;$B4,'Outages (event ledger)'!$G$2:$G$65,"&gt;="&amp;$B4)</f>
        <v>0</v>
      </c>
      <c r="G4" s="26" t="n">
        <f aca="false">SUMIFS('Outages (event ledger)'!$H$2:$H$65,'Outages (event ledger)'!$A$2:$A$65,G$2,'Outages (event ledger)'!$E$2:$E$65,"&lt;="&amp;$B4,'Outages (event ledger)'!$G$2:$G$65,"&gt;="&amp;$B4)</f>
        <v>0</v>
      </c>
      <c r="H4" s="26" t="n">
        <f aca="false">SUMIFS('Outages (event ledger)'!$H$2:$H$65,'Outages (event ledger)'!$A$2:$A$65,H$2,'Outages (event ledger)'!$E$2:$E$65,"&lt;="&amp;$B4,'Outages (event ledger)'!$G$2:$G$65,"&gt;="&amp;$B4)</f>
        <v>0</v>
      </c>
      <c r="I4" s="26" t="n">
        <f aca="false">SUMIFS('Outages (event ledger)'!$H$2:$H$65,'Outages (event ledger)'!$A$2:$A$65,I$2,'Outages (event ledger)'!$E$2:$E$65,"&lt;="&amp;$B4,'Outages (event ledger)'!$G$2:$G$65,"&gt;="&amp;$B4)</f>
        <v>0</v>
      </c>
      <c r="J4" s="26" t="n">
        <f aca="false">SUMIFS('Outages (event ledger)'!$H$2:$H$65,'Outages (event ledger)'!$A$2:$A$65,J$2,'Outages (event ledger)'!$E$2:$E$65,"&lt;="&amp;$B4,'Outages (event ledger)'!$G$2:$G$65,"&gt;="&amp;$B4)</f>
        <v>0</v>
      </c>
      <c r="K4" s="26" t="n">
        <f aca="false">SUMIFS('Outages (event ledger)'!$H$2:$H$65,'Outages (event ledger)'!$A$2:$A$65,K$2,'Outages (event ledger)'!$E$2:$E$65,"&lt;="&amp;$B4,'Outages (event ledger)'!$G$2:$G$65,"&gt;="&amp;$B4)</f>
        <v>0</v>
      </c>
      <c r="L4" s="26" t="n">
        <f aca="false">SUMIFS('Outages (event ledger)'!$H$2:$H$65,'Outages (event ledger)'!$A$2:$A$65,L$2,'Outages (event ledger)'!$E$2:$E$65,"&lt;="&amp;$B4,'Outages (event ledger)'!$G$2:$G$65,"&gt;="&amp;$B4)</f>
        <v>0</v>
      </c>
      <c r="M4" s="26" t="n">
        <f aca="false">SUMIFS('Outages (event ledger)'!$H$2:$H$65,'Outages (event ledger)'!$A$2:$A$65,M$2,'Outages (event ledger)'!$E$2:$E$65,"&lt;="&amp;$B4,'Outages (event ledger)'!$G$2:$G$65,"&gt;="&amp;$B4)</f>
        <v>0</v>
      </c>
      <c r="N4" s="26" t="n">
        <f aca="false">SUMIFS('Outages (event ledger)'!$H$2:$H$65,'Outages (event ledger)'!$A$2:$A$65,N$2,'Outages (event ledger)'!$E$2:$E$65,"&lt;="&amp;$B4,'Outages (event ledger)'!$G$2:$G$65,"&gt;="&amp;$B4)</f>
        <v>0</v>
      </c>
      <c r="O4" s="26" t="n">
        <f aca="false">SUMIFS('Outages (event ledger)'!$H$2:$H$65,'Outages (event ledger)'!$A$2:$A$65,O$2,'Outages (event ledger)'!$E$2:$E$65,"&lt;="&amp;$B4,'Outages (event ledger)'!$G$2:$G$65,"&gt;="&amp;$B4)</f>
        <v>0</v>
      </c>
      <c r="P4" s="26" t="n">
        <f aca="false">SUMIFS('Outages (event ledger)'!$H$2:$H$65,'Outages (event ledger)'!$A$2:$A$65,P$2,'Outages (event ledger)'!$E$2:$E$65,"&lt;="&amp;$B4,'Outages (event ledger)'!$G$2:$G$65,"&gt;="&amp;$B4)</f>
        <v>0</v>
      </c>
      <c r="Q4" s="26" t="n">
        <f aca="false">SUMIFS('Outages (event ledger)'!$H$2:$H$65,'Outages (event ledger)'!$A$2:$A$65,Q$2,'Outages (event ledger)'!$E$2:$E$65,"&lt;="&amp;$B4,'Outages (event ledger)'!$G$2:$G$65,"&gt;="&amp;$B4)</f>
        <v>0</v>
      </c>
      <c r="R4" s="26" t="n">
        <f aca="false">SUMIFS('Outages (event ledger)'!$H$2:$H$65,'Outages (event ledger)'!$A$2:$A$65,R$2,'Outages (event ledger)'!$E$2:$E$65,"&lt;="&amp;$B4,'Outages (event ledger)'!$G$2:$G$65,"&gt;="&amp;$B4)</f>
        <v>0</v>
      </c>
      <c r="S4" s="26" t="n">
        <f aca="false">SUMIFS('Outages (event ledger)'!$H$2:$H$65,'Outages (event ledger)'!$A$2:$A$65,S$2,'Outages (event ledger)'!$E$2:$E$65,"&lt;="&amp;$B4,'Outages (event ledger)'!$G$2:$G$65,"&gt;="&amp;$B4)</f>
        <v>0</v>
      </c>
      <c r="T4" s="26" t="n">
        <f aca="false">SUMIFS('Outages (event ledger)'!$H$2:$H$65,'Outages (event ledger)'!$A$2:$A$65,T$2,'Outages (event ledger)'!$E$2:$E$65,"&lt;="&amp;$B4,'Outages (event ledger)'!$G$2:$G$65,"&gt;="&amp;$B4)</f>
        <v>0</v>
      </c>
      <c r="U4" s="26" t="n">
        <f aca="false">SUMIFS('Outages (event ledger)'!$H$2:$H$65,'Outages (event ledger)'!$A$2:$A$65,U$2,'Outages (event ledger)'!$E$2:$E$65,"&lt;="&amp;$B4,'Outages (event ledger)'!$G$2:$G$65,"&gt;="&amp;$B4)</f>
        <v>0</v>
      </c>
      <c r="V4" s="26" t="n">
        <f aca="false">SUMIFS('Outages (event ledger)'!$H$2:$H$65,'Outages (event ledger)'!$A$2:$A$65,V$2,'Outages (event ledger)'!$E$2:$E$65,"&lt;="&amp;$B4,'Outages (event ledger)'!$G$2:$G$65,"&gt;="&amp;$B4)</f>
        <v>0</v>
      </c>
      <c r="W4" s="26" t="n">
        <f aca="false">SUMIFS('Outages (event ledger)'!$H$2:$H$65,'Outages (event ledger)'!$A$2:$A$65,W$2,'Outages (event ledger)'!$E$2:$E$65,"&lt;="&amp;$B4,'Outages (event ledger)'!$G$2:$G$65,"&gt;="&amp;$B4)</f>
        <v>0</v>
      </c>
      <c r="X4" s="26" t="n">
        <f aca="false">SUMIFS('Outages (event ledger)'!$H$2:$H$65,'Outages (event ledger)'!$A$2:$A$65,X$2,'Outages (event ledger)'!$E$2:$E$65,"&lt;="&amp;$B4,'Outages (event ledger)'!$G$2:$G$65,"&gt;="&amp;$B4)</f>
        <v>0</v>
      </c>
      <c r="Y4" s="26" t="n">
        <f aca="false">SUMIFS('Outages (event ledger)'!$H$2:$H$65,'Outages (event ledger)'!$A$2:$A$65,Y$2,'Outages (event ledger)'!$E$2:$E$65,"&lt;="&amp;$B4,'Outages (event ledger)'!$G$2:$G$65,"&gt;="&amp;$B4)</f>
        <v>0</v>
      </c>
      <c r="Z4" s="26" t="n">
        <f aca="false">SUMIFS('Outages (event ledger)'!$H$2:$H$65,'Outages (event ledger)'!$A$2:$A$65,Z$2,'Outages (event ledger)'!$E$2:$E$65,"&lt;="&amp;$B4,'Outages (event ledger)'!$G$2:$G$65,"&gt;="&amp;$B4)</f>
        <v>0</v>
      </c>
      <c r="AA4" s="26" t="n">
        <f aca="false">SUMIFS('Outages (event ledger)'!$H$2:$H$65,'Outages (event ledger)'!$A$2:$A$65,AA$2,'Outages (event ledger)'!$E$2:$E$65,"&lt;="&amp;$B4,'Outages (event ledger)'!$G$2:$G$65,"&gt;="&amp;$B4)</f>
        <v>0</v>
      </c>
      <c r="AB4" s="26" t="n">
        <f aca="false">SUMIFS('Outages (event ledger)'!$H$2:$H$65,'Outages (event ledger)'!$A$2:$A$65,AB$2,'Outages (event ledger)'!$E$2:$E$65,"&lt;="&amp;$B4,'Outages (event ledger)'!$G$2:$G$65,"&gt;="&amp;$B4)</f>
        <v>8</v>
      </c>
      <c r="AC4" s="26" t="n">
        <f aca="false">SUMIFS('Outages (event ledger)'!$H$2:$H$65,'Outages (event ledger)'!$A$2:$A$65,AC$2,'Outages (event ledger)'!$E$2:$E$65,"&lt;="&amp;$B4,'Outages (event ledger)'!$G$2:$G$65,"&gt;="&amp;$B4)</f>
        <v>0</v>
      </c>
      <c r="AD4" s="26" t="n">
        <f aca="false">SUMIFS('Outages (event ledger)'!$H$2:$H$65,'Outages (event ledger)'!$A$2:$A$65,AD$2,'Outages (event ledger)'!$E$2:$E$65,"&lt;="&amp;$B4,'Outages (event ledger)'!$G$2:$G$65,"&gt;="&amp;$B4)</f>
        <v>0</v>
      </c>
      <c r="AE4" s="26" t="n">
        <f aca="false">SUMIFS('Outages (event ledger)'!$H$2:$H$65,'Outages (event ledger)'!$A$2:$A$65,AE$2,'Outages (event ledger)'!$E$2:$E$65,"&lt;="&amp;$B4,'Outages (event ledger)'!$G$2:$G$65,"&gt;="&amp;$B4)</f>
        <v>0</v>
      </c>
      <c r="AF4" s="26" t="n">
        <f aca="false">SUMIFS('Outages (event ledger)'!$H$2:$H$65,'Outages (event ledger)'!$A$2:$A$65,AF$2,'Outages (event ledger)'!$E$2:$E$65,"&lt;="&amp;$B4,'Outages (event ledger)'!$G$2:$G$65,"&gt;="&amp;$B4)</f>
        <v>0</v>
      </c>
      <c r="AG4" s="26" t="n">
        <f aca="false">SUMIFS('Outages (event ledger)'!$H$2:$H$65,'Outages (event ledger)'!$A$2:$A$65,AG$2,'Outages (event ledger)'!$E$2:$E$65,"&lt;="&amp;$B4,'Outages (event ledger)'!$G$2:$G$65,"&gt;="&amp;$B4)</f>
        <v>0</v>
      </c>
      <c r="AH4" s="26" t="n">
        <f aca="false">SUMIFS('Outages (event ledger)'!$H$2:$H$65,'Outages (event ledger)'!$A$2:$A$65,AH$2,'Outages (event ledger)'!$E$2:$E$65,"&lt;="&amp;$B4,'Outages (event ledger)'!$G$2:$G$65,"&gt;="&amp;$B4)</f>
        <v>0</v>
      </c>
      <c r="AI4" s="26" t="n">
        <f aca="false">SUMIFS('Outages (event ledger)'!$H$2:$H$65,'Outages (event ledger)'!$A$2:$A$65,AI$2,'Outages (event ledger)'!$E$2:$E$65,"&lt;="&amp;$B4,'Outages (event ledger)'!$G$2:$G$65,"&gt;="&amp;$B4)</f>
        <v>0</v>
      </c>
      <c r="AJ4" s="26" t="n">
        <f aca="false">SUMIFS('Outages (event ledger)'!$H$2:$H$65,'Outages (event ledger)'!$A$2:$A$65,AJ$2,'Outages (event ledger)'!$E$2:$E$65,"&lt;="&amp;$B4,'Outages (event ledger)'!$G$2:$G$65,"&gt;="&amp;$B4)</f>
        <v>0</v>
      </c>
      <c r="AK4" s="26" t="n">
        <f aca="false">SUMIFS('Outages (event ledger)'!$H$2:$H$65,'Outages (event ledger)'!$A$2:$A$65,AK$2,'Outages (event ledger)'!$E$2:$E$65,"&lt;="&amp;$B4,'Outages (event ledger)'!$G$2:$G$65,"&gt;="&amp;$B4)</f>
        <v>0</v>
      </c>
      <c r="AL4" s="26" t="n">
        <f aca="false">SUMIFS('Outages (event ledger)'!$H$2:$H$65,'Outages (event ledger)'!$A$2:$A$65,AL$2,'Outages (event ledger)'!$E$2:$E$65,"&lt;="&amp;$B4,'Outages (event ledger)'!$G$2:$G$65,"&gt;="&amp;$B4)</f>
        <v>0</v>
      </c>
      <c r="AM4" s="26" t="n">
        <f aca="false">SUMIFS('Outages (event ledger)'!$H$2:$H$65,'Outages (event ledger)'!$A$2:$A$65,AM$2,'Outages (event ledger)'!$E$2:$E$65,"&lt;="&amp;$B4,'Outages (event ledger)'!$G$2:$G$65,"&gt;="&amp;$B4)</f>
        <v>0</v>
      </c>
      <c r="AN4" s="26" t="n">
        <f aca="false">SUMIFS('Outages (event ledger)'!$H$2:$H$65,'Outages (event ledger)'!$A$2:$A$65,AN$2,'Outages (event ledger)'!$E$2:$E$65,"&lt;="&amp;$B4,'Outages (event ledger)'!$G$2:$G$65,"&gt;="&amp;$B4)</f>
        <v>0</v>
      </c>
      <c r="AO4" s="26" t="n">
        <f aca="false">SUMIFS('Outages (event ledger)'!$H$2:$H$65,'Outages (event ledger)'!$A$2:$A$65,AO$2,'Outages (event ledger)'!$E$2:$E$65,"&lt;="&amp;$B4,'Outages (event ledger)'!$G$2:$G$65,"&gt;="&amp;$B4)</f>
        <v>0</v>
      </c>
      <c r="AP4" s="26" t="n">
        <f aca="false">SUMIFS('Outages (event ledger)'!$H$2:$H$65,'Outages (event ledger)'!$A$2:$A$65,AP$2,'Outages (event ledger)'!$E$2:$E$65,"&lt;="&amp;$B4,'Outages (event ledger)'!$G$2:$G$65,"&gt;="&amp;$B4)</f>
        <v>0</v>
      </c>
      <c r="AQ4" s="26" t="n">
        <f aca="false">SUMIFS('Outages (event ledger)'!$H$2:$H$65,'Outages (event ledger)'!$A$2:$A$65,AQ$2,'Outages (event ledger)'!$E$2:$E$65,"&lt;="&amp;$B4,'Outages (event ledger)'!$G$2:$G$65,"&gt;="&amp;$B4)</f>
        <v>0</v>
      </c>
      <c r="AR4" s="26" t="n">
        <f aca="false">SUMIFS('Outages (event ledger)'!$H$2:$H$65,'Outages (event ledger)'!$A$2:$A$65,AR$2,'Outages (event ledger)'!$E$2:$E$65,"&lt;="&amp;$B4,'Outages (event ledger)'!$G$2:$G$65,"&gt;="&amp;$B4)</f>
        <v>0</v>
      </c>
      <c r="AS4" s="26" t="n">
        <f aca="false">SUMIFS('Outages (event ledger)'!$H$2:$H$65,'Outages (event ledger)'!$A$2:$A$65,AS$2,'Outages (event ledger)'!$E$2:$E$65,"&lt;="&amp;$B4,'Outages (event ledger)'!$G$2:$G$65,"&gt;="&amp;$B4)</f>
        <v>0</v>
      </c>
      <c r="AT4" s="26" t="n">
        <f aca="false">SUMIFS('Outages (event ledger)'!$H$2:$H$65,'Outages (event ledger)'!$A$2:$A$65,AT$2,'Outages (event ledger)'!$E$2:$E$65,"&lt;="&amp;$B4,'Outages (event ledger)'!$G$2:$G$65,"&gt;="&amp;$B4)</f>
        <v>0</v>
      </c>
      <c r="AU4" s="26" t="n">
        <f aca="false">SUMIFS('Outages (event ledger)'!$H$2:$H$65,'Outages (event ledger)'!$A$2:$A$65,AU$2,'Outages (event ledger)'!$E$2:$E$65,"&lt;="&amp;$B4,'Outages (event ledger)'!$G$2:$G$65,"&gt;="&amp;$B4)</f>
        <v>0</v>
      </c>
      <c r="AV4" s="26" t="n">
        <f aca="false">SUMIFS('Outages (event ledger)'!$H$2:$H$65,'Outages (event ledger)'!$A$2:$A$65,AV$2,'Outages (event ledger)'!$E$2:$E$65,"&lt;="&amp;$B4,'Outages (event ledger)'!$G$2:$G$65,"&gt;="&amp;$B4)</f>
        <v>0</v>
      </c>
      <c r="AW4" s="26" t="n">
        <f aca="false">SUMIFS('Outages (event ledger)'!$H$2:$H$65,'Outages (event ledger)'!$A$2:$A$65,AW$2,'Outages (event ledger)'!$E$2:$E$65,"&lt;="&amp;$B4,'Outages (event ledger)'!$G$2:$G$65,"&gt;="&amp;$B4)</f>
        <v>0</v>
      </c>
      <c r="AX4" s="26" t="n">
        <f aca="false">SUMIFS('Outages (event ledger)'!$H$2:$H$65,'Outages (event ledger)'!$A$2:$A$65,AX$2,'Outages (event ledger)'!$E$2:$E$65,"&lt;="&amp;$B4,'Outages (event ledger)'!$G$2:$G$65,"&gt;="&amp;$B4)</f>
        <v>0</v>
      </c>
      <c r="AY4" s="26" t="n">
        <f aca="false">SUMIFS('Outages (event ledger)'!$H$2:$H$65,'Outages (event ledger)'!$A$2:$A$65,AY$2,'Outages (event ledger)'!$E$2:$E$65,"&lt;="&amp;$B4,'Outages (event ledger)'!$G$2:$G$65,"&gt;="&amp;$B4)</f>
        <v>0</v>
      </c>
      <c r="AZ4" s="26" t="n">
        <f aca="false">SUMIFS('Outages (event ledger)'!$H$2:$H$65,'Outages (event ledger)'!$A$2:$A$65,AZ$2,'Outages (event ledger)'!$E$2:$E$65,"&lt;="&amp;$B4,'Outages (event ledger)'!$G$2:$G$65,"&gt;="&amp;$B4)</f>
        <v>0</v>
      </c>
      <c r="BA4" s="26" t="n">
        <f aca="false">SUMIFS('Outages (event ledger)'!$H$2:$H$65,'Outages (event ledger)'!$A$2:$A$65,BA$2,'Outages (event ledger)'!$E$2:$E$65,"&lt;="&amp;$B4,'Outages (event ledger)'!$G$2:$G$65,"&gt;="&amp;$B4)</f>
        <v>0</v>
      </c>
      <c r="BB4" s="26" t="n">
        <f aca="false">SUMIFS('Outages (event ledger)'!$H$2:$H$65,'Outages (event ledger)'!$A$2:$A$65,BB$2,'Outages (event ledger)'!$E$2:$E$65,"&lt;="&amp;$B4,'Outages (event ledger)'!$G$2:$G$65,"&gt;="&amp;$B4)</f>
        <v>0</v>
      </c>
      <c r="BC4" s="26" t="n">
        <f aca="false">SUMIFS('Outages (event ledger)'!$H$2:$H$65,'Outages (event ledger)'!$A$2:$A$65,BC$2,'Outages (event ledger)'!$E$2:$E$65,"&lt;="&amp;$B4,'Outages (event ledger)'!$G$2:$G$65,"&gt;="&amp;$B4)</f>
        <v>0</v>
      </c>
      <c r="BD4" s="26" t="n">
        <f aca="false">SUMIFS('Outages (event ledger)'!$H$2:$H$65,'Outages (event ledger)'!$A$2:$A$65,BD$2,'Outages (event ledger)'!$E$2:$E$65,"&lt;="&amp;$B4,'Outages (event ledger)'!$G$2:$G$65,"&gt;="&amp;$B4)</f>
        <v>0</v>
      </c>
      <c r="BE4" s="26" t="n">
        <f aca="false">SUMIFS('Outages (event ledger)'!$H$2:$H$65,'Outages (event ledger)'!$A$2:$A$65,BE$2,'Outages (event ledger)'!$E$2:$E$65,"&lt;="&amp;$B4,'Outages (event ledger)'!$G$2:$G$65,"&gt;="&amp;$B4)</f>
        <v>0</v>
      </c>
      <c r="BF4" s="26" t="n">
        <f aca="false">SUMIFS('Outages (event ledger)'!$H$2:$H$65,'Outages (event ledger)'!$A$2:$A$65,BF$2,'Outages (event ledger)'!$E$2:$E$65,"&lt;="&amp;$B4,'Outages (event ledger)'!$G$2:$G$65,"&gt;="&amp;$B4)</f>
        <v>0</v>
      </c>
      <c r="BG4" s="26" t="n">
        <f aca="false">SUMIFS('Outages (event ledger)'!$H$2:$H$65,'Outages (event ledger)'!$A$2:$A$65,BG$2,'Outages (event ledger)'!$E$2:$E$65,"&lt;="&amp;$B4,'Outages (event ledger)'!$G$2:$G$65,"&gt;="&amp;$B4)</f>
        <v>0</v>
      </c>
      <c r="BH4" s="26" t="n">
        <f aca="false">SUMIFS('Outages (event ledger)'!$H$2:$H$65,'Outages (event ledger)'!$A$2:$A$65,BH$2,'Outages (event ledger)'!$E$2:$E$65,"&lt;="&amp;$B4,'Outages (event ledger)'!$G$2:$G$65,"&gt;="&amp;$B4)</f>
        <v>0</v>
      </c>
      <c r="BI4" s="26" t="n">
        <f aca="false">SUMIFS('Outages (event ledger)'!$H$2:$H$65,'Outages (event ledger)'!$A$2:$A$65,BI$2,'Outages (event ledger)'!$E$2:$E$65,"&lt;="&amp;$B4,'Outages (event ledger)'!$G$2:$G$65,"&gt;="&amp;$B4)</f>
        <v>0</v>
      </c>
    </row>
    <row r="5" customFormat="false" ht="15" hidden="false" customHeight="false" outlineLevel="0" collapsed="false">
      <c r="A5" s="23" t="n">
        <v>40238</v>
      </c>
      <c r="B5" s="24" t="n">
        <v>201003</v>
      </c>
      <c r="C5" s="25" t="n">
        <f aca="false">SUM(D5:BI5)</f>
        <v>8</v>
      </c>
      <c r="D5" s="26" t="n">
        <f aca="false">SUMIFS('Outages (event ledger)'!$H$2:$H$65,'Outages (event ledger)'!$A$2:$A$65,D$2,'Outages (event ledger)'!$E$2:$E$65,"&lt;="&amp;$B5,'Outages (event ledger)'!$G$2:$G$65,"&gt;="&amp;$B5)</f>
        <v>0</v>
      </c>
      <c r="E5" s="26" t="n">
        <f aca="false">SUMIFS('Outages (event ledger)'!$H$2:$H$65,'Outages (event ledger)'!$A$2:$A$65,E$2,'Outages (event ledger)'!$E$2:$E$65,"&lt;="&amp;$B5,'Outages (event ledger)'!$G$2:$G$65,"&gt;="&amp;$B5)</f>
        <v>0</v>
      </c>
      <c r="F5" s="26" t="n">
        <f aca="false">SUMIFS('Outages (event ledger)'!$H$2:$H$65,'Outages (event ledger)'!$A$2:$A$65,F$2,'Outages (event ledger)'!$E$2:$E$65,"&lt;="&amp;$B5,'Outages (event ledger)'!$G$2:$G$65,"&gt;="&amp;$B5)</f>
        <v>0</v>
      </c>
      <c r="G5" s="26" t="n">
        <f aca="false">SUMIFS('Outages (event ledger)'!$H$2:$H$65,'Outages (event ledger)'!$A$2:$A$65,G$2,'Outages (event ledger)'!$E$2:$E$65,"&lt;="&amp;$B5,'Outages (event ledger)'!$G$2:$G$65,"&gt;="&amp;$B5)</f>
        <v>0</v>
      </c>
      <c r="H5" s="26" t="n">
        <f aca="false">SUMIFS('Outages (event ledger)'!$H$2:$H$65,'Outages (event ledger)'!$A$2:$A$65,H$2,'Outages (event ledger)'!$E$2:$E$65,"&lt;="&amp;$B5,'Outages (event ledger)'!$G$2:$G$65,"&gt;="&amp;$B5)</f>
        <v>0</v>
      </c>
      <c r="I5" s="26" t="n">
        <f aca="false">SUMIFS('Outages (event ledger)'!$H$2:$H$65,'Outages (event ledger)'!$A$2:$A$65,I$2,'Outages (event ledger)'!$E$2:$E$65,"&lt;="&amp;$B5,'Outages (event ledger)'!$G$2:$G$65,"&gt;="&amp;$B5)</f>
        <v>0</v>
      </c>
      <c r="J5" s="26" t="n">
        <f aca="false">SUMIFS('Outages (event ledger)'!$H$2:$H$65,'Outages (event ledger)'!$A$2:$A$65,J$2,'Outages (event ledger)'!$E$2:$E$65,"&lt;="&amp;$B5,'Outages (event ledger)'!$G$2:$G$65,"&gt;="&amp;$B5)</f>
        <v>0</v>
      </c>
      <c r="K5" s="26" t="n">
        <f aca="false">SUMIFS('Outages (event ledger)'!$H$2:$H$65,'Outages (event ledger)'!$A$2:$A$65,K$2,'Outages (event ledger)'!$E$2:$E$65,"&lt;="&amp;$B5,'Outages (event ledger)'!$G$2:$G$65,"&gt;="&amp;$B5)</f>
        <v>0</v>
      </c>
      <c r="L5" s="26" t="n">
        <f aca="false">SUMIFS('Outages (event ledger)'!$H$2:$H$65,'Outages (event ledger)'!$A$2:$A$65,L$2,'Outages (event ledger)'!$E$2:$E$65,"&lt;="&amp;$B5,'Outages (event ledger)'!$G$2:$G$65,"&gt;="&amp;$B5)</f>
        <v>0</v>
      </c>
      <c r="M5" s="26" t="n">
        <f aca="false">SUMIFS('Outages (event ledger)'!$H$2:$H$65,'Outages (event ledger)'!$A$2:$A$65,M$2,'Outages (event ledger)'!$E$2:$E$65,"&lt;="&amp;$B5,'Outages (event ledger)'!$G$2:$G$65,"&gt;="&amp;$B5)</f>
        <v>0</v>
      </c>
      <c r="N5" s="26" t="n">
        <f aca="false">SUMIFS('Outages (event ledger)'!$H$2:$H$65,'Outages (event ledger)'!$A$2:$A$65,N$2,'Outages (event ledger)'!$E$2:$E$65,"&lt;="&amp;$B5,'Outages (event ledger)'!$G$2:$G$65,"&gt;="&amp;$B5)</f>
        <v>0</v>
      </c>
      <c r="O5" s="26" t="n">
        <f aca="false">SUMIFS('Outages (event ledger)'!$H$2:$H$65,'Outages (event ledger)'!$A$2:$A$65,O$2,'Outages (event ledger)'!$E$2:$E$65,"&lt;="&amp;$B5,'Outages (event ledger)'!$G$2:$G$65,"&gt;="&amp;$B5)</f>
        <v>0</v>
      </c>
      <c r="P5" s="26" t="n">
        <f aca="false">SUMIFS('Outages (event ledger)'!$H$2:$H$65,'Outages (event ledger)'!$A$2:$A$65,P$2,'Outages (event ledger)'!$E$2:$E$65,"&lt;="&amp;$B5,'Outages (event ledger)'!$G$2:$G$65,"&gt;="&amp;$B5)</f>
        <v>0</v>
      </c>
      <c r="Q5" s="26" t="n">
        <f aca="false">SUMIFS('Outages (event ledger)'!$H$2:$H$65,'Outages (event ledger)'!$A$2:$A$65,Q$2,'Outages (event ledger)'!$E$2:$E$65,"&lt;="&amp;$B5,'Outages (event ledger)'!$G$2:$G$65,"&gt;="&amp;$B5)</f>
        <v>0</v>
      </c>
      <c r="R5" s="26" t="n">
        <f aca="false">SUMIFS('Outages (event ledger)'!$H$2:$H$65,'Outages (event ledger)'!$A$2:$A$65,R$2,'Outages (event ledger)'!$E$2:$E$65,"&lt;="&amp;$B5,'Outages (event ledger)'!$G$2:$G$65,"&gt;="&amp;$B5)</f>
        <v>0</v>
      </c>
      <c r="S5" s="26" t="n">
        <f aca="false">SUMIFS('Outages (event ledger)'!$H$2:$H$65,'Outages (event ledger)'!$A$2:$A$65,S$2,'Outages (event ledger)'!$E$2:$E$65,"&lt;="&amp;$B5,'Outages (event ledger)'!$G$2:$G$65,"&gt;="&amp;$B5)</f>
        <v>0</v>
      </c>
      <c r="T5" s="26" t="n">
        <f aca="false">SUMIFS('Outages (event ledger)'!$H$2:$H$65,'Outages (event ledger)'!$A$2:$A$65,T$2,'Outages (event ledger)'!$E$2:$E$65,"&lt;="&amp;$B5,'Outages (event ledger)'!$G$2:$G$65,"&gt;="&amp;$B5)</f>
        <v>0</v>
      </c>
      <c r="U5" s="26" t="n">
        <f aca="false">SUMIFS('Outages (event ledger)'!$H$2:$H$65,'Outages (event ledger)'!$A$2:$A$65,U$2,'Outages (event ledger)'!$E$2:$E$65,"&lt;="&amp;$B5,'Outages (event ledger)'!$G$2:$G$65,"&gt;="&amp;$B5)</f>
        <v>0</v>
      </c>
      <c r="V5" s="26" t="n">
        <f aca="false">SUMIFS('Outages (event ledger)'!$H$2:$H$65,'Outages (event ledger)'!$A$2:$A$65,V$2,'Outages (event ledger)'!$E$2:$E$65,"&lt;="&amp;$B5,'Outages (event ledger)'!$G$2:$G$65,"&gt;="&amp;$B5)</f>
        <v>0</v>
      </c>
      <c r="W5" s="26" t="n">
        <f aca="false">SUMIFS('Outages (event ledger)'!$H$2:$H$65,'Outages (event ledger)'!$A$2:$A$65,W$2,'Outages (event ledger)'!$E$2:$E$65,"&lt;="&amp;$B5,'Outages (event ledger)'!$G$2:$G$65,"&gt;="&amp;$B5)</f>
        <v>0</v>
      </c>
      <c r="X5" s="26" t="n">
        <f aca="false">SUMIFS('Outages (event ledger)'!$H$2:$H$65,'Outages (event ledger)'!$A$2:$A$65,X$2,'Outages (event ledger)'!$E$2:$E$65,"&lt;="&amp;$B5,'Outages (event ledger)'!$G$2:$G$65,"&gt;="&amp;$B5)</f>
        <v>0</v>
      </c>
      <c r="Y5" s="26" t="n">
        <f aca="false">SUMIFS('Outages (event ledger)'!$H$2:$H$65,'Outages (event ledger)'!$A$2:$A$65,Y$2,'Outages (event ledger)'!$E$2:$E$65,"&lt;="&amp;$B5,'Outages (event ledger)'!$G$2:$G$65,"&gt;="&amp;$B5)</f>
        <v>0</v>
      </c>
      <c r="Z5" s="26" t="n">
        <f aca="false">SUMIFS('Outages (event ledger)'!$H$2:$H$65,'Outages (event ledger)'!$A$2:$A$65,Z$2,'Outages (event ledger)'!$E$2:$E$65,"&lt;="&amp;$B5,'Outages (event ledger)'!$G$2:$G$65,"&gt;="&amp;$B5)</f>
        <v>0</v>
      </c>
      <c r="AA5" s="26" t="n">
        <f aca="false">SUMIFS('Outages (event ledger)'!$H$2:$H$65,'Outages (event ledger)'!$A$2:$A$65,AA$2,'Outages (event ledger)'!$E$2:$E$65,"&lt;="&amp;$B5,'Outages (event ledger)'!$G$2:$G$65,"&gt;="&amp;$B5)</f>
        <v>0</v>
      </c>
      <c r="AB5" s="26" t="n">
        <f aca="false">SUMIFS('Outages (event ledger)'!$H$2:$H$65,'Outages (event ledger)'!$A$2:$A$65,AB$2,'Outages (event ledger)'!$E$2:$E$65,"&lt;="&amp;$B5,'Outages (event ledger)'!$G$2:$G$65,"&gt;="&amp;$B5)</f>
        <v>8</v>
      </c>
      <c r="AC5" s="26" t="n">
        <f aca="false">SUMIFS('Outages (event ledger)'!$H$2:$H$65,'Outages (event ledger)'!$A$2:$A$65,AC$2,'Outages (event ledger)'!$E$2:$E$65,"&lt;="&amp;$B5,'Outages (event ledger)'!$G$2:$G$65,"&gt;="&amp;$B5)</f>
        <v>0</v>
      </c>
      <c r="AD5" s="26" t="n">
        <f aca="false">SUMIFS('Outages (event ledger)'!$H$2:$H$65,'Outages (event ledger)'!$A$2:$A$65,AD$2,'Outages (event ledger)'!$E$2:$E$65,"&lt;="&amp;$B5,'Outages (event ledger)'!$G$2:$G$65,"&gt;="&amp;$B5)</f>
        <v>0</v>
      </c>
      <c r="AE5" s="26" t="n">
        <f aca="false">SUMIFS('Outages (event ledger)'!$H$2:$H$65,'Outages (event ledger)'!$A$2:$A$65,AE$2,'Outages (event ledger)'!$E$2:$E$65,"&lt;="&amp;$B5,'Outages (event ledger)'!$G$2:$G$65,"&gt;="&amp;$B5)</f>
        <v>0</v>
      </c>
      <c r="AF5" s="26" t="n">
        <f aca="false">SUMIFS('Outages (event ledger)'!$H$2:$H$65,'Outages (event ledger)'!$A$2:$A$65,AF$2,'Outages (event ledger)'!$E$2:$E$65,"&lt;="&amp;$B5,'Outages (event ledger)'!$G$2:$G$65,"&gt;="&amp;$B5)</f>
        <v>0</v>
      </c>
      <c r="AG5" s="26" t="n">
        <f aca="false">SUMIFS('Outages (event ledger)'!$H$2:$H$65,'Outages (event ledger)'!$A$2:$A$65,AG$2,'Outages (event ledger)'!$E$2:$E$65,"&lt;="&amp;$B5,'Outages (event ledger)'!$G$2:$G$65,"&gt;="&amp;$B5)</f>
        <v>0</v>
      </c>
      <c r="AH5" s="26" t="n">
        <f aca="false">SUMIFS('Outages (event ledger)'!$H$2:$H$65,'Outages (event ledger)'!$A$2:$A$65,AH$2,'Outages (event ledger)'!$E$2:$E$65,"&lt;="&amp;$B5,'Outages (event ledger)'!$G$2:$G$65,"&gt;="&amp;$B5)</f>
        <v>0</v>
      </c>
      <c r="AI5" s="26" t="n">
        <f aca="false">SUMIFS('Outages (event ledger)'!$H$2:$H$65,'Outages (event ledger)'!$A$2:$A$65,AI$2,'Outages (event ledger)'!$E$2:$E$65,"&lt;="&amp;$B5,'Outages (event ledger)'!$G$2:$G$65,"&gt;="&amp;$B5)</f>
        <v>0</v>
      </c>
      <c r="AJ5" s="26" t="n">
        <f aca="false">SUMIFS('Outages (event ledger)'!$H$2:$H$65,'Outages (event ledger)'!$A$2:$A$65,AJ$2,'Outages (event ledger)'!$E$2:$E$65,"&lt;="&amp;$B5,'Outages (event ledger)'!$G$2:$G$65,"&gt;="&amp;$B5)</f>
        <v>0</v>
      </c>
      <c r="AK5" s="26" t="n">
        <f aca="false">SUMIFS('Outages (event ledger)'!$H$2:$H$65,'Outages (event ledger)'!$A$2:$A$65,AK$2,'Outages (event ledger)'!$E$2:$E$65,"&lt;="&amp;$B5,'Outages (event ledger)'!$G$2:$G$65,"&gt;="&amp;$B5)</f>
        <v>0</v>
      </c>
      <c r="AL5" s="26" t="n">
        <f aca="false">SUMIFS('Outages (event ledger)'!$H$2:$H$65,'Outages (event ledger)'!$A$2:$A$65,AL$2,'Outages (event ledger)'!$E$2:$E$65,"&lt;="&amp;$B5,'Outages (event ledger)'!$G$2:$G$65,"&gt;="&amp;$B5)</f>
        <v>0</v>
      </c>
      <c r="AM5" s="26" t="n">
        <f aca="false">SUMIFS('Outages (event ledger)'!$H$2:$H$65,'Outages (event ledger)'!$A$2:$A$65,AM$2,'Outages (event ledger)'!$E$2:$E$65,"&lt;="&amp;$B5,'Outages (event ledger)'!$G$2:$G$65,"&gt;="&amp;$B5)</f>
        <v>0</v>
      </c>
      <c r="AN5" s="26" t="n">
        <f aca="false">SUMIFS('Outages (event ledger)'!$H$2:$H$65,'Outages (event ledger)'!$A$2:$A$65,AN$2,'Outages (event ledger)'!$E$2:$E$65,"&lt;="&amp;$B5,'Outages (event ledger)'!$G$2:$G$65,"&gt;="&amp;$B5)</f>
        <v>0</v>
      </c>
      <c r="AO5" s="26" t="n">
        <f aca="false">SUMIFS('Outages (event ledger)'!$H$2:$H$65,'Outages (event ledger)'!$A$2:$A$65,AO$2,'Outages (event ledger)'!$E$2:$E$65,"&lt;="&amp;$B5,'Outages (event ledger)'!$G$2:$G$65,"&gt;="&amp;$B5)</f>
        <v>0</v>
      </c>
      <c r="AP5" s="26" t="n">
        <f aca="false">SUMIFS('Outages (event ledger)'!$H$2:$H$65,'Outages (event ledger)'!$A$2:$A$65,AP$2,'Outages (event ledger)'!$E$2:$E$65,"&lt;="&amp;$B5,'Outages (event ledger)'!$G$2:$G$65,"&gt;="&amp;$B5)</f>
        <v>0</v>
      </c>
      <c r="AQ5" s="26" t="n">
        <f aca="false">SUMIFS('Outages (event ledger)'!$H$2:$H$65,'Outages (event ledger)'!$A$2:$A$65,AQ$2,'Outages (event ledger)'!$E$2:$E$65,"&lt;="&amp;$B5,'Outages (event ledger)'!$G$2:$G$65,"&gt;="&amp;$B5)</f>
        <v>0</v>
      </c>
      <c r="AR5" s="26" t="n">
        <f aca="false">SUMIFS('Outages (event ledger)'!$H$2:$H$65,'Outages (event ledger)'!$A$2:$A$65,AR$2,'Outages (event ledger)'!$E$2:$E$65,"&lt;="&amp;$B5,'Outages (event ledger)'!$G$2:$G$65,"&gt;="&amp;$B5)</f>
        <v>0</v>
      </c>
      <c r="AS5" s="26" t="n">
        <f aca="false">SUMIFS('Outages (event ledger)'!$H$2:$H$65,'Outages (event ledger)'!$A$2:$A$65,AS$2,'Outages (event ledger)'!$E$2:$E$65,"&lt;="&amp;$B5,'Outages (event ledger)'!$G$2:$G$65,"&gt;="&amp;$B5)</f>
        <v>0</v>
      </c>
      <c r="AT5" s="26" t="n">
        <f aca="false">SUMIFS('Outages (event ledger)'!$H$2:$H$65,'Outages (event ledger)'!$A$2:$A$65,AT$2,'Outages (event ledger)'!$E$2:$E$65,"&lt;="&amp;$B5,'Outages (event ledger)'!$G$2:$G$65,"&gt;="&amp;$B5)</f>
        <v>0</v>
      </c>
      <c r="AU5" s="26" t="n">
        <f aca="false">SUMIFS('Outages (event ledger)'!$H$2:$H$65,'Outages (event ledger)'!$A$2:$A$65,AU$2,'Outages (event ledger)'!$E$2:$E$65,"&lt;="&amp;$B5,'Outages (event ledger)'!$G$2:$G$65,"&gt;="&amp;$B5)</f>
        <v>0</v>
      </c>
      <c r="AV5" s="26" t="n">
        <f aca="false">SUMIFS('Outages (event ledger)'!$H$2:$H$65,'Outages (event ledger)'!$A$2:$A$65,AV$2,'Outages (event ledger)'!$E$2:$E$65,"&lt;="&amp;$B5,'Outages (event ledger)'!$G$2:$G$65,"&gt;="&amp;$B5)</f>
        <v>0</v>
      </c>
      <c r="AW5" s="26" t="n">
        <f aca="false">SUMIFS('Outages (event ledger)'!$H$2:$H$65,'Outages (event ledger)'!$A$2:$A$65,AW$2,'Outages (event ledger)'!$E$2:$E$65,"&lt;="&amp;$B5,'Outages (event ledger)'!$G$2:$G$65,"&gt;="&amp;$B5)</f>
        <v>0</v>
      </c>
      <c r="AX5" s="26" t="n">
        <f aca="false">SUMIFS('Outages (event ledger)'!$H$2:$H$65,'Outages (event ledger)'!$A$2:$A$65,AX$2,'Outages (event ledger)'!$E$2:$E$65,"&lt;="&amp;$B5,'Outages (event ledger)'!$G$2:$G$65,"&gt;="&amp;$B5)</f>
        <v>0</v>
      </c>
      <c r="AY5" s="26" t="n">
        <f aca="false">SUMIFS('Outages (event ledger)'!$H$2:$H$65,'Outages (event ledger)'!$A$2:$A$65,AY$2,'Outages (event ledger)'!$E$2:$E$65,"&lt;="&amp;$B5,'Outages (event ledger)'!$G$2:$G$65,"&gt;="&amp;$B5)</f>
        <v>0</v>
      </c>
      <c r="AZ5" s="26" t="n">
        <f aca="false">SUMIFS('Outages (event ledger)'!$H$2:$H$65,'Outages (event ledger)'!$A$2:$A$65,AZ$2,'Outages (event ledger)'!$E$2:$E$65,"&lt;="&amp;$B5,'Outages (event ledger)'!$G$2:$G$65,"&gt;="&amp;$B5)</f>
        <v>0</v>
      </c>
      <c r="BA5" s="26" t="n">
        <f aca="false">SUMIFS('Outages (event ledger)'!$H$2:$H$65,'Outages (event ledger)'!$A$2:$A$65,BA$2,'Outages (event ledger)'!$E$2:$E$65,"&lt;="&amp;$B5,'Outages (event ledger)'!$G$2:$G$65,"&gt;="&amp;$B5)</f>
        <v>0</v>
      </c>
      <c r="BB5" s="26" t="n">
        <f aca="false">SUMIFS('Outages (event ledger)'!$H$2:$H$65,'Outages (event ledger)'!$A$2:$A$65,BB$2,'Outages (event ledger)'!$E$2:$E$65,"&lt;="&amp;$B5,'Outages (event ledger)'!$G$2:$G$65,"&gt;="&amp;$B5)</f>
        <v>0</v>
      </c>
      <c r="BC5" s="26" t="n">
        <f aca="false">SUMIFS('Outages (event ledger)'!$H$2:$H$65,'Outages (event ledger)'!$A$2:$A$65,BC$2,'Outages (event ledger)'!$E$2:$E$65,"&lt;="&amp;$B5,'Outages (event ledger)'!$G$2:$G$65,"&gt;="&amp;$B5)</f>
        <v>0</v>
      </c>
      <c r="BD5" s="26" t="n">
        <f aca="false">SUMIFS('Outages (event ledger)'!$H$2:$H$65,'Outages (event ledger)'!$A$2:$A$65,BD$2,'Outages (event ledger)'!$E$2:$E$65,"&lt;="&amp;$B5,'Outages (event ledger)'!$G$2:$G$65,"&gt;="&amp;$B5)</f>
        <v>0</v>
      </c>
      <c r="BE5" s="26" t="n">
        <f aca="false">SUMIFS('Outages (event ledger)'!$H$2:$H$65,'Outages (event ledger)'!$A$2:$A$65,BE$2,'Outages (event ledger)'!$E$2:$E$65,"&lt;="&amp;$B5,'Outages (event ledger)'!$G$2:$G$65,"&gt;="&amp;$B5)</f>
        <v>0</v>
      </c>
      <c r="BF5" s="26" t="n">
        <f aca="false">SUMIFS('Outages (event ledger)'!$H$2:$H$65,'Outages (event ledger)'!$A$2:$A$65,BF$2,'Outages (event ledger)'!$E$2:$E$65,"&lt;="&amp;$B5,'Outages (event ledger)'!$G$2:$G$65,"&gt;="&amp;$B5)</f>
        <v>0</v>
      </c>
      <c r="BG5" s="26" t="n">
        <f aca="false">SUMIFS('Outages (event ledger)'!$H$2:$H$65,'Outages (event ledger)'!$A$2:$A$65,BG$2,'Outages (event ledger)'!$E$2:$E$65,"&lt;="&amp;$B5,'Outages (event ledger)'!$G$2:$G$65,"&gt;="&amp;$B5)</f>
        <v>0</v>
      </c>
      <c r="BH5" s="26" t="n">
        <f aca="false">SUMIFS('Outages (event ledger)'!$H$2:$H$65,'Outages (event ledger)'!$A$2:$A$65,BH$2,'Outages (event ledger)'!$E$2:$E$65,"&lt;="&amp;$B5,'Outages (event ledger)'!$G$2:$G$65,"&gt;="&amp;$B5)</f>
        <v>0</v>
      </c>
      <c r="BI5" s="26" t="n">
        <f aca="false">SUMIFS('Outages (event ledger)'!$H$2:$H$65,'Outages (event ledger)'!$A$2:$A$65,BI$2,'Outages (event ledger)'!$E$2:$E$65,"&lt;="&amp;$B5,'Outages (event ledger)'!$G$2:$G$65,"&gt;="&amp;$B5)</f>
        <v>0</v>
      </c>
    </row>
    <row r="6" customFormat="false" ht="15" hidden="false" customHeight="false" outlineLevel="0" collapsed="false">
      <c r="A6" s="23" t="n">
        <v>40269</v>
      </c>
      <c r="B6" s="24" t="n">
        <v>201004</v>
      </c>
      <c r="C6" s="25" t="n">
        <f aca="false">SUM(D6:BI6)</f>
        <v>8</v>
      </c>
      <c r="D6" s="26" t="n">
        <f aca="false">SUMIFS('Outages (event ledger)'!$H$2:$H$65,'Outages (event ledger)'!$A$2:$A$65,D$2,'Outages (event ledger)'!$E$2:$E$65,"&lt;="&amp;$B6,'Outages (event ledger)'!$G$2:$G$65,"&gt;="&amp;$B6)</f>
        <v>0</v>
      </c>
      <c r="E6" s="26" t="n">
        <f aca="false">SUMIFS('Outages (event ledger)'!$H$2:$H$65,'Outages (event ledger)'!$A$2:$A$65,E$2,'Outages (event ledger)'!$E$2:$E$65,"&lt;="&amp;$B6,'Outages (event ledger)'!$G$2:$G$65,"&gt;="&amp;$B6)</f>
        <v>0</v>
      </c>
      <c r="F6" s="26" t="n">
        <f aca="false">SUMIFS('Outages (event ledger)'!$H$2:$H$65,'Outages (event ledger)'!$A$2:$A$65,F$2,'Outages (event ledger)'!$E$2:$E$65,"&lt;="&amp;$B6,'Outages (event ledger)'!$G$2:$G$65,"&gt;="&amp;$B6)</f>
        <v>0</v>
      </c>
      <c r="G6" s="26" t="n">
        <f aca="false">SUMIFS('Outages (event ledger)'!$H$2:$H$65,'Outages (event ledger)'!$A$2:$A$65,G$2,'Outages (event ledger)'!$E$2:$E$65,"&lt;="&amp;$B6,'Outages (event ledger)'!$G$2:$G$65,"&gt;="&amp;$B6)</f>
        <v>0</v>
      </c>
      <c r="H6" s="26" t="n">
        <f aca="false">SUMIFS('Outages (event ledger)'!$H$2:$H$65,'Outages (event ledger)'!$A$2:$A$65,H$2,'Outages (event ledger)'!$E$2:$E$65,"&lt;="&amp;$B6,'Outages (event ledger)'!$G$2:$G$65,"&gt;="&amp;$B6)</f>
        <v>0</v>
      </c>
      <c r="I6" s="26" t="n">
        <f aca="false">SUMIFS('Outages (event ledger)'!$H$2:$H$65,'Outages (event ledger)'!$A$2:$A$65,I$2,'Outages (event ledger)'!$E$2:$E$65,"&lt;="&amp;$B6,'Outages (event ledger)'!$G$2:$G$65,"&gt;="&amp;$B6)</f>
        <v>0</v>
      </c>
      <c r="J6" s="26" t="n">
        <f aca="false">SUMIFS('Outages (event ledger)'!$H$2:$H$65,'Outages (event ledger)'!$A$2:$A$65,J$2,'Outages (event ledger)'!$E$2:$E$65,"&lt;="&amp;$B6,'Outages (event ledger)'!$G$2:$G$65,"&gt;="&amp;$B6)</f>
        <v>0</v>
      </c>
      <c r="K6" s="26" t="n">
        <f aca="false">SUMIFS('Outages (event ledger)'!$H$2:$H$65,'Outages (event ledger)'!$A$2:$A$65,K$2,'Outages (event ledger)'!$E$2:$E$65,"&lt;="&amp;$B6,'Outages (event ledger)'!$G$2:$G$65,"&gt;="&amp;$B6)</f>
        <v>0</v>
      </c>
      <c r="L6" s="26" t="n">
        <f aca="false">SUMIFS('Outages (event ledger)'!$H$2:$H$65,'Outages (event ledger)'!$A$2:$A$65,L$2,'Outages (event ledger)'!$E$2:$E$65,"&lt;="&amp;$B6,'Outages (event ledger)'!$G$2:$G$65,"&gt;="&amp;$B6)</f>
        <v>0</v>
      </c>
      <c r="M6" s="26" t="n">
        <f aca="false">SUMIFS('Outages (event ledger)'!$H$2:$H$65,'Outages (event ledger)'!$A$2:$A$65,M$2,'Outages (event ledger)'!$E$2:$E$65,"&lt;="&amp;$B6,'Outages (event ledger)'!$G$2:$G$65,"&gt;="&amp;$B6)</f>
        <v>0</v>
      </c>
      <c r="N6" s="26" t="n">
        <f aca="false">SUMIFS('Outages (event ledger)'!$H$2:$H$65,'Outages (event ledger)'!$A$2:$A$65,N$2,'Outages (event ledger)'!$E$2:$E$65,"&lt;="&amp;$B6,'Outages (event ledger)'!$G$2:$G$65,"&gt;="&amp;$B6)</f>
        <v>0</v>
      </c>
      <c r="O6" s="26" t="n">
        <f aca="false">SUMIFS('Outages (event ledger)'!$H$2:$H$65,'Outages (event ledger)'!$A$2:$A$65,O$2,'Outages (event ledger)'!$E$2:$E$65,"&lt;="&amp;$B6,'Outages (event ledger)'!$G$2:$G$65,"&gt;="&amp;$B6)</f>
        <v>0</v>
      </c>
      <c r="P6" s="26" t="n">
        <f aca="false">SUMIFS('Outages (event ledger)'!$H$2:$H$65,'Outages (event ledger)'!$A$2:$A$65,P$2,'Outages (event ledger)'!$E$2:$E$65,"&lt;="&amp;$B6,'Outages (event ledger)'!$G$2:$G$65,"&gt;="&amp;$B6)</f>
        <v>0</v>
      </c>
      <c r="Q6" s="26" t="n">
        <f aca="false">SUMIFS('Outages (event ledger)'!$H$2:$H$65,'Outages (event ledger)'!$A$2:$A$65,Q$2,'Outages (event ledger)'!$E$2:$E$65,"&lt;="&amp;$B6,'Outages (event ledger)'!$G$2:$G$65,"&gt;="&amp;$B6)</f>
        <v>0</v>
      </c>
      <c r="R6" s="26" t="n">
        <f aca="false">SUMIFS('Outages (event ledger)'!$H$2:$H$65,'Outages (event ledger)'!$A$2:$A$65,R$2,'Outages (event ledger)'!$E$2:$E$65,"&lt;="&amp;$B6,'Outages (event ledger)'!$G$2:$G$65,"&gt;="&amp;$B6)</f>
        <v>0</v>
      </c>
      <c r="S6" s="26" t="n">
        <f aca="false">SUMIFS('Outages (event ledger)'!$H$2:$H$65,'Outages (event ledger)'!$A$2:$A$65,S$2,'Outages (event ledger)'!$E$2:$E$65,"&lt;="&amp;$B6,'Outages (event ledger)'!$G$2:$G$65,"&gt;="&amp;$B6)</f>
        <v>0</v>
      </c>
      <c r="T6" s="26" t="n">
        <f aca="false">SUMIFS('Outages (event ledger)'!$H$2:$H$65,'Outages (event ledger)'!$A$2:$A$65,T$2,'Outages (event ledger)'!$E$2:$E$65,"&lt;="&amp;$B6,'Outages (event ledger)'!$G$2:$G$65,"&gt;="&amp;$B6)</f>
        <v>0</v>
      </c>
      <c r="U6" s="26" t="n">
        <f aca="false">SUMIFS('Outages (event ledger)'!$H$2:$H$65,'Outages (event ledger)'!$A$2:$A$65,U$2,'Outages (event ledger)'!$E$2:$E$65,"&lt;="&amp;$B6,'Outages (event ledger)'!$G$2:$G$65,"&gt;="&amp;$B6)</f>
        <v>0</v>
      </c>
      <c r="V6" s="26" t="n">
        <f aca="false">SUMIFS('Outages (event ledger)'!$H$2:$H$65,'Outages (event ledger)'!$A$2:$A$65,V$2,'Outages (event ledger)'!$E$2:$E$65,"&lt;="&amp;$B6,'Outages (event ledger)'!$G$2:$G$65,"&gt;="&amp;$B6)</f>
        <v>0</v>
      </c>
      <c r="W6" s="26" t="n">
        <f aca="false">SUMIFS('Outages (event ledger)'!$H$2:$H$65,'Outages (event ledger)'!$A$2:$A$65,W$2,'Outages (event ledger)'!$E$2:$E$65,"&lt;="&amp;$B6,'Outages (event ledger)'!$G$2:$G$65,"&gt;="&amp;$B6)</f>
        <v>0</v>
      </c>
      <c r="X6" s="26" t="n">
        <f aca="false">SUMIFS('Outages (event ledger)'!$H$2:$H$65,'Outages (event ledger)'!$A$2:$A$65,X$2,'Outages (event ledger)'!$E$2:$E$65,"&lt;="&amp;$B6,'Outages (event ledger)'!$G$2:$G$65,"&gt;="&amp;$B6)</f>
        <v>0</v>
      </c>
      <c r="Y6" s="26" t="n">
        <f aca="false">SUMIFS('Outages (event ledger)'!$H$2:$H$65,'Outages (event ledger)'!$A$2:$A$65,Y$2,'Outages (event ledger)'!$E$2:$E$65,"&lt;="&amp;$B6,'Outages (event ledger)'!$G$2:$G$65,"&gt;="&amp;$B6)</f>
        <v>0</v>
      </c>
      <c r="Z6" s="26" t="n">
        <f aca="false">SUMIFS('Outages (event ledger)'!$H$2:$H$65,'Outages (event ledger)'!$A$2:$A$65,Z$2,'Outages (event ledger)'!$E$2:$E$65,"&lt;="&amp;$B6,'Outages (event ledger)'!$G$2:$G$65,"&gt;="&amp;$B6)</f>
        <v>0</v>
      </c>
      <c r="AA6" s="26" t="n">
        <f aca="false">SUMIFS('Outages (event ledger)'!$H$2:$H$65,'Outages (event ledger)'!$A$2:$A$65,AA$2,'Outages (event ledger)'!$E$2:$E$65,"&lt;="&amp;$B6,'Outages (event ledger)'!$G$2:$G$65,"&gt;="&amp;$B6)</f>
        <v>0</v>
      </c>
      <c r="AB6" s="26" t="n">
        <f aca="false">SUMIFS('Outages (event ledger)'!$H$2:$H$65,'Outages (event ledger)'!$A$2:$A$65,AB$2,'Outages (event ledger)'!$E$2:$E$65,"&lt;="&amp;$B6,'Outages (event ledger)'!$G$2:$G$65,"&gt;="&amp;$B6)</f>
        <v>8</v>
      </c>
      <c r="AC6" s="26" t="n">
        <f aca="false">SUMIFS('Outages (event ledger)'!$H$2:$H$65,'Outages (event ledger)'!$A$2:$A$65,AC$2,'Outages (event ledger)'!$E$2:$E$65,"&lt;="&amp;$B6,'Outages (event ledger)'!$G$2:$G$65,"&gt;="&amp;$B6)</f>
        <v>0</v>
      </c>
      <c r="AD6" s="26" t="n">
        <f aca="false">SUMIFS('Outages (event ledger)'!$H$2:$H$65,'Outages (event ledger)'!$A$2:$A$65,AD$2,'Outages (event ledger)'!$E$2:$E$65,"&lt;="&amp;$B6,'Outages (event ledger)'!$G$2:$G$65,"&gt;="&amp;$B6)</f>
        <v>0</v>
      </c>
      <c r="AE6" s="26" t="n">
        <f aca="false">SUMIFS('Outages (event ledger)'!$H$2:$H$65,'Outages (event ledger)'!$A$2:$A$65,AE$2,'Outages (event ledger)'!$E$2:$E$65,"&lt;="&amp;$B6,'Outages (event ledger)'!$G$2:$G$65,"&gt;="&amp;$B6)</f>
        <v>0</v>
      </c>
      <c r="AF6" s="26" t="n">
        <f aca="false">SUMIFS('Outages (event ledger)'!$H$2:$H$65,'Outages (event ledger)'!$A$2:$A$65,AF$2,'Outages (event ledger)'!$E$2:$E$65,"&lt;="&amp;$B6,'Outages (event ledger)'!$G$2:$G$65,"&gt;="&amp;$B6)</f>
        <v>0</v>
      </c>
      <c r="AG6" s="26" t="n">
        <f aca="false">SUMIFS('Outages (event ledger)'!$H$2:$H$65,'Outages (event ledger)'!$A$2:$A$65,AG$2,'Outages (event ledger)'!$E$2:$E$65,"&lt;="&amp;$B6,'Outages (event ledger)'!$G$2:$G$65,"&gt;="&amp;$B6)</f>
        <v>0</v>
      </c>
      <c r="AH6" s="26" t="n">
        <f aca="false">SUMIFS('Outages (event ledger)'!$H$2:$H$65,'Outages (event ledger)'!$A$2:$A$65,AH$2,'Outages (event ledger)'!$E$2:$E$65,"&lt;="&amp;$B6,'Outages (event ledger)'!$G$2:$G$65,"&gt;="&amp;$B6)</f>
        <v>0</v>
      </c>
      <c r="AI6" s="26" t="n">
        <f aca="false">SUMIFS('Outages (event ledger)'!$H$2:$H$65,'Outages (event ledger)'!$A$2:$A$65,AI$2,'Outages (event ledger)'!$E$2:$E$65,"&lt;="&amp;$B6,'Outages (event ledger)'!$G$2:$G$65,"&gt;="&amp;$B6)</f>
        <v>0</v>
      </c>
      <c r="AJ6" s="26" t="n">
        <f aca="false">SUMIFS('Outages (event ledger)'!$H$2:$H$65,'Outages (event ledger)'!$A$2:$A$65,AJ$2,'Outages (event ledger)'!$E$2:$E$65,"&lt;="&amp;$B6,'Outages (event ledger)'!$G$2:$G$65,"&gt;="&amp;$B6)</f>
        <v>0</v>
      </c>
      <c r="AK6" s="26" t="n">
        <f aca="false">SUMIFS('Outages (event ledger)'!$H$2:$H$65,'Outages (event ledger)'!$A$2:$A$65,AK$2,'Outages (event ledger)'!$E$2:$E$65,"&lt;="&amp;$B6,'Outages (event ledger)'!$G$2:$G$65,"&gt;="&amp;$B6)</f>
        <v>0</v>
      </c>
      <c r="AL6" s="26" t="n">
        <f aca="false">SUMIFS('Outages (event ledger)'!$H$2:$H$65,'Outages (event ledger)'!$A$2:$A$65,AL$2,'Outages (event ledger)'!$E$2:$E$65,"&lt;="&amp;$B6,'Outages (event ledger)'!$G$2:$G$65,"&gt;="&amp;$B6)</f>
        <v>0</v>
      </c>
      <c r="AM6" s="26" t="n">
        <f aca="false">SUMIFS('Outages (event ledger)'!$H$2:$H$65,'Outages (event ledger)'!$A$2:$A$65,AM$2,'Outages (event ledger)'!$E$2:$E$65,"&lt;="&amp;$B6,'Outages (event ledger)'!$G$2:$G$65,"&gt;="&amp;$B6)</f>
        <v>0</v>
      </c>
      <c r="AN6" s="26" t="n">
        <f aca="false">SUMIFS('Outages (event ledger)'!$H$2:$H$65,'Outages (event ledger)'!$A$2:$A$65,AN$2,'Outages (event ledger)'!$E$2:$E$65,"&lt;="&amp;$B6,'Outages (event ledger)'!$G$2:$G$65,"&gt;="&amp;$B6)</f>
        <v>0</v>
      </c>
      <c r="AO6" s="26" t="n">
        <f aca="false">SUMIFS('Outages (event ledger)'!$H$2:$H$65,'Outages (event ledger)'!$A$2:$A$65,AO$2,'Outages (event ledger)'!$E$2:$E$65,"&lt;="&amp;$B6,'Outages (event ledger)'!$G$2:$G$65,"&gt;="&amp;$B6)</f>
        <v>0</v>
      </c>
      <c r="AP6" s="26" t="n">
        <f aca="false">SUMIFS('Outages (event ledger)'!$H$2:$H$65,'Outages (event ledger)'!$A$2:$A$65,AP$2,'Outages (event ledger)'!$E$2:$E$65,"&lt;="&amp;$B6,'Outages (event ledger)'!$G$2:$G$65,"&gt;="&amp;$B6)</f>
        <v>0</v>
      </c>
      <c r="AQ6" s="26" t="n">
        <f aca="false">SUMIFS('Outages (event ledger)'!$H$2:$H$65,'Outages (event ledger)'!$A$2:$A$65,AQ$2,'Outages (event ledger)'!$E$2:$E$65,"&lt;="&amp;$B6,'Outages (event ledger)'!$G$2:$G$65,"&gt;="&amp;$B6)</f>
        <v>0</v>
      </c>
      <c r="AR6" s="26" t="n">
        <f aca="false">SUMIFS('Outages (event ledger)'!$H$2:$H$65,'Outages (event ledger)'!$A$2:$A$65,AR$2,'Outages (event ledger)'!$E$2:$E$65,"&lt;="&amp;$B6,'Outages (event ledger)'!$G$2:$G$65,"&gt;="&amp;$B6)</f>
        <v>0</v>
      </c>
      <c r="AS6" s="26" t="n">
        <f aca="false">SUMIFS('Outages (event ledger)'!$H$2:$H$65,'Outages (event ledger)'!$A$2:$A$65,AS$2,'Outages (event ledger)'!$E$2:$E$65,"&lt;="&amp;$B6,'Outages (event ledger)'!$G$2:$G$65,"&gt;="&amp;$B6)</f>
        <v>0</v>
      </c>
      <c r="AT6" s="26" t="n">
        <f aca="false">SUMIFS('Outages (event ledger)'!$H$2:$H$65,'Outages (event ledger)'!$A$2:$A$65,AT$2,'Outages (event ledger)'!$E$2:$E$65,"&lt;="&amp;$B6,'Outages (event ledger)'!$G$2:$G$65,"&gt;="&amp;$B6)</f>
        <v>0</v>
      </c>
      <c r="AU6" s="26" t="n">
        <f aca="false">SUMIFS('Outages (event ledger)'!$H$2:$H$65,'Outages (event ledger)'!$A$2:$A$65,AU$2,'Outages (event ledger)'!$E$2:$E$65,"&lt;="&amp;$B6,'Outages (event ledger)'!$G$2:$G$65,"&gt;="&amp;$B6)</f>
        <v>0</v>
      </c>
      <c r="AV6" s="26" t="n">
        <f aca="false">SUMIFS('Outages (event ledger)'!$H$2:$H$65,'Outages (event ledger)'!$A$2:$A$65,AV$2,'Outages (event ledger)'!$E$2:$E$65,"&lt;="&amp;$B6,'Outages (event ledger)'!$G$2:$G$65,"&gt;="&amp;$B6)</f>
        <v>0</v>
      </c>
      <c r="AW6" s="26" t="n">
        <f aca="false">SUMIFS('Outages (event ledger)'!$H$2:$H$65,'Outages (event ledger)'!$A$2:$A$65,AW$2,'Outages (event ledger)'!$E$2:$E$65,"&lt;="&amp;$B6,'Outages (event ledger)'!$G$2:$G$65,"&gt;="&amp;$B6)</f>
        <v>0</v>
      </c>
      <c r="AX6" s="26" t="n">
        <f aca="false">SUMIFS('Outages (event ledger)'!$H$2:$H$65,'Outages (event ledger)'!$A$2:$A$65,AX$2,'Outages (event ledger)'!$E$2:$E$65,"&lt;="&amp;$B6,'Outages (event ledger)'!$G$2:$G$65,"&gt;="&amp;$B6)</f>
        <v>0</v>
      </c>
      <c r="AY6" s="26" t="n">
        <f aca="false">SUMIFS('Outages (event ledger)'!$H$2:$H$65,'Outages (event ledger)'!$A$2:$A$65,AY$2,'Outages (event ledger)'!$E$2:$E$65,"&lt;="&amp;$B6,'Outages (event ledger)'!$G$2:$G$65,"&gt;="&amp;$B6)</f>
        <v>0</v>
      </c>
      <c r="AZ6" s="26" t="n">
        <f aca="false">SUMIFS('Outages (event ledger)'!$H$2:$H$65,'Outages (event ledger)'!$A$2:$A$65,AZ$2,'Outages (event ledger)'!$E$2:$E$65,"&lt;="&amp;$B6,'Outages (event ledger)'!$G$2:$G$65,"&gt;="&amp;$B6)</f>
        <v>0</v>
      </c>
      <c r="BA6" s="26" t="n">
        <f aca="false">SUMIFS('Outages (event ledger)'!$H$2:$H$65,'Outages (event ledger)'!$A$2:$A$65,BA$2,'Outages (event ledger)'!$E$2:$E$65,"&lt;="&amp;$B6,'Outages (event ledger)'!$G$2:$G$65,"&gt;="&amp;$B6)</f>
        <v>0</v>
      </c>
      <c r="BB6" s="26" t="n">
        <f aca="false">SUMIFS('Outages (event ledger)'!$H$2:$H$65,'Outages (event ledger)'!$A$2:$A$65,BB$2,'Outages (event ledger)'!$E$2:$E$65,"&lt;="&amp;$B6,'Outages (event ledger)'!$G$2:$G$65,"&gt;="&amp;$B6)</f>
        <v>0</v>
      </c>
      <c r="BC6" s="26" t="n">
        <f aca="false">SUMIFS('Outages (event ledger)'!$H$2:$H$65,'Outages (event ledger)'!$A$2:$A$65,BC$2,'Outages (event ledger)'!$E$2:$E$65,"&lt;="&amp;$B6,'Outages (event ledger)'!$G$2:$G$65,"&gt;="&amp;$B6)</f>
        <v>0</v>
      </c>
      <c r="BD6" s="26" t="n">
        <f aca="false">SUMIFS('Outages (event ledger)'!$H$2:$H$65,'Outages (event ledger)'!$A$2:$A$65,BD$2,'Outages (event ledger)'!$E$2:$E$65,"&lt;="&amp;$B6,'Outages (event ledger)'!$G$2:$G$65,"&gt;="&amp;$B6)</f>
        <v>0</v>
      </c>
      <c r="BE6" s="26" t="n">
        <f aca="false">SUMIFS('Outages (event ledger)'!$H$2:$H$65,'Outages (event ledger)'!$A$2:$A$65,BE$2,'Outages (event ledger)'!$E$2:$E$65,"&lt;="&amp;$B6,'Outages (event ledger)'!$G$2:$G$65,"&gt;="&amp;$B6)</f>
        <v>0</v>
      </c>
      <c r="BF6" s="26" t="n">
        <f aca="false">SUMIFS('Outages (event ledger)'!$H$2:$H$65,'Outages (event ledger)'!$A$2:$A$65,BF$2,'Outages (event ledger)'!$E$2:$E$65,"&lt;="&amp;$B6,'Outages (event ledger)'!$G$2:$G$65,"&gt;="&amp;$B6)</f>
        <v>0</v>
      </c>
      <c r="BG6" s="26" t="n">
        <f aca="false">SUMIFS('Outages (event ledger)'!$H$2:$H$65,'Outages (event ledger)'!$A$2:$A$65,BG$2,'Outages (event ledger)'!$E$2:$E$65,"&lt;="&amp;$B6,'Outages (event ledger)'!$G$2:$G$65,"&gt;="&amp;$B6)</f>
        <v>0</v>
      </c>
      <c r="BH6" s="26" t="n">
        <f aca="false">SUMIFS('Outages (event ledger)'!$H$2:$H$65,'Outages (event ledger)'!$A$2:$A$65,BH$2,'Outages (event ledger)'!$E$2:$E$65,"&lt;="&amp;$B6,'Outages (event ledger)'!$G$2:$G$65,"&gt;="&amp;$B6)</f>
        <v>0</v>
      </c>
      <c r="BI6" s="26" t="n">
        <f aca="false">SUMIFS('Outages (event ledger)'!$H$2:$H$65,'Outages (event ledger)'!$A$2:$A$65,BI$2,'Outages (event ledger)'!$E$2:$E$65,"&lt;="&amp;$B6,'Outages (event ledger)'!$G$2:$G$65,"&gt;="&amp;$B6)</f>
        <v>0</v>
      </c>
    </row>
    <row r="7" customFormat="false" ht="15" hidden="false" customHeight="false" outlineLevel="0" collapsed="false">
      <c r="A7" s="23" t="n">
        <v>40299</v>
      </c>
      <c r="B7" s="24" t="n">
        <v>201005</v>
      </c>
      <c r="C7" s="25" t="n">
        <f aca="false">SUM(D7:BI7)</f>
        <v>8</v>
      </c>
      <c r="D7" s="26" t="n">
        <f aca="false">SUMIFS('Outages (event ledger)'!$H$2:$H$65,'Outages (event ledger)'!$A$2:$A$65,D$2,'Outages (event ledger)'!$E$2:$E$65,"&lt;="&amp;$B7,'Outages (event ledger)'!$G$2:$G$65,"&gt;="&amp;$B7)</f>
        <v>0</v>
      </c>
      <c r="E7" s="26" t="n">
        <f aca="false">SUMIFS('Outages (event ledger)'!$H$2:$H$65,'Outages (event ledger)'!$A$2:$A$65,E$2,'Outages (event ledger)'!$E$2:$E$65,"&lt;="&amp;$B7,'Outages (event ledger)'!$G$2:$G$65,"&gt;="&amp;$B7)</f>
        <v>0</v>
      </c>
      <c r="F7" s="26" t="n">
        <f aca="false">SUMIFS('Outages (event ledger)'!$H$2:$H$65,'Outages (event ledger)'!$A$2:$A$65,F$2,'Outages (event ledger)'!$E$2:$E$65,"&lt;="&amp;$B7,'Outages (event ledger)'!$G$2:$G$65,"&gt;="&amp;$B7)</f>
        <v>0</v>
      </c>
      <c r="G7" s="26" t="n">
        <f aca="false">SUMIFS('Outages (event ledger)'!$H$2:$H$65,'Outages (event ledger)'!$A$2:$A$65,G$2,'Outages (event ledger)'!$E$2:$E$65,"&lt;="&amp;$B7,'Outages (event ledger)'!$G$2:$G$65,"&gt;="&amp;$B7)</f>
        <v>0</v>
      </c>
      <c r="H7" s="26" t="n">
        <f aca="false">SUMIFS('Outages (event ledger)'!$H$2:$H$65,'Outages (event ledger)'!$A$2:$A$65,H$2,'Outages (event ledger)'!$E$2:$E$65,"&lt;="&amp;$B7,'Outages (event ledger)'!$G$2:$G$65,"&gt;="&amp;$B7)</f>
        <v>0</v>
      </c>
      <c r="I7" s="26" t="n">
        <f aca="false">SUMIFS('Outages (event ledger)'!$H$2:$H$65,'Outages (event ledger)'!$A$2:$A$65,I$2,'Outages (event ledger)'!$E$2:$E$65,"&lt;="&amp;$B7,'Outages (event ledger)'!$G$2:$G$65,"&gt;="&amp;$B7)</f>
        <v>0</v>
      </c>
      <c r="J7" s="26" t="n">
        <f aca="false">SUMIFS('Outages (event ledger)'!$H$2:$H$65,'Outages (event ledger)'!$A$2:$A$65,J$2,'Outages (event ledger)'!$E$2:$E$65,"&lt;="&amp;$B7,'Outages (event ledger)'!$G$2:$G$65,"&gt;="&amp;$B7)</f>
        <v>0</v>
      </c>
      <c r="K7" s="26" t="n">
        <f aca="false">SUMIFS('Outages (event ledger)'!$H$2:$H$65,'Outages (event ledger)'!$A$2:$A$65,K$2,'Outages (event ledger)'!$E$2:$E$65,"&lt;="&amp;$B7,'Outages (event ledger)'!$G$2:$G$65,"&gt;="&amp;$B7)</f>
        <v>0</v>
      </c>
      <c r="L7" s="26" t="n">
        <f aca="false">SUMIFS('Outages (event ledger)'!$H$2:$H$65,'Outages (event ledger)'!$A$2:$A$65,L$2,'Outages (event ledger)'!$E$2:$E$65,"&lt;="&amp;$B7,'Outages (event ledger)'!$G$2:$G$65,"&gt;="&amp;$B7)</f>
        <v>0</v>
      </c>
      <c r="M7" s="26" t="n">
        <f aca="false">SUMIFS('Outages (event ledger)'!$H$2:$H$65,'Outages (event ledger)'!$A$2:$A$65,M$2,'Outages (event ledger)'!$E$2:$E$65,"&lt;="&amp;$B7,'Outages (event ledger)'!$G$2:$G$65,"&gt;="&amp;$B7)</f>
        <v>0</v>
      </c>
      <c r="N7" s="26" t="n">
        <f aca="false">SUMIFS('Outages (event ledger)'!$H$2:$H$65,'Outages (event ledger)'!$A$2:$A$65,N$2,'Outages (event ledger)'!$E$2:$E$65,"&lt;="&amp;$B7,'Outages (event ledger)'!$G$2:$G$65,"&gt;="&amp;$B7)</f>
        <v>0</v>
      </c>
      <c r="O7" s="26" t="n">
        <f aca="false">SUMIFS('Outages (event ledger)'!$H$2:$H$65,'Outages (event ledger)'!$A$2:$A$65,O$2,'Outages (event ledger)'!$E$2:$E$65,"&lt;="&amp;$B7,'Outages (event ledger)'!$G$2:$G$65,"&gt;="&amp;$B7)</f>
        <v>0</v>
      </c>
      <c r="P7" s="26" t="n">
        <f aca="false">SUMIFS('Outages (event ledger)'!$H$2:$H$65,'Outages (event ledger)'!$A$2:$A$65,P$2,'Outages (event ledger)'!$E$2:$E$65,"&lt;="&amp;$B7,'Outages (event ledger)'!$G$2:$G$65,"&gt;="&amp;$B7)</f>
        <v>0</v>
      </c>
      <c r="Q7" s="26" t="n">
        <f aca="false">SUMIFS('Outages (event ledger)'!$H$2:$H$65,'Outages (event ledger)'!$A$2:$A$65,Q$2,'Outages (event ledger)'!$E$2:$E$65,"&lt;="&amp;$B7,'Outages (event ledger)'!$G$2:$G$65,"&gt;="&amp;$B7)</f>
        <v>0</v>
      </c>
      <c r="R7" s="26" t="n">
        <f aca="false">SUMIFS('Outages (event ledger)'!$H$2:$H$65,'Outages (event ledger)'!$A$2:$A$65,R$2,'Outages (event ledger)'!$E$2:$E$65,"&lt;="&amp;$B7,'Outages (event ledger)'!$G$2:$G$65,"&gt;="&amp;$B7)</f>
        <v>0</v>
      </c>
      <c r="S7" s="26" t="n">
        <f aca="false">SUMIFS('Outages (event ledger)'!$H$2:$H$65,'Outages (event ledger)'!$A$2:$A$65,S$2,'Outages (event ledger)'!$E$2:$E$65,"&lt;="&amp;$B7,'Outages (event ledger)'!$G$2:$G$65,"&gt;="&amp;$B7)</f>
        <v>0</v>
      </c>
      <c r="T7" s="26" t="n">
        <f aca="false">SUMIFS('Outages (event ledger)'!$H$2:$H$65,'Outages (event ledger)'!$A$2:$A$65,T$2,'Outages (event ledger)'!$E$2:$E$65,"&lt;="&amp;$B7,'Outages (event ledger)'!$G$2:$G$65,"&gt;="&amp;$B7)</f>
        <v>0</v>
      </c>
      <c r="U7" s="26" t="n">
        <f aca="false">SUMIFS('Outages (event ledger)'!$H$2:$H$65,'Outages (event ledger)'!$A$2:$A$65,U$2,'Outages (event ledger)'!$E$2:$E$65,"&lt;="&amp;$B7,'Outages (event ledger)'!$G$2:$G$65,"&gt;="&amp;$B7)</f>
        <v>0</v>
      </c>
      <c r="V7" s="26" t="n">
        <f aca="false">SUMIFS('Outages (event ledger)'!$H$2:$H$65,'Outages (event ledger)'!$A$2:$A$65,V$2,'Outages (event ledger)'!$E$2:$E$65,"&lt;="&amp;$B7,'Outages (event ledger)'!$G$2:$G$65,"&gt;="&amp;$B7)</f>
        <v>0</v>
      </c>
      <c r="W7" s="26" t="n">
        <f aca="false">SUMIFS('Outages (event ledger)'!$H$2:$H$65,'Outages (event ledger)'!$A$2:$A$65,W$2,'Outages (event ledger)'!$E$2:$E$65,"&lt;="&amp;$B7,'Outages (event ledger)'!$G$2:$G$65,"&gt;="&amp;$B7)</f>
        <v>0</v>
      </c>
      <c r="X7" s="26" t="n">
        <f aca="false">SUMIFS('Outages (event ledger)'!$H$2:$H$65,'Outages (event ledger)'!$A$2:$A$65,X$2,'Outages (event ledger)'!$E$2:$E$65,"&lt;="&amp;$B7,'Outages (event ledger)'!$G$2:$G$65,"&gt;="&amp;$B7)</f>
        <v>0</v>
      </c>
      <c r="Y7" s="26" t="n">
        <f aca="false">SUMIFS('Outages (event ledger)'!$H$2:$H$65,'Outages (event ledger)'!$A$2:$A$65,Y$2,'Outages (event ledger)'!$E$2:$E$65,"&lt;="&amp;$B7,'Outages (event ledger)'!$G$2:$G$65,"&gt;="&amp;$B7)</f>
        <v>0</v>
      </c>
      <c r="Z7" s="26" t="n">
        <f aca="false">SUMIFS('Outages (event ledger)'!$H$2:$H$65,'Outages (event ledger)'!$A$2:$A$65,Z$2,'Outages (event ledger)'!$E$2:$E$65,"&lt;="&amp;$B7,'Outages (event ledger)'!$G$2:$G$65,"&gt;="&amp;$B7)</f>
        <v>0</v>
      </c>
      <c r="AA7" s="26" t="n">
        <f aca="false">SUMIFS('Outages (event ledger)'!$H$2:$H$65,'Outages (event ledger)'!$A$2:$A$65,AA$2,'Outages (event ledger)'!$E$2:$E$65,"&lt;="&amp;$B7,'Outages (event ledger)'!$G$2:$G$65,"&gt;="&amp;$B7)</f>
        <v>0</v>
      </c>
      <c r="AB7" s="26" t="n">
        <f aca="false">SUMIFS('Outages (event ledger)'!$H$2:$H$65,'Outages (event ledger)'!$A$2:$A$65,AB$2,'Outages (event ledger)'!$E$2:$E$65,"&lt;="&amp;$B7,'Outages (event ledger)'!$G$2:$G$65,"&gt;="&amp;$B7)</f>
        <v>8</v>
      </c>
      <c r="AC7" s="26" t="n">
        <f aca="false">SUMIFS('Outages (event ledger)'!$H$2:$H$65,'Outages (event ledger)'!$A$2:$A$65,AC$2,'Outages (event ledger)'!$E$2:$E$65,"&lt;="&amp;$B7,'Outages (event ledger)'!$G$2:$G$65,"&gt;="&amp;$B7)</f>
        <v>0</v>
      </c>
      <c r="AD7" s="26" t="n">
        <f aca="false">SUMIFS('Outages (event ledger)'!$H$2:$H$65,'Outages (event ledger)'!$A$2:$A$65,AD$2,'Outages (event ledger)'!$E$2:$E$65,"&lt;="&amp;$B7,'Outages (event ledger)'!$G$2:$G$65,"&gt;="&amp;$B7)</f>
        <v>0</v>
      </c>
      <c r="AE7" s="26" t="n">
        <f aca="false">SUMIFS('Outages (event ledger)'!$H$2:$H$65,'Outages (event ledger)'!$A$2:$A$65,AE$2,'Outages (event ledger)'!$E$2:$E$65,"&lt;="&amp;$B7,'Outages (event ledger)'!$G$2:$G$65,"&gt;="&amp;$B7)</f>
        <v>0</v>
      </c>
      <c r="AF7" s="26" t="n">
        <f aca="false">SUMIFS('Outages (event ledger)'!$H$2:$H$65,'Outages (event ledger)'!$A$2:$A$65,AF$2,'Outages (event ledger)'!$E$2:$E$65,"&lt;="&amp;$B7,'Outages (event ledger)'!$G$2:$G$65,"&gt;="&amp;$B7)</f>
        <v>0</v>
      </c>
      <c r="AG7" s="26" t="n">
        <f aca="false">SUMIFS('Outages (event ledger)'!$H$2:$H$65,'Outages (event ledger)'!$A$2:$A$65,AG$2,'Outages (event ledger)'!$E$2:$E$65,"&lt;="&amp;$B7,'Outages (event ledger)'!$G$2:$G$65,"&gt;="&amp;$B7)</f>
        <v>0</v>
      </c>
      <c r="AH7" s="26" t="n">
        <f aca="false">SUMIFS('Outages (event ledger)'!$H$2:$H$65,'Outages (event ledger)'!$A$2:$A$65,AH$2,'Outages (event ledger)'!$E$2:$E$65,"&lt;="&amp;$B7,'Outages (event ledger)'!$G$2:$G$65,"&gt;="&amp;$B7)</f>
        <v>0</v>
      </c>
      <c r="AI7" s="26" t="n">
        <f aca="false">SUMIFS('Outages (event ledger)'!$H$2:$H$65,'Outages (event ledger)'!$A$2:$A$65,AI$2,'Outages (event ledger)'!$E$2:$E$65,"&lt;="&amp;$B7,'Outages (event ledger)'!$G$2:$G$65,"&gt;="&amp;$B7)</f>
        <v>0</v>
      </c>
      <c r="AJ7" s="26" t="n">
        <f aca="false">SUMIFS('Outages (event ledger)'!$H$2:$H$65,'Outages (event ledger)'!$A$2:$A$65,AJ$2,'Outages (event ledger)'!$E$2:$E$65,"&lt;="&amp;$B7,'Outages (event ledger)'!$G$2:$G$65,"&gt;="&amp;$B7)</f>
        <v>0</v>
      </c>
      <c r="AK7" s="26" t="n">
        <f aca="false">SUMIFS('Outages (event ledger)'!$H$2:$H$65,'Outages (event ledger)'!$A$2:$A$65,AK$2,'Outages (event ledger)'!$E$2:$E$65,"&lt;="&amp;$B7,'Outages (event ledger)'!$G$2:$G$65,"&gt;="&amp;$B7)</f>
        <v>0</v>
      </c>
      <c r="AL7" s="26" t="n">
        <f aca="false">SUMIFS('Outages (event ledger)'!$H$2:$H$65,'Outages (event ledger)'!$A$2:$A$65,AL$2,'Outages (event ledger)'!$E$2:$E$65,"&lt;="&amp;$B7,'Outages (event ledger)'!$G$2:$G$65,"&gt;="&amp;$B7)</f>
        <v>0</v>
      </c>
      <c r="AM7" s="26" t="n">
        <f aca="false">SUMIFS('Outages (event ledger)'!$H$2:$H$65,'Outages (event ledger)'!$A$2:$A$65,AM$2,'Outages (event ledger)'!$E$2:$E$65,"&lt;="&amp;$B7,'Outages (event ledger)'!$G$2:$G$65,"&gt;="&amp;$B7)</f>
        <v>0</v>
      </c>
      <c r="AN7" s="26" t="n">
        <f aca="false">SUMIFS('Outages (event ledger)'!$H$2:$H$65,'Outages (event ledger)'!$A$2:$A$65,AN$2,'Outages (event ledger)'!$E$2:$E$65,"&lt;="&amp;$B7,'Outages (event ledger)'!$G$2:$G$65,"&gt;="&amp;$B7)</f>
        <v>0</v>
      </c>
      <c r="AO7" s="26" t="n">
        <f aca="false">SUMIFS('Outages (event ledger)'!$H$2:$H$65,'Outages (event ledger)'!$A$2:$A$65,AO$2,'Outages (event ledger)'!$E$2:$E$65,"&lt;="&amp;$B7,'Outages (event ledger)'!$G$2:$G$65,"&gt;="&amp;$B7)</f>
        <v>0</v>
      </c>
      <c r="AP7" s="26" t="n">
        <f aca="false">SUMIFS('Outages (event ledger)'!$H$2:$H$65,'Outages (event ledger)'!$A$2:$A$65,AP$2,'Outages (event ledger)'!$E$2:$E$65,"&lt;="&amp;$B7,'Outages (event ledger)'!$G$2:$G$65,"&gt;="&amp;$B7)</f>
        <v>0</v>
      </c>
      <c r="AQ7" s="26" t="n">
        <f aca="false">SUMIFS('Outages (event ledger)'!$H$2:$H$65,'Outages (event ledger)'!$A$2:$A$65,AQ$2,'Outages (event ledger)'!$E$2:$E$65,"&lt;="&amp;$B7,'Outages (event ledger)'!$G$2:$G$65,"&gt;="&amp;$B7)</f>
        <v>0</v>
      </c>
      <c r="AR7" s="26" t="n">
        <f aca="false">SUMIFS('Outages (event ledger)'!$H$2:$H$65,'Outages (event ledger)'!$A$2:$A$65,AR$2,'Outages (event ledger)'!$E$2:$E$65,"&lt;="&amp;$B7,'Outages (event ledger)'!$G$2:$G$65,"&gt;="&amp;$B7)</f>
        <v>0</v>
      </c>
      <c r="AS7" s="26" t="n">
        <f aca="false">SUMIFS('Outages (event ledger)'!$H$2:$H$65,'Outages (event ledger)'!$A$2:$A$65,AS$2,'Outages (event ledger)'!$E$2:$E$65,"&lt;="&amp;$B7,'Outages (event ledger)'!$G$2:$G$65,"&gt;="&amp;$B7)</f>
        <v>0</v>
      </c>
      <c r="AT7" s="26" t="n">
        <f aca="false">SUMIFS('Outages (event ledger)'!$H$2:$H$65,'Outages (event ledger)'!$A$2:$A$65,AT$2,'Outages (event ledger)'!$E$2:$E$65,"&lt;="&amp;$B7,'Outages (event ledger)'!$G$2:$G$65,"&gt;="&amp;$B7)</f>
        <v>0</v>
      </c>
      <c r="AU7" s="26" t="n">
        <f aca="false">SUMIFS('Outages (event ledger)'!$H$2:$H$65,'Outages (event ledger)'!$A$2:$A$65,AU$2,'Outages (event ledger)'!$E$2:$E$65,"&lt;="&amp;$B7,'Outages (event ledger)'!$G$2:$G$65,"&gt;="&amp;$B7)</f>
        <v>0</v>
      </c>
      <c r="AV7" s="26" t="n">
        <f aca="false">SUMIFS('Outages (event ledger)'!$H$2:$H$65,'Outages (event ledger)'!$A$2:$A$65,AV$2,'Outages (event ledger)'!$E$2:$E$65,"&lt;="&amp;$B7,'Outages (event ledger)'!$G$2:$G$65,"&gt;="&amp;$B7)</f>
        <v>0</v>
      </c>
      <c r="AW7" s="26" t="n">
        <f aca="false">SUMIFS('Outages (event ledger)'!$H$2:$H$65,'Outages (event ledger)'!$A$2:$A$65,AW$2,'Outages (event ledger)'!$E$2:$E$65,"&lt;="&amp;$B7,'Outages (event ledger)'!$G$2:$G$65,"&gt;="&amp;$B7)</f>
        <v>0</v>
      </c>
      <c r="AX7" s="26" t="n">
        <f aca="false">SUMIFS('Outages (event ledger)'!$H$2:$H$65,'Outages (event ledger)'!$A$2:$A$65,AX$2,'Outages (event ledger)'!$E$2:$E$65,"&lt;="&amp;$B7,'Outages (event ledger)'!$G$2:$G$65,"&gt;="&amp;$B7)</f>
        <v>0</v>
      </c>
      <c r="AY7" s="26" t="n">
        <f aca="false">SUMIFS('Outages (event ledger)'!$H$2:$H$65,'Outages (event ledger)'!$A$2:$A$65,AY$2,'Outages (event ledger)'!$E$2:$E$65,"&lt;="&amp;$B7,'Outages (event ledger)'!$G$2:$G$65,"&gt;="&amp;$B7)</f>
        <v>0</v>
      </c>
      <c r="AZ7" s="26" t="n">
        <f aca="false">SUMIFS('Outages (event ledger)'!$H$2:$H$65,'Outages (event ledger)'!$A$2:$A$65,AZ$2,'Outages (event ledger)'!$E$2:$E$65,"&lt;="&amp;$B7,'Outages (event ledger)'!$G$2:$G$65,"&gt;="&amp;$B7)</f>
        <v>0</v>
      </c>
      <c r="BA7" s="26" t="n">
        <f aca="false">SUMIFS('Outages (event ledger)'!$H$2:$H$65,'Outages (event ledger)'!$A$2:$A$65,BA$2,'Outages (event ledger)'!$E$2:$E$65,"&lt;="&amp;$B7,'Outages (event ledger)'!$G$2:$G$65,"&gt;="&amp;$B7)</f>
        <v>0</v>
      </c>
      <c r="BB7" s="26" t="n">
        <f aca="false">SUMIFS('Outages (event ledger)'!$H$2:$H$65,'Outages (event ledger)'!$A$2:$A$65,BB$2,'Outages (event ledger)'!$E$2:$E$65,"&lt;="&amp;$B7,'Outages (event ledger)'!$G$2:$G$65,"&gt;="&amp;$B7)</f>
        <v>0</v>
      </c>
      <c r="BC7" s="26" t="n">
        <f aca="false">SUMIFS('Outages (event ledger)'!$H$2:$H$65,'Outages (event ledger)'!$A$2:$A$65,BC$2,'Outages (event ledger)'!$E$2:$E$65,"&lt;="&amp;$B7,'Outages (event ledger)'!$G$2:$G$65,"&gt;="&amp;$B7)</f>
        <v>0</v>
      </c>
      <c r="BD7" s="26" t="n">
        <f aca="false">SUMIFS('Outages (event ledger)'!$H$2:$H$65,'Outages (event ledger)'!$A$2:$A$65,BD$2,'Outages (event ledger)'!$E$2:$E$65,"&lt;="&amp;$B7,'Outages (event ledger)'!$G$2:$G$65,"&gt;="&amp;$B7)</f>
        <v>0</v>
      </c>
      <c r="BE7" s="26" t="n">
        <f aca="false">SUMIFS('Outages (event ledger)'!$H$2:$H$65,'Outages (event ledger)'!$A$2:$A$65,BE$2,'Outages (event ledger)'!$E$2:$E$65,"&lt;="&amp;$B7,'Outages (event ledger)'!$G$2:$G$65,"&gt;="&amp;$B7)</f>
        <v>0</v>
      </c>
      <c r="BF7" s="26" t="n">
        <f aca="false">SUMIFS('Outages (event ledger)'!$H$2:$H$65,'Outages (event ledger)'!$A$2:$A$65,BF$2,'Outages (event ledger)'!$E$2:$E$65,"&lt;="&amp;$B7,'Outages (event ledger)'!$G$2:$G$65,"&gt;="&amp;$B7)</f>
        <v>0</v>
      </c>
      <c r="BG7" s="26" t="n">
        <f aca="false">SUMIFS('Outages (event ledger)'!$H$2:$H$65,'Outages (event ledger)'!$A$2:$A$65,BG$2,'Outages (event ledger)'!$E$2:$E$65,"&lt;="&amp;$B7,'Outages (event ledger)'!$G$2:$G$65,"&gt;="&amp;$B7)</f>
        <v>0</v>
      </c>
      <c r="BH7" s="26" t="n">
        <f aca="false">SUMIFS('Outages (event ledger)'!$H$2:$H$65,'Outages (event ledger)'!$A$2:$A$65,BH$2,'Outages (event ledger)'!$E$2:$E$65,"&lt;="&amp;$B7,'Outages (event ledger)'!$G$2:$G$65,"&gt;="&amp;$B7)</f>
        <v>0</v>
      </c>
      <c r="BI7" s="26" t="n">
        <f aca="false">SUMIFS('Outages (event ledger)'!$H$2:$H$65,'Outages (event ledger)'!$A$2:$A$65,BI$2,'Outages (event ledger)'!$E$2:$E$65,"&lt;="&amp;$B7,'Outages (event ledger)'!$G$2:$G$65,"&gt;="&amp;$B7)</f>
        <v>0</v>
      </c>
    </row>
    <row r="8" customFormat="false" ht="15" hidden="false" customHeight="false" outlineLevel="0" collapsed="false">
      <c r="A8" s="23" t="n">
        <v>40330</v>
      </c>
      <c r="B8" s="24" t="n">
        <v>201006</v>
      </c>
      <c r="C8" s="25" t="n">
        <f aca="false">SUM(D8:BI8)</f>
        <v>8</v>
      </c>
      <c r="D8" s="26" t="n">
        <f aca="false">SUMIFS('Outages (event ledger)'!$H$2:$H$65,'Outages (event ledger)'!$A$2:$A$65,D$2,'Outages (event ledger)'!$E$2:$E$65,"&lt;="&amp;$B8,'Outages (event ledger)'!$G$2:$G$65,"&gt;="&amp;$B8)</f>
        <v>0</v>
      </c>
      <c r="E8" s="26" t="n">
        <f aca="false">SUMIFS('Outages (event ledger)'!$H$2:$H$65,'Outages (event ledger)'!$A$2:$A$65,E$2,'Outages (event ledger)'!$E$2:$E$65,"&lt;="&amp;$B8,'Outages (event ledger)'!$G$2:$G$65,"&gt;="&amp;$B8)</f>
        <v>0</v>
      </c>
      <c r="F8" s="26" t="n">
        <f aca="false">SUMIFS('Outages (event ledger)'!$H$2:$H$65,'Outages (event ledger)'!$A$2:$A$65,F$2,'Outages (event ledger)'!$E$2:$E$65,"&lt;="&amp;$B8,'Outages (event ledger)'!$G$2:$G$65,"&gt;="&amp;$B8)</f>
        <v>0</v>
      </c>
      <c r="G8" s="26" t="n">
        <f aca="false">SUMIFS('Outages (event ledger)'!$H$2:$H$65,'Outages (event ledger)'!$A$2:$A$65,G$2,'Outages (event ledger)'!$E$2:$E$65,"&lt;="&amp;$B8,'Outages (event ledger)'!$G$2:$G$65,"&gt;="&amp;$B8)</f>
        <v>0</v>
      </c>
      <c r="H8" s="26" t="n">
        <f aca="false">SUMIFS('Outages (event ledger)'!$H$2:$H$65,'Outages (event ledger)'!$A$2:$A$65,H$2,'Outages (event ledger)'!$E$2:$E$65,"&lt;="&amp;$B8,'Outages (event ledger)'!$G$2:$G$65,"&gt;="&amp;$B8)</f>
        <v>0</v>
      </c>
      <c r="I8" s="26" t="n">
        <f aca="false">SUMIFS('Outages (event ledger)'!$H$2:$H$65,'Outages (event ledger)'!$A$2:$A$65,I$2,'Outages (event ledger)'!$E$2:$E$65,"&lt;="&amp;$B8,'Outages (event ledger)'!$G$2:$G$65,"&gt;="&amp;$B8)</f>
        <v>0</v>
      </c>
      <c r="J8" s="26" t="n">
        <f aca="false">SUMIFS('Outages (event ledger)'!$H$2:$H$65,'Outages (event ledger)'!$A$2:$A$65,J$2,'Outages (event ledger)'!$E$2:$E$65,"&lt;="&amp;$B8,'Outages (event ledger)'!$G$2:$G$65,"&gt;="&amp;$B8)</f>
        <v>0</v>
      </c>
      <c r="K8" s="26" t="n">
        <f aca="false">SUMIFS('Outages (event ledger)'!$H$2:$H$65,'Outages (event ledger)'!$A$2:$A$65,K$2,'Outages (event ledger)'!$E$2:$E$65,"&lt;="&amp;$B8,'Outages (event ledger)'!$G$2:$G$65,"&gt;="&amp;$B8)</f>
        <v>0</v>
      </c>
      <c r="L8" s="26" t="n">
        <f aca="false">SUMIFS('Outages (event ledger)'!$H$2:$H$65,'Outages (event ledger)'!$A$2:$A$65,L$2,'Outages (event ledger)'!$E$2:$E$65,"&lt;="&amp;$B8,'Outages (event ledger)'!$G$2:$G$65,"&gt;="&amp;$B8)</f>
        <v>0</v>
      </c>
      <c r="M8" s="26" t="n">
        <f aca="false">SUMIFS('Outages (event ledger)'!$H$2:$H$65,'Outages (event ledger)'!$A$2:$A$65,M$2,'Outages (event ledger)'!$E$2:$E$65,"&lt;="&amp;$B8,'Outages (event ledger)'!$G$2:$G$65,"&gt;="&amp;$B8)</f>
        <v>0</v>
      </c>
      <c r="N8" s="26" t="n">
        <f aca="false">SUMIFS('Outages (event ledger)'!$H$2:$H$65,'Outages (event ledger)'!$A$2:$A$65,N$2,'Outages (event ledger)'!$E$2:$E$65,"&lt;="&amp;$B8,'Outages (event ledger)'!$G$2:$G$65,"&gt;="&amp;$B8)</f>
        <v>0</v>
      </c>
      <c r="O8" s="26" t="n">
        <f aca="false">SUMIFS('Outages (event ledger)'!$H$2:$H$65,'Outages (event ledger)'!$A$2:$A$65,O$2,'Outages (event ledger)'!$E$2:$E$65,"&lt;="&amp;$B8,'Outages (event ledger)'!$G$2:$G$65,"&gt;="&amp;$B8)</f>
        <v>0</v>
      </c>
      <c r="P8" s="26" t="n">
        <f aca="false">SUMIFS('Outages (event ledger)'!$H$2:$H$65,'Outages (event ledger)'!$A$2:$A$65,P$2,'Outages (event ledger)'!$E$2:$E$65,"&lt;="&amp;$B8,'Outages (event ledger)'!$G$2:$G$65,"&gt;="&amp;$B8)</f>
        <v>0</v>
      </c>
      <c r="Q8" s="26" t="n">
        <f aca="false">SUMIFS('Outages (event ledger)'!$H$2:$H$65,'Outages (event ledger)'!$A$2:$A$65,Q$2,'Outages (event ledger)'!$E$2:$E$65,"&lt;="&amp;$B8,'Outages (event ledger)'!$G$2:$G$65,"&gt;="&amp;$B8)</f>
        <v>0</v>
      </c>
      <c r="R8" s="26" t="n">
        <f aca="false">SUMIFS('Outages (event ledger)'!$H$2:$H$65,'Outages (event ledger)'!$A$2:$A$65,R$2,'Outages (event ledger)'!$E$2:$E$65,"&lt;="&amp;$B8,'Outages (event ledger)'!$G$2:$G$65,"&gt;="&amp;$B8)</f>
        <v>0</v>
      </c>
      <c r="S8" s="26" t="n">
        <f aca="false">SUMIFS('Outages (event ledger)'!$H$2:$H$65,'Outages (event ledger)'!$A$2:$A$65,S$2,'Outages (event ledger)'!$E$2:$E$65,"&lt;="&amp;$B8,'Outages (event ledger)'!$G$2:$G$65,"&gt;="&amp;$B8)</f>
        <v>0</v>
      </c>
      <c r="T8" s="26" t="n">
        <f aca="false">SUMIFS('Outages (event ledger)'!$H$2:$H$65,'Outages (event ledger)'!$A$2:$A$65,T$2,'Outages (event ledger)'!$E$2:$E$65,"&lt;="&amp;$B8,'Outages (event ledger)'!$G$2:$G$65,"&gt;="&amp;$B8)</f>
        <v>0</v>
      </c>
      <c r="U8" s="26" t="n">
        <f aca="false">SUMIFS('Outages (event ledger)'!$H$2:$H$65,'Outages (event ledger)'!$A$2:$A$65,U$2,'Outages (event ledger)'!$E$2:$E$65,"&lt;="&amp;$B8,'Outages (event ledger)'!$G$2:$G$65,"&gt;="&amp;$B8)</f>
        <v>0</v>
      </c>
      <c r="V8" s="26" t="n">
        <f aca="false">SUMIFS('Outages (event ledger)'!$H$2:$H$65,'Outages (event ledger)'!$A$2:$A$65,V$2,'Outages (event ledger)'!$E$2:$E$65,"&lt;="&amp;$B8,'Outages (event ledger)'!$G$2:$G$65,"&gt;="&amp;$B8)</f>
        <v>0</v>
      </c>
      <c r="W8" s="26" t="n">
        <f aca="false">SUMIFS('Outages (event ledger)'!$H$2:$H$65,'Outages (event ledger)'!$A$2:$A$65,W$2,'Outages (event ledger)'!$E$2:$E$65,"&lt;="&amp;$B8,'Outages (event ledger)'!$G$2:$G$65,"&gt;="&amp;$B8)</f>
        <v>0</v>
      </c>
      <c r="X8" s="26" t="n">
        <f aca="false">SUMIFS('Outages (event ledger)'!$H$2:$H$65,'Outages (event ledger)'!$A$2:$A$65,X$2,'Outages (event ledger)'!$E$2:$E$65,"&lt;="&amp;$B8,'Outages (event ledger)'!$G$2:$G$65,"&gt;="&amp;$B8)</f>
        <v>0</v>
      </c>
      <c r="Y8" s="26" t="n">
        <f aca="false">SUMIFS('Outages (event ledger)'!$H$2:$H$65,'Outages (event ledger)'!$A$2:$A$65,Y$2,'Outages (event ledger)'!$E$2:$E$65,"&lt;="&amp;$B8,'Outages (event ledger)'!$G$2:$G$65,"&gt;="&amp;$B8)</f>
        <v>0</v>
      </c>
      <c r="Z8" s="26" t="n">
        <f aca="false">SUMIFS('Outages (event ledger)'!$H$2:$H$65,'Outages (event ledger)'!$A$2:$A$65,Z$2,'Outages (event ledger)'!$E$2:$E$65,"&lt;="&amp;$B8,'Outages (event ledger)'!$G$2:$G$65,"&gt;="&amp;$B8)</f>
        <v>0</v>
      </c>
      <c r="AA8" s="26" t="n">
        <f aca="false">SUMIFS('Outages (event ledger)'!$H$2:$H$65,'Outages (event ledger)'!$A$2:$A$65,AA$2,'Outages (event ledger)'!$E$2:$E$65,"&lt;="&amp;$B8,'Outages (event ledger)'!$G$2:$G$65,"&gt;="&amp;$B8)</f>
        <v>0</v>
      </c>
      <c r="AB8" s="26" t="n">
        <f aca="false">SUMIFS('Outages (event ledger)'!$H$2:$H$65,'Outages (event ledger)'!$A$2:$A$65,AB$2,'Outages (event ledger)'!$E$2:$E$65,"&lt;="&amp;$B8,'Outages (event ledger)'!$G$2:$G$65,"&gt;="&amp;$B8)</f>
        <v>8</v>
      </c>
      <c r="AC8" s="26" t="n">
        <f aca="false">SUMIFS('Outages (event ledger)'!$H$2:$H$65,'Outages (event ledger)'!$A$2:$A$65,AC$2,'Outages (event ledger)'!$E$2:$E$65,"&lt;="&amp;$B8,'Outages (event ledger)'!$G$2:$G$65,"&gt;="&amp;$B8)</f>
        <v>0</v>
      </c>
      <c r="AD8" s="26" t="n">
        <f aca="false">SUMIFS('Outages (event ledger)'!$H$2:$H$65,'Outages (event ledger)'!$A$2:$A$65,AD$2,'Outages (event ledger)'!$E$2:$E$65,"&lt;="&amp;$B8,'Outages (event ledger)'!$G$2:$G$65,"&gt;="&amp;$B8)</f>
        <v>0</v>
      </c>
      <c r="AE8" s="26" t="n">
        <f aca="false">SUMIFS('Outages (event ledger)'!$H$2:$H$65,'Outages (event ledger)'!$A$2:$A$65,AE$2,'Outages (event ledger)'!$E$2:$E$65,"&lt;="&amp;$B8,'Outages (event ledger)'!$G$2:$G$65,"&gt;="&amp;$B8)</f>
        <v>0</v>
      </c>
      <c r="AF8" s="26" t="n">
        <f aca="false">SUMIFS('Outages (event ledger)'!$H$2:$H$65,'Outages (event ledger)'!$A$2:$A$65,AF$2,'Outages (event ledger)'!$E$2:$E$65,"&lt;="&amp;$B8,'Outages (event ledger)'!$G$2:$G$65,"&gt;="&amp;$B8)</f>
        <v>0</v>
      </c>
      <c r="AG8" s="26" t="n">
        <f aca="false">SUMIFS('Outages (event ledger)'!$H$2:$H$65,'Outages (event ledger)'!$A$2:$A$65,AG$2,'Outages (event ledger)'!$E$2:$E$65,"&lt;="&amp;$B8,'Outages (event ledger)'!$G$2:$G$65,"&gt;="&amp;$B8)</f>
        <v>0</v>
      </c>
      <c r="AH8" s="26" t="n">
        <f aca="false">SUMIFS('Outages (event ledger)'!$H$2:$H$65,'Outages (event ledger)'!$A$2:$A$65,AH$2,'Outages (event ledger)'!$E$2:$E$65,"&lt;="&amp;$B8,'Outages (event ledger)'!$G$2:$G$65,"&gt;="&amp;$B8)</f>
        <v>0</v>
      </c>
      <c r="AI8" s="26" t="n">
        <f aca="false">SUMIFS('Outages (event ledger)'!$H$2:$H$65,'Outages (event ledger)'!$A$2:$A$65,AI$2,'Outages (event ledger)'!$E$2:$E$65,"&lt;="&amp;$B8,'Outages (event ledger)'!$G$2:$G$65,"&gt;="&amp;$B8)</f>
        <v>0</v>
      </c>
      <c r="AJ8" s="26" t="n">
        <f aca="false">SUMIFS('Outages (event ledger)'!$H$2:$H$65,'Outages (event ledger)'!$A$2:$A$65,AJ$2,'Outages (event ledger)'!$E$2:$E$65,"&lt;="&amp;$B8,'Outages (event ledger)'!$G$2:$G$65,"&gt;="&amp;$B8)</f>
        <v>0</v>
      </c>
      <c r="AK8" s="26" t="n">
        <f aca="false">SUMIFS('Outages (event ledger)'!$H$2:$H$65,'Outages (event ledger)'!$A$2:$A$65,AK$2,'Outages (event ledger)'!$E$2:$E$65,"&lt;="&amp;$B8,'Outages (event ledger)'!$G$2:$G$65,"&gt;="&amp;$B8)</f>
        <v>0</v>
      </c>
      <c r="AL8" s="26" t="n">
        <f aca="false">SUMIFS('Outages (event ledger)'!$H$2:$H$65,'Outages (event ledger)'!$A$2:$A$65,AL$2,'Outages (event ledger)'!$E$2:$E$65,"&lt;="&amp;$B8,'Outages (event ledger)'!$G$2:$G$65,"&gt;="&amp;$B8)</f>
        <v>0</v>
      </c>
      <c r="AM8" s="26" t="n">
        <f aca="false">SUMIFS('Outages (event ledger)'!$H$2:$H$65,'Outages (event ledger)'!$A$2:$A$65,AM$2,'Outages (event ledger)'!$E$2:$E$65,"&lt;="&amp;$B8,'Outages (event ledger)'!$G$2:$G$65,"&gt;="&amp;$B8)</f>
        <v>0</v>
      </c>
      <c r="AN8" s="26" t="n">
        <f aca="false">SUMIFS('Outages (event ledger)'!$H$2:$H$65,'Outages (event ledger)'!$A$2:$A$65,AN$2,'Outages (event ledger)'!$E$2:$E$65,"&lt;="&amp;$B8,'Outages (event ledger)'!$G$2:$G$65,"&gt;="&amp;$B8)</f>
        <v>0</v>
      </c>
      <c r="AO8" s="26" t="n">
        <f aca="false">SUMIFS('Outages (event ledger)'!$H$2:$H$65,'Outages (event ledger)'!$A$2:$A$65,AO$2,'Outages (event ledger)'!$E$2:$E$65,"&lt;="&amp;$B8,'Outages (event ledger)'!$G$2:$G$65,"&gt;="&amp;$B8)</f>
        <v>0</v>
      </c>
      <c r="AP8" s="26" t="n">
        <f aca="false">SUMIFS('Outages (event ledger)'!$H$2:$H$65,'Outages (event ledger)'!$A$2:$A$65,AP$2,'Outages (event ledger)'!$E$2:$E$65,"&lt;="&amp;$B8,'Outages (event ledger)'!$G$2:$G$65,"&gt;="&amp;$B8)</f>
        <v>0</v>
      </c>
      <c r="AQ8" s="26" t="n">
        <f aca="false">SUMIFS('Outages (event ledger)'!$H$2:$H$65,'Outages (event ledger)'!$A$2:$A$65,AQ$2,'Outages (event ledger)'!$E$2:$E$65,"&lt;="&amp;$B8,'Outages (event ledger)'!$G$2:$G$65,"&gt;="&amp;$B8)</f>
        <v>0</v>
      </c>
      <c r="AR8" s="26" t="n">
        <f aca="false">SUMIFS('Outages (event ledger)'!$H$2:$H$65,'Outages (event ledger)'!$A$2:$A$65,AR$2,'Outages (event ledger)'!$E$2:$E$65,"&lt;="&amp;$B8,'Outages (event ledger)'!$G$2:$G$65,"&gt;="&amp;$B8)</f>
        <v>0</v>
      </c>
      <c r="AS8" s="26" t="n">
        <f aca="false">SUMIFS('Outages (event ledger)'!$H$2:$H$65,'Outages (event ledger)'!$A$2:$A$65,AS$2,'Outages (event ledger)'!$E$2:$E$65,"&lt;="&amp;$B8,'Outages (event ledger)'!$G$2:$G$65,"&gt;="&amp;$B8)</f>
        <v>0</v>
      </c>
      <c r="AT8" s="26" t="n">
        <f aca="false">SUMIFS('Outages (event ledger)'!$H$2:$H$65,'Outages (event ledger)'!$A$2:$A$65,AT$2,'Outages (event ledger)'!$E$2:$E$65,"&lt;="&amp;$B8,'Outages (event ledger)'!$G$2:$G$65,"&gt;="&amp;$B8)</f>
        <v>0</v>
      </c>
      <c r="AU8" s="26" t="n">
        <f aca="false">SUMIFS('Outages (event ledger)'!$H$2:$H$65,'Outages (event ledger)'!$A$2:$A$65,AU$2,'Outages (event ledger)'!$E$2:$E$65,"&lt;="&amp;$B8,'Outages (event ledger)'!$G$2:$G$65,"&gt;="&amp;$B8)</f>
        <v>0</v>
      </c>
      <c r="AV8" s="26" t="n">
        <f aca="false">SUMIFS('Outages (event ledger)'!$H$2:$H$65,'Outages (event ledger)'!$A$2:$A$65,AV$2,'Outages (event ledger)'!$E$2:$E$65,"&lt;="&amp;$B8,'Outages (event ledger)'!$G$2:$G$65,"&gt;="&amp;$B8)</f>
        <v>0</v>
      </c>
      <c r="AW8" s="26" t="n">
        <f aca="false">SUMIFS('Outages (event ledger)'!$H$2:$H$65,'Outages (event ledger)'!$A$2:$A$65,AW$2,'Outages (event ledger)'!$E$2:$E$65,"&lt;="&amp;$B8,'Outages (event ledger)'!$G$2:$G$65,"&gt;="&amp;$B8)</f>
        <v>0</v>
      </c>
      <c r="AX8" s="26" t="n">
        <f aca="false">SUMIFS('Outages (event ledger)'!$H$2:$H$65,'Outages (event ledger)'!$A$2:$A$65,AX$2,'Outages (event ledger)'!$E$2:$E$65,"&lt;="&amp;$B8,'Outages (event ledger)'!$G$2:$G$65,"&gt;="&amp;$B8)</f>
        <v>0</v>
      </c>
      <c r="AY8" s="26" t="n">
        <f aca="false">SUMIFS('Outages (event ledger)'!$H$2:$H$65,'Outages (event ledger)'!$A$2:$A$65,AY$2,'Outages (event ledger)'!$E$2:$E$65,"&lt;="&amp;$B8,'Outages (event ledger)'!$G$2:$G$65,"&gt;="&amp;$B8)</f>
        <v>0</v>
      </c>
      <c r="AZ8" s="26" t="n">
        <f aca="false">SUMIFS('Outages (event ledger)'!$H$2:$H$65,'Outages (event ledger)'!$A$2:$A$65,AZ$2,'Outages (event ledger)'!$E$2:$E$65,"&lt;="&amp;$B8,'Outages (event ledger)'!$G$2:$G$65,"&gt;="&amp;$B8)</f>
        <v>0</v>
      </c>
      <c r="BA8" s="26" t="n">
        <f aca="false">SUMIFS('Outages (event ledger)'!$H$2:$H$65,'Outages (event ledger)'!$A$2:$A$65,BA$2,'Outages (event ledger)'!$E$2:$E$65,"&lt;="&amp;$B8,'Outages (event ledger)'!$G$2:$G$65,"&gt;="&amp;$B8)</f>
        <v>0</v>
      </c>
      <c r="BB8" s="26" t="n">
        <f aca="false">SUMIFS('Outages (event ledger)'!$H$2:$H$65,'Outages (event ledger)'!$A$2:$A$65,BB$2,'Outages (event ledger)'!$E$2:$E$65,"&lt;="&amp;$B8,'Outages (event ledger)'!$G$2:$G$65,"&gt;="&amp;$B8)</f>
        <v>0</v>
      </c>
      <c r="BC8" s="26" t="n">
        <f aca="false">SUMIFS('Outages (event ledger)'!$H$2:$H$65,'Outages (event ledger)'!$A$2:$A$65,BC$2,'Outages (event ledger)'!$E$2:$E$65,"&lt;="&amp;$B8,'Outages (event ledger)'!$G$2:$G$65,"&gt;="&amp;$B8)</f>
        <v>0</v>
      </c>
      <c r="BD8" s="26" t="n">
        <f aca="false">SUMIFS('Outages (event ledger)'!$H$2:$H$65,'Outages (event ledger)'!$A$2:$A$65,BD$2,'Outages (event ledger)'!$E$2:$E$65,"&lt;="&amp;$B8,'Outages (event ledger)'!$G$2:$G$65,"&gt;="&amp;$B8)</f>
        <v>0</v>
      </c>
      <c r="BE8" s="26" t="n">
        <f aca="false">SUMIFS('Outages (event ledger)'!$H$2:$H$65,'Outages (event ledger)'!$A$2:$A$65,BE$2,'Outages (event ledger)'!$E$2:$E$65,"&lt;="&amp;$B8,'Outages (event ledger)'!$G$2:$G$65,"&gt;="&amp;$B8)</f>
        <v>0</v>
      </c>
      <c r="BF8" s="26" t="n">
        <f aca="false">SUMIFS('Outages (event ledger)'!$H$2:$H$65,'Outages (event ledger)'!$A$2:$A$65,BF$2,'Outages (event ledger)'!$E$2:$E$65,"&lt;="&amp;$B8,'Outages (event ledger)'!$G$2:$G$65,"&gt;="&amp;$B8)</f>
        <v>0</v>
      </c>
      <c r="BG8" s="26" t="n">
        <f aca="false">SUMIFS('Outages (event ledger)'!$H$2:$H$65,'Outages (event ledger)'!$A$2:$A$65,BG$2,'Outages (event ledger)'!$E$2:$E$65,"&lt;="&amp;$B8,'Outages (event ledger)'!$G$2:$G$65,"&gt;="&amp;$B8)</f>
        <v>0</v>
      </c>
      <c r="BH8" s="26" t="n">
        <f aca="false">SUMIFS('Outages (event ledger)'!$H$2:$H$65,'Outages (event ledger)'!$A$2:$A$65,BH$2,'Outages (event ledger)'!$E$2:$E$65,"&lt;="&amp;$B8,'Outages (event ledger)'!$G$2:$G$65,"&gt;="&amp;$B8)</f>
        <v>0</v>
      </c>
      <c r="BI8" s="26" t="n">
        <f aca="false">SUMIFS('Outages (event ledger)'!$H$2:$H$65,'Outages (event ledger)'!$A$2:$A$65,BI$2,'Outages (event ledger)'!$E$2:$E$65,"&lt;="&amp;$B8,'Outages (event ledger)'!$G$2:$G$65,"&gt;="&amp;$B8)</f>
        <v>0</v>
      </c>
    </row>
    <row r="9" customFormat="false" ht="15" hidden="false" customHeight="false" outlineLevel="0" collapsed="false">
      <c r="A9" s="23" t="n">
        <v>40360</v>
      </c>
      <c r="B9" s="24" t="n">
        <v>201007</v>
      </c>
      <c r="C9" s="25" t="n">
        <f aca="false">SUM(D9:BI9)</f>
        <v>8</v>
      </c>
      <c r="D9" s="26" t="n">
        <f aca="false">SUMIFS('Outages (event ledger)'!$H$2:$H$65,'Outages (event ledger)'!$A$2:$A$65,D$2,'Outages (event ledger)'!$E$2:$E$65,"&lt;="&amp;$B9,'Outages (event ledger)'!$G$2:$G$65,"&gt;="&amp;$B9)</f>
        <v>0</v>
      </c>
      <c r="E9" s="26" t="n">
        <f aca="false">SUMIFS('Outages (event ledger)'!$H$2:$H$65,'Outages (event ledger)'!$A$2:$A$65,E$2,'Outages (event ledger)'!$E$2:$E$65,"&lt;="&amp;$B9,'Outages (event ledger)'!$G$2:$G$65,"&gt;="&amp;$B9)</f>
        <v>0</v>
      </c>
      <c r="F9" s="26" t="n">
        <f aca="false">SUMIFS('Outages (event ledger)'!$H$2:$H$65,'Outages (event ledger)'!$A$2:$A$65,F$2,'Outages (event ledger)'!$E$2:$E$65,"&lt;="&amp;$B9,'Outages (event ledger)'!$G$2:$G$65,"&gt;="&amp;$B9)</f>
        <v>0</v>
      </c>
      <c r="G9" s="26" t="n">
        <f aca="false">SUMIFS('Outages (event ledger)'!$H$2:$H$65,'Outages (event ledger)'!$A$2:$A$65,G$2,'Outages (event ledger)'!$E$2:$E$65,"&lt;="&amp;$B9,'Outages (event ledger)'!$G$2:$G$65,"&gt;="&amp;$B9)</f>
        <v>0</v>
      </c>
      <c r="H9" s="26" t="n">
        <f aca="false">SUMIFS('Outages (event ledger)'!$H$2:$H$65,'Outages (event ledger)'!$A$2:$A$65,H$2,'Outages (event ledger)'!$E$2:$E$65,"&lt;="&amp;$B9,'Outages (event ledger)'!$G$2:$G$65,"&gt;="&amp;$B9)</f>
        <v>0</v>
      </c>
      <c r="I9" s="26" t="n">
        <f aca="false">SUMIFS('Outages (event ledger)'!$H$2:$H$65,'Outages (event ledger)'!$A$2:$A$65,I$2,'Outages (event ledger)'!$E$2:$E$65,"&lt;="&amp;$B9,'Outages (event ledger)'!$G$2:$G$65,"&gt;="&amp;$B9)</f>
        <v>0</v>
      </c>
      <c r="J9" s="26" t="n">
        <f aca="false">SUMIFS('Outages (event ledger)'!$H$2:$H$65,'Outages (event ledger)'!$A$2:$A$65,J$2,'Outages (event ledger)'!$E$2:$E$65,"&lt;="&amp;$B9,'Outages (event ledger)'!$G$2:$G$65,"&gt;="&amp;$B9)</f>
        <v>0</v>
      </c>
      <c r="K9" s="26" t="n">
        <f aca="false">SUMIFS('Outages (event ledger)'!$H$2:$H$65,'Outages (event ledger)'!$A$2:$A$65,K$2,'Outages (event ledger)'!$E$2:$E$65,"&lt;="&amp;$B9,'Outages (event ledger)'!$G$2:$G$65,"&gt;="&amp;$B9)</f>
        <v>0</v>
      </c>
      <c r="L9" s="26" t="n">
        <f aca="false">SUMIFS('Outages (event ledger)'!$H$2:$H$65,'Outages (event ledger)'!$A$2:$A$65,L$2,'Outages (event ledger)'!$E$2:$E$65,"&lt;="&amp;$B9,'Outages (event ledger)'!$G$2:$G$65,"&gt;="&amp;$B9)</f>
        <v>0</v>
      </c>
      <c r="M9" s="26" t="n">
        <f aca="false">SUMIFS('Outages (event ledger)'!$H$2:$H$65,'Outages (event ledger)'!$A$2:$A$65,M$2,'Outages (event ledger)'!$E$2:$E$65,"&lt;="&amp;$B9,'Outages (event ledger)'!$G$2:$G$65,"&gt;="&amp;$B9)</f>
        <v>0</v>
      </c>
      <c r="N9" s="26" t="n">
        <f aca="false">SUMIFS('Outages (event ledger)'!$H$2:$H$65,'Outages (event ledger)'!$A$2:$A$65,N$2,'Outages (event ledger)'!$E$2:$E$65,"&lt;="&amp;$B9,'Outages (event ledger)'!$G$2:$G$65,"&gt;="&amp;$B9)</f>
        <v>0</v>
      </c>
      <c r="O9" s="26" t="n">
        <f aca="false">SUMIFS('Outages (event ledger)'!$H$2:$H$65,'Outages (event ledger)'!$A$2:$A$65,O$2,'Outages (event ledger)'!$E$2:$E$65,"&lt;="&amp;$B9,'Outages (event ledger)'!$G$2:$G$65,"&gt;="&amp;$B9)</f>
        <v>0</v>
      </c>
      <c r="P9" s="26" t="n">
        <f aca="false">SUMIFS('Outages (event ledger)'!$H$2:$H$65,'Outages (event ledger)'!$A$2:$A$65,P$2,'Outages (event ledger)'!$E$2:$E$65,"&lt;="&amp;$B9,'Outages (event ledger)'!$G$2:$G$65,"&gt;="&amp;$B9)</f>
        <v>0</v>
      </c>
      <c r="Q9" s="26" t="n">
        <f aca="false">SUMIFS('Outages (event ledger)'!$H$2:$H$65,'Outages (event ledger)'!$A$2:$A$65,Q$2,'Outages (event ledger)'!$E$2:$E$65,"&lt;="&amp;$B9,'Outages (event ledger)'!$G$2:$G$65,"&gt;="&amp;$B9)</f>
        <v>0</v>
      </c>
      <c r="R9" s="26" t="n">
        <f aca="false">SUMIFS('Outages (event ledger)'!$H$2:$H$65,'Outages (event ledger)'!$A$2:$A$65,R$2,'Outages (event ledger)'!$E$2:$E$65,"&lt;="&amp;$B9,'Outages (event ledger)'!$G$2:$G$65,"&gt;="&amp;$B9)</f>
        <v>0</v>
      </c>
      <c r="S9" s="26" t="n">
        <f aca="false">SUMIFS('Outages (event ledger)'!$H$2:$H$65,'Outages (event ledger)'!$A$2:$A$65,S$2,'Outages (event ledger)'!$E$2:$E$65,"&lt;="&amp;$B9,'Outages (event ledger)'!$G$2:$G$65,"&gt;="&amp;$B9)</f>
        <v>0</v>
      </c>
      <c r="T9" s="26" t="n">
        <f aca="false">SUMIFS('Outages (event ledger)'!$H$2:$H$65,'Outages (event ledger)'!$A$2:$A$65,T$2,'Outages (event ledger)'!$E$2:$E$65,"&lt;="&amp;$B9,'Outages (event ledger)'!$G$2:$G$65,"&gt;="&amp;$B9)</f>
        <v>0</v>
      </c>
      <c r="U9" s="26" t="n">
        <f aca="false">SUMIFS('Outages (event ledger)'!$H$2:$H$65,'Outages (event ledger)'!$A$2:$A$65,U$2,'Outages (event ledger)'!$E$2:$E$65,"&lt;="&amp;$B9,'Outages (event ledger)'!$G$2:$G$65,"&gt;="&amp;$B9)</f>
        <v>0</v>
      </c>
      <c r="V9" s="26" t="n">
        <f aca="false">SUMIFS('Outages (event ledger)'!$H$2:$H$65,'Outages (event ledger)'!$A$2:$A$65,V$2,'Outages (event ledger)'!$E$2:$E$65,"&lt;="&amp;$B9,'Outages (event ledger)'!$G$2:$G$65,"&gt;="&amp;$B9)</f>
        <v>0</v>
      </c>
      <c r="W9" s="26" t="n">
        <f aca="false">SUMIFS('Outages (event ledger)'!$H$2:$H$65,'Outages (event ledger)'!$A$2:$A$65,W$2,'Outages (event ledger)'!$E$2:$E$65,"&lt;="&amp;$B9,'Outages (event ledger)'!$G$2:$G$65,"&gt;="&amp;$B9)</f>
        <v>0</v>
      </c>
      <c r="X9" s="26" t="n">
        <f aca="false">SUMIFS('Outages (event ledger)'!$H$2:$H$65,'Outages (event ledger)'!$A$2:$A$65,X$2,'Outages (event ledger)'!$E$2:$E$65,"&lt;="&amp;$B9,'Outages (event ledger)'!$G$2:$G$65,"&gt;="&amp;$B9)</f>
        <v>0</v>
      </c>
      <c r="Y9" s="26" t="n">
        <f aca="false">SUMIFS('Outages (event ledger)'!$H$2:$H$65,'Outages (event ledger)'!$A$2:$A$65,Y$2,'Outages (event ledger)'!$E$2:$E$65,"&lt;="&amp;$B9,'Outages (event ledger)'!$G$2:$G$65,"&gt;="&amp;$B9)</f>
        <v>0</v>
      </c>
      <c r="Z9" s="26" t="n">
        <f aca="false">SUMIFS('Outages (event ledger)'!$H$2:$H$65,'Outages (event ledger)'!$A$2:$A$65,Z$2,'Outages (event ledger)'!$E$2:$E$65,"&lt;="&amp;$B9,'Outages (event ledger)'!$G$2:$G$65,"&gt;="&amp;$B9)</f>
        <v>0</v>
      </c>
      <c r="AA9" s="26" t="n">
        <f aca="false">SUMIFS('Outages (event ledger)'!$H$2:$H$65,'Outages (event ledger)'!$A$2:$A$65,AA$2,'Outages (event ledger)'!$E$2:$E$65,"&lt;="&amp;$B9,'Outages (event ledger)'!$G$2:$G$65,"&gt;="&amp;$B9)</f>
        <v>0</v>
      </c>
      <c r="AB9" s="26" t="n">
        <f aca="false">SUMIFS('Outages (event ledger)'!$H$2:$H$65,'Outages (event ledger)'!$A$2:$A$65,AB$2,'Outages (event ledger)'!$E$2:$E$65,"&lt;="&amp;$B9,'Outages (event ledger)'!$G$2:$G$65,"&gt;="&amp;$B9)</f>
        <v>8</v>
      </c>
      <c r="AC9" s="26" t="n">
        <f aca="false">SUMIFS('Outages (event ledger)'!$H$2:$H$65,'Outages (event ledger)'!$A$2:$A$65,AC$2,'Outages (event ledger)'!$E$2:$E$65,"&lt;="&amp;$B9,'Outages (event ledger)'!$G$2:$G$65,"&gt;="&amp;$B9)</f>
        <v>0</v>
      </c>
      <c r="AD9" s="26" t="n">
        <f aca="false">SUMIFS('Outages (event ledger)'!$H$2:$H$65,'Outages (event ledger)'!$A$2:$A$65,AD$2,'Outages (event ledger)'!$E$2:$E$65,"&lt;="&amp;$B9,'Outages (event ledger)'!$G$2:$G$65,"&gt;="&amp;$B9)</f>
        <v>0</v>
      </c>
      <c r="AE9" s="26" t="n">
        <f aca="false">SUMIFS('Outages (event ledger)'!$H$2:$H$65,'Outages (event ledger)'!$A$2:$A$65,AE$2,'Outages (event ledger)'!$E$2:$E$65,"&lt;="&amp;$B9,'Outages (event ledger)'!$G$2:$G$65,"&gt;="&amp;$B9)</f>
        <v>0</v>
      </c>
      <c r="AF9" s="26" t="n">
        <f aca="false">SUMIFS('Outages (event ledger)'!$H$2:$H$65,'Outages (event ledger)'!$A$2:$A$65,AF$2,'Outages (event ledger)'!$E$2:$E$65,"&lt;="&amp;$B9,'Outages (event ledger)'!$G$2:$G$65,"&gt;="&amp;$B9)</f>
        <v>0</v>
      </c>
      <c r="AG9" s="26" t="n">
        <f aca="false">SUMIFS('Outages (event ledger)'!$H$2:$H$65,'Outages (event ledger)'!$A$2:$A$65,AG$2,'Outages (event ledger)'!$E$2:$E$65,"&lt;="&amp;$B9,'Outages (event ledger)'!$G$2:$G$65,"&gt;="&amp;$B9)</f>
        <v>0</v>
      </c>
      <c r="AH9" s="26" t="n">
        <f aca="false">SUMIFS('Outages (event ledger)'!$H$2:$H$65,'Outages (event ledger)'!$A$2:$A$65,AH$2,'Outages (event ledger)'!$E$2:$E$65,"&lt;="&amp;$B9,'Outages (event ledger)'!$G$2:$G$65,"&gt;="&amp;$B9)</f>
        <v>0</v>
      </c>
      <c r="AI9" s="26" t="n">
        <f aca="false">SUMIFS('Outages (event ledger)'!$H$2:$H$65,'Outages (event ledger)'!$A$2:$A$65,AI$2,'Outages (event ledger)'!$E$2:$E$65,"&lt;="&amp;$B9,'Outages (event ledger)'!$G$2:$G$65,"&gt;="&amp;$B9)</f>
        <v>0</v>
      </c>
      <c r="AJ9" s="26" t="n">
        <f aca="false">SUMIFS('Outages (event ledger)'!$H$2:$H$65,'Outages (event ledger)'!$A$2:$A$65,AJ$2,'Outages (event ledger)'!$E$2:$E$65,"&lt;="&amp;$B9,'Outages (event ledger)'!$G$2:$G$65,"&gt;="&amp;$B9)</f>
        <v>0</v>
      </c>
      <c r="AK9" s="26" t="n">
        <f aca="false">SUMIFS('Outages (event ledger)'!$H$2:$H$65,'Outages (event ledger)'!$A$2:$A$65,AK$2,'Outages (event ledger)'!$E$2:$E$65,"&lt;="&amp;$B9,'Outages (event ledger)'!$G$2:$G$65,"&gt;="&amp;$B9)</f>
        <v>0</v>
      </c>
      <c r="AL9" s="26" t="n">
        <f aca="false">SUMIFS('Outages (event ledger)'!$H$2:$H$65,'Outages (event ledger)'!$A$2:$A$65,AL$2,'Outages (event ledger)'!$E$2:$E$65,"&lt;="&amp;$B9,'Outages (event ledger)'!$G$2:$G$65,"&gt;="&amp;$B9)</f>
        <v>0</v>
      </c>
      <c r="AM9" s="26" t="n">
        <f aca="false">SUMIFS('Outages (event ledger)'!$H$2:$H$65,'Outages (event ledger)'!$A$2:$A$65,AM$2,'Outages (event ledger)'!$E$2:$E$65,"&lt;="&amp;$B9,'Outages (event ledger)'!$G$2:$G$65,"&gt;="&amp;$B9)</f>
        <v>0</v>
      </c>
      <c r="AN9" s="26" t="n">
        <f aca="false">SUMIFS('Outages (event ledger)'!$H$2:$H$65,'Outages (event ledger)'!$A$2:$A$65,AN$2,'Outages (event ledger)'!$E$2:$E$65,"&lt;="&amp;$B9,'Outages (event ledger)'!$G$2:$G$65,"&gt;="&amp;$B9)</f>
        <v>0</v>
      </c>
      <c r="AO9" s="26" t="n">
        <f aca="false">SUMIFS('Outages (event ledger)'!$H$2:$H$65,'Outages (event ledger)'!$A$2:$A$65,AO$2,'Outages (event ledger)'!$E$2:$E$65,"&lt;="&amp;$B9,'Outages (event ledger)'!$G$2:$G$65,"&gt;="&amp;$B9)</f>
        <v>0</v>
      </c>
      <c r="AP9" s="26" t="n">
        <f aca="false">SUMIFS('Outages (event ledger)'!$H$2:$H$65,'Outages (event ledger)'!$A$2:$A$65,AP$2,'Outages (event ledger)'!$E$2:$E$65,"&lt;="&amp;$B9,'Outages (event ledger)'!$G$2:$G$65,"&gt;="&amp;$B9)</f>
        <v>0</v>
      </c>
      <c r="AQ9" s="26" t="n">
        <f aca="false">SUMIFS('Outages (event ledger)'!$H$2:$H$65,'Outages (event ledger)'!$A$2:$A$65,AQ$2,'Outages (event ledger)'!$E$2:$E$65,"&lt;="&amp;$B9,'Outages (event ledger)'!$G$2:$G$65,"&gt;="&amp;$B9)</f>
        <v>0</v>
      </c>
      <c r="AR9" s="26" t="n">
        <f aca="false">SUMIFS('Outages (event ledger)'!$H$2:$H$65,'Outages (event ledger)'!$A$2:$A$65,AR$2,'Outages (event ledger)'!$E$2:$E$65,"&lt;="&amp;$B9,'Outages (event ledger)'!$G$2:$G$65,"&gt;="&amp;$B9)</f>
        <v>0</v>
      </c>
      <c r="AS9" s="26" t="n">
        <f aca="false">SUMIFS('Outages (event ledger)'!$H$2:$H$65,'Outages (event ledger)'!$A$2:$A$65,AS$2,'Outages (event ledger)'!$E$2:$E$65,"&lt;="&amp;$B9,'Outages (event ledger)'!$G$2:$G$65,"&gt;="&amp;$B9)</f>
        <v>0</v>
      </c>
      <c r="AT9" s="26" t="n">
        <f aca="false">SUMIFS('Outages (event ledger)'!$H$2:$H$65,'Outages (event ledger)'!$A$2:$A$65,AT$2,'Outages (event ledger)'!$E$2:$E$65,"&lt;="&amp;$B9,'Outages (event ledger)'!$G$2:$G$65,"&gt;="&amp;$B9)</f>
        <v>0</v>
      </c>
      <c r="AU9" s="26" t="n">
        <f aca="false">SUMIFS('Outages (event ledger)'!$H$2:$H$65,'Outages (event ledger)'!$A$2:$A$65,AU$2,'Outages (event ledger)'!$E$2:$E$65,"&lt;="&amp;$B9,'Outages (event ledger)'!$G$2:$G$65,"&gt;="&amp;$B9)</f>
        <v>0</v>
      </c>
      <c r="AV9" s="26" t="n">
        <f aca="false">SUMIFS('Outages (event ledger)'!$H$2:$H$65,'Outages (event ledger)'!$A$2:$A$65,AV$2,'Outages (event ledger)'!$E$2:$E$65,"&lt;="&amp;$B9,'Outages (event ledger)'!$G$2:$G$65,"&gt;="&amp;$B9)</f>
        <v>0</v>
      </c>
      <c r="AW9" s="26" t="n">
        <f aca="false">SUMIFS('Outages (event ledger)'!$H$2:$H$65,'Outages (event ledger)'!$A$2:$A$65,AW$2,'Outages (event ledger)'!$E$2:$E$65,"&lt;="&amp;$B9,'Outages (event ledger)'!$G$2:$G$65,"&gt;="&amp;$B9)</f>
        <v>0</v>
      </c>
      <c r="AX9" s="26" t="n">
        <f aca="false">SUMIFS('Outages (event ledger)'!$H$2:$H$65,'Outages (event ledger)'!$A$2:$A$65,AX$2,'Outages (event ledger)'!$E$2:$E$65,"&lt;="&amp;$B9,'Outages (event ledger)'!$G$2:$G$65,"&gt;="&amp;$B9)</f>
        <v>0</v>
      </c>
      <c r="AY9" s="26" t="n">
        <f aca="false">SUMIFS('Outages (event ledger)'!$H$2:$H$65,'Outages (event ledger)'!$A$2:$A$65,AY$2,'Outages (event ledger)'!$E$2:$E$65,"&lt;="&amp;$B9,'Outages (event ledger)'!$G$2:$G$65,"&gt;="&amp;$B9)</f>
        <v>0</v>
      </c>
      <c r="AZ9" s="26" t="n">
        <f aca="false">SUMIFS('Outages (event ledger)'!$H$2:$H$65,'Outages (event ledger)'!$A$2:$A$65,AZ$2,'Outages (event ledger)'!$E$2:$E$65,"&lt;="&amp;$B9,'Outages (event ledger)'!$G$2:$G$65,"&gt;="&amp;$B9)</f>
        <v>0</v>
      </c>
      <c r="BA9" s="26" t="n">
        <f aca="false">SUMIFS('Outages (event ledger)'!$H$2:$H$65,'Outages (event ledger)'!$A$2:$A$65,BA$2,'Outages (event ledger)'!$E$2:$E$65,"&lt;="&amp;$B9,'Outages (event ledger)'!$G$2:$G$65,"&gt;="&amp;$B9)</f>
        <v>0</v>
      </c>
      <c r="BB9" s="26" t="n">
        <f aca="false">SUMIFS('Outages (event ledger)'!$H$2:$H$65,'Outages (event ledger)'!$A$2:$A$65,BB$2,'Outages (event ledger)'!$E$2:$E$65,"&lt;="&amp;$B9,'Outages (event ledger)'!$G$2:$G$65,"&gt;="&amp;$B9)</f>
        <v>0</v>
      </c>
      <c r="BC9" s="26" t="n">
        <f aca="false">SUMIFS('Outages (event ledger)'!$H$2:$H$65,'Outages (event ledger)'!$A$2:$A$65,BC$2,'Outages (event ledger)'!$E$2:$E$65,"&lt;="&amp;$B9,'Outages (event ledger)'!$G$2:$G$65,"&gt;="&amp;$B9)</f>
        <v>0</v>
      </c>
      <c r="BD9" s="26" t="n">
        <f aca="false">SUMIFS('Outages (event ledger)'!$H$2:$H$65,'Outages (event ledger)'!$A$2:$A$65,BD$2,'Outages (event ledger)'!$E$2:$E$65,"&lt;="&amp;$B9,'Outages (event ledger)'!$G$2:$G$65,"&gt;="&amp;$B9)</f>
        <v>0</v>
      </c>
      <c r="BE9" s="26" t="n">
        <f aca="false">SUMIFS('Outages (event ledger)'!$H$2:$H$65,'Outages (event ledger)'!$A$2:$A$65,BE$2,'Outages (event ledger)'!$E$2:$E$65,"&lt;="&amp;$B9,'Outages (event ledger)'!$G$2:$G$65,"&gt;="&amp;$B9)</f>
        <v>0</v>
      </c>
      <c r="BF9" s="26" t="n">
        <f aca="false">SUMIFS('Outages (event ledger)'!$H$2:$H$65,'Outages (event ledger)'!$A$2:$A$65,BF$2,'Outages (event ledger)'!$E$2:$E$65,"&lt;="&amp;$B9,'Outages (event ledger)'!$G$2:$G$65,"&gt;="&amp;$B9)</f>
        <v>0</v>
      </c>
      <c r="BG9" s="26" t="n">
        <f aca="false">SUMIFS('Outages (event ledger)'!$H$2:$H$65,'Outages (event ledger)'!$A$2:$A$65,BG$2,'Outages (event ledger)'!$E$2:$E$65,"&lt;="&amp;$B9,'Outages (event ledger)'!$G$2:$G$65,"&gt;="&amp;$B9)</f>
        <v>0</v>
      </c>
      <c r="BH9" s="26" t="n">
        <f aca="false">SUMIFS('Outages (event ledger)'!$H$2:$H$65,'Outages (event ledger)'!$A$2:$A$65,BH$2,'Outages (event ledger)'!$E$2:$E$65,"&lt;="&amp;$B9,'Outages (event ledger)'!$G$2:$G$65,"&gt;="&amp;$B9)</f>
        <v>0</v>
      </c>
      <c r="BI9" s="26" t="n">
        <f aca="false">SUMIFS('Outages (event ledger)'!$H$2:$H$65,'Outages (event ledger)'!$A$2:$A$65,BI$2,'Outages (event ledger)'!$E$2:$E$65,"&lt;="&amp;$B9,'Outages (event ledger)'!$G$2:$G$65,"&gt;="&amp;$B9)</f>
        <v>0</v>
      </c>
    </row>
    <row r="10" customFormat="false" ht="15" hidden="false" customHeight="false" outlineLevel="0" collapsed="false">
      <c r="A10" s="23" t="n">
        <v>40391</v>
      </c>
      <c r="B10" s="24" t="n">
        <v>201008</v>
      </c>
      <c r="C10" s="25" t="n">
        <f aca="false">SUM(D10:BI10)</f>
        <v>8</v>
      </c>
      <c r="D10" s="26" t="n">
        <f aca="false">SUMIFS('Outages (event ledger)'!$H$2:$H$65,'Outages (event ledger)'!$A$2:$A$65,D$2,'Outages (event ledger)'!$E$2:$E$65,"&lt;="&amp;$B10,'Outages (event ledger)'!$G$2:$G$65,"&gt;="&amp;$B10)</f>
        <v>0</v>
      </c>
      <c r="E10" s="26" t="n">
        <f aca="false">SUMIFS('Outages (event ledger)'!$H$2:$H$65,'Outages (event ledger)'!$A$2:$A$65,E$2,'Outages (event ledger)'!$E$2:$E$65,"&lt;="&amp;$B10,'Outages (event ledger)'!$G$2:$G$65,"&gt;="&amp;$B10)</f>
        <v>0</v>
      </c>
      <c r="F10" s="26" t="n">
        <f aca="false">SUMIFS('Outages (event ledger)'!$H$2:$H$65,'Outages (event ledger)'!$A$2:$A$65,F$2,'Outages (event ledger)'!$E$2:$E$65,"&lt;="&amp;$B10,'Outages (event ledger)'!$G$2:$G$65,"&gt;="&amp;$B10)</f>
        <v>0</v>
      </c>
      <c r="G10" s="26" t="n">
        <f aca="false">SUMIFS('Outages (event ledger)'!$H$2:$H$65,'Outages (event ledger)'!$A$2:$A$65,G$2,'Outages (event ledger)'!$E$2:$E$65,"&lt;="&amp;$B10,'Outages (event ledger)'!$G$2:$G$65,"&gt;="&amp;$B10)</f>
        <v>0</v>
      </c>
      <c r="H10" s="26" t="n">
        <f aca="false">SUMIFS('Outages (event ledger)'!$H$2:$H$65,'Outages (event ledger)'!$A$2:$A$65,H$2,'Outages (event ledger)'!$E$2:$E$65,"&lt;="&amp;$B10,'Outages (event ledger)'!$G$2:$G$65,"&gt;="&amp;$B10)</f>
        <v>0</v>
      </c>
      <c r="I10" s="26" t="n">
        <f aca="false">SUMIFS('Outages (event ledger)'!$H$2:$H$65,'Outages (event ledger)'!$A$2:$A$65,I$2,'Outages (event ledger)'!$E$2:$E$65,"&lt;="&amp;$B10,'Outages (event ledger)'!$G$2:$G$65,"&gt;="&amp;$B10)</f>
        <v>0</v>
      </c>
      <c r="J10" s="26" t="n">
        <f aca="false">SUMIFS('Outages (event ledger)'!$H$2:$H$65,'Outages (event ledger)'!$A$2:$A$65,J$2,'Outages (event ledger)'!$E$2:$E$65,"&lt;="&amp;$B10,'Outages (event ledger)'!$G$2:$G$65,"&gt;="&amp;$B10)</f>
        <v>0</v>
      </c>
      <c r="K10" s="26" t="n">
        <f aca="false">SUMIFS('Outages (event ledger)'!$H$2:$H$65,'Outages (event ledger)'!$A$2:$A$65,K$2,'Outages (event ledger)'!$E$2:$E$65,"&lt;="&amp;$B10,'Outages (event ledger)'!$G$2:$G$65,"&gt;="&amp;$B10)</f>
        <v>0</v>
      </c>
      <c r="L10" s="26" t="n">
        <f aca="false">SUMIFS('Outages (event ledger)'!$H$2:$H$65,'Outages (event ledger)'!$A$2:$A$65,L$2,'Outages (event ledger)'!$E$2:$E$65,"&lt;="&amp;$B10,'Outages (event ledger)'!$G$2:$G$65,"&gt;="&amp;$B10)</f>
        <v>0</v>
      </c>
      <c r="M10" s="26" t="n">
        <f aca="false">SUMIFS('Outages (event ledger)'!$H$2:$H$65,'Outages (event ledger)'!$A$2:$A$65,M$2,'Outages (event ledger)'!$E$2:$E$65,"&lt;="&amp;$B10,'Outages (event ledger)'!$G$2:$G$65,"&gt;="&amp;$B10)</f>
        <v>0</v>
      </c>
      <c r="N10" s="26" t="n">
        <f aca="false">SUMIFS('Outages (event ledger)'!$H$2:$H$65,'Outages (event ledger)'!$A$2:$A$65,N$2,'Outages (event ledger)'!$E$2:$E$65,"&lt;="&amp;$B10,'Outages (event ledger)'!$G$2:$G$65,"&gt;="&amp;$B10)</f>
        <v>0</v>
      </c>
      <c r="O10" s="26" t="n">
        <f aca="false">SUMIFS('Outages (event ledger)'!$H$2:$H$65,'Outages (event ledger)'!$A$2:$A$65,O$2,'Outages (event ledger)'!$E$2:$E$65,"&lt;="&amp;$B10,'Outages (event ledger)'!$G$2:$G$65,"&gt;="&amp;$B10)</f>
        <v>0</v>
      </c>
      <c r="P10" s="26" t="n">
        <f aca="false">SUMIFS('Outages (event ledger)'!$H$2:$H$65,'Outages (event ledger)'!$A$2:$A$65,P$2,'Outages (event ledger)'!$E$2:$E$65,"&lt;="&amp;$B10,'Outages (event ledger)'!$G$2:$G$65,"&gt;="&amp;$B10)</f>
        <v>0</v>
      </c>
      <c r="Q10" s="26" t="n">
        <f aca="false">SUMIFS('Outages (event ledger)'!$H$2:$H$65,'Outages (event ledger)'!$A$2:$A$65,Q$2,'Outages (event ledger)'!$E$2:$E$65,"&lt;="&amp;$B10,'Outages (event ledger)'!$G$2:$G$65,"&gt;="&amp;$B10)</f>
        <v>0</v>
      </c>
      <c r="R10" s="26" t="n">
        <f aca="false">SUMIFS('Outages (event ledger)'!$H$2:$H$65,'Outages (event ledger)'!$A$2:$A$65,R$2,'Outages (event ledger)'!$E$2:$E$65,"&lt;="&amp;$B10,'Outages (event ledger)'!$G$2:$G$65,"&gt;="&amp;$B10)</f>
        <v>0</v>
      </c>
      <c r="S10" s="26" t="n">
        <f aca="false">SUMIFS('Outages (event ledger)'!$H$2:$H$65,'Outages (event ledger)'!$A$2:$A$65,S$2,'Outages (event ledger)'!$E$2:$E$65,"&lt;="&amp;$B10,'Outages (event ledger)'!$G$2:$G$65,"&gt;="&amp;$B10)</f>
        <v>0</v>
      </c>
      <c r="T10" s="26" t="n">
        <f aca="false">SUMIFS('Outages (event ledger)'!$H$2:$H$65,'Outages (event ledger)'!$A$2:$A$65,T$2,'Outages (event ledger)'!$E$2:$E$65,"&lt;="&amp;$B10,'Outages (event ledger)'!$G$2:$G$65,"&gt;="&amp;$B10)</f>
        <v>0</v>
      </c>
      <c r="U10" s="26" t="n">
        <f aca="false">SUMIFS('Outages (event ledger)'!$H$2:$H$65,'Outages (event ledger)'!$A$2:$A$65,U$2,'Outages (event ledger)'!$E$2:$E$65,"&lt;="&amp;$B10,'Outages (event ledger)'!$G$2:$G$65,"&gt;="&amp;$B10)</f>
        <v>0</v>
      </c>
      <c r="V10" s="26" t="n">
        <f aca="false">SUMIFS('Outages (event ledger)'!$H$2:$H$65,'Outages (event ledger)'!$A$2:$A$65,V$2,'Outages (event ledger)'!$E$2:$E$65,"&lt;="&amp;$B10,'Outages (event ledger)'!$G$2:$G$65,"&gt;="&amp;$B10)</f>
        <v>0</v>
      </c>
      <c r="W10" s="26" t="n">
        <f aca="false">SUMIFS('Outages (event ledger)'!$H$2:$H$65,'Outages (event ledger)'!$A$2:$A$65,W$2,'Outages (event ledger)'!$E$2:$E$65,"&lt;="&amp;$B10,'Outages (event ledger)'!$G$2:$G$65,"&gt;="&amp;$B10)</f>
        <v>0</v>
      </c>
      <c r="X10" s="26" t="n">
        <f aca="false">SUMIFS('Outages (event ledger)'!$H$2:$H$65,'Outages (event ledger)'!$A$2:$A$65,X$2,'Outages (event ledger)'!$E$2:$E$65,"&lt;="&amp;$B10,'Outages (event ledger)'!$G$2:$G$65,"&gt;="&amp;$B10)</f>
        <v>0</v>
      </c>
      <c r="Y10" s="26" t="n">
        <f aca="false">SUMIFS('Outages (event ledger)'!$H$2:$H$65,'Outages (event ledger)'!$A$2:$A$65,Y$2,'Outages (event ledger)'!$E$2:$E$65,"&lt;="&amp;$B10,'Outages (event ledger)'!$G$2:$G$65,"&gt;="&amp;$B10)</f>
        <v>0</v>
      </c>
      <c r="Z10" s="26" t="n">
        <f aca="false">SUMIFS('Outages (event ledger)'!$H$2:$H$65,'Outages (event ledger)'!$A$2:$A$65,Z$2,'Outages (event ledger)'!$E$2:$E$65,"&lt;="&amp;$B10,'Outages (event ledger)'!$G$2:$G$65,"&gt;="&amp;$B10)</f>
        <v>0</v>
      </c>
      <c r="AA10" s="26" t="n">
        <f aca="false">SUMIFS('Outages (event ledger)'!$H$2:$H$65,'Outages (event ledger)'!$A$2:$A$65,AA$2,'Outages (event ledger)'!$E$2:$E$65,"&lt;="&amp;$B10,'Outages (event ledger)'!$G$2:$G$65,"&gt;="&amp;$B10)</f>
        <v>0</v>
      </c>
      <c r="AB10" s="26" t="n">
        <f aca="false">SUMIFS('Outages (event ledger)'!$H$2:$H$65,'Outages (event ledger)'!$A$2:$A$65,AB$2,'Outages (event ledger)'!$E$2:$E$65,"&lt;="&amp;$B10,'Outages (event ledger)'!$G$2:$G$65,"&gt;="&amp;$B10)</f>
        <v>8</v>
      </c>
      <c r="AC10" s="26" t="n">
        <f aca="false">SUMIFS('Outages (event ledger)'!$H$2:$H$65,'Outages (event ledger)'!$A$2:$A$65,AC$2,'Outages (event ledger)'!$E$2:$E$65,"&lt;="&amp;$B10,'Outages (event ledger)'!$G$2:$G$65,"&gt;="&amp;$B10)</f>
        <v>0</v>
      </c>
      <c r="AD10" s="26" t="n">
        <f aca="false">SUMIFS('Outages (event ledger)'!$H$2:$H$65,'Outages (event ledger)'!$A$2:$A$65,AD$2,'Outages (event ledger)'!$E$2:$E$65,"&lt;="&amp;$B10,'Outages (event ledger)'!$G$2:$G$65,"&gt;="&amp;$B10)</f>
        <v>0</v>
      </c>
      <c r="AE10" s="26" t="n">
        <f aca="false">SUMIFS('Outages (event ledger)'!$H$2:$H$65,'Outages (event ledger)'!$A$2:$A$65,AE$2,'Outages (event ledger)'!$E$2:$E$65,"&lt;="&amp;$B10,'Outages (event ledger)'!$G$2:$G$65,"&gt;="&amp;$B10)</f>
        <v>0</v>
      </c>
      <c r="AF10" s="26" t="n">
        <f aca="false">SUMIFS('Outages (event ledger)'!$H$2:$H$65,'Outages (event ledger)'!$A$2:$A$65,AF$2,'Outages (event ledger)'!$E$2:$E$65,"&lt;="&amp;$B10,'Outages (event ledger)'!$G$2:$G$65,"&gt;="&amp;$B10)</f>
        <v>0</v>
      </c>
      <c r="AG10" s="26" t="n">
        <f aca="false">SUMIFS('Outages (event ledger)'!$H$2:$H$65,'Outages (event ledger)'!$A$2:$A$65,AG$2,'Outages (event ledger)'!$E$2:$E$65,"&lt;="&amp;$B10,'Outages (event ledger)'!$G$2:$G$65,"&gt;="&amp;$B10)</f>
        <v>0</v>
      </c>
      <c r="AH10" s="26" t="n">
        <f aca="false">SUMIFS('Outages (event ledger)'!$H$2:$H$65,'Outages (event ledger)'!$A$2:$A$65,AH$2,'Outages (event ledger)'!$E$2:$E$65,"&lt;="&amp;$B10,'Outages (event ledger)'!$G$2:$G$65,"&gt;="&amp;$B10)</f>
        <v>0</v>
      </c>
      <c r="AI10" s="26" t="n">
        <f aca="false">SUMIFS('Outages (event ledger)'!$H$2:$H$65,'Outages (event ledger)'!$A$2:$A$65,AI$2,'Outages (event ledger)'!$E$2:$E$65,"&lt;="&amp;$B10,'Outages (event ledger)'!$G$2:$G$65,"&gt;="&amp;$B10)</f>
        <v>0</v>
      </c>
      <c r="AJ10" s="26" t="n">
        <f aca="false">SUMIFS('Outages (event ledger)'!$H$2:$H$65,'Outages (event ledger)'!$A$2:$A$65,AJ$2,'Outages (event ledger)'!$E$2:$E$65,"&lt;="&amp;$B10,'Outages (event ledger)'!$G$2:$G$65,"&gt;="&amp;$B10)</f>
        <v>0</v>
      </c>
      <c r="AK10" s="26" t="n">
        <f aca="false">SUMIFS('Outages (event ledger)'!$H$2:$H$65,'Outages (event ledger)'!$A$2:$A$65,AK$2,'Outages (event ledger)'!$E$2:$E$65,"&lt;="&amp;$B10,'Outages (event ledger)'!$G$2:$G$65,"&gt;="&amp;$B10)</f>
        <v>0</v>
      </c>
      <c r="AL10" s="26" t="n">
        <f aca="false">SUMIFS('Outages (event ledger)'!$H$2:$H$65,'Outages (event ledger)'!$A$2:$A$65,AL$2,'Outages (event ledger)'!$E$2:$E$65,"&lt;="&amp;$B10,'Outages (event ledger)'!$G$2:$G$65,"&gt;="&amp;$B10)</f>
        <v>0</v>
      </c>
      <c r="AM10" s="26" t="n">
        <f aca="false">SUMIFS('Outages (event ledger)'!$H$2:$H$65,'Outages (event ledger)'!$A$2:$A$65,AM$2,'Outages (event ledger)'!$E$2:$E$65,"&lt;="&amp;$B10,'Outages (event ledger)'!$G$2:$G$65,"&gt;="&amp;$B10)</f>
        <v>0</v>
      </c>
      <c r="AN10" s="26" t="n">
        <f aca="false">SUMIFS('Outages (event ledger)'!$H$2:$H$65,'Outages (event ledger)'!$A$2:$A$65,AN$2,'Outages (event ledger)'!$E$2:$E$65,"&lt;="&amp;$B10,'Outages (event ledger)'!$G$2:$G$65,"&gt;="&amp;$B10)</f>
        <v>0</v>
      </c>
      <c r="AO10" s="26" t="n">
        <f aca="false">SUMIFS('Outages (event ledger)'!$H$2:$H$65,'Outages (event ledger)'!$A$2:$A$65,AO$2,'Outages (event ledger)'!$E$2:$E$65,"&lt;="&amp;$B10,'Outages (event ledger)'!$G$2:$G$65,"&gt;="&amp;$B10)</f>
        <v>0</v>
      </c>
      <c r="AP10" s="26" t="n">
        <f aca="false">SUMIFS('Outages (event ledger)'!$H$2:$H$65,'Outages (event ledger)'!$A$2:$A$65,AP$2,'Outages (event ledger)'!$E$2:$E$65,"&lt;="&amp;$B10,'Outages (event ledger)'!$G$2:$G$65,"&gt;="&amp;$B10)</f>
        <v>0</v>
      </c>
      <c r="AQ10" s="26" t="n">
        <f aca="false">SUMIFS('Outages (event ledger)'!$H$2:$H$65,'Outages (event ledger)'!$A$2:$A$65,AQ$2,'Outages (event ledger)'!$E$2:$E$65,"&lt;="&amp;$B10,'Outages (event ledger)'!$G$2:$G$65,"&gt;="&amp;$B10)</f>
        <v>0</v>
      </c>
      <c r="AR10" s="26" t="n">
        <f aca="false">SUMIFS('Outages (event ledger)'!$H$2:$H$65,'Outages (event ledger)'!$A$2:$A$65,AR$2,'Outages (event ledger)'!$E$2:$E$65,"&lt;="&amp;$B10,'Outages (event ledger)'!$G$2:$G$65,"&gt;="&amp;$B10)</f>
        <v>0</v>
      </c>
      <c r="AS10" s="26" t="n">
        <f aca="false">SUMIFS('Outages (event ledger)'!$H$2:$H$65,'Outages (event ledger)'!$A$2:$A$65,AS$2,'Outages (event ledger)'!$E$2:$E$65,"&lt;="&amp;$B10,'Outages (event ledger)'!$G$2:$G$65,"&gt;="&amp;$B10)</f>
        <v>0</v>
      </c>
      <c r="AT10" s="26" t="n">
        <f aca="false">SUMIFS('Outages (event ledger)'!$H$2:$H$65,'Outages (event ledger)'!$A$2:$A$65,AT$2,'Outages (event ledger)'!$E$2:$E$65,"&lt;="&amp;$B10,'Outages (event ledger)'!$G$2:$G$65,"&gt;="&amp;$B10)</f>
        <v>0</v>
      </c>
      <c r="AU10" s="26" t="n">
        <f aca="false">SUMIFS('Outages (event ledger)'!$H$2:$H$65,'Outages (event ledger)'!$A$2:$A$65,AU$2,'Outages (event ledger)'!$E$2:$E$65,"&lt;="&amp;$B10,'Outages (event ledger)'!$G$2:$G$65,"&gt;="&amp;$B10)</f>
        <v>0</v>
      </c>
      <c r="AV10" s="26" t="n">
        <f aca="false">SUMIFS('Outages (event ledger)'!$H$2:$H$65,'Outages (event ledger)'!$A$2:$A$65,AV$2,'Outages (event ledger)'!$E$2:$E$65,"&lt;="&amp;$B10,'Outages (event ledger)'!$G$2:$G$65,"&gt;="&amp;$B10)</f>
        <v>0</v>
      </c>
      <c r="AW10" s="26" t="n">
        <f aca="false">SUMIFS('Outages (event ledger)'!$H$2:$H$65,'Outages (event ledger)'!$A$2:$A$65,AW$2,'Outages (event ledger)'!$E$2:$E$65,"&lt;="&amp;$B10,'Outages (event ledger)'!$G$2:$G$65,"&gt;="&amp;$B10)</f>
        <v>0</v>
      </c>
      <c r="AX10" s="26" t="n">
        <f aca="false">SUMIFS('Outages (event ledger)'!$H$2:$H$65,'Outages (event ledger)'!$A$2:$A$65,AX$2,'Outages (event ledger)'!$E$2:$E$65,"&lt;="&amp;$B10,'Outages (event ledger)'!$G$2:$G$65,"&gt;="&amp;$B10)</f>
        <v>0</v>
      </c>
      <c r="AY10" s="26" t="n">
        <f aca="false">SUMIFS('Outages (event ledger)'!$H$2:$H$65,'Outages (event ledger)'!$A$2:$A$65,AY$2,'Outages (event ledger)'!$E$2:$E$65,"&lt;="&amp;$B10,'Outages (event ledger)'!$G$2:$G$65,"&gt;="&amp;$B10)</f>
        <v>0</v>
      </c>
      <c r="AZ10" s="26" t="n">
        <f aca="false">SUMIFS('Outages (event ledger)'!$H$2:$H$65,'Outages (event ledger)'!$A$2:$A$65,AZ$2,'Outages (event ledger)'!$E$2:$E$65,"&lt;="&amp;$B10,'Outages (event ledger)'!$G$2:$G$65,"&gt;="&amp;$B10)</f>
        <v>0</v>
      </c>
      <c r="BA10" s="26" t="n">
        <f aca="false">SUMIFS('Outages (event ledger)'!$H$2:$H$65,'Outages (event ledger)'!$A$2:$A$65,BA$2,'Outages (event ledger)'!$E$2:$E$65,"&lt;="&amp;$B10,'Outages (event ledger)'!$G$2:$G$65,"&gt;="&amp;$B10)</f>
        <v>0</v>
      </c>
      <c r="BB10" s="26" t="n">
        <f aca="false">SUMIFS('Outages (event ledger)'!$H$2:$H$65,'Outages (event ledger)'!$A$2:$A$65,BB$2,'Outages (event ledger)'!$E$2:$E$65,"&lt;="&amp;$B10,'Outages (event ledger)'!$G$2:$G$65,"&gt;="&amp;$B10)</f>
        <v>0</v>
      </c>
      <c r="BC10" s="26" t="n">
        <f aca="false">SUMIFS('Outages (event ledger)'!$H$2:$H$65,'Outages (event ledger)'!$A$2:$A$65,BC$2,'Outages (event ledger)'!$E$2:$E$65,"&lt;="&amp;$B10,'Outages (event ledger)'!$G$2:$G$65,"&gt;="&amp;$B10)</f>
        <v>0</v>
      </c>
      <c r="BD10" s="26" t="n">
        <f aca="false">SUMIFS('Outages (event ledger)'!$H$2:$H$65,'Outages (event ledger)'!$A$2:$A$65,BD$2,'Outages (event ledger)'!$E$2:$E$65,"&lt;="&amp;$B10,'Outages (event ledger)'!$G$2:$G$65,"&gt;="&amp;$B10)</f>
        <v>0</v>
      </c>
      <c r="BE10" s="26" t="n">
        <f aca="false">SUMIFS('Outages (event ledger)'!$H$2:$H$65,'Outages (event ledger)'!$A$2:$A$65,BE$2,'Outages (event ledger)'!$E$2:$E$65,"&lt;="&amp;$B10,'Outages (event ledger)'!$G$2:$G$65,"&gt;="&amp;$B10)</f>
        <v>0</v>
      </c>
      <c r="BF10" s="26" t="n">
        <f aca="false">SUMIFS('Outages (event ledger)'!$H$2:$H$65,'Outages (event ledger)'!$A$2:$A$65,BF$2,'Outages (event ledger)'!$E$2:$E$65,"&lt;="&amp;$B10,'Outages (event ledger)'!$G$2:$G$65,"&gt;="&amp;$B10)</f>
        <v>0</v>
      </c>
      <c r="BG10" s="26" t="n">
        <f aca="false">SUMIFS('Outages (event ledger)'!$H$2:$H$65,'Outages (event ledger)'!$A$2:$A$65,BG$2,'Outages (event ledger)'!$E$2:$E$65,"&lt;="&amp;$B10,'Outages (event ledger)'!$G$2:$G$65,"&gt;="&amp;$B10)</f>
        <v>0</v>
      </c>
      <c r="BH10" s="26" t="n">
        <f aca="false">SUMIFS('Outages (event ledger)'!$H$2:$H$65,'Outages (event ledger)'!$A$2:$A$65,BH$2,'Outages (event ledger)'!$E$2:$E$65,"&lt;="&amp;$B10,'Outages (event ledger)'!$G$2:$G$65,"&gt;="&amp;$B10)</f>
        <v>0</v>
      </c>
      <c r="BI10" s="26" t="n">
        <f aca="false">SUMIFS('Outages (event ledger)'!$H$2:$H$65,'Outages (event ledger)'!$A$2:$A$65,BI$2,'Outages (event ledger)'!$E$2:$E$65,"&lt;="&amp;$B10,'Outages (event ledger)'!$G$2:$G$65,"&gt;="&amp;$B10)</f>
        <v>0</v>
      </c>
    </row>
    <row r="11" customFormat="false" ht="15" hidden="false" customHeight="false" outlineLevel="0" collapsed="false">
      <c r="A11" s="23" t="n">
        <v>40422</v>
      </c>
      <c r="B11" s="24" t="n">
        <v>201009</v>
      </c>
      <c r="C11" s="25" t="n">
        <f aca="false">SUM(D11:BI11)</f>
        <v>8</v>
      </c>
      <c r="D11" s="26" t="n">
        <f aca="false">SUMIFS('Outages (event ledger)'!$H$2:$H$65,'Outages (event ledger)'!$A$2:$A$65,D$2,'Outages (event ledger)'!$E$2:$E$65,"&lt;="&amp;$B11,'Outages (event ledger)'!$G$2:$G$65,"&gt;="&amp;$B11)</f>
        <v>0</v>
      </c>
      <c r="E11" s="26" t="n">
        <f aca="false">SUMIFS('Outages (event ledger)'!$H$2:$H$65,'Outages (event ledger)'!$A$2:$A$65,E$2,'Outages (event ledger)'!$E$2:$E$65,"&lt;="&amp;$B11,'Outages (event ledger)'!$G$2:$G$65,"&gt;="&amp;$B11)</f>
        <v>0</v>
      </c>
      <c r="F11" s="26" t="n">
        <f aca="false">SUMIFS('Outages (event ledger)'!$H$2:$H$65,'Outages (event ledger)'!$A$2:$A$65,F$2,'Outages (event ledger)'!$E$2:$E$65,"&lt;="&amp;$B11,'Outages (event ledger)'!$G$2:$G$65,"&gt;="&amp;$B11)</f>
        <v>0</v>
      </c>
      <c r="G11" s="26" t="n">
        <f aca="false">SUMIFS('Outages (event ledger)'!$H$2:$H$65,'Outages (event ledger)'!$A$2:$A$65,G$2,'Outages (event ledger)'!$E$2:$E$65,"&lt;="&amp;$B11,'Outages (event ledger)'!$G$2:$G$65,"&gt;="&amp;$B11)</f>
        <v>0</v>
      </c>
      <c r="H11" s="26" t="n">
        <f aca="false">SUMIFS('Outages (event ledger)'!$H$2:$H$65,'Outages (event ledger)'!$A$2:$A$65,H$2,'Outages (event ledger)'!$E$2:$E$65,"&lt;="&amp;$B11,'Outages (event ledger)'!$G$2:$G$65,"&gt;="&amp;$B11)</f>
        <v>0</v>
      </c>
      <c r="I11" s="26" t="n">
        <f aca="false">SUMIFS('Outages (event ledger)'!$H$2:$H$65,'Outages (event ledger)'!$A$2:$A$65,I$2,'Outages (event ledger)'!$E$2:$E$65,"&lt;="&amp;$B11,'Outages (event ledger)'!$G$2:$G$65,"&gt;="&amp;$B11)</f>
        <v>0</v>
      </c>
      <c r="J11" s="26" t="n">
        <f aca="false">SUMIFS('Outages (event ledger)'!$H$2:$H$65,'Outages (event ledger)'!$A$2:$A$65,J$2,'Outages (event ledger)'!$E$2:$E$65,"&lt;="&amp;$B11,'Outages (event ledger)'!$G$2:$G$65,"&gt;="&amp;$B11)</f>
        <v>0</v>
      </c>
      <c r="K11" s="26" t="n">
        <f aca="false">SUMIFS('Outages (event ledger)'!$H$2:$H$65,'Outages (event ledger)'!$A$2:$A$65,K$2,'Outages (event ledger)'!$E$2:$E$65,"&lt;="&amp;$B11,'Outages (event ledger)'!$G$2:$G$65,"&gt;="&amp;$B11)</f>
        <v>0</v>
      </c>
      <c r="L11" s="26" t="n">
        <f aca="false">SUMIFS('Outages (event ledger)'!$H$2:$H$65,'Outages (event ledger)'!$A$2:$A$65,L$2,'Outages (event ledger)'!$E$2:$E$65,"&lt;="&amp;$B11,'Outages (event ledger)'!$G$2:$G$65,"&gt;="&amp;$B11)</f>
        <v>0</v>
      </c>
      <c r="M11" s="26" t="n">
        <f aca="false">SUMIFS('Outages (event ledger)'!$H$2:$H$65,'Outages (event ledger)'!$A$2:$A$65,M$2,'Outages (event ledger)'!$E$2:$E$65,"&lt;="&amp;$B11,'Outages (event ledger)'!$G$2:$G$65,"&gt;="&amp;$B11)</f>
        <v>0</v>
      </c>
      <c r="N11" s="26" t="n">
        <f aca="false">SUMIFS('Outages (event ledger)'!$H$2:$H$65,'Outages (event ledger)'!$A$2:$A$65,N$2,'Outages (event ledger)'!$E$2:$E$65,"&lt;="&amp;$B11,'Outages (event ledger)'!$G$2:$G$65,"&gt;="&amp;$B11)</f>
        <v>0</v>
      </c>
      <c r="O11" s="26" t="n">
        <f aca="false">SUMIFS('Outages (event ledger)'!$H$2:$H$65,'Outages (event ledger)'!$A$2:$A$65,O$2,'Outages (event ledger)'!$E$2:$E$65,"&lt;="&amp;$B11,'Outages (event ledger)'!$G$2:$G$65,"&gt;="&amp;$B11)</f>
        <v>0</v>
      </c>
      <c r="P11" s="26" t="n">
        <f aca="false">SUMIFS('Outages (event ledger)'!$H$2:$H$65,'Outages (event ledger)'!$A$2:$A$65,P$2,'Outages (event ledger)'!$E$2:$E$65,"&lt;="&amp;$B11,'Outages (event ledger)'!$G$2:$G$65,"&gt;="&amp;$B11)</f>
        <v>0</v>
      </c>
      <c r="Q11" s="26" t="n">
        <f aca="false">SUMIFS('Outages (event ledger)'!$H$2:$H$65,'Outages (event ledger)'!$A$2:$A$65,Q$2,'Outages (event ledger)'!$E$2:$E$65,"&lt;="&amp;$B11,'Outages (event ledger)'!$G$2:$G$65,"&gt;="&amp;$B11)</f>
        <v>0</v>
      </c>
      <c r="R11" s="26" t="n">
        <f aca="false">SUMIFS('Outages (event ledger)'!$H$2:$H$65,'Outages (event ledger)'!$A$2:$A$65,R$2,'Outages (event ledger)'!$E$2:$E$65,"&lt;="&amp;$B11,'Outages (event ledger)'!$G$2:$G$65,"&gt;="&amp;$B11)</f>
        <v>0</v>
      </c>
      <c r="S11" s="26" t="n">
        <f aca="false">SUMIFS('Outages (event ledger)'!$H$2:$H$65,'Outages (event ledger)'!$A$2:$A$65,S$2,'Outages (event ledger)'!$E$2:$E$65,"&lt;="&amp;$B11,'Outages (event ledger)'!$G$2:$G$65,"&gt;="&amp;$B11)</f>
        <v>0</v>
      </c>
      <c r="T11" s="26" t="n">
        <f aca="false">SUMIFS('Outages (event ledger)'!$H$2:$H$65,'Outages (event ledger)'!$A$2:$A$65,T$2,'Outages (event ledger)'!$E$2:$E$65,"&lt;="&amp;$B11,'Outages (event ledger)'!$G$2:$G$65,"&gt;="&amp;$B11)</f>
        <v>0</v>
      </c>
      <c r="U11" s="26" t="n">
        <f aca="false">SUMIFS('Outages (event ledger)'!$H$2:$H$65,'Outages (event ledger)'!$A$2:$A$65,U$2,'Outages (event ledger)'!$E$2:$E$65,"&lt;="&amp;$B11,'Outages (event ledger)'!$G$2:$G$65,"&gt;="&amp;$B11)</f>
        <v>0</v>
      </c>
      <c r="V11" s="26" t="n">
        <f aca="false">SUMIFS('Outages (event ledger)'!$H$2:$H$65,'Outages (event ledger)'!$A$2:$A$65,V$2,'Outages (event ledger)'!$E$2:$E$65,"&lt;="&amp;$B11,'Outages (event ledger)'!$G$2:$G$65,"&gt;="&amp;$B11)</f>
        <v>0</v>
      </c>
      <c r="W11" s="26" t="n">
        <f aca="false">SUMIFS('Outages (event ledger)'!$H$2:$H$65,'Outages (event ledger)'!$A$2:$A$65,W$2,'Outages (event ledger)'!$E$2:$E$65,"&lt;="&amp;$B11,'Outages (event ledger)'!$G$2:$G$65,"&gt;="&amp;$B11)</f>
        <v>0</v>
      </c>
      <c r="X11" s="26" t="n">
        <f aca="false">SUMIFS('Outages (event ledger)'!$H$2:$H$65,'Outages (event ledger)'!$A$2:$A$65,X$2,'Outages (event ledger)'!$E$2:$E$65,"&lt;="&amp;$B11,'Outages (event ledger)'!$G$2:$G$65,"&gt;="&amp;$B11)</f>
        <v>0</v>
      </c>
      <c r="Y11" s="26" t="n">
        <f aca="false">SUMIFS('Outages (event ledger)'!$H$2:$H$65,'Outages (event ledger)'!$A$2:$A$65,Y$2,'Outages (event ledger)'!$E$2:$E$65,"&lt;="&amp;$B11,'Outages (event ledger)'!$G$2:$G$65,"&gt;="&amp;$B11)</f>
        <v>0</v>
      </c>
      <c r="Z11" s="26" t="n">
        <f aca="false">SUMIFS('Outages (event ledger)'!$H$2:$H$65,'Outages (event ledger)'!$A$2:$A$65,Z$2,'Outages (event ledger)'!$E$2:$E$65,"&lt;="&amp;$B11,'Outages (event ledger)'!$G$2:$G$65,"&gt;="&amp;$B11)</f>
        <v>0</v>
      </c>
      <c r="AA11" s="26" t="n">
        <f aca="false">SUMIFS('Outages (event ledger)'!$H$2:$H$65,'Outages (event ledger)'!$A$2:$A$65,AA$2,'Outages (event ledger)'!$E$2:$E$65,"&lt;="&amp;$B11,'Outages (event ledger)'!$G$2:$G$65,"&gt;="&amp;$B11)</f>
        <v>0</v>
      </c>
      <c r="AB11" s="26" t="n">
        <f aca="false">SUMIFS('Outages (event ledger)'!$H$2:$H$65,'Outages (event ledger)'!$A$2:$A$65,AB$2,'Outages (event ledger)'!$E$2:$E$65,"&lt;="&amp;$B11,'Outages (event ledger)'!$G$2:$G$65,"&gt;="&amp;$B11)</f>
        <v>8</v>
      </c>
      <c r="AC11" s="26" t="n">
        <f aca="false">SUMIFS('Outages (event ledger)'!$H$2:$H$65,'Outages (event ledger)'!$A$2:$A$65,AC$2,'Outages (event ledger)'!$E$2:$E$65,"&lt;="&amp;$B11,'Outages (event ledger)'!$G$2:$G$65,"&gt;="&amp;$B11)</f>
        <v>0</v>
      </c>
      <c r="AD11" s="26" t="n">
        <f aca="false">SUMIFS('Outages (event ledger)'!$H$2:$H$65,'Outages (event ledger)'!$A$2:$A$65,AD$2,'Outages (event ledger)'!$E$2:$E$65,"&lt;="&amp;$B11,'Outages (event ledger)'!$G$2:$G$65,"&gt;="&amp;$B11)</f>
        <v>0</v>
      </c>
      <c r="AE11" s="26" t="n">
        <f aca="false">SUMIFS('Outages (event ledger)'!$H$2:$H$65,'Outages (event ledger)'!$A$2:$A$65,AE$2,'Outages (event ledger)'!$E$2:$E$65,"&lt;="&amp;$B11,'Outages (event ledger)'!$G$2:$G$65,"&gt;="&amp;$B11)</f>
        <v>0</v>
      </c>
      <c r="AF11" s="26" t="n">
        <f aca="false">SUMIFS('Outages (event ledger)'!$H$2:$H$65,'Outages (event ledger)'!$A$2:$A$65,AF$2,'Outages (event ledger)'!$E$2:$E$65,"&lt;="&amp;$B11,'Outages (event ledger)'!$G$2:$G$65,"&gt;="&amp;$B11)</f>
        <v>0</v>
      </c>
      <c r="AG11" s="26" t="n">
        <f aca="false">SUMIFS('Outages (event ledger)'!$H$2:$H$65,'Outages (event ledger)'!$A$2:$A$65,AG$2,'Outages (event ledger)'!$E$2:$E$65,"&lt;="&amp;$B11,'Outages (event ledger)'!$G$2:$G$65,"&gt;="&amp;$B11)</f>
        <v>0</v>
      </c>
      <c r="AH11" s="26" t="n">
        <f aca="false">SUMIFS('Outages (event ledger)'!$H$2:$H$65,'Outages (event ledger)'!$A$2:$A$65,AH$2,'Outages (event ledger)'!$E$2:$E$65,"&lt;="&amp;$B11,'Outages (event ledger)'!$G$2:$G$65,"&gt;="&amp;$B11)</f>
        <v>0</v>
      </c>
      <c r="AI11" s="26" t="n">
        <f aca="false">SUMIFS('Outages (event ledger)'!$H$2:$H$65,'Outages (event ledger)'!$A$2:$A$65,AI$2,'Outages (event ledger)'!$E$2:$E$65,"&lt;="&amp;$B11,'Outages (event ledger)'!$G$2:$G$65,"&gt;="&amp;$B11)</f>
        <v>0</v>
      </c>
      <c r="AJ11" s="26" t="n">
        <f aca="false">SUMIFS('Outages (event ledger)'!$H$2:$H$65,'Outages (event ledger)'!$A$2:$A$65,AJ$2,'Outages (event ledger)'!$E$2:$E$65,"&lt;="&amp;$B11,'Outages (event ledger)'!$G$2:$G$65,"&gt;="&amp;$B11)</f>
        <v>0</v>
      </c>
      <c r="AK11" s="26" t="n">
        <f aca="false">SUMIFS('Outages (event ledger)'!$H$2:$H$65,'Outages (event ledger)'!$A$2:$A$65,AK$2,'Outages (event ledger)'!$E$2:$E$65,"&lt;="&amp;$B11,'Outages (event ledger)'!$G$2:$G$65,"&gt;="&amp;$B11)</f>
        <v>0</v>
      </c>
      <c r="AL11" s="26" t="n">
        <f aca="false">SUMIFS('Outages (event ledger)'!$H$2:$H$65,'Outages (event ledger)'!$A$2:$A$65,AL$2,'Outages (event ledger)'!$E$2:$E$65,"&lt;="&amp;$B11,'Outages (event ledger)'!$G$2:$G$65,"&gt;="&amp;$B11)</f>
        <v>0</v>
      </c>
      <c r="AM11" s="26" t="n">
        <f aca="false">SUMIFS('Outages (event ledger)'!$H$2:$H$65,'Outages (event ledger)'!$A$2:$A$65,AM$2,'Outages (event ledger)'!$E$2:$E$65,"&lt;="&amp;$B11,'Outages (event ledger)'!$G$2:$G$65,"&gt;="&amp;$B11)</f>
        <v>0</v>
      </c>
      <c r="AN11" s="26" t="n">
        <f aca="false">SUMIFS('Outages (event ledger)'!$H$2:$H$65,'Outages (event ledger)'!$A$2:$A$65,AN$2,'Outages (event ledger)'!$E$2:$E$65,"&lt;="&amp;$B11,'Outages (event ledger)'!$G$2:$G$65,"&gt;="&amp;$B11)</f>
        <v>0</v>
      </c>
      <c r="AO11" s="26" t="n">
        <f aca="false">SUMIFS('Outages (event ledger)'!$H$2:$H$65,'Outages (event ledger)'!$A$2:$A$65,AO$2,'Outages (event ledger)'!$E$2:$E$65,"&lt;="&amp;$B11,'Outages (event ledger)'!$G$2:$G$65,"&gt;="&amp;$B11)</f>
        <v>0</v>
      </c>
      <c r="AP11" s="26" t="n">
        <f aca="false">SUMIFS('Outages (event ledger)'!$H$2:$H$65,'Outages (event ledger)'!$A$2:$A$65,AP$2,'Outages (event ledger)'!$E$2:$E$65,"&lt;="&amp;$B11,'Outages (event ledger)'!$G$2:$G$65,"&gt;="&amp;$B11)</f>
        <v>0</v>
      </c>
      <c r="AQ11" s="26" t="n">
        <f aca="false">SUMIFS('Outages (event ledger)'!$H$2:$H$65,'Outages (event ledger)'!$A$2:$A$65,AQ$2,'Outages (event ledger)'!$E$2:$E$65,"&lt;="&amp;$B11,'Outages (event ledger)'!$G$2:$G$65,"&gt;="&amp;$B11)</f>
        <v>0</v>
      </c>
      <c r="AR11" s="26" t="n">
        <f aca="false">SUMIFS('Outages (event ledger)'!$H$2:$H$65,'Outages (event ledger)'!$A$2:$A$65,AR$2,'Outages (event ledger)'!$E$2:$E$65,"&lt;="&amp;$B11,'Outages (event ledger)'!$G$2:$G$65,"&gt;="&amp;$B11)</f>
        <v>0</v>
      </c>
      <c r="AS11" s="26" t="n">
        <f aca="false">SUMIFS('Outages (event ledger)'!$H$2:$H$65,'Outages (event ledger)'!$A$2:$A$65,AS$2,'Outages (event ledger)'!$E$2:$E$65,"&lt;="&amp;$B11,'Outages (event ledger)'!$G$2:$G$65,"&gt;="&amp;$B11)</f>
        <v>0</v>
      </c>
      <c r="AT11" s="26" t="n">
        <f aca="false">SUMIFS('Outages (event ledger)'!$H$2:$H$65,'Outages (event ledger)'!$A$2:$A$65,AT$2,'Outages (event ledger)'!$E$2:$E$65,"&lt;="&amp;$B11,'Outages (event ledger)'!$G$2:$G$65,"&gt;="&amp;$B11)</f>
        <v>0</v>
      </c>
      <c r="AU11" s="26" t="n">
        <f aca="false">SUMIFS('Outages (event ledger)'!$H$2:$H$65,'Outages (event ledger)'!$A$2:$A$65,AU$2,'Outages (event ledger)'!$E$2:$E$65,"&lt;="&amp;$B11,'Outages (event ledger)'!$G$2:$G$65,"&gt;="&amp;$B11)</f>
        <v>0</v>
      </c>
      <c r="AV11" s="26" t="n">
        <f aca="false">SUMIFS('Outages (event ledger)'!$H$2:$H$65,'Outages (event ledger)'!$A$2:$A$65,AV$2,'Outages (event ledger)'!$E$2:$E$65,"&lt;="&amp;$B11,'Outages (event ledger)'!$G$2:$G$65,"&gt;="&amp;$B11)</f>
        <v>0</v>
      </c>
      <c r="AW11" s="26" t="n">
        <f aca="false">SUMIFS('Outages (event ledger)'!$H$2:$H$65,'Outages (event ledger)'!$A$2:$A$65,AW$2,'Outages (event ledger)'!$E$2:$E$65,"&lt;="&amp;$B11,'Outages (event ledger)'!$G$2:$G$65,"&gt;="&amp;$B11)</f>
        <v>0</v>
      </c>
      <c r="AX11" s="26" t="n">
        <f aca="false">SUMIFS('Outages (event ledger)'!$H$2:$H$65,'Outages (event ledger)'!$A$2:$A$65,AX$2,'Outages (event ledger)'!$E$2:$E$65,"&lt;="&amp;$B11,'Outages (event ledger)'!$G$2:$G$65,"&gt;="&amp;$B11)</f>
        <v>0</v>
      </c>
      <c r="AY11" s="26" t="n">
        <f aca="false">SUMIFS('Outages (event ledger)'!$H$2:$H$65,'Outages (event ledger)'!$A$2:$A$65,AY$2,'Outages (event ledger)'!$E$2:$E$65,"&lt;="&amp;$B11,'Outages (event ledger)'!$G$2:$G$65,"&gt;="&amp;$B11)</f>
        <v>0</v>
      </c>
      <c r="AZ11" s="26" t="n">
        <f aca="false">SUMIFS('Outages (event ledger)'!$H$2:$H$65,'Outages (event ledger)'!$A$2:$A$65,AZ$2,'Outages (event ledger)'!$E$2:$E$65,"&lt;="&amp;$B11,'Outages (event ledger)'!$G$2:$G$65,"&gt;="&amp;$B11)</f>
        <v>0</v>
      </c>
      <c r="BA11" s="26" t="n">
        <f aca="false">SUMIFS('Outages (event ledger)'!$H$2:$H$65,'Outages (event ledger)'!$A$2:$A$65,BA$2,'Outages (event ledger)'!$E$2:$E$65,"&lt;="&amp;$B11,'Outages (event ledger)'!$G$2:$G$65,"&gt;="&amp;$B11)</f>
        <v>0</v>
      </c>
      <c r="BB11" s="26" t="n">
        <f aca="false">SUMIFS('Outages (event ledger)'!$H$2:$H$65,'Outages (event ledger)'!$A$2:$A$65,BB$2,'Outages (event ledger)'!$E$2:$E$65,"&lt;="&amp;$B11,'Outages (event ledger)'!$G$2:$G$65,"&gt;="&amp;$B11)</f>
        <v>0</v>
      </c>
      <c r="BC11" s="26" t="n">
        <f aca="false">SUMIFS('Outages (event ledger)'!$H$2:$H$65,'Outages (event ledger)'!$A$2:$A$65,BC$2,'Outages (event ledger)'!$E$2:$E$65,"&lt;="&amp;$B11,'Outages (event ledger)'!$G$2:$G$65,"&gt;="&amp;$B11)</f>
        <v>0</v>
      </c>
      <c r="BD11" s="26" t="n">
        <f aca="false">SUMIFS('Outages (event ledger)'!$H$2:$H$65,'Outages (event ledger)'!$A$2:$A$65,BD$2,'Outages (event ledger)'!$E$2:$E$65,"&lt;="&amp;$B11,'Outages (event ledger)'!$G$2:$G$65,"&gt;="&amp;$B11)</f>
        <v>0</v>
      </c>
      <c r="BE11" s="26" t="n">
        <f aca="false">SUMIFS('Outages (event ledger)'!$H$2:$H$65,'Outages (event ledger)'!$A$2:$A$65,BE$2,'Outages (event ledger)'!$E$2:$E$65,"&lt;="&amp;$B11,'Outages (event ledger)'!$G$2:$G$65,"&gt;="&amp;$B11)</f>
        <v>0</v>
      </c>
      <c r="BF11" s="26" t="n">
        <f aca="false">SUMIFS('Outages (event ledger)'!$H$2:$H$65,'Outages (event ledger)'!$A$2:$A$65,BF$2,'Outages (event ledger)'!$E$2:$E$65,"&lt;="&amp;$B11,'Outages (event ledger)'!$G$2:$G$65,"&gt;="&amp;$B11)</f>
        <v>0</v>
      </c>
      <c r="BG11" s="26" t="n">
        <f aca="false">SUMIFS('Outages (event ledger)'!$H$2:$H$65,'Outages (event ledger)'!$A$2:$A$65,BG$2,'Outages (event ledger)'!$E$2:$E$65,"&lt;="&amp;$B11,'Outages (event ledger)'!$G$2:$G$65,"&gt;="&amp;$B11)</f>
        <v>0</v>
      </c>
      <c r="BH11" s="26" t="n">
        <f aca="false">SUMIFS('Outages (event ledger)'!$H$2:$H$65,'Outages (event ledger)'!$A$2:$A$65,BH$2,'Outages (event ledger)'!$E$2:$E$65,"&lt;="&amp;$B11,'Outages (event ledger)'!$G$2:$G$65,"&gt;="&amp;$B11)</f>
        <v>0</v>
      </c>
      <c r="BI11" s="26" t="n">
        <f aca="false">SUMIFS('Outages (event ledger)'!$H$2:$H$65,'Outages (event ledger)'!$A$2:$A$65,BI$2,'Outages (event ledger)'!$E$2:$E$65,"&lt;="&amp;$B11,'Outages (event ledger)'!$G$2:$G$65,"&gt;="&amp;$B11)</f>
        <v>0</v>
      </c>
    </row>
    <row r="12" customFormat="false" ht="15" hidden="false" customHeight="false" outlineLevel="0" collapsed="false">
      <c r="A12" s="23" t="n">
        <v>40452</v>
      </c>
      <c r="B12" s="24" t="n">
        <v>201010</v>
      </c>
      <c r="C12" s="25" t="n">
        <f aca="false">SUM(D12:BI12)</f>
        <v>8</v>
      </c>
      <c r="D12" s="26" t="n">
        <f aca="false">SUMIFS('Outages (event ledger)'!$H$2:$H$65,'Outages (event ledger)'!$A$2:$A$65,D$2,'Outages (event ledger)'!$E$2:$E$65,"&lt;="&amp;$B12,'Outages (event ledger)'!$G$2:$G$65,"&gt;="&amp;$B12)</f>
        <v>0</v>
      </c>
      <c r="E12" s="26" t="n">
        <f aca="false">SUMIFS('Outages (event ledger)'!$H$2:$H$65,'Outages (event ledger)'!$A$2:$A$65,E$2,'Outages (event ledger)'!$E$2:$E$65,"&lt;="&amp;$B12,'Outages (event ledger)'!$G$2:$G$65,"&gt;="&amp;$B12)</f>
        <v>0</v>
      </c>
      <c r="F12" s="26" t="n">
        <f aca="false">SUMIFS('Outages (event ledger)'!$H$2:$H$65,'Outages (event ledger)'!$A$2:$A$65,F$2,'Outages (event ledger)'!$E$2:$E$65,"&lt;="&amp;$B12,'Outages (event ledger)'!$G$2:$G$65,"&gt;="&amp;$B12)</f>
        <v>0</v>
      </c>
      <c r="G12" s="26" t="n">
        <f aca="false">SUMIFS('Outages (event ledger)'!$H$2:$H$65,'Outages (event ledger)'!$A$2:$A$65,G$2,'Outages (event ledger)'!$E$2:$E$65,"&lt;="&amp;$B12,'Outages (event ledger)'!$G$2:$G$65,"&gt;="&amp;$B12)</f>
        <v>0</v>
      </c>
      <c r="H12" s="26" t="n">
        <f aca="false">SUMIFS('Outages (event ledger)'!$H$2:$H$65,'Outages (event ledger)'!$A$2:$A$65,H$2,'Outages (event ledger)'!$E$2:$E$65,"&lt;="&amp;$B12,'Outages (event ledger)'!$G$2:$G$65,"&gt;="&amp;$B12)</f>
        <v>0</v>
      </c>
      <c r="I12" s="26" t="n">
        <f aca="false">SUMIFS('Outages (event ledger)'!$H$2:$H$65,'Outages (event ledger)'!$A$2:$A$65,I$2,'Outages (event ledger)'!$E$2:$E$65,"&lt;="&amp;$B12,'Outages (event ledger)'!$G$2:$G$65,"&gt;="&amp;$B12)</f>
        <v>0</v>
      </c>
      <c r="J12" s="26" t="n">
        <f aca="false">SUMIFS('Outages (event ledger)'!$H$2:$H$65,'Outages (event ledger)'!$A$2:$A$65,J$2,'Outages (event ledger)'!$E$2:$E$65,"&lt;="&amp;$B12,'Outages (event ledger)'!$G$2:$G$65,"&gt;="&amp;$B12)</f>
        <v>0</v>
      </c>
      <c r="K12" s="26" t="n">
        <f aca="false">SUMIFS('Outages (event ledger)'!$H$2:$H$65,'Outages (event ledger)'!$A$2:$A$65,K$2,'Outages (event ledger)'!$E$2:$E$65,"&lt;="&amp;$B12,'Outages (event ledger)'!$G$2:$G$65,"&gt;="&amp;$B12)</f>
        <v>0</v>
      </c>
      <c r="L12" s="26" t="n">
        <f aca="false">SUMIFS('Outages (event ledger)'!$H$2:$H$65,'Outages (event ledger)'!$A$2:$A$65,L$2,'Outages (event ledger)'!$E$2:$E$65,"&lt;="&amp;$B12,'Outages (event ledger)'!$G$2:$G$65,"&gt;="&amp;$B12)</f>
        <v>0</v>
      </c>
      <c r="M12" s="26" t="n">
        <f aca="false">SUMIFS('Outages (event ledger)'!$H$2:$H$65,'Outages (event ledger)'!$A$2:$A$65,M$2,'Outages (event ledger)'!$E$2:$E$65,"&lt;="&amp;$B12,'Outages (event ledger)'!$G$2:$G$65,"&gt;="&amp;$B12)</f>
        <v>0</v>
      </c>
      <c r="N12" s="26" t="n">
        <f aca="false">SUMIFS('Outages (event ledger)'!$H$2:$H$65,'Outages (event ledger)'!$A$2:$A$65,N$2,'Outages (event ledger)'!$E$2:$E$65,"&lt;="&amp;$B12,'Outages (event ledger)'!$G$2:$G$65,"&gt;="&amp;$B12)</f>
        <v>0</v>
      </c>
      <c r="O12" s="26" t="n">
        <f aca="false">SUMIFS('Outages (event ledger)'!$H$2:$H$65,'Outages (event ledger)'!$A$2:$A$65,O$2,'Outages (event ledger)'!$E$2:$E$65,"&lt;="&amp;$B12,'Outages (event ledger)'!$G$2:$G$65,"&gt;="&amp;$B12)</f>
        <v>0</v>
      </c>
      <c r="P12" s="26" t="n">
        <f aca="false">SUMIFS('Outages (event ledger)'!$H$2:$H$65,'Outages (event ledger)'!$A$2:$A$65,P$2,'Outages (event ledger)'!$E$2:$E$65,"&lt;="&amp;$B12,'Outages (event ledger)'!$G$2:$G$65,"&gt;="&amp;$B12)</f>
        <v>0</v>
      </c>
      <c r="Q12" s="26" t="n">
        <f aca="false">SUMIFS('Outages (event ledger)'!$H$2:$H$65,'Outages (event ledger)'!$A$2:$A$65,Q$2,'Outages (event ledger)'!$E$2:$E$65,"&lt;="&amp;$B12,'Outages (event ledger)'!$G$2:$G$65,"&gt;="&amp;$B12)</f>
        <v>0</v>
      </c>
      <c r="R12" s="26" t="n">
        <f aca="false">SUMIFS('Outages (event ledger)'!$H$2:$H$65,'Outages (event ledger)'!$A$2:$A$65,R$2,'Outages (event ledger)'!$E$2:$E$65,"&lt;="&amp;$B12,'Outages (event ledger)'!$G$2:$G$65,"&gt;="&amp;$B12)</f>
        <v>0</v>
      </c>
      <c r="S12" s="26" t="n">
        <f aca="false">SUMIFS('Outages (event ledger)'!$H$2:$H$65,'Outages (event ledger)'!$A$2:$A$65,S$2,'Outages (event ledger)'!$E$2:$E$65,"&lt;="&amp;$B12,'Outages (event ledger)'!$G$2:$G$65,"&gt;="&amp;$B12)</f>
        <v>0</v>
      </c>
      <c r="T12" s="26" t="n">
        <f aca="false">SUMIFS('Outages (event ledger)'!$H$2:$H$65,'Outages (event ledger)'!$A$2:$A$65,T$2,'Outages (event ledger)'!$E$2:$E$65,"&lt;="&amp;$B12,'Outages (event ledger)'!$G$2:$G$65,"&gt;="&amp;$B12)</f>
        <v>0</v>
      </c>
      <c r="U12" s="26" t="n">
        <f aca="false">SUMIFS('Outages (event ledger)'!$H$2:$H$65,'Outages (event ledger)'!$A$2:$A$65,U$2,'Outages (event ledger)'!$E$2:$E$65,"&lt;="&amp;$B12,'Outages (event ledger)'!$G$2:$G$65,"&gt;="&amp;$B12)</f>
        <v>0</v>
      </c>
      <c r="V12" s="26" t="n">
        <f aca="false">SUMIFS('Outages (event ledger)'!$H$2:$H$65,'Outages (event ledger)'!$A$2:$A$65,V$2,'Outages (event ledger)'!$E$2:$E$65,"&lt;="&amp;$B12,'Outages (event ledger)'!$G$2:$G$65,"&gt;="&amp;$B12)</f>
        <v>0</v>
      </c>
      <c r="W12" s="26" t="n">
        <f aca="false">SUMIFS('Outages (event ledger)'!$H$2:$H$65,'Outages (event ledger)'!$A$2:$A$65,W$2,'Outages (event ledger)'!$E$2:$E$65,"&lt;="&amp;$B12,'Outages (event ledger)'!$G$2:$G$65,"&gt;="&amp;$B12)</f>
        <v>0</v>
      </c>
      <c r="X12" s="26" t="n">
        <f aca="false">SUMIFS('Outages (event ledger)'!$H$2:$H$65,'Outages (event ledger)'!$A$2:$A$65,X$2,'Outages (event ledger)'!$E$2:$E$65,"&lt;="&amp;$B12,'Outages (event ledger)'!$G$2:$G$65,"&gt;="&amp;$B12)</f>
        <v>0</v>
      </c>
      <c r="Y12" s="26" t="n">
        <f aca="false">SUMIFS('Outages (event ledger)'!$H$2:$H$65,'Outages (event ledger)'!$A$2:$A$65,Y$2,'Outages (event ledger)'!$E$2:$E$65,"&lt;="&amp;$B12,'Outages (event ledger)'!$G$2:$G$65,"&gt;="&amp;$B12)</f>
        <v>0</v>
      </c>
      <c r="Z12" s="26" t="n">
        <f aca="false">SUMIFS('Outages (event ledger)'!$H$2:$H$65,'Outages (event ledger)'!$A$2:$A$65,Z$2,'Outages (event ledger)'!$E$2:$E$65,"&lt;="&amp;$B12,'Outages (event ledger)'!$G$2:$G$65,"&gt;="&amp;$B12)</f>
        <v>0</v>
      </c>
      <c r="AA12" s="26" t="n">
        <f aca="false">SUMIFS('Outages (event ledger)'!$H$2:$H$65,'Outages (event ledger)'!$A$2:$A$65,AA$2,'Outages (event ledger)'!$E$2:$E$65,"&lt;="&amp;$B12,'Outages (event ledger)'!$G$2:$G$65,"&gt;="&amp;$B12)</f>
        <v>0</v>
      </c>
      <c r="AB12" s="26" t="n">
        <f aca="false">SUMIFS('Outages (event ledger)'!$H$2:$H$65,'Outages (event ledger)'!$A$2:$A$65,AB$2,'Outages (event ledger)'!$E$2:$E$65,"&lt;="&amp;$B12,'Outages (event ledger)'!$G$2:$G$65,"&gt;="&amp;$B12)</f>
        <v>8</v>
      </c>
      <c r="AC12" s="26" t="n">
        <f aca="false">SUMIFS('Outages (event ledger)'!$H$2:$H$65,'Outages (event ledger)'!$A$2:$A$65,AC$2,'Outages (event ledger)'!$E$2:$E$65,"&lt;="&amp;$B12,'Outages (event ledger)'!$G$2:$G$65,"&gt;="&amp;$B12)</f>
        <v>0</v>
      </c>
      <c r="AD12" s="26" t="n">
        <f aca="false">SUMIFS('Outages (event ledger)'!$H$2:$H$65,'Outages (event ledger)'!$A$2:$A$65,AD$2,'Outages (event ledger)'!$E$2:$E$65,"&lt;="&amp;$B12,'Outages (event ledger)'!$G$2:$G$65,"&gt;="&amp;$B12)</f>
        <v>0</v>
      </c>
      <c r="AE12" s="26" t="n">
        <f aca="false">SUMIFS('Outages (event ledger)'!$H$2:$H$65,'Outages (event ledger)'!$A$2:$A$65,AE$2,'Outages (event ledger)'!$E$2:$E$65,"&lt;="&amp;$B12,'Outages (event ledger)'!$G$2:$G$65,"&gt;="&amp;$B12)</f>
        <v>0</v>
      </c>
      <c r="AF12" s="26" t="n">
        <f aca="false">SUMIFS('Outages (event ledger)'!$H$2:$H$65,'Outages (event ledger)'!$A$2:$A$65,AF$2,'Outages (event ledger)'!$E$2:$E$65,"&lt;="&amp;$B12,'Outages (event ledger)'!$G$2:$G$65,"&gt;="&amp;$B12)</f>
        <v>0</v>
      </c>
      <c r="AG12" s="26" t="n">
        <f aca="false">SUMIFS('Outages (event ledger)'!$H$2:$H$65,'Outages (event ledger)'!$A$2:$A$65,AG$2,'Outages (event ledger)'!$E$2:$E$65,"&lt;="&amp;$B12,'Outages (event ledger)'!$G$2:$G$65,"&gt;="&amp;$B12)</f>
        <v>0</v>
      </c>
      <c r="AH12" s="26" t="n">
        <f aca="false">SUMIFS('Outages (event ledger)'!$H$2:$H$65,'Outages (event ledger)'!$A$2:$A$65,AH$2,'Outages (event ledger)'!$E$2:$E$65,"&lt;="&amp;$B12,'Outages (event ledger)'!$G$2:$G$65,"&gt;="&amp;$B12)</f>
        <v>0</v>
      </c>
      <c r="AI12" s="26" t="n">
        <f aca="false">SUMIFS('Outages (event ledger)'!$H$2:$H$65,'Outages (event ledger)'!$A$2:$A$65,AI$2,'Outages (event ledger)'!$E$2:$E$65,"&lt;="&amp;$B12,'Outages (event ledger)'!$G$2:$G$65,"&gt;="&amp;$B12)</f>
        <v>0</v>
      </c>
      <c r="AJ12" s="26" t="n">
        <f aca="false">SUMIFS('Outages (event ledger)'!$H$2:$H$65,'Outages (event ledger)'!$A$2:$A$65,AJ$2,'Outages (event ledger)'!$E$2:$E$65,"&lt;="&amp;$B12,'Outages (event ledger)'!$G$2:$G$65,"&gt;="&amp;$B12)</f>
        <v>0</v>
      </c>
      <c r="AK12" s="26" t="n">
        <f aca="false">SUMIFS('Outages (event ledger)'!$H$2:$H$65,'Outages (event ledger)'!$A$2:$A$65,AK$2,'Outages (event ledger)'!$E$2:$E$65,"&lt;="&amp;$B12,'Outages (event ledger)'!$G$2:$G$65,"&gt;="&amp;$B12)</f>
        <v>0</v>
      </c>
      <c r="AL12" s="26" t="n">
        <f aca="false">SUMIFS('Outages (event ledger)'!$H$2:$H$65,'Outages (event ledger)'!$A$2:$A$65,AL$2,'Outages (event ledger)'!$E$2:$E$65,"&lt;="&amp;$B12,'Outages (event ledger)'!$G$2:$G$65,"&gt;="&amp;$B12)</f>
        <v>0</v>
      </c>
      <c r="AM12" s="26" t="n">
        <f aca="false">SUMIFS('Outages (event ledger)'!$H$2:$H$65,'Outages (event ledger)'!$A$2:$A$65,AM$2,'Outages (event ledger)'!$E$2:$E$65,"&lt;="&amp;$B12,'Outages (event ledger)'!$G$2:$G$65,"&gt;="&amp;$B12)</f>
        <v>0</v>
      </c>
      <c r="AN12" s="26" t="n">
        <f aca="false">SUMIFS('Outages (event ledger)'!$H$2:$H$65,'Outages (event ledger)'!$A$2:$A$65,AN$2,'Outages (event ledger)'!$E$2:$E$65,"&lt;="&amp;$B12,'Outages (event ledger)'!$G$2:$G$65,"&gt;="&amp;$B12)</f>
        <v>0</v>
      </c>
      <c r="AO12" s="26" t="n">
        <f aca="false">SUMIFS('Outages (event ledger)'!$H$2:$H$65,'Outages (event ledger)'!$A$2:$A$65,AO$2,'Outages (event ledger)'!$E$2:$E$65,"&lt;="&amp;$B12,'Outages (event ledger)'!$G$2:$G$65,"&gt;="&amp;$B12)</f>
        <v>0</v>
      </c>
      <c r="AP12" s="26" t="n">
        <f aca="false">SUMIFS('Outages (event ledger)'!$H$2:$H$65,'Outages (event ledger)'!$A$2:$A$65,AP$2,'Outages (event ledger)'!$E$2:$E$65,"&lt;="&amp;$B12,'Outages (event ledger)'!$G$2:$G$65,"&gt;="&amp;$B12)</f>
        <v>0</v>
      </c>
      <c r="AQ12" s="26" t="n">
        <f aca="false">SUMIFS('Outages (event ledger)'!$H$2:$H$65,'Outages (event ledger)'!$A$2:$A$65,AQ$2,'Outages (event ledger)'!$E$2:$E$65,"&lt;="&amp;$B12,'Outages (event ledger)'!$G$2:$G$65,"&gt;="&amp;$B12)</f>
        <v>0</v>
      </c>
      <c r="AR12" s="26" t="n">
        <f aca="false">SUMIFS('Outages (event ledger)'!$H$2:$H$65,'Outages (event ledger)'!$A$2:$A$65,AR$2,'Outages (event ledger)'!$E$2:$E$65,"&lt;="&amp;$B12,'Outages (event ledger)'!$G$2:$G$65,"&gt;="&amp;$B12)</f>
        <v>0</v>
      </c>
      <c r="AS12" s="26" t="n">
        <f aca="false">SUMIFS('Outages (event ledger)'!$H$2:$H$65,'Outages (event ledger)'!$A$2:$A$65,AS$2,'Outages (event ledger)'!$E$2:$E$65,"&lt;="&amp;$B12,'Outages (event ledger)'!$G$2:$G$65,"&gt;="&amp;$B12)</f>
        <v>0</v>
      </c>
      <c r="AT12" s="26" t="n">
        <f aca="false">SUMIFS('Outages (event ledger)'!$H$2:$H$65,'Outages (event ledger)'!$A$2:$A$65,AT$2,'Outages (event ledger)'!$E$2:$E$65,"&lt;="&amp;$B12,'Outages (event ledger)'!$G$2:$G$65,"&gt;="&amp;$B12)</f>
        <v>0</v>
      </c>
      <c r="AU12" s="26" t="n">
        <f aca="false">SUMIFS('Outages (event ledger)'!$H$2:$H$65,'Outages (event ledger)'!$A$2:$A$65,AU$2,'Outages (event ledger)'!$E$2:$E$65,"&lt;="&amp;$B12,'Outages (event ledger)'!$G$2:$G$65,"&gt;="&amp;$B12)</f>
        <v>0</v>
      </c>
      <c r="AV12" s="26" t="n">
        <f aca="false">SUMIFS('Outages (event ledger)'!$H$2:$H$65,'Outages (event ledger)'!$A$2:$A$65,AV$2,'Outages (event ledger)'!$E$2:$E$65,"&lt;="&amp;$B12,'Outages (event ledger)'!$G$2:$G$65,"&gt;="&amp;$B12)</f>
        <v>0</v>
      </c>
      <c r="AW12" s="26" t="n">
        <f aca="false">SUMIFS('Outages (event ledger)'!$H$2:$H$65,'Outages (event ledger)'!$A$2:$A$65,AW$2,'Outages (event ledger)'!$E$2:$E$65,"&lt;="&amp;$B12,'Outages (event ledger)'!$G$2:$G$65,"&gt;="&amp;$B12)</f>
        <v>0</v>
      </c>
      <c r="AX12" s="26" t="n">
        <f aca="false">SUMIFS('Outages (event ledger)'!$H$2:$H$65,'Outages (event ledger)'!$A$2:$A$65,AX$2,'Outages (event ledger)'!$E$2:$E$65,"&lt;="&amp;$B12,'Outages (event ledger)'!$G$2:$G$65,"&gt;="&amp;$B12)</f>
        <v>0</v>
      </c>
      <c r="AY12" s="26" t="n">
        <f aca="false">SUMIFS('Outages (event ledger)'!$H$2:$H$65,'Outages (event ledger)'!$A$2:$A$65,AY$2,'Outages (event ledger)'!$E$2:$E$65,"&lt;="&amp;$B12,'Outages (event ledger)'!$G$2:$G$65,"&gt;="&amp;$B12)</f>
        <v>0</v>
      </c>
      <c r="AZ12" s="26" t="n">
        <f aca="false">SUMIFS('Outages (event ledger)'!$H$2:$H$65,'Outages (event ledger)'!$A$2:$A$65,AZ$2,'Outages (event ledger)'!$E$2:$E$65,"&lt;="&amp;$B12,'Outages (event ledger)'!$G$2:$G$65,"&gt;="&amp;$B12)</f>
        <v>0</v>
      </c>
      <c r="BA12" s="26" t="n">
        <f aca="false">SUMIFS('Outages (event ledger)'!$H$2:$H$65,'Outages (event ledger)'!$A$2:$A$65,BA$2,'Outages (event ledger)'!$E$2:$E$65,"&lt;="&amp;$B12,'Outages (event ledger)'!$G$2:$G$65,"&gt;="&amp;$B12)</f>
        <v>0</v>
      </c>
      <c r="BB12" s="26" t="n">
        <f aca="false">SUMIFS('Outages (event ledger)'!$H$2:$H$65,'Outages (event ledger)'!$A$2:$A$65,BB$2,'Outages (event ledger)'!$E$2:$E$65,"&lt;="&amp;$B12,'Outages (event ledger)'!$G$2:$G$65,"&gt;="&amp;$B12)</f>
        <v>0</v>
      </c>
      <c r="BC12" s="26" t="n">
        <f aca="false">SUMIFS('Outages (event ledger)'!$H$2:$H$65,'Outages (event ledger)'!$A$2:$A$65,BC$2,'Outages (event ledger)'!$E$2:$E$65,"&lt;="&amp;$B12,'Outages (event ledger)'!$G$2:$G$65,"&gt;="&amp;$B12)</f>
        <v>0</v>
      </c>
      <c r="BD12" s="26" t="n">
        <f aca="false">SUMIFS('Outages (event ledger)'!$H$2:$H$65,'Outages (event ledger)'!$A$2:$A$65,BD$2,'Outages (event ledger)'!$E$2:$E$65,"&lt;="&amp;$B12,'Outages (event ledger)'!$G$2:$G$65,"&gt;="&amp;$B12)</f>
        <v>0</v>
      </c>
      <c r="BE12" s="26" t="n">
        <f aca="false">SUMIFS('Outages (event ledger)'!$H$2:$H$65,'Outages (event ledger)'!$A$2:$A$65,BE$2,'Outages (event ledger)'!$E$2:$E$65,"&lt;="&amp;$B12,'Outages (event ledger)'!$G$2:$G$65,"&gt;="&amp;$B12)</f>
        <v>0</v>
      </c>
      <c r="BF12" s="26" t="n">
        <f aca="false">SUMIFS('Outages (event ledger)'!$H$2:$H$65,'Outages (event ledger)'!$A$2:$A$65,BF$2,'Outages (event ledger)'!$E$2:$E$65,"&lt;="&amp;$B12,'Outages (event ledger)'!$G$2:$G$65,"&gt;="&amp;$B12)</f>
        <v>0</v>
      </c>
      <c r="BG12" s="26" t="n">
        <f aca="false">SUMIFS('Outages (event ledger)'!$H$2:$H$65,'Outages (event ledger)'!$A$2:$A$65,BG$2,'Outages (event ledger)'!$E$2:$E$65,"&lt;="&amp;$B12,'Outages (event ledger)'!$G$2:$G$65,"&gt;="&amp;$B12)</f>
        <v>0</v>
      </c>
      <c r="BH12" s="26" t="n">
        <f aca="false">SUMIFS('Outages (event ledger)'!$H$2:$H$65,'Outages (event ledger)'!$A$2:$A$65,BH$2,'Outages (event ledger)'!$E$2:$E$65,"&lt;="&amp;$B12,'Outages (event ledger)'!$G$2:$G$65,"&gt;="&amp;$B12)</f>
        <v>0</v>
      </c>
      <c r="BI12" s="26" t="n">
        <f aca="false">SUMIFS('Outages (event ledger)'!$H$2:$H$65,'Outages (event ledger)'!$A$2:$A$65,BI$2,'Outages (event ledger)'!$E$2:$E$65,"&lt;="&amp;$B12,'Outages (event ledger)'!$G$2:$G$65,"&gt;="&amp;$B12)</f>
        <v>0</v>
      </c>
    </row>
    <row r="13" customFormat="false" ht="15" hidden="false" customHeight="false" outlineLevel="0" collapsed="false">
      <c r="A13" s="23" t="n">
        <v>40483</v>
      </c>
      <c r="B13" s="24" t="n">
        <v>201011</v>
      </c>
      <c r="C13" s="25" t="n">
        <f aca="false">SUM(D13:BI13)</f>
        <v>8</v>
      </c>
      <c r="D13" s="26" t="n">
        <f aca="false">SUMIFS('Outages (event ledger)'!$H$2:$H$65,'Outages (event ledger)'!$A$2:$A$65,D$2,'Outages (event ledger)'!$E$2:$E$65,"&lt;="&amp;$B13,'Outages (event ledger)'!$G$2:$G$65,"&gt;="&amp;$B13)</f>
        <v>0</v>
      </c>
      <c r="E13" s="26" t="n">
        <f aca="false">SUMIFS('Outages (event ledger)'!$H$2:$H$65,'Outages (event ledger)'!$A$2:$A$65,E$2,'Outages (event ledger)'!$E$2:$E$65,"&lt;="&amp;$B13,'Outages (event ledger)'!$G$2:$G$65,"&gt;="&amp;$B13)</f>
        <v>0</v>
      </c>
      <c r="F13" s="26" t="n">
        <f aca="false">SUMIFS('Outages (event ledger)'!$H$2:$H$65,'Outages (event ledger)'!$A$2:$A$65,F$2,'Outages (event ledger)'!$E$2:$E$65,"&lt;="&amp;$B13,'Outages (event ledger)'!$G$2:$G$65,"&gt;="&amp;$B13)</f>
        <v>0</v>
      </c>
      <c r="G13" s="26" t="n">
        <f aca="false">SUMIFS('Outages (event ledger)'!$H$2:$H$65,'Outages (event ledger)'!$A$2:$A$65,G$2,'Outages (event ledger)'!$E$2:$E$65,"&lt;="&amp;$B13,'Outages (event ledger)'!$G$2:$G$65,"&gt;="&amp;$B13)</f>
        <v>0</v>
      </c>
      <c r="H13" s="26" t="n">
        <f aca="false">SUMIFS('Outages (event ledger)'!$H$2:$H$65,'Outages (event ledger)'!$A$2:$A$65,H$2,'Outages (event ledger)'!$E$2:$E$65,"&lt;="&amp;$B13,'Outages (event ledger)'!$G$2:$G$65,"&gt;="&amp;$B13)</f>
        <v>0</v>
      </c>
      <c r="I13" s="26" t="n">
        <f aca="false">SUMIFS('Outages (event ledger)'!$H$2:$H$65,'Outages (event ledger)'!$A$2:$A$65,I$2,'Outages (event ledger)'!$E$2:$E$65,"&lt;="&amp;$B13,'Outages (event ledger)'!$G$2:$G$65,"&gt;="&amp;$B13)</f>
        <v>0</v>
      </c>
      <c r="J13" s="26" t="n">
        <f aca="false">SUMIFS('Outages (event ledger)'!$H$2:$H$65,'Outages (event ledger)'!$A$2:$A$65,J$2,'Outages (event ledger)'!$E$2:$E$65,"&lt;="&amp;$B13,'Outages (event ledger)'!$G$2:$G$65,"&gt;="&amp;$B13)</f>
        <v>0</v>
      </c>
      <c r="K13" s="26" t="n">
        <f aca="false">SUMIFS('Outages (event ledger)'!$H$2:$H$65,'Outages (event ledger)'!$A$2:$A$65,K$2,'Outages (event ledger)'!$E$2:$E$65,"&lt;="&amp;$B13,'Outages (event ledger)'!$G$2:$G$65,"&gt;="&amp;$B13)</f>
        <v>0</v>
      </c>
      <c r="L13" s="26" t="n">
        <f aca="false">SUMIFS('Outages (event ledger)'!$H$2:$H$65,'Outages (event ledger)'!$A$2:$A$65,L$2,'Outages (event ledger)'!$E$2:$E$65,"&lt;="&amp;$B13,'Outages (event ledger)'!$G$2:$G$65,"&gt;="&amp;$B13)</f>
        <v>0</v>
      </c>
      <c r="M13" s="26" t="n">
        <f aca="false">SUMIFS('Outages (event ledger)'!$H$2:$H$65,'Outages (event ledger)'!$A$2:$A$65,M$2,'Outages (event ledger)'!$E$2:$E$65,"&lt;="&amp;$B13,'Outages (event ledger)'!$G$2:$G$65,"&gt;="&amp;$B13)</f>
        <v>0</v>
      </c>
      <c r="N13" s="26" t="n">
        <f aca="false">SUMIFS('Outages (event ledger)'!$H$2:$H$65,'Outages (event ledger)'!$A$2:$A$65,N$2,'Outages (event ledger)'!$E$2:$E$65,"&lt;="&amp;$B13,'Outages (event ledger)'!$G$2:$G$65,"&gt;="&amp;$B13)</f>
        <v>0</v>
      </c>
      <c r="O13" s="26" t="n">
        <f aca="false">SUMIFS('Outages (event ledger)'!$H$2:$H$65,'Outages (event ledger)'!$A$2:$A$65,O$2,'Outages (event ledger)'!$E$2:$E$65,"&lt;="&amp;$B13,'Outages (event ledger)'!$G$2:$G$65,"&gt;="&amp;$B13)</f>
        <v>0</v>
      </c>
      <c r="P13" s="26" t="n">
        <f aca="false">SUMIFS('Outages (event ledger)'!$H$2:$H$65,'Outages (event ledger)'!$A$2:$A$65,P$2,'Outages (event ledger)'!$E$2:$E$65,"&lt;="&amp;$B13,'Outages (event ledger)'!$G$2:$G$65,"&gt;="&amp;$B13)</f>
        <v>0</v>
      </c>
      <c r="Q13" s="26" t="n">
        <f aca="false">SUMIFS('Outages (event ledger)'!$H$2:$H$65,'Outages (event ledger)'!$A$2:$A$65,Q$2,'Outages (event ledger)'!$E$2:$E$65,"&lt;="&amp;$B13,'Outages (event ledger)'!$G$2:$G$65,"&gt;="&amp;$B13)</f>
        <v>0</v>
      </c>
      <c r="R13" s="26" t="n">
        <f aca="false">SUMIFS('Outages (event ledger)'!$H$2:$H$65,'Outages (event ledger)'!$A$2:$A$65,R$2,'Outages (event ledger)'!$E$2:$E$65,"&lt;="&amp;$B13,'Outages (event ledger)'!$G$2:$G$65,"&gt;="&amp;$B13)</f>
        <v>0</v>
      </c>
      <c r="S13" s="26" t="n">
        <f aca="false">SUMIFS('Outages (event ledger)'!$H$2:$H$65,'Outages (event ledger)'!$A$2:$A$65,S$2,'Outages (event ledger)'!$E$2:$E$65,"&lt;="&amp;$B13,'Outages (event ledger)'!$G$2:$G$65,"&gt;="&amp;$B13)</f>
        <v>0</v>
      </c>
      <c r="T13" s="26" t="n">
        <f aca="false">SUMIFS('Outages (event ledger)'!$H$2:$H$65,'Outages (event ledger)'!$A$2:$A$65,T$2,'Outages (event ledger)'!$E$2:$E$65,"&lt;="&amp;$B13,'Outages (event ledger)'!$G$2:$G$65,"&gt;="&amp;$B13)</f>
        <v>0</v>
      </c>
      <c r="U13" s="26" t="n">
        <f aca="false">SUMIFS('Outages (event ledger)'!$H$2:$H$65,'Outages (event ledger)'!$A$2:$A$65,U$2,'Outages (event ledger)'!$E$2:$E$65,"&lt;="&amp;$B13,'Outages (event ledger)'!$G$2:$G$65,"&gt;="&amp;$B13)</f>
        <v>0</v>
      </c>
      <c r="V13" s="26" t="n">
        <f aca="false">SUMIFS('Outages (event ledger)'!$H$2:$H$65,'Outages (event ledger)'!$A$2:$A$65,V$2,'Outages (event ledger)'!$E$2:$E$65,"&lt;="&amp;$B13,'Outages (event ledger)'!$G$2:$G$65,"&gt;="&amp;$B13)</f>
        <v>0</v>
      </c>
      <c r="W13" s="26" t="n">
        <f aca="false">SUMIFS('Outages (event ledger)'!$H$2:$H$65,'Outages (event ledger)'!$A$2:$A$65,W$2,'Outages (event ledger)'!$E$2:$E$65,"&lt;="&amp;$B13,'Outages (event ledger)'!$G$2:$G$65,"&gt;="&amp;$B13)</f>
        <v>0</v>
      </c>
      <c r="X13" s="26" t="n">
        <f aca="false">SUMIFS('Outages (event ledger)'!$H$2:$H$65,'Outages (event ledger)'!$A$2:$A$65,X$2,'Outages (event ledger)'!$E$2:$E$65,"&lt;="&amp;$B13,'Outages (event ledger)'!$G$2:$G$65,"&gt;="&amp;$B13)</f>
        <v>0</v>
      </c>
      <c r="Y13" s="26" t="n">
        <f aca="false">SUMIFS('Outages (event ledger)'!$H$2:$H$65,'Outages (event ledger)'!$A$2:$A$65,Y$2,'Outages (event ledger)'!$E$2:$E$65,"&lt;="&amp;$B13,'Outages (event ledger)'!$G$2:$G$65,"&gt;="&amp;$B13)</f>
        <v>0</v>
      </c>
      <c r="Z13" s="26" t="n">
        <f aca="false">SUMIFS('Outages (event ledger)'!$H$2:$H$65,'Outages (event ledger)'!$A$2:$A$65,Z$2,'Outages (event ledger)'!$E$2:$E$65,"&lt;="&amp;$B13,'Outages (event ledger)'!$G$2:$G$65,"&gt;="&amp;$B13)</f>
        <v>0</v>
      </c>
      <c r="AA13" s="26" t="n">
        <f aca="false">SUMIFS('Outages (event ledger)'!$H$2:$H$65,'Outages (event ledger)'!$A$2:$A$65,AA$2,'Outages (event ledger)'!$E$2:$E$65,"&lt;="&amp;$B13,'Outages (event ledger)'!$G$2:$G$65,"&gt;="&amp;$B13)</f>
        <v>0</v>
      </c>
      <c r="AB13" s="26" t="n">
        <f aca="false">SUMIFS('Outages (event ledger)'!$H$2:$H$65,'Outages (event ledger)'!$A$2:$A$65,AB$2,'Outages (event ledger)'!$E$2:$E$65,"&lt;="&amp;$B13,'Outages (event ledger)'!$G$2:$G$65,"&gt;="&amp;$B13)</f>
        <v>8</v>
      </c>
      <c r="AC13" s="26" t="n">
        <f aca="false">SUMIFS('Outages (event ledger)'!$H$2:$H$65,'Outages (event ledger)'!$A$2:$A$65,AC$2,'Outages (event ledger)'!$E$2:$E$65,"&lt;="&amp;$B13,'Outages (event ledger)'!$G$2:$G$65,"&gt;="&amp;$B13)</f>
        <v>0</v>
      </c>
      <c r="AD13" s="26" t="n">
        <f aca="false">SUMIFS('Outages (event ledger)'!$H$2:$H$65,'Outages (event ledger)'!$A$2:$A$65,AD$2,'Outages (event ledger)'!$E$2:$E$65,"&lt;="&amp;$B13,'Outages (event ledger)'!$G$2:$G$65,"&gt;="&amp;$B13)</f>
        <v>0</v>
      </c>
      <c r="AE13" s="26" t="n">
        <f aca="false">SUMIFS('Outages (event ledger)'!$H$2:$H$65,'Outages (event ledger)'!$A$2:$A$65,AE$2,'Outages (event ledger)'!$E$2:$E$65,"&lt;="&amp;$B13,'Outages (event ledger)'!$G$2:$G$65,"&gt;="&amp;$B13)</f>
        <v>0</v>
      </c>
      <c r="AF13" s="26" t="n">
        <f aca="false">SUMIFS('Outages (event ledger)'!$H$2:$H$65,'Outages (event ledger)'!$A$2:$A$65,AF$2,'Outages (event ledger)'!$E$2:$E$65,"&lt;="&amp;$B13,'Outages (event ledger)'!$G$2:$G$65,"&gt;="&amp;$B13)</f>
        <v>0</v>
      </c>
      <c r="AG13" s="26" t="n">
        <f aca="false">SUMIFS('Outages (event ledger)'!$H$2:$H$65,'Outages (event ledger)'!$A$2:$A$65,AG$2,'Outages (event ledger)'!$E$2:$E$65,"&lt;="&amp;$B13,'Outages (event ledger)'!$G$2:$G$65,"&gt;="&amp;$B13)</f>
        <v>0</v>
      </c>
      <c r="AH13" s="26" t="n">
        <f aca="false">SUMIFS('Outages (event ledger)'!$H$2:$H$65,'Outages (event ledger)'!$A$2:$A$65,AH$2,'Outages (event ledger)'!$E$2:$E$65,"&lt;="&amp;$B13,'Outages (event ledger)'!$G$2:$G$65,"&gt;="&amp;$B13)</f>
        <v>0</v>
      </c>
      <c r="AI13" s="26" t="n">
        <f aca="false">SUMIFS('Outages (event ledger)'!$H$2:$H$65,'Outages (event ledger)'!$A$2:$A$65,AI$2,'Outages (event ledger)'!$E$2:$E$65,"&lt;="&amp;$B13,'Outages (event ledger)'!$G$2:$G$65,"&gt;="&amp;$B13)</f>
        <v>0</v>
      </c>
      <c r="AJ13" s="26" t="n">
        <f aca="false">SUMIFS('Outages (event ledger)'!$H$2:$H$65,'Outages (event ledger)'!$A$2:$A$65,AJ$2,'Outages (event ledger)'!$E$2:$E$65,"&lt;="&amp;$B13,'Outages (event ledger)'!$G$2:$G$65,"&gt;="&amp;$B13)</f>
        <v>0</v>
      </c>
      <c r="AK13" s="26" t="n">
        <f aca="false">SUMIFS('Outages (event ledger)'!$H$2:$H$65,'Outages (event ledger)'!$A$2:$A$65,AK$2,'Outages (event ledger)'!$E$2:$E$65,"&lt;="&amp;$B13,'Outages (event ledger)'!$G$2:$G$65,"&gt;="&amp;$B13)</f>
        <v>0</v>
      </c>
      <c r="AL13" s="26" t="n">
        <f aca="false">SUMIFS('Outages (event ledger)'!$H$2:$H$65,'Outages (event ledger)'!$A$2:$A$65,AL$2,'Outages (event ledger)'!$E$2:$E$65,"&lt;="&amp;$B13,'Outages (event ledger)'!$G$2:$G$65,"&gt;="&amp;$B13)</f>
        <v>0</v>
      </c>
      <c r="AM13" s="26" t="n">
        <f aca="false">SUMIFS('Outages (event ledger)'!$H$2:$H$65,'Outages (event ledger)'!$A$2:$A$65,AM$2,'Outages (event ledger)'!$E$2:$E$65,"&lt;="&amp;$B13,'Outages (event ledger)'!$G$2:$G$65,"&gt;="&amp;$B13)</f>
        <v>0</v>
      </c>
      <c r="AN13" s="26" t="n">
        <f aca="false">SUMIFS('Outages (event ledger)'!$H$2:$H$65,'Outages (event ledger)'!$A$2:$A$65,AN$2,'Outages (event ledger)'!$E$2:$E$65,"&lt;="&amp;$B13,'Outages (event ledger)'!$G$2:$G$65,"&gt;="&amp;$B13)</f>
        <v>0</v>
      </c>
      <c r="AO13" s="26" t="n">
        <f aca="false">SUMIFS('Outages (event ledger)'!$H$2:$H$65,'Outages (event ledger)'!$A$2:$A$65,AO$2,'Outages (event ledger)'!$E$2:$E$65,"&lt;="&amp;$B13,'Outages (event ledger)'!$G$2:$G$65,"&gt;="&amp;$B13)</f>
        <v>0</v>
      </c>
      <c r="AP13" s="26" t="n">
        <f aca="false">SUMIFS('Outages (event ledger)'!$H$2:$H$65,'Outages (event ledger)'!$A$2:$A$65,AP$2,'Outages (event ledger)'!$E$2:$E$65,"&lt;="&amp;$B13,'Outages (event ledger)'!$G$2:$G$65,"&gt;="&amp;$B13)</f>
        <v>0</v>
      </c>
      <c r="AQ13" s="26" t="n">
        <f aca="false">SUMIFS('Outages (event ledger)'!$H$2:$H$65,'Outages (event ledger)'!$A$2:$A$65,AQ$2,'Outages (event ledger)'!$E$2:$E$65,"&lt;="&amp;$B13,'Outages (event ledger)'!$G$2:$G$65,"&gt;="&amp;$B13)</f>
        <v>0</v>
      </c>
      <c r="AR13" s="26" t="n">
        <f aca="false">SUMIFS('Outages (event ledger)'!$H$2:$H$65,'Outages (event ledger)'!$A$2:$A$65,AR$2,'Outages (event ledger)'!$E$2:$E$65,"&lt;="&amp;$B13,'Outages (event ledger)'!$G$2:$G$65,"&gt;="&amp;$B13)</f>
        <v>0</v>
      </c>
      <c r="AS13" s="26" t="n">
        <f aca="false">SUMIFS('Outages (event ledger)'!$H$2:$H$65,'Outages (event ledger)'!$A$2:$A$65,AS$2,'Outages (event ledger)'!$E$2:$E$65,"&lt;="&amp;$B13,'Outages (event ledger)'!$G$2:$G$65,"&gt;="&amp;$B13)</f>
        <v>0</v>
      </c>
      <c r="AT13" s="26" t="n">
        <f aca="false">SUMIFS('Outages (event ledger)'!$H$2:$H$65,'Outages (event ledger)'!$A$2:$A$65,AT$2,'Outages (event ledger)'!$E$2:$E$65,"&lt;="&amp;$B13,'Outages (event ledger)'!$G$2:$G$65,"&gt;="&amp;$B13)</f>
        <v>0</v>
      </c>
      <c r="AU13" s="26" t="n">
        <f aca="false">SUMIFS('Outages (event ledger)'!$H$2:$H$65,'Outages (event ledger)'!$A$2:$A$65,AU$2,'Outages (event ledger)'!$E$2:$E$65,"&lt;="&amp;$B13,'Outages (event ledger)'!$G$2:$G$65,"&gt;="&amp;$B13)</f>
        <v>0</v>
      </c>
      <c r="AV13" s="26" t="n">
        <f aca="false">SUMIFS('Outages (event ledger)'!$H$2:$H$65,'Outages (event ledger)'!$A$2:$A$65,AV$2,'Outages (event ledger)'!$E$2:$E$65,"&lt;="&amp;$B13,'Outages (event ledger)'!$G$2:$G$65,"&gt;="&amp;$B13)</f>
        <v>0</v>
      </c>
      <c r="AW13" s="26" t="n">
        <f aca="false">SUMIFS('Outages (event ledger)'!$H$2:$H$65,'Outages (event ledger)'!$A$2:$A$65,AW$2,'Outages (event ledger)'!$E$2:$E$65,"&lt;="&amp;$B13,'Outages (event ledger)'!$G$2:$G$65,"&gt;="&amp;$B13)</f>
        <v>0</v>
      </c>
      <c r="AX13" s="26" t="n">
        <f aca="false">SUMIFS('Outages (event ledger)'!$H$2:$H$65,'Outages (event ledger)'!$A$2:$A$65,AX$2,'Outages (event ledger)'!$E$2:$E$65,"&lt;="&amp;$B13,'Outages (event ledger)'!$G$2:$G$65,"&gt;="&amp;$B13)</f>
        <v>0</v>
      </c>
      <c r="AY13" s="26" t="n">
        <f aca="false">SUMIFS('Outages (event ledger)'!$H$2:$H$65,'Outages (event ledger)'!$A$2:$A$65,AY$2,'Outages (event ledger)'!$E$2:$E$65,"&lt;="&amp;$B13,'Outages (event ledger)'!$G$2:$G$65,"&gt;="&amp;$B13)</f>
        <v>0</v>
      </c>
      <c r="AZ13" s="26" t="n">
        <f aca="false">SUMIFS('Outages (event ledger)'!$H$2:$H$65,'Outages (event ledger)'!$A$2:$A$65,AZ$2,'Outages (event ledger)'!$E$2:$E$65,"&lt;="&amp;$B13,'Outages (event ledger)'!$G$2:$G$65,"&gt;="&amp;$B13)</f>
        <v>0</v>
      </c>
      <c r="BA13" s="26" t="n">
        <f aca="false">SUMIFS('Outages (event ledger)'!$H$2:$H$65,'Outages (event ledger)'!$A$2:$A$65,BA$2,'Outages (event ledger)'!$E$2:$E$65,"&lt;="&amp;$B13,'Outages (event ledger)'!$G$2:$G$65,"&gt;="&amp;$B13)</f>
        <v>0</v>
      </c>
      <c r="BB13" s="26" t="n">
        <f aca="false">SUMIFS('Outages (event ledger)'!$H$2:$H$65,'Outages (event ledger)'!$A$2:$A$65,BB$2,'Outages (event ledger)'!$E$2:$E$65,"&lt;="&amp;$B13,'Outages (event ledger)'!$G$2:$G$65,"&gt;="&amp;$B13)</f>
        <v>0</v>
      </c>
      <c r="BC13" s="26" t="n">
        <f aca="false">SUMIFS('Outages (event ledger)'!$H$2:$H$65,'Outages (event ledger)'!$A$2:$A$65,BC$2,'Outages (event ledger)'!$E$2:$E$65,"&lt;="&amp;$B13,'Outages (event ledger)'!$G$2:$G$65,"&gt;="&amp;$B13)</f>
        <v>0</v>
      </c>
      <c r="BD13" s="26" t="n">
        <f aca="false">SUMIFS('Outages (event ledger)'!$H$2:$H$65,'Outages (event ledger)'!$A$2:$A$65,BD$2,'Outages (event ledger)'!$E$2:$E$65,"&lt;="&amp;$B13,'Outages (event ledger)'!$G$2:$G$65,"&gt;="&amp;$B13)</f>
        <v>0</v>
      </c>
      <c r="BE13" s="26" t="n">
        <f aca="false">SUMIFS('Outages (event ledger)'!$H$2:$H$65,'Outages (event ledger)'!$A$2:$A$65,BE$2,'Outages (event ledger)'!$E$2:$E$65,"&lt;="&amp;$B13,'Outages (event ledger)'!$G$2:$G$65,"&gt;="&amp;$B13)</f>
        <v>0</v>
      </c>
      <c r="BF13" s="26" t="n">
        <f aca="false">SUMIFS('Outages (event ledger)'!$H$2:$H$65,'Outages (event ledger)'!$A$2:$A$65,BF$2,'Outages (event ledger)'!$E$2:$E$65,"&lt;="&amp;$B13,'Outages (event ledger)'!$G$2:$G$65,"&gt;="&amp;$B13)</f>
        <v>0</v>
      </c>
      <c r="BG13" s="26" t="n">
        <f aca="false">SUMIFS('Outages (event ledger)'!$H$2:$H$65,'Outages (event ledger)'!$A$2:$A$65,BG$2,'Outages (event ledger)'!$E$2:$E$65,"&lt;="&amp;$B13,'Outages (event ledger)'!$G$2:$G$65,"&gt;="&amp;$B13)</f>
        <v>0</v>
      </c>
      <c r="BH13" s="26" t="n">
        <f aca="false">SUMIFS('Outages (event ledger)'!$H$2:$H$65,'Outages (event ledger)'!$A$2:$A$65,BH$2,'Outages (event ledger)'!$E$2:$E$65,"&lt;="&amp;$B13,'Outages (event ledger)'!$G$2:$G$65,"&gt;="&amp;$B13)</f>
        <v>0</v>
      </c>
      <c r="BI13" s="26" t="n">
        <f aca="false">SUMIFS('Outages (event ledger)'!$H$2:$H$65,'Outages (event ledger)'!$A$2:$A$65,BI$2,'Outages (event ledger)'!$E$2:$E$65,"&lt;="&amp;$B13,'Outages (event ledger)'!$G$2:$G$65,"&gt;="&amp;$B13)</f>
        <v>0</v>
      </c>
    </row>
    <row r="14" customFormat="false" ht="15" hidden="false" customHeight="false" outlineLevel="0" collapsed="false">
      <c r="A14" s="23" t="n">
        <v>40513</v>
      </c>
      <c r="B14" s="24" t="n">
        <v>201012</v>
      </c>
      <c r="C14" s="25" t="n">
        <f aca="false">SUM(D14:BI14)</f>
        <v>8</v>
      </c>
      <c r="D14" s="26" t="n">
        <f aca="false">SUMIFS('Outages (event ledger)'!$H$2:$H$65,'Outages (event ledger)'!$A$2:$A$65,D$2,'Outages (event ledger)'!$E$2:$E$65,"&lt;="&amp;$B14,'Outages (event ledger)'!$G$2:$G$65,"&gt;="&amp;$B14)</f>
        <v>0</v>
      </c>
      <c r="E14" s="26" t="n">
        <f aca="false">SUMIFS('Outages (event ledger)'!$H$2:$H$65,'Outages (event ledger)'!$A$2:$A$65,E$2,'Outages (event ledger)'!$E$2:$E$65,"&lt;="&amp;$B14,'Outages (event ledger)'!$G$2:$G$65,"&gt;="&amp;$B14)</f>
        <v>0</v>
      </c>
      <c r="F14" s="26" t="n">
        <f aca="false">SUMIFS('Outages (event ledger)'!$H$2:$H$65,'Outages (event ledger)'!$A$2:$A$65,F$2,'Outages (event ledger)'!$E$2:$E$65,"&lt;="&amp;$B14,'Outages (event ledger)'!$G$2:$G$65,"&gt;="&amp;$B14)</f>
        <v>0</v>
      </c>
      <c r="G14" s="26" t="n">
        <f aca="false">SUMIFS('Outages (event ledger)'!$H$2:$H$65,'Outages (event ledger)'!$A$2:$A$65,G$2,'Outages (event ledger)'!$E$2:$E$65,"&lt;="&amp;$B14,'Outages (event ledger)'!$G$2:$G$65,"&gt;="&amp;$B14)</f>
        <v>0</v>
      </c>
      <c r="H14" s="26" t="n">
        <f aca="false">SUMIFS('Outages (event ledger)'!$H$2:$H$65,'Outages (event ledger)'!$A$2:$A$65,H$2,'Outages (event ledger)'!$E$2:$E$65,"&lt;="&amp;$B14,'Outages (event ledger)'!$G$2:$G$65,"&gt;="&amp;$B14)</f>
        <v>0</v>
      </c>
      <c r="I14" s="26" t="n">
        <f aca="false">SUMIFS('Outages (event ledger)'!$H$2:$H$65,'Outages (event ledger)'!$A$2:$A$65,I$2,'Outages (event ledger)'!$E$2:$E$65,"&lt;="&amp;$B14,'Outages (event ledger)'!$G$2:$G$65,"&gt;="&amp;$B14)</f>
        <v>0</v>
      </c>
      <c r="J14" s="26" t="n">
        <f aca="false">SUMIFS('Outages (event ledger)'!$H$2:$H$65,'Outages (event ledger)'!$A$2:$A$65,J$2,'Outages (event ledger)'!$E$2:$E$65,"&lt;="&amp;$B14,'Outages (event ledger)'!$G$2:$G$65,"&gt;="&amp;$B14)</f>
        <v>0</v>
      </c>
      <c r="K14" s="26" t="n">
        <f aca="false">SUMIFS('Outages (event ledger)'!$H$2:$H$65,'Outages (event ledger)'!$A$2:$A$65,K$2,'Outages (event ledger)'!$E$2:$E$65,"&lt;="&amp;$B14,'Outages (event ledger)'!$G$2:$G$65,"&gt;="&amp;$B14)</f>
        <v>0</v>
      </c>
      <c r="L14" s="26" t="n">
        <f aca="false">SUMIFS('Outages (event ledger)'!$H$2:$H$65,'Outages (event ledger)'!$A$2:$A$65,L$2,'Outages (event ledger)'!$E$2:$E$65,"&lt;="&amp;$B14,'Outages (event ledger)'!$G$2:$G$65,"&gt;="&amp;$B14)</f>
        <v>0</v>
      </c>
      <c r="M14" s="26" t="n">
        <f aca="false">SUMIFS('Outages (event ledger)'!$H$2:$H$65,'Outages (event ledger)'!$A$2:$A$65,M$2,'Outages (event ledger)'!$E$2:$E$65,"&lt;="&amp;$B14,'Outages (event ledger)'!$G$2:$G$65,"&gt;="&amp;$B14)</f>
        <v>0</v>
      </c>
      <c r="N14" s="26" t="n">
        <f aca="false">SUMIFS('Outages (event ledger)'!$H$2:$H$65,'Outages (event ledger)'!$A$2:$A$65,N$2,'Outages (event ledger)'!$E$2:$E$65,"&lt;="&amp;$B14,'Outages (event ledger)'!$G$2:$G$65,"&gt;="&amp;$B14)</f>
        <v>0</v>
      </c>
      <c r="O14" s="26" t="n">
        <f aca="false">SUMIFS('Outages (event ledger)'!$H$2:$H$65,'Outages (event ledger)'!$A$2:$A$65,O$2,'Outages (event ledger)'!$E$2:$E$65,"&lt;="&amp;$B14,'Outages (event ledger)'!$G$2:$G$65,"&gt;="&amp;$B14)</f>
        <v>0</v>
      </c>
      <c r="P14" s="26" t="n">
        <f aca="false">SUMIFS('Outages (event ledger)'!$H$2:$H$65,'Outages (event ledger)'!$A$2:$A$65,P$2,'Outages (event ledger)'!$E$2:$E$65,"&lt;="&amp;$B14,'Outages (event ledger)'!$G$2:$G$65,"&gt;="&amp;$B14)</f>
        <v>0</v>
      </c>
      <c r="Q14" s="26" t="n">
        <f aca="false">SUMIFS('Outages (event ledger)'!$H$2:$H$65,'Outages (event ledger)'!$A$2:$A$65,Q$2,'Outages (event ledger)'!$E$2:$E$65,"&lt;="&amp;$B14,'Outages (event ledger)'!$G$2:$G$65,"&gt;="&amp;$B14)</f>
        <v>0</v>
      </c>
      <c r="R14" s="26" t="n">
        <f aca="false">SUMIFS('Outages (event ledger)'!$H$2:$H$65,'Outages (event ledger)'!$A$2:$A$65,R$2,'Outages (event ledger)'!$E$2:$E$65,"&lt;="&amp;$B14,'Outages (event ledger)'!$G$2:$G$65,"&gt;="&amp;$B14)</f>
        <v>0</v>
      </c>
      <c r="S14" s="26" t="n">
        <f aca="false">SUMIFS('Outages (event ledger)'!$H$2:$H$65,'Outages (event ledger)'!$A$2:$A$65,S$2,'Outages (event ledger)'!$E$2:$E$65,"&lt;="&amp;$B14,'Outages (event ledger)'!$G$2:$G$65,"&gt;="&amp;$B14)</f>
        <v>0</v>
      </c>
      <c r="T14" s="26" t="n">
        <f aca="false">SUMIFS('Outages (event ledger)'!$H$2:$H$65,'Outages (event ledger)'!$A$2:$A$65,T$2,'Outages (event ledger)'!$E$2:$E$65,"&lt;="&amp;$B14,'Outages (event ledger)'!$G$2:$G$65,"&gt;="&amp;$B14)</f>
        <v>0</v>
      </c>
      <c r="U14" s="26" t="n">
        <f aca="false">SUMIFS('Outages (event ledger)'!$H$2:$H$65,'Outages (event ledger)'!$A$2:$A$65,U$2,'Outages (event ledger)'!$E$2:$E$65,"&lt;="&amp;$B14,'Outages (event ledger)'!$G$2:$G$65,"&gt;="&amp;$B14)</f>
        <v>0</v>
      </c>
      <c r="V14" s="26" t="n">
        <f aca="false">SUMIFS('Outages (event ledger)'!$H$2:$H$65,'Outages (event ledger)'!$A$2:$A$65,V$2,'Outages (event ledger)'!$E$2:$E$65,"&lt;="&amp;$B14,'Outages (event ledger)'!$G$2:$G$65,"&gt;="&amp;$B14)</f>
        <v>0</v>
      </c>
      <c r="W14" s="26" t="n">
        <f aca="false">SUMIFS('Outages (event ledger)'!$H$2:$H$65,'Outages (event ledger)'!$A$2:$A$65,W$2,'Outages (event ledger)'!$E$2:$E$65,"&lt;="&amp;$B14,'Outages (event ledger)'!$G$2:$G$65,"&gt;="&amp;$B14)</f>
        <v>0</v>
      </c>
      <c r="X14" s="26" t="n">
        <f aca="false">SUMIFS('Outages (event ledger)'!$H$2:$H$65,'Outages (event ledger)'!$A$2:$A$65,X$2,'Outages (event ledger)'!$E$2:$E$65,"&lt;="&amp;$B14,'Outages (event ledger)'!$G$2:$G$65,"&gt;="&amp;$B14)</f>
        <v>0</v>
      </c>
      <c r="Y14" s="26" t="n">
        <f aca="false">SUMIFS('Outages (event ledger)'!$H$2:$H$65,'Outages (event ledger)'!$A$2:$A$65,Y$2,'Outages (event ledger)'!$E$2:$E$65,"&lt;="&amp;$B14,'Outages (event ledger)'!$G$2:$G$65,"&gt;="&amp;$B14)</f>
        <v>0</v>
      </c>
      <c r="Z14" s="26" t="n">
        <f aca="false">SUMIFS('Outages (event ledger)'!$H$2:$H$65,'Outages (event ledger)'!$A$2:$A$65,Z$2,'Outages (event ledger)'!$E$2:$E$65,"&lt;="&amp;$B14,'Outages (event ledger)'!$G$2:$G$65,"&gt;="&amp;$B14)</f>
        <v>0</v>
      </c>
      <c r="AA14" s="26" t="n">
        <f aca="false">SUMIFS('Outages (event ledger)'!$H$2:$H$65,'Outages (event ledger)'!$A$2:$A$65,AA$2,'Outages (event ledger)'!$E$2:$E$65,"&lt;="&amp;$B14,'Outages (event ledger)'!$G$2:$G$65,"&gt;="&amp;$B14)</f>
        <v>0</v>
      </c>
      <c r="AB14" s="26" t="n">
        <f aca="false">SUMIFS('Outages (event ledger)'!$H$2:$H$65,'Outages (event ledger)'!$A$2:$A$65,AB$2,'Outages (event ledger)'!$E$2:$E$65,"&lt;="&amp;$B14,'Outages (event ledger)'!$G$2:$G$65,"&gt;="&amp;$B14)</f>
        <v>8</v>
      </c>
      <c r="AC14" s="26" t="n">
        <f aca="false">SUMIFS('Outages (event ledger)'!$H$2:$H$65,'Outages (event ledger)'!$A$2:$A$65,AC$2,'Outages (event ledger)'!$E$2:$E$65,"&lt;="&amp;$B14,'Outages (event ledger)'!$G$2:$G$65,"&gt;="&amp;$B14)</f>
        <v>0</v>
      </c>
      <c r="AD14" s="26" t="n">
        <f aca="false">SUMIFS('Outages (event ledger)'!$H$2:$H$65,'Outages (event ledger)'!$A$2:$A$65,AD$2,'Outages (event ledger)'!$E$2:$E$65,"&lt;="&amp;$B14,'Outages (event ledger)'!$G$2:$G$65,"&gt;="&amp;$B14)</f>
        <v>0</v>
      </c>
      <c r="AE14" s="26" t="n">
        <f aca="false">SUMIFS('Outages (event ledger)'!$H$2:$H$65,'Outages (event ledger)'!$A$2:$A$65,AE$2,'Outages (event ledger)'!$E$2:$E$65,"&lt;="&amp;$B14,'Outages (event ledger)'!$G$2:$G$65,"&gt;="&amp;$B14)</f>
        <v>0</v>
      </c>
      <c r="AF14" s="26" t="n">
        <f aca="false">SUMIFS('Outages (event ledger)'!$H$2:$H$65,'Outages (event ledger)'!$A$2:$A$65,AF$2,'Outages (event ledger)'!$E$2:$E$65,"&lt;="&amp;$B14,'Outages (event ledger)'!$G$2:$G$65,"&gt;="&amp;$B14)</f>
        <v>0</v>
      </c>
      <c r="AG14" s="26" t="n">
        <f aca="false">SUMIFS('Outages (event ledger)'!$H$2:$H$65,'Outages (event ledger)'!$A$2:$A$65,AG$2,'Outages (event ledger)'!$E$2:$E$65,"&lt;="&amp;$B14,'Outages (event ledger)'!$G$2:$G$65,"&gt;="&amp;$B14)</f>
        <v>0</v>
      </c>
      <c r="AH14" s="26" t="n">
        <f aca="false">SUMIFS('Outages (event ledger)'!$H$2:$H$65,'Outages (event ledger)'!$A$2:$A$65,AH$2,'Outages (event ledger)'!$E$2:$E$65,"&lt;="&amp;$B14,'Outages (event ledger)'!$G$2:$G$65,"&gt;="&amp;$B14)</f>
        <v>0</v>
      </c>
      <c r="AI14" s="26" t="n">
        <f aca="false">SUMIFS('Outages (event ledger)'!$H$2:$H$65,'Outages (event ledger)'!$A$2:$A$65,AI$2,'Outages (event ledger)'!$E$2:$E$65,"&lt;="&amp;$B14,'Outages (event ledger)'!$G$2:$G$65,"&gt;="&amp;$B14)</f>
        <v>0</v>
      </c>
      <c r="AJ14" s="26" t="n">
        <f aca="false">SUMIFS('Outages (event ledger)'!$H$2:$H$65,'Outages (event ledger)'!$A$2:$A$65,AJ$2,'Outages (event ledger)'!$E$2:$E$65,"&lt;="&amp;$B14,'Outages (event ledger)'!$G$2:$G$65,"&gt;="&amp;$B14)</f>
        <v>0</v>
      </c>
      <c r="AK14" s="26" t="n">
        <f aca="false">SUMIFS('Outages (event ledger)'!$H$2:$H$65,'Outages (event ledger)'!$A$2:$A$65,AK$2,'Outages (event ledger)'!$E$2:$E$65,"&lt;="&amp;$B14,'Outages (event ledger)'!$G$2:$G$65,"&gt;="&amp;$B14)</f>
        <v>0</v>
      </c>
      <c r="AL14" s="26" t="n">
        <f aca="false">SUMIFS('Outages (event ledger)'!$H$2:$H$65,'Outages (event ledger)'!$A$2:$A$65,AL$2,'Outages (event ledger)'!$E$2:$E$65,"&lt;="&amp;$B14,'Outages (event ledger)'!$G$2:$G$65,"&gt;="&amp;$B14)</f>
        <v>0</v>
      </c>
      <c r="AM14" s="26" t="n">
        <f aca="false">SUMIFS('Outages (event ledger)'!$H$2:$H$65,'Outages (event ledger)'!$A$2:$A$65,AM$2,'Outages (event ledger)'!$E$2:$E$65,"&lt;="&amp;$B14,'Outages (event ledger)'!$G$2:$G$65,"&gt;="&amp;$B14)</f>
        <v>0</v>
      </c>
      <c r="AN14" s="26" t="n">
        <f aca="false">SUMIFS('Outages (event ledger)'!$H$2:$H$65,'Outages (event ledger)'!$A$2:$A$65,AN$2,'Outages (event ledger)'!$E$2:$E$65,"&lt;="&amp;$B14,'Outages (event ledger)'!$G$2:$G$65,"&gt;="&amp;$B14)</f>
        <v>0</v>
      </c>
      <c r="AO14" s="26" t="n">
        <f aca="false">SUMIFS('Outages (event ledger)'!$H$2:$H$65,'Outages (event ledger)'!$A$2:$A$65,AO$2,'Outages (event ledger)'!$E$2:$E$65,"&lt;="&amp;$B14,'Outages (event ledger)'!$G$2:$G$65,"&gt;="&amp;$B14)</f>
        <v>0</v>
      </c>
      <c r="AP14" s="26" t="n">
        <f aca="false">SUMIFS('Outages (event ledger)'!$H$2:$H$65,'Outages (event ledger)'!$A$2:$A$65,AP$2,'Outages (event ledger)'!$E$2:$E$65,"&lt;="&amp;$B14,'Outages (event ledger)'!$G$2:$G$65,"&gt;="&amp;$B14)</f>
        <v>0</v>
      </c>
      <c r="AQ14" s="26" t="n">
        <f aca="false">SUMIFS('Outages (event ledger)'!$H$2:$H$65,'Outages (event ledger)'!$A$2:$A$65,AQ$2,'Outages (event ledger)'!$E$2:$E$65,"&lt;="&amp;$B14,'Outages (event ledger)'!$G$2:$G$65,"&gt;="&amp;$B14)</f>
        <v>0</v>
      </c>
      <c r="AR14" s="26" t="n">
        <f aca="false">SUMIFS('Outages (event ledger)'!$H$2:$H$65,'Outages (event ledger)'!$A$2:$A$65,AR$2,'Outages (event ledger)'!$E$2:$E$65,"&lt;="&amp;$B14,'Outages (event ledger)'!$G$2:$G$65,"&gt;="&amp;$B14)</f>
        <v>0</v>
      </c>
      <c r="AS14" s="26" t="n">
        <f aca="false">SUMIFS('Outages (event ledger)'!$H$2:$H$65,'Outages (event ledger)'!$A$2:$A$65,AS$2,'Outages (event ledger)'!$E$2:$E$65,"&lt;="&amp;$B14,'Outages (event ledger)'!$G$2:$G$65,"&gt;="&amp;$B14)</f>
        <v>0</v>
      </c>
      <c r="AT14" s="26" t="n">
        <f aca="false">SUMIFS('Outages (event ledger)'!$H$2:$H$65,'Outages (event ledger)'!$A$2:$A$65,AT$2,'Outages (event ledger)'!$E$2:$E$65,"&lt;="&amp;$B14,'Outages (event ledger)'!$G$2:$G$65,"&gt;="&amp;$B14)</f>
        <v>0</v>
      </c>
      <c r="AU14" s="26" t="n">
        <f aca="false">SUMIFS('Outages (event ledger)'!$H$2:$H$65,'Outages (event ledger)'!$A$2:$A$65,AU$2,'Outages (event ledger)'!$E$2:$E$65,"&lt;="&amp;$B14,'Outages (event ledger)'!$G$2:$G$65,"&gt;="&amp;$B14)</f>
        <v>0</v>
      </c>
      <c r="AV14" s="26" t="n">
        <f aca="false">SUMIFS('Outages (event ledger)'!$H$2:$H$65,'Outages (event ledger)'!$A$2:$A$65,AV$2,'Outages (event ledger)'!$E$2:$E$65,"&lt;="&amp;$B14,'Outages (event ledger)'!$G$2:$G$65,"&gt;="&amp;$B14)</f>
        <v>0</v>
      </c>
      <c r="AW14" s="26" t="n">
        <f aca="false">SUMIFS('Outages (event ledger)'!$H$2:$H$65,'Outages (event ledger)'!$A$2:$A$65,AW$2,'Outages (event ledger)'!$E$2:$E$65,"&lt;="&amp;$B14,'Outages (event ledger)'!$G$2:$G$65,"&gt;="&amp;$B14)</f>
        <v>0</v>
      </c>
      <c r="AX14" s="26" t="n">
        <f aca="false">SUMIFS('Outages (event ledger)'!$H$2:$H$65,'Outages (event ledger)'!$A$2:$A$65,AX$2,'Outages (event ledger)'!$E$2:$E$65,"&lt;="&amp;$B14,'Outages (event ledger)'!$G$2:$G$65,"&gt;="&amp;$B14)</f>
        <v>0</v>
      </c>
      <c r="AY14" s="26" t="n">
        <f aca="false">SUMIFS('Outages (event ledger)'!$H$2:$H$65,'Outages (event ledger)'!$A$2:$A$65,AY$2,'Outages (event ledger)'!$E$2:$E$65,"&lt;="&amp;$B14,'Outages (event ledger)'!$G$2:$G$65,"&gt;="&amp;$B14)</f>
        <v>0</v>
      </c>
      <c r="AZ14" s="26" t="n">
        <f aca="false">SUMIFS('Outages (event ledger)'!$H$2:$H$65,'Outages (event ledger)'!$A$2:$A$65,AZ$2,'Outages (event ledger)'!$E$2:$E$65,"&lt;="&amp;$B14,'Outages (event ledger)'!$G$2:$G$65,"&gt;="&amp;$B14)</f>
        <v>0</v>
      </c>
      <c r="BA14" s="26" t="n">
        <f aca="false">SUMIFS('Outages (event ledger)'!$H$2:$H$65,'Outages (event ledger)'!$A$2:$A$65,BA$2,'Outages (event ledger)'!$E$2:$E$65,"&lt;="&amp;$B14,'Outages (event ledger)'!$G$2:$G$65,"&gt;="&amp;$B14)</f>
        <v>0</v>
      </c>
      <c r="BB14" s="26" t="n">
        <f aca="false">SUMIFS('Outages (event ledger)'!$H$2:$H$65,'Outages (event ledger)'!$A$2:$A$65,BB$2,'Outages (event ledger)'!$E$2:$E$65,"&lt;="&amp;$B14,'Outages (event ledger)'!$G$2:$G$65,"&gt;="&amp;$B14)</f>
        <v>0</v>
      </c>
      <c r="BC14" s="26" t="n">
        <f aca="false">SUMIFS('Outages (event ledger)'!$H$2:$H$65,'Outages (event ledger)'!$A$2:$A$65,BC$2,'Outages (event ledger)'!$E$2:$E$65,"&lt;="&amp;$B14,'Outages (event ledger)'!$G$2:$G$65,"&gt;="&amp;$B14)</f>
        <v>0</v>
      </c>
      <c r="BD14" s="26" t="n">
        <f aca="false">SUMIFS('Outages (event ledger)'!$H$2:$H$65,'Outages (event ledger)'!$A$2:$A$65,BD$2,'Outages (event ledger)'!$E$2:$E$65,"&lt;="&amp;$B14,'Outages (event ledger)'!$G$2:$G$65,"&gt;="&amp;$B14)</f>
        <v>0</v>
      </c>
      <c r="BE14" s="26" t="n">
        <f aca="false">SUMIFS('Outages (event ledger)'!$H$2:$H$65,'Outages (event ledger)'!$A$2:$A$65,BE$2,'Outages (event ledger)'!$E$2:$E$65,"&lt;="&amp;$B14,'Outages (event ledger)'!$G$2:$G$65,"&gt;="&amp;$B14)</f>
        <v>0</v>
      </c>
      <c r="BF14" s="26" t="n">
        <f aca="false">SUMIFS('Outages (event ledger)'!$H$2:$H$65,'Outages (event ledger)'!$A$2:$A$65,BF$2,'Outages (event ledger)'!$E$2:$E$65,"&lt;="&amp;$B14,'Outages (event ledger)'!$G$2:$G$65,"&gt;="&amp;$B14)</f>
        <v>0</v>
      </c>
      <c r="BG14" s="26" t="n">
        <f aca="false">SUMIFS('Outages (event ledger)'!$H$2:$H$65,'Outages (event ledger)'!$A$2:$A$65,BG$2,'Outages (event ledger)'!$E$2:$E$65,"&lt;="&amp;$B14,'Outages (event ledger)'!$G$2:$G$65,"&gt;="&amp;$B14)</f>
        <v>0</v>
      </c>
      <c r="BH14" s="26" t="n">
        <f aca="false">SUMIFS('Outages (event ledger)'!$H$2:$H$65,'Outages (event ledger)'!$A$2:$A$65,BH$2,'Outages (event ledger)'!$E$2:$E$65,"&lt;="&amp;$B14,'Outages (event ledger)'!$G$2:$G$65,"&gt;="&amp;$B14)</f>
        <v>0</v>
      </c>
      <c r="BI14" s="26" t="n">
        <f aca="false">SUMIFS('Outages (event ledger)'!$H$2:$H$65,'Outages (event ledger)'!$A$2:$A$65,BI$2,'Outages (event ledger)'!$E$2:$E$65,"&lt;="&amp;$B14,'Outages (event ledger)'!$G$2:$G$65,"&gt;="&amp;$B14)</f>
        <v>0</v>
      </c>
    </row>
    <row r="15" customFormat="false" ht="15" hidden="false" customHeight="false" outlineLevel="0" collapsed="false">
      <c r="A15" s="27" t="n">
        <v>40544</v>
      </c>
      <c r="B15" s="28" t="n">
        <v>201101</v>
      </c>
      <c r="C15" s="25" t="n">
        <f aca="false">SUM(D15:BI15)</f>
        <v>8</v>
      </c>
      <c r="D15" s="29" t="n">
        <f aca="false">SUMIFS('Outages (event ledger)'!$H$2:$H$65,'Outages (event ledger)'!$A$2:$A$65,D$2,'Outages (event ledger)'!$E$2:$E$65,"&lt;="&amp;$B15,'Outages (event ledger)'!$G$2:$G$65,"&gt;="&amp;$B15)</f>
        <v>0</v>
      </c>
      <c r="E15" s="29" t="n">
        <f aca="false">SUMIFS('Outages (event ledger)'!$H$2:$H$65,'Outages (event ledger)'!$A$2:$A$65,E$2,'Outages (event ledger)'!$E$2:$E$65,"&lt;="&amp;$B15,'Outages (event ledger)'!$G$2:$G$65,"&gt;="&amp;$B15)</f>
        <v>0</v>
      </c>
      <c r="F15" s="29" t="n">
        <f aca="false">SUMIFS('Outages (event ledger)'!$H$2:$H$65,'Outages (event ledger)'!$A$2:$A$65,F$2,'Outages (event ledger)'!$E$2:$E$65,"&lt;="&amp;$B15,'Outages (event ledger)'!$G$2:$G$65,"&gt;="&amp;$B15)</f>
        <v>0</v>
      </c>
      <c r="G15" s="29" t="n">
        <f aca="false">SUMIFS('Outages (event ledger)'!$H$2:$H$65,'Outages (event ledger)'!$A$2:$A$65,G$2,'Outages (event ledger)'!$E$2:$E$65,"&lt;="&amp;$B15,'Outages (event ledger)'!$G$2:$G$65,"&gt;="&amp;$B15)</f>
        <v>0</v>
      </c>
      <c r="H15" s="29" t="n">
        <f aca="false">SUMIFS('Outages (event ledger)'!$H$2:$H$65,'Outages (event ledger)'!$A$2:$A$65,H$2,'Outages (event ledger)'!$E$2:$E$65,"&lt;="&amp;$B15,'Outages (event ledger)'!$G$2:$G$65,"&gt;="&amp;$B15)</f>
        <v>0</v>
      </c>
      <c r="I15" s="29" t="n">
        <f aca="false">SUMIFS('Outages (event ledger)'!$H$2:$H$65,'Outages (event ledger)'!$A$2:$A$65,I$2,'Outages (event ledger)'!$E$2:$E$65,"&lt;="&amp;$B15,'Outages (event ledger)'!$G$2:$G$65,"&gt;="&amp;$B15)</f>
        <v>0</v>
      </c>
      <c r="J15" s="29" t="n">
        <f aca="false">SUMIFS('Outages (event ledger)'!$H$2:$H$65,'Outages (event ledger)'!$A$2:$A$65,J$2,'Outages (event ledger)'!$E$2:$E$65,"&lt;="&amp;$B15,'Outages (event ledger)'!$G$2:$G$65,"&gt;="&amp;$B15)</f>
        <v>0</v>
      </c>
      <c r="K15" s="29" t="n">
        <f aca="false">SUMIFS('Outages (event ledger)'!$H$2:$H$65,'Outages (event ledger)'!$A$2:$A$65,K$2,'Outages (event ledger)'!$E$2:$E$65,"&lt;="&amp;$B15,'Outages (event ledger)'!$G$2:$G$65,"&gt;="&amp;$B15)</f>
        <v>0</v>
      </c>
      <c r="L15" s="29" t="n">
        <f aca="false">SUMIFS('Outages (event ledger)'!$H$2:$H$65,'Outages (event ledger)'!$A$2:$A$65,L$2,'Outages (event ledger)'!$E$2:$E$65,"&lt;="&amp;$B15,'Outages (event ledger)'!$G$2:$G$65,"&gt;="&amp;$B15)</f>
        <v>0</v>
      </c>
      <c r="M15" s="29" t="n">
        <f aca="false">SUMIFS('Outages (event ledger)'!$H$2:$H$65,'Outages (event ledger)'!$A$2:$A$65,M$2,'Outages (event ledger)'!$E$2:$E$65,"&lt;="&amp;$B15,'Outages (event ledger)'!$G$2:$G$65,"&gt;="&amp;$B15)</f>
        <v>0</v>
      </c>
      <c r="N15" s="29" t="n">
        <f aca="false">SUMIFS('Outages (event ledger)'!$H$2:$H$65,'Outages (event ledger)'!$A$2:$A$65,N$2,'Outages (event ledger)'!$E$2:$E$65,"&lt;="&amp;$B15,'Outages (event ledger)'!$G$2:$G$65,"&gt;="&amp;$B15)</f>
        <v>0</v>
      </c>
      <c r="O15" s="29" t="n">
        <f aca="false">SUMIFS('Outages (event ledger)'!$H$2:$H$65,'Outages (event ledger)'!$A$2:$A$65,O$2,'Outages (event ledger)'!$E$2:$E$65,"&lt;="&amp;$B15,'Outages (event ledger)'!$G$2:$G$65,"&gt;="&amp;$B15)</f>
        <v>0</v>
      </c>
      <c r="P15" s="29" t="n">
        <f aca="false">SUMIFS('Outages (event ledger)'!$H$2:$H$65,'Outages (event ledger)'!$A$2:$A$65,P$2,'Outages (event ledger)'!$E$2:$E$65,"&lt;="&amp;$B15,'Outages (event ledger)'!$G$2:$G$65,"&gt;="&amp;$B15)</f>
        <v>0</v>
      </c>
      <c r="Q15" s="29" t="n">
        <f aca="false">SUMIFS('Outages (event ledger)'!$H$2:$H$65,'Outages (event ledger)'!$A$2:$A$65,Q$2,'Outages (event ledger)'!$E$2:$E$65,"&lt;="&amp;$B15,'Outages (event ledger)'!$G$2:$G$65,"&gt;="&amp;$B15)</f>
        <v>0</v>
      </c>
      <c r="R15" s="29" t="n">
        <f aca="false">SUMIFS('Outages (event ledger)'!$H$2:$H$65,'Outages (event ledger)'!$A$2:$A$65,R$2,'Outages (event ledger)'!$E$2:$E$65,"&lt;="&amp;$B15,'Outages (event ledger)'!$G$2:$G$65,"&gt;="&amp;$B15)</f>
        <v>0</v>
      </c>
      <c r="S15" s="29" t="n">
        <f aca="false">SUMIFS('Outages (event ledger)'!$H$2:$H$65,'Outages (event ledger)'!$A$2:$A$65,S$2,'Outages (event ledger)'!$E$2:$E$65,"&lt;="&amp;$B15,'Outages (event ledger)'!$G$2:$G$65,"&gt;="&amp;$B15)</f>
        <v>0</v>
      </c>
      <c r="T15" s="29" t="n">
        <f aca="false">SUMIFS('Outages (event ledger)'!$H$2:$H$65,'Outages (event ledger)'!$A$2:$A$65,T$2,'Outages (event ledger)'!$E$2:$E$65,"&lt;="&amp;$B15,'Outages (event ledger)'!$G$2:$G$65,"&gt;="&amp;$B15)</f>
        <v>0</v>
      </c>
      <c r="U15" s="29" t="n">
        <f aca="false">SUMIFS('Outages (event ledger)'!$H$2:$H$65,'Outages (event ledger)'!$A$2:$A$65,U$2,'Outages (event ledger)'!$E$2:$E$65,"&lt;="&amp;$B15,'Outages (event ledger)'!$G$2:$G$65,"&gt;="&amp;$B15)</f>
        <v>0</v>
      </c>
      <c r="V15" s="29" t="n">
        <f aca="false">SUMIFS('Outages (event ledger)'!$H$2:$H$65,'Outages (event ledger)'!$A$2:$A$65,V$2,'Outages (event ledger)'!$E$2:$E$65,"&lt;="&amp;$B15,'Outages (event ledger)'!$G$2:$G$65,"&gt;="&amp;$B15)</f>
        <v>0</v>
      </c>
      <c r="W15" s="29" t="n">
        <f aca="false">SUMIFS('Outages (event ledger)'!$H$2:$H$65,'Outages (event ledger)'!$A$2:$A$65,W$2,'Outages (event ledger)'!$E$2:$E$65,"&lt;="&amp;$B15,'Outages (event ledger)'!$G$2:$G$65,"&gt;="&amp;$B15)</f>
        <v>0</v>
      </c>
      <c r="X15" s="29" t="n">
        <f aca="false">SUMIFS('Outages (event ledger)'!$H$2:$H$65,'Outages (event ledger)'!$A$2:$A$65,X$2,'Outages (event ledger)'!$E$2:$E$65,"&lt;="&amp;$B15,'Outages (event ledger)'!$G$2:$G$65,"&gt;="&amp;$B15)</f>
        <v>0</v>
      </c>
      <c r="Y15" s="29" t="n">
        <f aca="false">SUMIFS('Outages (event ledger)'!$H$2:$H$65,'Outages (event ledger)'!$A$2:$A$65,Y$2,'Outages (event ledger)'!$E$2:$E$65,"&lt;="&amp;$B15,'Outages (event ledger)'!$G$2:$G$65,"&gt;="&amp;$B15)</f>
        <v>0</v>
      </c>
      <c r="Z15" s="29" t="n">
        <f aca="false">SUMIFS('Outages (event ledger)'!$H$2:$H$65,'Outages (event ledger)'!$A$2:$A$65,Z$2,'Outages (event ledger)'!$E$2:$E$65,"&lt;="&amp;$B15,'Outages (event ledger)'!$G$2:$G$65,"&gt;="&amp;$B15)</f>
        <v>0</v>
      </c>
      <c r="AA15" s="29" t="n">
        <f aca="false">SUMIFS('Outages (event ledger)'!$H$2:$H$65,'Outages (event ledger)'!$A$2:$A$65,AA$2,'Outages (event ledger)'!$E$2:$E$65,"&lt;="&amp;$B15,'Outages (event ledger)'!$G$2:$G$65,"&gt;="&amp;$B15)</f>
        <v>0</v>
      </c>
      <c r="AB15" s="29" t="n">
        <f aca="false">SUMIFS('Outages (event ledger)'!$H$2:$H$65,'Outages (event ledger)'!$A$2:$A$65,AB$2,'Outages (event ledger)'!$E$2:$E$65,"&lt;="&amp;$B15,'Outages (event ledger)'!$G$2:$G$65,"&gt;="&amp;$B15)</f>
        <v>8</v>
      </c>
      <c r="AC15" s="29" t="n">
        <f aca="false">SUMIFS('Outages (event ledger)'!$H$2:$H$65,'Outages (event ledger)'!$A$2:$A$65,AC$2,'Outages (event ledger)'!$E$2:$E$65,"&lt;="&amp;$B15,'Outages (event ledger)'!$G$2:$G$65,"&gt;="&amp;$B15)</f>
        <v>0</v>
      </c>
      <c r="AD15" s="29" t="n">
        <f aca="false">SUMIFS('Outages (event ledger)'!$H$2:$H$65,'Outages (event ledger)'!$A$2:$A$65,AD$2,'Outages (event ledger)'!$E$2:$E$65,"&lt;="&amp;$B15,'Outages (event ledger)'!$G$2:$G$65,"&gt;="&amp;$B15)</f>
        <v>0</v>
      </c>
      <c r="AE15" s="29" t="n">
        <f aca="false">SUMIFS('Outages (event ledger)'!$H$2:$H$65,'Outages (event ledger)'!$A$2:$A$65,AE$2,'Outages (event ledger)'!$E$2:$E$65,"&lt;="&amp;$B15,'Outages (event ledger)'!$G$2:$G$65,"&gt;="&amp;$B15)</f>
        <v>0</v>
      </c>
      <c r="AF15" s="29" t="n">
        <f aca="false">SUMIFS('Outages (event ledger)'!$H$2:$H$65,'Outages (event ledger)'!$A$2:$A$65,AF$2,'Outages (event ledger)'!$E$2:$E$65,"&lt;="&amp;$B15,'Outages (event ledger)'!$G$2:$G$65,"&gt;="&amp;$B15)</f>
        <v>0</v>
      </c>
      <c r="AG15" s="29" t="n">
        <f aca="false">SUMIFS('Outages (event ledger)'!$H$2:$H$65,'Outages (event ledger)'!$A$2:$A$65,AG$2,'Outages (event ledger)'!$E$2:$E$65,"&lt;="&amp;$B15,'Outages (event ledger)'!$G$2:$G$65,"&gt;="&amp;$B15)</f>
        <v>0</v>
      </c>
      <c r="AH15" s="29" t="n">
        <f aca="false">SUMIFS('Outages (event ledger)'!$H$2:$H$65,'Outages (event ledger)'!$A$2:$A$65,AH$2,'Outages (event ledger)'!$E$2:$E$65,"&lt;="&amp;$B15,'Outages (event ledger)'!$G$2:$G$65,"&gt;="&amp;$B15)</f>
        <v>0</v>
      </c>
      <c r="AI15" s="29" t="n">
        <f aca="false">SUMIFS('Outages (event ledger)'!$H$2:$H$65,'Outages (event ledger)'!$A$2:$A$65,AI$2,'Outages (event ledger)'!$E$2:$E$65,"&lt;="&amp;$B15,'Outages (event ledger)'!$G$2:$G$65,"&gt;="&amp;$B15)</f>
        <v>0</v>
      </c>
      <c r="AJ15" s="29" t="n">
        <f aca="false">SUMIFS('Outages (event ledger)'!$H$2:$H$65,'Outages (event ledger)'!$A$2:$A$65,AJ$2,'Outages (event ledger)'!$E$2:$E$65,"&lt;="&amp;$B15,'Outages (event ledger)'!$G$2:$G$65,"&gt;="&amp;$B15)</f>
        <v>0</v>
      </c>
      <c r="AK15" s="29" t="n">
        <f aca="false">SUMIFS('Outages (event ledger)'!$H$2:$H$65,'Outages (event ledger)'!$A$2:$A$65,AK$2,'Outages (event ledger)'!$E$2:$E$65,"&lt;="&amp;$B15,'Outages (event ledger)'!$G$2:$G$65,"&gt;="&amp;$B15)</f>
        <v>0</v>
      </c>
      <c r="AL15" s="29" t="n">
        <f aca="false">SUMIFS('Outages (event ledger)'!$H$2:$H$65,'Outages (event ledger)'!$A$2:$A$65,AL$2,'Outages (event ledger)'!$E$2:$E$65,"&lt;="&amp;$B15,'Outages (event ledger)'!$G$2:$G$65,"&gt;="&amp;$B15)</f>
        <v>0</v>
      </c>
      <c r="AM15" s="29" t="n">
        <f aca="false">SUMIFS('Outages (event ledger)'!$H$2:$H$65,'Outages (event ledger)'!$A$2:$A$65,AM$2,'Outages (event ledger)'!$E$2:$E$65,"&lt;="&amp;$B15,'Outages (event ledger)'!$G$2:$G$65,"&gt;="&amp;$B15)</f>
        <v>0</v>
      </c>
      <c r="AN15" s="29" t="n">
        <f aca="false">SUMIFS('Outages (event ledger)'!$H$2:$H$65,'Outages (event ledger)'!$A$2:$A$65,AN$2,'Outages (event ledger)'!$E$2:$E$65,"&lt;="&amp;$B15,'Outages (event ledger)'!$G$2:$G$65,"&gt;="&amp;$B15)</f>
        <v>0</v>
      </c>
      <c r="AO15" s="29" t="n">
        <f aca="false">SUMIFS('Outages (event ledger)'!$H$2:$H$65,'Outages (event ledger)'!$A$2:$A$65,AO$2,'Outages (event ledger)'!$E$2:$E$65,"&lt;="&amp;$B15,'Outages (event ledger)'!$G$2:$G$65,"&gt;="&amp;$B15)</f>
        <v>0</v>
      </c>
      <c r="AP15" s="29" t="n">
        <f aca="false">SUMIFS('Outages (event ledger)'!$H$2:$H$65,'Outages (event ledger)'!$A$2:$A$65,AP$2,'Outages (event ledger)'!$E$2:$E$65,"&lt;="&amp;$B15,'Outages (event ledger)'!$G$2:$G$65,"&gt;="&amp;$B15)</f>
        <v>0</v>
      </c>
      <c r="AQ15" s="29" t="n">
        <f aca="false">SUMIFS('Outages (event ledger)'!$H$2:$H$65,'Outages (event ledger)'!$A$2:$A$65,AQ$2,'Outages (event ledger)'!$E$2:$E$65,"&lt;="&amp;$B15,'Outages (event ledger)'!$G$2:$G$65,"&gt;="&amp;$B15)</f>
        <v>0</v>
      </c>
      <c r="AR15" s="29" t="n">
        <f aca="false">SUMIFS('Outages (event ledger)'!$H$2:$H$65,'Outages (event ledger)'!$A$2:$A$65,AR$2,'Outages (event ledger)'!$E$2:$E$65,"&lt;="&amp;$B15,'Outages (event ledger)'!$G$2:$G$65,"&gt;="&amp;$B15)</f>
        <v>0</v>
      </c>
      <c r="AS15" s="29" t="n">
        <f aca="false">SUMIFS('Outages (event ledger)'!$H$2:$H$65,'Outages (event ledger)'!$A$2:$A$65,AS$2,'Outages (event ledger)'!$E$2:$E$65,"&lt;="&amp;$B15,'Outages (event ledger)'!$G$2:$G$65,"&gt;="&amp;$B15)</f>
        <v>0</v>
      </c>
      <c r="AT15" s="29" t="n">
        <f aca="false">SUMIFS('Outages (event ledger)'!$H$2:$H$65,'Outages (event ledger)'!$A$2:$A$65,AT$2,'Outages (event ledger)'!$E$2:$E$65,"&lt;="&amp;$B15,'Outages (event ledger)'!$G$2:$G$65,"&gt;="&amp;$B15)</f>
        <v>0</v>
      </c>
      <c r="AU15" s="29" t="n">
        <f aca="false">SUMIFS('Outages (event ledger)'!$H$2:$H$65,'Outages (event ledger)'!$A$2:$A$65,AU$2,'Outages (event ledger)'!$E$2:$E$65,"&lt;="&amp;$B15,'Outages (event ledger)'!$G$2:$G$65,"&gt;="&amp;$B15)</f>
        <v>0</v>
      </c>
      <c r="AV15" s="29" t="n">
        <f aca="false">SUMIFS('Outages (event ledger)'!$H$2:$H$65,'Outages (event ledger)'!$A$2:$A$65,AV$2,'Outages (event ledger)'!$E$2:$E$65,"&lt;="&amp;$B15,'Outages (event ledger)'!$G$2:$G$65,"&gt;="&amp;$B15)</f>
        <v>0</v>
      </c>
      <c r="AW15" s="29" t="n">
        <f aca="false">SUMIFS('Outages (event ledger)'!$H$2:$H$65,'Outages (event ledger)'!$A$2:$A$65,AW$2,'Outages (event ledger)'!$E$2:$E$65,"&lt;="&amp;$B15,'Outages (event ledger)'!$G$2:$G$65,"&gt;="&amp;$B15)</f>
        <v>0</v>
      </c>
      <c r="AX15" s="29" t="n">
        <f aca="false">SUMIFS('Outages (event ledger)'!$H$2:$H$65,'Outages (event ledger)'!$A$2:$A$65,AX$2,'Outages (event ledger)'!$E$2:$E$65,"&lt;="&amp;$B15,'Outages (event ledger)'!$G$2:$G$65,"&gt;="&amp;$B15)</f>
        <v>0</v>
      </c>
      <c r="AY15" s="29" t="n">
        <f aca="false">SUMIFS('Outages (event ledger)'!$H$2:$H$65,'Outages (event ledger)'!$A$2:$A$65,AY$2,'Outages (event ledger)'!$E$2:$E$65,"&lt;="&amp;$B15,'Outages (event ledger)'!$G$2:$G$65,"&gt;="&amp;$B15)</f>
        <v>0</v>
      </c>
      <c r="AZ15" s="29" t="n">
        <f aca="false">SUMIFS('Outages (event ledger)'!$H$2:$H$65,'Outages (event ledger)'!$A$2:$A$65,AZ$2,'Outages (event ledger)'!$E$2:$E$65,"&lt;="&amp;$B15,'Outages (event ledger)'!$G$2:$G$65,"&gt;="&amp;$B15)</f>
        <v>0</v>
      </c>
      <c r="BA15" s="29" t="n">
        <f aca="false">SUMIFS('Outages (event ledger)'!$H$2:$H$65,'Outages (event ledger)'!$A$2:$A$65,BA$2,'Outages (event ledger)'!$E$2:$E$65,"&lt;="&amp;$B15,'Outages (event ledger)'!$G$2:$G$65,"&gt;="&amp;$B15)</f>
        <v>0</v>
      </c>
      <c r="BB15" s="29" t="n">
        <f aca="false">SUMIFS('Outages (event ledger)'!$H$2:$H$65,'Outages (event ledger)'!$A$2:$A$65,BB$2,'Outages (event ledger)'!$E$2:$E$65,"&lt;="&amp;$B15,'Outages (event ledger)'!$G$2:$G$65,"&gt;="&amp;$B15)</f>
        <v>0</v>
      </c>
      <c r="BC15" s="29" t="n">
        <f aca="false">SUMIFS('Outages (event ledger)'!$H$2:$H$65,'Outages (event ledger)'!$A$2:$A$65,BC$2,'Outages (event ledger)'!$E$2:$E$65,"&lt;="&amp;$B15,'Outages (event ledger)'!$G$2:$G$65,"&gt;="&amp;$B15)</f>
        <v>0</v>
      </c>
      <c r="BD15" s="29" t="n">
        <f aca="false">SUMIFS('Outages (event ledger)'!$H$2:$H$65,'Outages (event ledger)'!$A$2:$A$65,BD$2,'Outages (event ledger)'!$E$2:$E$65,"&lt;="&amp;$B15,'Outages (event ledger)'!$G$2:$G$65,"&gt;="&amp;$B15)</f>
        <v>0</v>
      </c>
      <c r="BE15" s="29" t="n">
        <f aca="false">SUMIFS('Outages (event ledger)'!$H$2:$H$65,'Outages (event ledger)'!$A$2:$A$65,BE$2,'Outages (event ledger)'!$E$2:$E$65,"&lt;="&amp;$B15,'Outages (event ledger)'!$G$2:$G$65,"&gt;="&amp;$B15)</f>
        <v>0</v>
      </c>
      <c r="BF15" s="29" t="n">
        <f aca="false">SUMIFS('Outages (event ledger)'!$H$2:$H$65,'Outages (event ledger)'!$A$2:$A$65,BF$2,'Outages (event ledger)'!$E$2:$E$65,"&lt;="&amp;$B15,'Outages (event ledger)'!$G$2:$G$65,"&gt;="&amp;$B15)</f>
        <v>0</v>
      </c>
      <c r="BG15" s="29" t="n">
        <f aca="false">SUMIFS('Outages (event ledger)'!$H$2:$H$65,'Outages (event ledger)'!$A$2:$A$65,BG$2,'Outages (event ledger)'!$E$2:$E$65,"&lt;="&amp;$B15,'Outages (event ledger)'!$G$2:$G$65,"&gt;="&amp;$B15)</f>
        <v>0</v>
      </c>
      <c r="BH15" s="29" t="n">
        <f aca="false">SUMIFS('Outages (event ledger)'!$H$2:$H$65,'Outages (event ledger)'!$A$2:$A$65,BH$2,'Outages (event ledger)'!$E$2:$E$65,"&lt;="&amp;$B15,'Outages (event ledger)'!$G$2:$G$65,"&gt;="&amp;$B15)</f>
        <v>0</v>
      </c>
      <c r="BI15" s="29" t="n">
        <f aca="false">SUMIFS('Outages (event ledger)'!$H$2:$H$65,'Outages (event ledger)'!$A$2:$A$65,BI$2,'Outages (event ledger)'!$E$2:$E$65,"&lt;="&amp;$B15,'Outages (event ledger)'!$G$2:$G$65,"&gt;="&amp;$B15)</f>
        <v>0</v>
      </c>
    </row>
    <row r="16" customFormat="false" ht="15" hidden="false" customHeight="false" outlineLevel="0" collapsed="false">
      <c r="A16" s="27" t="n">
        <v>40575</v>
      </c>
      <c r="B16" s="28" t="n">
        <v>201102</v>
      </c>
      <c r="C16" s="25" t="n">
        <f aca="false">SUM(D16:BI16)</f>
        <v>8</v>
      </c>
      <c r="D16" s="29" t="n">
        <f aca="false">SUMIFS('Outages (event ledger)'!$H$2:$H$65,'Outages (event ledger)'!$A$2:$A$65,D$2,'Outages (event ledger)'!$E$2:$E$65,"&lt;="&amp;$B16,'Outages (event ledger)'!$G$2:$G$65,"&gt;="&amp;$B16)</f>
        <v>0</v>
      </c>
      <c r="E16" s="29" t="n">
        <f aca="false">SUMIFS('Outages (event ledger)'!$H$2:$H$65,'Outages (event ledger)'!$A$2:$A$65,E$2,'Outages (event ledger)'!$E$2:$E$65,"&lt;="&amp;$B16,'Outages (event ledger)'!$G$2:$G$65,"&gt;="&amp;$B16)</f>
        <v>0</v>
      </c>
      <c r="F16" s="29" t="n">
        <f aca="false">SUMIFS('Outages (event ledger)'!$H$2:$H$65,'Outages (event ledger)'!$A$2:$A$65,F$2,'Outages (event ledger)'!$E$2:$E$65,"&lt;="&amp;$B16,'Outages (event ledger)'!$G$2:$G$65,"&gt;="&amp;$B16)</f>
        <v>0</v>
      </c>
      <c r="G16" s="29" t="n">
        <f aca="false">SUMIFS('Outages (event ledger)'!$H$2:$H$65,'Outages (event ledger)'!$A$2:$A$65,G$2,'Outages (event ledger)'!$E$2:$E$65,"&lt;="&amp;$B16,'Outages (event ledger)'!$G$2:$G$65,"&gt;="&amp;$B16)</f>
        <v>0</v>
      </c>
      <c r="H16" s="29" t="n">
        <f aca="false">SUMIFS('Outages (event ledger)'!$H$2:$H$65,'Outages (event ledger)'!$A$2:$A$65,H$2,'Outages (event ledger)'!$E$2:$E$65,"&lt;="&amp;$B16,'Outages (event ledger)'!$G$2:$G$65,"&gt;="&amp;$B16)</f>
        <v>0</v>
      </c>
      <c r="I16" s="29" t="n">
        <f aca="false">SUMIFS('Outages (event ledger)'!$H$2:$H$65,'Outages (event ledger)'!$A$2:$A$65,I$2,'Outages (event ledger)'!$E$2:$E$65,"&lt;="&amp;$B16,'Outages (event ledger)'!$G$2:$G$65,"&gt;="&amp;$B16)</f>
        <v>0</v>
      </c>
      <c r="J16" s="29" t="n">
        <f aca="false">SUMIFS('Outages (event ledger)'!$H$2:$H$65,'Outages (event ledger)'!$A$2:$A$65,J$2,'Outages (event ledger)'!$E$2:$E$65,"&lt;="&amp;$B16,'Outages (event ledger)'!$G$2:$G$65,"&gt;="&amp;$B16)</f>
        <v>0</v>
      </c>
      <c r="K16" s="29" t="n">
        <f aca="false">SUMIFS('Outages (event ledger)'!$H$2:$H$65,'Outages (event ledger)'!$A$2:$A$65,K$2,'Outages (event ledger)'!$E$2:$E$65,"&lt;="&amp;$B16,'Outages (event ledger)'!$G$2:$G$65,"&gt;="&amp;$B16)</f>
        <v>0</v>
      </c>
      <c r="L16" s="29" t="n">
        <f aca="false">SUMIFS('Outages (event ledger)'!$H$2:$H$65,'Outages (event ledger)'!$A$2:$A$65,L$2,'Outages (event ledger)'!$E$2:$E$65,"&lt;="&amp;$B16,'Outages (event ledger)'!$G$2:$G$65,"&gt;="&amp;$B16)</f>
        <v>0</v>
      </c>
      <c r="M16" s="29" t="n">
        <f aca="false">SUMIFS('Outages (event ledger)'!$H$2:$H$65,'Outages (event ledger)'!$A$2:$A$65,M$2,'Outages (event ledger)'!$E$2:$E$65,"&lt;="&amp;$B16,'Outages (event ledger)'!$G$2:$G$65,"&gt;="&amp;$B16)</f>
        <v>0</v>
      </c>
      <c r="N16" s="29" t="n">
        <f aca="false">SUMIFS('Outages (event ledger)'!$H$2:$H$65,'Outages (event ledger)'!$A$2:$A$65,N$2,'Outages (event ledger)'!$E$2:$E$65,"&lt;="&amp;$B16,'Outages (event ledger)'!$G$2:$G$65,"&gt;="&amp;$B16)</f>
        <v>0</v>
      </c>
      <c r="O16" s="29" t="n">
        <f aca="false">SUMIFS('Outages (event ledger)'!$H$2:$H$65,'Outages (event ledger)'!$A$2:$A$65,O$2,'Outages (event ledger)'!$E$2:$E$65,"&lt;="&amp;$B16,'Outages (event ledger)'!$G$2:$G$65,"&gt;="&amp;$B16)</f>
        <v>0</v>
      </c>
      <c r="P16" s="29" t="n">
        <f aca="false">SUMIFS('Outages (event ledger)'!$H$2:$H$65,'Outages (event ledger)'!$A$2:$A$65,P$2,'Outages (event ledger)'!$E$2:$E$65,"&lt;="&amp;$B16,'Outages (event ledger)'!$G$2:$G$65,"&gt;="&amp;$B16)</f>
        <v>0</v>
      </c>
      <c r="Q16" s="29" t="n">
        <f aca="false">SUMIFS('Outages (event ledger)'!$H$2:$H$65,'Outages (event ledger)'!$A$2:$A$65,Q$2,'Outages (event ledger)'!$E$2:$E$65,"&lt;="&amp;$B16,'Outages (event ledger)'!$G$2:$G$65,"&gt;="&amp;$B16)</f>
        <v>0</v>
      </c>
      <c r="R16" s="29" t="n">
        <f aca="false">SUMIFS('Outages (event ledger)'!$H$2:$H$65,'Outages (event ledger)'!$A$2:$A$65,R$2,'Outages (event ledger)'!$E$2:$E$65,"&lt;="&amp;$B16,'Outages (event ledger)'!$G$2:$G$65,"&gt;="&amp;$B16)</f>
        <v>0</v>
      </c>
      <c r="S16" s="29" t="n">
        <f aca="false">SUMIFS('Outages (event ledger)'!$H$2:$H$65,'Outages (event ledger)'!$A$2:$A$65,S$2,'Outages (event ledger)'!$E$2:$E$65,"&lt;="&amp;$B16,'Outages (event ledger)'!$G$2:$G$65,"&gt;="&amp;$B16)</f>
        <v>0</v>
      </c>
      <c r="T16" s="29" t="n">
        <f aca="false">SUMIFS('Outages (event ledger)'!$H$2:$H$65,'Outages (event ledger)'!$A$2:$A$65,T$2,'Outages (event ledger)'!$E$2:$E$65,"&lt;="&amp;$B16,'Outages (event ledger)'!$G$2:$G$65,"&gt;="&amp;$B16)</f>
        <v>0</v>
      </c>
      <c r="U16" s="29" t="n">
        <f aca="false">SUMIFS('Outages (event ledger)'!$H$2:$H$65,'Outages (event ledger)'!$A$2:$A$65,U$2,'Outages (event ledger)'!$E$2:$E$65,"&lt;="&amp;$B16,'Outages (event ledger)'!$G$2:$G$65,"&gt;="&amp;$B16)</f>
        <v>0</v>
      </c>
      <c r="V16" s="29" t="n">
        <f aca="false">SUMIFS('Outages (event ledger)'!$H$2:$H$65,'Outages (event ledger)'!$A$2:$A$65,V$2,'Outages (event ledger)'!$E$2:$E$65,"&lt;="&amp;$B16,'Outages (event ledger)'!$G$2:$G$65,"&gt;="&amp;$B16)</f>
        <v>0</v>
      </c>
      <c r="W16" s="29" t="n">
        <f aca="false">SUMIFS('Outages (event ledger)'!$H$2:$H$65,'Outages (event ledger)'!$A$2:$A$65,W$2,'Outages (event ledger)'!$E$2:$E$65,"&lt;="&amp;$B16,'Outages (event ledger)'!$G$2:$G$65,"&gt;="&amp;$B16)</f>
        <v>0</v>
      </c>
      <c r="X16" s="29" t="n">
        <f aca="false">SUMIFS('Outages (event ledger)'!$H$2:$H$65,'Outages (event ledger)'!$A$2:$A$65,X$2,'Outages (event ledger)'!$E$2:$E$65,"&lt;="&amp;$B16,'Outages (event ledger)'!$G$2:$G$65,"&gt;="&amp;$B16)</f>
        <v>0</v>
      </c>
      <c r="Y16" s="29" t="n">
        <f aca="false">SUMIFS('Outages (event ledger)'!$H$2:$H$65,'Outages (event ledger)'!$A$2:$A$65,Y$2,'Outages (event ledger)'!$E$2:$E$65,"&lt;="&amp;$B16,'Outages (event ledger)'!$G$2:$G$65,"&gt;="&amp;$B16)</f>
        <v>0</v>
      </c>
      <c r="Z16" s="29" t="n">
        <f aca="false">SUMIFS('Outages (event ledger)'!$H$2:$H$65,'Outages (event ledger)'!$A$2:$A$65,Z$2,'Outages (event ledger)'!$E$2:$E$65,"&lt;="&amp;$B16,'Outages (event ledger)'!$G$2:$G$65,"&gt;="&amp;$B16)</f>
        <v>0</v>
      </c>
      <c r="AA16" s="29" t="n">
        <f aca="false">SUMIFS('Outages (event ledger)'!$H$2:$H$65,'Outages (event ledger)'!$A$2:$A$65,AA$2,'Outages (event ledger)'!$E$2:$E$65,"&lt;="&amp;$B16,'Outages (event ledger)'!$G$2:$G$65,"&gt;="&amp;$B16)</f>
        <v>0</v>
      </c>
      <c r="AB16" s="29" t="n">
        <f aca="false">SUMIFS('Outages (event ledger)'!$H$2:$H$65,'Outages (event ledger)'!$A$2:$A$65,AB$2,'Outages (event ledger)'!$E$2:$E$65,"&lt;="&amp;$B16,'Outages (event ledger)'!$G$2:$G$65,"&gt;="&amp;$B16)</f>
        <v>8</v>
      </c>
      <c r="AC16" s="29" t="n">
        <f aca="false">SUMIFS('Outages (event ledger)'!$H$2:$H$65,'Outages (event ledger)'!$A$2:$A$65,AC$2,'Outages (event ledger)'!$E$2:$E$65,"&lt;="&amp;$B16,'Outages (event ledger)'!$G$2:$G$65,"&gt;="&amp;$B16)</f>
        <v>0</v>
      </c>
      <c r="AD16" s="29" t="n">
        <f aca="false">SUMIFS('Outages (event ledger)'!$H$2:$H$65,'Outages (event ledger)'!$A$2:$A$65,AD$2,'Outages (event ledger)'!$E$2:$E$65,"&lt;="&amp;$B16,'Outages (event ledger)'!$G$2:$G$65,"&gt;="&amp;$B16)</f>
        <v>0</v>
      </c>
      <c r="AE16" s="29" t="n">
        <f aca="false">SUMIFS('Outages (event ledger)'!$H$2:$H$65,'Outages (event ledger)'!$A$2:$A$65,AE$2,'Outages (event ledger)'!$E$2:$E$65,"&lt;="&amp;$B16,'Outages (event ledger)'!$G$2:$G$65,"&gt;="&amp;$B16)</f>
        <v>0</v>
      </c>
      <c r="AF16" s="29" t="n">
        <f aca="false">SUMIFS('Outages (event ledger)'!$H$2:$H$65,'Outages (event ledger)'!$A$2:$A$65,AF$2,'Outages (event ledger)'!$E$2:$E$65,"&lt;="&amp;$B16,'Outages (event ledger)'!$G$2:$G$65,"&gt;="&amp;$B16)</f>
        <v>0</v>
      </c>
      <c r="AG16" s="29" t="n">
        <f aca="false">SUMIFS('Outages (event ledger)'!$H$2:$H$65,'Outages (event ledger)'!$A$2:$A$65,AG$2,'Outages (event ledger)'!$E$2:$E$65,"&lt;="&amp;$B16,'Outages (event ledger)'!$G$2:$G$65,"&gt;="&amp;$B16)</f>
        <v>0</v>
      </c>
      <c r="AH16" s="29" t="n">
        <f aca="false">SUMIFS('Outages (event ledger)'!$H$2:$H$65,'Outages (event ledger)'!$A$2:$A$65,AH$2,'Outages (event ledger)'!$E$2:$E$65,"&lt;="&amp;$B16,'Outages (event ledger)'!$G$2:$G$65,"&gt;="&amp;$B16)</f>
        <v>0</v>
      </c>
      <c r="AI16" s="29" t="n">
        <f aca="false">SUMIFS('Outages (event ledger)'!$H$2:$H$65,'Outages (event ledger)'!$A$2:$A$65,AI$2,'Outages (event ledger)'!$E$2:$E$65,"&lt;="&amp;$B16,'Outages (event ledger)'!$G$2:$G$65,"&gt;="&amp;$B16)</f>
        <v>0</v>
      </c>
      <c r="AJ16" s="29" t="n">
        <f aca="false">SUMIFS('Outages (event ledger)'!$H$2:$H$65,'Outages (event ledger)'!$A$2:$A$65,AJ$2,'Outages (event ledger)'!$E$2:$E$65,"&lt;="&amp;$B16,'Outages (event ledger)'!$G$2:$G$65,"&gt;="&amp;$B16)</f>
        <v>0</v>
      </c>
      <c r="AK16" s="29" t="n">
        <f aca="false">SUMIFS('Outages (event ledger)'!$H$2:$H$65,'Outages (event ledger)'!$A$2:$A$65,AK$2,'Outages (event ledger)'!$E$2:$E$65,"&lt;="&amp;$B16,'Outages (event ledger)'!$G$2:$G$65,"&gt;="&amp;$B16)</f>
        <v>0</v>
      </c>
      <c r="AL16" s="29" t="n">
        <f aca="false">SUMIFS('Outages (event ledger)'!$H$2:$H$65,'Outages (event ledger)'!$A$2:$A$65,AL$2,'Outages (event ledger)'!$E$2:$E$65,"&lt;="&amp;$B16,'Outages (event ledger)'!$G$2:$G$65,"&gt;="&amp;$B16)</f>
        <v>0</v>
      </c>
      <c r="AM16" s="29" t="n">
        <f aca="false">SUMIFS('Outages (event ledger)'!$H$2:$H$65,'Outages (event ledger)'!$A$2:$A$65,AM$2,'Outages (event ledger)'!$E$2:$E$65,"&lt;="&amp;$B16,'Outages (event ledger)'!$G$2:$G$65,"&gt;="&amp;$B16)</f>
        <v>0</v>
      </c>
      <c r="AN16" s="29" t="n">
        <f aca="false">SUMIFS('Outages (event ledger)'!$H$2:$H$65,'Outages (event ledger)'!$A$2:$A$65,AN$2,'Outages (event ledger)'!$E$2:$E$65,"&lt;="&amp;$B16,'Outages (event ledger)'!$G$2:$G$65,"&gt;="&amp;$B16)</f>
        <v>0</v>
      </c>
      <c r="AO16" s="29" t="n">
        <f aca="false">SUMIFS('Outages (event ledger)'!$H$2:$H$65,'Outages (event ledger)'!$A$2:$A$65,AO$2,'Outages (event ledger)'!$E$2:$E$65,"&lt;="&amp;$B16,'Outages (event ledger)'!$G$2:$G$65,"&gt;="&amp;$B16)</f>
        <v>0</v>
      </c>
      <c r="AP16" s="29" t="n">
        <f aca="false">SUMIFS('Outages (event ledger)'!$H$2:$H$65,'Outages (event ledger)'!$A$2:$A$65,AP$2,'Outages (event ledger)'!$E$2:$E$65,"&lt;="&amp;$B16,'Outages (event ledger)'!$G$2:$G$65,"&gt;="&amp;$B16)</f>
        <v>0</v>
      </c>
      <c r="AQ16" s="29" t="n">
        <f aca="false">SUMIFS('Outages (event ledger)'!$H$2:$H$65,'Outages (event ledger)'!$A$2:$A$65,AQ$2,'Outages (event ledger)'!$E$2:$E$65,"&lt;="&amp;$B16,'Outages (event ledger)'!$G$2:$G$65,"&gt;="&amp;$B16)</f>
        <v>0</v>
      </c>
      <c r="AR16" s="29" t="n">
        <f aca="false">SUMIFS('Outages (event ledger)'!$H$2:$H$65,'Outages (event ledger)'!$A$2:$A$65,AR$2,'Outages (event ledger)'!$E$2:$E$65,"&lt;="&amp;$B16,'Outages (event ledger)'!$G$2:$G$65,"&gt;="&amp;$B16)</f>
        <v>0</v>
      </c>
      <c r="AS16" s="29" t="n">
        <f aca="false">SUMIFS('Outages (event ledger)'!$H$2:$H$65,'Outages (event ledger)'!$A$2:$A$65,AS$2,'Outages (event ledger)'!$E$2:$E$65,"&lt;="&amp;$B16,'Outages (event ledger)'!$G$2:$G$65,"&gt;="&amp;$B16)</f>
        <v>0</v>
      </c>
      <c r="AT16" s="29" t="n">
        <f aca="false">SUMIFS('Outages (event ledger)'!$H$2:$H$65,'Outages (event ledger)'!$A$2:$A$65,AT$2,'Outages (event ledger)'!$E$2:$E$65,"&lt;="&amp;$B16,'Outages (event ledger)'!$G$2:$G$65,"&gt;="&amp;$B16)</f>
        <v>0</v>
      </c>
      <c r="AU16" s="29" t="n">
        <f aca="false">SUMIFS('Outages (event ledger)'!$H$2:$H$65,'Outages (event ledger)'!$A$2:$A$65,AU$2,'Outages (event ledger)'!$E$2:$E$65,"&lt;="&amp;$B16,'Outages (event ledger)'!$G$2:$G$65,"&gt;="&amp;$B16)</f>
        <v>0</v>
      </c>
      <c r="AV16" s="29" t="n">
        <f aca="false">SUMIFS('Outages (event ledger)'!$H$2:$H$65,'Outages (event ledger)'!$A$2:$A$65,AV$2,'Outages (event ledger)'!$E$2:$E$65,"&lt;="&amp;$B16,'Outages (event ledger)'!$G$2:$G$65,"&gt;="&amp;$B16)</f>
        <v>0</v>
      </c>
      <c r="AW16" s="29" t="n">
        <f aca="false">SUMIFS('Outages (event ledger)'!$H$2:$H$65,'Outages (event ledger)'!$A$2:$A$65,AW$2,'Outages (event ledger)'!$E$2:$E$65,"&lt;="&amp;$B16,'Outages (event ledger)'!$G$2:$G$65,"&gt;="&amp;$B16)</f>
        <v>0</v>
      </c>
      <c r="AX16" s="29" t="n">
        <f aca="false">SUMIFS('Outages (event ledger)'!$H$2:$H$65,'Outages (event ledger)'!$A$2:$A$65,AX$2,'Outages (event ledger)'!$E$2:$E$65,"&lt;="&amp;$B16,'Outages (event ledger)'!$G$2:$G$65,"&gt;="&amp;$B16)</f>
        <v>0</v>
      </c>
      <c r="AY16" s="29" t="n">
        <f aca="false">SUMIFS('Outages (event ledger)'!$H$2:$H$65,'Outages (event ledger)'!$A$2:$A$65,AY$2,'Outages (event ledger)'!$E$2:$E$65,"&lt;="&amp;$B16,'Outages (event ledger)'!$G$2:$G$65,"&gt;="&amp;$B16)</f>
        <v>0</v>
      </c>
      <c r="AZ16" s="29" t="n">
        <f aca="false">SUMIFS('Outages (event ledger)'!$H$2:$H$65,'Outages (event ledger)'!$A$2:$A$65,AZ$2,'Outages (event ledger)'!$E$2:$E$65,"&lt;="&amp;$B16,'Outages (event ledger)'!$G$2:$G$65,"&gt;="&amp;$B16)</f>
        <v>0</v>
      </c>
      <c r="BA16" s="29" t="n">
        <f aca="false">SUMIFS('Outages (event ledger)'!$H$2:$H$65,'Outages (event ledger)'!$A$2:$A$65,BA$2,'Outages (event ledger)'!$E$2:$E$65,"&lt;="&amp;$B16,'Outages (event ledger)'!$G$2:$G$65,"&gt;="&amp;$B16)</f>
        <v>0</v>
      </c>
      <c r="BB16" s="29" t="n">
        <f aca="false">SUMIFS('Outages (event ledger)'!$H$2:$H$65,'Outages (event ledger)'!$A$2:$A$65,BB$2,'Outages (event ledger)'!$E$2:$E$65,"&lt;="&amp;$B16,'Outages (event ledger)'!$G$2:$G$65,"&gt;="&amp;$B16)</f>
        <v>0</v>
      </c>
      <c r="BC16" s="29" t="n">
        <f aca="false">SUMIFS('Outages (event ledger)'!$H$2:$H$65,'Outages (event ledger)'!$A$2:$A$65,BC$2,'Outages (event ledger)'!$E$2:$E$65,"&lt;="&amp;$B16,'Outages (event ledger)'!$G$2:$G$65,"&gt;="&amp;$B16)</f>
        <v>0</v>
      </c>
      <c r="BD16" s="29" t="n">
        <f aca="false">SUMIFS('Outages (event ledger)'!$H$2:$H$65,'Outages (event ledger)'!$A$2:$A$65,BD$2,'Outages (event ledger)'!$E$2:$E$65,"&lt;="&amp;$B16,'Outages (event ledger)'!$G$2:$G$65,"&gt;="&amp;$B16)</f>
        <v>0</v>
      </c>
      <c r="BE16" s="29" t="n">
        <f aca="false">SUMIFS('Outages (event ledger)'!$H$2:$H$65,'Outages (event ledger)'!$A$2:$A$65,BE$2,'Outages (event ledger)'!$E$2:$E$65,"&lt;="&amp;$B16,'Outages (event ledger)'!$G$2:$G$65,"&gt;="&amp;$B16)</f>
        <v>0</v>
      </c>
      <c r="BF16" s="29" t="n">
        <f aca="false">SUMIFS('Outages (event ledger)'!$H$2:$H$65,'Outages (event ledger)'!$A$2:$A$65,BF$2,'Outages (event ledger)'!$E$2:$E$65,"&lt;="&amp;$B16,'Outages (event ledger)'!$G$2:$G$65,"&gt;="&amp;$B16)</f>
        <v>0</v>
      </c>
      <c r="BG16" s="29" t="n">
        <f aca="false">SUMIFS('Outages (event ledger)'!$H$2:$H$65,'Outages (event ledger)'!$A$2:$A$65,BG$2,'Outages (event ledger)'!$E$2:$E$65,"&lt;="&amp;$B16,'Outages (event ledger)'!$G$2:$G$65,"&gt;="&amp;$B16)</f>
        <v>0</v>
      </c>
      <c r="BH16" s="29" t="n">
        <f aca="false">SUMIFS('Outages (event ledger)'!$H$2:$H$65,'Outages (event ledger)'!$A$2:$A$65,BH$2,'Outages (event ledger)'!$E$2:$E$65,"&lt;="&amp;$B16,'Outages (event ledger)'!$G$2:$G$65,"&gt;="&amp;$B16)</f>
        <v>0</v>
      </c>
      <c r="BI16" s="29" t="n">
        <f aca="false">SUMIFS('Outages (event ledger)'!$H$2:$H$65,'Outages (event ledger)'!$A$2:$A$65,BI$2,'Outages (event ledger)'!$E$2:$E$65,"&lt;="&amp;$B16,'Outages (event ledger)'!$G$2:$G$65,"&gt;="&amp;$B16)</f>
        <v>0</v>
      </c>
    </row>
    <row r="17" customFormat="false" ht="15" hidden="false" customHeight="false" outlineLevel="0" collapsed="false">
      <c r="A17" s="27" t="n">
        <v>40603</v>
      </c>
      <c r="B17" s="28" t="n">
        <v>201103</v>
      </c>
      <c r="C17" s="25" t="n">
        <f aca="false">SUM(D17:BI17)</f>
        <v>8</v>
      </c>
      <c r="D17" s="29" t="n">
        <f aca="false">SUMIFS('Outages (event ledger)'!$H$2:$H$65,'Outages (event ledger)'!$A$2:$A$65,D$2,'Outages (event ledger)'!$E$2:$E$65,"&lt;="&amp;$B17,'Outages (event ledger)'!$G$2:$G$65,"&gt;="&amp;$B17)</f>
        <v>0</v>
      </c>
      <c r="E17" s="29" t="n">
        <f aca="false">SUMIFS('Outages (event ledger)'!$H$2:$H$65,'Outages (event ledger)'!$A$2:$A$65,E$2,'Outages (event ledger)'!$E$2:$E$65,"&lt;="&amp;$B17,'Outages (event ledger)'!$G$2:$G$65,"&gt;="&amp;$B17)</f>
        <v>0</v>
      </c>
      <c r="F17" s="29" t="n">
        <f aca="false">SUMIFS('Outages (event ledger)'!$H$2:$H$65,'Outages (event ledger)'!$A$2:$A$65,F$2,'Outages (event ledger)'!$E$2:$E$65,"&lt;="&amp;$B17,'Outages (event ledger)'!$G$2:$G$65,"&gt;="&amp;$B17)</f>
        <v>0</v>
      </c>
      <c r="G17" s="29" t="n">
        <f aca="false">SUMIFS('Outages (event ledger)'!$H$2:$H$65,'Outages (event ledger)'!$A$2:$A$65,G$2,'Outages (event ledger)'!$E$2:$E$65,"&lt;="&amp;$B17,'Outages (event ledger)'!$G$2:$G$65,"&gt;="&amp;$B17)</f>
        <v>0</v>
      </c>
      <c r="H17" s="29" t="n">
        <f aca="false">SUMIFS('Outages (event ledger)'!$H$2:$H$65,'Outages (event ledger)'!$A$2:$A$65,H$2,'Outages (event ledger)'!$E$2:$E$65,"&lt;="&amp;$B17,'Outages (event ledger)'!$G$2:$G$65,"&gt;="&amp;$B17)</f>
        <v>0</v>
      </c>
      <c r="I17" s="29" t="n">
        <f aca="false">SUMIFS('Outages (event ledger)'!$H$2:$H$65,'Outages (event ledger)'!$A$2:$A$65,I$2,'Outages (event ledger)'!$E$2:$E$65,"&lt;="&amp;$B17,'Outages (event ledger)'!$G$2:$G$65,"&gt;="&amp;$B17)</f>
        <v>0</v>
      </c>
      <c r="J17" s="29" t="n">
        <f aca="false">SUMIFS('Outages (event ledger)'!$H$2:$H$65,'Outages (event ledger)'!$A$2:$A$65,J$2,'Outages (event ledger)'!$E$2:$E$65,"&lt;="&amp;$B17,'Outages (event ledger)'!$G$2:$G$65,"&gt;="&amp;$B17)</f>
        <v>0</v>
      </c>
      <c r="K17" s="29" t="n">
        <f aca="false">SUMIFS('Outages (event ledger)'!$H$2:$H$65,'Outages (event ledger)'!$A$2:$A$65,K$2,'Outages (event ledger)'!$E$2:$E$65,"&lt;="&amp;$B17,'Outages (event ledger)'!$G$2:$G$65,"&gt;="&amp;$B17)</f>
        <v>0</v>
      </c>
      <c r="L17" s="29" t="n">
        <f aca="false">SUMIFS('Outages (event ledger)'!$H$2:$H$65,'Outages (event ledger)'!$A$2:$A$65,L$2,'Outages (event ledger)'!$E$2:$E$65,"&lt;="&amp;$B17,'Outages (event ledger)'!$G$2:$G$65,"&gt;="&amp;$B17)</f>
        <v>0</v>
      </c>
      <c r="M17" s="29" t="n">
        <f aca="false">SUMIFS('Outages (event ledger)'!$H$2:$H$65,'Outages (event ledger)'!$A$2:$A$65,M$2,'Outages (event ledger)'!$E$2:$E$65,"&lt;="&amp;$B17,'Outages (event ledger)'!$G$2:$G$65,"&gt;="&amp;$B17)</f>
        <v>0</v>
      </c>
      <c r="N17" s="29" t="n">
        <f aca="false">SUMIFS('Outages (event ledger)'!$H$2:$H$65,'Outages (event ledger)'!$A$2:$A$65,N$2,'Outages (event ledger)'!$E$2:$E$65,"&lt;="&amp;$B17,'Outages (event ledger)'!$G$2:$G$65,"&gt;="&amp;$B17)</f>
        <v>0</v>
      </c>
      <c r="O17" s="29" t="n">
        <f aca="false">SUMIFS('Outages (event ledger)'!$H$2:$H$65,'Outages (event ledger)'!$A$2:$A$65,O$2,'Outages (event ledger)'!$E$2:$E$65,"&lt;="&amp;$B17,'Outages (event ledger)'!$G$2:$G$65,"&gt;="&amp;$B17)</f>
        <v>0</v>
      </c>
      <c r="P17" s="29" t="n">
        <f aca="false">SUMIFS('Outages (event ledger)'!$H$2:$H$65,'Outages (event ledger)'!$A$2:$A$65,P$2,'Outages (event ledger)'!$E$2:$E$65,"&lt;="&amp;$B17,'Outages (event ledger)'!$G$2:$G$65,"&gt;="&amp;$B17)</f>
        <v>0</v>
      </c>
      <c r="Q17" s="29" t="n">
        <f aca="false">SUMIFS('Outages (event ledger)'!$H$2:$H$65,'Outages (event ledger)'!$A$2:$A$65,Q$2,'Outages (event ledger)'!$E$2:$E$65,"&lt;="&amp;$B17,'Outages (event ledger)'!$G$2:$G$65,"&gt;="&amp;$B17)</f>
        <v>0</v>
      </c>
      <c r="R17" s="29" t="n">
        <f aca="false">SUMIFS('Outages (event ledger)'!$H$2:$H$65,'Outages (event ledger)'!$A$2:$A$65,R$2,'Outages (event ledger)'!$E$2:$E$65,"&lt;="&amp;$B17,'Outages (event ledger)'!$G$2:$G$65,"&gt;="&amp;$B17)</f>
        <v>0</v>
      </c>
      <c r="S17" s="29" t="n">
        <f aca="false">SUMIFS('Outages (event ledger)'!$H$2:$H$65,'Outages (event ledger)'!$A$2:$A$65,S$2,'Outages (event ledger)'!$E$2:$E$65,"&lt;="&amp;$B17,'Outages (event ledger)'!$G$2:$G$65,"&gt;="&amp;$B17)</f>
        <v>0</v>
      </c>
      <c r="T17" s="29" t="n">
        <f aca="false">SUMIFS('Outages (event ledger)'!$H$2:$H$65,'Outages (event ledger)'!$A$2:$A$65,T$2,'Outages (event ledger)'!$E$2:$E$65,"&lt;="&amp;$B17,'Outages (event ledger)'!$G$2:$G$65,"&gt;="&amp;$B17)</f>
        <v>0</v>
      </c>
      <c r="U17" s="29" t="n">
        <f aca="false">SUMIFS('Outages (event ledger)'!$H$2:$H$65,'Outages (event ledger)'!$A$2:$A$65,U$2,'Outages (event ledger)'!$E$2:$E$65,"&lt;="&amp;$B17,'Outages (event ledger)'!$G$2:$G$65,"&gt;="&amp;$B17)</f>
        <v>0</v>
      </c>
      <c r="V17" s="29" t="n">
        <f aca="false">SUMIFS('Outages (event ledger)'!$H$2:$H$65,'Outages (event ledger)'!$A$2:$A$65,V$2,'Outages (event ledger)'!$E$2:$E$65,"&lt;="&amp;$B17,'Outages (event ledger)'!$G$2:$G$65,"&gt;="&amp;$B17)</f>
        <v>0</v>
      </c>
      <c r="W17" s="29" t="n">
        <f aca="false">SUMIFS('Outages (event ledger)'!$H$2:$H$65,'Outages (event ledger)'!$A$2:$A$65,W$2,'Outages (event ledger)'!$E$2:$E$65,"&lt;="&amp;$B17,'Outages (event ledger)'!$G$2:$G$65,"&gt;="&amp;$B17)</f>
        <v>0</v>
      </c>
      <c r="X17" s="29" t="n">
        <f aca="false">SUMIFS('Outages (event ledger)'!$H$2:$H$65,'Outages (event ledger)'!$A$2:$A$65,X$2,'Outages (event ledger)'!$E$2:$E$65,"&lt;="&amp;$B17,'Outages (event ledger)'!$G$2:$G$65,"&gt;="&amp;$B17)</f>
        <v>0</v>
      </c>
      <c r="Y17" s="29" t="n">
        <f aca="false">SUMIFS('Outages (event ledger)'!$H$2:$H$65,'Outages (event ledger)'!$A$2:$A$65,Y$2,'Outages (event ledger)'!$E$2:$E$65,"&lt;="&amp;$B17,'Outages (event ledger)'!$G$2:$G$65,"&gt;="&amp;$B17)</f>
        <v>0</v>
      </c>
      <c r="Z17" s="29" t="n">
        <f aca="false">SUMIFS('Outages (event ledger)'!$H$2:$H$65,'Outages (event ledger)'!$A$2:$A$65,Z$2,'Outages (event ledger)'!$E$2:$E$65,"&lt;="&amp;$B17,'Outages (event ledger)'!$G$2:$G$65,"&gt;="&amp;$B17)</f>
        <v>0</v>
      </c>
      <c r="AA17" s="29" t="n">
        <f aca="false">SUMIFS('Outages (event ledger)'!$H$2:$H$65,'Outages (event ledger)'!$A$2:$A$65,AA$2,'Outages (event ledger)'!$E$2:$E$65,"&lt;="&amp;$B17,'Outages (event ledger)'!$G$2:$G$65,"&gt;="&amp;$B17)</f>
        <v>0</v>
      </c>
      <c r="AB17" s="29" t="n">
        <f aca="false">SUMIFS('Outages (event ledger)'!$H$2:$H$65,'Outages (event ledger)'!$A$2:$A$65,AB$2,'Outages (event ledger)'!$E$2:$E$65,"&lt;="&amp;$B17,'Outages (event ledger)'!$G$2:$G$65,"&gt;="&amp;$B17)</f>
        <v>8</v>
      </c>
      <c r="AC17" s="29" t="n">
        <f aca="false">SUMIFS('Outages (event ledger)'!$H$2:$H$65,'Outages (event ledger)'!$A$2:$A$65,AC$2,'Outages (event ledger)'!$E$2:$E$65,"&lt;="&amp;$B17,'Outages (event ledger)'!$G$2:$G$65,"&gt;="&amp;$B17)</f>
        <v>0</v>
      </c>
      <c r="AD17" s="29" t="n">
        <f aca="false">SUMIFS('Outages (event ledger)'!$H$2:$H$65,'Outages (event ledger)'!$A$2:$A$65,AD$2,'Outages (event ledger)'!$E$2:$E$65,"&lt;="&amp;$B17,'Outages (event ledger)'!$G$2:$G$65,"&gt;="&amp;$B17)</f>
        <v>0</v>
      </c>
      <c r="AE17" s="29" t="n">
        <f aca="false">SUMIFS('Outages (event ledger)'!$H$2:$H$65,'Outages (event ledger)'!$A$2:$A$65,AE$2,'Outages (event ledger)'!$E$2:$E$65,"&lt;="&amp;$B17,'Outages (event ledger)'!$G$2:$G$65,"&gt;="&amp;$B17)</f>
        <v>0</v>
      </c>
      <c r="AF17" s="29" t="n">
        <f aca="false">SUMIFS('Outages (event ledger)'!$H$2:$H$65,'Outages (event ledger)'!$A$2:$A$65,AF$2,'Outages (event ledger)'!$E$2:$E$65,"&lt;="&amp;$B17,'Outages (event ledger)'!$G$2:$G$65,"&gt;="&amp;$B17)</f>
        <v>0</v>
      </c>
      <c r="AG17" s="29" t="n">
        <f aca="false">SUMIFS('Outages (event ledger)'!$H$2:$H$65,'Outages (event ledger)'!$A$2:$A$65,AG$2,'Outages (event ledger)'!$E$2:$E$65,"&lt;="&amp;$B17,'Outages (event ledger)'!$G$2:$G$65,"&gt;="&amp;$B17)</f>
        <v>0</v>
      </c>
      <c r="AH17" s="29" t="n">
        <f aca="false">SUMIFS('Outages (event ledger)'!$H$2:$H$65,'Outages (event ledger)'!$A$2:$A$65,AH$2,'Outages (event ledger)'!$E$2:$E$65,"&lt;="&amp;$B17,'Outages (event ledger)'!$G$2:$G$65,"&gt;="&amp;$B17)</f>
        <v>0</v>
      </c>
      <c r="AI17" s="29" t="n">
        <f aca="false">SUMIFS('Outages (event ledger)'!$H$2:$H$65,'Outages (event ledger)'!$A$2:$A$65,AI$2,'Outages (event ledger)'!$E$2:$E$65,"&lt;="&amp;$B17,'Outages (event ledger)'!$G$2:$G$65,"&gt;="&amp;$B17)</f>
        <v>0</v>
      </c>
      <c r="AJ17" s="29" t="n">
        <f aca="false">SUMIFS('Outages (event ledger)'!$H$2:$H$65,'Outages (event ledger)'!$A$2:$A$65,AJ$2,'Outages (event ledger)'!$E$2:$E$65,"&lt;="&amp;$B17,'Outages (event ledger)'!$G$2:$G$65,"&gt;="&amp;$B17)</f>
        <v>0</v>
      </c>
      <c r="AK17" s="29" t="n">
        <f aca="false">SUMIFS('Outages (event ledger)'!$H$2:$H$65,'Outages (event ledger)'!$A$2:$A$65,AK$2,'Outages (event ledger)'!$E$2:$E$65,"&lt;="&amp;$B17,'Outages (event ledger)'!$G$2:$G$65,"&gt;="&amp;$B17)</f>
        <v>0</v>
      </c>
      <c r="AL17" s="29" t="n">
        <f aca="false">SUMIFS('Outages (event ledger)'!$H$2:$H$65,'Outages (event ledger)'!$A$2:$A$65,AL$2,'Outages (event ledger)'!$E$2:$E$65,"&lt;="&amp;$B17,'Outages (event ledger)'!$G$2:$G$65,"&gt;="&amp;$B17)</f>
        <v>0</v>
      </c>
      <c r="AM17" s="29" t="n">
        <f aca="false">SUMIFS('Outages (event ledger)'!$H$2:$H$65,'Outages (event ledger)'!$A$2:$A$65,AM$2,'Outages (event ledger)'!$E$2:$E$65,"&lt;="&amp;$B17,'Outages (event ledger)'!$G$2:$G$65,"&gt;="&amp;$B17)</f>
        <v>0</v>
      </c>
      <c r="AN17" s="29" t="n">
        <f aca="false">SUMIFS('Outages (event ledger)'!$H$2:$H$65,'Outages (event ledger)'!$A$2:$A$65,AN$2,'Outages (event ledger)'!$E$2:$E$65,"&lt;="&amp;$B17,'Outages (event ledger)'!$G$2:$G$65,"&gt;="&amp;$B17)</f>
        <v>0</v>
      </c>
      <c r="AO17" s="29" t="n">
        <f aca="false">SUMIFS('Outages (event ledger)'!$H$2:$H$65,'Outages (event ledger)'!$A$2:$A$65,AO$2,'Outages (event ledger)'!$E$2:$E$65,"&lt;="&amp;$B17,'Outages (event ledger)'!$G$2:$G$65,"&gt;="&amp;$B17)</f>
        <v>0</v>
      </c>
      <c r="AP17" s="29" t="n">
        <f aca="false">SUMIFS('Outages (event ledger)'!$H$2:$H$65,'Outages (event ledger)'!$A$2:$A$65,AP$2,'Outages (event ledger)'!$E$2:$E$65,"&lt;="&amp;$B17,'Outages (event ledger)'!$G$2:$G$65,"&gt;="&amp;$B17)</f>
        <v>0</v>
      </c>
      <c r="AQ17" s="29" t="n">
        <f aca="false">SUMIFS('Outages (event ledger)'!$H$2:$H$65,'Outages (event ledger)'!$A$2:$A$65,AQ$2,'Outages (event ledger)'!$E$2:$E$65,"&lt;="&amp;$B17,'Outages (event ledger)'!$G$2:$G$65,"&gt;="&amp;$B17)</f>
        <v>0</v>
      </c>
      <c r="AR17" s="29" t="n">
        <f aca="false">SUMIFS('Outages (event ledger)'!$H$2:$H$65,'Outages (event ledger)'!$A$2:$A$65,AR$2,'Outages (event ledger)'!$E$2:$E$65,"&lt;="&amp;$B17,'Outages (event ledger)'!$G$2:$G$65,"&gt;="&amp;$B17)</f>
        <v>0</v>
      </c>
      <c r="AS17" s="29" t="n">
        <f aca="false">SUMIFS('Outages (event ledger)'!$H$2:$H$65,'Outages (event ledger)'!$A$2:$A$65,AS$2,'Outages (event ledger)'!$E$2:$E$65,"&lt;="&amp;$B17,'Outages (event ledger)'!$G$2:$G$65,"&gt;="&amp;$B17)</f>
        <v>0</v>
      </c>
      <c r="AT17" s="29" t="n">
        <f aca="false">SUMIFS('Outages (event ledger)'!$H$2:$H$65,'Outages (event ledger)'!$A$2:$A$65,AT$2,'Outages (event ledger)'!$E$2:$E$65,"&lt;="&amp;$B17,'Outages (event ledger)'!$G$2:$G$65,"&gt;="&amp;$B17)</f>
        <v>0</v>
      </c>
      <c r="AU17" s="29" t="n">
        <f aca="false">SUMIFS('Outages (event ledger)'!$H$2:$H$65,'Outages (event ledger)'!$A$2:$A$65,AU$2,'Outages (event ledger)'!$E$2:$E$65,"&lt;="&amp;$B17,'Outages (event ledger)'!$G$2:$G$65,"&gt;="&amp;$B17)</f>
        <v>0</v>
      </c>
      <c r="AV17" s="29" t="n">
        <f aca="false">SUMIFS('Outages (event ledger)'!$H$2:$H$65,'Outages (event ledger)'!$A$2:$A$65,AV$2,'Outages (event ledger)'!$E$2:$E$65,"&lt;="&amp;$B17,'Outages (event ledger)'!$G$2:$G$65,"&gt;="&amp;$B17)</f>
        <v>0</v>
      </c>
      <c r="AW17" s="29" t="n">
        <f aca="false">SUMIFS('Outages (event ledger)'!$H$2:$H$65,'Outages (event ledger)'!$A$2:$A$65,AW$2,'Outages (event ledger)'!$E$2:$E$65,"&lt;="&amp;$B17,'Outages (event ledger)'!$G$2:$G$65,"&gt;="&amp;$B17)</f>
        <v>0</v>
      </c>
      <c r="AX17" s="29" t="n">
        <f aca="false">SUMIFS('Outages (event ledger)'!$H$2:$H$65,'Outages (event ledger)'!$A$2:$A$65,AX$2,'Outages (event ledger)'!$E$2:$E$65,"&lt;="&amp;$B17,'Outages (event ledger)'!$G$2:$G$65,"&gt;="&amp;$B17)</f>
        <v>0</v>
      </c>
      <c r="AY17" s="29" t="n">
        <f aca="false">SUMIFS('Outages (event ledger)'!$H$2:$H$65,'Outages (event ledger)'!$A$2:$A$65,AY$2,'Outages (event ledger)'!$E$2:$E$65,"&lt;="&amp;$B17,'Outages (event ledger)'!$G$2:$G$65,"&gt;="&amp;$B17)</f>
        <v>0</v>
      </c>
      <c r="AZ17" s="29" t="n">
        <f aca="false">SUMIFS('Outages (event ledger)'!$H$2:$H$65,'Outages (event ledger)'!$A$2:$A$65,AZ$2,'Outages (event ledger)'!$E$2:$E$65,"&lt;="&amp;$B17,'Outages (event ledger)'!$G$2:$G$65,"&gt;="&amp;$B17)</f>
        <v>0</v>
      </c>
      <c r="BA17" s="29" t="n">
        <f aca="false">SUMIFS('Outages (event ledger)'!$H$2:$H$65,'Outages (event ledger)'!$A$2:$A$65,BA$2,'Outages (event ledger)'!$E$2:$E$65,"&lt;="&amp;$B17,'Outages (event ledger)'!$G$2:$G$65,"&gt;="&amp;$B17)</f>
        <v>0</v>
      </c>
      <c r="BB17" s="29" t="n">
        <f aca="false">SUMIFS('Outages (event ledger)'!$H$2:$H$65,'Outages (event ledger)'!$A$2:$A$65,BB$2,'Outages (event ledger)'!$E$2:$E$65,"&lt;="&amp;$B17,'Outages (event ledger)'!$G$2:$G$65,"&gt;="&amp;$B17)</f>
        <v>0</v>
      </c>
      <c r="BC17" s="29" t="n">
        <f aca="false">SUMIFS('Outages (event ledger)'!$H$2:$H$65,'Outages (event ledger)'!$A$2:$A$65,BC$2,'Outages (event ledger)'!$E$2:$E$65,"&lt;="&amp;$B17,'Outages (event ledger)'!$G$2:$G$65,"&gt;="&amp;$B17)</f>
        <v>0</v>
      </c>
      <c r="BD17" s="29" t="n">
        <f aca="false">SUMIFS('Outages (event ledger)'!$H$2:$H$65,'Outages (event ledger)'!$A$2:$A$65,BD$2,'Outages (event ledger)'!$E$2:$E$65,"&lt;="&amp;$B17,'Outages (event ledger)'!$G$2:$G$65,"&gt;="&amp;$B17)</f>
        <v>0</v>
      </c>
      <c r="BE17" s="29" t="n">
        <f aca="false">SUMIFS('Outages (event ledger)'!$H$2:$H$65,'Outages (event ledger)'!$A$2:$A$65,BE$2,'Outages (event ledger)'!$E$2:$E$65,"&lt;="&amp;$B17,'Outages (event ledger)'!$G$2:$G$65,"&gt;="&amp;$B17)</f>
        <v>0</v>
      </c>
      <c r="BF17" s="29" t="n">
        <f aca="false">SUMIFS('Outages (event ledger)'!$H$2:$H$65,'Outages (event ledger)'!$A$2:$A$65,BF$2,'Outages (event ledger)'!$E$2:$E$65,"&lt;="&amp;$B17,'Outages (event ledger)'!$G$2:$G$65,"&gt;="&amp;$B17)</f>
        <v>0</v>
      </c>
      <c r="BG17" s="29" t="n">
        <f aca="false">SUMIFS('Outages (event ledger)'!$H$2:$H$65,'Outages (event ledger)'!$A$2:$A$65,BG$2,'Outages (event ledger)'!$E$2:$E$65,"&lt;="&amp;$B17,'Outages (event ledger)'!$G$2:$G$65,"&gt;="&amp;$B17)</f>
        <v>0</v>
      </c>
      <c r="BH17" s="29" t="n">
        <f aca="false">SUMIFS('Outages (event ledger)'!$H$2:$H$65,'Outages (event ledger)'!$A$2:$A$65,BH$2,'Outages (event ledger)'!$E$2:$E$65,"&lt;="&amp;$B17,'Outages (event ledger)'!$G$2:$G$65,"&gt;="&amp;$B17)</f>
        <v>0</v>
      </c>
      <c r="BI17" s="29" t="n">
        <f aca="false">SUMIFS('Outages (event ledger)'!$H$2:$H$65,'Outages (event ledger)'!$A$2:$A$65,BI$2,'Outages (event ledger)'!$E$2:$E$65,"&lt;="&amp;$B17,'Outages (event ledger)'!$G$2:$G$65,"&gt;="&amp;$B17)</f>
        <v>0</v>
      </c>
    </row>
    <row r="18" customFormat="false" ht="15" hidden="false" customHeight="false" outlineLevel="0" collapsed="false">
      <c r="A18" s="27" t="n">
        <v>40634</v>
      </c>
      <c r="B18" s="28" t="n">
        <v>201104</v>
      </c>
      <c r="C18" s="25" t="n">
        <f aca="false">SUM(D18:BI18)</f>
        <v>8</v>
      </c>
      <c r="D18" s="29" t="n">
        <f aca="false">SUMIFS('Outages (event ledger)'!$H$2:$H$65,'Outages (event ledger)'!$A$2:$A$65,D$2,'Outages (event ledger)'!$E$2:$E$65,"&lt;="&amp;$B18,'Outages (event ledger)'!$G$2:$G$65,"&gt;="&amp;$B18)</f>
        <v>0</v>
      </c>
      <c r="E18" s="29" t="n">
        <f aca="false">SUMIFS('Outages (event ledger)'!$H$2:$H$65,'Outages (event ledger)'!$A$2:$A$65,E$2,'Outages (event ledger)'!$E$2:$E$65,"&lt;="&amp;$B18,'Outages (event ledger)'!$G$2:$G$65,"&gt;="&amp;$B18)</f>
        <v>0</v>
      </c>
      <c r="F18" s="29" t="n">
        <f aca="false">SUMIFS('Outages (event ledger)'!$H$2:$H$65,'Outages (event ledger)'!$A$2:$A$65,F$2,'Outages (event ledger)'!$E$2:$E$65,"&lt;="&amp;$B18,'Outages (event ledger)'!$G$2:$G$65,"&gt;="&amp;$B18)</f>
        <v>0</v>
      </c>
      <c r="G18" s="29" t="n">
        <f aca="false">SUMIFS('Outages (event ledger)'!$H$2:$H$65,'Outages (event ledger)'!$A$2:$A$65,G$2,'Outages (event ledger)'!$E$2:$E$65,"&lt;="&amp;$B18,'Outages (event ledger)'!$G$2:$G$65,"&gt;="&amp;$B18)</f>
        <v>0</v>
      </c>
      <c r="H18" s="29" t="n">
        <f aca="false">SUMIFS('Outages (event ledger)'!$H$2:$H$65,'Outages (event ledger)'!$A$2:$A$65,H$2,'Outages (event ledger)'!$E$2:$E$65,"&lt;="&amp;$B18,'Outages (event ledger)'!$G$2:$G$65,"&gt;="&amp;$B18)</f>
        <v>0</v>
      </c>
      <c r="I18" s="29" t="n">
        <f aca="false">SUMIFS('Outages (event ledger)'!$H$2:$H$65,'Outages (event ledger)'!$A$2:$A$65,I$2,'Outages (event ledger)'!$E$2:$E$65,"&lt;="&amp;$B18,'Outages (event ledger)'!$G$2:$G$65,"&gt;="&amp;$B18)</f>
        <v>0</v>
      </c>
      <c r="J18" s="29" t="n">
        <f aca="false">SUMIFS('Outages (event ledger)'!$H$2:$H$65,'Outages (event ledger)'!$A$2:$A$65,J$2,'Outages (event ledger)'!$E$2:$E$65,"&lt;="&amp;$B18,'Outages (event ledger)'!$G$2:$G$65,"&gt;="&amp;$B18)</f>
        <v>0</v>
      </c>
      <c r="K18" s="29" t="n">
        <f aca="false">SUMIFS('Outages (event ledger)'!$H$2:$H$65,'Outages (event ledger)'!$A$2:$A$65,K$2,'Outages (event ledger)'!$E$2:$E$65,"&lt;="&amp;$B18,'Outages (event ledger)'!$G$2:$G$65,"&gt;="&amp;$B18)</f>
        <v>0</v>
      </c>
      <c r="L18" s="29" t="n">
        <f aca="false">SUMIFS('Outages (event ledger)'!$H$2:$H$65,'Outages (event ledger)'!$A$2:$A$65,L$2,'Outages (event ledger)'!$E$2:$E$65,"&lt;="&amp;$B18,'Outages (event ledger)'!$G$2:$G$65,"&gt;="&amp;$B18)</f>
        <v>0</v>
      </c>
      <c r="M18" s="29" t="n">
        <f aca="false">SUMIFS('Outages (event ledger)'!$H$2:$H$65,'Outages (event ledger)'!$A$2:$A$65,M$2,'Outages (event ledger)'!$E$2:$E$65,"&lt;="&amp;$B18,'Outages (event ledger)'!$G$2:$G$65,"&gt;="&amp;$B18)</f>
        <v>0</v>
      </c>
      <c r="N18" s="29" t="n">
        <f aca="false">SUMIFS('Outages (event ledger)'!$H$2:$H$65,'Outages (event ledger)'!$A$2:$A$65,N$2,'Outages (event ledger)'!$E$2:$E$65,"&lt;="&amp;$B18,'Outages (event ledger)'!$G$2:$G$65,"&gt;="&amp;$B18)</f>
        <v>0</v>
      </c>
      <c r="O18" s="29" t="n">
        <f aca="false">SUMIFS('Outages (event ledger)'!$H$2:$H$65,'Outages (event ledger)'!$A$2:$A$65,O$2,'Outages (event ledger)'!$E$2:$E$65,"&lt;="&amp;$B18,'Outages (event ledger)'!$G$2:$G$65,"&gt;="&amp;$B18)</f>
        <v>0</v>
      </c>
      <c r="P18" s="29" t="n">
        <f aca="false">SUMIFS('Outages (event ledger)'!$H$2:$H$65,'Outages (event ledger)'!$A$2:$A$65,P$2,'Outages (event ledger)'!$E$2:$E$65,"&lt;="&amp;$B18,'Outages (event ledger)'!$G$2:$G$65,"&gt;="&amp;$B18)</f>
        <v>0</v>
      </c>
      <c r="Q18" s="29" t="n">
        <f aca="false">SUMIFS('Outages (event ledger)'!$H$2:$H$65,'Outages (event ledger)'!$A$2:$A$65,Q$2,'Outages (event ledger)'!$E$2:$E$65,"&lt;="&amp;$B18,'Outages (event ledger)'!$G$2:$G$65,"&gt;="&amp;$B18)</f>
        <v>0</v>
      </c>
      <c r="R18" s="29" t="n">
        <f aca="false">SUMIFS('Outages (event ledger)'!$H$2:$H$65,'Outages (event ledger)'!$A$2:$A$65,R$2,'Outages (event ledger)'!$E$2:$E$65,"&lt;="&amp;$B18,'Outages (event ledger)'!$G$2:$G$65,"&gt;="&amp;$B18)</f>
        <v>0</v>
      </c>
      <c r="S18" s="29" t="n">
        <f aca="false">SUMIFS('Outages (event ledger)'!$H$2:$H$65,'Outages (event ledger)'!$A$2:$A$65,S$2,'Outages (event ledger)'!$E$2:$E$65,"&lt;="&amp;$B18,'Outages (event ledger)'!$G$2:$G$65,"&gt;="&amp;$B18)</f>
        <v>0</v>
      </c>
      <c r="T18" s="29" t="n">
        <f aca="false">SUMIFS('Outages (event ledger)'!$H$2:$H$65,'Outages (event ledger)'!$A$2:$A$65,T$2,'Outages (event ledger)'!$E$2:$E$65,"&lt;="&amp;$B18,'Outages (event ledger)'!$G$2:$G$65,"&gt;="&amp;$B18)</f>
        <v>0</v>
      </c>
      <c r="U18" s="29" t="n">
        <f aca="false">SUMIFS('Outages (event ledger)'!$H$2:$H$65,'Outages (event ledger)'!$A$2:$A$65,U$2,'Outages (event ledger)'!$E$2:$E$65,"&lt;="&amp;$B18,'Outages (event ledger)'!$G$2:$G$65,"&gt;="&amp;$B18)</f>
        <v>0</v>
      </c>
      <c r="V18" s="29" t="n">
        <f aca="false">SUMIFS('Outages (event ledger)'!$H$2:$H$65,'Outages (event ledger)'!$A$2:$A$65,V$2,'Outages (event ledger)'!$E$2:$E$65,"&lt;="&amp;$B18,'Outages (event ledger)'!$G$2:$G$65,"&gt;="&amp;$B18)</f>
        <v>0</v>
      </c>
      <c r="W18" s="29" t="n">
        <f aca="false">SUMIFS('Outages (event ledger)'!$H$2:$H$65,'Outages (event ledger)'!$A$2:$A$65,W$2,'Outages (event ledger)'!$E$2:$E$65,"&lt;="&amp;$B18,'Outages (event ledger)'!$G$2:$G$65,"&gt;="&amp;$B18)</f>
        <v>0</v>
      </c>
      <c r="X18" s="29" t="n">
        <f aca="false">SUMIFS('Outages (event ledger)'!$H$2:$H$65,'Outages (event ledger)'!$A$2:$A$65,X$2,'Outages (event ledger)'!$E$2:$E$65,"&lt;="&amp;$B18,'Outages (event ledger)'!$G$2:$G$65,"&gt;="&amp;$B18)</f>
        <v>0</v>
      </c>
      <c r="Y18" s="29" t="n">
        <f aca="false">SUMIFS('Outages (event ledger)'!$H$2:$H$65,'Outages (event ledger)'!$A$2:$A$65,Y$2,'Outages (event ledger)'!$E$2:$E$65,"&lt;="&amp;$B18,'Outages (event ledger)'!$G$2:$G$65,"&gt;="&amp;$B18)</f>
        <v>0</v>
      </c>
      <c r="Z18" s="29" t="n">
        <f aca="false">SUMIFS('Outages (event ledger)'!$H$2:$H$65,'Outages (event ledger)'!$A$2:$A$65,Z$2,'Outages (event ledger)'!$E$2:$E$65,"&lt;="&amp;$B18,'Outages (event ledger)'!$G$2:$G$65,"&gt;="&amp;$B18)</f>
        <v>0</v>
      </c>
      <c r="AA18" s="29" t="n">
        <f aca="false">SUMIFS('Outages (event ledger)'!$H$2:$H$65,'Outages (event ledger)'!$A$2:$A$65,AA$2,'Outages (event ledger)'!$E$2:$E$65,"&lt;="&amp;$B18,'Outages (event ledger)'!$G$2:$G$65,"&gt;="&amp;$B18)</f>
        <v>0</v>
      </c>
      <c r="AB18" s="29" t="n">
        <f aca="false">SUMIFS('Outages (event ledger)'!$H$2:$H$65,'Outages (event ledger)'!$A$2:$A$65,AB$2,'Outages (event ledger)'!$E$2:$E$65,"&lt;="&amp;$B18,'Outages (event ledger)'!$G$2:$G$65,"&gt;="&amp;$B18)</f>
        <v>8</v>
      </c>
      <c r="AC18" s="29" t="n">
        <f aca="false">SUMIFS('Outages (event ledger)'!$H$2:$H$65,'Outages (event ledger)'!$A$2:$A$65,AC$2,'Outages (event ledger)'!$E$2:$E$65,"&lt;="&amp;$B18,'Outages (event ledger)'!$G$2:$G$65,"&gt;="&amp;$B18)</f>
        <v>0</v>
      </c>
      <c r="AD18" s="29" t="n">
        <f aca="false">SUMIFS('Outages (event ledger)'!$H$2:$H$65,'Outages (event ledger)'!$A$2:$A$65,AD$2,'Outages (event ledger)'!$E$2:$E$65,"&lt;="&amp;$B18,'Outages (event ledger)'!$G$2:$G$65,"&gt;="&amp;$B18)</f>
        <v>0</v>
      </c>
      <c r="AE18" s="29" t="n">
        <f aca="false">SUMIFS('Outages (event ledger)'!$H$2:$H$65,'Outages (event ledger)'!$A$2:$A$65,AE$2,'Outages (event ledger)'!$E$2:$E$65,"&lt;="&amp;$B18,'Outages (event ledger)'!$G$2:$G$65,"&gt;="&amp;$B18)</f>
        <v>0</v>
      </c>
      <c r="AF18" s="29" t="n">
        <f aca="false">SUMIFS('Outages (event ledger)'!$H$2:$H$65,'Outages (event ledger)'!$A$2:$A$65,AF$2,'Outages (event ledger)'!$E$2:$E$65,"&lt;="&amp;$B18,'Outages (event ledger)'!$G$2:$G$65,"&gt;="&amp;$B18)</f>
        <v>0</v>
      </c>
      <c r="AG18" s="29" t="n">
        <f aca="false">SUMIFS('Outages (event ledger)'!$H$2:$H$65,'Outages (event ledger)'!$A$2:$A$65,AG$2,'Outages (event ledger)'!$E$2:$E$65,"&lt;="&amp;$B18,'Outages (event ledger)'!$G$2:$G$65,"&gt;="&amp;$B18)</f>
        <v>0</v>
      </c>
      <c r="AH18" s="29" t="n">
        <f aca="false">SUMIFS('Outages (event ledger)'!$H$2:$H$65,'Outages (event ledger)'!$A$2:$A$65,AH$2,'Outages (event ledger)'!$E$2:$E$65,"&lt;="&amp;$B18,'Outages (event ledger)'!$G$2:$G$65,"&gt;="&amp;$B18)</f>
        <v>0</v>
      </c>
      <c r="AI18" s="29" t="n">
        <f aca="false">SUMIFS('Outages (event ledger)'!$H$2:$H$65,'Outages (event ledger)'!$A$2:$A$65,AI$2,'Outages (event ledger)'!$E$2:$E$65,"&lt;="&amp;$B18,'Outages (event ledger)'!$G$2:$G$65,"&gt;="&amp;$B18)</f>
        <v>0</v>
      </c>
      <c r="AJ18" s="29" t="n">
        <f aca="false">SUMIFS('Outages (event ledger)'!$H$2:$H$65,'Outages (event ledger)'!$A$2:$A$65,AJ$2,'Outages (event ledger)'!$E$2:$E$65,"&lt;="&amp;$B18,'Outages (event ledger)'!$G$2:$G$65,"&gt;="&amp;$B18)</f>
        <v>0</v>
      </c>
      <c r="AK18" s="29" t="n">
        <f aca="false">SUMIFS('Outages (event ledger)'!$H$2:$H$65,'Outages (event ledger)'!$A$2:$A$65,AK$2,'Outages (event ledger)'!$E$2:$E$65,"&lt;="&amp;$B18,'Outages (event ledger)'!$G$2:$G$65,"&gt;="&amp;$B18)</f>
        <v>0</v>
      </c>
      <c r="AL18" s="29" t="n">
        <f aca="false">SUMIFS('Outages (event ledger)'!$H$2:$H$65,'Outages (event ledger)'!$A$2:$A$65,AL$2,'Outages (event ledger)'!$E$2:$E$65,"&lt;="&amp;$B18,'Outages (event ledger)'!$G$2:$G$65,"&gt;="&amp;$B18)</f>
        <v>0</v>
      </c>
      <c r="AM18" s="29" t="n">
        <f aca="false">SUMIFS('Outages (event ledger)'!$H$2:$H$65,'Outages (event ledger)'!$A$2:$A$65,AM$2,'Outages (event ledger)'!$E$2:$E$65,"&lt;="&amp;$B18,'Outages (event ledger)'!$G$2:$G$65,"&gt;="&amp;$B18)</f>
        <v>0</v>
      </c>
      <c r="AN18" s="29" t="n">
        <f aca="false">SUMIFS('Outages (event ledger)'!$H$2:$H$65,'Outages (event ledger)'!$A$2:$A$65,AN$2,'Outages (event ledger)'!$E$2:$E$65,"&lt;="&amp;$B18,'Outages (event ledger)'!$G$2:$G$65,"&gt;="&amp;$B18)</f>
        <v>0</v>
      </c>
      <c r="AO18" s="29" t="n">
        <f aca="false">SUMIFS('Outages (event ledger)'!$H$2:$H$65,'Outages (event ledger)'!$A$2:$A$65,AO$2,'Outages (event ledger)'!$E$2:$E$65,"&lt;="&amp;$B18,'Outages (event ledger)'!$G$2:$G$65,"&gt;="&amp;$B18)</f>
        <v>0</v>
      </c>
      <c r="AP18" s="29" t="n">
        <f aca="false">SUMIFS('Outages (event ledger)'!$H$2:$H$65,'Outages (event ledger)'!$A$2:$A$65,AP$2,'Outages (event ledger)'!$E$2:$E$65,"&lt;="&amp;$B18,'Outages (event ledger)'!$G$2:$G$65,"&gt;="&amp;$B18)</f>
        <v>0</v>
      </c>
      <c r="AQ18" s="29" t="n">
        <f aca="false">SUMIFS('Outages (event ledger)'!$H$2:$H$65,'Outages (event ledger)'!$A$2:$A$65,AQ$2,'Outages (event ledger)'!$E$2:$E$65,"&lt;="&amp;$B18,'Outages (event ledger)'!$G$2:$G$65,"&gt;="&amp;$B18)</f>
        <v>0</v>
      </c>
      <c r="AR18" s="29" t="n">
        <f aca="false">SUMIFS('Outages (event ledger)'!$H$2:$H$65,'Outages (event ledger)'!$A$2:$A$65,AR$2,'Outages (event ledger)'!$E$2:$E$65,"&lt;="&amp;$B18,'Outages (event ledger)'!$G$2:$G$65,"&gt;="&amp;$B18)</f>
        <v>0</v>
      </c>
      <c r="AS18" s="29" t="n">
        <f aca="false">SUMIFS('Outages (event ledger)'!$H$2:$H$65,'Outages (event ledger)'!$A$2:$A$65,AS$2,'Outages (event ledger)'!$E$2:$E$65,"&lt;="&amp;$B18,'Outages (event ledger)'!$G$2:$G$65,"&gt;="&amp;$B18)</f>
        <v>0</v>
      </c>
      <c r="AT18" s="29" t="n">
        <f aca="false">SUMIFS('Outages (event ledger)'!$H$2:$H$65,'Outages (event ledger)'!$A$2:$A$65,AT$2,'Outages (event ledger)'!$E$2:$E$65,"&lt;="&amp;$B18,'Outages (event ledger)'!$G$2:$G$65,"&gt;="&amp;$B18)</f>
        <v>0</v>
      </c>
      <c r="AU18" s="29" t="n">
        <f aca="false">SUMIFS('Outages (event ledger)'!$H$2:$H$65,'Outages (event ledger)'!$A$2:$A$65,AU$2,'Outages (event ledger)'!$E$2:$E$65,"&lt;="&amp;$B18,'Outages (event ledger)'!$G$2:$G$65,"&gt;="&amp;$B18)</f>
        <v>0</v>
      </c>
      <c r="AV18" s="29" t="n">
        <f aca="false">SUMIFS('Outages (event ledger)'!$H$2:$H$65,'Outages (event ledger)'!$A$2:$A$65,AV$2,'Outages (event ledger)'!$E$2:$E$65,"&lt;="&amp;$B18,'Outages (event ledger)'!$G$2:$G$65,"&gt;="&amp;$B18)</f>
        <v>0</v>
      </c>
      <c r="AW18" s="29" t="n">
        <f aca="false">SUMIFS('Outages (event ledger)'!$H$2:$H$65,'Outages (event ledger)'!$A$2:$A$65,AW$2,'Outages (event ledger)'!$E$2:$E$65,"&lt;="&amp;$B18,'Outages (event ledger)'!$G$2:$G$65,"&gt;="&amp;$B18)</f>
        <v>0</v>
      </c>
      <c r="AX18" s="29" t="n">
        <f aca="false">SUMIFS('Outages (event ledger)'!$H$2:$H$65,'Outages (event ledger)'!$A$2:$A$65,AX$2,'Outages (event ledger)'!$E$2:$E$65,"&lt;="&amp;$B18,'Outages (event ledger)'!$G$2:$G$65,"&gt;="&amp;$B18)</f>
        <v>0</v>
      </c>
      <c r="AY18" s="29" t="n">
        <f aca="false">SUMIFS('Outages (event ledger)'!$H$2:$H$65,'Outages (event ledger)'!$A$2:$A$65,AY$2,'Outages (event ledger)'!$E$2:$E$65,"&lt;="&amp;$B18,'Outages (event ledger)'!$G$2:$G$65,"&gt;="&amp;$B18)</f>
        <v>0</v>
      </c>
      <c r="AZ18" s="29" t="n">
        <f aca="false">SUMIFS('Outages (event ledger)'!$H$2:$H$65,'Outages (event ledger)'!$A$2:$A$65,AZ$2,'Outages (event ledger)'!$E$2:$E$65,"&lt;="&amp;$B18,'Outages (event ledger)'!$G$2:$G$65,"&gt;="&amp;$B18)</f>
        <v>0</v>
      </c>
      <c r="BA18" s="29" t="n">
        <f aca="false">SUMIFS('Outages (event ledger)'!$H$2:$H$65,'Outages (event ledger)'!$A$2:$A$65,BA$2,'Outages (event ledger)'!$E$2:$E$65,"&lt;="&amp;$B18,'Outages (event ledger)'!$G$2:$G$65,"&gt;="&amp;$B18)</f>
        <v>0</v>
      </c>
      <c r="BB18" s="29" t="n">
        <f aca="false">SUMIFS('Outages (event ledger)'!$H$2:$H$65,'Outages (event ledger)'!$A$2:$A$65,BB$2,'Outages (event ledger)'!$E$2:$E$65,"&lt;="&amp;$B18,'Outages (event ledger)'!$G$2:$G$65,"&gt;="&amp;$B18)</f>
        <v>0</v>
      </c>
      <c r="BC18" s="29" t="n">
        <f aca="false">SUMIFS('Outages (event ledger)'!$H$2:$H$65,'Outages (event ledger)'!$A$2:$A$65,BC$2,'Outages (event ledger)'!$E$2:$E$65,"&lt;="&amp;$B18,'Outages (event ledger)'!$G$2:$G$65,"&gt;="&amp;$B18)</f>
        <v>0</v>
      </c>
      <c r="BD18" s="29" t="n">
        <f aca="false">SUMIFS('Outages (event ledger)'!$H$2:$H$65,'Outages (event ledger)'!$A$2:$A$65,BD$2,'Outages (event ledger)'!$E$2:$E$65,"&lt;="&amp;$B18,'Outages (event ledger)'!$G$2:$G$65,"&gt;="&amp;$B18)</f>
        <v>0</v>
      </c>
      <c r="BE18" s="29" t="n">
        <f aca="false">SUMIFS('Outages (event ledger)'!$H$2:$H$65,'Outages (event ledger)'!$A$2:$A$65,BE$2,'Outages (event ledger)'!$E$2:$E$65,"&lt;="&amp;$B18,'Outages (event ledger)'!$G$2:$G$65,"&gt;="&amp;$B18)</f>
        <v>0</v>
      </c>
      <c r="BF18" s="29" t="n">
        <f aca="false">SUMIFS('Outages (event ledger)'!$H$2:$H$65,'Outages (event ledger)'!$A$2:$A$65,BF$2,'Outages (event ledger)'!$E$2:$E$65,"&lt;="&amp;$B18,'Outages (event ledger)'!$G$2:$G$65,"&gt;="&amp;$B18)</f>
        <v>0</v>
      </c>
      <c r="BG18" s="29" t="n">
        <f aca="false">SUMIFS('Outages (event ledger)'!$H$2:$H$65,'Outages (event ledger)'!$A$2:$A$65,BG$2,'Outages (event ledger)'!$E$2:$E$65,"&lt;="&amp;$B18,'Outages (event ledger)'!$G$2:$G$65,"&gt;="&amp;$B18)</f>
        <v>0</v>
      </c>
      <c r="BH18" s="29" t="n">
        <f aca="false">SUMIFS('Outages (event ledger)'!$H$2:$H$65,'Outages (event ledger)'!$A$2:$A$65,BH$2,'Outages (event ledger)'!$E$2:$E$65,"&lt;="&amp;$B18,'Outages (event ledger)'!$G$2:$G$65,"&gt;="&amp;$B18)</f>
        <v>0</v>
      </c>
      <c r="BI18" s="29" t="n">
        <f aca="false">SUMIFS('Outages (event ledger)'!$H$2:$H$65,'Outages (event ledger)'!$A$2:$A$65,BI$2,'Outages (event ledger)'!$E$2:$E$65,"&lt;="&amp;$B18,'Outages (event ledger)'!$G$2:$G$65,"&gt;="&amp;$B18)</f>
        <v>0</v>
      </c>
    </row>
    <row r="19" customFormat="false" ht="15" hidden="false" customHeight="false" outlineLevel="0" collapsed="false">
      <c r="A19" s="27" t="n">
        <v>40664</v>
      </c>
      <c r="B19" s="28" t="n">
        <v>201105</v>
      </c>
      <c r="C19" s="25" t="n">
        <f aca="false">SUM(D19:BI19)</f>
        <v>8</v>
      </c>
      <c r="D19" s="29" t="n">
        <f aca="false">SUMIFS('Outages (event ledger)'!$H$2:$H$65,'Outages (event ledger)'!$A$2:$A$65,D$2,'Outages (event ledger)'!$E$2:$E$65,"&lt;="&amp;$B19,'Outages (event ledger)'!$G$2:$G$65,"&gt;="&amp;$B19)</f>
        <v>0</v>
      </c>
      <c r="E19" s="29" t="n">
        <f aca="false">SUMIFS('Outages (event ledger)'!$H$2:$H$65,'Outages (event ledger)'!$A$2:$A$65,E$2,'Outages (event ledger)'!$E$2:$E$65,"&lt;="&amp;$B19,'Outages (event ledger)'!$G$2:$G$65,"&gt;="&amp;$B19)</f>
        <v>0</v>
      </c>
      <c r="F19" s="29" t="n">
        <f aca="false">SUMIFS('Outages (event ledger)'!$H$2:$H$65,'Outages (event ledger)'!$A$2:$A$65,F$2,'Outages (event ledger)'!$E$2:$E$65,"&lt;="&amp;$B19,'Outages (event ledger)'!$G$2:$G$65,"&gt;="&amp;$B19)</f>
        <v>0</v>
      </c>
      <c r="G19" s="29" t="n">
        <f aca="false">SUMIFS('Outages (event ledger)'!$H$2:$H$65,'Outages (event ledger)'!$A$2:$A$65,G$2,'Outages (event ledger)'!$E$2:$E$65,"&lt;="&amp;$B19,'Outages (event ledger)'!$G$2:$G$65,"&gt;="&amp;$B19)</f>
        <v>0</v>
      </c>
      <c r="H19" s="29" t="n">
        <f aca="false">SUMIFS('Outages (event ledger)'!$H$2:$H$65,'Outages (event ledger)'!$A$2:$A$65,H$2,'Outages (event ledger)'!$E$2:$E$65,"&lt;="&amp;$B19,'Outages (event ledger)'!$G$2:$G$65,"&gt;="&amp;$B19)</f>
        <v>0</v>
      </c>
      <c r="I19" s="29" t="n">
        <f aca="false">SUMIFS('Outages (event ledger)'!$H$2:$H$65,'Outages (event ledger)'!$A$2:$A$65,I$2,'Outages (event ledger)'!$E$2:$E$65,"&lt;="&amp;$B19,'Outages (event ledger)'!$G$2:$G$65,"&gt;="&amp;$B19)</f>
        <v>0</v>
      </c>
      <c r="J19" s="29" t="n">
        <f aca="false">SUMIFS('Outages (event ledger)'!$H$2:$H$65,'Outages (event ledger)'!$A$2:$A$65,J$2,'Outages (event ledger)'!$E$2:$E$65,"&lt;="&amp;$B19,'Outages (event ledger)'!$G$2:$G$65,"&gt;="&amp;$B19)</f>
        <v>0</v>
      </c>
      <c r="K19" s="29" t="n">
        <f aca="false">SUMIFS('Outages (event ledger)'!$H$2:$H$65,'Outages (event ledger)'!$A$2:$A$65,K$2,'Outages (event ledger)'!$E$2:$E$65,"&lt;="&amp;$B19,'Outages (event ledger)'!$G$2:$G$65,"&gt;="&amp;$B19)</f>
        <v>0</v>
      </c>
      <c r="L19" s="29" t="n">
        <f aca="false">SUMIFS('Outages (event ledger)'!$H$2:$H$65,'Outages (event ledger)'!$A$2:$A$65,L$2,'Outages (event ledger)'!$E$2:$E$65,"&lt;="&amp;$B19,'Outages (event ledger)'!$G$2:$G$65,"&gt;="&amp;$B19)</f>
        <v>0</v>
      </c>
      <c r="M19" s="29" t="n">
        <f aca="false">SUMIFS('Outages (event ledger)'!$H$2:$H$65,'Outages (event ledger)'!$A$2:$A$65,M$2,'Outages (event ledger)'!$E$2:$E$65,"&lt;="&amp;$B19,'Outages (event ledger)'!$G$2:$G$65,"&gt;="&amp;$B19)</f>
        <v>0</v>
      </c>
      <c r="N19" s="29" t="n">
        <f aca="false">SUMIFS('Outages (event ledger)'!$H$2:$H$65,'Outages (event ledger)'!$A$2:$A$65,N$2,'Outages (event ledger)'!$E$2:$E$65,"&lt;="&amp;$B19,'Outages (event ledger)'!$G$2:$G$65,"&gt;="&amp;$B19)</f>
        <v>0</v>
      </c>
      <c r="O19" s="29" t="n">
        <f aca="false">SUMIFS('Outages (event ledger)'!$H$2:$H$65,'Outages (event ledger)'!$A$2:$A$65,O$2,'Outages (event ledger)'!$E$2:$E$65,"&lt;="&amp;$B19,'Outages (event ledger)'!$G$2:$G$65,"&gt;="&amp;$B19)</f>
        <v>0</v>
      </c>
      <c r="P19" s="29" t="n">
        <f aca="false">SUMIFS('Outages (event ledger)'!$H$2:$H$65,'Outages (event ledger)'!$A$2:$A$65,P$2,'Outages (event ledger)'!$E$2:$E$65,"&lt;="&amp;$B19,'Outages (event ledger)'!$G$2:$G$65,"&gt;="&amp;$B19)</f>
        <v>0</v>
      </c>
      <c r="Q19" s="29" t="n">
        <f aca="false">SUMIFS('Outages (event ledger)'!$H$2:$H$65,'Outages (event ledger)'!$A$2:$A$65,Q$2,'Outages (event ledger)'!$E$2:$E$65,"&lt;="&amp;$B19,'Outages (event ledger)'!$G$2:$G$65,"&gt;="&amp;$B19)</f>
        <v>0</v>
      </c>
      <c r="R19" s="29" t="n">
        <f aca="false">SUMIFS('Outages (event ledger)'!$H$2:$H$65,'Outages (event ledger)'!$A$2:$A$65,R$2,'Outages (event ledger)'!$E$2:$E$65,"&lt;="&amp;$B19,'Outages (event ledger)'!$G$2:$G$65,"&gt;="&amp;$B19)</f>
        <v>0</v>
      </c>
      <c r="S19" s="29" t="n">
        <f aca="false">SUMIFS('Outages (event ledger)'!$H$2:$H$65,'Outages (event ledger)'!$A$2:$A$65,S$2,'Outages (event ledger)'!$E$2:$E$65,"&lt;="&amp;$B19,'Outages (event ledger)'!$G$2:$G$65,"&gt;="&amp;$B19)</f>
        <v>0</v>
      </c>
      <c r="T19" s="29" t="n">
        <f aca="false">SUMIFS('Outages (event ledger)'!$H$2:$H$65,'Outages (event ledger)'!$A$2:$A$65,T$2,'Outages (event ledger)'!$E$2:$E$65,"&lt;="&amp;$B19,'Outages (event ledger)'!$G$2:$G$65,"&gt;="&amp;$B19)</f>
        <v>0</v>
      </c>
      <c r="U19" s="29" t="n">
        <f aca="false">SUMIFS('Outages (event ledger)'!$H$2:$H$65,'Outages (event ledger)'!$A$2:$A$65,U$2,'Outages (event ledger)'!$E$2:$E$65,"&lt;="&amp;$B19,'Outages (event ledger)'!$G$2:$G$65,"&gt;="&amp;$B19)</f>
        <v>0</v>
      </c>
      <c r="V19" s="29" t="n">
        <f aca="false">SUMIFS('Outages (event ledger)'!$H$2:$H$65,'Outages (event ledger)'!$A$2:$A$65,V$2,'Outages (event ledger)'!$E$2:$E$65,"&lt;="&amp;$B19,'Outages (event ledger)'!$G$2:$G$65,"&gt;="&amp;$B19)</f>
        <v>0</v>
      </c>
      <c r="W19" s="29" t="n">
        <f aca="false">SUMIFS('Outages (event ledger)'!$H$2:$H$65,'Outages (event ledger)'!$A$2:$A$65,W$2,'Outages (event ledger)'!$E$2:$E$65,"&lt;="&amp;$B19,'Outages (event ledger)'!$G$2:$G$65,"&gt;="&amp;$B19)</f>
        <v>0</v>
      </c>
      <c r="X19" s="29" t="n">
        <f aca="false">SUMIFS('Outages (event ledger)'!$H$2:$H$65,'Outages (event ledger)'!$A$2:$A$65,X$2,'Outages (event ledger)'!$E$2:$E$65,"&lt;="&amp;$B19,'Outages (event ledger)'!$G$2:$G$65,"&gt;="&amp;$B19)</f>
        <v>0</v>
      </c>
      <c r="Y19" s="29" t="n">
        <f aca="false">SUMIFS('Outages (event ledger)'!$H$2:$H$65,'Outages (event ledger)'!$A$2:$A$65,Y$2,'Outages (event ledger)'!$E$2:$E$65,"&lt;="&amp;$B19,'Outages (event ledger)'!$G$2:$G$65,"&gt;="&amp;$B19)</f>
        <v>0</v>
      </c>
      <c r="Z19" s="29" t="n">
        <f aca="false">SUMIFS('Outages (event ledger)'!$H$2:$H$65,'Outages (event ledger)'!$A$2:$A$65,Z$2,'Outages (event ledger)'!$E$2:$E$65,"&lt;="&amp;$B19,'Outages (event ledger)'!$G$2:$G$65,"&gt;="&amp;$B19)</f>
        <v>0</v>
      </c>
      <c r="AA19" s="29" t="n">
        <f aca="false">SUMIFS('Outages (event ledger)'!$H$2:$H$65,'Outages (event ledger)'!$A$2:$A$65,AA$2,'Outages (event ledger)'!$E$2:$E$65,"&lt;="&amp;$B19,'Outages (event ledger)'!$G$2:$G$65,"&gt;="&amp;$B19)</f>
        <v>0</v>
      </c>
      <c r="AB19" s="29" t="n">
        <f aca="false">SUMIFS('Outages (event ledger)'!$H$2:$H$65,'Outages (event ledger)'!$A$2:$A$65,AB$2,'Outages (event ledger)'!$E$2:$E$65,"&lt;="&amp;$B19,'Outages (event ledger)'!$G$2:$G$65,"&gt;="&amp;$B19)</f>
        <v>8</v>
      </c>
      <c r="AC19" s="29" t="n">
        <f aca="false">SUMIFS('Outages (event ledger)'!$H$2:$H$65,'Outages (event ledger)'!$A$2:$A$65,AC$2,'Outages (event ledger)'!$E$2:$E$65,"&lt;="&amp;$B19,'Outages (event ledger)'!$G$2:$G$65,"&gt;="&amp;$B19)</f>
        <v>0</v>
      </c>
      <c r="AD19" s="29" t="n">
        <f aca="false">SUMIFS('Outages (event ledger)'!$H$2:$H$65,'Outages (event ledger)'!$A$2:$A$65,AD$2,'Outages (event ledger)'!$E$2:$E$65,"&lt;="&amp;$B19,'Outages (event ledger)'!$G$2:$G$65,"&gt;="&amp;$B19)</f>
        <v>0</v>
      </c>
      <c r="AE19" s="29" t="n">
        <f aca="false">SUMIFS('Outages (event ledger)'!$H$2:$H$65,'Outages (event ledger)'!$A$2:$A$65,AE$2,'Outages (event ledger)'!$E$2:$E$65,"&lt;="&amp;$B19,'Outages (event ledger)'!$G$2:$G$65,"&gt;="&amp;$B19)</f>
        <v>0</v>
      </c>
      <c r="AF19" s="29" t="n">
        <f aca="false">SUMIFS('Outages (event ledger)'!$H$2:$H$65,'Outages (event ledger)'!$A$2:$A$65,AF$2,'Outages (event ledger)'!$E$2:$E$65,"&lt;="&amp;$B19,'Outages (event ledger)'!$G$2:$G$65,"&gt;="&amp;$B19)</f>
        <v>0</v>
      </c>
      <c r="AG19" s="29" t="n">
        <f aca="false">SUMIFS('Outages (event ledger)'!$H$2:$H$65,'Outages (event ledger)'!$A$2:$A$65,AG$2,'Outages (event ledger)'!$E$2:$E$65,"&lt;="&amp;$B19,'Outages (event ledger)'!$G$2:$G$65,"&gt;="&amp;$B19)</f>
        <v>0</v>
      </c>
      <c r="AH19" s="29" t="n">
        <f aca="false">SUMIFS('Outages (event ledger)'!$H$2:$H$65,'Outages (event ledger)'!$A$2:$A$65,AH$2,'Outages (event ledger)'!$E$2:$E$65,"&lt;="&amp;$B19,'Outages (event ledger)'!$G$2:$G$65,"&gt;="&amp;$B19)</f>
        <v>0</v>
      </c>
      <c r="AI19" s="29" t="n">
        <f aca="false">SUMIFS('Outages (event ledger)'!$H$2:$H$65,'Outages (event ledger)'!$A$2:$A$65,AI$2,'Outages (event ledger)'!$E$2:$E$65,"&lt;="&amp;$B19,'Outages (event ledger)'!$G$2:$G$65,"&gt;="&amp;$B19)</f>
        <v>0</v>
      </c>
      <c r="AJ19" s="29" t="n">
        <f aca="false">SUMIFS('Outages (event ledger)'!$H$2:$H$65,'Outages (event ledger)'!$A$2:$A$65,AJ$2,'Outages (event ledger)'!$E$2:$E$65,"&lt;="&amp;$B19,'Outages (event ledger)'!$G$2:$G$65,"&gt;="&amp;$B19)</f>
        <v>0</v>
      </c>
      <c r="AK19" s="29" t="n">
        <f aca="false">SUMIFS('Outages (event ledger)'!$H$2:$H$65,'Outages (event ledger)'!$A$2:$A$65,AK$2,'Outages (event ledger)'!$E$2:$E$65,"&lt;="&amp;$B19,'Outages (event ledger)'!$G$2:$G$65,"&gt;="&amp;$B19)</f>
        <v>0</v>
      </c>
      <c r="AL19" s="29" t="n">
        <f aca="false">SUMIFS('Outages (event ledger)'!$H$2:$H$65,'Outages (event ledger)'!$A$2:$A$65,AL$2,'Outages (event ledger)'!$E$2:$E$65,"&lt;="&amp;$B19,'Outages (event ledger)'!$G$2:$G$65,"&gt;="&amp;$B19)</f>
        <v>0</v>
      </c>
      <c r="AM19" s="29" t="n">
        <f aca="false">SUMIFS('Outages (event ledger)'!$H$2:$H$65,'Outages (event ledger)'!$A$2:$A$65,AM$2,'Outages (event ledger)'!$E$2:$E$65,"&lt;="&amp;$B19,'Outages (event ledger)'!$G$2:$G$65,"&gt;="&amp;$B19)</f>
        <v>0</v>
      </c>
      <c r="AN19" s="29" t="n">
        <f aca="false">SUMIFS('Outages (event ledger)'!$H$2:$H$65,'Outages (event ledger)'!$A$2:$A$65,AN$2,'Outages (event ledger)'!$E$2:$E$65,"&lt;="&amp;$B19,'Outages (event ledger)'!$G$2:$G$65,"&gt;="&amp;$B19)</f>
        <v>0</v>
      </c>
      <c r="AO19" s="29" t="n">
        <f aca="false">SUMIFS('Outages (event ledger)'!$H$2:$H$65,'Outages (event ledger)'!$A$2:$A$65,AO$2,'Outages (event ledger)'!$E$2:$E$65,"&lt;="&amp;$B19,'Outages (event ledger)'!$G$2:$G$65,"&gt;="&amp;$B19)</f>
        <v>0</v>
      </c>
      <c r="AP19" s="29" t="n">
        <f aca="false">SUMIFS('Outages (event ledger)'!$H$2:$H$65,'Outages (event ledger)'!$A$2:$A$65,AP$2,'Outages (event ledger)'!$E$2:$E$65,"&lt;="&amp;$B19,'Outages (event ledger)'!$G$2:$G$65,"&gt;="&amp;$B19)</f>
        <v>0</v>
      </c>
      <c r="AQ19" s="29" t="n">
        <f aca="false">SUMIFS('Outages (event ledger)'!$H$2:$H$65,'Outages (event ledger)'!$A$2:$A$65,AQ$2,'Outages (event ledger)'!$E$2:$E$65,"&lt;="&amp;$B19,'Outages (event ledger)'!$G$2:$G$65,"&gt;="&amp;$B19)</f>
        <v>0</v>
      </c>
      <c r="AR19" s="29" t="n">
        <f aca="false">SUMIFS('Outages (event ledger)'!$H$2:$H$65,'Outages (event ledger)'!$A$2:$A$65,AR$2,'Outages (event ledger)'!$E$2:$E$65,"&lt;="&amp;$B19,'Outages (event ledger)'!$G$2:$G$65,"&gt;="&amp;$B19)</f>
        <v>0</v>
      </c>
      <c r="AS19" s="29" t="n">
        <f aca="false">SUMIFS('Outages (event ledger)'!$H$2:$H$65,'Outages (event ledger)'!$A$2:$A$65,AS$2,'Outages (event ledger)'!$E$2:$E$65,"&lt;="&amp;$B19,'Outages (event ledger)'!$G$2:$G$65,"&gt;="&amp;$B19)</f>
        <v>0</v>
      </c>
      <c r="AT19" s="29" t="n">
        <f aca="false">SUMIFS('Outages (event ledger)'!$H$2:$H$65,'Outages (event ledger)'!$A$2:$A$65,AT$2,'Outages (event ledger)'!$E$2:$E$65,"&lt;="&amp;$B19,'Outages (event ledger)'!$G$2:$G$65,"&gt;="&amp;$B19)</f>
        <v>0</v>
      </c>
      <c r="AU19" s="29" t="n">
        <f aca="false">SUMIFS('Outages (event ledger)'!$H$2:$H$65,'Outages (event ledger)'!$A$2:$A$65,AU$2,'Outages (event ledger)'!$E$2:$E$65,"&lt;="&amp;$B19,'Outages (event ledger)'!$G$2:$G$65,"&gt;="&amp;$B19)</f>
        <v>0</v>
      </c>
      <c r="AV19" s="29" t="n">
        <f aca="false">SUMIFS('Outages (event ledger)'!$H$2:$H$65,'Outages (event ledger)'!$A$2:$A$65,AV$2,'Outages (event ledger)'!$E$2:$E$65,"&lt;="&amp;$B19,'Outages (event ledger)'!$G$2:$G$65,"&gt;="&amp;$B19)</f>
        <v>0</v>
      </c>
      <c r="AW19" s="29" t="n">
        <f aca="false">SUMIFS('Outages (event ledger)'!$H$2:$H$65,'Outages (event ledger)'!$A$2:$A$65,AW$2,'Outages (event ledger)'!$E$2:$E$65,"&lt;="&amp;$B19,'Outages (event ledger)'!$G$2:$G$65,"&gt;="&amp;$B19)</f>
        <v>0</v>
      </c>
      <c r="AX19" s="29" t="n">
        <f aca="false">SUMIFS('Outages (event ledger)'!$H$2:$H$65,'Outages (event ledger)'!$A$2:$A$65,AX$2,'Outages (event ledger)'!$E$2:$E$65,"&lt;="&amp;$B19,'Outages (event ledger)'!$G$2:$G$65,"&gt;="&amp;$B19)</f>
        <v>0</v>
      </c>
      <c r="AY19" s="29" t="n">
        <f aca="false">SUMIFS('Outages (event ledger)'!$H$2:$H$65,'Outages (event ledger)'!$A$2:$A$65,AY$2,'Outages (event ledger)'!$E$2:$E$65,"&lt;="&amp;$B19,'Outages (event ledger)'!$G$2:$G$65,"&gt;="&amp;$B19)</f>
        <v>0</v>
      </c>
      <c r="AZ19" s="29" t="n">
        <f aca="false">SUMIFS('Outages (event ledger)'!$H$2:$H$65,'Outages (event ledger)'!$A$2:$A$65,AZ$2,'Outages (event ledger)'!$E$2:$E$65,"&lt;="&amp;$B19,'Outages (event ledger)'!$G$2:$G$65,"&gt;="&amp;$B19)</f>
        <v>0</v>
      </c>
      <c r="BA19" s="29" t="n">
        <f aca="false">SUMIFS('Outages (event ledger)'!$H$2:$H$65,'Outages (event ledger)'!$A$2:$A$65,BA$2,'Outages (event ledger)'!$E$2:$E$65,"&lt;="&amp;$B19,'Outages (event ledger)'!$G$2:$G$65,"&gt;="&amp;$B19)</f>
        <v>0</v>
      </c>
      <c r="BB19" s="29" t="n">
        <f aca="false">SUMIFS('Outages (event ledger)'!$H$2:$H$65,'Outages (event ledger)'!$A$2:$A$65,BB$2,'Outages (event ledger)'!$E$2:$E$65,"&lt;="&amp;$B19,'Outages (event ledger)'!$G$2:$G$65,"&gt;="&amp;$B19)</f>
        <v>0</v>
      </c>
      <c r="BC19" s="29" t="n">
        <f aca="false">SUMIFS('Outages (event ledger)'!$H$2:$H$65,'Outages (event ledger)'!$A$2:$A$65,BC$2,'Outages (event ledger)'!$E$2:$E$65,"&lt;="&amp;$B19,'Outages (event ledger)'!$G$2:$G$65,"&gt;="&amp;$B19)</f>
        <v>0</v>
      </c>
      <c r="BD19" s="29" t="n">
        <f aca="false">SUMIFS('Outages (event ledger)'!$H$2:$H$65,'Outages (event ledger)'!$A$2:$A$65,BD$2,'Outages (event ledger)'!$E$2:$E$65,"&lt;="&amp;$B19,'Outages (event ledger)'!$G$2:$G$65,"&gt;="&amp;$B19)</f>
        <v>0</v>
      </c>
      <c r="BE19" s="29" t="n">
        <f aca="false">SUMIFS('Outages (event ledger)'!$H$2:$H$65,'Outages (event ledger)'!$A$2:$A$65,BE$2,'Outages (event ledger)'!$E$2:$E$65,"&lt;="&amp;$B19,'Outages (event ledger)'!$G$2:$G$65,"&gt;="&amp;$B19)</f>
        <v>0</v>
      </c>
      <c r="BF19" s="29" t="n">
        <f aca="false">SUMIFS('Outages (event ledger)'!$H$2:$H$65,'Outages (event ledger)'!$A$2:$A$65,BF$2,'Outages (event ledger)'!$E$2:$E$65,"&lt;="&amp;$B19,'Outages (event ledger)'!$G$2:$G$65,"&gt;="&amp;$B19)</f>
        <v>0</v>
      </c>
      <c r="BG19" s="29" t="n">
        <f aca="false">SUMIFS('Outages (event ledger)'!$H$2:$H$65,'Outages (event ledger)'!$A$2:$A$65,BG$2,'Outages (event ledger)'!$E$2:$E$65,"&lt;="&amp;$B19,'Outages (event ledger)'!$G$2:$G$65,"&gt;="&amp;$B19)</f>
        <v>0</v>
      </c>
      <c r="BH19" s="29" t="n">
        <f aca="false">SUMIFS('Outages (event ledger)'!$H$2:$H$65,'Outages (event ledger)'!$A$2:$A$65,BH$2,'Outages (event ledger)'!$E$2:$E$65,"&lt;="&amp;$B19,'Outages (event ledger)'!$G$2:$G$65,"&gt;="&amp;$B19)</f>
        <v>0</v>
      </c>
      <c r="BI19" s="29" t="n">
        <f aca="false">SUMIFS('Outages (event ledger)'!$H$2:$H$65,'Outages (event ledger)'!$A$2:$A$65,BI$2,'Outages (event ledger)'!$E$2:$E$65,"&lt;="&amp;$B19,'Outages (event ledger)'!$G$2:$G$65,"&gt;="&amp;$B19)</f>
        <v>0</v>
      </c>
    </row>
    <row r="20" customFormat="false" ht="15" hidden="false" customHeight="false" outlineLevel="0" collapsed="false">
      <c r="A20" s="27" t="n">
        <v>40695</v>
      </c>
      <c r="B20" s="28" t="n">
        <v>201106</v>
      </c>
      <c r="C20" s="25" t="n">
        <f aca="false">SUM(D20:BI20)</f>
        <v>8</v>
      </c>
      <c r="D20" s="29" t="n">
        <f aca="false">SUMIFS('Outages (event ledger)'!$H$2:$H$65,'Outages (event ledger)'!$A$2:$A$65,D$2,'Outages (event ledger)'!$E$2:$E$65,"&lt;="&amp;$B20,'Outages (event ledger)'!$G$2:$G$65,"&gt;="&amp;$B20)</f>
        <v>0</v>
      </c>
      <c r="E20" s="29" t="n">
        <f aca="false">SUMIFS('Outages (event ledger)'!$H$2:$H$65,'Outages (event ledger)'!$A$2:$A$65,E$2,'Outages (event ledger)'!$E$2:$E$65,"&lt;="&amp;$B20,'Outages (event ledger)'!$G$2:$G$65,"&gt;="&amp;$B20)</f>
        <v>0</v>
      </c>
      <c r="F20" s="29" t="n">
        <f aca="false">SUMIFS('Outages (event ledger)'!$H$2:$H$65,'Outages (event ledger)'!$A$2:$A$65,F$2,'Outages (event ledger)'!$E$2:$E$65,"&lt;="&amp;$B20,'Outages (event ledger)'!$G$2:$G$65,"&gt;="&amp;$B20)</f>
        <v>0</v>
      </c>
      <c r="G20" s="29" t="n">
        <f aca="false">SUMIFS('Outages (event ledger)'!$H$2:$H$65,'Outages (event ledger)'!$A$2:$A$65,G$2,'Outages (event ledger)'!$E$2:$E$65,"&lt;="&amp;$B20,'Outages (event ledger)'!$G$2:$G$65,"&gt;="&amp;$B20)</f>
        <v>0</v>
      </c>
      <c r="H20" s="29" t="n">
        <f aca="false">SUMIFS('Outages (event ledger)'!$H$2:$H$65,'Outages (event ledger)'!$A$2:$A$65,H$2,'Outages (event ledger)'!$E$2:$E$65,"&lt;="&amp;$B20,'Outages (event ledger)'!$G$2:$G$65,"&gt;="&amp;$B20)</f>
        <v>0</v>
      </c>
      <c r="I20" s="29" t="n">
        <f aca="false">SUMIFS('Outages (event ledger)'!$H$2:$H$65,'Outages (event ledger)'!$A$2:$A$65,I$2,'Outages (event ledger)'!$E$2:$E$65,"&lt;="&amp;$B20,'Outages (event ledger)'!$G$2:$G$65,"&gt;="&amp;$B20)</f>
        <v>0</v>
      </c>
      <c r="J20" s="29" t="n">
        <f aca="false">SUMIFS('Outages (event ledger)'!$H$2:$H$65,'Outages (event ledger)'!$A$2:$A$65,J$2,'Outages (event ledger)'!$E$2:$E$65,"&lt;="&amp;$B20,'Outages (event ledger)'!$G$2:$G$65,"&gt;="&amp;$B20)</f>
        <v>0</v>
      </c>
      <c r="K20" s="29" t="n">
        <f aca="false">SUMIFS('Outages (event ledger)'!$H$2:$H$65,'Outages (event ledger)'!$A$2:$A$65,K$2,'Outages (event ledger)'!$E$2:$E$65,"&lt;="&amp;$B20,'Outages (event ledger)'!$G$2:$G$65,"&gt;="&amp;$B20)</f>
        <v>0</v>
      </c>
      <c r="L20" s="29" t="n">
        <f aca="false">SUMIFS('Outages (event ledger)'!$H$2:$H$65,'Outages (event ledger)'!$A$2:$A$65,L$2,'Outages (event ledger)'!$E$2:$E$65,"&lt;="&amp;$B20,'Outages (event ledger)'!$G$2:$G$65,"&gt;="&amp;$B20)</f>
        <v>0</v>
      </c>
      <c r="M20" s="29" t="n">
        <f aca="false">SUMIFS('Outages (event ledger)'!$H$2:$H$65,'Outages (event ledger)'!$A$2:$A$65,M$2,'Outages (event ledger)'!$E$2:$E$65,"&lt;="&amp;$B20,'Outages (event ledger)'!$G$2:$G$65,"&gt;="&amp;$B20)</f>
        <v>0</v>
      </c>
      <c r="N20" s="29" t="n">
        <f aca="false">SUMIFS('Outages (event ledger)'!$H$2:$H$65,'Outages (event ledger)'!$A$2:$A$65,N$2,'Outages (event ledger)'!$E$2:$E$65,"&lt;="&amp;$B20,'Outages (event ledger)'!$G$2:$G$65,"&gt;="&amp;$B20)</f>
        <v>0</v>
      </c>
      <c r="O20" s="29" t="n">
        <f aca="false">SUMIFS('Outages (event ledger)'!$H$2:$H$65,'Outages (event ledger)'!$A$2:$A$65,O$2,'Outages (event ledger)'!$E$2:$E$65,"&lt;="&amp;$B20,'Outages (event ledger)'!$G$2:$G$65,"&gt;="&amp;$B20)</f>
        <v>0</v>
      </c>
      <c r="P20" s="29" t="n">
        <f aca="false">SUMIFS('Outages (event ledger)'!$H$2:$H$65,'Outages (event ledger)'!$A$2:$A$65,P$2,'Outages (event ledger)'!$E$2:$E$65,"&lt;="&amp;$B20,'Outages (event ledger)'!$G$2:$G$65,"&gt;="&amp;$B20)</f>
        <v>0</v>
      </c>
      <c r="Q20" s="29" t="n">
        <f aca="false">SUMIFS('Outages (event ledger)'!$H$2:$H$65,'Outages (event ledger)'!$A$2:$A$65,Q$2,'Outages (event ledger)'!$E$2:$E$65,"&lt;="&amp;$B20,'Outages (event ledger)'!$G$2:$G$65,"&gt;="&amp;$B20)</f>
        <v>0</v>
      </c>
      <c r="R20" s="29" t="n">
        <f aca="false">SUMIFS('Outages (event ledger)'!$H$2:$H$65,'Outages (event ledger)'!$A$2:$A$65,R$2,'Outages (event ledger)'!$E$2:$E$65,"&lt;="&amp;$B20,'Outages (event ledger)'!$G$2:$G$65,"&gt;="&amp;$B20)</f>
        <v>0</v>
      </c>
      <c r="S20" s="29" t="n">
        <f aca="false">SUMIFS('Outages (event ledger)'!$H$2:$H$65,'Outages (event ledger)'!$A$2:$A$65,S$2,'Outages (event ledger)'!$E$2:$E$65,"&lt;="&amp;$B20,'Outages (event ledger)'!$G$2:$G$65,"&gt;="&amp;$B20)</f>
        <v>0</v>
      </c>
      <c r="T20" s="29" t="n">
        <f aca="false">SUMIFS('Outages (event ledger)'!$H$2:$H$65,'Outages (event ledger)'!$A$2:$A$65,T$2,'Outages (event ledger)'!$E$2:$E$65,"&lt;="&amp;$B20,'Outages (event ledger)'!$G$2:$G$65,"&gt;="&amp;$B20)</f>
        <v>0</v>
      </c>
      <c r="U20" s="29" t="n">
        <f aca="false">SUMIFS('Outages (event ledger)'!$H$2:$H$65,'Outages (event ledger)'!$A$2:$A$65,U$2,'Outages (event ledger)'!$E$2:$E$65,"&lt;="&amp;$B20,'Outages (event ledger)'!$G$2:$G$65,"&gt;="&amp;$B20)</f>
        <v>0</v>
      </c>
      <c r="V20" s="29" t="n">
        <f aca="false">SUMIFS('Outages (event ledger)'!$H$2:$H$65,'Outages (event ledger)'!$A$2:$A$65,V$2,'Outages (event ledger)'!$E$2:$E$65,"&lt;="&amp;$B20,'Outages (event ledger)'!$G$2:$G$65,"&gt;="&amp;$B20)</f>
        <v>0</v>
      </c>
      <c r="W20" s="29" t="n">
        <f aca="false">SUMIFS('Outages (event ledger)'!$H$2:$H$65,'Outages (event ledger)'!$A$2:$A$65,W$2,'Outages (event ledger)'!$E$2:$E$65,"&lt;="&amp;$B20,'Outages (event ledger)'!$G$2:$G$65,"&gt;="&amp;$B20)</f>
        <v>0</v>
      </c>
      <c r="X20" s="29" t="n">
        <f aca="false">SUMIFS('Outages (event ledger)'!$H$2:$H$65,'Outages (event ledger)'!$A$2:$A$65,X$2,'Outages (event ledger)'!$E$2:$E$65,"&lt;="&amp;$B20,'Outages (event ledger)'!$G$2:$G$65,"&gt;="&amp;$B20)</f>
        <v>0</v>
      </c>
      <c r="Y20" s="29" t="n">
        <f aca="false">SUMIFS('Outages (event ledger)'!$H$2:$H$65,'Outages (event ledger)'!$A$2:$A$65,Y$2,'Outages (event ledger)'!$E$2:$E$65,"&lt;="&amp;$B20,'Outages (event ledger)'!$G$2:$G$65,"&gt;="&amp;$B20)</f>
        <v>0</v>
      </c>
      <c r="Z20" s="29" t="n">
        <f aca="false">SUMIFS('Outages (event ledger)'!$H$2:$H$65,'Outages (event ledger)'!$A$2:$A$65,Z$2,'Outages (event ledger)'!$E$2:$E$65,"&lt;="&amp;$B20,'Outages (event ledger)'!$G$2:$G$65,"&gt;="&amp;$B20)</f>
        <v>0</v>
      </c>
      <c r="AA20" s="29" t="n">
        <f aca="false">SUMIFS('Outages (event ledger)'!$H$2:$H$65,'Outages (event ledger)'!$A$2:$A$65,AA$2,'Outages (event ledger)'!$E$2:$E$65,"&lt;="&amp;$B20,'Outages (event ledger)'!$G$2:$G$65,"&gt;="&amp;$B20)</f>
        <v>0</v>
      </c>
      <c r="AB20" s="29" t="n">
        <f aca="false">SUMIFS('Outages (event ledger)'!$H$2:$H$65,'Outages (event ledger)'!$A$2:$A$65,AB$2,'Outages (event ledger)'!$E$2:$E$65,"&lt;="&amp;$B20,'Outages (event ledger)'!$G$2:$G$65,"&gt;="&amp;$B20)</f>
        <v>8</v>
      </c>
      <c r="AC20" s="29" t="n">
        <f aca="false">SUMIFS('Outages (event ledger)'!$H$2:$H$65,'Outages (event ledger)'!$A$2:$A$65,AC$2,'Outages (event ledger)'!$E$2:$E$65,"&lt;="&amp;$B20,'Outages (event ledger)'!$G$2:$G$65,"&gt;="&amp;$B20)</f>
        <v>0</v>
      </c>
      <c r="AD20" s="29" t="n">
        <f aca="false">SUMIFS('Outages (event ledger)'!$H$2:$H$65,'Outages (event ledger)'!$A$2:$A$65,AD$2,'Outages (event ledger)'!$E$2:$E$65,"&lt;="&amp;$B20,'Outages (event ledger)'!$G$2:$G$65,"&gt;="&amp;$B20)</f>
        <v>0</v>
      </c>
      <c r="AE20" s="29" t="n">
        <f aca="false">SUMIFS('Outages (event ledger)'!$H$2:$H$65,'Outages (event ledger)'!$A$2:$A$65,AE$2,'Outages (event ledger)'!$E$2:$E$65,"&lt;="&amp;$B20,'Outages (event ledger)'!$G$2:$G$65,"&gt;="&amp;$B20)</f>
        <v>0</v>
      </c>
      <c r="AF20" s="29" t="n">
        <f aca="false">SUMIFS('Outages (event ledger)'!$H$2:$H$65,'Outages (event ledger)'!$A$2:$A$65,AF$2,'Outages (event ledger)'!$E$2:$E$65,"&lt;="&amp;$B20,'Outages (event ledger)'!$G$2:$G$65,"&gt;="&amp;$B20)</f>
        <v>0</v>
      </c>
      <c r="AG20" s="29" t="n">
        <f aca="false">SUMIFS('Outages (event ledger)'!$H$2:$H$65,'Outages (event ledger)'!$A$2:$A$65,AG$2,'Outages (event ledger)'!$E$2:$E$65,"&lt;="&amp;$B20,'Outages (event ledger)'!$G$2:$G$65,"&gt;="&amp;$B20)</f>
        <v>0</v>
      </c>
      <c r="AH20" s="29" t="n">
        <f aca="false">SUMIFS('Outages (event ledger)'!$H$2:$H$65,'Outages (event ledger)'!$A$2:$A$65,AH$2,'Outages (event ledger)'!$E$2:$E$65,"&lt;="&amp;$B20,'Outages (event ledger)'!$G$2:$G$65,"&gt;="&amp;$B20)</f>
        <v>0</v>
      </c>
      <c r="AI20" s="29" t="n">
        <f aca="false">SUMIFS('Outages (event ledger)'!$H$2:$H$65,'Outages (event ledger)'!$A$2:$A$65,AI$2,'Outages (event ledger)'!$E$2:$E$65,"&lt;="&amp;$B20,'Outages (event ledger)'!$G$2:$G$65,"&gt;="&amp;$B20)</f>
        <v>0</v>
      </c>
      <c r="AJ20" s="29" t="n">
        <f aca="false">SUMIFS('Outages (event ledger)'!$H$2:$H$65,'Outages (event ledger)'!$A$2:$A$65,AJ$2,'Outages (event ledger)'!$E$2:$E$65,"&lt;="&amp;$B20,'Outages (event ledger)'!$G$2:$G$65,"&gt;="&amp;$B20)</f>
        <v>0</v>
      </c>
      <c r="AK20" s="29" t="n">
        <f aca="false">SUMIFS('Outages (event ledger)'!$H$2:$H$65,'Outages (event ledger)'!$A$2:$A$65,AK$2,'Outages (event ledger)'!$E$2:$E$65,"&lt;="&amp;$B20,'Outages (event ledger)'!$G$2:$G$65,"&gt;="&amp;$B20)</f>
        <v>0</v>
      </c>
      <c r="AL20" s="29" t="n">
        <f aca="false">SUMIFS('Outages (event ledger)'!$H$2:$H$65,'Outages (event ledger)'!$A$2:$A$65,AL$2,'Outages (event ledger)'!$E$2:$E$65,"&lt;="&amp;$B20,'Outages (event ledger)'!$G$2:$G$65,"&gt;="&amp;$B20)</f>
        <v>0</v>
      </c>
      <c r="AM20" s="29" t="n">
        <f aca="false">SUMIFS('Outages (event ledger)'!$H$2:$H$65,'Outages (event ledger)'!$A$2:$A$65,AM$2,'Outages (event ledger)'!$E$2:$E$65,"&lt;="&amp;$B20,'Outages (event ledger)'!$G$2:$G$65,"&gt;="&amp;$B20)</f>
        <v>0</v>
      </c>
      <c r="AN20" s="29" t="n">
        <f aca="false">SUMIFS('Outages (event ledger)'!$H$2:$H$65,'Outages (event ledger)'!$A$2:$A$65,AN$2,'Outages (event ledger)'!$E$2:$E$65,"&lt;="&amp;$B20,'Outages (event ledger)'!$G$2:$G$65,"&gt;="&amp;$B20)</f>
        <v>0</v>
      </c>
      <c r="AO20" s="29" t="n">
        <f aca="false">SUMIFS('Outages (event ledger)'!$H$2:$H$65,'Outages (event ledger)'!$A$2:$A$65,AO$2,'Outages (event ledger)'!$E$2:$E$65,"&lt;="&amp;$B20,'Outages (event ledger)'!$G$2:$G$65,"&gt;="&amp;$B20)</f>
        <v>0</v>
      </c>
      <c r="AP20" s="29" t="n">
        <f aca="false">SUMIFS('Outages (event ledger)'!$H$2:$H$65,'Outages (event ledger)'!$A$2:$A$65,AP$2,'Outages (event ledger)'!$E$2:$E$65,"&lt;="&amp;$B20,'Outages (event ledger)'!$G$2:$G$65,"&gt;="&amp;$B20)</f>
        <v>0</v>
      </c>
      <c r="AQ20" s="29" t="n">
        <f aca="false">SUMIFS('Outages (event ledger)'!$H$2:$H$65,'Outages (event ledger)'!$A$2:$A$65,AQ$2,'Outages (event ledger)'!$E$2:$E$65,"&lt;="&amp;$B20,'Outages (event ledger)'!$G$2:$G$65,"&gt;="&amp;$B20)</f>
        <v>0</v>
      </c>
      <c r="AR20" s="29" t="n">
        <f aca="false">SUMIFS('Outages (event ledger)'!$H$2:$H$65,'Outages (event ledger)'!$A$2:$A$65,AR$2,'Outages (event ledger)'!$E$2:$E$65,"&lt;="&amp;$B20,'Outages (event ledger)'!$G$2:$G$65,"&gt;="&amp;$B20)</f>
        <v>0</v>
      </c>
      <c r="AS20" s="29" t="n">
        <f aca="false">SUMIFS('Outages (event ledger)'!$H$2:$H$65,'Outages (event ledger)'!$A$2:$A$65,AS$2,'Outages (event ledger)'!$E$2:$E$65,"&lt;="&amp;$B20,'Outages (event ledger)'!$G$2:$G$65,"&gt;="&amp;$B20)</f>
        <v>0</v>
      </c>
      <c r="AT20" s="29" t="n">
        <f aca="false">SUMIFS('Outages (event ledger)'!$H$2:$H$65,'Outages (event ledger)'!$A$2:$A$65,AT$2,'Outages (event ledger)'!$E$2:$E$65,"&lt;="&amp;$B20,'Outages (event ledger)'!$G$2:$G$65,"&gt;="&amp;$B20)</f>
        <v>0</v>
      </c>
      <c r="AU20" s="29" t="n">
        <f aca="false">SUMIFS('Outages (event ledger)'!$H$2:$H$65,'Outages (event ledger)'!$A$2:$A$65,AU$2,'Outages (event ledger)'!$E$2:$E$65,"&lt;="&amp;$B20,'Outages (event ledger)'!$G$2:$G$65,"&gt;="&amp;$B20)</f>
        <v>0</v>
      </c>
      <c r="AV20" s="29" t="n">
        <f aca="false">SUMIFS('Outages (event ledger)'!$H$2:$H$65,'Outages (event ledger)'!$A$2:$A$65,AV$2,'Outages (event ledger)'!$E$2:$E$65,"&lt;="&amp;$B20,'Outages (event ledger)'!$G$2:$G$65,"&gt;="&amp;$B20)</f>
        <v>0</v>
      </c>
      <c r="AW20" s="29" t="n">
        <f aca="false">SUMIFS('Outages (event ledger)'!$H$2:$H$65,'Outages (event ledger)'!$A$2:$A$65,AW$2,'Outages (event ledger)'!$E$2:$E$65,"&lt;="&amp;$B20,'Outages (event ledger)'!$G$2:$G$65,"&gt;="&amp;$B20)</f>
        <v>0</v>
      </c>
      <c r="AX20" s="29" t="n">
        <f aca="false">SUMIFS('Outages (event ledger)'!$H$2:$H$65,'Outages (event ledger)'!$A$2:$A$65,AX$2,'Outages (event ledger)'!$E$2:$E$65,"&lt;="&amp;$B20,'Outages (event ledger)'!$G$2:$G$65,"&gt;="&amp;$B20)</f>
        <v>0</v>
      </c>
      <c r="AY20" s="29" t="n">
        <f aca="false">SUMIFS('Outages (event ledger)'!$H$2:$H$65,'Outages (event ledger)'!$A$2:$A$65,AY$2,'Outages (event ledger)'!$E$2:$E$65,"&lt;="&amp;$B20,'Outages (event ledger)'!$G$2:$G$65,"&gt;="&amp;$B20)</f>
        <v>0</v>
      </c>
      <c r="AZ20" s="29" t="n">
        <f aca="false">SUMIFS('Outages (event ledger)'!$H$2:$H$65,'Outages (event ledger)'!$A$2:$A$65,AZ$2,'Outages (event ledger)'!$E$2:$E$65,"&lt;="&amp;$B20,'Outages (event ledger)'!$G$2:$G$65,"&gt;="&amp;$B20)</f>
        <v>0</v>
      </c>
      <c r="BA20" s="29" t="n">
        <f aca="false">SUMIFS('Outages (event ledger)'!$H$2:$H$65,'Outages (event ledger)'!$A$2:$A$65,BA$2,'Outages (event ledger)'!$E$2:$E$65,"&lt;="&amp;$B20,'Outages (event ledger)'!$G$2:$G$65,"&gt;="&amp;$B20)</f>
        <v>0</v>
      </c>
      <c r="BB20" s="29" t="n">
        <f aca="false">SUMIFS('Outages (event ledger)'!$H$2:$H$65,'Outages (event ledger)'!$A$2:$A$65,BB$2,'Outages (event ledger)'!$E$2:$E$65,"&lt;="&amp;$B20,'Outages (event ledger)'!$G$2:$G$65,"&gt;="&amp;$B20)</f>
        <v>0</v>
      </c>
      <c r="BC20" s="29" t="n">
        <f aca="false">SUMIFS('Outages (event ledger)'!$H$2:$H$65,'Outages (event ledger)'!$A$2:$A$65,BC$2,'Outages (event ledger)'!$E$2:$E$65,"&lt;="&amp;$B20,'Outages (event ledger)'!$G$2:$G$65,"&gt;="&amp;$B20)</f>
        <v>0</v>
      </c>
      <c r="BD20" s="29" t="n">
        <f aca="false">SUMIFS('Outages (event ledger)'!$H$2:$H$65,'Outages (event ledger)'!$A$2:$A$65,BD$2,'Outages (event ledger)'!$E$2:$E$65,"&lt;="&amp;$B20,'Outages (event ledger)'!$G$2:$G$65,"&gt;="&amp;$B20)</f>
        <v>0</v>
      </c>
      <c r="BE20" s="29" t="n">
        <f aca="false">SUMIFS('Outages (event ledger)'!$H$2:$H$65,'Outages (event ledger)'!$A$2:$A$65,BE$2,'Outages (event ledger)'!$E$2:$E$65,"&lt;="&amp;$B20,'Outages (event ledger)'!$G$2:$G$65,"&gt;="&amp;$B20)</f>
        <v>0</v>
      </c>
      <c r="BF20" s="29" t="n">
        <f aca="false">SUMIFS('Outages (event ledger)'!$H$2:$H$65,'Outages (event ledger)'!$A$2:$A$65,BF$2,'Outages (event ledger)'!$E$2:$E$65,"&lt;="&amp;$B20,'Outages (event ledger)'!$G$2:$G$65,"&gt;="&amp;$B20)</f>
        <v>0</v>
      </c>
      <c r="BG20" s="29" t="n">
        <f aca="false">SUMIFS('Outages (event ledger)'!$H$2:$H$65,'Outages (event ledger)'!$A$2:$A$65,BG$2,'Outages (event ledger)'!$E$2:$E$65,"&lt;="&amp;$B20,'Outages (event ledger)'!$G$2:$G$65,"&gt;="&amp;$B20)</f>
        <v>0</v>
      </c>
      <c r="BH20" s="29" t="n">
        <f aca="false">SUMIFS('Outages (event ledger)'!$H$2:$H$65,'Outages (event ledger)'!$A$2:$A$65,BH$2,'Outages (event ledger)'!$E$2:$E$65,"&lt;="&amp;$B20,'Outages (event ledger)'!$G$2:$G$65,"&gt;="&amp;$B20)</f>
        <v>0</v>
      </c>
      <c r="BI20" s="29" t="n">
        <f aca="false">SUMIFS('Outages (event ledger)'!$H$2:$H$65,'Outages (event ledger)'!$A$2:$A$65,BI$2,'Outages (event ledger)'!$E$2:$E$65,"&lt;="&amp;$B20,'Outages (event ledger)'!$G$2:$G$65,"&gt;="&amp;$B20)</f>
        <v>0</v>
      </c>
    </row>
    <row r="21" customFormat="false" ht="15" hidden="false" customHeight="false" outlineLevel="0" collapsed="false">
      <c r="A21" s="27" t="n">
        <v>40725</v>
      </c>
      <c r="B21" s="28" t="n">
        <v>201107</v>
      </c>
      <c r="C21" s="25" t="n">
        <f aca="false">SUM(D21:BI21)</f>
        <v>8</v>
      </c>
      <c r="D21" s="29" t="n">
        <f aca="false">SUMIFS('Outages (event ledger)'!$H$2:$H$65,'Outages (event ledger)'!$A$2:$A$65,D$2,'Outages (event ledger)'!$E$2:$E$65,"&lt;="&amp;$B21,'Outages (event ledger)'!$G$2:$G$65,"&gt;="&amp;$B21)</f>
        <v>0</v>
      </c>
      <c r="E21" s="29" t="n">
        <f aca="false">SUMIFS('Outages (event ledger)'!$H$2:$H$65,'Outages (event ledger)'!$A$2:$A$65,E$2,'Outages (event ledger)'!$E$2:$E$65,"&lt;="&amp;$B21,'Outages (event ledger)'!$G$2:$G$65,"&gt;="&amp;$B21)</f>
        <v>0</v>
      </c>
      <c r="F21" s="29" t="n">
        <f aca="false">SUMIFS('Outages (event ledger)'!$H$2:$H$65,'Outages (event ledger)'!$A$2:$A$65,F$2,'Outages (event ledger)'!$E$2:$E$65,"&lt;="&amp;$B21,'Outages (event ledger)'!$G$2:$G$65,"&gt;="&amp;$B21)</f>
        <v>0</v>
      </c>
      <c r="G21" s="29" t="n">
        <f aca="false">SUMIFS('Outages (event ledger)'!$H$2:$H$65,'Outages (event ledger)'!$A$2:$A$65,G$2,'Outages (event ledger)'!$E$2:$E$65,"&lt;="&amp;$B21,'Outages (event ledger)'!$G$2:$G$65,"&gt;="&amp;$B21)</f>
        <v>0</v>
      </c>
      <c r="H21" s="29" t="n">
        <f aca="false">SUMIFS('Outages (event ledger)'!$H$2:$H$65,'Outages (event ledger)'!$A$2:$A$65,H$2,'Outages (event ledger)'!$E$2:$E$65,"&lt;="&amp;$B21,'Outages (event ledger)'!$G$2:$G$65,"&gt;="&amp;$B21)</f>
        <v>0</v>
      </c>
      <c r="I21" s="29" t="n">
        <f aca="false">SUMIFS('Outages (event ledger)'!$H$2:$H$65,'Outages (event ledger)'!$A$2:$A$65,I$2,'Outages (event ledger)'!$E$2:$E$65,"&lt;="&amp;$B21,'Outages (event ledger)'!$G$2:$G$65,"&gt;="&amp;$B21)</f>
        <v>0</v>
      </c>
      <c r="J21" s="29" t="n">
        <f aca="false">SUMIFS('Outages (event ledger)'!$H$2:$H$65,'Outages (event ledger)'!$A$2:$A$65,J$2,'Outages (event ledger)'!$E$2:$E$65,"&lt;="&amp;$B21,'Outages (event ledger)'!$G$2:$G$65,"&gt;="&amp;$B21)</f>
        <v>0</v>
      </c>
      <c r="K21" s="29" t="n">
        <f aca="false">SUMIFS('Outages (event ledger)'!$H$2:$H$65,'Outages (event ledger)'!$A$2:$A$65,K$2,'Outages (event ledger)'!$E$2:$E$65,"&lt;="&amp;$B21,'Outages (event ledger)'!$G$2:$G$65,"&gt;="&amp;$B21)</f>
        <v>0</v>
      </c>
      <c r="L21" s="29" t="n">
        <f aca="false">SUMIFS('Outages (event ledger)'!$H$2:$H$65,'Outages (event ledger)'!$A$2:$A$65,L$2,'Outages (event ledger)'!$E$2:$E$65,"&lt;="&amp;$B21,'Outages (event ledger)'!$G$2:$G$65,"&gt;="&amp;$B21)</f>
        <v>0</v>
      </c>
      <c r="M21" s="29" t="n">
        <f aca="false">SUMIFS('Outages (event ledger)'!$H$2:$H$65,'Outages (event ledger)'!$A$2:$A$65,M$2,'Outages (event ledger)'!$E$2:$E$65,"&lt;="&amp;$B21,'Outages (event ledger)'!$G$2:$G$65,"&gt;="&amp;$B21)</f>
        <v>0</v>
      </c>
      <c r="N21" s="29" t="n">
        <f aca="false">SUMIFS('Outages (event ledger)'!$H$2:$H$65,'Outages (event ledger)'!$A$2:$A$65,N$2,'Outages (event ledger)'!$E$2:$E$65,"&lt;="&amp;$B21,'Outages (event ledger)'!$G$2:$G$65,"&gt;="&amp;$B21)</f>
        <v>0</v>
      </c>
      <c r="O21" s="29" t="n">
        <f aca="false">SUMIFS('Outages (event ledger)'!$H$2:$H$65,'Outages (event ledger)'!$A$2:$A$65,O$2,'Outages (event ledger)'!$E$2:$E$65,"&lt;="&amp;$B21,'Outages (event ledger)'!$G$2:$G$65,"&gt;="&amp;$B21)</f>
        <v>0</v>
      </c>
      <c r="P21" s="29" t="n">
        <f aca="false">SUMIFS('Outages (event ledger)'!$H$2:$H$65,'Outages (event ledger)'!$A$2:$A$65,P$2,'Outages (event ledger)'!$E$2:$E$65,"&lt;="&amp;$B21,'Outages (event ledger)'!$G$2:$G$65,"&gt;="&amp;$B21)</f>
        <v>0</v>
      </c>
      <c r="Q21" s="29" t="n">
        <f aca="false">SUMIFS('Outages (event ledger)'!$H$2:$H$65,'Outages (event ledger)'!$A$2:$A$65,Q$2,'Outages (event ledger)'!$E$2:$E$65,"&lt;="&amp;$B21,'Outages (event ledger)'!$G$2:$G$65,"&gt;="&amp;$B21)</f>
        <v>0</v>
      </c>
      <c r="R21" s="29" t="n">
        <f aca="false">SUMIFS('Outages (event ledger)'!$H$2:$H$65,'Outages (event ledger)'!$A$2:$A$65,R$2,'Outages (event ledger)'!$E$2:$E$65,"&lt;="&amp;$B21,'Outages (event ledger)'!$G$2:$G$65,"&gt;="&amp;$B21)</f>
        <v>0</v>
      </c>
      <c r="S21" s="29" t="n">
        <f aca="false">SUMIFS('Outages (event ledger)'!$H$2:$H$65,'Outages (event ledger)'!$A$2:$A$65,S$2,'Outages (event ledger)'!$E$2:$E$65,"&lt;="&amp;$B21,'Outages (event ledger)'!$G$2:$G$65,"&gt;="&amp;$B21)</f>
        <v>0</v>
      </c>
      <c r="T21" s="29" t="n">
        <f aca="false">SUMIFS('Outages (event ledger)'!$H$2:$H$65,'Outages (event ledger)'!$A$2:$A$65,T$2,'Outages (event ledger)'!$E$2:$E$65,"&lt;="&amp;$B21,'Outages (event ledger)'!$G$2:$G$65,"&gt;="&amp;$B21)</f>
        <v>0</v>
      </c>
      <c r="U21" s="29" t="n">
        <f aca="false">SUMIFS('Outages (event ledger)'!$H$2:$H$65,'Outages (event ledger)'!$A$2:$A$65,U$2,'Outages (event ledger)'!$E$2:$E$65,"&lt;="&amp;$B21,'Outages (event ledger)'!$G$2:$G$65,"&gt;="&amp;$B21)</f>
        <v>0</v>
      </c>
      <c r="V21" s="29" t="n">
        <f aca="false">SUMIFS('Outages (event ledger)'!$H$2:$H$65,'Outages (event ledger)'!$A$2:$A$65,V$2,'Outages (event ledger)'!$E$2:$E$65,"&lt;="&amp;$B21,'Outages (event ledger)'!$G$2:$G$65,"&gt;="&amp;$B21)</f>
        <v>0</v>
      </c>
      <c r="W21" s="29" t="n">
        <f aca="false">SUMIFS('Outages (event ledger)'!$H$2:$H$65,'Outages (event ledger)'!$A$2:$A$65,W$2,'Outages (event ledger)'!$E$2:$E$65,"&lt;="&amp;$B21,'Outages (event ledger)'!$G$2:$G$65,"&gt;="&amp;$B21)</f>
        <v>0</v>
      </c>
      <c r="X21" s="29" t="n">
        <f aca="false">SUMIFS('Outages (event ledger)'!$H$2:$H$65,'Outages (event ledger)'!$A$2:$A$65,X$2,'Outages (event ledger)'!$E$2:$E$65,"&lt;="&amp;$B21,'Outages (event ledger)'!$G$2:$G$65,"&gt;="&amp;$B21)</f>
        <v>0</v>
      </c>
      <c r="Y21" s="29" t="n">
        <f aca="false">SUMIFS('Outages (event ledger)'!$H$2:$H$65,'Outages (event ledger)'!$A$2:$A$65,Y$2,'Outages (event ledger)'!$E$2:$E$65,"&lt;="&amp;$B21,'Outages (event ledger)'!$G$2:$G$65,"&gt;="&amp;$B21)</f>
        <v>0</v>
      </c>
      <c r="Z21" s="29" t="n">
        <f aca="false">SUMIFS('Outages (event ledger)'!$H$2:$H$65,'Outages (event ledger)'!$A$2:$A$65,Z$2,'Outages (event ledger)'!$E$2:$E$65,"&lt;="&amp;$B21,'Outages (event ledger)'!$G$2:$G$65,"&gt;="&amp;$B21)</f>
        <v>0</v>
      </c>
      <c r="AA21" s="29" t="n">
        <f aca="false">SUMIFS('Outages (event ledger)'!$H$2:$H$65,'Outages (event ledger)'!$A$2:$A$65,AA$2,'Outages (event ledger)'!$E$2:$E$65,"&lt;="&amp;$B21,'Outages (event ledger)'!$G$2:$G$65,"&gt;="&amp;$B21)</f>
        <v>0</v>
      </c>
      <c r="AB21" s="29" t="n">
        <f aca="false">SUMIFS('Outages (event ledger)'!$H$2:$H$65,'Outages (event ledger)'!$A$2:$A$65,AB$2,'Outages (event ledger)'!$E$2:$E$65,"&lt;="&amp;$B21,'Outages (event ledger)'!$G$2:$G$65,"&gt;="&amp;$B21)</f>
        <v>8</v>
      </c>
      <c r="AC21" s="29" t="n">
        <f aca="false">SUMIFS('Outages (event ledger)'!$H$2:$H$65,'Outages (event ledger)'!$A$2:$A$65,AC$2,'Outages (event ledger)'!$E$2:$E$65,"&lt;="&amp;$B21,'Outages (event ledger)'!$G$2:$G$65,"&gt;="&amp;$B21)</f>
        <v>0</v>
      </c>
      <c r="AD21" s="29" t="n">
        <f aca="false">SUMIFS('Outages (event ledger)'!$H$2:$H$65,'Outages (event ledger)'!$A$2:$A$65,AD$2,'Outages (event ledger)'!$E$2:$E$65,"&lt;="&amp;$B21,'Outages (event ledger)'!$G$2:$G$65,"&gt;="&amp;$B21)</f>
        <v>0</v>
      </c>
      <c r="AE21" s="29" t="n">
        <f aca="false">SUMIFS('Outages (event ledger)'!$H$2:$H$65,'Outages (event ledger)'!$A$2:$A$65,AE$2,'Outages (event ledger)'!$E$2:$E$65,"&lt;="&amp;$B21,'Outages (event ledger)'!$G$2:$G$65,"&gt;="&amp;$B21)</f>
        <v>0</v>
      </c>
      <c r="AF21" s="29" t="n">
        <f aca="false">SUMIFS('Outages (event ledger)'!$H$2:$H$65,'Outages (event ledger)'!$A$2:$A$65,AF$2,'Outages (event ledger)'!$E$2:$E$65,"&lt;="&amp;$B21,'Outages (event ledger)'!$G$2:$G$65,"&gt;="&amp;$B21)</f>
        <v>0</v>
      </c>
      <c r="AG21" s="29" t="n">
        <f aca="false">SUMIFS('Outages (event ledger)'!$H$2:$H$65,'Outages (event ledger)'!$A$2:$A$65,AG$2,'Outages (event ledger)'!$E$2:$E$65,"&lt;="&amp;$B21,'Outages (event ledger)'!$G$2:$G$65,"&gt;="&amp;$B21)</f>
        <v>0</v>
      </c>
      <c r="AH21" s="29" t="n">
        <f aca="false">SUMIFS('Outages (event ledger)'!$H$2:$H$65,'Outages (event ledger)'!$A$2:$A$65,AH$2,'Outages (event ledger)'!$E$2:$E$65,"&lt;="&amp;$B21,'Outages (event ledger)'!$G$2:$G$65,"&gt;="&amp;$B21)</f>
        <v>0</v>
      </c>
      <c r="AI21" s="29" t="n">
        <f aca="false">SUMIFS('Outages (event ledger)'!$H$2:$H$65,'Outages (event ledger)'!$A$2:$A$65,AI$2,'Outages (event ledger)'!$E$2:$E$65,"&lt;="&amp;$B21,'Outages (event ledger)'!$G$2:$G$65,"&gt;="&amp;$B21)</f>
        <v>0</v>
      </c>
      <c r="AJ21" s="29" t="n">
        <f aca="false">SUMIFS('Outages (event ledger)'!$H$2:$H$65,'Outages (event ledger)'!$A$2:$A$65,AJ$2,'Outages (event ledger)'!$E$2:$E$65,"&lt;="&amp;$B21,'Outages (event ledger)'!$G$2:$G$65,"&gt;="&amp;$B21)</f>
        <v>0</v>
      </c>
      <c r="AK21" s="29" t="n">
        <f aca="false">SUMIFS('Outages (event ledger)'!$H$2:$H$65,'Outages (event ledger)'!$A$2:$A$65,AK$2,'Outages (event ledger)'!$E$2:$E$65,"&lt;="&amp;$B21,'Outages (event ledger)'!$G$2:$G$65,"&gt;="&amp;$B21)</f>
        <v>0</v>
      </c>
      <c r="AL21" s="29" t="n">
        <f aca="false">SUMIFS('Outages (event ledger)'!$H$2:$H$65,'Outages (event ledger)'!$A$2:$A$65,AL$2,'Outages (event ledger)'!$E$2:$E$65,"&lt;="&amp;$B21,'Outages (event ledger)'!$G$2:$G$65,"&gt;="&amp;$B21)</f>
        <v>0</v>
      </c>
      <c r="AM21" s="29" t="n">
        <f aca="false">SUMIFS('Outages (event ledger)'!$H$2:$H$65,'Outages (event ledger)'!$A$2:$A$65,AM$2,'Outages (event ledger)'!$E$2:$E$65,"&lt;="&amp;$B21,'Outages (event ledger)'!$G$2:$G$65,"&gt;="&amp;$B21)</f>
        <v>0</v>
      </c>
      <c r="AN21" s="29" t="n">
        <f aca="false">SUMIFS('Outages (event ledger)'!$H$2:$H$65,'Outages (event ledger)'!$A$2:$A$65,AN$2,'Outages (event ledger)'!$E$2:$E$65,"&lt;="&amp;$B21,'Outages (event ledger)'!$G$2:$G$65,"&gt;="&amp;$B21)</f>
        <v>0</v>
      </c>
      <c r="AO21" s="29" t="n">
        <f aca="false">SUMIFS('Outages (event ledger)'!$H$2:$H$65,'Outages (event ledger)'!$A$2:$A$65,AO$2,'Outages (event ledger)'!$E$2:$E$65,"&lt;="&amp;$B21,'Outages (event ledger)'!$G$2:$G$65,"&gt;="&amp;$B21)</f>
        <v>0</v>
      </c>
      <c r="AP21" s="29" t="n">
        <f aca="false">SUMIFS('Outages (event ledger)'!$H$2:$H$65,'Outages (event ledger)'!$A$2:$A$65,AP$2,'Outages (event ledger)'!$E$2:$E$65,"&lt;="&amp;$B21,'Outages (event ledger)'!$G$2:$G$65,"&gt;="&amp;$B21)</f>
        <v>0</v>
      </c>
      <c r="AQ21" s="29" t="n">
        <f aca="false">SUMIFS('Outages (event ledger)'!$H$2:$H$65,'Outages (event ledger)'!$A$2:$A$65,AQ$2,'Outages (event ledger)'!$E$2:$E$65,"&lt;="&amp;$B21,'Outages (event ledger)'!$G$2:$G$65,"&gt;="&amp;$B21)</f>
        <v>0</v>
      </c>
      <c r="AR21" s="29" t="n">
        <f aca="false">SUMIFS('Outages (event ledger)'!$H$2:$H$65,'Outages (event ledger)'!$A$2:$A$65,AR$2,'Outages (event ledger)'!$E$2:$E$65,"&lt;="&amp;$B21,'Outages (event ledger)'!$G$2:$G$65,"&gt;="&amp;$B21)</f>
        <v>0</v>
      </c>
      <c r="AS21" s="29" t="n">
        <f aca="false">SUMIFS('Outages (event ledger)'!$H$2:$H$65,'Outages (event ledger)'!$A$2:$A$65,AS$2,'Outages (event ledger)'!$E$2:$E$65,"&lt;="&amp;$B21,'Outages (event ledger)'!$G$2:$G$65,"&gt;="&amp;$B21)</f>
        <v>0</v>
      </c>
      <c r="AT21" s="29" t="n">
        <f aca="false">SUMIFS('Outages (event ledger)'!$H$2:$H$65,'Outages (event ledger)'!$A$2:$A$65,AT$2,'Outages (event ledger)'!$E$2:$E$65,"&lt;="&amp;$B21,'Outages (event ledger)'!$G$2:$G$65,"&gt;="&amp;$B21)</f>
        <v>0</v>
      </c>
      <c r="AU21" s="29" t="n">
        <f aca="false">SUMIFS('Outages (event ledger)'!$H$2:$H$65,'Outages (event ledger)'!$A$2:$A$65,AU$2,'Outages (event ledger)'!$E$2:$E$65,"&lt;="&amp;$B21,'Outages (event ledger)'!$G$2:$G$65,"&gt;="&amp;$B21)</f>
        <v>0</v>
      </c>
      <c r="AV21" s="29" t="n">
        <f aca="false">SUMIFS('Outages (event ledger)'!$H$2:$H$65,'Outages (event ledger)'!$A$2:$A$65,AV$2,'Outages (event ledger)'!$E$2:$E$65,"&lt;="&amp;$B21,'Outages (event ledger)'!$G$2:$G$65,"&gt;="&amp;$B21)</f>
        <v>0</v>
      </c>
      <c r="AW21" s="29" t="n">
        <f aca="false">SUMIFS('Outages (event ledger)'!$H$2:$H$65,'Outages (event ledger)'!$A$2:$A$65,AW$2,'Outages (event ledger)'!$E$2:$E$65,"&lt;="&amp;$B21,'Outages (event ledger)'!$G$2:$G$65,"&gt;="&amp;$B21)</f>
        <v>0</v>
      </c>
      <c r="AX21" s="29" t="n">
        <f aca="false">SUMIFS('Outages (event ledger)'!$H$2:$H$65,'Outages (event ledger)'!$A$2:$A$65,AX$2,'Outages (event ledger)'!$E$2:$E$65,"&lt;="&amp;$B21,'Outages (event ledger)'!$G$2:$G$65,"&gt;="&amp;$B21)</f>
        <v>0</v>
      </c>
      <c r="AY21" s="29" t="n">
        <f aca="false">SUMIFS('Outages (event ledger)'!$H$2:$H$65,'Outages (event ledger)'!$A$2:$A$65,AY$2,'Outages (event ledger)'!$E$2:$E$65,"&lt;="&amp;$B21,'Outages (event ledger)'!$G$2:$G$65,"&gt;="&amp;$B21)</f>
        <v>0</v>
      </c>
      <c r="AZ21" s="29" t="n">
        <f aca="false">SUMIFS('Outages (event ledger)'!$H$2:$H$65,'Outages (event ledger)'!$A$2:$A$65,AZ$2,'Outages (event ledger)'!$E$2:$E$65,"&lt;="&amp;$B21,'Outages (event ledger)'!$G$2:$G$65,"&gt;="&amp;$B21)</f>
        <v>0</v>
      </c>
      <c r="BA21" s="29" t="n">
        <f aca="false">SUMIFS('Outages (event ledger)'!$H$2:$H$65,'Outages (event ledger)'!$A$2:$A$65,BA$2,'Outages (event ledger)'!$E$2:$E$65,"&lt;="&amp;$B21,'Outages (event ledger)'!$G$2:$G$65,"&gt;="&amp;$B21)</f>
        <v>0</v>
      </c>
      <c r="BB21" s="29" t="n">
        <f aca="false">SUMIFS('Outages (event ledger)'!$H$2:$H$65,'Outages (event ledger)'!$A$2:$A$65,BB$2,'Outages (event ledger)'!$E$2:$E$65,"&lt;="&amp;$B21,'Outages (event ledger)'!$G$2:$G$65,"&gt;="&amp;$B21)</f>
        <v>0</v>
      </c>
      <c r="BC21" s="29" t="n">
        <f aca="false">SUMIFS('Outages (event ledger)'!$H$2:$H$65,'Outages (event ledger)'!$A$2:$A$65,BC$2,'Outages (event ledger)'!$E$2:$E$65,"&lt;="&amp;$B21,'Outages (event ledger)'!$G$2:$G$65,"&gt;="&amp;$B21)</f>
        <v>0</v>
      </c>
      <c r="BD21" s="29" t="n">
        <f aca="false">SUMIFS('Outages (event ledger)'!$H$2:$H$65,'Outages (event ledger)'!$A$2:$A$65,BD$2,'Outages (event ledger)'!$E$2:$E$65,"&lt;="&amp;$B21,'Outages (event ledger)'!$G$2:$G$65,"&gt;="&amp;$B21)</f>
        <v>0</v>
      </c>
      <c r="BE21" s="29" t="n">
        <f aca="false">SUMIFS('Outages (event ledger)'!$H$2:$H$65,'Outages (event ledger)'!$A$2:$A$65,BE$2,'Outages (event ledger)'!$E$2:$E$65,"&lt;="&amp;$B21,'Outages (event ledger)'!$G$2:$G$65,"&gt;="&amp;$B21)</f>
        <v>0</v>
      </c>
      <c r="BF21" s="29" t="n">
        <f aca="false">SUMIFS('Outages (event ledger)'!$H$2:$H$65,'Outages (event ledger)'!$A$2:$A$65,BF$2,'Outages (event ledger)'!$E$2:$E$65,"&lt;="&amp;$B21,'Outages (event ledger)'!$G$2:$G$65,"&gt;="&amp;$B21)</f>
        <v>0</v>
      </c>
      <c r="BG21" s="29" t="n">
        <f aca="false">SUMIFS('Outages (event ledger)'!$H$2:$H$65,'Outages (event ledger)'!$A$2:$A$65,BG$2,'Outages (event ledger)'!$E$2:$E$65,"&lt;="&amp;$B21,'Outages (event ledger)'!$G$2:$G$65,"&gt;="&amp;$B21)</f>
        <v>0</v>
      </c>
      <c r="BH21" s="29" t="n">
        <f aca="false">SUMIFS('Outages (event ledger)'!$H$2:$H$65,'Outages (event ledger)'!$A$2:$A$65,BH$2,'Outages (event ledger)'!$E$2:$E$65,"&lt;="&amp;$B21,'Outages (event ledger)'!$G$2:$G$65,"&gt;="&amp;$B21)</f>
        <v>0</v>
      </c>
      <c r="BI21" s="29" t="n">
        <f aca="false">SUMIFS('Outages (event ledger)'!$H$2:$H$65,'Outages (event ledger)'!$A$2:$A$65,BI$2,'Outages (event ledger)'!$E$2:$E$65,"&lt;="&amp;$B21,'Outages (event ledger)'!$G$2:$G$65,"&gt;="&amp;$B21)</f>
        <v>0</v>
      </c>
    </row>
    <row r="22" customFormat="false" ht="15" hidden="false" customHeight="false" outlineLevel="0" collapsed="false">
      <c r="A22" s="27" t="n">
        <v>40756</v>
      </c>
      <c r="B22" s="28" t="n">
        <v>201108</v>
      </c>
      <c r="C22" s="25" t="n">
        <f aca="false">SUM(D22:BI22)</f>
        <v>8</v>
      </c>
      <c r="D22" s="29" t="n">
        <f aca="false">SUMIFS('Outages (event ledger)'!$H$2:$H$65,'Outages (event ledger)'!$A$2:$A$65,D$2,'Outages (event ledger)'!$E$2:$E$65,"&lt;="&amp;$B22,'Outages (event ledger)'!$G$2:$G$65,"&gt;="&amp;$B22)</f>
        <v>0</v>
      </c>
      <c r="E22" s="29" t="n">
        <f aca="false">SUMIFS('Outages (event ledger)'!$H$2:$H$65,'Outages (event ledger)'!$A$2:$A$65,E$2,'Outages (event ledger)'!$E$2:$E$65,"&lt;="&amp;$B22,'Outages (event ledger)'!$G$2:$G$65,"&gt;="&amp;$B22)</f>
        <v>0</v>
      </c>
      <c r="F22" s="29" t="n">
        <f aca="false">SUMIFS('Outages (event ledger)'!$H$2:$H$65,'Outages (event ledger)'!$A$2:$A$65,F$2,'Outages (event ledger)'!$E$2:$E$65,"&lt;="&amp;$B22,'Outages (event ledger)'!$G$2:$G$65,"&gt;="&amp;$B22)</f>
        <v>0</v>
      </c>
      <c r="G22" s="29" t="n">
        <f aca="false">SUMIFS('Outages (event ledger)'!$H$2:$H$65,'Outages (event ledger)'!$A$2:$A$65,G$2,'Outages (event ledger)'!$E$2:$E$65,"&lt;="&amp;$B22,'Outages (event ledger)'!$G$2:$G$65,"&gt;="&amp;$B22)</f>
        <v>0</v>
      </c>
      <c r="H22" s="29" t="n">
        <f aca="false">SUMIFS('Outages (event ledger)'!$H$2:$H$65,'Outages (event ledger)'!$A$2:$A$65,H$2,'Outages (event ledger)'!$E$2:$E$65,"&lt;="&amp;$B22,'Outages (event ledger)'!$G$2:$G$65,"&gt;="&amp;$B22)</f>
        <v>0</v>
      </c>
      <c r="I22" s="29" t="n">
        <f aca="false">SUMIFS('Outages (event ledger)'!$H$2:$H$65,'Outages (event ledger)'!$A$2:$A$65,I$2,'Outages (event ledger)'!$E$2:$E$65,"&lt;="&amp;$B22,'Outages (event ledger)'!$G$2:$G$65,"&gt;="&amp;$B22)</f>
        <v>0</v>
      </c>
      <c r="J22" s="29" t="n">
        <f aca="false">SUMIFS('Outages (event ledger)'!$H$2:$H$65,'Outages (event ledger)'!$A$2:$A$65,J$2,'Outages (event ledger)'!$E$2:$E$65,"&lt;="&amp;$B22,'Outages (event ledger)'!$G$2:$G$65,"&gt;="&amp;$B22)</f>
        <v>0</v>
      </c>
      <c r="K22" s="29" t="n">
        <f aca="false">SUMIFS('Outages (event ledger)'!$H$2:$H$65,'Outages (event ledger)'!$A$2:$A$65,K$2,'Outages (event ledger)'!$E$2:$E$65,"&lt;="&amp;$B22,'Outages (event ledger)'!$G$2:$G$65,"&gt;="&amp;$B22)</f>
        <v>0</v>
      </c>
      <c r="L22" s="29" t="n">
        <f aca="false">SUMIFS('Outages (event ledger)'!$H$2:$H$65,'Outages (event ledger)'!$A$2:$A$65,L$2,'Outages (event ledger)'!$E$2:$E$65,"&lt;="&amp;$B22,'Outages (event ledger)'!$G$2:$G$65,"&gt;="&amp;$B22)</f>
        <v>0</v>
      </c>
      <c r="M22" s="29" t="n">
        <f aca="false">SUMIFS('Outages (event ledger)'!$H$2:$H$65,'Outages (event ledger)'!$A$2:$A$65,M$2,'Outages (event ledger)'!$E$2:$E$65,"&lt;="&amp;$B22,'Outages (event ledger)'!$G$2:$G$65,"&gt;="&amp;$B22)</f>
        <v>0</v>
      </c>
      <c r="N22" s="29" t="n">
        <f aca="false">SUMIFS('Outages (event ledger)'!$H$2:$H$65,'Outages (event ledger)'!$A$2:$A$65,N$2,'Outages (event ledger)'!$E$2:$E$65,"&lt;="&amp;$B22,'Outages (event ledger)'!$G$2:$G$65,"&gt;="&amp;$B22)</f>
        <v>0</v>
      </c>
      <c r="O22" s="29" t="n">
        <f aca="false">SUMIFS('Outages (event ledger)'!$H$2:$H$65,'Outages (event ledger)'!$A$2:$A$65,O$2,'Outages (event ledger)'!$E$2:$E$65,"&lt;="&amp;$B22,'Outages (event ledger)'!$G$2:$G$65,"&gt;="&amp;$B22)</f>
        <v>0</v>
      </c>
      <c r="P22" s="29" t="n">
        <f aca="false">SUMIFS('Outages (event ledger)'!$H$2:$H$65,'Outages (event ledger)'!$A$2:$A$65,P$2,'Outages (event ledger)'!$E$2:$E$65,"&lt;="&amp;$B22,'Outages (event ledger)'!$G$2:$G$65,"&gt;="&amp;$B22)</f>
        <v>0</v>
      </c>
      <c r="Q22" s="29" t="n">
        <f aca="false">SUMIFS('Outages (event ledger)'!$H$2:$H$65,'Outages (event ledger)'!$A$2:$A$65,Q$2,'Outages (event ledger)'!$E$2:$E$65,"&lt;="&amp;$B22,'Outages (event ledger)'!$G$2:$G$65,"&gt;="&amp;$B22)</f>
        <v>0</v>
      </c>
      <c r="R22" s="29" t="n">
        <f aca="false">SUMIFS('Outages (event ledger)'!$H$2:$H$65,'Outages (event ledger)'!$A$2:$A$65,R$2,'Outages (event ledger)'!$E$2:$E$65,"&lt;="&amp;$B22,'Outages (event ledger)'!$G$2:$G$65,"&gt;="&amp;$B22)</f>
        <v>0</v>
      </c>
      <c r="S22" s="29" t="n">
        <f aca="false">SUMIFS('Outages (event ledger)'!$H$2:$H$65,'Outages (event ledger)'!$A$2:$A$65,S$2,'Outages (event ledger)'!$E$2:$E$65,"&lt;="&amp;$B22,'Outages (event ledger)'!$G$2:$G$65,"&gt;="&amp;$B22)</f>
        <v>0</v>
      </c>
      <c r="T22" s="29" t="n">
        <f aca="false">SUMIFS('Outages (event ledger)'!$H$2:$H$65,'Outages (event ledger)'!$A$2:$A$65,T$2,'Outages (event ledger)'!$E$2:$E$65,"&lt;="&amp;$B22,'Outages (event ledger)'!$G$2:$G$65,"&gt;="&amp;$B22)</f>
        <v>0</v>
      </c>
      <c r="U22" s="29" t="n">
        <f aca="false">SUMIFS('Outages (event ledger)'!$H$2:$H$65,'Outages (event ledger)'!$A$2:$A$65,U$2,'Outages (event ledger)'!$E$2:$E$65,"&lt;="&amp;$B22,'Outages (event ledger)'!$G$2:$G$65,"&gt;="&amp;$B22)</f>
        <v>0</v>
      </c>
      <c r="V22" s="29" t="n">
        <f aca="false">SUMIFS('Outages (event ledger)'!$H$2:$H$65,'Outages (event ledger)'!$A$2:$A$65,V$2,'Outages (event ledger)'!$E$2:$E$65,"&lt;="&amp;$B22,'Outages (event ledger)'!$G$2:$G$65,"&gt;="&amp;$B22)</f>
        <v>0</v>
      </c>
      <c r="W22" s="29" t="n">
        <f aca="false">SUMIFS('Outages (event ledger)'!$H$2:$H$65,'Outages (event ledger)'!$A$2:$A$65,W$2,'Outages (event ledger)'!$E$2:$E$65,"&lt;="&amp;$B22,'Outages (event ledger)'!$G$2:$G$65,"&gt;="&amp;$B22)</f>
        <v>0</v>
      </c>
      <c r="X22" s="29" t="n">
        <f aca="false">SUMIFS('Outages (event ledger)'!$H$2:$H$65,'Outages (event ledger)'!$A$2:$A$65,X$2,'Outages (event ledger)'!$E$2:$E$65,"&lt;="&amp;$B22,'Outages (event ledger)'!$G$2:$G$65,"&gt;="&amp;$B22)</f>
        <v>0</v>
      </c>
      <c r="Y22" s="29" t="n">
        <f aca="false">SUMIFS('Outages (event ledger)'!$H$2:$H$65,'Outages (event ledger)'!$A$2:$A$65,Y$2,'Outages (event ledger)'!$E$2:$E$65,"&lt;="&amp;$B22,'Outages (event ledger)'!$G$2:$G$65,"&gt;="&amp;$B22)</f>
        <v>0</v>
      </c>
      <c r="Z22" s="29" t="n">
        <f aca="false">SUMIFS('Outages (event ledger)'!$H$2:$H$65,'Outages (event ledger)'!$A$2:$A$65,Z$2,'Outages (event ledger)'!$E$2:$E$65,"&lt;="&amp;$B22,'Outages (event ledger)'!$G$2:$G$65,"&gt;="&amp;$B22)</f>
        <v>0</v>
      </c>
      <c r="AA22" s="29" t="n">
        <f aca="false">SUMIFS('Outages (event ledger)'!$H$2:$H$65,'Outages (event ledger)'!$A$2:$A$65,AA$2,'Outages (event ledger)'!$E$2:$E$65,"&lt;="&amp;$B22,'Outages (event ledger)'!$G$2:$G$65,"&gt;="&amp;$B22)</f>
        <v>0</v>
      </c>
      <c r="AB22" s="29" t="n">
        <f aca="false">SUMIFS('Outages (event ledger)'!$H$2:$H$65,'Outages (event ledger)'!$A$2:$A$65,AB$2,'Outages (event ledger)'!$E$2:$E$65,"&lt;="&amp;$B22,'Outages (event ledger)'!$G$2:$G$65,"&gt;="&amp;$B22)</f>
        <v>8</v>
      </c>
      <c r="AC22" s="29" t="n">
        <f aca="false">SUMIFS('Outages (event ledger)'!$H$2:$H$65,'Outages (event ledger)'!$A$2:$A$65,AC$2,'Outages (event ledger)'!$E$2:$E$65,"&lt;="&amp;$B22,'Outages (event ledger)'!$G$2:$G$65,"&gt;="&amp;$B22)</f>
        <v>0</v>
      </c>
      <c r="AD22" s="29" t="n">
        <f aca="false">SUMIFS('Outages (event ledger)'!$H$2:$H$65,'Outages (event ledger)'!$A$2:$A$65,AD$2,'Outages (event ledger)'!$E$2:$E$65,"&lt;="&amp;$B22,'Outages (event ledger)'!$G$2:$G$65,"&gt;="&amp;$B22)</f>
        <v>0</v>
      </c>
      <c r="AE22" s="29" t="n">
        <f aca="false">SUMIFS('Outages (event ledger)'!$H$2:$H$65,'Outages (event ledger)'!$A$2:$A$65,AE$2,'Outages (event ledger)'!$E$2:$E$65,"&lt;="&amp;$B22,'Outages (event ledger)'!$G$2:$G$65,"&gt;="&amp;$B22)</f>
        <v>0</v>
      </c>
      <c r="AF22" s="29" t="n">
        <f aca="false">SUMIFS('Outages (event ledger)'!$H$2:$H$65,'Outages (event ledger)'!$A$2:$A$65,AF$2,'Outages (event ledger)'!$E$2:$E$65,"&lt;="&amp;$B22,'Outages (event ledger)'!$G$2:$G$65,"&gt;="&amp;$B22)</f>
        <v>0</v>
      </c>
      <c r="AG22" s="29" t="n">
        <f aca="false">SUMIFS('Outages (event ledger)'!$H$2:$H$65,'Outages (event ledger)'!$A$2:$A$65,AG$2,'Outages (event ledger)'!$E$2:$E$65,"&lt;="&amp;$B22,'Outages (event ledger)'!$G$2:$G$65,"&gt;="&amp;$B22)</f>
        <v>0</v>
      </c>
      <c r="AH22" s="29" t="n">
        <f aca="false">SUMIFS('Outages (event ledger)'!$H$2:$H$65,'Outages (event ledger)'!$A$2:$A$65,AH$2,'Outages (event ledger)'!$E$2:$E$65,"&lt;="&amp;$B22,'Outages (event ledger)'!$G$2:$G$65,"&gt;="&amp;$B22)</f>
        <v>0</v>
      </c>
      <c r="AI22" s="29" t="n">
        <f aca="false">SUMIFS('Outages (event ledger)'!$H$2:$H$65,'Outages (event ledger)'!$A$2:$A$65,AI$2,'Outages (event ledger)'!$E$2:$E$65,"&lt;="&amp;$B22,'Outages (event ledger)'!$G$2:$G$65,"&gt;="&amp;$B22)</f>
        <v>0</v>
      </c>
      <c r="AJ22" s="29" t="n">
        <f aca="false">SUMIFS('Outages (event ledger)'!$H$2:$H$65,'Outages (event ledger)'!$A$2:$A$65,AJ$2,'Outages (event ledger)'!$E$2:$E$65,"&lt;="&amp;$B22,'Outages (event ledger)'!$G$2:$G$65,"&gt;="&amp;$B22)</f>
        <v>0</v>
      </c>
      <c r="AK22" s="29" t="n">
        <f aca="false">SUMIFS('Outages (event ledger)'!$H$2:$H$65,'Outages (event ledger)'!$A$2:$A$65,AK$2,'Outages (event ledger)'!$E$2:$E$65,"&lt;="&amp;$B22,'Outages (event ledger)'!$G$2:$G$65,"&gt;="&amp;$B22)</f>
        <v>0</v>
      </c>
      <c r="AL22" s="29" t="n">
        <f aca="false">SUMIFS('Outages (event ledger)'!$H$2:$H$65,'Outages (event ledger)'!$A$2:$A$65,AL$2,'Outages (event ledger)'!$E$2:$E$65,"&lt;="&amp;$B22,'Outages (event ledger)'!$G$2:$G$65,"&gt;="&amp;$B22)</f>
        <v>0</v>
      </c>
      <c r="AM22" s="29" t="n">
        <f aca="false">SUMIFS('Outages (event ledger)'!$H$2:$H$65,'Outages (event ledger)'!$A$2:$A$65,AM$2,'Outages (event ledger)'!$E$2:$E$65,"&lt;="&amp;$B22,'Outages (event ledger)'!$G$2:$G$65,"&gt;="&amp;$B22)</f>
        <v>0</v>
      </c>
      <c r="AN22" s="29" t="n">
        <f aca="false">SUMIFS('Outages (event ledger)'!$H$2:$H$65,'Outages (event ledger)'!$A$2:$A$65,AN$2,'Outages (event ledger)'!$E$2:$E$65,"&lt;="&amp;$B22,'Outages (event ledger)'!$G$2:$G$65,"&gt;="&amp;$B22)</f>
        <v>0</v>
      </c>
      <c r="AO22" s="29" t="n">
        <f aca="false">SUMIFS('Outages (event ledger)'!$H$2:$H$65,'Outages (event ledger)'!$A$2:$A$65,AO$2,'Outages (event ledger)'!$E$2:$E$65,"&lt;="&amp;$B22,'Outages (event ledger)'!$G$2:$G$65,"&gt;="&amp;$B22)</f>
        <v>0</v>
      </c>
      <c r="AP22" s="29" t="n">
        <f aca="false">SUMIFS('Outages (event ledger)'!$H$2:$H$65,'Outages (event ledger)'!$A$2:$A$65,AP$2,'Outages (event ledger)'!$E$2:$E$65,"&lt;="&amp;$B22,'Outages (event ledger)'!$G$2:$G$65,"&gt;="&amp;$B22)</f>
        <v>0</v>
      </c>
      <c r="AQ22" s="29" t="n">
        <f aca="false">SUMIFS('Outages (event ledger)'!$H$2:$H$65,'Outages (event ledger)'!$A$2:$A$65,AQ$2,'Outages (event ledger)'!$E$2:$E$65,"&lt;="&amp;$B22,'Outages (event ledger)'!$G$2:$G$65,"&gt;="&amp;$B22)</f>
        <v>0</v>
      </c>
      <c r="AR22" s="29" t="n">
        <f aca="false">SUMIFS('Outages (event ledger)'!$H$2:$H$65,'Outages (event ledger)'!$A$2:$A$65,AR$2,'Outages (event ledger)'!$E$2:$E$65,"&lt;="&amp;$B22,'Outages (event ledger)'!$G$2:$G$65,"&gt;="&amp;$B22)</f>
        <v>0</v>
      </c>
      <c r="AS22" s="29" t="n">
        <f aca="false">SUMIFS('Outages (event ledger)'!$H$2:$H$65,'Outages (event ledger)'!$A$2:$A$65,AS$2,'Outages (event ledger)'!$E$2:$E$65,"&lt;="&amp;$B22,'Outages (event ledger)'!$G$2:$G$65,"&gt;="&amp;$B22)</f>
        <v>0</v>
      </c>
      <c r="AT22" s="29" t="n">
        <f aca="false">SUMIFS('Outages (event ledger)'!$H$2:$H$65,'Outages (event ledger)'!$A$2:$A$65,AT$2,'Outages (event ledger)'!$E$2:$E$65,"&lt;="&amp;$B22,'Outages (event ledger)'!$G$2:$G$65,"&gt;="&amp;$B22)</f>
        <v>0</v>
      </c>
      <c r="AU22" s="29" t="n">
        <f aca="false">SUMIFS('Outages (event ledger)'!$H$2:$H$65,'Outages (event ledger)'!$A$2:$A$65,AU$2,'Outages (event ledger)'!$E$2:$E$65,"&lt;="&amp;$B22,'Outages (event ledger)'!$G$2:$G$65,"&gt;="&amp;$B22)</f>
        <v>0</v>
      </c>
      <c r="AV22" s="29" t="n">
        <f aca="false">SUMIFS('Outages (event ledger)'!$H$2:$H$65,'Outages (event ledger)'!$A$2:$A$65,AV$2,'Outages (event ledger)'!$E$2:$E$65,"&lt;="&amp;$B22,'Outages (event ledger)'!$G$2:$G$65,"&gt;="&amp;$B22)</f>
        <v>0</v>
      </c>
      <c r="AW22" s="29" t="n">
        <f aca="false">SUMIFS('Outages (event ledger)'!$H$2:$H$65,'Outages (event ledger)'!$A$2:$A$65,AW$2,'Outages (event ledger)'!$E$2:$E$65,"&lt;="&amp;$B22,'Outages (event ledger)'!$G$2:$G$65,"&gt;="&amp;$B22)</f>
        <v>0</v>
      </c>
      <c r="AX22" s="29" t="n">
        <f aca="false">SUMIFS('Outages (event ledger)'!$H$2:$H$65,'Outages (event ledger)'!$A$2:$A$65,AX$2,'Outages (event ledger)'!$E$2:$E$65,"&lt;="&amp;$B22,'Outages (event ledger)'!$G$2:$G$65,"&gt;="&amp;$B22)</f>
        <v>0</v>
      </c>
      <c r="AY22" s="29" t="n">
        <f aca="false">SUMIFS('Outages (event ledger)'!$H$2:$H$65,'Outages (event ledger)'!$A$2:$A$65,AY$2,'Outages (event ledger)'!$E$2:$E$65,"&lt;="&amp;$B22,'Outages (event ledger)'!$G$2:$G$65,"&gt;="&amp;$B22)</f>
        <v>0</v>
      </c>
      <c r="AZ22" s="29" t="n">
        <f aca="false">SUMIFS('Outages (event ledger)'!$H$2:$H$65,'Outages (event ledger)'!$A$2:$A$65,AZ$2,'Outages (event ledger)'!$E$2:$E$65,"&lt;="&amp;$B22,'Outages (event ledger)'!$G$2:$G$65,"&gt;="&amp;$B22)</f>
        <v>0</v>
      </c>
      <c r="BA22" s="29" t="n">
        <f aca="false">SUMIFS('Outages (event ledger)'!$H$2:$H$65,'Outages (event ledger)'!$A$2:$A$65,BA$2,'Outages (event ledger)'!$E$2:$E$65,"&lt;="&amp;$B22,'Outages (event ledger)'!$G$2:$G$65,"&gt;="&amp;$B22)</f>
        <v>0</v>
      </c>
      <c r="BB22" s="29" t="n">
        <f aca="false">SUMIFS('Outages (event ledger)'!$H$2:$H$65,'Outages (event ledger)'!$A$2:$A$65,BB$2,'Outages (event ledger)'!$E$2:$E$65,"&lt;="&amp;$B22,'Outages (event ledger)'!$G$2:$G$65,"&gt;="&amp;$B22)</f>
        <v>0</v>
      </c>
      <c r="BC22" s="29" t="n">
        <f aca="false">SUMIFS('Outages (event ledger)'!$H$2:$H$65,'Outages (event ledger)'!$A$2:$A$65,BC$2,'Outages (event ledger)'!$E$2:$E$65,"&lt;="&amp;$B22,'Outages (event ledger)'!$G$2:$G$65,"&gt;="&amp;$B22)</f>
        <v>0</v>
      </c>
      <c r="BD22" s="29" t="n">
        <f aca="false">SUMIFS('Outages (event ledger)'!$H$2:$H$65,'Outages (event ledger)'!$A$2:$A$65,BD$2,'Outages (event ledger)'!$E$2:$E$65,"&lt;="&amp;$B22,'Outages (event ledger)'!$G$2:$G$65,"&gt;="&amp;$B22)</f>
        <v>0</v>
      </c>
      <c r="BE22" s="29" t="n">
        <f aca="false">SUMIFS('Outages (event ledger)'!$H$2:$H$65,'Outages (event ledger)'!$A$2:$A$65,BE$2,'Outages (event ledger)'!$E$2:$E$65,"&lt;="&amp;$B22,'Outages (event ledger)'!$G$2:$G$65,"&gt;="&amp;$B22)</f>
        <v>0</v>
      </c>
      <c r="BF22" s="29" t="n">
        <f aca="false">SUMIFS('Outages (event ledger)'!$H$2:$H$65,'Outages (event ledger)'!$A$2:$A$65,BF$2,'Outages (event ledger)'!$E$2:$E$65,"&lt;="&amp;$B22,'Outages (event ledger)'!$G$2:$G$65,"&gt;="&amp;$B22)</f>
        <v>0</v>
      </c>
      <c r="BG22" s="29" t="n">
        <f aca="false">SUMIFS('Outages (event ledger)'!$H$2:$H$65,'Outages (event ledger)'!$A$2:$A$65,BG$2,'Outages (event ledger)'!$E$2:$E$65,"&lt;="&amp;$B22,'Outages (event ledger)'!$G$2:$G$65,"&gt;="&amp;$B22)</f>
        <v>0</v>
      </c>
      <c r="BH22" s="29" t="n">
        <f aca="false">SUMIFS('Outages (event ledger)'!$H$2:$H$65,'Outages (event ledger)'!$A$2:$A$65,BH$2,'Outages (event ledger)'!$E$2:$E$65,"&lt;="&amp;$B22,'Outages (event ledger)'!$G$2:$G$65,"&gt;="&amp;$B22)</f>
        <v>0</v>
      </c>
      <c r="BI22" s="29" t="n">
        <f aca="false">SUMIFS('Outages (event ledger)'!$H$2:$H$65,'Outages (event ledger)'!$A$2:$A$65,BI$2,'Outages (event ledger)'!$E$2:$E$65,"&lt;="&amp;$B22,'Outages (event ledger)'!$G$2:$G$65,"&gt;="&amp;$B22)</f>
        <v>0</v>
      </c>
    </row>
    <row r="23" customFormat="false" ht="15" hidden="false" customHeight="false" outlineLevel="0" collapsed="false">
      <c r="A23" s="27" t="n">
        <v>40787</v>
      </c>
      <c r="B23" s="28" t="n">
        <v>201109</v>
      </c>
      <c r="C23" s="25" t="n">
        <f aca="false">SUM(D23:BI23)</f>
        <v>8</v>
      </c>
      <c r="D23" s="29" t="n">
        <f aca="false">SUMIFS('Outages (event ledger)'!$H$2:$H$65,'Outages (event ledger)'!$A$2:$A$65,D$2,'Outages (event ledger)'!$E$2:$E$65,"&lt;="&amp;$B23,'Outages (event ledger)'!$G$2:$G$65,"&gt;="&amp;$B23)</f>
        <v>0</v>
      </c>
      <c r="E23" s="29" t="n">
        <f aca="false">SUMIFS('Outages (event ledger)'!$H$2:$H$65,'Outages (event ledger)'!$A$2:$A$65,E$2,'Outages (event ledger)'!$E$2:$E$65,"&lt;="&amp;$B23,'Outages (event ledger)'!$G$2:$G$65,"&gt;="&amp;$B23)</f>
        <v>0</v>
      </c>
      <c r="F23" s="29" t="n">
        <f aca="false">SUMIFS('Outages (event ledger)'!$H$2:$H$65,'Outages (event ledger)'!$A$2:$A$65,F$2,'Outages (event ledger)'!$E$2:$E$65,"&lt;="&amp;$B23,'Outages (event ledger)'!$G$2:$G$65,"&gt;="&amp;$B23)</f>
        <v>0</v>
      </c>
      <c r="G23" s="29" t="n">
        <f aca="false">SUMIFS('Outages (event ledger)'!$H$2:$H$65,'Outages (event ledger)'!$A$2:$A$65,G$2,'Outages (event ledger)'!$E$2:$E$65,"&lt;="&amp;$B23,'Outages (event ledger)'!$G$2:$G$65,"&gt;="&amp;$B23)</f>
        <v>0</v>
      </c>
      <c r="H23" s="29" t="n">
        <f aca="false">SUMIFS('Outages (event ledger)'!$H$2:$H$65,'Outages (event ledger)'!$A$2:$A$65,H$2,'Outages (event ledger)'!$E$2:$E$65,"&lt;="&amp;$B23,'Outages (event ledger)'!$G$2:$G$65,"&gt;="&amp;$B23)</f>
        <v>0</v>
      </c>
      <c r="I23" s="29" t="n">
        <f aca="false">SUMIFS('Outages (event ledger)'!$H$2:$H$65,'Outages (event ledger)'!$A$2:$A$65,I$2,'Outages (event ledger)'!$E$2:$E$65,"&lt;="&amp;$B23,'Outages (event ledger)'!$G$2:$G$65,"&gt;="&amp;$B23)</f>
        <v>0</v>
      </c>
      <c r="J23" s="29" t="n">
        <f aca="false">SUMIFS('Outages (event ledger)'!$H$2:$H$65,'Outages (event ledger)'!$A$2:$A$65,J$2,'Outages (event ledger)'!$E$2:$E$65,"&lt;="&amp;$B23,'Outages (event ledger)'!$G$2:$G$65,"&gt;="&amp;$B23)</f>
        <v>0</v>
      </c>
      <c r="K23" s="29" t="n">
        <f aca="false">SUMIFS('Outages (event ledger)'!$H$2:$H$65,'Outages (event ledger)'!$A$2:$A$65,K$2,'Outages (event ledger)'!$E$2:$E$65,"&lt;="&amp;$B23,'Outages (event ledger)'!$G$2:$G$65,"&gt;="&amp;$B23)</f>
        <v>0</v>
      </c>
      <c r="L23" s="29" t="n">
        <f aca="false">SUMIFS('Outages (event ledger)'!$H$2:$H$65,'Outages (event ledger)'!$A$2:$A$65,L$2,'Outages (event ledger)'!$E$2:$E$65,"&lt;="&amp;$B23,'Outages (event ledger)'!$G$2:$G$65,"&gt;="&amp;$B23)</f>
        <v>0</v>
      </c>
      <c r="M23" s="29" t="n">
        <f aca="false">SUMIFS('Outages (event ledger)'!$H$2:$H$65,'Outages (event ledger)'!$A$2:$A$65,M$2,'Outages (event ledger)'!$E$2:$E$65,"&lt;="&amp;$B23,'Outages (event ledger)'!$G$2:$G$65,"&gt;="&amp;$B23)</f>
        <v>0</v>
      </c>
      <c r="N23" s="29" t="n">
        <f aca="false">SUMIFS('Outages (event ledger)'!$H$2:$H$65,'Outages (event ledger)'!$A$2:$A$65,N$2,'Outages (event ledger)'!$E$2:$E$65,"&lt;="&amp;$B23,'Outages (event ledger)'!$G$2:$G$65,"&gt;="&amp;$B23)</f>
        <v>0</v>
      </c>
      <c r="O23" s="29" t="n">
        <f aca="false">SUMIFS('Outages (event ledger)'!$H$2:$H$65,'Outages (event ledger)'!$A$2:$A$65,O$2,'Outages (event ledger)'!$E$2:$E$65,"&lt;="&amp;$B23,'Outages (event ledger)'!$G$2:$G$65,"&gt;="&amp;$B23)</f>
        <v>0</v>
      </c>
      <c r="P23" s="29" t="n">
        <f aca="false">SUMIFS('Outages (event ledger)'!$H$2:$H$65,'Outages (event ledger)'!$A$2:$A$65,P$2,'Outages (event ledger)'!$E$2:$E$65,"&lt;="&amp;$B23,'Outages (event ledger)'!$G$2:$G$65,"&gt;="&amp;$B23)</f>
        <v>0</v>
      </c>
      <c r="Q23" s="29" t="n">
        <f aca="false">SUMIFS('Outages (event ledger)'!$H$2:$H$65,'Outages (event ledger)'!$A$2:$A$65,Q$2,'Outages (event ledger)'!$E$2:$E$65,"&lt;="&amp;$B23,'Outages (event ledger)'!$G$2:$G$65,"&gt;="&amp;$B23)</f>
        <v>0</v>
      </c>
      <c r="R23" s="29" t="n">
        <f aca="false">SUMIFS('Outages (event ledger)'!$H$2:$H$65,'Outages (event ledger)'!$A$2:$A$65,R$2,'Outages (event ledger)'!$E$2:$E$65,"&lt;="&amp;$B23,'Outages (event ledger)'!$G$2:$G$65,"&gt;="&amp;$B23)</f>
        <v>0</v>
      </c>
      <c r="S23" s="29" t="n">
        <f aca="false">SUMIFS('Outages (event ledger)'!$H$2:$H$65,'Outages (event ledger)'!$A$2:$A$65,S$2,'Outages (event ledger)'!$E$2:$E$65,"&lt;="&amp;$B23,'Outages (event ledger)'!$G$2:$G$65,"&gt;="&amp;$B23)</f>
        <v>0</v>
      </c>
      <c r="T23" s="29" t="n">
        <f aca="false">SUMIFS('Outages (event ledger)'!$H$2:$H$65,'Outages (event ledger)'!$A$2:$A$65,T$2,'Outages (event ledger)'!$E$2:$E$65,"&lt;="&amp;$B23,'Outages (event ledger)'!$G$2:$G$65,"&gt;="&amp;$B23)</f>
        <v>0</v>
      </c>
      <c r="U23" s="29" t="n">
        <f aca="false">SUMIFS('Outages (event ledger)'!$H$2:$H$65,'Outages (event ledger)'!$A$2:$A$65,U$2,'Outages (event ledger)'!$E$2:$E$65,"&lt;="&amp;$B23,'Outages (event ledger)'!$G$2:$G$65,"&gt;="&amp;$B23)</f>
        <v>0</v>
      </c>
      <c r="V23" s="29" t="n">
        <f aca="false">SUMIFS('Outages (event ledger)'!$H$2:$H$65,'Outages (event ledger)'!$A$2:$A$65,V$2,'Outages (event ledger)'!$E$2:$E$65,"&lt;="&amp;$B23,'Outages (event ledger)'!$G$2:$G$65,"&gt;="&amp;$B23)</f>
        <v>0</v>
      </c>
      <c r="W23" s="29" t="n">
        <f aca="false">SUMIFS('Outages (event ledger)'!$H$2:$H$65,'Outages (event ledger)'!$A$2:$A$65,W$2,'Outages (event ledger)'!$E$2:$E$65,"&lt;="&amp;$B23,'Outages (event ledger)'!$G$2:$G$65,"&gt;="&amp;$B23)</f>
        <v>0</v>
      </c>
      <c r="X23" s="29" t="n">
        <f aca="false">SUMIFS('Outages (event ledger)'!$H$2:$H$65,'Outages (event ledger)'!$A$2:$A$65,X$2,'Outages (event ledger)'!$E$2:$E$65,"&lt;="&amp;$B23,'Outages (event ledger)'!$G$2:$G$65,"&gt;="&amp;$B23)</f>
        <v>0</v>
      </c>
      <c r="Y23" s="29" t="n">
        <f aca="false">SUMIFS('Outages (event ledger)'!$H$2:$H$65,'Outages (event ledger)'!$A$2:$A$65,Y$2,'Outages (event ledger)'!$E$2:$E$65,"&lt;="&amp;$B23,'Outages (event ledger)'!$G$2:$G$65,"&gt;="&amp;$B23)</f>
        <v>0</v>
      </c>
      <c r="Z23" s="29" t="n">
        <f aca="false">SUMIFS('Outages (event ledger)'!$H$2:$H$65,'Outages (event ledger)'!$A$2:$A$65,Z$2,'Outages (event ledger)'!$E$2:$E$65,"&lt;="&amp;$B23,'Outages (event ledger)'!$G$2:$G$65,"&gt;="&amp;$B23)</f>
        <v>0</v>
      </c>
      <c r="AA23" s="29" t="n">
        <f aca="false">SUMIFS('Outages (event ledger)'!$H$2:$H$65,'Outages (event ledger)'!$A$2:$A$65,AA$2,'Outages (event ledger)'!$E$2:$E$65,"&lt;="&amp;$B23,'Outages (event ledger)'!$G$2:$G$65,"&gt;="&amp;$B23)</f>
        <v>0</v>
      </c>
      <c r="AB23" s="29" t="n">
        <f aca="false">SUMIFS('Outages (event ledger)'!$H$2:$H$65,'Outages (event ledger)'!$A$2:$A$65,AB$2,'Outages (event ledger)'!$E$2:$E$65,"&lt;="&amp;$B23,'Outages (event ledger)'!$G$2:$G$65,"&gt;="&amp;$B23)</f>
        <v>8</v>
      </c>
      <c r="AC23" s="29" t="n">
        <f aca="false">SUMIFS('Outages (event ledger)'!$H$2:$H$65,'Outages (event ledger)'!$A$2:$A$65,AC$2,'Outages (event ledger)'!$E$2:$E$65,"&lt;="&amp;$B23,'Outages (event ledger)'!$G$2:$G$65,"&gt;="&amp;$B23)</f>
        <v>0</v>
      </c>
      <c r="AD23" s="29" t="n">
        <f aca="false">SUMIFS('Outages (event ledger)'!$H$2:$H$65,'Outages (event ledger)'!$A$2:$A$65,AD$2,'Outages (event ledger)'!$E$2:$E$65,"&lt;="&amp;$B23,'Outages (event ledger)'!$G$2:$G$65,"&gt;="&amp;$B23)</f>
        <v>0</v>
      </c>
      <c r="AE23" s="29" t="n">
        <f aca="false">SUMIFS('Outages (event ledger)'!$H$2:$H$65,'Outages (event ledger)'!$A$2:$A$65,AE$2,'Outages (event ledger)'!$E$2:$E$65,"&lt;="&amp;$B23,'Outages (event ledger)'!$G$2:$G$65,"&gt;="&amp;$B23)</f>
        <v>0</v>
      </c>
      <c r="AF23" s="29" t="n">
        <f aca="false">SUMIFS('Outages (event ledger)'!$H$2:$H$65,'Outages (event ledger)'!$A$2:$A$65,AF$2,'Outages (event ledger)'!$E$2:$E$65,"&lt;="&amp;$B23,'Outages (event ledger)'!$G$2:$G$65,"&gt;="&amp;$B23)</f>
        <v>0</v>
      </c>
      <c r="AG23" s="29" t="n">
        <f aca="false">SUMIFS('Outages (event ledger)'!$H$2:$H$65,'Outages (event ledger)'!$A$2:$A$65,AG$2,'Outages (event ledger)'!$E$2:$E$65,"&lt;="&amp;$B23,'Outages (event ledger)'!$G$2:$G$65,"&gt;="&amp;$B23)</f>
        <v>0</v>
      </c>
      <c r="AH23" s="29" t="n">
        <f aca="false">SUMIFS('Outages (event ledger)'!$H$2:$H$65,'Outages (event ledger)'!$A$2:$A$65,AH$2,'Outages (event ledger)'!$E$2:$E$65,"&lt;="&amp;$B23,'Outages (event ledger)'!$G$2:$G$65,"&gt;="&amp;$B23)</f>
        <v>0</v>
      </c>
      <c r="AI23" s="29" t="n">
        <f aca="false">SUMIFS('Outages (event ledger)'!$H$2:$H$65,'Outages (event ledger)'!$A$2:$A$65,AI$2,'Outages (event ledger)'!$E$2:$E$65,"&lt;="&amp;$B23,'Outages (event ledger)'!$G$2:$G$65,"&gt;="&amp;$B23)</f>
        <v>0</v>
      </c>
      <c r="AJ23" s="29" t="n">
        <f aca="false">SUMIFS('Outages (event ledger)'!$H$2:$H$65,'Outages (event ledger)'!$A$2:$A$65,AJ$2,'Outages (event ledger)'!$E$2:$E$65,"&lt;="&amp;$B23,'Outages (event ledger)'!$G$2:$G$65,"&gt;="&amp;$B23)</f>
        <v>0</v>
      </c>
      <c r="AK23" s="29" t="n">
        <f aca="false">SUMIFS('Outages (event ledger)'!$H$2:$H$65,'Outages (event ledger)'!$A$2:$A$65,AK$2,'Outages (event ledger)'!$E$2:$E$65,"&lt;="&amp;$B23,'Outages (event ledger)'!$G$2:$G$65,"&gt;="&amp;$B23)</f>
        <v>0</v>
      </c>
      <c r="AL23" s="29" t="n">
        <f aca="false">SUMIFS('Outages (event ledger)'!$H$2:$H$65,'Outages (event ledger)'!$A$2:$A$65,AL$2,'Outages (event ledger)'!$E$2:$E$65,"&lt;="&amp;$B23,'Outages (event ledger)'!$G$2:$G$65,"&gt;="&amp;$B23)</f>
        <v>0</v>
      </c>
      <c r="AM23" s="29" t="n">
        <f aca="false">SUMIFS('Outages (event ledger)'!$H$2:$H$65,'Outages (event ledger)'!$A$2:$A$65,AM$2,'Outages (event ledger)'!$E$2:$E$65,"&lt;="&amp;$B23,'Outages (event ledger)'!$G$2:$G$65,"&gt;="&amp;$B23)</f>
        <v>0</v>
      </c>
      <c r="AN23" s="29" t="n">
        <f aca="false">SUMIFS('Outages (event ledger)'!$H$2:$H$65,'Outages (event ledger)'!$A$2:$A$65,AN$2,'Outages (event ledger)'!$E$2:$E$65,"&lt;="&amp;$B23,'Outages (event ledger)'!$G$2:$G$65,"&gt;="&amp;$B23)</f>
        <v>0</v>
      </c>
      <c r="AO23" s="29" t="n">
        <f aca="false">SUMIFS('Outages (event ledger)'!$H$2:$H$65,'Outages (event ledger)'!$A$2:$A$65,AO$2,'Outages (event ledger)'!$E$2:$E$65,"&lt;="&amp;$B23,'Outages (event ledger)'!$G$2:$G$65,"&gt;="&amp;$B23)</f>
        <v>0</v>
      </c>
      <c r="AP23" s="29" t="n">
        <f aca="false">SUMIFS('Outages (event ledger)'!$H$2:$H$65,'Outages (event ledger)'!$A$2:$A$65,AP$2,'Outages (event ledger)'!$E$2:$E$65,"&lt;="&amp;$B23,'Outages (event ledger)'!$G$2:$G$65,"&gt;="&amp;$B23)</f>
        <v>0</v>
      </c>
      <c r="AQ23" s="29" t="n">
        <f aca="false">SUMIFS('Outages (event ledger)'!$H$2:$H$65,'Outages (event ledger)'!$A$2:$A$65,AQ$2,'Outages (event ledger)'!$E$2:$E$65,"&lt;="&amp;$B23,'Outages (event ledger)'!$G$2:$G$65,"&gt;="&amp;$B23)</f>
        <v>0</v>
      </c>
      <c r="AR23" s="29" t="n">
        <f aca="false">SUMIFS('Outages (event ledger)'!$H$2:$H$65,'Outages (event ledger)'!$A$2:$A$65,AR$2,'Outages (event ledger)'!$E$2:$E$65,"&lt;="&amp;$B23,'Outages (event ledger)'!$G$2:$G$65,"&gt;="&amp;$B23)</f>
        <v>0</v>
      </c>
      <c r="AS23" s="29" t="n">
        <f aca="false">SUMIFS('Outages (event ledger)'!$H$2:$H$65,'Outages (event ledger)'!$A$2:$A$65,AS$2,'Outages (event ledger)'!$E$2:$E$65,"&lt;="&amp;$B23,'Outages (event ledger)'!$G$2:$G$65,"&gt;="&amp;$B23)</f>
        <v>0</v>
      </c>
      <c r="AT23" s="29" t="n">
        <f aca="false">SUMIFS('Outages (event ledger)'!$H$2:$H$65,'Outages (event ledger)'!$A$2:$A$65,AT$2,'Outages (event ledger)'!$E$2:$E$65,"&lt;="&amp;$B23,'Outages (event ledger)'!$G$2:$G$65,"&gt;="&amp;$B23)</f>
        <v>0</v>
      </c>
      <c r="AU23" s="29" t="n">
        <f aca="false">SUMIFS('Outages (event ledger)'!$H$2:$H$65,'Outages (event ledger)'!$A$2:$A$65,AU$2,'Outages (event ledger)'!$E$2:$E$65,"&lt;="&amp;$B23,'Outages (event ledger)'!$G$2:$G$65,"&gt;="&amp;$B23)</f>
        <v>0</v>
      </c>
      <c r="AV23" s="29" t="n">
        <f aca="false">SUMIFS('Outages (event ledger)'!$H$2:$H$65,'Outages (event ledger)'!$A$2:$A$65,AV$2,'Outages (event ledger)'!$E$2:$E$65,"&lt;="&amp;$B23,'Outages (event ledger)'!$G$2:$G$65,"&gt;="&amp;$B23)</f>
        <v>0</v>
      </c>
      <c r="AW23" s="29" t="n">
        <f aca="false">SUMIFS('Outages (event ledger)'!$H$2:$H$65,'Outages (event ledger)'!$A$2:$A$65,AW$2,'Outages (event ledger)'!$E$2:$E$65,"&lt;="&amp;$B23,'Outages (event ledger)'!$G$2:$G$65,"&gt;="&amp;$B23)</f>
        <v>0</v>
      </c>
      <c r="AX23" s="29" t="n">
        <f aca="false">SUMIFS('Outages (event ledger)'!$H$2:$H$65,'Outages (event ledger)'!$A$2:$A$65,AX$2,'Outages (event ledger)'!$E$2:$E$65,"&lt;="&amp;$B23,'Outages (event ledger)'!$G$2:$G$65,"&gt;="&amp;$B23)</f>
        <v>0</v>
      </c>
      <c r="AY23" s="29" t="n">
        <f aca="false">SUMIFS('Outages (event ledger)'!$H$2:$H$65,'Outages (event ledger)'!$A$2:$A$65,AY$2,'Outages (event ledger)'!$E$2:$E$65,"&lt;="&amp;$B23,'Outages (event ledger)'!$G$2:$G$65,"&gt;="&amp;$B23)</f>
        <v>0</v>
      </c>
      <c r="AZ23" s="29" t="n">
        <f aca="false">SUMIFS('Outages (event ledger)'!$H$2:$H$65,'Outages (event ledger)'!$A$2:$A$65,AZ$2,'Outages (event ledger)'!$E$2:$E$65,"&lt;="&amp;$B23,'Outages (event ledger)'!$G$2:$G$65,"&gt;="&amp;$B23)</f>
        <v>0</v>
      </c>
      <c r="BA23" s="29" t="n">
        <f aca="false">SUMIFS('Outages (event ledger)'!$H$2:$H$65,'Outages (event ledger)'!$A$2:$A$65,BA$2,'Outages (event ledger)'!$E$2:$E$65,"&lt;="&amp;$B23,'Outages (event ledger)'!$G$2:$G$65,"&gt;="&amp;$B23)</f>
        <v>0</v>
      </c>
      <c r="BB23" s="29" t="n">
        <f aca="false">SUMIFS('Outages (event ledger)'!$H$2:$H$65,'Outages (event ledger)'!$A$2:$A$65,BB$2,'Outages (event ledger)'!$E$2:$E$65,"&lt;="&amp;$B23,'Outages (event ledger)'!$G$2:$G$65,"&gt;="&amp;$B23)</f>
        <v>0</v>
      </c>
      <c r="BC23" s="29" t="n">
        <f aca="false">SUMIFS('Outages (event ledger)'!$H$2:$H$65,'Outages (event ledger)'!$A$2:$A$65,BC$2,'Outages (event ledger)'!$E$2:$E$65,"&lt;="&amp;$B23,'Outages (event ledger)'!$G$2:$G$65,"&gt;="&amp;$B23)</f>
        <v>0</v>
      </c>
      <c r="BD23" s="29" t="n">
        <f aca="false">SUMIFS('Outages (event ledger)'!$H$2:$H$65,'Outages (event ledger)'!$A$2:$A$65,BD$2,'Outages (event ledger)'!$E$2:$E$65,"&lt;="&amp;$B23,'Outages (event ledger)'!$G$2:$G$65,"&gt;="&amp;$B23)</f>
        <v>0</v>
      </c>
      <c r="BE23" s="29" t="n">
        <f aca="false">SUMIFS('Outages (event ledger)'!$H$2:$H$65,'Outages (event ledger)'!$A$2:$A$65,BE$2,'Outages (event ledger)'!$E$2:$E$65,"&lt;="&amp;$B23,'Outages (event ledger)'!$G$2:$G$65,"&gt;="&amp;$B23)</f>
        <v>0</v>
      </c>
      <c r="BF23" s="29" t="n">
        <f aca="false">SUMIFS('Outages (event ledger)'!$H$2:$H$65,'Outages (event ledger)'!$A$2:$A$65,BF$2,'Outages (event ledger)'!$E$2:$E$65,"&lt;="&amp;$B23,'Outages (event ledger)'!$G$2:$G$65,"&gt;="&amp;$B23)</f>
        <v>0</v>
      </c>
      <c r="BG23" s="29" t="n">
        <f aca="false">SUMIFS('Outages (event ledger)'!$H$2:$H$65,'Outages (event ledger)'!$A$2:$A$65,BG$2,'Outages (event ledger)'!$E$2:$E$65,"&lt;="&amp;$B23,'Outages (event ledger)'!$G$2:$G$65,"&gt;="&amp;$B23)</f>
        <v>0</v>
      </c>
      <c r="BH23" s="29" t="n">
        <f aca="false">SUMIFS('Outages (event ledger)'!$H$2:$H$65,'Outages (event ledger)'!$A$2:$A$65,BH$2,'Outages (event ledger)'!$E$2:$E$65,"&lt;="&amp;$B23,'Outages (event ledger)'!$G$2:$G$65,"&gt;="&amp;$B23)</f>
        <v>0</v>
      </c>
      <c r="BI23" s="29" t="n">
        <f aca="false">SUMIFS('Outages (event ledger)'!$H$2:$H$65,'Outages (event ledger)'!$A$2:$A$65,BI$2,'Outages (event ledger)'!$E$2:$E$65,"&lt;="&amp;$B23,'Outages (event ledger)'!$G$2:$G$65,"&gt;="&amp;$B23)</f>
        <v>0</v>
      </c>
    </row>
    <row r="24" customFormat="false" ht="15" hidden="false" customHeight="false" outlineLevel="0" collapsed="false">
      <c r="A24" s="27" t="n">
        <v>40817</v>
      </c>
      <c r="B24" s="28" t="n">
        <v>201110</v>
      </c>
      <c r="C24" s="25" t="n">
        <f aca="false">SUM(D24:BI24)</f>
        <v>8</v>
      </c>
      <c r="D24" s="29" t="n">
        <f aca="false">SUMIFS('Outages (event ledger)'!$H$2:$H$65,'Outages (event ledger)'!$A$2:$A$65,D$2,'Outages (event ledger)'!$E$2:$E$65,"&lt;="&amp;$B24,'Outages (event ledger)'!$G$2:$G$65,"&gt;="&amp;$B24)</f>
        <v>0</v>
      </c>
      <c r="E24" s="29" t="n">
        <f aca="false">SUMIFS('Outages (event ledger)'!$H$2:$H$65,'Outages (event ledger)'!$A$2:$A$65,E$2,'Outages (event ledger)'!$E$2:$E$65,"&lt;="&amp;$B24,'Outages (event ledger)'!$G$2:$G$65,"&gt;="&amp;$B24)</f>
        <v>0</v>
      </c>
      <c r="F24" s="29" t="n">
        <f aca="false">SUMIFS('Outages (event ledger)'!$H$2:$H$65,'Outages (event ledger)'!$A$2:$A$65,F$2,'Outages (event ledger)'!$E$2:$E$65,"&lt;="&amp;$B24,'Outages (event ledger)'!$G$2:$G$65,"&gt;="&amp;$B24)</f>
        <v>0</v>
      </c>
      <c r="G24" s="29" t="n">
        <f aca="false">SUMIFS('Outages (event ledger)'!$H$2:$H$65,'Outages (event ledger)'!$A$2:$A$65,G$2,'Outages (event ledger)'!$E$2:$E$65,"&lt;="&amp;$B24,'Outages (event ledger)'!$G$2:$G$65,"&gt;="&amp;$B24)</f>
        <v>0</v>
      </c>
      <c r="H24" s="29" t="n">
        <f aca="false">SUMIFS('Outages (event ledger)'!$H$2:$H$65,'Outages (event ledger)'!$A$2:$A$65,H$2,'Outages (event ledger)'!$E$2:$E$65,"&lt;="&amp;$B24,'Outages (event ledger)'!$G$2:$G$65,"&gt;="&amp;$B24)</f>
        <v>0</v>
      </c>
      <c r="I24" s="29" t="n">
        <f aca="false">SUMIFS('Outages (event ledger)'!$H$2:$H$65,'Outages (event ledger)'!$A$2:$A$65,I$2,'Outages (event ledger)'!$E$2:$E$65,"&lt;="&amp;$B24,'Outages (event ledger)'!$G$2:$G$65,"&gt;="&amp;$B24)</f>
        <v>0</v>
      </c>
      <c r="J24" s="29" t="n">
        <f aca="false">SUMIFS('Outages (event ledger)'!$H$2:$H$65,'Outages (event ledger)'!$A$2:$A$65,J$2,'Outages (event ledger)'!$E$2:$E$65,"&lt;="&amp;$B24,'Outages (event ledger)'!$G$2:$G$65,"&gt;="&amp;$B24)</f>
        <v>0</v>
      </c>
      <c r="K24" s="29" t="n">
        <f aca="false">SUMIFS('Outages (event ledger)'!$H$2:$H$65,'Outages (event ledger)'!$A$2:$A$65,K$2,'Outages (event ledger)'!$E$2:$E$65,"&lt;="&amp;$B24,'Outages (event ledger)'!$G$2:$G$65,"&gt;="&amp;$B24)</f>
        <v>0</v>
      </c>
      <c r="L24" s="29" t="n">
        <f aca="false">SUMIFS('Outages (event ledger)'!$H$2:$H$65,'Outages (event ledger)'!$A$2:$A$65,L$2,'Outages (event ledger)'!$E$2:$E$65,"&lt;="&amp;$B24,'Outages (event ledger)'!$G$2:$G$65,"&gt;="&amp;$B24)</f>
        <v>0</v>
      </c>
      <c r="M24" s="29" t="n">
        <f aca="false">SUMIFS('Outages (event ledger)'!$H$2:$H$65,'Outages (event ledger)'!$A$2:$A$65,M$2,'Outages (event ledger)'!$E$2:$E$65,"&lt;="&amp;$B24,'Outages (event ledger)'!$G$2:$G$65,"&gt;="&amp;$B24)</f>
        <v>0</v>
      </c>
      <c r="N24" s="29" t="n">
        <f aca="false">SUMIFS('Outages (event ledger)'!$H$2:$H$65,'Outages (event ledger)'!$A$2:$A$65,N$2,'Outages (event ledger)'!$E$2:$E$65,"&lt;="&amp;$B24,'Outages (event ledger)'!$G$2:$G$65,"&gt;="&amp;$B24)</f>
        <v>0</v>
      </c>
      <c r="O24" s="29" t="n">
        <f aca="false">SUMIFS('Outages (event ledger)'!$H$2:$H$65,'Outages (event ledger)'!$A$2:$A$65,O$2,'Outages (event ledger)'!$E$2:$E$65,"&lt;="&amp;$B24,'Outages (event ledger)'!$G$2:$G$65,"&gt;="&amp;$B24)</f>
        <v>0</v>
      </c>
      <c r="P24" s="29" t="n">
        <f aca="false">SUMIFS('Outages (event ledger)'!$H$2:$H$65,'Outages (event ledger)'!$A$2:$A$65,P$2,'Outages (event ledger)'!$E$2:$E$65,"&lt;="&amp;$B24,'Outages (event ledger)'!$G$2:$G$65,"&gt;="&amp;$B24)</f>
        <v>0</v>
      </c>
      <c r="Q24" s="29" t="n">
        <f aca="false">SUMIFS('Outages (event ledger)'!$H$2:$H$65,'Outages (event ledger)'!$A$2:$A$65,Q$2,'Outages (event ledger)'!$E$2:$E$65,"&lt;="&amp;$B24,'Outages (event ledger)'!$G$2:$G$65,"&gt;="&amp;$B24)</f>
        <v>0</v>
      </c>
      <c r="R24" s="29" t="n">
        <f aca="false">SUMIFS('Outages (event ledger)'!$H$2:$H$65,'Outages (event ledger)'!$A$2:$A$65,R$2,'Outages (event ledger)'!$E$2:$E$65,"&lt;="&amp;$B24,'Outages (event ledger)'!$G$2:$G$65,"&gt;="&amp;$B24)</f>
        <v>0</v>
      </c>
      <c r="S24" s="29" t="n">
        <f aca="false">SUMIFS('Outages (event ledger)'!$H$2:$H$65,'Outages (event ledger)'!$A$2:$A$65,S$2,'Outages (event ledger)'!$E$2:$E$65,"&lt;="&amp;$B24,'Outages (event ledger)'!$G$2:$G$65,"&gt;="&amp;$B24)</f>
        <v>0</v>
      </c>
      <c r="T24" s="29" t="n">
        <f aca="false">SUMIFS('Outages (event ledger)'!$H$2:$H$65,'Outages (event ledger)'!$A$2:$A$65,T$2,'Outages (event ledger)'!$E$2:$E$65,"&lt;="&amp;$B24,'Outages (event ledger)'!$G$2:$G$65,"&gt;="&amp;$B24)</f>
        <v>0</v>
      </c>
      <c r="U24" s="29" t="n">
        <f aca="false">SUMIFS('Outages (event ledger)'!$H$2:$H$65,'Outages (event ledger)'!$A$2:$A$65,U$2,'Outages (event ledger)'!$E$2:$E$65,"&lt;="&amp;$B24,'Outages (event ledger)'!$G$2:$G$65,"&gt;="&amp;$B24)</f>
        <v>0</v>
      </c>
      <c r="V24" s="29" t="n">
        <f aca="false">SUMIFS('Outages (event ledger)'!$H$2:$H$65,'Outages (event ledger)'!$A$2:$A$65,V$2,'Outages (event ledger)'!$E$2:$E$65,"&lt;="&amp;$B24,'Outages (event ledger)'!$G$2:$G$65,"&gt;="&amp;$B24)</f>
        <v>0</v>
      </c>
      <c r="W24" s="29" t="n">
        <f aca="false">SUMIFS('Outages (event ledger)'!$H$2:$H$65,'Outages (event ledger)'!$A$2:$A$65,W$2,'Outages (event ledger)'!$E$2:$E$65,"&lt;="&amp;$B24,'Outages (event ledger)'!$G$2:$G$65,"&gt;="&amp;$B24)</f>
        <v>0</v>
      </c>
      <c r="X24" s="29" t="n">
        <f aca="false">SUMIFS('Outages (event ledger)'!$H$2:$H$65,'Outages (event ledger)'!$A$2:$A$65,X$2,'Outages (event ledger)'!$E$2:$E$65,"&lt;="&amp;$B24,'Outages (event ledger)'!$G$2:$G$65,"&gt;="&amp;$B24)</f>
        <v>0</v>
      </c>
      <c r="Y24" s="29" t="n">
        <f aca="false">SUMIFS('Outages (event ledger)'!$H$2:$H$65,'Outages (event ledger)'!$A$2:$A$65,Y$2,'Outages (event ledger)'!$E$2:$E$65,"&lt;="&amp;$B24,'Outages (event ledger)'!$G$2:$G$65,"&gt;="&amp;$B24)</f>
        <v>0</v>
      </c>
      <c r="Z24" s="29" t="n">
        <f aca="false">SUMIFS('Outages (event ledger)'!$H$2:$H$65,'Outages (event ledger)'!$A$2:$A$65,Z$2,'Outages (event ledger)'!$E$2:$E$65,"&lt;="&amp;$B24,'Outages (event ledger)'!$G$2:$G$65,"&gt;="&amp;$B24)</f>
        <v>0</v>
      </c>
      <c r="AA24" s="29" t="n">
        <f aca="false">SUMIFS('Outages (event ledger)'!$H$2:$H$65,'Outages (event ledger)'!$A$2:$A$65,AA$2,'Outages (event ledger)'!$E$2:$E$65,"&lt;="&amp;$B24,'Outages (event ledger)'!$G$2:$G$65,"&gt;="&amp;$B24)</f>
        <v>0</v>
      </c>
      <c r="AB24" s="29" t="n">
        <f aca="false">SUMIFS('Outages (event ledger)'!$H$2:$H$65,'Outages (event ledger)'!$A$2:$A$65,AB$2,'Outages (event ledger)'!$E$2:$E$65,"&lt;="&amp;$B24,'Outages (event ledger)'!$G$2:$G$65,"&gt;="&amp;$B24)</f>
        <v>8</v>
      </c>
      <c r="AC24" s="29" t="n">
        <f aca="false">SUMIFS('Outages (event ledger)'!$H$2:$H$65,'Outages (event ledger)'!$A$2:$A$65,AC$2,'Outages (event ledger)'!$E$2:$E$65,"&lt;="&amp;$B24,'Outages (event ledger)'!$G$2:$G$65,"&gt;="&amp;$B24)</f>
        <v>0</v>
      </c>
      <c r="AD24" s="29" t="n">
        <f aca="false">SUMIFS('Outages (event ledger)'!$H$2:$H$65,'Outages (event ledger)'!$A$2:$A$65,AD$2,'Outages (event ledger)'!$E$2:$E$65,"&lt;="&amp;$B24,'Outages (event ledger)'!$G$2:$G$65,"&gt;="&amp;$B24)</f>
        <v>0</v>
      </c>
      <c r="AE24" s="29" t="n">
        <f aca="false">SUMIFS('Outages (event ledger)'!$H$2:$H$65,'Outages (event ledger)'!$A$2:$A$65,AE$2,'Outages (event ledger)'!$E$2:$E$65,"&lt;="&amp;$B24,'Outages (event ledger)'!$G$2:$G$65,"&gt;="&amp;$B24)</f>
        <v>0</v>
      </c>
      <c r="AF24" s="29" t="n">
        <f aca="false">SUMIFS('Outages (event ledger)'!$H$2:$H$65,'Outages (event ledger)'!$A$2:$A$65,AF$2,'Outages (event ledger)'!$E$2:$E$65,"&lt;="&amp;$B24,'Outages (event ledger)'!$G$2:$G$65,"&gt;="&amp;$B24)</f>
        <v>0</v>
      </c>
      <c r="AG24" s="29" t="n">
        <f aca="false">SUMIFS('Outages (event ledger)'!$H$2:$H$65,'Outages (event ledger)'!$A$2:$A$65,AG$2,'Outages (event ledger)'!$E$2:$E$65,"&lt;="&amp;$B24,'Outages (event ledger)'!$G$2:$G$65,"&gt;="&amp;$B24)</f>
        <v>0</v>
      </c>
      <c r="AH24" s="29" t="n">
        <f aca="false">SUMIFS('Outages (event ledger)'!$H$2:$H$65,'Outages (event ledger)'!$A$2:$A$65,AH$2,'Outages (event ledger)'!$E$2:$E$65,"&lt;="&amp;$B24,'Outages (event ledger)'!$G$2:$G$65,"&gt;="&amp;$B24)</f>
        <v>0</v>
      </c>
      <c r="AI24" s="29" t="n">
        <f aca="false">SUMIFS('Outages (event ledger)'!$H$2:$H$65,'Outages (event ledger)'!$A$2:$A$65,AI$2,'Outages (event ledger)'!$E$2:$E$65,"&lt;="&amp;$B24,'Outages (event ledger)'!$G$2:$G$65,"&gt;="&amp;$B24)</f>
        <v>0</v>
      </c>
      <c r="AJ24" s="29" t="n">
        <f aca="false">SUMIFS('Outages (event ledger)'!$H$2:$H$65,'Outages (event ledger)'!$A$2:$A$65,AJ$2,'Outages (event ledger)'!$E$2:$E$65,"&lt;="&amp;$B24,'Outages (event ledger)'!$G$2:$G$65,"&gt;="&amp;$B24)</f>
        <v>0</v>
      </c>
      <c r="AK24" s="29" t="n">
        <f aca="false">SUMIFS('Outages (event ledger)'!$H$2:$H$65,'Outages (event ledger)'!$A$2:$A$65,AK$2,'Outages (event ledger)'!$E$2:$E$65,"&lt;="&amp;$B24,'Outages (event ledger)'!$G$2:$G$65,"&gt;="&amp;$B24)</f>
        <v>0</v>
      </c>
      <c r="AL24" s="29" t="n">
        <f aca="false">SUMIFS('Outages (event ledger)'!$H$2:$H$65,'Outages (event ledger)'!$A$2:$A$65,AL$2,'Outages (event ledger)'!$E$2:$E$65,"&lt;="&amp;$B24,'Outages (event ledger)'!$G$2:$G$65,"&gt;="&amp;$B24)</f>
        <v>0</v>
      </c>
      <c r="AM24" s="29" t="n">
        <f aca="false">SUMIFS('Outages (event ledger)'!$H$2:$H$65,'Outages (event ledger)'!$A$2:$A$65,AM$2,'Outages (event ledger)'!$E$2:$E$65,"&lt;="&amp;$B24,'Outages (event ledger)'!$G$2:$G$65,"&gt;="&amp;$B24)</f>
        <v>0</v>
      </c>
      <c r="AN24" s="29" t="n">
        <f aca="false">SUMIFS('Outages (event ledger)'!$H$2:$H$65,'Outages (event ledger)'!$A$2:$A$65,AN$2,'Outages (event ledger)'!$E$2:$E$65,"&lt;="&amp;$B24,'Outages (event ledger)'!$G$2:$G$65,"&gt;="&amp;$B24)</f>
        <v>0</v>
      </c>
      <c r="AO24" s="29" t="n">
        <f aca="false">SUMIFS('Outages (event ledger)'!$H$2:$H$65,'Outages (event ledger)'!$A$2:$A$65,AO$2,'Outages (event ledger)'!$E$2:$E$65,"&lt;="&amp;$B24,'Outages (event ledger)'!$G$2:$G$65,"&gt;="&amp;$B24)</f>
        <v>0</v>
      </c>
      <c r="AP24" s="29" t="n">
        <f aca="false">SUMIFS('Outages (event ledger)'!$H$2:$H$65,'Outages (event ledger)'!$A$2:$A$65,AP$2,'Outages (event ledger)'!$E$2:$E$65,"&lt;="&amp;$B24,'Outages (event ledger)'!$G$2:$G$65,"&gt;="&amp;$B24)</f>
        <v>0</v>
      </c>
      <c r="AQ24" s="29" t="n">
        <f aca="false">SUMIFS('Outages (event ledger)'!$H$2:$H$65,'Outages (event ledger)'!$A$2:$A$65,AQ$2,'Outages (event ledger)'!$E$2:$E$65,"&lt;="&amp;$B24,'Outages (event ledger)'!$G$2:$G$65,"&gt;="&amp;$B24)</f>
        <v>0</v>
      </c>
      <c r="AR24" s="29" t="n">
        <f aca="false">SUMIFS('Outages (event ledger)'!$H$2:$H$65,'Outages (event ledger)'!$A$2:$A$65,AR$2,'Outages (event ledger)'!$E$2:$E$65,"&lt;="&amp;$B24,'Outages (event ledger)'!$G$2:$G$65,"&gt;="&amp;$B24)</f>
        <v>0</v>
      </c>
      <c r="AS24" s="29" t="n">
        <f aca="false">SUMIFS('Outages (event ledger)'!$H$2:$H$65,'Outages (event ledger)'!$A$2:$A$65,AS$2,'Outages (event ledger)'!$E$2:$E$65,"&lt;="&amp;$B24,'Outages (event ledger)'!$G$2:$G$65,"&gt;="&amp;$B24)</f>
        <v>0</v>
      </c>
      <c r="AT24" s="29" t="n">
        <f aca="false">SUMIFS('Outages (event ledger)'!$H$2:$H$65,'Outages (event ledger)'!$A$2:$A$65,AT$2,'Outages (event ledger)'!$E$2:$E$65,"&lt;="&amp;$B24,'Outages (event ledger)'!$G$2:$G$65,"&gt;="&amp;$B24)</f>
        <v>0</v>
      </c>
      <c r="AU24" s="29" t="n">
        <f aca="false">SUMIFS('Outages (event ledger)'!$H$2:$H$65,'Outages (event ledger)'!$A$2:$A$65,AU$2,'Outages (event ledger)'!$E$2:$E$65,"&lt;="&amp;$B24,'Outages (event ledger)'!$G$2:$G$65,"&gt;="&amp;$B24)</f>
        <v>0</v>
      </c>
      <c r="AV24" s="29" t="n">
        <f aca="false">SUMIFS('Outages (event ledger)'!$H$2:$H$65,'Outages (event ledger)'!$A$2:$A$65,AV$2,'Outages (event ledger)'!$E$2:$E$65,"&lt;="&amp;$B24,'Outages (event ledger)'!$G$2:$G$65,"&gt;="&amp;$B24)</f>
        <v>0</v>
      </c>
      <c r="AW24" s="29" t="n">
        <f aca="false">SUMIFS('Outages (event ledger)'!$H$2:$H$65,'Outages (event ledger)'!$A$2:$A$65,AW$2,'Outages (event ledger)'!$E$2:$E$65,"&lt;="&amp;$B24,'Outages (event ledger)'!$G$2:$G$65,"&gt;="&amp;$B24)</f>
        <v>0</v>
      </c>
      <c r="AX24" s="29" t="n">
        <f aca="false">SUMIFS('Outages (event ledger)'!$H$2:$H$65,'Outages (event ledger)'!$A$2:$A$65,AX$2,'Outages (event ledger)'!$E$2:$E$65,"&lt;="&amp;$B24,'Outages (event ledger)'!$G$2:$G$65,"&gt;="&amp;$B24)</f>
        <v>0</v>
      </c>
      <c r="AY24" s="29" t="n">
        <f aca="false">SUMIFS('Outages (event ledger)'!$H$2:$H$65,'Outages (event ledger)'!$A$2:$A$65,AY$2,'Outages (event ledger)'!$E$2:$E$65,"&lt;="&amp;$B24,'Outages (event ledger)'!$G$2:$G$65,"&gt;="&amp;$B24)</f>
        <v>0</v>
      </c>
      <c r="AZ24" s="29" t="n">
        <f aca="false">SUMIFS('Outages (event ledger)'!$H$2:$H$65,'Outages (event ledger)'!$A$2:$A$65,AZ$2,'Outages (event ledger)'!$E$2:$E$65,"&lt;="&amp;$B24,'Outages (event ledger)'!$G$2:$G$65,"&gt;="&amp;$B24)</f>
        <v>0</v>
      </c>
      <c r="BA24" s="29" t="n">
        <f aca="false">SUMIFS('Outages (event ledger)'!$H$2:$H$65,'Outages (event ledger)'!$A$2:$A$65,BA$2,'Outages (event ledger)'!$E$2:$E$65,"&lt;="&amp;$B24,'Outages (event ledger)'!$G$2:$G$65,"&gt;="&amp;$B24)</f>
        <v>0</v>
      </c>
      <c r="BB24" s="29" t="n">
        <f aca="false">SUMIFS('Outages (event ledger)'!$H$2:$H$65,'Outages (event ledger)'!$A$2:$A$65,BB$2,'Outages (event ledger)'!$E$2:$E$65,"&lt;="&amp;$B24,'Outages (event ledger)'!$G$2:$G$65,"&gt;="&amp;$B24)</f>
        <v>0</v>
      </c>
      <c r="BC24" s="29" t="n">
        <f aca="false">SUMIFS('Outages (event ledger)'!$H$2:$H$65,'Outages (event ledger)'!$A$2:$A$65,BC$2,'Outages (event ledger)'!$E$2:$E$65,"&lt;="&amp;$B24,'Outages (event ledger)'!$G$2:$G$65,"&gt;="&amp;$B24)</f>
        <v>0</v>
      </c>
      <c r="BD24" s="29" t="n">
        <f aca="false">SUMIFS('Outages (event ledger)'!$H$2:$H$65,'Outages (event ledger)'!$A$2:$A$65,BD$2,'Outages (event ledger)'!$E$2:$E$65,"&lt;="&amp;$B24,'Outages (event ledger)'!$G$2:$G$65,"&gt;="&amp;$B24)</f>
        <v>0</v>
      </c>
      <c r="BE24" s="29" t="n">
        <f aca="false">SUMIFS('Outages (event ledger)'!$H$2:$H$65,'Outages (event ledger)'!$A$2:$A$65,BE$2,'Outages (event ledger)'!$E$2:$E$65,"&lt;="&amp;$B24,'Outages (event ledger)'!$G$2:$G$65,"&gt;="&amp;$B24)</f>
        <v>0</v>
      </c>
      <c r="BF24" s="29" t="n">
        <f aca="false">SUMIFS('Outages (event ledger)'!$H$2:$H$65,'Outages (event ledger)'!$A$2:$A$65,BF$2,'Outages (event ledger)'!$E$2:$E$65,"&lt;="&amp;$B24,'Outages (event ledger)'!$G$2:$G$65,"&gt;="&amp;$B24)</f>
        <v>0</v>
      </c>
      <c r="BG24" s="29" t="n">
        <f aca="false">SUMIFS('Outages (event ledger)'!$H$2:$H$65,'Outages (event ledger)'!$A$2:$A$65,BG$2,'Outages (event ledger)'!$E$2:$E$65,"&lt;="&amp;$B24,'Outages (event ledger)'!$G$2:$G$65,"&gt;="&amp;$B24)</f>
        <v>0</v>
      </c>
      <c r="BH24" s="29" t="n">
        <f aca="false">SUMIFS('Outages (event ledger)'!$H$2:$H$65,'Outages (event ledger)'!$A$2:$A$65,BH$2,'Outages (event ledger)'!$E$2:$E$65,"&lt;="&amp;$B24,'Outages (event ledger)'!$G$2:$G$65,"&gt;="&amp;$B24)</f>
        <v>0</v>
      </c>
      <c r="BI24" s="29" t="n">
        <f aca="false">SUMIFS('Outages (event ledger)'!$H$2:$H$65,'Outages (event ledger)'!$A$2:$A$65,BI$2,'Outages (event ledger)'!$E$2:$E$65,"&lt;="&amp;$B24,'Outages (event ledger)'!$G$2:$G$65,"&gt;="&amp;$B24)</f>
        <v>0</v>
      </c>
    </row>
    <row r="25" customFormat="false" ht="15" hidden="false" customHeight="false" outlineLevel="0" collapsed="false">
      <c r="A25" s="27" t="n">
        <v>40848</v>
      </c>
      <c r="B25" s="28" t="n">
        <v>201111</v>
      </c>
      <c r="C25" s="25" t="n">
        <f aca="false">SUM(D25:BI25)</f>
        <v>8</v>
      </c>
      <c r="D25" s="29" t="n">
        <f aca="false">SUMIFS('Outages (event ledger)'!$H$2:$H$65,'Outages (event ledger)'!$A$2:$A$65,D$2,'Outages (event ledger)'!$E$2:$E$65,"&lt;="&amp;$B25,'Outages (event ledger)'!$G$2:$G$65,"&gt;="&amp;$B25)</f>
        <v>0</v>
      </c>
      <c r="E25" s="29" t="n">
        <f aca="false">SUMIFS('Outages (event ledger)'!$H$2:$H$65,'Outages (event ledger)'!$A$2:$A$65,E$2,'Outages (event ledger)'!$E$2:$E$65,"&lt;="&amp;$B25,'Outages (event ledger)'!$G$2:$G$65,"&gt;="&amp;$B25)</f>
        <v>0</v>
      </c>
      <c r="F25" s="29" t="n">
        <f aca="false">SUMIFS('Outages (event ledger)'!$H$2:$H$65,'Outages (event ledger)'!$A$2:$A$65,F$2,'Outages (event ledger)'!$E$2:$E$65,"&lt;="&amp;$B25,'Outages (event ledger)'!$G$2:$G$65,"&gt;="&amp;$B25)</f>
        <v>0</v>
      </c>
      <c r="G25" s="29" t="n">
        <f aca="false">SUMIFS('Outages (event ledger)'!$H$2:$H$65,'Outages (event ledger)'!$A$2:$A$65,G$2,'Outages (event ledger)'!$E$2:$E$65,"&lt;="&amp;$B25,'Outages (event ledger)'!$G$2:$G$65,"&gt;="&amp;$B25)</f>
        <v>0</v>
      </c>
      <c r="H25" s="29" t="n">
        <f aca="false">SUMIFS('Outages (event ledger)'!$H$2:$H$65,'Outages (event ledger)'!$A$2:$A$65,H$2,'Outages (event ledger)'!$E$2:$E$65,"&lt;="&amp;$B25,'Outages (event ledger)'!$G$2:$G$65,"&gt;="&amp;$B25)</f>
        <v>0</v>
      </c>
      <c r="I25" s="29" t="n">
        <f aca="false">SUMIFS('Outages (event ledger)'!$H$2:$H$65,'Outages (event ledger)'!$A$2:$A$65,I$2,'Outages (event ledger)'!$E$2:$E$65,"&lt;="&amp;$B25,'Outages (event ledger)'!$G$2:$G$65,"&gt;="&amp;$B25)</f>
        <v>0</v>
      </c>
      <c r="J25" s="29" t="n">
        <f aca="false">SUMIFS('Outages (event ledger)'!$H$2:$H$65,'Outages (event ledger)'!$A$2:$A$65,J$2,'Outages (event ledger)'!$E$2:$E$65,"&lt;="&amp;$B25,'Outages (event ledger)'!$G$2:$G$65,"&gt;="&amp;$B25)</f>
        <v>0</v>
      </c>
      <c r="K25" s="29" t="n">
        <f aca="false">SUMIFS('Outages (event ledger)'!$H$2:$H$65,'Outages (event ledger)'!$A$2:$A$65,K$2,'Outages (event ledger)'!$E$2:$E$65,"&lt;="&amp;$B25,'Outages (event ledger)'!$G$2:$G$65,"&gt;="&amp;$B25)</f>
        <v>0</v>
      </c>
      <c r="L25" s="29" t="n">
        <f aca="false">SUMIFS('Outages (event ledger)'!$H$2:$H$65,'Outages (event ledger)'!$A$2:$A$65,L$2,'Outages (event ledger)'!$E$2:$E$65,"&lt;="&amp;$B25,'Outages (event ledger)'!$G$2:$G$65,"&gt;="&amp;$B25)</f>
        <v>0</v>
      </c>
      <c r="M25" s="29" t="n">
        <f aca="false">SUMIFS('Outages (event ledger)'!$H$2:$H$65,'Outages (event ledger)'!$A$2:$A$65,M$2,'Outages (event ledger)'!$E$2:$E$65,"&lt;="&amp;$B25,'Outages (event ledger)'!$G$2:$G$65,"&gt;="&amp;$B25)</f>
        <v>0</v>
      </c>
      <c r="N25" s="29" t="n">
        <f aca="false">SUMIFS('Outages (event ledger)'!$H$2:$H$65,'Outages (event ledger)'!$A$2:$A$65,N$2,'Outages (event ledger)'!$E$2:$E$65,"&lt;="&amp;$B25,'Outages (event ledger)'!$G$2:$G$65,"&gt;="&amp;$B25)</f>
        <v>0</v>
      </c>
      <c r="O25" s="29" t="n">
        <f aca="false">SUMIFS('Outages (event ledger)'!$H$2:$H$65,'Outages (event ledger)'!$A$2:$A$65,O$2,'Outages (event ledger)'!$E$2:$E$65,"&lt;="&amp;$B25,'Outages (event ledger)'!$G$2:$G$65,"&gt;="&amp;$B25)</f>
        <v>0</v>
      </c>
      <c r="P25" s="29" t="n">
        <f aca="false">SUMIFS('Outages (event ledger)'!$H$2:$H$65,'Outages (event ledger)'!$A$2:$A$65,P$2,'Outages (event ledger)'!$E$2:$E$65,"&lt;="&amp;$B25,'Outages (event ledger)'!$G$2:$G$65,"&gt;="&amp;$B25)</f>
        <v>0</v>
      </c>
      <c r="Q25" s="29" t="n">
        <f aca="false">SUMIFS('Outages (event ledger)'!$H$2:$H$65,'Outages (event ledger)'!$A$2:$A$65,Q$2,'Outages (event ledger)'!$E$2:$E$65,"&lt;="&amp;$B25,'Outages (event ledger)'!$G$2:$G$65,"&gt;="&amp;$B25)</f>
        <v>0</v>
      </c>
      <c r="R25" s="29" t="n">
        <f aca="false">SUMIFS('Outages (event ledger)'!$H$2:$H$65,'Outages (event ledger)'!$A$2:$A$65,R$2,'Outages (event ledger)'!$E$2:$E$65,"&lt;="&amp;$B25,'Outages (event ledger)'!$G$2:$G$65,"&gt;="&amp;$B25)</f>
        <v>0</v>
      </c>
      <c r="S25" s="29" t="n">
        <f aca="false">SUMIFS('Outages (event ledger)'!$H$2:$H$65,'Outages (event ledger)'!$A$2:$A$65,S$2,'Outages (event ledger)'!$E$2:$E$65,"&lt;="&amp;$B25,'Outages (event ledger)'!$G$2:$G$65,"&gt;="&amp;$B25)</f>
        <v>0</v>
      </c>
      <c r="T25" s="29" t="n">
        <f aca="false">SUMIFS('Outages (event ledger)'!$H$2:$H$65,'Outages (event ledger)'!$A$2:$A$65,T$2,'Outages (event ledger)'!$E$2:$E$65,"&lt;="&amp;$B25,'Outages (event ledger)'!$G$2:$G$65,"&gt;="&amp;$B25)</f>
        <v>0</v>
      </c>
      <c r="U25" s="29" t="n">
        <f aca="false">SUMIFS('Outages (event ledger)'!$H$2:$H$65,'Outages (event ledger)'!$A$2:$A$65,U$2,'Outages (event ledger)'!$E$2:$E$65,"&lt;="&amp;$B25,'Outages (event ledger)'!$G$2:$G$65,"&gt;="&amp;$B25)</f>
        <v>0</v>
      </c>
      <c r="V25" s="29" t="n">
        <f aca="false">SUMIFS('Outages (event ledger)'!$H$2:$H$65,'Outages (event ledger)'!$A$2:$A$65,V$2,'Outages (event ledger)'!$E$2:$E$65,"&lt;="&amp;$B25,'Outages (event ledger)'!$G$2:$G$65,"&gt;="&amp;$B25)</f>
        <v>0</v>
      </c>
      <c r="W25" s="29" t="n">
        <f aca="false">SUMIFS('Outages (event ledger)'!$H$2:$H$65,'Outages (event ledger)'!$A$2:$A$65,W$2,'Outages (event ledger)'!$E$2:$E$65,"&lt;="&amp;$B25,'Outages (event ledger)'!$G$2:$G$65,"&gt;="&amp;$B25)</f>
        <v>0</v>
      </c>
      <c r="X25" s="29" t="n">
        <f aca="false">SUMIFS('Outages (event ledger)'!$H$2:$H$65,'Outages (event ledger)'!$A$2:$A$65,X$2,'Outages (event ledger)'!$E$2:$E$65,"&lt;="&amp;$B25,'Outages (event ledger)'!$G$2:$G$65,"&gt;="&amp;$B25)</f>
        <v>0</v>
      </c>
      <c r="Y25" s="29" t="n">
        <f aca="false">SUMIFS('Outages (event ledger)'!$H$2:$H$65,'Outages (event ledger)'!$A$2:$A$65,Y$2,'Outages (event ledger)'!$E$2:$E$65,"&lt;="&amp;$B25,'Outages (event ledger)'!$G$2:$G$65,"&gt;="&amp;$B25)</f>
        <v>0</v>
      </c>
      <c r="Z25" s="29" t="n">
        <f aca="false">SUMIFS('Outages (event ledger)'!$H$2:$H$65,'Outages (event ledger)'!$A$2:$A$65,Z$2,'Outages (event ledger)'!$E$2:$E$65,"&lt;="&amp;$B25,'Outages (event ledger)'!$G$2:$G$65,"&gt;="&amp;$B25)</f>
        <v>0</v>
      </c>
      <c r="AA25" s="29" t="n">
        <f aca="false">SUMIFS('Outages (event ledger)'!$H$2:$H$65,'Outages (event ledger)'!$A$2:$A$65,AA$2,'Outages (event ledger)'!$E$2:$E$65,"&lt;="&amp;$B25,'Outages (event ledger)'!$G$2:$G$65,"&gt;="&amp;$B25)</f>
        <v>0</v>
      </c>
      <c r="AB25" s="29" t="n">
        <f aca="false">SUMIFS('Outages (event ledger)'!$H$2:$H$65,'Outages (event ledger)'!$A$2:$A$65,AB$2,'Outages (event ledger)'!$E$2:$E$65,"&lt;="&amp;$B25,'Outages (event ledger)'!$G$2:$G$65,"&gt;="&amp;$B25)</f>
        <v>8</v>
      </c>
      <c r="AC25" s="29" t="n">
        <f aca="false">SUMIFS('Outages (event ledger)'!$H$2:$H$65,'Outages (event ledger)'!$A$2:$A$65,AC$2,'Outages (event ledger)'!$E$2:$E$65,"&lt;="&amp;$B25,'Outages (event ledger)'!$G$2:$G$65,"&gt;="&amp;$B25)</f>
        <v>0</v>
      </c>
      <c r="AD25" s="29" t="n">
        <f aca="false">SUMIFS('Outages (event ledger)'!$H$2:$H$65,'Outages (event ledger)'!$A$2:$A$65,AD$2,'Outages (event ledger)'!$E$2:$E$65,"&lt;="&amp;$B25,'Outages (event ledger)'!$G$2:$G$65,"&gt;="&amp;$B25)</f>
        <v>0</v>
      </c>
      <c r="AE25" s="29" t="n">
        <f aca="false">SUMIFS('Outages (event ledger)'!$H$2:$H$65,'Outages (event ledger)'!$A$2:$A$65,AE$2,'Outages (event ledger)'!$E$2:$E$65,"&lt;="&amp;$B25,'Outages (event ledger)'!$G$2:$G$65,"&gt;="&amp;$B25)</f>
        <v>0</v>
      </c>
      <c r="AF25" s="29" t="n">
        <f aca="false">SUMIFS('Outages (event ledger)'!$H$2:$H$65,'Outages (event ledger)'!$A$2:$A$65,AF$2,'Outages (event ledger)'!$E$2:$E$65,"&lt;="&amp;$B25,'Outages (event ledger)'!$G$2:$G$65,"&gt;="&amp;$B25)</f>
        <v>0</v>
      </c>
      <c r="AG25" s="29" t="n">
        <f aca="false">SUMIFS('Outages (event ledger)'!$H$2:$H$65,'Outages (event ledger)'!$A$2:$A$65,AG$2,'Outages (event ledger)'!$E$2:$E$65,"&lt;="&amp;$B25,'Outages (event ledger)'!$G$2:$G$65,"&gt;="&amp;$B25)</f>
        <v>0</v>
      </c>
      <c r="AH25" s="29" t="n">
        <f aca="false">SUMIFS('Outages (event ledger)'!$H$2:$H$65,'Outages (event ledger)'!$A$2:$A$65,AH$2,'Outages (event ledger)'!$E$2:$E$65,"&lt;="&amp;$B25,'Outages (event ledger)'!$G$2:$G$65,"&gt;="&amp;$B25)</f>
        <v>0</v>
      </c>
      <c r="AI25" s="29" t="n">
        <f aca="false">SUMIFS('Outages (event ledger)'!$H$2:$H$65,'Outages (event ledger)'!$A$2:$A$65,AI$2,'Outages (event ledger)'!$E$2:$E$65,"&lt;="&amp;$B25,'Outages (event ledger)'!$G$2:$G$65,"&gt;="&amp;$B25)</f>
        <v>0</v>
      </c>
      <c r="AJ25" s="29" t="n">
        <f aca="false">SUMIFS('Outages (event ledger)'!$H$2:$H$65,'Outages (event ledger)'!$A$2:$A$65,AJ$2,'Outages (event ledger)'!$E$2:$E$65,"&lt;="&amp;$B25,'Outages (event ledger)'!$G$2:$G$65,"&gt;="&amp;$B25)</f>
        <v>0</v>
      </c>
      <c r="AK25" s="29" t="n">
        <f aca="false">SUMIFS('Outages (event ledger)'!$H$2:$H$65,'Outages (event ledger)'!$A$2:$A$65,AK$2,'Outages (event ledger)'!$E$2:$E$65,"&lt;="&amp;$B25,'Outages (event ledger)'!$G$2:$G$65,"&gt;="&amp;$B25)</f>
        <v>0</v>
      </c>
      <c r="AL25" s="29" t="n">
        <f aca="false">SUMIFS('Outages (event ledger)'!$H$2:$H$65,'Outages (event ledger)'!$A$2:$A$65,AL$2,'Outages (event ledger)'!$E$2:$E$65,"&lt;="&amp;$B25,'Outages (event ledger)'!$G$2:$G$65,"&gt;="&amp;$B25)</f>
        <v>0</v>
      </c>
      <c r="AM25" s="29" t="n">
        <f aca="false">SUMIFS('Outages (event ledger)'!$H$2:$H$65,'Outages (event ledger)'!$A$2:$A$65,AM$2,'Outages (event ledger)'!$E$2:$E$65,"&lt;="&amp;$B25,'Outages (event ledger)'!$G$2:$G$65,"&gt;="&amp;$B25)</f>
        <v>0</v>
      </c>
      <c r="AN25" s="29" t="n">
        <f aca="false">SUMIFS('Outages (event ledger)'!$H$2:$H$65,'Outages (event ledger)'!$A$2:$A$65,AN$2,'Outages (event ledger)'!$E$2:$E$65,"&lt;="&amp;$B25,'Outages (event ledger)'!$G$2:$G$65,"&gt;="&amp;$B25)</f>
        <v>0</v>
      </c>
      <c r="AO25" s="29" t="n">
        <f aca="false">SUMIFS('Outages (event ledger)'!$H$2:$H$65,'Outages (event ledger)'!$A$2:$A$65,AO$2,'Outages (event ledger)'!$E$2:$E$65,"&lt;="&amp;$B25,'Outages (event ledger)'!$G$2:$G$65,"&gt;="&amp;$B25)</f>
        <v>0</v>
      </c>
      <c r="AP25" s="29" t="n">
        <f aca="false">SUMIFS('Outages (event ledger)'!$H$2:$H$65,'Outages (event ledger)'!$A$2:$A$65,AP$2,'Outages (event ledger)'!$E$2:$E$65,"&lt;="&amp;$B25,'Outages (event ledger)'!$G$2:$G$65,"&gt;="&amp;$B25)</f>
        <v>0</v>
      </c>
      <c r="AQ25" s="29" t="n">
        <f aca="false">SUMIFS('Outages (event ledger)'!$H$2:$H$65,'Outages (event ledger)'!$A$2:$A$65,AQ$2,'Outages (event ledger)'!$E$2:$E$65,"&lt;="&amp;$B25,'Outages (event ledger)'!$G$2:$G$65,"&gt;="&amp;$B25)</f>
        <v>0</v>
      </c>
      <c r="AR25" s="29" t="n">
        <f aca="false">SUMIFS('Outages (event ledger)'!$H$2:$H$65,'Outages (event ledger)'!$A$2:$A$65,AR$2,'Outages (event ledger)'!$E$2:$E$65,"&lt;="&amp;$B25,'Outages (event ledger)'!$G$2:$G$65,"&gt;="&amp;$B25)</f>
        <v>0</v>
      </c>
      <c r="AS25" s="29" t="n">
        <f aca="false">SUMIFS('Outages (event ledger)'!$H$2:$H$65,'Outages (event ledger)'!$A$2:$A$65,AS$2,'Outages (event ledger)'!$E$2:$E$65,"&lt;="&amp;$B25,'Outages (event ledger)'!$G$2:$G$65,"&gt;="&amp;$B25)</f>
        <v>0</v>
      </c>
      <c r="AT25" s="29" t="n">
        <f aca="false">SUMIFS('Outages (event ledger)'!$H$2:$H$65,'Outages (event ledger)'!$A$2:$A$65,AT$2,'Outages (event ledger)'!$E$2:$E$65,"&lt;="&amp;$B25,'Outages (event ledger)'!$G$2:$G$65,"&gt;="&amp;$B25)</f>
        <v>0</v>
      </c>
      <c r="AU25" s="29" t="n">
        <f aca="false">SUMIFS('Outages (event ledger)'!$H$2:$H$65,'Outages (event ledger)'!$A$2:$A$65,AU$2,'Outages (event ledger)'!$E$2:$E$65,"&lt;="&amp;$B25,'Outages (event ledger)'!$G$2:$G$65,"&gt;="&amp;$B25)</f>
        <v>0</v>
      </c>
      <c r="AV25" s="29" t="n">
        <f aca="false">SUMIFS('Outages (event ledger)'!$H$2:$H$65,'Outages (event ledger)'!$A$2:$A$65,AV$2,'Outages (event ledger)'!$E$2:$E$65,"&lt;="&amp;$B25,'Outages (event ledger)'!$G$2:$G$65,"&gt;="&amp;$B25)</f>
        <v>0</v>
      </c>
      <c r="AW25" s="29" t="n">
        <f aca="false">SUMIFS('Outages (event ledger)'!$H$2:$H$65,'Outages (event ledger)'!$A$2:$A$65,AW$2,'Outages (event ledger)'!$E$2:$E$65,"&lt;="&amp;$B25,'Outages (event ledger)'!$G$2:$G$65,"&gt;="&amp;$B25)</f>
        <v>0</v>
      </c>
      <c r="AX25" s="29" t="n">
        <f aca="false">SUMIFS('Outages (event ledger)'!$H$2:$H$65,'Outages (event ledger)'!$A$2:$A$65,AX$2,'Outages (event ledger)'!$E$2:$E$65,"&lt;="&amp;$B25,'Outages (event ledger)'!$G$2:$G$65,"&gt;="&amp;$B25)</f>
        <v>0</v>
      </c>
      <c r="AY25" s="29" t="n">
        <f aca="false">SUMIFS('Outages (event ledger)'!$H$2:$H$65,'Outages (event ledger)'!$A$2:$A$65,AY$2,'Outages (event ledger)'!$E$2:$E$65,"&lt;="&amp;$B25,'Outages (event ledger)'!$G$2:$G$65,"&gt;="&amp;$B25)</f>
        <v>0</v>
      </c>
      <c r="AZ25" s="29" t="n">
        <f aca="false">SUMIFS('Outages (event ledger)'!$H$2:$H$65,'Outages (event ledger)'!$A$2:$A$65,AZ$2,'Outages (event ledger)'!$E$2:$E$65,"&lt;="&amp;$B25,'Outages (event ledger)'!$G$2:$G$65,"&gt;="&amp;$B25)</f>
        <v>0</v>
      </c>
      <c r="BA25" s="29" t="n">
        <f aca="false">SUMIFS('Outages (event ledger)'!$H$2:$H$65,'Outages (event ledger)'!$A$2:$A$65,BA$2,'Outages (event ledger)'!$E$2:$E$65,"&lt;="&amp;$B25,'Outages (event ledger)'!$G$2:$G$65,"&gt;="&amp;$B25)</f>
        <v>0</v>
      </c>
      <c r="BB25" s="29" t="n">
        <f aca="false">SUMIFS('Outages (event ledger)'!$H$2:$H$65,'Outages (event ledger)'!$A$2:$A$65,BB$2,'Outages (event ledger)'!$E$2:$E$65,"&lt;="&amp;$B25,'Outages (event ledger)'!$G$2:$G$65,"&gt;="&amp;$B25)</f>
        <v>0</v>
      </c>
      <c r="BC25" s="29" t="n">
        <f aca="false">SUMIFS('Outages (event ledger)'!$H$2:$H$65,'Outages (event ledger)'!$A$2:$A$65,BC$2,'Outages (event ledger)'!$E$2:$E$65,"&lt;="&amp;$B25,'Outages (event ledger)'!$G$2:$G$65,"&gt;="&amp;$B25)</f>
        <v>0</v>
      </c>
      <c r="BD25" s="29" t="n">
        <f aca="false">SUMIFS('Outages (event ledger)'!$H$2:$H$65,'Outages (event ledger)'!$A$2:$A$65,BD$2,'Outages (event ledger)'!$E$2:$E$65,"&lt;="&amp;$B25,'Outages (event ledger)'!$G$2:$G$65,"&gt;="&amp;$B25)</f>
        <v>0</v>
      </c>
      <c r="BE25" s="29" t="n">
        <f aca="false">SUMIFS('Outages (event ledger)'!$H$2:$H$65,'Outages (event ledger)'!$A$2:$A$65,BE$2,'Outages (event ledger)'!$E$2:$E$65,"&lt;="&amp;$B25,'Outages (event ledger)'!$G$2:$G$65,"&gt;="&amp;$B25)</f>
        <v>0</v>
      </c>
      <c r="BF25" s="29" t="n">
        <f aca="false">SUMIFS('Outages (event ledger)'!$H$2:$H$65,'Outages (event ledger)'!$A$2:$A$65,BF$2,'Outages (event ledger)'!$E$2:$E$65,"&lt;="&amp;$B25,'Outages (event ledger)'!$G$2:$G$65,"&gt;="&amp;$B25)</f>
        <v>0</v>
      </c>
      <c r="BG25" s="29" t="n">
        <f aca="false">SUMIFS('Outages (event ledger)'!$H$2:$H$65,'Outages (event ledger)'!$A$2:$A$65,BG$2,'Outages (event ledger)'!$E$2:$E$65,"&lt;="&amp;$B25,'Outages (event ledger)'!$G$2:$G$65,"&gt;="&amp;$B25)</f>
        <v>0</v>
      </c>
      <c r="BH25" s="29" t="n">
        <f aca="false">SUMIFS('Outages (event ledger)'!$H$2:$H$65,'Outages (event ledger)'!$A$2:$A$65,BH$2,'Outages (event ledger)'!$E$2:$E$65,"&lt;="&amp;$B25,'Outages (event ledger)'!$G$2:$G$65,"&gt;="&amp;$B25)</f>
        <v>0</v>
      </c>
      <c r="BI25" s="29" t="n">
        <f aca="false">SUMIFS('Outages (event ledger)'!$H$2:$H$65,'Outages (event ledger)'!$A$2:$A$65,BI$2,'Outages (event ledger)'!$E$2:$E$65,"&lt;="&amp;$B25,'Outages (event ledger)'!$G$2:$G$65,"&gt;="&amp;$B25)</f>
        <v>0</v>
      </c>
    </row>
    <row r="26" customFormat="false" ht="15" hidden="false" customHeight="false" outlineLevel="0" collapsed="false">
      <c r="A26" s="27" t="n">
        <v>40878</v>
      </c>
      <c r="B26" s="28" t="n">
        <v>201112</v>
      </c>
      <c r="C26" s="25" t="n">
        <f aca="false">SUM(D26:BI26)</f>
        <v>8</v>
      </c>
      <c r="D26" s="29" t="n">
        <f aca="false">SUMIFS('Outages (event ledger)'!$H$2:$H$65,'Outages (event ledger)'!$A$2:$A$65,D$2,'Outages (event ledger)'!$E$2:$E$65,"&lt;="&amp;$B26,'Outages (event ledger)'!$G$2:$G$65,"&gt;="&amp;$B26)</f>
        <v>0</v>
      </c>
      <c r="E26" s="29" t="n">
        <f aca="false">SUMIFS('Outages (event ledger)'!$H$2:$H$65,'Outages (event ledger)'!$A$2:$A$65,E$2,'Outages (event ledger)'!$E$2:$E$65,"&lt;="&amp;$B26,'Outages (event ledger)'!$G$2:$G$65,"&gt;="&amp;$B26)</f>
        <v>0</v>
      </c>
      <c r="F26" s="29" t="n">
        <f aca="false">SUMIFS('Outages (event ledger)'!$H$2:$H$65,'Outages (event ledger)'!$A$2:$A$65,F$2,'Outages (event ledger)'!$E$2:$E$65,"&lt;="&amp;$B26,'Outages (event ledger)'!$G$2:$G$65,"&gt;="&amp;$B26)</f>
        <v>0</v>
      </c>
      <c r="G26" s="29" t="n">
        <f aca="false">SUMIFS('Outages (event ledger)'!$H$2:$H$65,'Outages (event ledger)'!$A$2:$A$65,G$2,'Outages (event ledger)'!$E$2:$E$65,"&lt;="&amp;$B26,'Outages (event ledger)'!$G$2:$G$65,"&gt;="&amp;$B26)</f>
        <v>0</v>
      </c>
      <c r="H26" s="29" t="n">
        <f aca="false">SUMIFS('Outages (event ledger)'!$H$2:$H$65,'Outages (event ledger)'!$A$2:$A$65,H$2,'Outages (event ledger)'!$E$2:$E$65,"&lt;="&amp;$B26,'Outages (event ledger)'!$G$2:$G$65,"&gt;="&amp;$B26)</f>
        <v>0</v>
      </c>
      <c r="I26" s="29" t="n">
        <f aca="false">SUMIFS('Outages (event ledger)'!$H$2:$H$65,'Outages (event ledger)'!$A$2:$A$65,I$2,'Outages (event ledger)'!$E$2:$E$65,"&lt;="&amp;$B26,'Outages (event ledger)'!$G$2:$G$65,"&gt;="&amp;$B26)</f>
        <v>0</v>
      </c>
      <c r="J26" s="29" t="n">
        <f aca="false">SUMIFS('Outages (event ledger)'!$H$2:$H$65,'Outages (event ledger)'!$A$2:$A$65,J$2,'Outages (event ledger)'!$E$2:$E$65,"&lt;="&amp;$B26,'Outages (event ledger)'!$G$2:$G$65,"&gt;="&amp;$B26)</f>
        <v>0</v>
      </c>
      <c r="K26" s="29" t="n">
        <f aca="false">SUMIFS('Outages (event ledger)'!$H$2:$H$65,'Outages (event ledger)'!$A$2:$A$65,K$2,'Outages (event ledger)'!$E$2:$E$65,"&lt;="&amp;$B26,'Outages (event ledger)'!$G$2:$G$65,"&gt;="&amp;$B26)</f>
        <v>0</v>
      </c>
      <c r="L26" s="29" t="n">
        <f aca="false">SUMIFS('Outages (event ledger)'!$H$2:$H$65,'Outages (event ledger)'!$A$2:$A$65,L$2,'Outages (event ledger)'!$E$2:$E$65,"&lt;="&amp;$B26,'Outages (event ledger)'!$G$2:$G$65,"&gt;="&amp;$B26)</f>
        <v>0</v>
      </c>
      <c r="M26" s="29" t="n">
        <f aca="false">SUMIFS('Outages (event ledger)'!$H$2:$H$65,'Outages (event ledger)'!$A$2:$A$65,M$2,'Outages (event ledger)'!$E$2:$E$65,"&lt;="&amp;$B26,'Outages (event ledger)'!$G$2:$G$65,"&gt;="&amp;$B26)</f>
        <v>0</v>
      </c>
      <c r="N26" s="29" t="n">
        <f aca="false">SUMIFS('Outages (event ledger)'!$H$2:$H$65,'Outages (event ledger)'!$A$2:$A$65,N$2,'Outages (event ledger)'!$E$2:$E$65,"&lt;="&amp;$B26,'Outages (event ledger)'!$G$2:$G$65,"&gt;="&amp;$B26)</f>
        <v>0</v>
      </c>
      <c r="O26" s="29" t="n">
        <f aca="false">SUMIFS('Outages (event ledger)'!$H$2:$H$65,'Outages (event ledger)'!$A$2:$A$65,O$2,'Outages (event ledger)'!$E$2:$E$65,"&lt;="&amp;$B26,'Outages (event ledger)'!$G$2:$G$65,"&gt;="&amp;$B26)</f>
        <v>0</v>
      </c>
      <c r="P26" s="29" t="n">
        <f aca="false">SUMIFS('Outages (event ledger)'!$H$2:$H$65,'Outages (event ledger)'!$A$2:$A$65,P$2,'Outages (event ledger)'!$E$2:$E$65,"&lt;="&amp;$B26,'Outages (event ledger)'!$G$2:$G$65,"&gt;="&amp;$B26)</f>
        <v>0</v>
      </c>
      <c r="Q26" s="29" t="n">
        <f aca="false">SUMIFS('Outages (event ledger)'!$H$2:$H$65,'Outages (event ledger)'!$A$2:$A$65,Q$2,'Outages (event ledger)'!$E$2:$E$65,"&lt;="&amp;$B26,'Outages (event ledger)'!$G$2:$G$65,"&gt;="&amp;$B26)</f>
        <v>0</v>
      </c>
      <c r="R26" s="29" t="n">
        <f aca="false">SUMIFS('Outages (event ledger)'!$H$2:$H$65,'Outages (event ledger)'!$A$2:$A$65,R$2,'Outages (event ledger)'!$E$2:$E$65,"&lt;="&amp;$B26,'Outages (event ledger)'!$G$2:$G$65,"&gt;="&amp;$B26)</f>
        <v>0</v>
      </c>
      <c r="S26" s="29" t="n">
        <f aca="false">SUMIFS('Outages (event ledger)'!$H$2:$H$65,'Outages (event ledger)'!$A$2:$A$65,S$2,'Outages (event ledger)'!$E$2:$E$65,"&lt;="&amp;$B26,'Outages (event ledger)'!$G$2:$G$65,"&gt;="&amp;$B26)</f>
        <v>0</v>
      </c>
      <c r="T26" s="29" t="n">
        <f aca="false">SUMIFS('Outages (event ledger)'!$H$2:$H$65,'Outages (event ledger)'!$A$2:$A$65,T$2,'Outages (event ledger)'!$E$2:$E$65,"&lt;="&amp;$B26,'Outages (event ledger)'!$G$2:$G$65,"&gt;="&amp;$B26)</f>
        <v>0</v>
      </c>
      <c r="U26" s="29" t="n">
        <f aca="false">SUMIFS('Outages (event ledger)'!$H$2:$H$65,'Outages (event ledger)'!$A$2:$A$65,U$2,'Outages (event ledger)'!$E$2:$E$65,"&lt;="&amp;$B26,'Outages (event ledger)'!$G$2:$G$65,"&gt;="&amp;$B26)</f>
        <v>0</v>
      </c>
      <c r="V26" s="29" t="n">
        <f aca="false">SUMIFS('Outages (event ledger)'!$H$2:$H$65,'Outages (event ledger)'!$A$2:$A$65,V$2,'Outages (event ledger)'!$E$2:$E$65,"&lt;="&amp;$B26,'Outages (event ledger)'!$G$2:$G$65,"&gt;="&amp;$B26)</f>
        <v>0</v>
      </c>
      <c r="W26" s="29" t="n">
        <f aca="false">SUMIFS('Outages (event ledger)'!$H$2:$H$65,'Outages (event ledger)'!$A$2:$A$65,W$2,'Outages (event ledger)'!$E$2:$E$65,"&lt;="&amp;$B26,'Outages (event ledger)'!$G$2:$G$65,"&gt;="&amp;$B26)</f>
        <v>0</v>
      </c>
      <c r="X26" s="29" t="n">
        <f aca="false">SUMIFS('Outages (event ledger)'!$H$2:$H$65,'Outages (event ledger)'!$A$2:$A$65,X$2,'Outages (event ledger)'!$E$2:$E$65,"&lt;="&amp;$B26,'Outages (event ledger)'!$G$2:$G$65,"&gt;="&amp;$B26)</f>
        <v>0</v>
      </c>
      <c r="Y26" s="29" t="n">
        <f aca="false">SUMIFS('Outages (event ledger)'!$H$2:$H$65,'Outages (event ledger)'!$A$2:$A$65,Y$2,'Outages (event ledger)'!$E$2:$E$65,"&lt;="&amp;$B26,'Outages (event ledger)'!$G$2:$G$65,"&gt;="&amp;$B26)</f>
        <v>0</v>
      </c>
      <c r="Z26" s="29" t="n">
        <f aca="false">SUMIFS('Outages (event ledger)'!$H$2:$H$65,'Outages (event ledger)'!$A$2:$A$65,Z$2,'Outages (event ledger)'!$E$2:$E$65,"&lt;="&amp;$B26,'Outages (event ledger)'!$G$2:$G$65,"&gt;="&amp;$B26)</f>
        <v>0</v>
      </c>
      <c r="AA26" s="29" t="n">
        <f aca="false">SUMIFS('Outages (event ledger)'!$H$2:$H$65,'Outages (event ledger)'!$A$2:$A$65,AA$2,'Outages (event ledger)'!$E$2:$E$65,"&lt;="&amp;$B26,'Outages (event ledger)'!$G$2:$G$65,"&gt;="&amp;$B26)</f>
        <v>0</v>
      </c>
      <c r="AB26" s="29" t="n">
        <f aca="false">SUMIFS('Outages (event ledger)'!$H$2:$H$65,'Outages (event ledger)'!$A$2:$A$65,AB$2,'Outages (event ledger)'!$E$2:$E$65,"&lt;="&amp;$B26,'Outages (event ledger)'!$G$2:$G$65,"&gt;="&amp;$B26)</f>
        <v>8</v>
      </c>
      <c r="AC26" s="29" t="n">
        <f aca="false">SUMIFS('Outages (event ledger)'!$H$2:$H$65,'Outages (event ledger)'!$A$2:$A$65,AC$2,'Outages (event ledger)'!$E$2:$E$65,"&lt;="&amp;$B26,'Outages (event ledger)'!$G$2:$G$65,"&gt;="&amp;$B26)</f>
        <v>0</v>
      </c>
      <c r="AD26" s="29" t="n">
        <f aca="false">SUMIFS('Outages (event ledger)'!$H$2:$H$65,'Outages (event ledger)'!$A$2:$A$65,AD$2,'Outages (event ledger)'!$E$2:$E$65,"&lt;="&amp;$B26,'Outages (event ledger)'!$G$2:$G$65,"&gt;="&amp;$B26)</f>
        <v>0</v>
      </c>
      <c r="AE26" s="29" t="n">
        <f aca="false">SUMIFS('Outages (event ledger)'!$H$2:$H$65,'Outages (event ledger)'!$A$2:$A$65,AE$2,'Outages (event ledger)'!$E$2:$E$65,"&lt;="&amp;$B26,'Outages (event ledger)'!$G$2:$G$65,"&gt;="&amp;$B26)</f>
        <v>0</v>
      </c>
      <c r="AF26" s="29" t="n">
        <f aca="false">SUMIFS('Outages (event ledger)'!$H$2:$H$65,'Outages (event ledger)'!$A$2:$A$65,AF$2,'Outages (event ledger)'!$E$2:$E$65,"&lt;="&amp;$B26,'Outages (event ledger)'!$G$2:$G$65,"&gt;="&amp;$B26)</f>
        <v>0</v>
      </c>
      <c r="AG26" s="29" t="n">
        <f aca="false">SUMIFS('Outages (event ledger)'!$H$2:$H$65,'Outages (event ledger)'!$A$2:$A$65,AG$2,'Outages (event ledger)'!$E$2:$E$65,"&lt;="&amp;$B26,'Outages (event ledger)'!$G$2:$G$65,"&gt;="&amp;$B26)</f>
        <v>0</v>
      </c>
      <c r="AH26" s="29" t="n">
        <f aca="false">SUMIFS('Outages (event ledger)'!$H$2:$H$65,'Outages (event ledger)'!$A$2:$A$65,AH$2,'Outages (event ledger)'!$E$2:$E$65,"&lt;="&amp;$B26,'Outages (event ledger)'!$G$2:$G$65,"&gt;="&amp;$B26)</f>
        <v>0</v>
      </c>
      <c r="AI26" s="29" t="n">
        <f aca="false">SUMIFS('Outages (event ledger)'!$H$2:$H$65,'Outages (event ledger)'!$A$2:$A$65,AI$2,'Outages (event ledger)'!$E$2:$E$65,"&lt;="&amp;$B26,'Outages (event ledger)'!$G$2:$G$65,"&gt;="&amp;$B26)</f>
        <v>0</v>
      </c>
      <c r="AJ26" s="29" t="n">
        <f aca="false">SUMIFS('Outages (event ledger)'!$H$2:$H$65,'Outages (event ledger)'!$A$2:$A$65,AJ$2,'Outages (event ledger)'!$E$2:$E$65,"&lt;="&amp;$B26,'Outages (event ledger)'!$G$2:$G$65,"&gt;="&amp;$B26)</f>
        <v>0</v>
      </c>
      <c r="AK26" s="29" t="n">
        <f aca="false">SUMIFS('Outages (event ledger)'!$H$2:$H$65,'Outages (event ledger)'!$A$2:$A$65,AK$2,'Outages (event ledger)'!$E$2:$E$65,"&lt;="&amp;$B26,'Outages (event ledger)'!$G$2:$G$65,"&gt;="&amp;$B26)</f>
        <v>0</v>
      </c>
      <c r="AL26" s="29" t="n">
        <f aca="false">SUMIFS('Outages (event ledger)'!$H$2:$H$65,'Outages (event ledger)'!$A$2:$A$65,AL$2,'Outages (event ledger)'!$E$2:$E$65,"&lt;="&amp;$B26,'Outages (event ledger)'!$G$2:$G$65,"&gt;="&amp;$B26)</f>
        <v>0</v>
      </c>
      <c r="AM26" s="29" t="n">
        <f aca="false">SUMIFS('Outages (event ledger)'!$H$2:$H$65,'Outages (event ledger)'!$A$2:$A$65,AM$2,'Outages (event ledger)'!$E$2:$E$65,"&lt;="&amp;$B26,'Outages (event ledger)'!$G$2:$G$65,"&gt;="&amp;$B26)</f>
        <v>0</v>
      </c>
      <c r="AN26" s="29" t="n">
        <f aca="false">SUMIFS('Outages (event ledger)'!$H$2:$H$65,'Outages (event ledger)'!$A$2:$A$65,AN$2,'Outages (event ledger)'!$E$2:$E$65,"&lt;="&amp;$B26,'Outages (event ledger)'!$G$2:$G$65,"&gt;="&amp;$B26)</f>
        <v>0</v>
      </c>
      <c r="AO26" s="29" t="n">
        <f aca="false">SUMIFS('Outages (event ledger)'!$H$2:$H$65,'Outages (event ledger)'!$A$2:$A$65,AO$2,'Outages (event ledger)'!$E$2:$E$65,"&lt;="&amp;$B26,'Outages (event ledger)'!$G$2:$G$65,"&gt;="&amp;$B26)</f>
        <v>0</v>
      </c>
      <c r="AP26" s="29" t="n">
        <f aca="false">SUMIFS('Outages (event ledger)'!$H$2:$H$65,'Outages (event ledger)'!$A$2:$A$65,AP$2,'Outages (event ledger)'!$E$2:$E$65,"&lt;="&amp;$B26,'Outages (event ledger)'!$G$2:$G$65,"&gt;="&amp;$B26)</f>
        <v>0</v>
      </c>
      <c r="AQ26" s="29" t="n">
        <f aca="false">SUMIFS('Outages (event ledger)'!$H$2:$H$65,'Outages (event ledger)'!$A$2:$A$65,AQ$2,'Outages (event ledger)'!$E$2:$E$65,"&lt;="&amp;$B26,'Outages (event ledger)'!$G$2:$G$65,"&gt;="&amp;$B26)</f>
        <v>0</v>
      </c>
      <c r="AR26" s="29" t="n">
        <f aca="false">SUMIFS('Outages (event ledger)'!$H$2:$H$65,'Outages (event ledger)'!$A$2:$A$65,AR$2,'Outages (event ledger)'!$E$2:$E$65,"&lt;="&amp;$B26,'Outages (event ledger)'!$G$2:$G$65,"&gt;="&amp;$B26)</f>
        <v>0</v>
      </c>
      <c r="AS26" s="29" t="n">
        <f aca="false">SUMIFS('Outages (event ledger)'!$H$2:$H$65,'Outages (event ledger)'!$A$2:$A$65,AS$2,'Outages (event ledger)'!$E$2:$E$65,"&lt;="&amp;$B26,'Outages (event ledger)'!$G$2:$G$65,"&gt;="&amp;$B26)</f>
        <v>0</v>
      </c>
      <c r="AT26" s="29" t="n">
        <f aca="false">SUMIFS('Outages (event ledger)'!$H$2:$H$65,'Outages (event ledger)'!$A$2:$A$65,AT$2,'Outages (event ledger)'!$E$2:$E$65,"&lt;="&amp;$B26,'Outages (event ledger)'!$G$2:$G$65,"&gt;="&amp;$B26)</f>
        <v>0</v>
      </c>
      <c r="AU26" s="29" t="n">
        <f aca="false">SUMIFS('Outages (event ledger)'!$H$2:$H$65,'Outages (event ledger)'!$A$2:$A$65,AU$2,'Outages (event ledger)'!$E$2:$E$65,"&lt;="&amp;$B26,'Outages (event ledger)'!$G$2:$G$65,"&gt;="&amp;$B26)</f>
        <v>0</v>
      </c>
      <c r="AV26" s="29" t="n">
        <f aca="false">SUMIFS('Outages (event ledger)'!$H$2:$H$65,'Outages (event ledger)'!$A$2:$A$65,AV$2,'Outages (event ledger)'!$E$2:$E$65,"&lt;="&amp;$B26,'Outages (event ledger)'!$G$2:$G$65,"&gt;="&amp;$B26)</f>
        <v>0</v>
      </c>
      <c r="AW26" s="29" t="n">
        <f aca="false">SUMIFS('Outages (event ledger)'!$H$2:$H$65,'Outages (event ledger)'!$A$2:$A$65,AW$2,'Outages (event ledger)'!$E$2:$E$65,"&lt;="&amp;$B26,'Outages (event ledger)'!$G$2:$G$65,"&gt;="&amp;$B26)</f>
        <v>0</v>
      </c>
      <c r="AX26" s="29" t="n">
        <f aca="false">SUMIFS('Outages (event ledger)'!$H$2:$H$65,'Outages (event ledger)'!$A$2:$A$65,AX$2,'Outages (event ledger)'!$E$2:$E$65,"&lt;="&amp;$B26,'Outages (event ledger)'!$G$2:$G$65,"&gt;="&amp;$B26)</f>
        <v>0</v>
      </c>
      <c r="AY26" s="29" t="n">
        <f aca="false">SUMIFS('Outages (event ledger)'!$H$2:$H$65,'Outages (event ledger)'!$A$2:$A$65,AY$2,'Outages (event ledger)'!$E$2:$E$65,"&lt;="&amp;$B26,'Outages (event ledger)'!$G$2:$G$65,"&gt;="&amp;$B26)</f>
        <v>0</v>
      </c>
      <c r="AZ26" s="29" t="n">
        <f aca="false">SUMIFS('Outages (event ledger)'!$H$2:$H$65,'Outages (event ledger)'!$A$2:$A$65,AZ$2,'Outages (event ledger)'!$E$2:$E$65,"&lt;="&amp;$B26,'Outages (event ledger)'!$G$2:$G$65,"&gt;="&amp;$B26)</f>
        <v>0</v>
      </c>
      <c r="BA26" s="29" t="n">
        <f aca="false">SUMIFS('Outages (event ledger)'!$H$2:$H$65,'Outages (event ledger)'!$A$2:$A$65,BA$2,'Outages (event ledger)'!$E$2:$E$65,"&lt;="&amp;$B26,'Outages (event ledger)'!$G$2:$G$65,"&gt;="&amp;$B26)</f>
        <v>0</v>
      </c>
      <c r="BB26" s="29" t="n">
        <f aca="false">SUMIFS('Outages (event ledger)'!$H$2:$H$65,'Outages (event ledger)'!$A$2:$A$65,BB$2,'Outages (event ledger)'!$E$2:$E$65,"&lt;="&amp;$B26,'Outages (event ledger)'!$G$2:$G$65,"&gt;="&amp;$B26)</f>
        <v>0</v>
      </c>
      <c r="BC26" s="29" t="n">
        <f aca="false">SUMIFS('Outages (event ledger)'!$H$2:$H$65,'Outages (event ledger)'!$A$2:$A$65,BC$2,'Outages (event ledger)'!$E$2:$E$65,"&lt;="&amp;$B26,'Outages (event ledger)'!$G$2:$G$65,"&gt;="&amp;$B26)</f>
        <v>0</v>
      </c>
      <c r="BD26" s="29" t="n">
        <f aca="false">SUMIFS('Outages (event ledger)'!$H$2:$H$65,'Outages (event ledger)'!$A$2:$A$65,BD$2,'Outages (event ledger)'!$E$2:$E$65,"&lt;="&amp;$B26,'Outages (event ledger)'!$G$2:$G$65,"&gt;="&amp;$B26)</f>
        <v>0</v>
      </c>
      <c r="BE26" s="29" t="n">
        <f aca="false">SUMIFS('Outages (event ledger)'!$H$2:$H$65,'Outages (event ledger)'!$A$2:$A$65,BE$2,'Outages (event ledger)'!$E$2:$E$65,"&lt;="&amp;$B26,'Outages (event ledger)'!$G$2:$G$65,"&gt;="&amp;$B26)</f>
        <v>0</v>
      </c>
      <c r="BF26" s="29" t="n">
        <f aca="false">SUMIFS('Outages (event ledger)'!$H$2:$H$65,'Outages (event ledger)'!$A$2:$A$65,BF$2,'Outages (event ledger)'!$E$2:$E$65,"&lt;="&amp;$B26,'Outages (event ledger)'!$G$2:$G$65,"&gt;="&amp;$B26)</f>
        <v>0</v>
      </c>
      <c r="BG26" s="29" t="n">
        <f aca="false">SUMIFS('Outages (event ledger)'!$H$2:$H$65,'Outages (event ledger)'!$A$2:$A$65,BG$2,'Outages (event ledger)'!$E$2:$E$65,"&lt;="&amp;$B26,'Outages (event ledger)'!$G$2:$G$65,"&gt;="&amp;$B26)</f>
        <v>0</v>
      </c>
      <c r="BH26" s="29" t="n">
        <f aca="false">SUMIFS('Outages (event ledger)'!$H$2:$H$65,'Outages (event ledger)'!$A$2:$A$65,BH$2,'Outages (event ledger)'!$E$2:$E$65,"&lt;="&amp;$B26,'Outages (event ledger)'!$G$2:$G$65,"&gt;="&amp;$B26)</f>
        <v>0</v>
      </c>
      <c r="BI26" s="29" t="n">
        <f aca="false">SUMIFS('Outages (event ledger)'!$H$2:$H$65,'Outages (event ledger)'!$A$2:$A$65,BI$2,'Outages (event ledger)'!$E$2:$E$65,"&lt;="&amp;$B26,'Outages (event ledger)'!$G$2:$G$65,"&gt;="&amp;$B26)</f>
        <v>0</v>
      </c>
    </row>
    <row r="27" customFormat="false" ht="15" hidden="false" customHeight="false" outlineLevel="0" collapsed="false">
      <c r="A27" s="23" t="n">
        <v>40909</v>
      </c>
      <c r="B27" s="24" t="n">
        <v>201201</v>
      </c>
      <c r="C27" s="25" t="n">
        <f aca="false">SUM(D27:BI27)</f>
        <v>8</v>
      </c>
      <c r="D27" s="26" t="n">
        <f aca="false">SUMIFS('Outages (event ledger)'!$H$2:$H$65,'Outages (event ledger)'!$A$2:$A$65,D$2,'Outages (event ledger)'!$E$2:$E$65,"&lt;="&amp;$B27,'Outages (event ledger)'!$G$2:$G$65,"&gt;="&amp;$B27)</f>
        <v>0</v>
      </c>
      <c r="E27" s="26" t="n">
        <f aca="false">SUMIFS('Outages (event ledger)'!$H$2:$H$65,'Outages (event ledger)'!$A$2:$A$65,E$2,'Outages (event ledger)'!$E$2:$E$65,"&lt;="&amp;$B27,'Outages (event ledger)'!$G$2:$G$65,"&gt;="&amp;$B27)</f>
        <v>0</v>
      </c>
      <c r="F27" s="26" t="n">
        <f aca="false">SUMIFS('Outages (event ledger)'!$H$2:$H$65,'Outages (event ledger)'!$A$2:$A$65,F$2,'Outages (event ledger)'!$E$2:$E$65,"&lt;="&amp;$B27,'Outages (event ledger)'!$G$2:$G$65,"&gt;="&amp;$B27)</f>
        <v>0</v>
      </c>
      <c r="G27" s="26" t="n">
        <f aca="false">SUMIFS('Outages (event ledger)'!$H$2:$H$65,'Outages (event ledger)'!$A$2:$A$65,G$2,'Outages (event ledger)'!$E$2:$E$65,"&lt;="&amp;$B27,'Outages (event ledger)'!$G$2:$G$65,"&gt;="&amp;$B27)</f>
        <v>0</v>
      </c>
      <c r="H27" s="26" t="n">
        <f aca="false">SUMIFS('Outages (event ledger)'!$H$2:$H$65,'Outages (event ledger)'!$A$2:$A$65,H$2,'Outages (event ledger)'!$E$2:$E$65,"&lt;="&amp;$B27,'Outages (event ledger)'!$G$2:$G$65,"&gt;="&amp;$B27)</f>
        <v>0</v>
      </c>
      <c r="I27" s="26" t="n">
        <f aca="false">SUMIFS('Outages (event ledger)'!$H$2:$H$65,'Outages (event ledger)'!$A$2:$A$65,I$2,'Outages (event ledger)'!$E$2:$E$65,"&lt;="&amp;$B27,'Outages (event ledger)'!$G$2:$G$65,"&gt;="&amp;$B27)</f>
        <v>0</v>
      </c>
      <c r="J27" s="26" t="n">
        <f aca="false">SUMIFS('Outages (event ledger)'!$H$2:$H$65,'Outages (event ledger)'!$A$2:$A$65,J$2,'Outages (event ledger)'!$E$2:$E$65,"&lt;="&amp;$B27,'Outages (event ledger)'!$G$2:$G$65,"&gt;="&amp;$B27)</f>
        <v>0</v>
      </c>
      <c r="K27" s="26" t="n">
        <f aca="false">SUMIFS('Outages (event ledger)'!$H$2:$H$65,'Outages (event ledger)'!$A$2:$A$65,K$2,'Outages (event ledger)'!$E$2:$E$65,"&lt;="&amp;$B27,'Outages (event ledger)'!$G$2:$G$65,"&gt;="&amp;$B27)</f>
        <v>0</v>
      </c>
      <c r="L27" s="26" t="n">
        <f aca="false">SUMIFS('Outages (event ledger)'!$H$2:$H$65,'Outages (event ledger)'!$A$2:$A$65,L$2,'Outages (event ledger)'!$E$2:$E$65,"&lt;="&amp;$B27,'Outages (event ledger)'!$G$2:$G$65,"&gt;="&amp;$B27)</f>
        <v>0</v>
      </c>
      <c r="M27" s="26" t="n">
        <f aca="false">SUMIFS('Outages (event ledger)'!$H$2:$H$65,'Outages (event ledger)'!$A$2:$A$65,M$2,'Outages (event ledger)'!$E$2:$E$65,"&lt;="&amp;$B27,'Outages (event ledger)'!$G$2:$G$65,"&gt;="&amp;$B27)</f>
        <v>0</v>
      </c>
      <c r="N27" s="26" t="n">
        <f aca="false">SUMIFS('Outages (event ledger)'!$H$2:$H$65,'Outages (event ledger)'!$A$2:$A$65,N$2,'Outages (event ledger)'!$E$2:$E$65,"&lt;="&amp;$B27,'Outages (event ledger)'!$G$2:$G$65,"&gt;="&amp;$B27)</f>
        <v>0</v>
      </c>
      <c r="O27" s="26" t="n">
        <f aca="false">SUMIFS('Outages (event ledger)'!$H$2:$H$65,'Outages (event ledger)'!$A$2:$A$65,O$2,'Outages (event ledger)'!$E$2:$E$65,"&lt;="&amp;$B27,'Outages (event ledger)'!$G$2:$G$65,"&gt;="&amp;$B27)</f>
        <v>0</v>
      </c>
      <c r="P27" s="26" t="n">
        <f aca="false">SUMIFS('Outages (event ledger)'!$H$2:$H$65,'Outages (event ledger)'!$A$2:$A$65,P$2,'Outages (event ledger)'!$E$2:$E$65,"&lt;="&amp;$B27,'Outages (event ledger)'!$G$2:$G$65,"&gt;="&amp;$B27)</f>
        <v>0</v>
      </c>
      <c r="Q27" s="26" t="n">
        <f aca="false">SUMIFS('Outages (event ledger)'!$H$2:$H$65,'Outages (event ledger)'!$A$2:$A$65,Q$2,'Outages (event ledger)'!$E$2:$E$65,"&lt;="&amp;$B27,'Outages (event ledger)'!$G$2:$G$65,"&gt;="&amp;$B27)</f>
        <v>0</v>
      </c>
      <c r="R27" s="26" t="n">
        <f aca="false">SUMIFS('Outages (event ledger)'!$H$2:$H$65,'Outages (event ledger)'!$A$2:$A$65,R$2,'Outages (event ledger)'!$E$2:$E$65,"&lt;="&amp;$B27,'Outages (event ledger)'!$G$2:$G$65,"&gt;="&amp;$B27)</f>
        <v>0</v>
      </c>
      <c r="S27" s="26" t="n">
        <f aca="false">SUMIFS('Outages (event ledger)'!$H$2:$H$65,'Outages (event ledger)'!$A$2:$A$65,S$2,'Outages (event ledger)'!$E$2:$E$65,"&lt;="&amp;$B27,'Outages (event ledger)'!$G$2:$G$65,"&gt;="&amp;$B27)</f>
        <v>0</v>
      </c>
      <c r="T27" s="26" t="n">
        <f aca="false">SUMIFS('Outages (event ledger)'!$H$2:$H$65,'Outages (event ledger)'!$A$2:$A$65,T$2,'Outages (event ledger)'!$E$2:$E$65,"&lt;="&amp;$B27,'Outages (event ledger)'!$G$2:$G$65,"&gt;="&amp;$B27)</f>
        <v>0</v>
      </c>
      <c r="U27" s="26" t="n">
        <f aca="false">SUMIFS('Outages (event ledger)'!$H$2:$H$65,'Outages (event ledger)'!$A$2:$A$65,U$2,'Outages (event ledger)'!$E$2:$E$65,"&lt;="&amp;$B27,'Outages (event ledger)'!$G$2:$G$65,"&gt;="&amp;$B27)</f>
        <v>0</v>
      </c>
      <c r="V27" s="26" t="n">
        <f aca="false">SUMIFS('Outages (event ledger)'!$H$2:$H$65,'Outages (event ledger)'!$A$2:$A$65,V$2,'Outages (event ledger)'!$E$2:$E$65,"&lt;="&amp;$B27,'Outages (event ledger)'!$G$2:$G$65,"&gt;="&amp;$B27)</f>
        <v>0</v>
      </c>
      <c r="W27" s="26" t="n">
        <f aca="false">SUMIFS('Outages (event ledger)'!$H$2:$H$65,'Outages (event ledger)'!$A$2:$A$65,W$2,'Outages (event ledger)'!$E$2:$E$65,"&lt;="&amp;$B27,'Outages (event ledger)'!$G$2:$G$65,"&gt;="&amp;$B27)</f>
        <v>0</v>
      </c>
      <c r="X27" s="26" t="n">
        <f aca="false">SUMIFS('Outages (event ledger)'!$H$2:$H$65,'Outages (event ledger)'!$A$2:$A$65,X$2,'Outages (event ledger)'!$E$2:$E$65,"&lt;="&amp;$B27,'Outages (event ledger)'!$G$2:$G$65,"&gt;="&amp;$B27)</f>
        <v>0</v>
      </c>
      <c r="Y27" s="26" t="n">
        <f aca="false">SUMIFS('Outages (event ledger)'!$H$2:$H$65,'Outages (event ledger)'!$A$2:$A$65,Y$2,'Outages (event ledger)'!$E$2:$E$65,"&lt;="&amp;$B27,'Outages (event ledger)'!$G$2:$G$65,"&gt;="&amp;$B27)</f>
        <v>0</v>
      </c>
      <c r="Z27" s="26" t="n">
        <f aca="false">SUMIFS('Outages (event ledger)'!$H$2:$H$65,'Outages (event ledger)'!$A$2:$A$65,Z$2,'Outages (event ledger)'!$E$2:$E$65,"&lt;="&amp;$B27,'Outages (event ledger)'!$G$2:$G$65,"&gt;="&amp;$B27)</f>
        <v>0</v>
      </c>
      <c r="AA27" s="26" t="n">
        <f aca="false">SUMIFS('Outages (event ledger)'!$H$2:$H$65,'Outages (event ledger)'!$A$2:$A$65,AA$2,'Outages (event ledger)'!$E$2:$E$65,"&lt;="&amp;$B27,'Outages (event ledger)'!$G$2:$G$65,"&gt;="&amp;$B27)</f>
        <v>0</v>
      </c>
      <c r="AB27" s="26" t="n">
        <f aca="false">SUMIFS('Outages (event ledger)'!$H$2:$H$65,'Outages (event ledger)'!$A$2:$A$65,AB$2,'Outages (event ledger)'!$E$2:$E$65,"&lt;="&amp;$B27,'Outages (event ledger)'!$G$2:$G$65,"&gt;="&amp;$B27)</f>
        <v>8</v>
      </c>
      <c r="AC27" s="26" t="n">
        <f aca="false">SUMIFS('Outages (event ledger)'!$H$2:$H$65,'Outages (event ledger)'!$A$2:$A$65,AC$2,'Outages (event ledger)'!$E$2:$E$65,"&lt;="&amp;$B27,'Outages (event ledger)'!$G$2:$G$65,"&gt;="&amp;$B27)</f>
        <v>0</v>
      </c>
      <c r="AD27" s="26" t="n">
        <f aca="false">SUMIFS('Outages (event ledger)'!$H$2:$H$65,'Outages (event ledger)'!$A$2:$A$65,AD$2,'Outages (event ledger)'!$E$2:$E$65,"&lt;="&amp;$B27,'Outages (event ledger)'!$G$2:$G$65,"&gt;="&amp;$B27)</f>
        <v>0</v>
      </c>
      <c r="AE27" s="26" t="n">
        <f aca="false">SUMIFS('Outages (event ledger)'!$H$2:$H$65,'Outages (event ledger)'!$A$2:$A$65,AE$2,'Outages (event ledger)'!$E$2:$E$65,"&lt;="&amp;$B27,'Outages (event ledger)'!$G$2:$G$65,"&gt;="&amp;$B27)</f>
        <v>0</v>
      </c>
      <c r="AF27" s="26" t="n">
        <f aca="false">SUMIFS('Outages (event ledger)'!$H$2:$H$65,'Outages (event ledger)'!$A$2:$A$65,AF$2,'Outages (event ledger)'!$E$2:$E$65,"&lt;="&amp;$B27,'Outages (event ledger)'!$G$2:$G$65,"&gt;="&amp;$B27)</f>
        <v>0</v>
      </c>
      <c r="AG27" s="26" t="n">
        <f aca="false">SUMIFS('Outages (event ledger)'!$H$2:$H$65,'Outages (event ledger)'!$A$2:$A$65,AG$2,'Outages (event ledger)'!$E$2:$E$65,"&lt;="&amp;$B27,'Outages (event ledger)'!$G$2:$G$65,"&gt;="&amp;$B27)</f>
        <v>0</v>
      </c>
      <c r="AH27" s="26" t="n">
        <f aca="false">SUMIFS('Outages (event ledger)'!$H$2:$H$65,'Outages (event ledger)'!$A$2:$A$65,AH$2,'Outages (event ledger)'!$E$2:$E$65,"&lt;="&amp;$B27,'Outages (event ledger)'!$G$2:$G$65,"&gt;="&amp;$B27)</f>
        <v>0</v>
      </c>
      <c r="AI27" s="26" t="n">
        <f aca="false">SUMIFS('Outages (event ledger)'!$H$2:$H$65,'Outages (event ledger)'!$A$2:$A$65,AI$2,'Outages (event ledger)'!$E$2:$E$65,"&lt;="&amp;$B27,'Outages (event ledger)'!$G$2:$G$65,"&gt;="&amp;$B27)</f>
        <v>0</v>
      </c>
      <c r="AJ27" s="26" t="n">
        <f aca="false">SUMIFS('Outages (event ledger)'!$H$2:$H$65,'Outages (event ledger)'!$A$2:$A$65,AJ$2,'Outages (event ledger)'!$E$2:$E$65,"&lt;="&amp;$B27,'Outages (event ledger)'!$G$2:$G$65,"&gt;="&amp;$B27)</f>
        <v>0</v>
      </c>
      <c r="AK27" s="26" t="n">
        <f aca="false">SUMIFS('Outages (event ledger)'!$H$2:$H$65,'Outages (event ledger)'!$A$2:$A$65,AK$2,'Outages (event ledger)'!$E$2:$E$65,"&lt;="&amp;$B27,'Outages (event ledger)'!$G$2:$G$65,"&gt;="&amp;$B27)</f>
        <v>0</v>
      </c>
      <c r="AL27" s="26" t="n">
        <f aca="false">SUMIFS('Outages (event ledger)'!$H$2:$H$65,'Outages (event ledger)'!$A$2:$A$65,AL$2,'Outages (event ledger)'!$E$2:$E$65,"&lt;="&amp;$B27,'Outages (event ledger)'!$G$2:$G$65,"&gt;="&amp;$B27)</f>
        <v>0</v>
      </c>
      <c r="AM27" s="26" t="n">
        <f aca="false">SUMIFS('Outages (event ledger)'!$H$2:$H$65,'Outages (event ledger)'!$A$2:$A$65,AM$2,'Outages (event ledger)'!$E$2:$E$65,"&lt;="&amp;$B27,'Outages (event ledger)'!$G$2:$G$65,"&gt;="&amp;$B27)</f>
        <v>0</v>
      </c>
      <c r="AN27" s="26" t="n">
        <f aca="false">SUMIFS('Outages (event ledger)'!$H$2:$H$65,'Outages (event ledger)'!$A$2:$A$65,AN$2,'Outages (event ledger)'!$E$2:$E$65,"&lt;="&amp;$B27,'Outages (event ledger)'!$G$2:$G$65,"&gt;="&amp;$B27)</f>
        <v>0</v>
      </c>
      <c r="AO27" s="26" t="n">
        <f aca="false">SUMIFS('Outages (event ledger)'!$H$2:$H$65,'Outages (event ledger)'!$A$2:$A$65,AO$2,'Outages (event ledger)'!$E$2:$E$65,"&lt;="&amp;$B27,'Outages (event ledger)'!$G$2:$G$65,"&gt;="&amp;$B27)</f>
        <v>0</v>
      </c>
      <c r="AP27" s="26" t="n">
        <f aca="false">SUMIFS('Outages (event ledger)'!$H$2:$H$65,'Outages (event ledger)'!$A$2:$A$65,AP$2,'Outages (event ledger)'!$E$2:$E$65,"&lt;="&amp;$B27,'Outages (event ledger)'!$G$2:$G$65,"&gt;="&amp;$B27)</f>
        <v>0</v>
      </c>
      <c r="AQ27" s="26" t="n">
        <f aca="false">SUMIFS('Outages (event ledger)'!$H$2:$H$65,'Outages (event ledger)'!$A$2:$A$65,AQ$2,'Outages (event ledger)'!$E$2:$E$65,"&lt;="&amp;$B27,'Outages (event ledger)'!$G$2:$G$65,"&gt;="&amp;$B27)</f>
        <v>0</v>
      </c>
      <c r="AR27" s="26" t="n">
        <f aca="false">SUMIFS('Outages (event ledger)'!$H$2:$H$65,'Outages (event ledger)'!$A$2:$A$65,AR$2,'Outages (event ledger)'!$E$2:$E$65,"&lt;="&amp;$B27,'Outages (event ledger)'!$G$2:$G$65,"&gt;="&amp;$B27)</f>
        <v>0</v>
      </c>
      <c r="AS27" s="26" t="n">
        <f aca="false">SUMIFS('Outages (event ledger)'!$H$2:$H$65,'Outages (event ledger)'!$A$2:$A$65,AS$2,'Outages (event ledger)'!$E$2:$E$65,"&lt;="&amp;$B27,'Outages (event ledger)'!$G$2:$G$65,"&gt;="&amp;$B27)</f>
        <v>0</v>
      </c>
      <c r="AT27" s="26" t="n">
        <f aca="false">SUMIFS('Outages (event ledger)'!$H$2:$H$65,'Outages (event ledger)'!$A$2:$A$65,AT$2,'Outages (event ledger)'!$E$2:$E$65,"&lt;="&amp;$B27,'Outages (event ledger)'!$G$2:$G$65,"&gt;="&amp;$B27)</f>
        <v>0</v>
      </c>
      <c r="AU27" s="26" t="n">
        <f aca="false">SUMIFS('Outages (event ledger)'!$H$2:$H$65,'Outages (event ledger)'!$A$2:$A$65,AU$2,'Outages (event ledger)'!$E$2:$E$65,"&lt;="&amp;$B27,'Outages (event ledger)'!$G$2:$G$65,"&gt;="&amp;$B27)</f>
        <v>0</v>
      </c>
      <c r="AV27" s="26" t="n">
        <f aca="false">SUMIFS('Outages (event ledger)'!$H$2:$H$65,'Outages (event ledger)'!$A$2:$A$65,AV$2,'Outages (event ledger)'!$E$2:$E$65,"&lt;="&amp;$B27,'Outages (event ledger)'!$G$2:$G$65,"&gt;="&amp;$B27)</f>
        <v>0</v>
      </c>
      <c r="AW27" s="26" t="n">
        <f aca="false">SUMIFS('Outages (event ledger)'!$H$2:$H$65,'Outages (event ledger)'!$A$2:$A$65,AW$2,'Outages (event ledger)'!$E$2:$E$65,"&lt;="&amp;$B27,'Outages (event ledger)'!$G$2:$G$65,"&gt;="&amp;$B27)</f>
        <v>0</v>
      </c>
      <c r="AX27" s="26" t="n">
        <f aca="false">SUMIFS('Outages (event ledger)'!$H$2:$H$65,'Outages (event ledger)'!$A$2:$A$65,AX$2,'Outages (event ledger)'!$E$2:$E$65,"&lt;="&amp;$B27,'Outages (event ledger)'!$G$2:$G$65,"&gt;="&amp;$B27)</f>
        <v>0</v>
      </c>
      <c r="AY27" s="26" t="n">
        <f aca="false">SUMIFS('Outages (event ledger)'!$H$2:$H$65,'Outages (event ledger)'!$A$2:$A$65,AY$2,'Outages (event ledger)'!$E$2:$E$65,"&lt;="&amp;$B27,'Outages (event ledger)'!$G$2:$G$65,"&gt;="&amp;$B27)</f>
        <v>0</v>
      </c>
      <c r="AZ27" s="26" t="n">
        <f aca="false">SUMIFS('Outages (event ledger)'!$H$2:$H$65,'Outages (event ledger)'!$A$2:$A$65,AZ$2,'Outages (event ledger)'!$E$2:$E$65,"&lt;="&amp;$B27,'Outages (event ledger)'!$G$2:$G$65,"&gt;="&amp;$B27)</f>
        <v>0</v>
      </c>
      <c r="BA27" s="26" t="n">
        <f aca="false">SUMIFS('Outages (event ledger)'!$H$2:$H$65,'Outages (event ledger)'!$A$2:$A$65,BA$2,'Outages (event ledger)'!$E$2:$E$65,"&lt;="&amp;$B27,'Outages (event ledger)'!$G$2:$G$65,"&gt;="&amp;$B27)</f>
        <v>0</v>
      </c>
      <c r="BB27" s="26" t="n">
        <f aca="false">SUMIFS('Outages (event ledger)'!$H$2:$H$65,'Outages (event ledger)'!$A$2:$A$65,BB$2,'Outages (event ledger)'!$E$2:$E$65,"&lt;="&amp;$B27,'Outages (event ledger)'!$G$2:$G$65,"&gt;="&amp;$B27)</f>
        <v>0</v>
      </c>
      <c r="BC27" s="26" t="n">
        <f aca="false">SUMIFS('Outages (event ledger)'!$H$2:$H$65,'Outages (event ledger)'!$A$2:$A$65,BC$2,'Outages (event ledger)'!$E$2:$E$65,"&lt;="&amp;$B27,'Outages (event ledger)'!$G$2:$G$65,"&gt;="&amp;$B27)</f>
        <v>0</v>
      </c>
      <c r="BD27" s="26" t="n">
        <f aca="false">SUMIFS('Outages (event ledger)'!$H$2:$H$65,'Outages (event ledger)'!$A$2:$A$65,BD$2,'Outages (event ledger)'!$E$2:$E$65,"&lt;="&amp;$B27,'Outages (event ledger)'!$G$2:$G$65,"&gt;="&amp;$B27)</f>
        <v>0</v>
      </c>
      <c r="BE27" s="26" t="n">
        <f aca="false">SUMIFS('Outages (event ledger)'!$H$2:$H$65,'Outages (event ledger)'!$A$2:$A$65,BE$2,'Outages (event ledger)'!$E$2:$E$65,"&lt;="&amp;$B27,'Outages (event ledger)'!$G$2:$G$65,"&gt;="&amp;$B27)</f>
        <v>0</v>
      </c>
      <c r="BF27" s="26" t="n">
        <f aca="false">SUMIFS('Outages (event ledger)'!$H$2:$H$65,'Outages (event ledger)'!$A$2:$A$65,BF$2,'Outages (event ledger)'!$E$2:$E$65,"&lt;="&amp;$B27,'Outages (event ledger)'!$G$2:$G$65,"&gt;="&amp;$B27)</f>
        <v>0</v>
      </c>
      <c r="BG27" s="26" t="n">
        <f aca="false">SUMIFS('Outages (event ledger)'!$H$2:$H$65,'Outages (event ledger)'!$A$2:$A$65,BG$2,'Outages (event ledger)'!$E$2:$E$65,"&lt;="&amp;$B27,'Outages (event ledger)'!$G$2:$G$65,"&gt;="&amp;$B27)</f>
        <v>0</v>
      </c>
      <c r="BH27" s="26" t="n">
        <f aca="false">SUMIFS('Outages (event ledger)'!$H$2:$H$65,'Outages (event ledger)'!$A$2:$A$65,BH$2,'Outages (event ledger)'!$E$2:$E$65,"&lt;="&amp;$B27,'Outages (event ledger)'!$G$2:$G$65,"&gt;="&amp;$B27)</f>
        <v>0</v>
      </c>
      <c r="BI27" s="26" t="n">
        <f aca="false">SUMIFS('Outages (event ledger)'!$H$2:$H$65,'Outages (event ledger)'!$A$2:$A$65,BI$2,'Outages (event ledger)'!$E$2:$E$65,"&lt;="&amp;$B27,'Outages (event ledger)'!$G$2:$G$65,"&gt;="&amp;$B27)</f>
        <v>0</v>
      </c>
    </row>
    <row r="28" customFormat="false" ht="15" hidden="false" customHeight="false" outlineLevel="0" collapsed="false">
      <c r="A28" s="23" t="n">
        <v>40940</v>
      </c>
      <c r="B28" s="24" t="n">
        <v>201202</v>
      </c>
      <c r="C28" s="25" t="n">
        <f aca="false">SUM(D28:BI28)</f>
        <v>8</v>
      </c>
      <c r="D28" s="26" t="n">
        <f aca="false">SUMIFS('Outages (event ledger)'!$H$2:$H$65,'Outages (event ledger)'!$A$2:$A$65,D$2,'Outages (event ledger)'!$E$2:$E$65,"&lt;="&amp;$B28,'Outages (event ledger)'!$G$2:$G$65,"&gt;="&amp;$B28)</f>
        <v>0</v>
      </c>
      <c r="E28" s="26" t="n">
        <f aca="false">SUMIFS('Outages (event ledger)'!$H$2:$H$65,'Outages (event ledger)'!$A$2:$A$65,E$2,'Outages (event ledger)'!$E$2:$E$65,"&lt;="&amp;$B28,'Outages (event ledger)'!$G$2:$G$65,"&gt;="&amp;$B28)</f>
        <v>0</v>
      </c>
      <c r="F28" s="26" t="n">
        <f aca="false">SUMIFS('Outages (event ledger)'!$H$2:$H$65,'Outages (event ledger)'!$A$2:$A$65,F$2,'Outages (event ledger)'!$E$2:$E$65,"&lt;="&amp;$B28,'Outages (event ledger)'!$G$2:$G$65,"&gt;="&amp;$B28)</f>
        <v>0</v>
      </c>
      <c r="G28" s="26" t="n">
        <f aca="false">SUMIFS('Outages (event ledger)'!$H$2:$H$65,'Outages (event ledger)'!$A$2:$A$65,G$2,'Outages (event ledger)'!$E$2:$E$65,"&lt;="&amp;$B28,'Outages (event ledger)'!$G$2:$G$65,"&gt;="&amp;$B28)</f>
        <v>0</v>
      </c>
      <c r="H28" s="26" t="n">
        <f aca="false">SUMIFS('Outages (event ledger)'!$H$2:$H$65,'Outages (event ledger)'!$A$2:$A$65,H$2,'Outages (event ledger)'!$E$2:$E$65,"&lt;="&amp;$B28,'Outages (event ledger)'!$G$2:$G$65,"&gt;="&amp;$B28)</f>
        <v>0</v>
      </c>
      <c r="I28" s="26" t="n">
        <f aca="false">SUMIFS('Outages (event ledger)'!$H$2:$H$65,'Outages (event ledger)'!$A$2:$A$65,I$2,'Outages (event ledger)'!$E$2:$E$65,"&lt;="&amp;$B28,'Outages (event ledger)'!$G$2:$G$65,"&gt;="&amp;$B28)</f>
        <v>0</v>
      </c>
      <c r="J28" s="26" t="n">
        <f aca="false">SUMIFS('Outages (event ledger)'!$H$2:$H$65,'Outages (event ledger)'!$A$2:$A$65,J$2,'Outages (event ledger)'!$E$2:$E$65,"&lt;="&amp;$B28,'Outages (event ledger)'!$G$2:$G$65,"&gt;="&amp;$B28)</f>
        <v>0</v>
      </c>
      <c r="K28" s="26" t="n">
        <f aca="false">SUMIFS('Outages (event ledger)'!$H$2:$H$65,'Outages (event ledger)'!$A$2:$A$65,K$2,'Outages (event ledger)'!$E$2:$E$65,"&lt;="&amp;$B28,'Outages (event ledger)'!$G$2:$G$65,"&gt;="&amp;$B28)</f>
        <v>0</v>
      </c>
      <c r="L28" s="26" t="n">
        <f aca="false">SUMIFS('Outages (event ledger)'!$H$2:$H$65,'Outages (event ledger)'!$A$2:$A$65,L$2,'Outages (event ledger)'!$E$2:$E$65,"&lt;="&amp;$B28,'Outages (event ledger)'!$G$2:$G$65,"&gt;="&amp;$B28)</f>
        <v>0</v>
      </c>
      <c r="M28" s="26" t="n">
        <f aca="false">SUMIFS('Outages (event ledger)'!$H$2:$H$65,'Outages (event ledger)'!$A$2:$A$65,M$2,'Outages (event ledger)'!$E$2:$E$65,"&lt;="&amp;$B28,'Outages (event ledger)'!$G$2:$G$65,"&gt;="&amp;$B28)</f>
        <v>0</v>
      </c>
      <c r="N28" s="26" t="n">
        <f aca="false">SUMIFS('Outages (event ledger)'!$H$2:$H$65,'Outages (event ledger)'!$A$2:$A$65,N$2,'Outages (event ledger)'!$E$2:$E$65,"&lt;="&amp;$B28,'Outages (event ledger)'!$G$2:$G$65,"&gt;="&amp;$B28)</f>
        <v>0</v>
      </c>
      <c r="O28" s="26" t="n">
        <f aca="false">SUMIFS('Outages (event ledger)'!$H$2:$H$65,'Outages (event ledger)'!$A$2:$A$65,O$2,'Outages (event ledger)'!$E$2:$E$65,"&lt;="&amp;$B28,'Outages (event ledger)'!$G$2:$G$65,"&gt;="&amp;$B28)</f>
        <v>0</v>
      </c>
      <c r="P28" s="26" t="n">
        <f aca="false">SUMIFS('Outages (event ledger)'!$H$2:$H$65,'Outages (event ledger)'!$A$2:$A$65,P$2,'Outages (event ledger)'!$E$2:$E$65,"&lt;="&amp;$B28,'Outages (event ledger)'!$G$2:$G$65,"&gt;="&amp;$B28)</f>
        <v>0</v>
      </c>
      <c r="Q28" s="26" t="n">
        <f aca="false">SUMIFS('Outages (event ledger)'!$H$2:$H$65,'Outages (event ledger)'!$A$2:$A$65,Q$2,'Outages (event ledger)'!$E$2:$E$65,"&lt;="&amp;$B28,'Outages (event ledger)'!$G$2:$G$65,"&gt;="&amp;$B28)</f>
        <v>0</v>
      </c>
      <c r="R28" s="26" t="n">
        <f aca="false">SUMIFS('Outages (event ledger)'!$H$2:$H$65,'Outages (event ledger)'!$A$2:$A$65,R$2,'Outages (event ledger)'!$E$2:$E$65,"&lt;="&amp;$B28,'Outages (event ledger)'!$G$2:$G$65,"&gt;="&amp;$B28)</f>
        <v>0</v>
      </c>
      <c r="S28" s="26" t="n">
        <f aca="false">SUMIFS('Outages (event ledger)'!$H$2:$H$65,'Outages (event ledger)'!$A$2:$A$65,S$2,'Outages (event ledger)'!$E$2:$E$65,"&lt;="&amp;$B28,'Outages (event ledger)'!$G$2:$G$65,"&gt;="&amp;$B28)</f>
        <v>0</v>
      </c>
      <c r="T28" s="26" t="n">
        <f aca="false">SUMIFS('Outages (event ledger)'!$H$2:$H$65,'Outages (event ledger)'!$A$2:$A$65,T$2,'Outages (event ledger)'!$E$2:$E$65,"&lt;="&amp;$B28,'Outages (event ledger)'!$G$2:$G$65,"&gt;="&amp;$B28)</f>
        <v>0</v>
      </c>
      <c r="U28" s="26" t="n">
        <f aca="false">SUMIFS('Outages (event ledger)'!$H$2:$H$65,'Outages (event ledger)'!$A$2:$A$65,U$2,'Outages (event ledger)'!$E$2:$E$65,"&lt;="&amp;$B28,'Outages (event ledger)'!$G$2:$G$65,"&gt;="&amp;$B28)</f>
        <v>0</v>
      </c>
      <c r="V28" s="26" t="n">
        <f aca="false">SUMIFS('Outages (event ledger)'!$H$2:$H$65,'Outages (event ledger)'!$A$2:$A$65,V$2,'Outages (event ledger)'!$E$2:$E$65,"&lt;="&amp;$B28,'Outages (event ledger)'!$G$2:$G$65,"&gt;="&amp;$B28)</f>
        <v>0</v>
      </c>
      <c r="W28" s="26" t="n">
        <f aca="false">SUMIFS('Outages (event ledger)'!$H$2:$H$65,'Outages (event ledger)'!$A$2:$A$65,W$2,'Outages (event ledger)'!$E$2:$E$65,"&lt;="&amp;$B28,'Outages (event ledger)'!$G$2:$G$65,"&gt;="&amp;$B28)</f>
        <v>0</v>
      </c>
      <c r="X28" s="26" t="n">
        <f aca="false">SUMIFS('Outages (event ledger)'!$H$2:$H$65,'Outages (event ledger)'!$A$2:$A$65,X$2,'Outages (event ledger)'!$E$2:$E$65,"&lt;="&amp;$B28,'Outages (event ledger)'!$G$2:$G$65,"&gt;="&amp;$B28)</f>
        <v>0</v>
      </c>
      <c r="Y28" s="26" t="n">
        <f aca="false">SUMIFS('Outages (event ledger)'!$H$2:$H$65,'Outages (event ledger)'!$A$2:$A$65,Y$2,'Outages (event ledger)'!$E$2:$E$65,"&lt;="&amp;$B28,'Outages (event ledger)'!$G$2:$G$65,"&gt;="&amp;$B28)</f>
        <v>0</v>
      </c>
      <c r="Z28" s="26" t="n">
        <f aca="false">SUMIFS('Outages (event ledger)'!$H$2:$H$65,'Outages (event ledger)'!$A$2:$A$65,Z$2,'Outages (event ledger)'!$E$2:$E$65,"&lt;="&amp;$B28,'Outages (event ledger)'!$G$2:$G$65,"&gt;="&amp;$B28)</f>
        <v>0</v>
      </c>
      <c r="AA28" s="26" t="n">
        <f aca="false">SUMIFS('Outages (event ledger)'!$H$2:$H$65,'Outages (event ledger)'!$A$2:$A$65,AA$2,'Outages (event ledger)'!$E$2:$E$65,"&lt;="&amp;$B28,'Outages (event ledger)'!$G$2:$G$65,"&gt;="&amp;$B28)</f>
        <v>0</v>
      </c>
      <c r="AB28" s="26" t="n">
        <f aca="false">SUMIFS('Outages (event ledger)'!$H$2:$H$65,'Outages (event ledger)'!$A$2:$A$65,AB$2,'Outages (event ledger)'!$E$2:$E$65,"&lt;="&amp;$B28,'Outages (event ledger)'!$G$2:$G$65,"&gt;="&amp;$B28)</f>
        <v>8</v>
      </c>
      <c r="AC28" s="26" t="n">
        <f aca="false">SUMIFS('Outages (event ledger)'!$H$2:$H$65,'Outages (event ledger)'!$A$2:$A$65,AC$2,'Outages (event ledger)'!$E$2:$E$65,"&lt;="&amp;$B28,'Outages (event ledger)'!$G$2:$G$65,"&gt;="&amp;$B28)</f>
        <v>0</v>
      </c>
      <c r="AD28" s="26" t="n">
        <f aca="false">SUMIFS('Outages (event ledger)'!$H$2:$H$65,'Outages (event ledger)'!$A$2:$A$65,AD$2,'Outages (event ledger)'!$E$2:$E$65,"&lt;="&amp;$B28,'Outages (event ledger)'!$G$2:$G$65,"&gt;="&amp;$B28)</f>
        <v>0</v>
      </c>
      <c r="AE28" s="26" t="n">
        <f aca="false">SUMIFS('Outages (event ledger)'!$H$2:$H$65,'Outages (event ledger)'!$A$2:$A$65,AE$2,'Outages (event ledger)'!$E$2:$E$65,"&lt;="&amp;$B28,'Outages (event ledger)'!$G$2:$G$65,"&gt;="&amp;$B28)</f>
        <v>0</v>
      </c>
      <c r="AF28" s="26" t="n">
        <f aca="false">SUMIFS('Outages (event ledger)'!$H$2:$H$65,'Outages (event ledger)'!$A$2:$A$65,AF$2,'Outages (event ledger)'!$E$2:$E$65,"&lt;="&amp;$B28,'Outages (event ledger)'!$G$2:$G$65,"&gt;="&amp;$B28)</f>
        <v>0</v>
      </c>
      <c r="AG28" s="26" t="n">
        <f aca="false">SUMIFS('Outages (event ledger)'!$H$2:$H$65,'Outages (event ledger)'!$A$2:$A$65,AG$2,'Outages (event ledger)'!$E$2:$E$65,"&lt;="&amp;$B28,'Outages (event ledger)'!$G$2:$G$65,"&gt;="&amp;$B28)</f>
        <v>0</v>
      </c>
      <c r="AH28" s="26" t="n">
        <f aca="false">SUMIFS('Outages (event ledger)'!$H$2:$H$65,'Outages (event ledger)'!$A$2:$A$65,AH$2,'Outages (event ledger)'!$E$2:$E$65,"&lt;="&amp;$B28,'Outages (event ledger)'!$G$2:$G$65,"&gt;="&amp;$B28)</f>
        <v>0</v>
      </c>
      <c r="AI28" s="26" t="n">
        <f aca="false">SUMIFS('Outages (event ledger)'!$H$2:$H$65,'Outages (event ledger)'!$A$2:$A$65,AI$2,'Outages (event ledger)'!$E$2:$E$65,"&lt;="&amp;$B28,'Outages (event ledger)'!$G$2:$G$65,"&gt;="&amp;$B28)</f>
        <v>0</v>
      </c>
      <c r="AJ28" s="26" t="n">
        <f aca="false">SUMIFS('Outages (event ledger)'!$H$2:$H$65,'Outages (event ledger)'!$A$2:$A$65,AJ$2,'Outages (event ledger)'!$E$2:$E$65,"&lt;="&amp;$B28,'Outages (event ledger)'!$G$2:$G$65,"&gt;="&amp;$B28)</f>
        <v>0</v>
      </c>
      <c r="AK28" s="26" t="n">
        <f aca="false">SUMIFS('Outages (event ledger)'!$H$2:$H$65,'Outages (event ledger)'!$A$2:$A$65,AK$2,'Outages (event ledger)'!$E$2:$E$65,"&lt;="&amp;$B28,'Outages (event ledger)'!$G$2:$G$65,"&gt;="&amp;$B28)</f>
        <v>0</v>
      </c>
      <c r="AL28" s="26" t="n">
        <f aca="false">SUMIFS('Outages (event ledger)'!$H$2:$H$65,'Outages (event ledger)'!$A$2:$A$65,AL$2,'Outages (event ledger)'!$E$2:$E$65,"&lt;="&amp;$B28,'Outages (event ledger)'!$G$2:$G$65,"&gt;="&amp;$B28)</f>
        <v>0</v>
      </c>
      <c r="AM28" s="26" t="n">
        <f aca="false">SUMIFS('Outages (event ledger)'!$H$2:$H$65,'Outages (event ledger)'!$A$2:$A$65,AM$2,'Outages (event ledger)'!$E$2:$E$65,"&lt;="&amp;$B28,'Outages (event ledger)'!$G$2:$G$65,"&gt;="&amp;$B28)</f>
        <v>0</v>
      </c>
      <c r="AN28" s="26" t="n">
        <f aca="false">SUMIFS('Outages (event ledger)'!$H$2:$H$65,'Outages (event ledger)'!$A$2:$A$65,AN$2,'Outages (event ledger)'!$E$2:$E$65,"&lt;="&amp;$B28,'Outages (event ledger)'!$G$2:$G$65,"&gt;="&amp;$B28)</f>
        <v>0</v>
      </c>
      <c r="AO28" s="26" t="n">
        <f aca="false">SUMIFS('Outages (event ledger)'!$H$2:$H$65,'Outages (event ledger)'!$A$2:$A$65,AO$2,'Outages (event ledger)'!$E$2:$E$65,"&lt;="&amp;$B28,'Outages (event ledger)'!$G$2:$G$65,"&gt;="&amp;$B28)</f>
        <v>0</v>
      </c>
      <c r="AP28" s="26" t="n">
        <f aca="false">SUMIFS('Outages (event ledger)'!$H$2:$H$65,'Outages (event ledger)'!$A$2:$A$65,AP$2,'Outages (event ledger)'!$E$2:$E$65,"&lt;="&amp;$B28,'Outages (event ledger)'!$G$2:$G$65,"&gt;="&amp;$B28)</f>
        <v>0</v>
      </c>
      <c r="AQ28" s="26" t="n">
        <f aca="false">SUMIFS('Outages (event ledger)'!$H$2:$H$65,'Outages (event ledger)'!$A$2:$A$65,AQ$2,'Outages (event ledger)'!$E$2:$E$65,"&lt;="&amp;$B28,'Outages (event ledger)'!$G$2:$G$65,"&gt;="&amp;$B28)</f>
        <v>0</v>
      </c>
      <c r="AR28" s="26" t="n">
        <f aca="false">SUMIFS('Outages (event ledger)'!$H$2:$H$65,'Outages (event ledger)'!$A$2:$A$65,AR$2,'Outages (event ledger)'!$E$2:$E$65,"&lt;="&amp;$B28,'Outages (event ledger)'!$G$2:$G$65,"&gt;="&amp;$B28)</f>
        <v>0</v>
      </c>
      <c r="AS28" s="26" t="n">
        <f aca="false">SUMIFS('Outages (event ledger)'!$H$2:$H$65,'Outages (event ledger)'!$A$2:$A$65,AS$2,'Outages (event ledger)'!$E$2:$E$65,"&lt;="&amp;$B28,'Outages (event ledger)'!$G$2:$G$65,"&gt;="&amp;$B28)</f>
        <v>0</v>
      </c>
      <c r="AT28" s="26" t="n">
        <f aca="false">SUMIFS('Outages (event ledger)'!$H$2:$H$65,'Outages (event ledger)'!$A$2:$A$65,AT$2,'Outages (event ledger)'!$E$2:$E$65,"&lt;="&amp;$B28,'Outages (event ledger)'!$G$2:$G$65,"&gt;="&amp;$B28)</f>
        <v>0</v>
      </c>
      <c r="AU28" s="26" t="n">
        <f aca="false">SUMIFS('Outages (event ledger)'!$H$2:$H$65,'Outages (event ledger)'!$A$2:$A$65,AU$2,'Outages (event ledger)'!$E$2:$E$65,"&lt;="&amp;$B28,'Outages (event ledger)'!$G$2:$G$65,"&gt;="&amp;$B28)</f>
        <v>0</v>
      </c>
      <c r="AV28" s="26" t="n">
        <f aca="false">SUMIFS('Outages (event ledger)'!$H$2:$H$65,'Outages (event ledger)'!$A$2:$A$65,AV$2,'Outages (event ledger)'!$E$2:$E$65,"&lt;="&amp;$B28,'Outages (event ledger)'!$G$2:$G$65,"&gt;="&amp;$B28)</f>
        <v>0</v>
      </c>
      <c r="AW28" s="26" t="n">
        <f aca="false">SUMIFS('Outages (event ledger)'!$H$2:$H$65,'Outages (event ledger)'!$A$2:$A$65,AW$2,'Outages (event ledger)'!$E$2:$E$65,"&lt;="&amp;$B28,'Outages (event ledger)'!$G$2:$G$65,"&gt;="&amp;$B28)</f>
        <v>0</v>
      </c>
      <c r="AX28" s="26" t="n">
        <f aca="false">SUMIFS('Outages (event ledger)'!$H$2:$H$65,'Outages (event ledger)'!$A$2:$A$65,AX$2,'Outages (event ledger)'!$E$2:$E$65,"&lt;="&amp;$B28,'Outages (event ledger)'!$G$2:$G$65,"&gt;="&amp;$B28)</f>
        <v>0</v>
      </c>
      <c r="AY28" s="26" t="n">
        <f aca="false">SUMIFS('Outages (event ledger)'!$H$2:$H$65,'Outages (event ledger)'!$A$2:$A$65,AY$2,'Outages (event ledger)'!$E$2:$E$65,"&lt;="&amp;$B28,'Outages (event ledger)'!$G$2:$G$65,"&gt;="&amp;$B28)</f>
        <v>0</v>
      </c>
      <c r="AZ28" s="26" t="n">
        <f aca="false">SUMIFS('Outages (event ledger)'!$H$2:$H$65,'Outages (event ledger)'!$A$2:$A$65,AZ$2,'Outages (event ledger)'!$E$2:$E$65,"&lt;="&amp;$B28,'Outages (event ledger)'!$G$2:$G$65,"&gt;="&amp;$B28)</f>
        <v>0</v>
      </c>
      <c r="BA28" s="26" t="n">
        <f aca="false">SUMIFS('Outages (event ledger)'!$H$2:$H$65,'Outages (event ledger)'!$A$2:$A$65,BA$2,'Outages (event ledger)'!$E$2:$E$65,"&lt;="&amp;$B28,'Outages (event ledger)'!$G$2:$G$65,"&gt;="&amp;$B28)</f>
        <v>0</v>
      </c>
      <c r="BB28" s="26" t="n">
        <f aca="false">SUMIFS('Outages (event ledger)'!$H$2:$H$65,'Outages (event ledger)'!$A$2:$A$65,BB$2,'Outages (event ledger)'!$E$2:$E$65,"&lt;="&amp;$B28,'Outages (event ledger)'!$G$2:$G$65,"&gt;="&amp;$B28)</f>
        <v>0</v>
      </c>
      <c r="BC28" s="26" t="n">
        <f aca="false">SUMIFS('Outages (event ledger)'!$H$2:$H$65,'Outages (event ledger)'!$A$2:$A$65,BC$2,'Outages (event ledger)'!$E$2:$E$65,"&lt;="&amp;$B28,'Outages (event ledger)'!$G$2:$G$65,"&gt;="&amp;$B28)</f>
        <v>0</v>
      </c>
      <c r="BD28" s="26" t="n">
        <f aca="false">SUMIFS('Outages (event ledger)'!$H$2:$H$65,'Outages (event ledger)'!$A$2:$A$65,BD$2,'Outages (event ledger)'!$E$2:$E$65,"&lt;="&amp;$B28,'Outages (event ledger)'!$G$2:$G$65,"&gt;="&amp;$B28)</f>
        <v>0</v>
      </c>
      <c r="BE28" s="26" t="n">
        <f aca="false">SUMIFS('Outages (event ledger)'!$H$2:$H$65,'Outages (event ledger)'!$A$2:$A$65,BE$2,'Outages (event ledger)'!$E$2:$E$65,"&lt;="&amp;$B28,'Outages (event ledger)'!$G$2:$G$65,"&gt;="&amp;$B28)</f>
        <v>0</v>
      </c>
      <c r="BF28" s="26" t="n">
        <f aca="false">SUMIFS('Outages (event ledger)'!$H$2:$H$65,'Outages (event ledger)'!$A$2:$A$65,BF$2,'Outages (event ledger)'!$E$2:$E$65,"&lt;="&amp;$B28,'Outages (event ledger)'!$G$2:$G$65,"&gt;="&amp;$B28)</f>
        <v>0</v>
      </c>
      <c r="BG28" s="26" t="n">
        <f aca="false">SUMIFS('Outages (event ledger)'!$H$2:$H$65,'Outages (event ledger)'!$A$2:$A$65,BG$2,'Outages (event ledger)'!$E$2:$E$65,"&lt;="&amp;$B28,'Outages (event ledger)'!$G$2:$G$65,"&gt;="&amp;$B28)</f>
        <v>0</v>
      </c>
      <c r="BH28" s="26" t="n">
        <f aca="false">SUMIFS('Outages (event ledger)'!$H$2:$H$65,'Outages (event ledger)'!$A$2:$A$65,BH$2,'Outages (event ledger)'!$E$2:$E$65,"&lt;="&amp;$B28,'Outages (event ledger)'!$G$2:$G$65,"&gt;="&amp;$B28)</f>
        <v>0</v>
      </c>
      <c r="BI28" s="26" t="n">
        <f aca="false">SUMIFS('Outages (event ledger)'!$H$2:$H$65,'Outages (event ledger)'!$A$2:$A$65,BI$2,'Outages (event ledger)'!$E$2:$E$65,"&lt;="&amp;$B28,'Outages (event ledger)'!$G$2:$G$65,"&gt;="&amp;$B28)</f>
        <v>0</v>
      </c>
    </row>
    <row r="29" customFormat="false" ht="15" hidden="false" customHeight="false" outlineLevel="0" collapsed="false">
      <c r="A29" s="23" t="n">
        <v>40969</v>
      </c>
      <c r="B29" s="24" t="n">
        <v>201203</v>
      </c>
      <c r="C29" s="25" t="n">
        <f aca="false">SUM(D29:BI29)</f>
        <v>8</v>
      </c>
      <c r="D29" s="26" t="n">
        <f aca="false">SUMIFS('Outages (event ledger)'!$H$2:$H$65,'Outages (event ledger)'!$A$2:$A$65,D$2,'Outages (event ledger)'!$E$2:$E$65,"&lt;="&amp;$B29,'Outages (event ledger)'!$G$2:$G$65,"&gt;="&amp;$B29)</f>
        <v>0</v>
      </c>
      <c r="E29" s="26" t="n">
        <f aca="false">SUMIFS('Outages (event ledger)'!$H$2:$H$65,'Outages (event ledger)'!$A$2:$A$65,E$2,'Outages (event ledger)'!$E$2:$E$65,"&lt;="&amp;$B29,'Outages (event ledger)'!$G$2:$G$65,"&gt;="&amp;$B29)</f>
        <v>0</v>
      </c>
      <c r="F29" s="26" t="n">
        <f aca="false">SUMIFS('Outages (event ledger)'!$H$2:$H$65,'Outages (event ledger)'!$A$2:$A$65,F$2,'Outages (event ledger)'!$E$2:$E$65,"&lt;="&amp;$B29,'Outages (event ledger)'!$G$2:$G$65,"&gt;="&amp;$B29)</f>
        <v>0</v>
      </c>
      <c r="G29" s="26" t="n">
        <f aca="false">SUMIFS('Outages (event ledger)'!$H$2:$H$65,'Outages (event ledger)'!$A$2:$A$65,G$2,'Outages (event ledger)'!$E$2:$E$65,"&lt;="&amp;$B29,'Outages (event ledger)'!$G$2:$G$65,"&gt;="&amp;$B29)</f>
        <v>0</v>
      </c>
      <c r="H29" s="26" t="n">
        <f aca="false">SUMIFS('Outages (event ledger)'!$H$2:$H$65,'Outages (event ledger)'!$A$2:$A$65,H$2,'Outages (event ledger)'!$E$2:$E$65,"&lt;="&amp;$B29,'Outages (event ledger)'!$G$2:$G$65,"&gt;="&amp;$B29)</f>
        <v>0</v>
      </c>
      <c r="I29" s="26" t="n">
        <f aca="false">SUMIFS('Outages (event ledger)'!$H$2:$H$65,'Outages (event ledger)'!$A$2:$A$65,I$2,'Outages (event ledger)'!$E$2:$E$65,"&lt;="&amp;$B29,'Outages (event ledger)'!$G$2:$G$65,"&gt;="&amp;$B29)</f>
        <v>0</v>
      </c>
      <c r="J29" s="26" t="n">
        <f aca="false">SUMIFS('Outages (event ledger)'!$H$2:$H$65,'Outages (event ledger)'!$A$2:$A$65,J$2,'Outages (event ledger)'!$E$2:$E$65,"&lt;="&amp;$B29,'Outages (event ledger)'!$G$2:$G$65,"&gt;="&amp;$B29)</f>
        <v>0</v>
      </c>
      <c r="K29" s="26" t="n">
        <f aca="false">SUMIFS('Outages (event ledger)'!$H$2:$H$65,'Outages (event ledger)'!$A$2:$A$65,K$2,'Outages (event ledger)'!$E$2:$E$65,"&lt;="&amp;$B29,'Outages (event ledger)'!$G$2:$G$65,"&gt;="&amp;$B29)</f>
        <v>0</v>
      </c>
      <c r="L29" s="26" t="n">
        <f aca="false">SUMIFS('Outages (event ledger)'!$H$2:$H$65,'Outages (event ledger)'!$A$2:$A$65,L$2,'Outages (event ledger)'!$E$2:$E$65,"&lt;="&amp;$B29,'Outages (event ledger)'!$G$2:$G$65,"&gt;="&amp;$B29)</f>
        <v>0</v>
      </c>
      <c r="M29" s="26" t="n">
        <f aca="false">SUMIFS('Outages (event ledger)'!$H$2:$H$65,'Outages (event ledger)'!$A$2:$A$65,M$2,'Outages (event ledger)'!$E$2:$E$65,"&lt;="&amp;$B29,'Outages (event ledger)'!$G$2:$G$65,"&gt;="&amp;$B29)</f>
        <v>0</v>
      </c>
      <c r="N29" s="26" t="n">
        <f aca="false">SUMIFS('Outages (event ledger)'!$H$2:$H$65,'Outages (event ledger)'!$A$2:$A$65,N$2,'Outages (event ledger)'!$E$2:$E$65,"&lt;="&amp;$B29,'Outages (event ledger)'!$G$2:$G$65,"&gt;="&amp;$B29)</f>
        <v>0</v>
      </c>
      <c r="O29" s="26" t="n">
        <f aca="false">SUMIFS('Outages (event ledger)'!$H$2:$H$65,'Outages (event ledger)'!$A$2:$A$65,O$2,'Outages (event ledger)'!$E$2:$E$65,"&lt;="&amp;$B29,'Outages (event ledger)'!$G$2:$G$65,"&gt;="&amp;$B29)</f>
        <v>0</v>
      </c>
      <c r="P29" s="26" t="n">
        <f aca="false">SUMIFS('Outages (event ledger)'!$H$2:$H$65,'Outages (event ledger)'!$A$2:$A$65,P$2,'Outages (event ledger)'!$E$2:$E$65,"&lt;="&amp;$B29,'Outages (event ledger)'!$G$2:$G$65,"&gt;="&amp;$B29)</f>
        <v>0</v>
      </c>
      <c r="Q29" s="26" t="n">
        <f aca="false">SUMIFS('Outages (event ledger)'!$H$2:$H$65,'Outages (event ledger)'!$A$2:$A$65,Q$2,'Outages (event ledger)'!$E$2:$E$65,"&lt;="&amp;$B29,'Outages (event ledger)'!$G$2:$G$65,"&gt;="&amp;$B29)</f>
        <v>0</v>
      </c>
      <c r="R29" s="26" t="n">
        <f aca="false">SUMIFS('Outages (event ledger)'!$H$2:$H$65,'Outages (event ledger)'!$A$2:$A$65,R$2,'Outages (event ledger)'!$E$2:$E$65,"&lt;="&amp;$B29,'Outages (event ledger)'!$G$2:$G$65,"&gt;="&amp;$B29)</f>
        <v>0</v>
      </c>
      <c r="S29" s="26" t="n">
        <f aca="false">SUMIFS('Outages (event ledger)'!$H$2:$H$65,'Outages (event ledger)'!$A$2:$A$65,S$2,'Outages (event ledger)'!$E$2:$E$65,"&lt;="&amp;$B29,'Outages (event ledger)'!$G$2:$G$65,"&gt;="&amp;$B29)</f>
        <v>0</v>
      </c>
      <c r="T29" s="26" t="n">
        <f aca="false">SUMIFS('Outages (event ledger)'!$H$2:$H$65,'Outages (event ledger)'!$A$2:$A$65,T$2,'Outages (event ledger)'!$E$2:$E$65,"&lt;="&amp;$B29,'Outages (event ledger)'!$G$2:$G$65,"&gt;="&amp;$B29)</f>
        <v>0</v>
      </c>
      <c r="U29" s="26" t="n">
        <f aca="false">SUMIFS('Outages (event ledger)'!$H$2:$H$65,'Outages (event ledger)'!$A$2:$A$65,U$2,'Outages (event ledger)'!$E$2:$E$65,"&lt;="&amp;$B29,'Outages (event ledger)'!$G$2:$G$65,"&gt;="&amp;$B29)</f>
        <v>0</v>
      </c>
      <c r="V29" s="26" t="n">
        <f aca="false">SUMIFS('Outages (event ledger)'!$H$2:$H$65,'Outages (event ledger)'!$A$2:$A$65,V$2,'Outages (event ledger)'!$E$2:$E$65,"&lt;="&amp;$B29,'Outages (event ledger)'!$G$2:$G$65,"&gt;="&amp;$B29)</f>
        <v>0</v>
      </c>
      <c r="W29" s="26" t="n">
        <f aca="false">SUMIFS('Outages (event ledger)'!$H$2:$H$65,'Outages (event ledger)'!$A$2:$A$65,W$2,'Outages (event ledger)'!$E$2:$E$65,"&lt;="&amp;$B29,'Outages (event ledger)'!$G$2:$G$65,"&gt;="&amp;$B29)</f>
        <v>0</v>
      </c>
      <c r="X29" s="26" t="n">
        <f aca="false">SUMIFS('Outages (event ledger)'!$H$2:$H$65,'Outages (event ledger)'!$A$2:$A$65,X$2,'Outages (event ledger)'!$E$2:$E$65,"&lt;="&amp;$B29,'Outages (event ledger)'!$G$2:$G$65,"&gt;="&amp;$B29)</f>
        <v>0</v>
      </c>
      <c r="Y29" s="26" t="n">
        <f aca="false">SUMIFS('Outages (event ledger)'!$H$2:$H$65,'Outages (event ledger)'!$A$2:$A$65,Y$2,'Outages (event ledger)'!$E$2:$E$65,"&lt;="&amp;$B29,'Outages (event ledger)'!$G$2:$G$65,"&gt;="&amp;$B29)</f>
        <v>0</v>
      </c>
      <c r="Z29" s="26" t="n">
        <f aca="false">SUMIFS('Outages (event ledger)'!$H$2:$H$65,'Outages (event ledger)'!$A$2:$A$65,Z$2,'Outages (event ledger)'!$E$2:$E$65,"&lt;="&amp;$B29,'Outages (event ledger)'!$G$2:$G$65,"&gt;="&amp;$B29)</f>
        <v>0</v>
      </c>
      <c r="AA29" s="26" t="n">
        <f aca="false">SUMIFS('Outages (event ledger)'!$H$2:$H$65,'Outages (event ledger)'!$A$2:$A$65,AA$2,'Outages (event ledger)'!$E$2:$E$65,"&lt;="&amp;$B29,'Outages (event ledger)'!$G$2:$G$65,"&gt;="&amp;$B29)</f>
        <v>0</v>
      </c>
      <c r="AB29" s="26" t="n">
        <f aca="false">SUMIFS('Outages (event ledger)'!$H$2:$H$65,'Outages (event ledger)'!$A$2:$A$65,AB$2,'Outages (event ledger)'!$E$2:$E$65,"&lt;="&amp;$B29,'Outages (event ledger)'!$G$2:$G$65,"&gt;="&amp;$B29)</f>
        <v>8</v>
      </c>
      <c r="AC29" s="26" t="n">
        <f aca="false">SUMIFS('Outages (event ledger)'!$H$2:$H$65,'Outages (event ledger)'!$A$2:$A$65,AC$2,'Outages (event ledger)'!$E$2:$E$65,"&lt;="&amp;$B29,'Outages (event ledger)'!$G$2:$G$65,"&gt;="&amp;$B29)</f>
        <v>0</v>
      </c>
      <c r="AD29" s="26" t="n">
        <f aca="false">SUMIFS('Outages (event ledger)'!$H$2:$H$65,'Outages (event ledger)'!$A$2:$A$65,AD$2,'Outages (event ledger)'!$E$2:$E$65,"&lt;="&amp;$B29,'Outages (event ledger)'!$G$2:$G$65,"&gt;="&amp;$B29)</f>
        <v>0</v>
      </c>
      <c r="AE29" s="26" t="n">
        <f aca="false">SUMIFS('Outages (event ledger)'!$H$2:$H$65,'Outages (event ledger)'!$A$2:$A$65,AE$2,'Outages (event ledger)'!$E$2:$E$65,"&lt;="&amp;$B29,'Outages (event ledger)'!$G$2:$G$65,"&gt;="&amp;$B29)</f>
        <v>0</v>
      </c>
      <c r="AF29" s="26" t="n">
        <f aca="false">SUMIFS('Outages (event ledger)'!$H$2:$H$65,'Outages (event ledger)'!$A$2:$A$65,AF$2,'Outages (event ledger)'!$E$2:$E$65,"&lt;="&amp;$B29,'Outages (event ledger)'!$G$2:$G$65,"&gt;="&amp;$B29)</f>
        <v>0</v>
      </c>
      <c r="AG29" s="26" t="n">
        <f aca="false">SUMIFS('Outages (event ledger)'!$H$2:$H$65,'Outages (event ledger)'!$A$2:$A$65,AG$2,'Outages (event ledger)'!$E$2:$E$65,"&lt;="&amp;$B29,'Outages (event ledger)'!$G$2:$G$65,"&gt;="&amp;$B29)</f>
        <v>0</v>
      </c>
      <c r="AH29" s="26" t="n">
        <f aca="false">SUMIFS('Outages (event ledger)'!$H$2:$H$65,'Outages (event ledger)'!$A$2:$A$65,AH$2,'Outages (event ledger)'!$E$2:$E$65,"&lt;="&amp;$B29,'Outages (event ledger)'!$G$2:$G$65,"&gt;="&amp;$B29)</f>
        <v>0</v>
      </c>
      <c r="AI29" s="26" t="n">
        <f aca="false">SUMIFS('Outages (event ledger)'!$H$2:$H$65,'Outages (event ledger)'!$A$2:$A$65,AI$2,'Outages (event ledger)'!$E$2:$E$65,"&lt;="&amp;$B29,'Outages (event ledger)'!$G$2:$G$65,"&gt;="&amp;$B29)</f>
        <v>0</v>
      </c>
      <c r="AJ29" s="26" t="n">
        <f aca="false">SUMIFS('Outages (event ledger)'!$H$2:$H$65,'Outages (event ledger)'!$A$2:$A$65,AJ$2,'Outages (event ledger)'!$E$2:$E$65,"&lt;="&amp;$B29,'Outages (event ledger)'!$G$2:$G$65,"&gt;="&amp;$B29)</f>
        <v>0</v>
      </c>
      <c r="AK29" s="26" t="n">
        <f aca="false">SUMIFS('Outages (event ledger)'!$H$2:$H$65,'Outages (event ledger)'!$A$2:$A$65,AK$2,'Outages (event ledger)'!$E$2:$E$65,"&lt;="&amp;$B29,'Outages (event ledger)'!$G$2:$G$65,"&gt;="&amp;$B29)</f>
        <v>0</v>
      </c>
      <c r="AL29" s="26" t="n">
        <f aca="false">SUMIFS('Outages (event ledger)'!$H$2:$H$65,'Outages (event ledger)'!$A$2:$A$65,AL$2,'Outages (event ledger)'!$E$2:$E$65,"&lt;="&amp;$B29,'Outages (event ledger)'!$G$2:$G$65,"&gt;="&amp;$B29)</f>
        <v>0</v>
      </c>
      <c r="AM29" s="26" t="n">
        <f aca="false">SUMIFS('Outages (event ledger)'!$H$2:$H$65,'Outages (event ledger)'!$A$2:$A$65,AM$2,'Outages (event ledger)'!$E$2:$E$65,"&lt;="&amp;$B29,'Outages (event ledger)'!$G$2:$G$65,"&gt;="&amp;$B29)</f>
        <v>0</v>
      </c>
      <c r="AN29" s="26" t="n">
        <f aca="false">SUMIFS('Outages (event ledger)'!$H$2:$H$65,'Outages (event ledger)'!$A$2:$A$65,AN$2,'Outages (event ledger)'!$E$2:$E$65,"&lt;="&amp;$B29,'Outages (event ledger)'!$G$2:$G$65,"&gt;="&amp;$B29)</f>
        <v>0</v>
      </c>
      <c r="AO29" s="26" t="n">
        <f aca="false">SUMIFS('Outages (event ledger)'!$H$2:$H$65,'Outages (event ledger)'!$A$2:$A$65,AO$2,'Outages (event ledger)'!$E$2:$E$65,"&lt;="&amp;$B29,'Outages (event ledger)'!$G$2:$G$65,"&gt;="&amp;$B29)</f>
        <v>0</v>
      </c>
      <c r="AP29" s="26" t="n">
        <f aca="false">SUMIFS('Outages (event ledger)'!$H$2:$H$65,'Outages (event ledger)'!$A$2:$A$65,AP$2,'Outages (event ledger)'!$E$2:$E$65,"&lt;="&amp;$B29,'Outages (event ledger)'!$G$2:$G$65,"&gt;="&amp;$B29)</f>
        <v>0</v>
      </c>
      <c r="AQ29" s="26" t="n">
        <f aca="false">SUMIFS('Outages (event ledger)'!$H$2:$H$65,'Outages (event ledger)'!$A$2:$A$65,AQ$2,'Outages (event ledger)'!$E$2:$E$65,"&lt;="&amp;$B29,'Outages (event ledger)'!$G$2:$G$65,"&gt;="&amp;$B29)</f>
        <v>0</v>
      </c>
      <c r="AR29" s="26" t="n">
        <f aca="false">SUMIFS('Outages (event ledger)'!$H$2:$H$65,'Outages (event ledger)'!$A$2:$A$65,AR$2,'Outages (event ledger)'!$E$2:$E$65,"&lt;="&amp;$B29,'Outages (event ledger)'!$G$2:$G$65,"&gt;="&amp;$B29)</f>
        <v>0</v>
      </c>
      <c r="AS29" s="26" t="n">
        <f aca="false">SUMIFS('Outages (event ledger)'!$H$2:$H$65,'Outages (event ledger)'!$A$2:$A$65,AS$2,'Outages (event ledger)'!$E$2:$E$65,"&lt;="&amp;$B29,'Outages (event ledger)'!$G$2:$G$65,"&gt;="&amp;$B29)</f>
        <v>0</v>
      </c>
      <c r="AT29" s="26" t="n">
        <f aca="false">SUMIFS('Outages (event ledger)'!$H$2:$H$65,'Outages (event ledger)'!$A$2:$A$65,AT$2,'Outages (event ledger)'!$E$2:$E$65,"&lt;="&amp;$B29,'Outages (event ledger)'!$G$2:$G$65,"&gt;="&amp;$B29)</f>
        <v>0</v>
      </c>
      <c r="AU29" s="26" t="n">
        <f aca="false">SUMIFS('Outages (event ledger)'!$H$2:$H$65,'Outages (event ledger)'!$A$2:$A$65,AU$2,'Outages (event ledger)'!$E$2:$E$65,"&lt;="&amp;$B29,'Outages (event ledger)'!$G$2:$G$65,"&gt;="&amp;$B29)</f>
        <v>0</v>
      </c>
      <c r="AV29" s="26" t="n">
        <f aca="false">SUMIFS('Outages (event ledger)'!$H$2:$H$65,'Outages (event ledger)'!$A$2:$A$65,AV$2,'Outages (event ledger)'!$E$2:$E$65,"&lt;="&amp;$B29,'Outages (event ledger)'!$G$2:$G$65,"&gt;="&amp;$B29)</f>
        <v>0</v>
      </c>
      <c r="AW29" s="26" t="n">
        <f aca="false">SUMIFS('Outages (event ledger)'!$H$2:$H$65,'Outages (event ledger)'!$A$2:$A$65,AW$2,'Outages (event ledger)'!$E$2:$E$65,"&lt;="&amp;$B29,'Outages (event ledger)'!$G$2:$G$65,"&gt;="&amp;$B29)</f>
        <v>0</v>
      </c>
      <c r="AX29" s="26" t="n">
        <f aca="false">SUMIFS('Outages (event ledger)'!$H$2:$H$65,'Outages (event ledger)'!$A$2:$A$65,AX$2,'Outages (event ledger)'!$E$2:$E$65,"&lt;="&amp;$B29,'Outages (event ledger)'!$G$2:$G$65,"&gt;="&amp;$B29)</f>
        <v>0</v>
      </c>
      <c r="AY29" s="26" t="n">
        <f aca="false">SUMIFS('Outages (event ledger)'!$H$2:$H$65,'Outages (event ledger)'!$A$2:$A$65,AY$2,'Outages (event ledger)'!$E$2:$E$65,"&lt;="&amp;$B29,'Outages (event ledger)'!$G$2:$G$65,"&gt;="&amp;$B29)</f>
        <v>0</v>
      </c>
      <c r="AZ29" s="26" t="n">
        <f aca="false">SUMIFS('Outages (event ledger)'!$H$2:$H$65,'Outages (event ledger)'!$A$2:$A$65,AZ$2,'Outages (event ledger)'!$E$2:$E$65,"&lt;="&amp;$B29,'Outages (event ledger)'!$G$2:$G$65,"&gt;="&amp;$B29)</f>
        <v>0</v>
      </c>
      <c r="BA29" s="26" t="n">
        <f aca="false">SUMIFS('Outages (event ledger)'!$H$2:$H$65,'Outages (event ledger)'!$A$2:$A$65,BA$2,'Outages (event ledger)'!$E$2:$E$65,"&lt;="&amp;$B29,'Outages (event ledger)'!$G$2:$G$65,"&gt;="&amp;$B29)</f>
        <v>0</v>
      </c>
      <c r="BB29" s="26" t="n">
        <f aca="false">SUMIFS('Outages (event ledger)'!$H$2:$H$65,'Outages (event ledger)'!$A$2:$A$65,BB$2,'Outages (event ledger)'!$E$2:$E$65,"&lt;="&amp;$B29,'Outages (event ledger)'!$G$2:$G$65,"&gt;="&amp;$B29)</f>
        <v>0</v>
      </c>
      <c r="BC29" s="26" t="n">
        <f aca="false">SUMIFS('Outages (event ledger)'!$H$2:$H$65,'Outages (event ledger)'!$A$2:$A$65,BC$2,'Outages (event ledger)'!$E$2:$E$65,"&lt;="&amp;$B29,'Outages (event ledger)'!$G$2:$G$65,"&gt;="&amp;$B29)</f>
        <v>0</v>
      </c>
      <c r="BD29" s="26" t="n">
        <f aca="false">SUMIFS('Outages (event ledger)'!$H$2:$H$65,'Outages (event ledger)'!$A$2:$A$65,BD$2,'Outages (event ledger)'!$E$2:$E$65,"&lt;="&amp;$B29,'Outages (event ledger)'!$G$2:$G$65,"&gt;="&amp;$B29)</f>
        <v>0</v>
      </c>
      <c r="BE29" s="26" t="n">
        <f aca="false">SUMIFS('Outages (event ledger)'!$H$2:$H$65,'Outages (event ledger)'!$A$2:$A$65,BE$2,'Outages (event ledger)'!$E$2:$E$65,"&lt;="&amp;$B29,'Outages (event ledger)'!$G$2:$G$65,"&gt;="&amp;$B29)</f>
        <v>0</v>
      </c>
      <c r="BF29" s="26" t="n">
        <f aca="false">SUMIFS('Outages (event ledger)'!$H$2:$H$65,'Outages (event ledger)'!$A$2:$A$65,BF$2,'Outages (event ledger)'!$E$2:$E$65,"&lt;="&amp;$B29,'Outages (event ledger)'!$G$2:$G$65,"&gt;="&amp;$B29)</f>
        <v>0</v>
      </c>
      <c r="BG29" s="26" t="n">
        <f aca="false">SUMIFS('Outages (event ledger)'!$H$2:$H$65,'Outages (event ledger)'!$A$2:$A$65,BG$2,'Outages (event ledger)'!$E$2:$E$65,"&lt;="&amp;$B29,'Outages (event ledger)'!$G$2:$G$65,"&gt;="&amp;$B29)</f>
        <v>0</v>
      </c>
      <c r="BH29" s="26" t="n">
        <f aca="false">SUMIFS('Outages (event ledger)'!$H$2:$H$65,'Outages (event ledger)'!$A$2:$A$65,BH$2,'Outages (event ledger)'!$E$2:$E$65,"&lt;="&amp;$B29,'Outages (event ledger)'!$G$2:$G$65,"&gt;="&amp;$B29)</f>
        <v>0</v>
      </c>
      <c r="BI29" s="26" t="n">
        <f aca="false">SUMIFS('Outages (event ledger)'!$H$2:$H$65,'Outages (event ledger)'!$A$2:$A$65,BI$2,'Outages (event ledger)'!$E$2:$E$65,"&lt;="&amp;$B29,'Outages (event ledger)'!$G$2:$G$65,"&gt;="&amp;$B29)</f>
        <v>0</v>
      </c>
    </row>
    <row r="30" customFormat="false" ht="15" hidden="false" customHeight="false" outlineLevel="0" collapsed="false">
      <c r="A30" s="23" t="n">
        <v>41000</v>
      </c>
      <c r="B30" s="24" t="n">
        <v>201204</v>
      </c>
      <c r="C30" s="25" t="n">
        <f aca="false">SUM(D30:BI30)</f>
        <v>8</v>
      </c>
      <c r="D30" s="26" t="n">
        <f aca="false">SUMIFS('Outages (event ledger)'!$H$2:$H$65,'Outages (event ledger)'!$A$2:$A$65,D$2,'Outages (event ledger)'!$E$2:$E$65,"&lt;="&amp;$B30,'Outages (event ledger)'!$G$2:$G$65,"&gt;="&amp;$B30)</f>
        <v>0</v>
      </c>
      <c r="E30" s="26" t="n">
        <f aca="false">SUMIFS('Outages (event ledger)'!$H$2:$H$65,'Outages (event ledger)'!$A$2:$A$65,E$2,'Outages (event ledger)'!$E$2:$E$65,"&lt;="&amp;$B30,'Outages (event ledger)'!$G$2:$G$65,"&gt;="&amp;$B30)</f>
        <v>0</v>
      </c>
      <c r="F30" s="26" t="n">
        <f aca="false">SUMIFS('Outages (event ledger)'!$H$2:$H$65,'Outages (event ledger)'!$A$2:$A$65,F$2,'Outages (event ledger)'!$E$2:$E$65,"&lt;="&amp;$B30,'Outages (event ledger)'!$G$2:$G$65,"&gt;="&amp;$B30)</f>
        <v>0</v>
      </c>
      <c r="G30" s="26" t="n">
        <f aca="false">SUMIFS('Outages (event ledger)'!$H$2:$H$65,'Outages (event ledger)'!$A$2:$A$65,G$2,'Outages (event ledger)'!$E$2:$E$65,"&lt;="&amp;$B30,'Outages (event ledger)'!$G$2:$G$65,"&gt;="&amp;$B30)</f>
        <v>0</v>
      </c>
      <c r="H30" s="26" t="n">
        <f aca="false">SUMIFS('Outages (event ledger)'!$H$2:$H$65,'Outages (event ledger)'!$A$2:$A$65,H$2,'Outages (event ledger)'!$E$2:$E$65,"&lt;="&amp;$B30,'Outages (event ledger)'!$G$2:$G$65,"&gt;="&amp;$B30)</f>
        <v>0</v>
      </c>
      <c r="I30" s="26" t="n">
        <f aca="false">SUMIFS('Outages (event ledger)'!$H$2:$H$65,'Outages (event ledger)'!$A$2:$A$65,I$2,'Outages (event ledger)'!$E$2:$E$65,"&lt;="&amp;$B30,'Outages (event ledger)'!$G$2:$G$65,"&gt;="&amp;$B30)</f>
        <v>0</v>
      </c>
      <c r="J30" s="26" t="n">
        <f aca="false">SUMIFS('Outages (event ledger)'!$H$2:$H$65,'Outages (event ledger)'!$A$2:$A$65,J$2,'Outages (event ledger)'!$E$2:$E$65,"&lt;="&amp;$B30,'Outages (event ledger)'!$G$2:$G$65,"&gt;="&amp;$B30)</f>
        <v>0</v>
      </c>
      <c r="K30" s="26" t="n">
        <f aca="false">SUMIFS('Outages (event ledger)'!$H$2:$H$65,'Outages (event ledger)'!$A$2:$A$65,K$2,'Outages (event ledger)'!$E$2:$E$65,"&lt;="&amp;$B30,'Outages (event ledger)'!$G$2:$G$65,"&gt;="&amp;$B30)</f>
        <v>0</v>
      </c>
      <c r="L30" s="26" t="n">
        <f aca="false">SUMIFS('Outages (event ledger)'!$H$2:$H$65,'Outages (event ledger)'!$A$2:$A$65,L$2,'Outages (event ledger)'!$E$2:$E$65,"&lt;="&amp;$B30,'Outages (event ledger)'!$G$2:$G$65,"&gt;="&amp;$B30)</f>
        <v>0</v>
      </c>
      <c r="M30" s="26" t="n">
        <f aca="false">SUMIFS('Outages (event ledger)'!$H$2:$H$65,'Outages (event ledger)'!$A$2:$A$65,M$2,'Outages (event ledger)'!$E$2:$E$65,"&lt;="&amp;$B30,'Outages (event ledger)'!$G$2:$G$65,"&gt;="&amp;$B30)</f>
        <v>0</v>
      </c>
      <c r="N30" s="26" t="n">
        <f aca="false">SUMIFS('Outages (event ledger)'!$H$2:$H$65,'Outages (event ledger)'!$A$2:$A$65,N$2,'Outages (event ledger)'!$E$2:$E$65,"&lt;="&amp;$B30,'Outages (event ledger)'!$G$2:$G$65,"&gt;="&amp;$B30)</f>
        <v>0</v>
      </c>
      <c r="O30" s="26" t="n">
        <f aca="false">SUMIFS('Outages (event ledger)'!$H$2:$H$65,'Outages (event ledger)'!$A$2:$A$65,O$2,'Outages (event ledger)'!$E$2:$E$65,"&lt;="&amp;$B30,'Outages (event ledger)'!$G$2:$G$65,"&gt;="&amp;$B30)</f>
        <v>0</v>
      </c>
      <c r="P30" s="26" t="n">
        <f aca="false">SUMIFS('Outages (event ledger)'!$H$2:$H$65,'Outages (event ledger)'!$A$2:$A$65,P$2,'Outages (event ledger)'!$E$2:$E$65,"&lt;="&amp;$B30,'Outages (event ledger)'!$G$2:$G$65,"&gt;="&amp;$B30)</f>
        <v>0</v>
      </c>
      <c r="Q30" s="26" t="n">
        <f aca="false">SUMIFS('Outages (event ledger)'!$H$2:$H$65,'Outages (event ledger)'!$A$2:$A$65,Q$2,'Outages (event ledger)'!$E$2:$E$65,"&lt;="&amp;$B30,'Outages (event ledger)'!$G$2:$G$65,"&gt;="&amp;$B30)</f>
        <v>0</v>
      </c>
      <c r="R30" s="26" t="n">
        <f aca="false">SUMIFS('Outages (event ledger)'!$H$2:$H$65,'Outages (event ledger)'!$A$2:$A$65,R$2,'Outages (event ledger)'!$E$2:$E$65,"&lt;="&amp;$B30,'Outages (event ledger)'!$G$2:$G$65,"&gt;="&amp;$B30)</f>
        <v>0</v>
      </c>
      <c r="S30" s="26" t="n">
        <f aca="false">SUMIFS('Outages (event ledger)'!$H$2:$H$65,'Outages (event ledger)'!$A$2:$A$65,S$2,'Outages (event ledger)'!$E$2:$E$65,"&lt;="&amp;$B30,'Outages (event ledger)'!$G$2:$G$65,"&gt;="&amp;$B30)</f>
        <v>0</v>
      </c>
      <c r="T30" s="26" t="n">
        <f aca="false">SUMIFS('Outages (event ledger)'!$H$2:$H$65,'Outages (event ledger)'!$A$2:$A$65,T$2,'Outages (event ledger)'!$E$2:$E$65,"&lt;="&amp;$B30,'Outages (event ledger)'!$G$2:$G$65,"&gt;="&amp;$B30)</f>
        <v>0</v>
      </c>
      <c r="U30" s="26" t="n">
        <f aca="false">SUMIFS('Outages (event ledger)'!$H$2:$H$65,'Outages (event ledger)'!$A$2:$A$65,U$2,'Outages (event ledger)'!$E$2:$E$65,"&lt;="&amp;$B30,'Outages (event ledger)'!$G$2:$G$65,"&gt;="&amp;$B30)</f>
        <v>0</v>
      </c>
      <c r="V30" s="26" t="n">
        <f aca="false">SUMIFS('Outages (event ledger)'!$H$2:$H$65,'Outages (event ledger)'!$A$2:$A$65,V$2,'Outages (event ledger)'!$E$2:$E$65,"&lt;="&amp;$B30,'Outages (event ledger)'!$G$2:$G$65,"&gt;="&amp;$B30)</f>
        <v>0</v>
      </c>
      <c r="W30" s="26" t="n">
        <f aca="false">SUMIFS('Outages (event ledger)'!$H$2:$H$65,'Outages (event ledger)'!$A$2:$A$65,W$2,'Outages (event ledger)'!$E$2:$E$65,"&lt;="&amp;$B30,'Outages (event ledger)'!$G$2:$G$65,"&gt;="&amp;$B30)</f>
        <v>0</v>
      </c>
      <c r="X30" s="26" t="n">
        <f aca="false">SUMIFS('Outages (event ledger)'!$H$2:$H$65,'Outages (event ledger)'!$A$2:$A$65,X$2,'Outages (event ledger)'!$E$2:$E$65,"&lt;="&amp;$B30,'Outages (event ledger)'!$G$2:$G$65,"&gt;="&amp;$B30)</f>
        <v>0</v>
      </c>
      <c r="Y30" s="26" t="n">
        <f aca="false">SUMIFS('Outages (event ledger)'!$H$2:$H$65,'Outages (event ledger)'!$A$2:$A$65,Y$2,'Outages (event ledger)'!$E$2:$E$65,"&lt;="&amp;$B30,'Outages (event ledger)'!$G$2:$G$65,"&gt;="&amp;$B30)</f>
        <v>0</v>
      </c>
      <c r="Z30" s="26" t="n">
        <f aca="false">SUMIFS('Outages (event ledger)'!$H$2:$H$65,'Outages (event ledger)'!$A$2:$A$65,Z$2,'Outages (event ledger)'!$E$2:$E$65,"&lt;="&amp;$B30,'Outages (event ledger)'!$G$2:$G$65,"&gt;="&amp;$B30)</f>
        <v>0</v>
      </c>
      <c r="AA30" s="26" t="n">
        <f aca="false">SUMIFS('Outages (event ledger)'!$H$2:$H$65,'Outages (event ledger)'!$A$2:$A$65,AA$2,'Outages (event ledger)'!$E$2:$E$65,"&lt;="&amp;$B30,'Outages (event ledger)'!$G$2:$G$65,"&gt;="&amp;$B30)</f>
        <v>0</v>
      </c>
      <c r="AB30" s="26" t="n">
        <f aca="false">SUMIFS('Outages (event ledger)'!$H$2:$H$65,'Outages (event ledger)'!$A$2:$A$65,AB$2,'Outages (event ledger)'!$E$2:$E$65,"&lt;="&amp;$B30,'Outages (event ledger)'!$G$2:$G$65,"&gt;="&amp;$B30)</f>
        <v>8</v>
      </c>
      <c r="AC30" s="26" t="n">
        <f aca="false">SUMIFS('Outages (event ledger)'!$H$2:$H$65,'Outages (event ledger)'!$A$2:$A$65,AC$2,'Outages (event ledger)'!$E$2:$E$65,"&lt;="&amp;$B30,'Outages (event ledger)'!$G$2:$G$65,"&gt;="&amp;$B30)</f>
        <v>0</v>
      </c>
      <c r="AD30" s="26" t="n">
        <f aca="false">SUMIFS('Outages (event ledger)'!$H$2:$H$65,'Outages (event ledger)'!$A$2:$A$65,AD$2,'Outages (event ledger)'!$E$2:$E$65,"&lt;="&amp;$B30,'Outages (event ledger)'!$G$2:$G$65,"&gt;="&amp;$B30)</f>
        <v>0</v>
      </c>
      <c r="AE30" s="26" t="n">
        <f aca="false">SUMIFS('Outages (event ledger)'!$H$2:$H$65,'Outages (event ledger)'!$A$2:$A$65,AE$2,'Outages (event ledger)'!$E$2:$E$65,"&lt;="&amp;$B30,'Outages (event ledger)'!$G$2:$G$65,"&gt;="&amp;$B30)</f>
        <v>0</v>
      </c>
      <c r="AF30" s="26" t="n">
        <f aca="false">SUMIFS('Outages (event ledger)'!$H$2:$H$65,'Outages (event ledger)'!$A$2:$A$65,AF$2,'Outages (event ledger)'!$E$2:$E$65,"&lt;="&amp;$B30,'Outages (event ledger)'!$G$2:$G$65,"&gt;="&amp;$B30)</f>
        <v>0</v>
      </c>
      <c r="AG30" s="26" t="n">
        <f aca="false">SUMIFS('Outages (event ledger)'!$H$2:$H$65,'Outages (event ledger)'!$A$2:$A$65,AG$2,'Outages (event ledger)'!$E$2:$E$65,"&lt;="&amp;$B30,'Outages (event ledger)'!$G$2:$G$65,"&gt;="&amp;$B30)</f>
        <v>0</v>
      </c>
      <c r="AH30" s="26" t="n">
        <f aca="false">SUMIFS('Outages (event ledger)'!$H$2:$H$65,'Outages (event ledger)'!$A$2:$A$65,AH$2,'Outages (event ledger)'!$E$2:$E$65,"&lt;="&amp;$B30,'Outages (event ledger)'!$G$2:$G$65,"&gt;="&amp;$B30)</f>
        <v>0</v>
      </c>
      <c r="AI30" s="26" t="n">
        <f aca="false">SUMIFS('Outages (event ledger)'!$H$2:$H$65,'Outages (event ledger)'!$A$2:$A$65,AI$2,'Outages (event ledger)'!$E$2:$E$65,"&lt;="&amp;$B30,'Outages (event ledger)'!$G$2:$G$65,"&gt;="&amp;$B30)</f>
        <v>0</v>
      </c>
      <c r="AJ30" s="26" t="n">
        <f aca="false">SUMIFS('Outages (event ledger)'!$H$2:$H$65,'Outages (event ledger)'!$A$2:$A$65,AJ$2,'Outages (event ledger)'!$E$2:$E$65,"&lt;="&amp;$B30,'Outages (event ledger)'!$G$2:$G$65,"&gt;="&amp;$B30)</f>
        <v>0</v>
      </c>
      <c r="AK30" s="26" t="n">
        <f aca="false">SUMIFS('Outages (event ledger)'!$H$2:$H$65,'Outages (event ledger)'!$A$2:$A$65,AK$2,'Outages (event ledger)'!$E$2:$E$65,"&lt;="&amp;$B30,'Outages (event ledger)'!$G$2:$G$65,"&gt;="&amp;$B30)</f>
        <v>0</v>
      </c>
      <c r="AL30" s="26" t="n">
        <f aca="false">SUMIFS('Outages (event ledger)'!$H$2:$H$65,'Outages (event ledger)'!$A$2:$A$65,AL$2,'Outages (event ledger)'!$E$2:$E$65,"&lt;="&amp;$B30,'Outages (event ledger)'!$G$2:$G$65,"&gt;="&amp;$B30)</f>
        <v>0</v>
      </c>
      <c r="AM30" s="26" t="n">
        <f aca="false">SUMIFS('Outages (event ledger)'!$H$2:$H$65,'Outages (event ledger)'!$A$2:$A$65,AM$2,'Outages (event ledger)'!$E$2:$E$65,"&lt;="&amp;$B30,'Outages (event ledger)'!$G$2:$G$65,"&gt;="&amp;$B30)</f>
        <v>0</v>
      </c>
      <c r="AN30" s="26" t="n">
        <f aca="false">SUMIFS('Outages (event ledger)'!$H$2:$H$65,'Outages (event ledger)'!$A$2:$A$65,AN$2,'Outages (event ledger)'!$E$2:$E$65,"&lt;="&amp;$B30,'Outages (event ledger)'!$G$2:$G$65,"&gt;="&amp;$B30)</f>
        <v>0</v>
      </c>
      <c r="AO30" s="26" t="n">
        <f aca="false">SUMIFS('Outages (event ledger)'!$H$2:$H$65,'Outages (event ledger)'!$A$2:$A$65,AO$2,'Outages (event ledger)'!$E$2:$E$65,"&lt;="&amp;$B30,'Outages (event ledger)'!$G$2:$G$65,"&gt;="&amp;$B30)</f>
        <v>0</v>
      </c>
      <c r="AP30" s="26" t="n">
        <f aca="false">SUMIFS('Outages (event ledger)'!$H$2:$H$65,'Outages (event ledger)'!$A$2:$A$65,AP$2,'Outages (event ledger)'!$E$2:$E$65,"&lt;="&amp;$B30,'Outages (event ledger)'!$G$2:$G$65,"&gt;="&amp;$B30)</f>
        <v>0</v>
      </c>
      <c r="AQ30" s="26" t="n">
        <f aca="false">SUMIFS('Outages (event ledger)'!$H$2:$H$65,'Outages (event ledger)'!$A$2:$A$65,AQ$2,'Outages (event ledger)'!$E$2:$E$65,"&lt;="&amp;$B30,'Outages (event ledger)'!$G$2:$G$65,"&gt;="&amp;$B30)</f>
        <v>0</v>
      </c>
      <c r="AR30" s="26" t="n">
        <f aca="false">SUMIFS('Outages (event ledger)'!$H$2:$H$65,'Outages (event ledger)'!$A$2:$A$65,AR$2,'Outages (event ledger)'!$E$2:$E$65,"&lt;="&amp;$B30,'Outages (event ledger)'!$G$2:$G$65,"&gt;="&amp;$B30)</f>
        <v>0</v>
      </c>
      <c r="AS30" s="26" t="n">
        <f aca="false">SUMIFS('Outages (event ledger)'!$H$2:$H$65,'Outages (event ledger)'!$A$2:$A$65,AS$2,'Outages (event ledger)'!$E$2:$E$65,"&lt;="&amp;$B30,'Outages (event ledger)'!$G$2:$G$65,"&gt;="&amp;$B30)</f>
        <v>0</v>
      </c>
      <c r="AT30" s="26" t="n">
        <f aca="false">SUMIFS('Outages (event ledger)'!$H$2:$H$65,'Outages (event ledger)'!$A$2:$A$65,AT$2,'Outages (event ledger)'!$E$2:$E$65,"&lt;="&amp;$B30,'Outages (event ledger)'!$G$2:$G$65,"&gt;="&amp;$B30)</f>
        <v>0</v>
      </c>
      <c r="AU30" s="26" t="n">
        <f aca="false">SUMIFS('Outages (event ledger)'!$H$2:$H$65,'Outages (event ledger)'!$A$2:$A$65,AU$2,'Outages (event ledger)'!$E$2:$E$65,"&lt;="&amp;$B30,'Outages (event ledger)'!$G$2:$G$65,"&gt;="&amp;$B30)</f>
        <v>0</v>
      </c>
      <c r="AV30" s="26" t="n">
        <f aca="false">SUMIFS('Outages (event ledger)'!$H$2:$H$65,'Outages (event ledger)'!$A$2:$A$65,AV$2,'Outages (event ledger)'!$E$2:$E$65,"&lt;="&amp;$B30,'Outages (event ledger)'!$G$2:$G$65,"&gt;="&amp;$B30)</f>
        <v>0</v>
      </c>
      <c r="AW30" s="26" t="n">
        <f aca="false">SUMIFS('Outages (event ledger)'!$H$2:$H$65,'Outages (event ledger)'!$A$2:$A$65,AW$2,'Outages (event ledger)'!$E$2:$E$65,"&lt;="&amp;$B30,'Outages (event ledger)'!$G$2:$G$65,"&gt;="&amp;$B30)</f>
        <v>0</v>
      </c>
      <c r="AX30" s="26" t="n">
        <f aca="false">SUMIFS('Outages (event ledger)'!$H$2:$H$65,'Outages (event ledger)'!$A$2:$A$65,AX$2,'Outages (event ledger)'!$E$2:$E$65,"&lt;="&amp;$B30,'Outages (event ledger)'!$G$2:$G$65,"&gt;="&amp;$B30)</f>
        <v>0</v>
      </c>
      <c r="AY30" s="26" t="n">
        <f aca="false">SUMIFS('Outages (event ledger)'!$H$2:$H$65,'Outages (event ledger)'!$A$2:$A$65,AY$2,'Outages (event ledger)'!$E$2:$E$65,"&lt;="&amp;$B30,'Outages (event ledger)'!$G$2:$G$65,"&gt;="&amp;$B30)</f>
        <v>0</v>
      </c>
      <c r="AZ30" s="26" t="n">
        <f aca="false">SUMIFS('Outages (event ledger)'!$H$2:$H$65,'Outages (event ledger)'!$A$2:$A$65,AZ$2,'Outages (event ledger)'!$E$2:$E$65,"&lt;="&amp;$B30,'Outages (event ledger)'!$G$2:$G$65,"&gt;="&amp;$B30)</f>
        <v>0</v>
      </c>
      <c r="BA30" s="26" t="n">
        <f aca="false">SUMIFS('Outages (event ledger)'!$H$2:$H$65,'Outages (event ledger)'!$A$2:$A$65,BA$2,'Outages (event ledger)'!$E$2:$E$65,"&lt;="&amp;$B30,'Outages (event ledger)'!$G$2:$G$65,"&gt;="&amp;$B30)</f>
        <v>0</v>
      </c>
      <c r="BB30" s="26" t="n">
        <f aca="false">SUMIFS('Outages (event ledger)'!$H$2:$H$65,'Outages (event ledger)'!$A$2:$A$65,BB$2,'Outages (event ledger)'!$E$2:$E$65,"&lt;="&amp;$B30,'Outages (event ledger)'!$G$2:$G$65,"&gt;="&amp;$B30)</f>
        <v>0</v>
      </c>
      <c r="BC30" s="26" t="n">
        <f aca="false">SUMIFS('Outages (event ledger)'!$H$2:$H$65,'Outages (event ledger)'!$A$2:$A$65,BC$2,'Outages (event ledger)'!$E$2:$E$65,"&lt;="&amp;$B30,'Outages (event ledger)'!$G$2:$G$65,"&gt;="&amp;$B30)</f>
        <v>0</v>
      </c>
      <c r="BD30" s="26" t="n">
        <f aca="false">SUMIFS('Outages (event ledger)'!$H$2:$H$65,'Outages (event ledger)'!$A$2:$A$65,BD$2,'Outages (event ledger)'!$E$2:$E$65,"&lt;="&amp;$B30,'Outages (event ledger)'!$G$2:$G$65,"&gt;="&amp;$B30)</f>
        <v>0</v>
      </c>
      <c r="BE30" s="26" t="n">
        <f aca="false">SUMIFS('Outages (event ledger)'!$H$2:$H$65,'Outages (event ledger)'!$A$2:$A$65,BE$2,'Outages (event ledger)'!$E$2:$E$65,"&lt;="&amp;$B30,'Outages (event ledger)'!$G$2:$G$65,"&gt;="&amp;$B30)</f>
        <v>0</v>
      </c>
      <c r="BF30" s="26" t="n">
        <f aca="false">SUMIFS('Outages (event ledger)'!$H$2:$H$65,'Outages (event ledger)'!$A$2:$A$65,BF$2,'Outages (event ledger)'!$E$2:$E$65,"&lt;="&amp;$B30,'Outages (event ledger)'!$G$2:$G$65,"&gt;="&amp;$B30)</f>
        <v>0</v>
      </c>
      <c r="BG30" s="26" t="n">
        <f aca="false">SUMIFS('Outages (event ledger)'!$H$2:$H$65,'Outages (event ledger)'!$A$2:$A$65,BG$2,'Outages (event ledger)'!$E$2:$E$65,"&lt;="&amp;$B30,'Outages (event ledger)'!$G$2:$G$65,"&gt;="&amp;$B30)</f>
        <v>0</v>
      </c>
      <c r="BH30" s="26" t="n">
        <f aca="false">SUMIFS('Outages (event ledger)'!$H$2:$H$65,'Outages (event ledger)'!$A$2:$A$65,BH$2,'Outages (event ledger)'!$E$2:$E$65,"&lt;="&amp;$B30,'Outages (event ledger)'!$G$2:$G$65,"&gt;="&amp;$B30)</f>
        <v>0</v>
      </c>
      <c r="BI30" s="26" t="n">
        <f aca="false">SUMIFS('Outages (event ledger)'!$H$2:$H$65,'Outages (event ledger)'!$A$2:$A$65,BI$2,'Outages (event ledger)'!$E$2:$E$65,"&lt;="&amp;$B30,'Outages (event ledger)'!$G$2:$G$65,"&gt;="&amp;$B30)</f>
        <v>0</v>
      </c>
    </row>
    <row r="31" customFormat="false" ht="15" hidden="false" customHeight="false" outlineLevel="0" collapsed="false">
      <c r="A31" s="23" t="n">
        <v>41030</v>
      </c>
      <c r="B31" s="24" t="n">
        <v>201205</v>
      </c>
      <c r="C31" s="25" t="n">
        <f aca="false">SUM(D31:BI31)</f>
        <v>8</v>
      </c>
      <c r="D31" s="26" t="n">
        <f aca="false">SUMIFS('Outages (event ledger)'!$H$2:$H$65,'Outages (event ledger)'!$A$2:$A$65,D$2,'Outages (event ledger)'!$E$2:$E$65,"&lt;="&amp;$B31,'Outages (event ledger)'!$G$2:$G$65,"&gt;="&amp;$B31)</f>
        <v>0</v>
      </c>
      <c r="E31" s="26" t="n">
        <f aca="false">SUMIFS('Outages (event ledger)'!$H$2:$H$65,'Outages (event ledger)'!$A$2:$A$65,E$2,'Outages (event ledger)'!$E$2:$E$65,"&lt;="&amp;$B31,'Outages (event ledger)'!$G$2:$G$65,"&gt;="&amp;$B31)</f>
        <v>0</v>
      </c>
      <c r="F31" s="26" t="n">
        <f aca="false">SUMIFS('Outages (event ledger)'!$H$2:$H$65,'Outages (event ledger)'!$A$2:$A$65,F$2,'Outages (event ledger)'!$E$2:$E$65,"&lt;="&amp;$B31,'Outages (event ledger)'!$G$2:$G$65,"&gt;="&amp;$B31)</f>
        <v>0</v>
      </c>
      <c r="G31" s="26" t="n">
        <f aca="false">SUMIFS('Outages (event ledger)'!$H$2:$H$65,'Outages (event ledger)'!$A$2:$A$65,G$2,'Outages (event ledger)'!$E$2:$E$65,"&lt;="&amp;$B31,'Outages (event ledger)'!$G$2:$G$65,"&gt;="&amp;$B31)</f>
        <v>0</v>
      </c>
      <c r="H31" s="26" t="n">
        <f aca="false">SUMIFS('Outages (event ledger)'!$H$2:$H$65,'Outages (event ledger)'!$A$2:$A$65,H$2,'Outages (event ledger)'!$E$2:$E$65,"&lt;="&amp;$B31,'Outages (event ledger)'!$G$2:$G$65,"&gt;="&amp;$B31)</f>
        <v>0</v>
      </c>
      <c r="I31" s="26" t="n">
        <f aca="false">SUMIFS('Outages (event ledger)'!$H$2:$H$65,'Outages (event ledger)'!$A$2:$A$65,I$2,'Outages (event ledger)'!$E$2:$E$65,"&lt;="&amp;$B31,'Outages (event ledger)'!$G$2:$G$65,"&gt;="&amp;$B31)</f>
        <v>0</v>
      </c>
      <c r="J31" s="26" t="n">
        <f aca="false">SUMIFS('Outages (event ledger)'!$H$2:$H$65,'Outages (event ledger)'!$A$2:$A$65,J$2,'Outages (event ledger)'!$E$2:$E$65,"&lt;="&amp;$B31,'Outages (event ledger)'!$G$2:$G$65,"&gt;="&amp;$B31)</f>
        <v>0</v>
      </c>
      <c r="K31" s="26" t="n">
        <f aca="false">SUMIFS('Outages (event ledger)'!$H$2:$H$65,'Outages (event ledger)'!$A$2:$A$65,K$2,'Outages (event ledger)'!$E$2:$E$65,"&lt;="&amp;$B31,'Outages (event ledger)'!$G$2:$G$65,"&gt;="&amp;$B31)</f>
        <v>0</v>
      </c>
      <c r="L31" s="26" t="n">
        <f aca="false">SUMIFS('Outages (event ledger)'!$H$2:$H$65,'Outages (event ledger)'!$A$2:$A$65,L$2,'Outages (event ledger)'!$E$2:$E$65,"&lt;="&amp;$B31,'Outages (event ledger)'!$G$2:$G$65,"&gt;="&amp;$B31)</f>
        <v>0</v>
      </c>
      <c r="M31" s="26" t="n">
        <f aca="false">SUMIFS('Outages (event ledger)'!$H$2:$H$65,'Outages (event ledger)'!$A$2:$A$65,M$2,'Outages (event ledger)'!$E$2:$E$65,"&lt;="&amp;$B31,'Outages (event ledger)'!$G$2:$G$65,"&gt;="&amp;$B31)</f>
        <v>0</v>
      </c>
      <c r="N31" s="26" t="n">
        <f aca="false">SUMIFS('Outages (event ledger)'!$H$2:$H$65,'Outages (event ledger)'!$A$2:$A$65,N$2,'Outages (event ledger)'!$E$2:$E$65,"&lt;="&amp;$B31,'Outages (event ledger)'!$G$2:$G$65,"&gt;="&amp;$B31)</f>
        <v>0</v>
      </c>
      <c r="O31" s="26" t="n">
        <f aca="false">SUMIFS('Outages (event ledger)'!$H$2:$H$65,'Outages (event ledger)'!$A$2:$A$65,O$2,'Outages (event ledger)'!$E$2:$E$65,"&lt;="&amp;$B31,'Outages (event ledger)'!$G$2:$G$65,"&gt;="&amp;$B31)</f>
        <v>0</v>
      </c>
      <c r="P31" s="26" t="n">
        <f aca="false">SUMIFS('Outages (event ledger)'!$H$2:$H$65,'Outages (event ledger)'!$A$2:$A$65,P$2,'Outages (event ledger)'!$E$2:$E$65,"&lt;="&amp;$B31,'Outages (event ledger)'!$G$2:$G$65,"&gt;="&amp;$B31)</f>
        <v>0</v>
      </c>
      <c r="Q31" s="26" t="n">
        <f aca="false">SUMIFS('Outages (event ledger)'!$H$2:$H$65,'Outages (event ledger)'!$A$2:$A$65,Q$2,'Outages (event ledger)'!$E$2:$E$65,"&lt;="&amp;$B31,'Outages (event ledger)'!$G$2:$G$65,"&gt;="&amp;$B31)</f>
        <v>0</v>
      </c>
      <c r="R31" s="26" t="n">
        <f aca="false">SUMIFS('Outages (event ledger)'!$H$2:$H$65,'Outages (event ledger)'!$A$2:$A$65,R$2,'Outages (event ledger)'!$E$2:$E$65,"&lt;="&amp;$B31,'Outages (event ledger)'!$G$2:$G$65,"&gt;="&amp;$B31)</f>
        <v>0</v>
      </c>
      <c r="S31" s="26" t="n">
        <f aca="false">SUMIFS('Outages (event ledger)'!$H$2:$H$65,'Outages (event ledger)'!$A$2:$A$65,S$2,'Outages (event ledger)'!$E$2:$E$65,"&lt;="&amp;$B31,'Outages (event ledger)'!$G$2:$G$65,"&gt;="&amp;$B31)</f>
        <v>0</v>
      </c>
      <c r="T31" s="26" t="n">
        <f aca="false">SUMIFS('Outages (event ledger)'!$H$2:$H$65,'Outages (event ledger)'!$A$2:$A$65,T$2,'Outages (event ledger)'!$E$2:$E$65,"&lt;="&amp;$B31,'Outages (event ledger)'!$G$2:$G$65,"&gt;="&amp;$B31)</f>
        <v>0</v>
      </c>
      <c r="U31" s="26" t="n">
        <f aca="false">SUMIFS('Outages (event ledger)'!$H$2:$H$65,'Outages (event ledger)'!$A$2:$A$65,U$2,'Outages (event ledger)'!$E$2:$E$65,"&lt;="&amp;$B31,'Outages (event ledger)'!$G$2:$G$65,"&gt;="&amp;$B31)</f>
        <v>0</v>
      </c>
      <c r="V31" s="26" t="n">
        <f aca="false">SUMIFS('Outages (event ledger)'!$H$2:$H$65,'Outages (event ledger)'!$A$2:$A$65,V$2,'Outages (event ledger)'!$E$2:$E$65,"&lt;="&amp;$B31,'Outages (event ledger)'!$G$2:$G$65,"&gt;="&amp;$B31)</f>
        <v>0</v>
      </c>
      <c r="W31" s="26" t="n">
        <f aca="false">SUMIFS('Outages (event ledger)'!$H$2:$H$65,'Outages (event ledger)'!$A$2:$A$65,W$2,'Outages (event ledger)'!$E$2:$E$65,"&lt;="&amp;$B31,'Outages (event ledger)'!$G$2:$G$65,"&gt;="&amp;$B31)</f>
        <v>0</v>
      </c>
      <c r="X31" s="26" t="n">
        <f aca="false">SUMIFS('Outages (event ledger)'!$H$2:$H$65,'Outages (event ledger)'!$A$2:$A$65,X$2,'Outages (event ledger)'!$E$2:$E$65,"&lt;="&amp;$B31,'Outages (event ledger)'!$G$2:$G$65,"&gt;="&amp;$B31)</f>
        <v>0</v>
      </c>
      <c r="Y31" s="26" t="n">
        <f aca="false">SUMIFS('Outages (event ledger)'!$H$2:$H$65,'Outages (event ledger)'!$A$2:$A$65,Y$2,'Outages (event ledger)'!$E$2:$E$65,"&lt;="&amp;$B31,'Outages (event ledger)'!$G$2:$G$65,"&gt;="&amp;$B31)</f>
        <v>0</v>
      </c>
      <c r="Z31" s="26" t="n">
        <f aca="false">SUMIFS('Outages (event ledger)'!$H$2:$H$65,'Outages (event ledger)'!$A$2:$A$65,Z$2,'Outages (event ledger)'!$E$2:$E$65,"&lt;="&amp;$B31,'Outages (event ledger)'!$G$2:$G$65,"&gt;="&amp;$B31)</f>
        <v>0</v>
      </c>
      <c r="AA31" s="26" t="n">
        <f aca="false">SUMIFS('Outages (event ledger)'!$H$2:$H$65,'Outages (event ledger)'!$A$2:$A$65,AA$2,'Outages (event ledger)'!$E$2:$E$65,"&lt;="&amp;$B31,'Outages (event ledger)'!$G$2:$G$65,"&gt;="&amp;$B31)</f>
        <v>0</v>
      </c>
      <c r="AB31" s="26" t="n">
        <f aca="false">SUMIFS('Outages (event ledger)'!$H$2:$H$65,'Outages (event ledger)'!$A$2:$A$65,AB$2,'Outages (event ledger)'!$E$2:$E$65,"&lt;="&amp;$B31,'Outages (event ledger)'!$G$2:$G$65,"&gt;="&amp;$B31)</f>
        <v>8</v>
      </c>
      <c r="AC31" s="26" t="n">
        <f aca="false">SUMIFS('Outages (event ledger)'!$H$2:$H$65,'Outages (event ledger)'!$A$2:$A$65,AC$2,'Outages (event ledger)'!$E$2:$E$65,"&lt;="&amp;$B31,'Outages (event ledger)'!$G$2:$G$65,"&gt;="&amp;$B31)</f>
        <v>0</v>
      </c>
      <c r="AD31" s="26" t="n">
        <f aca="false">SUMIFS('Outages (event ledger)'!$H$2:$H$65,'Outages (event ledger)'!$A$2:$A$65,AD$2,'Outages (event ledger)'!$E$2:$E$65,"&lt;="&amp;$B31,'Outages (event ledger)'!$G$2:$G$65,"&gt;="&amp;$B31)</f>
        <v>0</v>
      </c>
      <c r="AE31" s="26" t="n">
        <f aca="false">SUMIFS('Outages (event ledger)'!$H$2:$H$65,'Outages (event ledger)'!$A$2:$A$65,AE$2,'Outages (event ledger)'!$E$2:$E$65,"&lt;="&amp;$B31,'Outages (event ledger)'!$G$2:$G$65,"&gt;="&amp;$B31)</f>
        <v>0</v>
      </c>
      <c r="AF31" s="26" t="n">
        <f aca="false">SUMIFS('Outages (event ledger)'!$H$2:$H$65,'Outages (event ledger)'!$A$2:$A$65,AF$2,'Outages (event ledger)'!$E$2:$E$65,"&lt;="&amp;$B31,'Outages (event ledger)'!$G$2:$G$65,"&gt;="&amp;$B31)</f>
        <v>0</v>
      </c>
      <c r="AG31" s="26" t="n">
        <f aca="false">SUMIFS('Outages (event ledger)'!$H$2:$H$65,'Outages (event ledger)'!$A$2:$A$65,AG$2,'Outages (event ledger)'!$E$2:$E$65,"&lt;="&amp;$B31,'Outages (event ledger)'!$G$2:$G$65,"&gt;="&amp;$B31)</f>
        <v>0</v>
      </c>
      <c r="AH31" s="26" t="n">
        <f aca="false">SUMIFS('Outages (event ledger)'!$H$2:$H$65,'Outages (event ledger)'!$A$2:$A$65,AH$2,'Outages (event ledger)'!$E$2:$E$65,"&lt;="&amp;$B31,'Outages (event ledger)'!$G$2:$G$65,"&gt;="&amp;$B31)</f>
        <v>0</v>
      </c>
      <c r="AI31" s="26" t="n">
        <f aca="false">SUMIFS('Outages (event ledger)'!$H$2:$H$65,'Outages (event ledger)'!$A$2:$A$65,AI$2,'Outages (event ledger)'!$E$2:$E$65,"&lt;="&amp;$B31,'Outages (event ledger)'!$G$2:$G$65,"&gt;="&amp;$B31)</f>
        <v>0</v>
      </c>
      <c r="AJ31" s="26" t="n">
        <f aca="false">SUMIFS('Outages (event ledger)'!$H$2:$H$65,'Outages (event ledger)'!$A$2:$A$65,AJ$2,'Outages (event ledger)'!$E$2:$E$65,"&lt;="&amp;$B31,'Outages (event ledger)'!$G$2:$G$65,"&gt;="&amp;$B31)</f>
        <v>0</v>
      </c>
      <c r="AK31" s="26" t="n">
        <f aca="false">SUMIFS('Outages (event ledger)'!$H$2:$H$65,'Outages (event ledger)'!$A$2:$A$65,AK$2,'Outages (event ledger)'!$E$2:$E$65,"&lt;="&amp;$B31,'Outages (event ledger)'!$G$2:$G$65,"&gt;="&amp;$B31)</f>
        <v>0</v>
      </c>
      <c r="AL31" s="26" t="n">
        <f aca="false">SUMIFS('Outages (event ledger)'!$H$2:$H$65,'Outages (event ledger)'!$A$2:$A$65,AL$2,'Outages (event ledger)'!$E$2:$E$65,"&lt;="&amp;$B31,'Outages (event ledger)'!$G$2:$G$65,"&gt;="&amp;$B31)</f>
        <v>0</v>
      </c>
      <c r="AM31" s="26" t="n">
        <f aca="false">SUMIFS('Outages (event ledger)'!$H$2:$H$65,'Outages (event ledger)'!$A$2:$A$65,AM$2,'Outages (event ledger)'!$E$2:$E$65,"&lt;="&amp;$B31,'Outages (event ledger)'!$G$2:$G$65,"&gt;="&amp;$B31)</f>
        <v>0</v>
      </c>
      <c r="AN31" s="26" t="n">
        <f aca="false">SUMIFS('Outages (event ledger)'!$H$2:$H$65,'Outages (event ledger)'!$A$2:$A$65,AN$2,'Outages (event ledger)'!$E$2:$E$65,"&lt;="&amp;$B31,'Outages (event ledger)'!$G$2:$G$65,"&gt;="&amp;$B31)</f>
        <v>0</v>
      </c>
      <c r="AO31" s="26" t="n">
        <f aca="false">SUMIFS('Outages (event ledger)'!$H$2:$H$65,'Outages (event ledger)'!$A$2:$A$65,AO$2,'Outages (event ledger)'!$E$2:$E$65,"&lt;="&amp;$B31,'Outages (event ledger)'!$G$2:$G$65,"&gt;="&amp;$B31)</f>
        <v>0</v>
      </c>
      <c r="AP31" s="26" t="n">
        <f aca="false">SUMIFS('Outages (event ledger)'!$H$2:$H$65,'Outages (event ledger)'!$A$2:$A$65,AP$2,'Outages (event ledger)'!$E$2:$E$65,"&lt;="&amp;$B31,'Outages (event ledger)'!$G$2:$G$65,"&gt;="&amp;$B31)</f>
        <v>0</v>
      </c>
      <c r="AQ31" s="26" t="n">
        <f aca="false">SUMIFS('Outages (event ledger)'!$H$2:$H$65,'Outages (event ledger)'!$A$2:$A$65,AQ$2,'Outages (event ledger)'!$E$2:$E$65,"&lt;="&amp;$B31,'Outages (event ledger)'!$G$2:$G$65,"&gt;="&amp;$B31)</f>
        <v>0</v>
      </c>
      <c r="AR31" s="26" t="n">
        <f aca="false">SUMIFS('Outages (event ledger)'!$H$2:$H$65,'Outages (event ledger)'!$A$2:$A$65,AR$2,'Outages (event ledger)'!$E$2:$E$65,"&lt;="&amp;$B31,'Outages (event ledger)'!$G$2:$G$65,"&gt;="&amp;$B31)</f>
        <v>0</v>
      </c>
      <c r="AS31" s="26" t="n">
        <f aca="false">SUMIFS('Outages (event ledger)'!$H$2:$H$65,'Outages (event ledger)'!$A$2:$A$65,AS$2,'Outages (event ledger)'!$E$2:$E$65,"&lt;="&amp;$B31,'Outages (event ledger)'!$G$2:$G$65,"&gt;="&amp;$B31)</f>
        <v>0</v>
      </c>
      <c r="AT31" s="26" t="n">
        <f aca="false">SUMIFS('Outages (event ledger)'!$H$2:$H$65,'Outages (event ledger)'!$A$2:$A$65,AT$2,'Outages (event ledger)'!$E$2:$E$65,"&lt;="&amp;$B31,'Outages (event ledger)'!$G$2:$G$65,"&gt;="&amp;$B31)</f>
        <v>0</v>
      </c>
      <c r="AU31" s="26" t="n">
        <f aca="false">SUMIFS('Outages (event ledger)'!$H$2:$H$65,'Outages (event ledger)'!$A$2:$A$65,AU$2,'Outages (event ledger)'!$E$2:$E$65,"&lt;="&amp;$B31,'Outages (event ledger)'!$G$2:$G$65,"&gt;="&amp;$B31)</f>
        <v>0</v>
      </c>
      <c r="AV31" s="26" t="n">
        <f aca="false">SUMIFS('Outages (event ledger)'!$H$2:$H$65,'Outages (event ledger)'!$A$2:$A$65,AV$2,'Outages (event ledger)'!$E$2:$E$65,"&lt;="&amp;$B31,'Outages (event ledger)'!$G$2:$G$65,"&gt;="&amp;$B31)</f>
        <v>0</v>
      </c>
      <c r="AW31" s="26" t="n">
        <f aca="false">SUMIFS('Outages (event ledger)'!$H$2:$H$65,'Outages (event ledger)'!$A$2:$A$65,AW$2,'Outages (event ledger)'!$E$2:$E$65,"&lt;="&amp;$B31,'Outages (event ledger)'!$G$2:$G$65,"&gt;="&amp;$B31)</f>
        <v>0</v>
      </c>
      <c r="AX31" s="26" t="n">
        <f aca="false">SUMIFS('Outages (event ledger)'!$H$2:$H$65,'Outages (event ledger)'!$A$2:$A$65,AX$2,'Outages (event ledger)'!$E$2:$E$65,"&lt;="&amp;$B31,'Outages (event ledger)'!$G$2:$G$65,"&gt;="&amp;$B31)</f>
        <v>0</v>
      </c>
      <c r="AY31" s="26" t="n">
        <f aca="false">SUMIFS('Outages (event ledger)'!$H$2:$H$65,'Outages (event ledger)'!$A$2:$A$65,AY$2,'Outages (event ledger)'!$E$2:$E$65,"&lt;="&amp;$B31,'Outages (event ledger)'!$G$2:$G$65,"&gt;="&amp;$B31)</f>
        <v>0</v>
      </c>
      <c r="AZ31" s="26" t="n">
        <f aca="false">SUMIFS('Outages (event ledger)'!$H$2:$H$65,'Outages (event ledger)'!$A$2:$A$65,AZ$2,'Outages (event ledger)'!$E$2:$E$65,"&lt;="&amp;$B31,'Outages (event ledger)'!$G$2:$G$65,"&gt;="&amp;$B31)</f>
        <v>0</v>
      </c>
      <c r="BA31" s="26" t="n">
        <f aca="false">SUMIFS('Outages (event ledger)'!$H$2:$H$65,'Outages (event ledger)'!$A$2:$A$65,BA$2,'Outages (event ledger)'!$E$2:$E$65,"&lt;="&amp;$B31,'Outages (event ledger)'!$G$2:$G$65,"&gt;="&amp;$B31)</f>
        <v>0</v>
      </c>
      <c r="BB31" s="26" t="n">
        <f aca="false">SUMIFS('Outages (event ledger)'!$H$2:$H$65,'Outages (event ledger)'!$A$2:$A$65,BB$2,'Outages (event ledger)'!$E$2:$E$65,"&lt;="&amp;$B31,'Outages (event ledger)'!$G$2:$G$65,"&gt;="&amp;$B31)</f>
        <v>0</v>
      </c>
      <c r="BC31" s="26" t="n">
        <f aca="false">SUMIFS('Outages (event ledger)'!$H$2:$H$65,'Outages (event ledger)'!$A$2:$A$65,BC$2,'Outages (event ledger)'!$E$2:$E$65,"&lt;="&amp;$B31,'Outages (event ledger)'!$G$2:$G$65,"&gt;="&amp;$B31)</f>
        <v>0</v>
      </c>
      <c r="BD31" s="26" t="n">
        <f aca="false">SUMIFS('Outages (event ledger)'!$H$2:$H$65,'Outages (event ledger)'!$A$2:$A$65,BD$2,'Outages (event ledger)'!$E$2:$E$65,"&lt;="&amp;$B31,'Outages (event ledger)'!$G$2:$G$65,"&gt;="&amp;$B31)</f>
        <v>0</v>
      </c>
      <c r="BE31" s="26" t="n">
        <f aca="false">SUMIFS('Outages (event ledger)'!$H$2:$H$65,'Outages (event ledger)'!$A$2:$A$65,BE$2,'Outages (event ledger)'!$E$2:$E$65,"&lt;="&amp;$B31,'Outages (event ledger)'!$G$2:$G$65,"&gt;="&amp;$B31)</f>
        <v>0</v>
      </c>
      <c r="BF31" s="26" t="n">
        <f aca="false">SUMIFS('Outages (event ledger)'!$H$2:$H$65,'Outages (event ledger)'!$A$2:$A$65,BF$2,'Outages (event ledger)'!$E$2:$E$65,"&lt;="&amp;$B31,'Outages (event ledger)'!$G$2:$G$65,"&gt;="&amp;$B31)</f>
        <v>0</v>
      </c>
      <c r="BG31" s="26" t="n">
        <f aca="false">SUMIFS('Outages (event ledger)'!$H$2:$H$65,'Outages (event ledger)'!$A$2:$A$65,BG$2,'Outages (event ledger)'!$E$2:$E$65,"&lt;="&amp;$B31,'Outages (event ledger)'!$G$2:$G$65,"&gt;="&amp;$B31)</f>
        <v>0</v>
      </c>
      <c r="BH31" s="26" t="n">
        <f aca="false">SUMIFS('Outages (event ledger)'!$H$2:$H$65,'Outages (event ledger)'!$A$2:$A$65,BH$2,'Outages (event ledger)'!$E$2:$E$65,"&lt;="&amp;$B31,'Outages (event ledger)'!$G$2:$G$65,"&gt;="&amp;$B31)</f>
        <v>0</v>
      </c>
      <c r="BI31" s="26" t="n">
        <f aca="false">SUMIFS('Outages (event ledger)'!$H$2:$H$65,'Outages (event ledger)'!$A$2:$A$65,BI$2,'Outages (event ledger)'!$E$2:$E$65,"&lt;="&amp;$B31,'Outages (event ledger)'!$G$2:$G$65,"&gt;="&amp;$B31)</f>
        <v>0</v>
      </c>
    </row>
    <row r="32" customFormat="false" ht="15" hidden="false" customHeight="false" outlineLevel="0" collapsed="false">
      <c r="A32" s="23" t="n">
        <v>41061</v>
      </c>
      <c r="B32" s="24" t="n">
        <v>201206</v>
      </c>
      <c r="C32" s="25" t="n">
        <f aca="false">SUM(D32:BI32)</f>
        <v>8</v>
      </c>
      <c r="D32" s="26" t="n">
        <f aca="false">SUMIFS('Outages (event ledger)'!$H$2:$H$65,'Outages (event ledger)'!$A$2:$A$65,D$2,'Outages (event ledger)'!$E$2:$E$65,"&lt;="&amp;$B32,'Outages (event ledger)'!$G$2:$G$65,"&gt;="&amp;$B32)</f>
        <v>0</v>
      </c>
      <c r="E32" s="26" t="n">
        <f aca="false">SUMIFS('Outages (event ledger)'!$H$2:$H$65,'Outages (event ledger)'!$A$2:$A$65,E$2,'Outages (event ledger)'!$E$2:$E$65,"&lt;="&amp;$B32,'Outages (event ledger)'!$G$2:$G$65,"&gt;="&amp;$B32)</f>
        <v>0</v>
      </c>
      <c r="F32" s="26" t="n">
        <f aca="false">SUMIFS('Outages (event ledger)'!$H$2:$H$65,'Outages (event ledger)'!$A$2:$A$65,F$2,'Outages (event ledger)'!$E$2:$E$65,"&lt;="&amp;$B32,'Outages (event ledger)'!$G$2:$G$65,"&gt;="&amp;$B32)</f>
        <v>0</v>
      </c>
      <c r="G32" s="26" t="n">
        <f aca="false">SUMIFS('Outages (event ledger)'!$H$2:$H$65,'Outages (event ledger)'!$A$2:$A$65,G$2,'Outages (event ledger)'!$E$2:$E$65,"&lt;="&amp;$B32,'Outages (event ledger)'!$G$2:$G$65,"&gt;="&amp;$B32)</f>
        <v>0</v>
      </c>
      <c r="H32" s="26" t="n">
        <f aca="false">SUMIFS('Outages (event ledger)'!$H$2:$H$65,'Outages (event ledger)'!$A$2:$A$65,H$2,'Outages (event ledger)'!$E$2:$E$65,"&lt;="&amp;$B32,'Outages (event ledger)'!$G$2:$G$65,"&gt;="&amp;$B32)</f>
        <v>0</v>
      </c>
      <c r="I32" s="26" t="n">
        <f aca="false">SUMIFS('Outages (event ledger)'!$H$2:$H$65,'Outages (event ledger)'!$A$2:$A$65,I$2,'Outages (event ledger)'!$E$2:$E$65,"&lt;="&amp;$B32,'Outages (event ledger)'!$G$2:$G$65,"&gt;="&amp;$B32)</f>
        <v>0</v>
      </c>
      <c r="J32" s="26" t="n">
        <f aca="false">SUMIFS('Outages (event ledger)'!$H$2:$H$65,'Outages (event ledger)'!$A$2:$A$65,J$2,'Outages (event ledger)'!$E$2:$E$65,"&lt;="&amp;$B32,'Outages (event ledger)'!$G$2:$G$65,"&gt;="&amp;$B32)</f>
        <v>0</v>
      </c>
      <c r="K32" s="26" t="n">
        <f aca="false">SUMIFS('Outages (event ledger)'!$H$2:$H$65,'Outages (event ledger)'!$A$2:$A$65,K$2,'Outages (event ledger)'!$E$2:$E$65,"&lt;="&amp;$B32,'Outages (event ledger)'!$G$2:$G$65,"&gt;="&amp;$B32)</f>
        <v>0</v>
      </c>
      <c r="L32" s="26" t="n">
        <f aca="false">SUMIFS('Outages (event ledger)'!$H$2:$H$65,'Outages (event ledger)'!$A$2:$A$65,L$2,'Outages (event ledger)'!$E$2:$E$65,"&lt;="&amp;$B32,'Outages (event ledger)'!$G$2:$G$65,"&gt;="&amp;$B32)</f>
        <v>0</v>
      </c>
      <c r="M32" s="26" t="n">
        <f aca="false">SUMIFS('Outages (event ledger)'!$H$2:$H$65,'Outages (event ledger)'!$A$2:$A$65,M$2,'Outages (event ledger)'!$E$2:$E$65,"&lt;="&amp;$B32,'Outages (event ledger)'!$G$2:$G$65,"&gt;="&amp;$B32)</f>
        <v>0</v>
      </c>
      <c r="N32" s="26" t="n">
        <f aca="false">SUMIFS('Outages (event ledger)'!$H$2:$H$65,'Outages (event ledger)'!$A$2:$A$65,N$2,'Outages (event ledger)'!$E$2:$E$65,"&lt;="&amp;$B32,'Outages (event ledger)'!$G$2:$G$65,"&gt;="&amp;$B32)</f>
        <v>0</v>
      </c>
      <c r="O32" s="26" t="n">
        <f aca="false">SUMIFS('Outages (event ledger)'!$H$2:$H$65,'Outages (event ledger)'!$A$2:$A$65,O$2,'Outages (event ledger)'!$E$2:$E$65,"&lt;="&amp;$B32,'Outages (event ledger)'!$G$2:$G$65,"&gt;="&amp;$B32)</f>
        <v>0</v>
      </c>
      <c r="P32" s="26" t="n">
        <f aca="false">SUMIFS('Outages (event ledger)'!$H$2:$H$65,'Outages (event ledger)'!$A$2:$A$65,P$2,'Outages (event ledger)'!$E$2:$E$65,"&lt;="&amp;$B32,'Outages (event ledger)'!$G$2:$G$65,"&gt;="&amp;$B32)</f>
        <v>0</v>
      </c>
      <c r="Q32" s="26" t="n">
        <f aca="false">SUMIFS('Outages (event ledger)'!$H$2:$H$65,'Outages (event ledger)'!$A$2:$A$65,Q$2,'Outages (event ledger)'!$E$2:$E$65,"&lt;="&amp;$B32,'Outages (event ledger)'!$G$2:$G$65,"&gt;="&amp;$B32)</f>
        <v>0</v>
      </c>
      <c r="R32" s="26" t="n">
        <f aca="false">SUMIFS('Outages (event ledger)'!$H$2:$H$65,'Outages (event ledger)'!$A$2:$A$65,R$2,'Outages (event ledger)'!$E$2:$E$65,"&lt;="&amp;$B32,'Outages (event ledger)'!$G$2:$G$65,"&gt;="&amp;$B32)</f>
        <v>0</v>
      </c>
      <c r="S32" s="26" t="n">
        <f aca="false">SUMIFS('Outages (event ledger)'!$H$2:$H$65,'Outages (event ledger)'!$A$2:$A$65,S$2,'Outages (event ledger)'!$E$2:$E$65,"&lt;="&amp;$B32,'Outages (event ledger)'!$G$2:$G$65,"&gt;="&amp;$B32)</f>
        <v>0</v>
      </c>
      <c r="T32" s="26" t="n">
        <f aca="false">SUMIFS('Outages (event ledger)'!$H$2:$H$65,'Outages (event ledger)'!$A$2:$A$65,T$2,'Outages (event ledger)'!$E$2:$E$65,"&lt;="&amp;$B32,'Outages (event ledger)'!$G$2:$G$65,"&gt;="&amp;$B32)</f>
        <v>0</v>
      </c>
      <c r="U32" s="26" t="n">
        <f aca="false">SUMIFS('Outages (event ledger)'!$H$2:$H$65,'Outages (event ledger)'!$A$2:$A$65,U$2,'Outages (event ledger)'!$E$2:$E$65,"&lt;="&amp;$B32,'Outages (event ledger)'!$G$2:$G$65,"&gt;="&amp;$B32)</f>
        <v>0</v>
      </c>
      <c r="V32" s="26" t="n">
        <f aca="false">SUMIFS('Outages (event ledger)'!$H$2:$H$65,'Outages (event ledger)'!$A$2:$A$65,V$2,'Outages (event ledger)'!$E$2:$E$65,"&lt;="&amp;$B32,'Outages (event ledger)'!$G$2:$G$65,"&gt;="&amp;$B32)</f>
        <v>0</v>
      </c>
      <c r="W32" s="26" t="n">
        <f aca="false">SUMIFS('Outages (event ledger)'!$H$2:$H$65,'Outages (event ledger)'!$A$2:$A$65,W$2,'Outages (event ledger)'!$E$2:$E$65,"&lt;="&amp;$B32,'Outages (event ledger)'!$G$2:$G$65,"&gt;="&amp;$B32)</f>
        <v>0</v>
      </c>
      <c r="X32" s="26" t="n">
        <f aca="false">SUMIFS('Outages (event ledger)'!$H$2:$H$65,'Outages (event ledger)'!$A$2:$A$65,X$2,'Outages (event ledger)'!$E$2:$E$65,"&lt;="&amp;$B32,'Outages (event ledger)'!$G$2:$G$65,"&gt;="&amp;$B32)</f>
        <v>0</v>
      </c>
      <c r="Y32" s="26" t="n">
        <f aca="false">SUMIFS('Outages (event ledger)'!$H$2:$H$65,'Outages (event ledger)'!$A$2:$A$65,Y$2,'Outages (event ledger)'!$E$2:$E$65,"&lt;="&amp;$B32,'Outages (event ledger)'!$G$2:$G$65,"&gt;="&amp;$B32)</f>
        <v>0</v>
      </c>
      <c r="Z32" s="26" t="n">
        <f aca="false">SUMIFS('Outages (event ledger)'!$H$2:$H$65,'Outages (event ledger)'!$A$2:$A$65,Z$2,'Outages (event ledger)'!$E$2:$E$65,"&lt;="&amp;$B32,'Outages (event ledger)'!$G$2:$G$65,"&gt;="&amp;$B32)</f>
        <v>0</v>
      </c>
      <c r="AA32" s="26" t="n">
        <f aca="false">SUMIFS('Outages (event ledger)'!$H$2:$H$65,'Outages (event ledger)'!$A$2:$A$65,AA$2,'Outages (event ledger)'!$E$2:$E$65,"&lt;="&amp;$B32,'Outages (event ledger)'!$G$2:$G$65,"&gt;="&amp;$B32)</f>
        <v>0</v>
      </c>
      <c r="AB32" s="26" t="n">
        <f aca="false">SUMIFS('Outages (event ledger)'!$H$2:$H$65,'Outages (event ledger)'!$A$2:$A$65,AB$2,'Outages (event ledger)'!$E$2:$E$65,"&lt;="&amp;$B32,'Outages (event ledger)'!$G$2:$G$65,"&gt;="&amp;$B32)</f>
        <v>8</v>
      </c>
      <c r="AC32" s="26" t="n">
        <f aca="false">SUMIFS('Outages (event ledger)'!$H$2:$H$65,'Outages (event ledger)'!$A$2:$A$65,AC$2,'Outages (event ledger)'!$E$2:$E$65,"&lt;="&amp;$B32,'Outages (event ledger)'!$G$2:$G$65,"&gt;="&amp;$B32)</f>
        <v>0</v>
      </c>
      <c r="AD32" s="26" t="n">
        <f aca="false">SUMIFS('Outages (event ledger)'!$H$2:$H$65,'Outages (event ledger)'!$A$2:$A$65,AD$2,'Outages (event ledger)'!$E$2:$E$65,"&lt;="&amp;$B32,'Outages (event ledger)'!$G$2:$G$65,"&gt;="&amp;$B32)</f>
        <v>0</v>
      </c>
      <c r="AE32" s="26" t="n">
        <f aca="false">SUMIFS('Outages (event ledger)'!$H$2:$H$65,'Outages (event ledger)'!$A$2:$A$65,AE$2,'Outages (event ledger)'!$E$2:$E$65,"&lt;="&amp;$B32,'Outages (event ledger)'!$G$2:$G$65,"&gt;="&amp;$B32)</f>
        <v>0</v>
      </c>
      <c r="AF32" s="26" t="n">
        <f aca="false">SUMIFS('Outages (event ledger)'!$H$2:$H$65,'Outages (event ledger)'!$A$2:$A$65,AF$2,'Outages (event ledger)'!$E$2:$E$65,"&lt;="&amp;$B32,'Outages (event ledger)'!$G$2:$G$65,"&gt;="&amp;$B32)</f>
        <v>0</v>
      </c>
      <c r="AG32" s="26" t="n">
        <f aca="false">SUMIFS('Outages (event ledger)'!$H$2:$H$65,'Outages (event ledger)'!$A$2:$A$65,AG$2,'Outages (event ledger)'!$E$2:$E$65,"&lt;="&amp;$B32,'Outages (event ledger)'!$G$2:$G$65,"&gt;="&amp;$B32)</f>
        <v>0</v>
      </c>
      <c r="AH32" s="26" t="n">
        <f aca="false">SUMIFS('Outages (event ledger)'!$H$2:$H$65,'Outages (event ledger)'!$A$2:$A$65,AH$2,'Outages (event ledger)'!$E$2:$E$65,"&lt;="&amp;$B32,'Outages (event ledger)'!$G$2:$G$65,"&gt;="&amp;$B32)</f>
        <v>0</v>
      </c>
      <c r="AI32" s="26" t="n">
        <f aca="false">SUMIFS('Outages (event ledger)'!$H$2:$H$65,'Outages (event ledger)'!$A$2:$A$65,AI$2,'Outages (event ledger)'!$E$2:$E$65,"&lt;="&amp;$B32,'Outages (event ledger)'!$G$2:$G$65,"&gt;="&amp;$B32)</f>
        <v>0</v>
      </c>
      <c r="AJ32" s="26" t="n">
        <f aca="false">SUMIFS('Outages (event ledger)'!$H$2:$H$65,'Outages (event ledger)'!$A$2:$A$65,AJ$2,'Outages (event ledger)'!$E$2:$E$65,"&lt;="&amp;$B32,'Outages (event ledger)'!$G$2:$G$65,"&gt;="&amp;$B32)</f>
        <v>0</v>
      </c>
      <c r="AK32" s="26" t="n">
        <f aca="false">SUMIFS('Outages (event ledger)'!$H$2:$H$65,'Outages (event ledger)'!$A$2:$A$65,AK$2,'Outages (event ledger)'!$E$2:$E$65,"&lt;="&amp;$B32,'Outages (event ledger)'!$G$2:$G$65,"&gt;="&amp;$B32)</f>
        <v>0</v>
      </c>
      <c r="AL32" s="26" t="n">
        <f aca="false">SUMIFS('Outages (event ledger)'!$H$2:$H$65,'Outages (event ledger)'!$A$2:$A$65,AL$2,'Outages (event ledger)'!$E$2:$E$65,"&lt;="&amp;$B32,'Outages (event ledger)'!$G$2:$G$65,"&gt;="&amp;$B32)</f>
        <v>0</v>
      </c>
      <c r="AM32" s="26" t="n">
        <f aca="false">SUMIFS('Outages (event ledger)'!$H$2:$H$65,'Outages (event ledger)'!$A$2:$A$65,AM$2,'Outages (event ledger)'!$E$2:$E$65,"&lt;="&amp;$B32,'Outages (event ledger)'!$G$2:$G$65,"&gt;="&amp;$B32)</f>
        <v>0</v>
      </c>
      <c r="AN32" s="26" t="n">
        <f aca="false">SUMIFS('Outages (event ledger)'!$H$2:$H$65,'Outages (event ledger)'!$A$2:$A$65,AN$2,'Outages (event ledger)'!$E$2:$E$65,"&lt;="&amp;$B32,'Outages (event ledger)'!$G$2:$G$65,"&gt;="&amp;$B32)</f>
        <v>0</v>
      </c>
      <c r="AO32" s="26" t="n">
        <f aca="false">SUMIFS('Outages (event ledger)'!$H$2:$H$65,'Outages (event ledger)'!$A$2:$A$65,AO$2,'Outages (event ledger)'!$E$2:$E$65,"&lt;="&amp;$B32,'Outages (event ledger)'!$G$2:$G$65,"&gt;="&amp;$B32)</f>
        <v>0</v>
      </c>
      <c r="AP32" s="26" t="n">
        <f aca="false">SUMIFS('Outages (event ledger)'!$H$2:$H$65,'Outages (event ledger)'!$A$2:$A$65,AP$2,'Outages (event ledger)'!$E$2:$E$65,"&lt;="&amp;$B32,'Outages (event ledger)'!$G$2:$G$65,"&gt;="&amp;$B32)</f>
        <v>0</v>
      </c>
      <c r="AQ32" s="26" t="n">
        <f aca="false">SUMIFS('Outages (event ledger)'!$H$2:$H$65,'Outages (event ledger)'!$A$2:$A$65,AQ$2,'Outages (event ledger)'!$E$2:$E$65,"&lt;="&amp;$B32,'Outages (event ledger)'!$G$2:$G$65,"&gt;="&amp;$B32)</f>
        <v>0</v>
      </c>
      <c r="AR32" s="26" t="n">
        <f aca="false">SUMIFS('Outages (event ledger)'!$H$2:$H$65,'Outages (event ledger)'!$A$2:$A$65,AR$2,'Outages (event ledger)'!$E$2:$E$65,"&lt;="&amp;$B32,'Outages (event ledger)'!$G$2:$G$65,"&gt;="&amp;$B32)</f>
        <v>0</v>
      </c>
      <c r="AS32" s="26" t="n">
        <f aca="false">SUMIFS('Outages (event ledger)'!$H$2:$H$65,'Outages (event ledger)'!$A$2:$A$65,AS$2,'Outages (event ledger)'!$E$2:$E$65,"&lt;="&amp;$B32,'Outages (event ledger)'!$G$2:$G$65,"&gt;="&amp;$B32)</f>
        <v>0</v>
      </c>
      <c r="AT32" s="26" t="n">
        <f aca="false">SUMIFS('Outages (event ledger)'!$H$2:$H$65,'Outages (event ledger)'!$A$2:$A$65,AT$2,'Outages (event ledger)'!$E$2:$E$65,"&lt;="&amp;$B32,'Outages (event ledger)'!$G$2:$G$65,"&gt;="&amp;$B32)</f>
        <v>0</v>
      </c>
      <c r="AU32" s="26" t="n">
        <f aca="false">SUMIFS('Outages (event ledger)'!$H$2:$H$65,'Outages (event ledger)'!$A$2:$A$65,AU$2,'Outages (event ledger)'!$E$2:$E$65,"&lt;="&amp;$B32,'Outages (event ledger)'!$G$2:$G$65,"&gt;="&amp;$B32)</f>
        <v>0</v>
      </c>
      <c r="AV32" s="26" t="n">
        <f aca="false">SUMIFS('Outages (event ledger)'!$H$2:$H$65,'Outages (event ledger)'!$A$2:$A$65,AV$2,'Outages (event ledger)'!$E$2:$E$65,"&lt;="&amp;$B32,'Outages (event ledger)'!$G$2:$G$65,"&gt;="&amp;$B32)</f>
        <v>0</v>
      </c>
      <c r="AW32" s="26" t="n">
        <f aca="false">SUMIFS('Outages (event ledger)'!$H$2:$H$65,'Outages (event ledger)'!$A$2:$A$65,AW$2,'Outages (event ledger)'!$E$2:$E$65,"&lt;="&amp;$B32,'Outages (event ledger)'!$G$2:$G$65,"&gt;="&amp;$B32)</f>
        <v>0</v>
      </c>
      <c r="AX32" s="26" t="n">
        <f aca="false">SUMIFS('Outages (event ledger)'!$H$2:$H$65,'Outages (event ledger)'!$A$2:$A$65,AX$2,'Outages (event ledger)'!$E$2:$E$65,"&lt;="&amp;$B32,'Outages (event ledger)'!$G$2:$G$65,"&gt;="&amp;$B32)</f>
        <v>0</v>
      </c>
      <c r="AY32" s="26" t="n">
        <f aca="false">SUMIFS('Outages (event ledger)'!$H$2:$H$65,'Outages (event ledger)'!$A$2:$A$65,AY$2,'Outages (event ledger)'!$E$2:$E$65,"&lt;="&amp;$B32,'Outages (event ledger)'!$G$2:$G$65,"&gt;="&amp;$B32)</f>
        <v>0</v>
      </c>
      <c r="AZ32" s="26" t="n">
        <f aca="false">SUMIFS('Outages (event ledger)'!$H$2:$H$65,'Outages (event ledger)'!$A$2:$A$65,AZ$2,'Outages (event ledger)'!$E$2:$E$65,"&lt;="&amp;$B32,'Outages (event ledger)'!$G$2:$G$65,"&gt;="&amp;$B32)</f>
        <v>0</v>
      </c>
      <c r="BA32" s="26" t="n">
        <f aca="false">SUMIFS('Outages (event ledger)'!$H$2:$H$65,'Outages (event ledger)'!$A$2:$A$65,BA$2,'Outages (event ledger)'!$E$2:$E$65,"&lt;="&amp;$B32,'Outages (event ledger)'!$G$2:$G$65,"&gt;="&amp;$B32)</f>
        <v>0</v>
      </c>
      <c r="BB32" s="26" t="n">
        <f aca="false">SUMIFS('Outages (event ledger)'!$H$2:$H$65,'Outages (event ledger)'!$A$2:$A$65,BB$2,'Outages (event ledger)'!$E$2:$E$65,"&lt;="&amp;$B32,'Outages (event ledger)'!$G$2:$G$65,"&gt;="&amp;$B32)</f>
        <v>0</v>
      </c>
      <c r="BC32" s="26" t="n">
        <f aca="false">SUMIFS('Outages (event ledger)'!$H$2:$H$65,'Outages (event ledger)'!$A$2:$A$65,BC$2,'Outages (event ledger)'!$E$2:$E$65,"&lt;="&amp;$B32,'Outages (event ledger)'!$G$2:$G$65,"&gt;="&amp;$B32)</f>
        <v>0</v>
      </c>
      <c r="BD32" s="26" t="n">
        <f aca="false">SUMIFS('Outages (event ledger)'!$H$2:$H$65,'Outages (event ledger)'!$A$2:$A$65,BD$2,'Outages (event ledger)'!$E$2:$E$65,"&lt;="&amp;$B32,'Outages (event ledger)'!$G$2:$G$65,"&gt;="&amp;$B32)</f>
        <v>0</v>
      </c>
      <c r="BE32" s="26" t="n">
        <f aca="false">SUMIFS('Outages (event ledger)'!$H$2:$H$65,'Outages (event ledger)'!$A$2:$A$65,BE$2,'Outages (event ledger)'!$E$2:$E$65,"&lt;="&amp;$B32,'Outages (event ledger)'!$G$2:$G$65,"&gt;="&amp;$B32)</f>
        <v>0</v>
      </c>
      <c r="BF32" s="26" t="n">
        <f aca="false">SUMIFS('Outages (event ledger)'!$H$2:$H$65,'Outages (event ledger)'!$A$2:$A$65,BF$2,'Outages (event ledger)'!$E$2:$E$65,"&lt;="&amp;$B32,'Outages (event ledger)'!$G$2:$G$65,"&gt;="&amp;$B32)</f>
        <v>0</v>
      </c>
      <c r="BG32" s="26" t="n">
        <f aca="false">SUMIFS('Outages (event ledger)'!$H$2:$H$65,'Outages (event ledger)'!$A$2:$A$65,BG$2,'Outages (event ledger)'!$E$2:$E$65,"&lt;="&amp;$B32,'Outages (event ledger)'!$G$2:$G$65,"&gt;="&amp;$B32)</f>
        <v>0</v>
      </c>
      <c r="BH32" s="26" t="n">
        <f aca="false">SUMIFS('Outages (event ledger)'!$H$2:$H$65,'Outages (event ledger)'!$A$2:$A$65,BH$2,'Outages (event ledger)'!$E$2:$E$65,"&lt;="&amp;$B32,'Outages (event ledger)'!$G$2:$G$65,"&gt;="&amp;$B32)</f>
        <v>0</v>
      </c>
      <c r="BI32" s="26" t="n">
        <f aca="false">SUMIFS('Outages (event ledger)'!$H$2:$H$65,'Outages (event ledger)'!$A$2:$A$65,BI$2,'Outages (event ledger)'!$E$2:$E$65,"&lt;="&amp;$B32,'Outages (event ledger)'!$G$2:$G$65,"&gt;="&amp;$B32)</f>
        <v>0</v>
      </c>
    </row>
    <row r="33" customFormat="false" ht="15" hidden="false" customHeight="false" outlineLevel="0" collapsed="false">
      <c r="A33" s="23" t="n">
        <v>41091</v>
      </c>
      <c r="B33" s="24" t="n">
        <v>201207</v>
      </c>
      <c r="C33" s="25" t="n">
        <f aca="false">SUM(D33:BI33)</f>
        <v>8</v>
      </c>
      <c r="D33" s="26" t="n">
        <f aca="false">SUMIFS('Outages (event ledger)'!$H$2:$H$65,'Outages (event ledger)'!$A$2:$A$65,D$2,'Outages (event ledger)'!$E$2:$E$65,"&lt;="&amp;$B33,'Outages (event ledger)'!$G$2:$G$65,"&gt;="&amp;$B33)</f>
        <v>0</v>
      </c>
      <c r="E33" s="26" t="n">
        <f aca="false">SUMIFS('Outages (event ledger)'!$H$2:$H$65,'Outages (event ledger)'!$A$2:$A$65,E$2,'Outages (event ledger)'!$E$2:$E$65,"&lt;="&amp;$B33,'Outages (event ledger)'!$G$2:$G$65,"&gt;="&amp;$B33)</f>
        <v>0</v>
      </c>
      <c r="F33" s="26" t="n">
        <f aca="false">SUMIFS('Outages (event ledger)'!$H$2:$H$65,'Outages (event ledger)'!$A$2:$A$65,F$2,'Outages (event ledger)'!$E$2:$E$65,"&lt;="&amp;$B33,'Outages (event ledger)'!$G$2:$G$65,"&gt;="&amp;$B33)</f>
        <v>0</v>
      </c>
      <c r="G33" s="26" t="n">
        <f aca="false">SUMIFS('Outages (event ledger)'!$H$2:$H$65,'Outages (event ledger)'!$A$2:$A$65,G$2,'Outages (event ledger)'!$E$2:$E$65,"&lt;="&amp;$B33,'Outages (event ledger)'!$G$2:$G$65,"&gt;="&amp;$B33)</f>
        <v>0</v>
      </c>
      <c r="H33" s="26" t="n">
        <f aca="false">SUMIFS('Outages (event ledger)'!$H$2:$H$65,'Outages (event ledger)'!$A$2:$A$65,H$2,'Outages (event ledger)'!$E$2:$E$65,"&lt;="&amp;$B33,'Outages (event ledger)'!$G$2:$G$65,"&gt;="&amp;$B33)</f>
        <v>0</v>
      </c>
      <c r="I33" s="26" t="n">
        <f aca="false">SUMIFS('Outages (event ledger)'!$H$2:$H$65,'Outages (event ledger)'!$A$2:$A$65,I$2,'Outages (event ledger)'!$E$2:$E$65,"&lt;="&amp;$B33,'Outages (event ledger)'!$G$2:$G$65,"&gt;="&amp;$B33)</f>
        <v>0</v>
      </c>
      <c r="J33" s="26" t="n">
        <f aca="false">SUMIFS('Outages (event ledger)'!$H$2:$H$65,'Outages (event ledger)'!$A$2:$A$65,J$2,'Outages (event ledger)'!$E$2:$E$65,"&lt;="&amp;$B33,'Outages (event ledger)'!$G$2:$G$65,"&gt;="&amp;$B33)</f>
        <v>0</v>
      </c>
      <c r="K33" s="26" t="n">
        <f aca="false">SUMIFS('Outages (event ledger)'!$H$2:$H$65,'Outages (event ledger)'!$A$2:$A$65,K$2,'Outages (event ledger)'!$E$2:$E$65,"&lt;="&amp;$B33,'Outages (event ledger)'!$G$2:$G$65,"&gt;="&amp;$B33)</f>
        <v>0</v>
      </c>
      <c r="L33" s="26" t="n">
        <f aca="false">SUMIFS('Outages (event ledger)'!$H$2:$H$65,'Outages (event ledger)'!$A$2:$A$65,L$2,'Outages (event ledger)'!$E$2:$E$65,"&lt;="&amp;$B33,'Outages (event ledger)'!$G$2:$G$65,"&gt;="&amp;$B33)</f>
        <v>0</v>
      </c>
      <c r="M33" s="26" t="n">
        <f aca="false">SUMIFS('Outages (event ledger)'!$H$2:$H$65,'Outages (event ledger)'!$A$2:$A$65,M$2,'Outages (event ledger)'!$E$2:$E$65,"&lt;="&amp;$B33,'Outages (event ledger)'!$G$2:$G$65,"&gt;="&amp;$B33)</f>
        <v>0</v>
      </c>
      <c r="N33" s="26" t="n">
        <f aca="false">SUMIFS('Outages (event ledger)'!$H$2:$H$65,'Outages (event ledger)'!$A$2:$A$65,N$2,'Outages (event ledger)'!$E$2:$E$65,"&lt;="&amp;$B33,'Outages (event ledger)'!$G$2:$G$65,"&gt;="&amp;$B33)</f>
        <v>0</v>
      </c>
      <c r="O33" s="26" t="n">
        <f aca="false">SUMIFS('Outages (event ledger)'!$H$2:$H$65,'Outages (event ledger)'!$A$2:$A$65,O$2,'Outages (event ledger)'!$E$2:$E$65,"&lt;="&amp;$B33,'Outages (event ledger)'!$G$2:$G$65,"&gt;="&amp;$B33)</f>
        <v>0</v>
      </c>
      <c r="P33" s="26" t="n">
        <f aca="false">SUMIFS('Outages (event ledger)'!$H$2:$H$65,'Outages (event ledger)'!$A$2:$A$65,P$2,'Outages (event ledger)'!$E$2:$E$65,"&lt;="&amp;$B33,'Outages (event ledger)'!$G$2:$G$65,"&gt;="&amp;$B33)</f>
        <v>0</v>
      </c>
      <c r="Q33" s="26" t="n">
        <f aca="false">SUMIFS('Outages (event ledger)'!$H$2:$H$65,'Outages (event ledger)'!$A$2:$A$65,Q$2,'Outages (event ledger)'!$E$2:$E$65,"&lt;="&amp;$B33,'Outages (event ledger)'!$G$2:$G$65,"&gt;="&amp;$B33)</f>
        <v>0</v>
      </c>
      <c r="R33" s="26" t="n">
        <f aca="false">SUMIFS('Outages (event ledger)'!$H$2:$H$65,'Outages (event ledger)'!$A$2:$A$65,R$2,'Outages (event ledger)'!$E$2:$E$65,"&lt;="&amp;$B33,'Outages (event ledger)'!$G$2:$G$65,"&gt;="&amp;$B33)</f>
        <v>0</v>
      </c>
      <c r="S33" s="26" t="n">
        <f aca="false">SUMIFS('Outages (event ledger)'!$H$2:$H$65,'Outages (event ledger)'!$A$2:$A$65,S$2,'Outages (event ledger)'!$E$2:$E$65,"&lt;="&amp;$B33,'Outages (event ledger)'!$G$2:$G$65,"&gt;="&amp;$B33)</f>
        <v>0</v>
      </c>
      <c r="T33" s="26" t="n">
        <f aca="false">SUMIFS('Outages (event ledger)'!$H$2:$H$65,'Outages (event ledger)'!$A$2:$A$65,T$2,'Outages (event ledger)'!$E$2:$E$65,"&lt;="&amp;$B33,'Outages (event ledger)'!$G$2:$G$65,"&gt;="&amp;$B33)</f>
        <v>0</v>
      </c>
      <c r="U33" s="26" t="n">
        <f aca="false">SUMIFS('Outages (event ledger)'!$H$2:$H$65,'Outages (event ledger)'!$A$2:$A$65,U$2,'Outages (event ledger)'!$E$2:$E$65,"&lt;="&amp;$B33,'Outages (event ledger)'!$G$2:$G$65,"&gt;="&amp;$B33)</f>
        <v>0</v>
      </c>
      <c r="V33" s="26" t="n">
        <f aca="false">SUMIFS('Outages (event ledger)'!$H$2:$H$65,'Outages (event ledger)'!$A$2:$A$65,V$2,'Outages (event ledger)'!$E$2:$E$65,"&lt;="&amp;$B33,'Outages (event ledger)'!$G$2:$G$65,"&gt;="&amp;$B33)</f>
        <v>0</v>
      </c>
      <c r="W33" s="26" t="n">
        <f aca="false">SUMIFS('Outages (event ledger)'!$H$2:$H$65,'Outages (event ledger)'!$A$2:$A$65,W$2,'Outages (event ledger)'!$E$2:$E$65,"&lt;="&amp;$B33,'Outages (event ledger)'!$G$2:$G$65,"&gt;="&amp;$B33)</f>
        <v>0</v>
      </c>
      <c r="X33" s="26" t="n">
        <f aca="false">SUMIFS('Outages (event ledger)'!$H$2:$H$65,'Outages (event ledger)'!$A$2:$A$65,X$2,'Outages (event ledger)'!$E$2:$E$65,"&lt;="&amp;$B33,'Outages (event ledger)'!$G$2:$G$65,"&gt;="&amp;$B33)</f>
        <v>0</v>
      </c>
      <c r="Y33" s="26" t="n">
        <f aca="false">SUMIFS('Outages (event ledger)'!$H$2:$H$65,'Outages (event ledger)'!$A$2:$A$65,Y$2,'Outages (event ledger)'!$E$2:$E$65,"&lt;="&amp;$B33,'Outages (event ledger)'!$G$2:$G$65,"&gt;="&amp;$B33)</f>
        <v>0</v>
      </c>
      <c r="Z33" s="26" t="n">
        <f aca="false">SUMIFS('Outages (event ledger)'!$H$2:$H$65,'Outages (event ledger)'!$A$2:$A$65,Z$2,'Outages (event ledger)'!$E$2:$E$65,"&lt;="&amp;$B33,'Outages (event ledger)'!$G$2:$G$65,"&gt;="&amp;$B33)</f>
        <v>0</v>
      </c>
      <c r="AA33" s="26" t="n">
        <f aca="false">SUMIFS('Outages (event ledger)'!$H$2:$H$65,'Outages (event ledger)'!$A$2:$A$65,AA$2,'Outages (event ledger)'!$E$2:$E$65,"&lt;="&amp;$B33,'Outages (event ledger)'!$G$2:$G$65,"&gt;="&amp;$B33)</f>
        <v>0</v>
      </c>
      <c r="AB33" s="26" t="n">
        <f aca="false">SUMIFS('Outages (event ledger)'!$H$2:$H$65,'Outages (event ledger)'!$A$2:$A$65,AB$2,'Outages (event ledger)'!$E$2:$E$65,"&lt;="&amp;$B33,'Outages (event ledger)'!$G$2:$G$65,"&gt;="&amp;$B33)</f>
        <v>8</v>
      </c>
      <c r="AC33" s="26" t="n">
        <f aca="false">SUMIFS('Outages (event ledger)'!$H$2:$H$65,'Outages (event ledger)'!$A$2:$A$65,AC$2,'Outages (event ledger)'!$E$2:$E$65,"&lt;="&amp;$B33,'Outages (event ledger)'!$G$2:$G$65,"&gt;="&amp;$B33)</f>
        <v>0</v>
      </c>
      <c r="AD33" s="26" t="n">
        <f aca="false">SUMIFS('Outages (event ledger)'!$H$2:$H$65,'Outages (event ledger)'!$A$2:$A$65,AD$2,'Outages (event ledger)'!$E$2:$E$65,"&lt;="&amp;$B33,'Outages (event ledger)'!$G$2:$G$65,"&gt;="&amp;$B33)</f>
        <v>0</v>
      </c>
      <c r="AE33" s="26" t="n">
        <f aca="false">SUMIFS('Outages (event ledger)'!$H$2:$H$65,'Outages (event ledger)'!$A$2:$A$65,AE$2,'Outages (event ledger)'!$E$2:$E$65,"&lt;="&amp;$B33,'Outages (event ledger)'!$G$2:$G$65,"&gt;="&amp;$B33)</f>
        <v>0</v>
      </c>
      <c r="AF33" s="26" t="n">
        <f aca="false">SUMIFS('Outages (event ledger)'!$H$2:$H$65,'Outages (event ledger)'!$A$2:$A$65,AF$2,'Outages (event ledger)'!$E$2:$E$65,"&lt;="&amp;$B33,'Outages (event ledger)'!$G$2:$G$65,"&gt;="&amp;$B33)</f>
        <v>0</v>
      </c>
      <c r="AG33" s="26" t="n">
        <f aca="false">SUMIFS('Outages (event ledger)'!$H$2:$H$65,'Outages (event ledger)'!$A$2:$A$65,AG$2,'Outages (event ledger)'!$E$2:$E$65,"&lt;="&amp;$B33,'Outages (event ledger)'!$G$2:$G$65,"&gt;="&amp;$B33)</f>
        <v>0</v>
      </c>
      <c r="AH33" s="26" t="n">
        <f aca="false">SUMIFS('Outages (event ledger)'!$H$2:$H$65,'Outages (event ledger)'!$A$2:$A$65,AH$2,'Outages (event ledger)'!$E$2:$E$65,"&lt;="&amp;$B33,'Outages (event ledger)'!$G$2:$G$65,"&gt;="&amp;$B33)</f>
        <v>0</v>
      </c>
      <c r="AI33" s="26" t="n">
        <f aca="false">SUMIFS('Outages (event ledger)'!$H$2:$H$65,'Outages (event ledger)'!$A$2:$A$65,AI$2,'Outages (event ledger)'!$E$2:$E$65,"&lt;="&amp;$B33,'Outages (event ledger)'!$G$2:$G$65,"&gt;="&amp;$B33)</f>
        <v>0</v>
      </c>
      <c r="AJ33" s="26" t="n">
        <f aca="false">SUMIFS('Outages (event ledger)'!$H$2:$H$65,'Outages (event ledger)'!$A$2:$A$65,AJ$2,'Outages (event ledger)'!$E$2:$E$65,"&lt;="&amp;$B33,'Outages (event ledger)'!$G$2:$G$65,"&gt;="&amp;$B33)</f>
        <v>0</v>
      </c>
      <c r="AK33" s="26" t="n">
        <f aca="false">SUMIFS('Outages (event ledger)'!$H$2:$H$65,'Outages (event ledger)'!$A$2:$A$65,AK$2,'Outages (event ledger)'!$E$2:$E$65,"&lt;="&amp;$B33,'Outages (event ledger)'!$G$2:$G$65,"&gt;="&amp;$B33)</f>
        <v>0</v>
      </c>
      <c r="AL33" s="26" t="n">
        <f aca="false">SUMIFS('Outages (event ledger)'!$H$2:$H$65,'Outages (event ledger)'!$A$2:$A$65,AL$2,'Outages (event ledger)'!$E$2:$E$65,"&lt;="&amp;$B33,'Outages (event ledger)'!$G$2:$G$65,"&gt;="&amp;$B33)</f>
        <v>0</v>
      </c>
      <c r="AM33" s="26" t="n">
        <f aca="false">SUMIFS('Outages (event ledger)'!$H$2:$H$65,'Outages (event ledger)'!$A$2:$A$65,AM$2,'Outages (event ledger)'!$E$2:$E$65,"&lt;="&amp;$B33,'Outages (event ledger)'!$G$2:$G$65,"&gt;="&amp;$B33)</f>
        <v>0</v>
      </c>
      <c r="AN33" s="26" t="n">
        <f aca="false">SUMIFS('Outages (event ledger)'!$H$2:$H$65,'Outages (event ledger)'!$A$2:$A$65,AN$2,'Outages (event ledger)'!$E$2:$E$65,"&lt;="&amp;$B33,'Outages (event ledger)'!$G$2:$G$65,"&gt;="&amp;$B33)</f>
        <v>0</v>
      </c>
      <c r="AO33" s="26" t="n">
        <f aca="false">SUMIFS('Outages (event ledger)'!$H$2:$H$65,'Outages (event ledger)'!$A$2:$A$65,AO$2,'Outages (event ledger)'!$E$2:$E$65,"&lt;="&amp;$B33,'Outages (event ledger)'!$G$2:$G$65,"&gt;="&amp;$B33)</f>
        <v>0</v>
      </c>
      <c r="AP33" s="26" t="n">
        <f aca="false">SUMIFS('Outages (event ledger)'!$H$2:$H$65,'Outages (event ledger)'!$A$2:$A$65,AP$2,'Outages (event ledger)'!$E$2:$E$65,"&lt;="&amp;$B33,'Outages (event ledger)'!$G$2:$G$65,"&gt;="&amp;$B33)</f>
        <v>0</v>
      </c>
      <c r="AQ33" s="26" t="n">
        <f aca="false">SUMIFS('Outages (event ledger)'!$H$2:$H$65,'Outages (event ledger)'!$A$2:$A$65,AQ$2,'Outages (event ledger)'!$E$2:$E$65,"&lt;="&amp;$B33,'Outages (event ledger)'!$G$2:$G$65,"&gt;="&amp;$B33)</f>
        <v>0</v>
      </c>
      <c r="AR33" s="26" t="n">
        <f aca="false">SUMIFS('Outages (event ledger)'!$H$2:$H$65,'Outages (event ledger)'!$A$2:$A$65,AR$2,'Outages (event ledger)'!$E$2:$E$65,"&lt;="&amp;$B33,'Outages (event ledger)'!$G$2:$G$65,"&gt;="&amp;$B33)</f>
        <v>0</v>
      </c>
      <c r="AS33" s="26" t="n">
        <f aca="false">SUMIFS('Outages (event ledger)'!$H$2:$H$65,'Outages (event ledger)'!$A$2:$A$65,AS$2,'Outages (event ledger)'!$E$2:$E$65,"&lt;="&amp;$B33,'Outages (event ledger)'!$G$2:$G$65,"&gt;="&amp;$B33)</f>
        <v>0</v>
      </c>
      <c r="AT33" s="26" t="n">
        <f aca="false">SUMIFS('Outages (event ledger)'!$H$2:$H$65,'Outages (event ledger)'!$A$2:$A$65,AT$2,'Outages (event ledger)'!$E$2:$E$65,"&lt;="&amp;$B33,'Outages (event ledger)'!$G$2:$G$65,"&gt;="&amp;$B33)</f>
        <v>0</v>
      </c>
      <c r="AU33" s="26" t="n">
        <f aca="false">SUMIFS('Outages (event ledger)'!$H$2:$H$65,'Outages (event ledger)'!$A$2:$A$65,AU$2,'Outages (event ledger)'!$E$2:$E$65,"&lt;="&amp;$B33,'Outages (event ledger)'!$G$2:$G$65,"&gt;="&amp;$B33)</f>
        <v>0</v>
      </c>
      <c r="AV33" s="26" t="n">
        <f aca="false">SUMIFS('Outages (event ledger)'!$H$2:$H$65,'Outages (event ledger)'!$A$2:$A$65,AV$2,'Outages (event ledger)'!$E$2:$E$65,"&lt;="&amp;$B33,'Outages (event ledger)'!$G$2:$G$65,"&gt;="&amp;$B33)</f>
        <v>0</v>
      </c>
      <c r="AW33" s="26" t="n">
        <f aca="false">SUMIFS('Outages (event ledger)'!$H$2:$H$65,'Outages (event ledger)'!$A$2:$A$65,AW$2,'Outages (event ledger)'!$E$2:$E$65,"&lt;="&amp;$B33,'Outages (event ledger)'!$G$2:$G$65,"&gt;="&amp;$B33)</f>
        <v>0</v>
      </c>
      <c r="AX33" s="26" t="n">
        <f aca="false">SUMIFS('Outages (event ledger)'!$H$2:$H$65,'Outages (event ledger)'!$A$2:$A$65,AX$2,'Outages (event ledger)'!$E$2:$E$65,"&lt;="&amp;$B33,'Outages (event ledger)'!$G$2:$G$65,"&gt;="&amp;$B33)</f>
        <v>0</v>
      </c>
      <c r="AY33" s="26" t="n">
        <f aca="false">SUMIFS('Outages (event ledger)'!$H$2:$H$65,'Outages (event ledger)'!$A$2:$A$65,AY$2,'Outages (event ledger)'!$E$2:$E$65,"&lt;="&amp;$B33,'Outages (event ledger)'!$G$2:$G$65,"&gt;="&amp;$B33)</f>
        <v>0</v>
      </c>
      <c r="AZ33" s="26" t="n">
        <f aca="false">SUMIFS('Outages (event ledger)'!$H$2:$H$65,'Outages (event ledger)'!$A$2:$A$65,AZ$2,'Outages (event ledger)'!$E$2:$E$65,"&lt;="&amp;$B33,'Outages (event ledger)'!$G$2:$G$65,"&gt;="&amp;$B33)</f>
        <v>0</v>
      </c>
      <c r="BA33" s="26" t="n">
        <f aca="false">SUMIFS('Outages (event ledger)'!$H$2:$H$65,'Outages (event ledger)'!$A$2:$A$65,BA$2,'Outages (event ledger)'!$E$2:$E$65,"&lt;="&amp;$B33,'Outages (event ledger)'!$G$2:$G$65,"&gt;="&amp;$B33)</f>
        <v>0</v>
      </c>
      <c r="BB33" s="26" t="n">
        <f aca="false">SUMIFS('Outages (event ledger)'!$H$2:$H$65,'Outages (event ledger)'!$A$2:$A$65,BB$2,'Outages (event ledger)'!$E$2:$E$65,"&lt;="&amp;$B33,'Outages (event ledger)'!$G$2:$G$65,"&gt;="&amp;$B33)</f>
        <v>0</v>
      </c>
      <c r="BC33" s="26" t="n">
        <f aca="false">SUMIFS('Outages (event ledger)'!$H$2:$H$65,'Outages (event ledger)'!$A$2:$A$65,BC$2,'Outages (event ledger)'!$E$2:$E$65,"&lt;="&amp;$B33,'Outages (event ledger)'!$G$2:$G$65,"&gt;="&amp;$B33)</f>
        <v>0</v>
      </c>
      <c r="BD33" s="26" t="n">
        <f aca="false">SUMIFS('Outages (event ledger)'!$H$2:$H$65,'Outages (event ledger)'!$A$2:$A$65,BD$2,'Outages (event ledger)'!$E$2:$E$65,"&lt;="&amp;$B33,'Outages (event ledger)'!$G$2:$G$65,"&gt;="&amp;$B33)</f>
        <v>0</v>
      </c>
      <c r="BE33" s="26" t="n">
        <f aca="false">SUMIFS('Outages (event ledger)'!$H$2:$H$65,'Outages (event ledger)'!$A$2:$A$65,BE$2,'Outages (event ledger)'!$E$2:$E$65,"&lt;="&amp;$B33,'Outages (event ledger)'!$G$2:$G$65,"&gt;="&amp;$B33)</f>
        <v>0</v>
      </c>
      <c r="BF33" s="26" t="n">
        <f aca="false">SUMIFS('Outages (event ledger)'!$H$2:$H$65,'Outages (event ledger)'!$A$2:$A$65,BF$2,'Outages (event ledger)'!$E$2:$E$65,"&lt;="&amp;$B33,'Outages (event ledger)'!$G$2:$G$65,"&gt;="&amp;$B33)</f>
        <v>0</v>
      </c>
      <c r="BG33" s="26" t="n">
        <f aca="false">SUMIFS('Outages (event ledger)'!$H$2:$H$65,'Outages (event ledger)'!$A$2:$A$65,BG$2,'Outages (event ledger)'!$E$2:$E$65,"&lt;="&amp;$B33,'Outages (event ledger)'!$G$2:$G$65,"&gt;="&amp;$B33)</f>
        <v>0</v>
      </c>
      <c r="BH33" s="26" t="n">
        <f aca="false">SUMIFS('Outages (event ledger)'!$H$2:$H$65,'Outages (event ledger)'!$A$2:$A$65,BH$2,'Outages (event ledger)'!$E$2:$E$65,"&lt;="&amp;$B33,'Outages (event ledger)'!$G$2:$G$65,"&gt;="&amp;$B33)</f>
        <v>0</v>
      </c>
      <c r="BI33" s="26" t="n">
        <f aca="false">SUMIFS('Outages (event ledger)'!$H$2:$H$65,'Outages (event ledger)'!$A$2:$A$65,BI$2,'Outages (event ledger)'!$E$2:$E$65,"&lt;="&amp;$B33,'Outages (event ledger)'!$G$2:$G$65,"&gt;="&amp;$B33)</f>
        <v>0</v>
      </c>
    </row>
    <row r="34" customFormat="false" ht="15" hidden="false" customHeight="false" outlineLevel="0" collapsed="false">
      <c r="A34" s="23" t="n">
        <v>41122</v>
      </c>
      <c r="B34" s="24" t="n">
        <v>201208</v>
      </c>
      <c r="C34" s="25" t="n">
        <f aca="false">SUM(D34:BI34)</f>
        <v>8</v>
      </c>
      <c r="D34" s="26" t="n">
        <f aca="false">SUMIFS('Outages (event ledger)'!$H$2:$H$65,'Outages (event ledger)'!$A$2:$A$65,D$2,'Outages (event ledger)'!$E$2:$E$65,"&lt;="&amp;$B34,'Outages (event ledger)'!$G$2:$G$65,"&gt;="&amp;$B34)</f>
        <v>0</v>
      </c>
      <c r="E34" s="26" t="n">
        <f aca="false">SUMIFS('Outages (event ledger)'!$H$2:$H$65,'Outages (event ledger)'!$A$2:$A$65,E$2,'Outages (event ledger)'!$E$2:$E$65,"&lt;="&amp;$B34,'Outages (event ledger)'!$G$2:$G$65,"&gt;="&amp;$B34)</f>
        <v>0</v>
      </c>
      <c r="F34" s="26" t="n">
        <f aca="false">SUMIFS('Outages (event ledger)'!$H$2:$H$65,'Outages (event ledger)'!$A$2:$A$65,F$2,'Outages (event ledger)'!$E$2:$E$65,"&lt;="&amp;$B34,'Outages (event ledger)'!$G$2:$G$65,"&gt;="&amp;$B34)</f>
        <v>0</v>
      </c>
      <c r="G34" s="26" t="n">
        <f aca="false">SUMIFS('Outages (event ledger)'!$H$2:$H$65,'Outages (event ledger)'!$A$2:$A$65,G$2,'Outages (event ledger)'!$E$2:$E$65,"&lt;="&amp;$B34,'Outages (event ledger)'!$G$2:$G$65,"&gt;="&amp;$B34)</f>
        <v>0</v>
      </c>
      <c r="H34" s="26" t="n">
        <f aca="false">SUMIFS('Outages (event ledger)'!$H$2:$H$65,'Outages (event ledger)'!$A$2:$A$65,H$2,'Outages (event ledger)'!$E$2:$E$65,"&lt;="&amp;$B34,'Outages (event ledger)'!$G$2:$G$65,"&gt;="&amp;$B34)</f>
        <v>0</v>
      </c>
      <c r="I34" s="26" t="n">
        <f aca="false">SUMIFS('Outages (event ledger)'!$H$2:$H$65,'Outages (event ledger)'!$A$2:$A$65,I$2,'Outages (event ledger)'!$E$2:$E$65,"&lt;="&amp;$B34,'Outages (event ledger)'!$G$2:$G$65,"&gt;="&amp;$B34)</f>
        <v>0</v>
      </c>
      <c r="J34" s="26" t="n">
        <f aca="false">SUMIFS('Outages (event ledger)'!$H$2:$H$65,'Outages (event ledger)'!$A$2:$A$65,J$2,'Outages (event ledger)'!$E$2:$E$65,"&lt;="&amp;$B34,'Outages (event ledger)'!$G$2:$G$65,"&gt;="&amp;$B34)</f>
        <v>0</v>
      </c>
      <c r="K34" s="26" t="n">
        <f aca="false">SUMIFS('Outages (event ledger)'!$H$2:$H$65,'Outages (event ledger)'!$A$2:$A$65,K$2,'Outages (event ledger)'!$E$2:$E$65,"&lt;="&amp;$B34,'Outages (event ledger)'!$G$2:$G$65,"&gt;="&amp;$B34)</f>
        <v>0</v>
      </c>
      <c r="L34" s="26" t="n">
        <f aca="false">SUMIFS('Outages (event ledger)'!$H$2:$H$65,'Outages (event ledger)'!$A$2:$A$65,L$2,'Outages (event ledger)'!$E$2:$E$65,"&lt;="&amp;$B34,'Outages (event ledger)'!$G$2:$G$65,"&gt;="&amp;$B34)</f>
        <v>0</v>
      </c>
      <c r="M34" s="26" t="n">
        <f aca="false">SUMIFS('Outages (event ledger)'!$H$2:$H$65,'Outages (event ledger)'!$A$2:$A$65,M$2,'Outages (event ledger)'!$E$2:$E$65,"&lt;="&amp;$B34,'Outages (event ledger)'!$G$2:$G$65,"&gt;="&amp;$B34)</f>
        <v>0</v>
      </c>
      <c r="N34" s="26" t="n">
        <f aca="false">SUMIFS('Outages (event ledger)'!$H$2:$H$65,'Outages (event ledger)'!$A$2:$A$65,N$2,'Outages (event ledger)'!$E$2:$E$65,"&lt;="&amp;$B34,'Outages (event ledger)'!$G$2:$G$65,"&gt;="&amp;$B34)</f>
        <v>0</v>
      </c>
      <c r="O34" s="26" t="n">
        <f aca="false">SUMIFS('Outages (event ledger)'!$H$2:$H$65,'Outages (event ledger)'!$A$2:$A$65,O$2,'Outages (event ledger)'!$E$2:$E$65,"&lt;="&amp;$B34,'Outages (event ledger)'!$G$2:$G$65,"&gt;="&amp;$B34)</f>
        <v>0</v>
      </c>
      <c r="P34" s="26" t="n">
        <f aca="false">SUMIFS('Outages (event ledger)'!$H$2:$H$65,'Outages (event ledger)'!$A$2:$A$65,P$2,'Outages (event ledger)'!$E$2:$E$65,"&lt;="&amp;$B34,'Outages (event ledger)'!$G$2:$G$65,"&gt;="&amp;$B34)</f>
        <v>0</v>
      </c>
      <c r="Q34" s="26" t="n">
        <f aca="false">SUMIFS('Outages (event ledger)'!$H$2:$H$65,'Outages (event ledger)'!$A$2:$A$65,Q$2,'Outages (event ledger)'!$E$2:$E$65,"&lt;="&amp;$B34,'Outages (event ledger)'!$G$2:$G$65,"&gt;="&amp;$B34)</f>
        <v>0</v>
      </c>
      <c r="R34" s="26" t="n">
        <f aca="false">SUMIFS('Outages (event ledger)'!$H$2:$H$65,'Outages (event ledger)'!$A$2:$A$65,R$2,'Outages (event ledger)'!$E$2:$E$65,"&lt;="&amp;$B34,'Outages (event ledger)'!$G$2:$G$65,"&gt;="&amp;$B34)</f>
        <v>0</v>
      </c>
      <c r="S34" s="26" t="n">
        <f aca="false">SUMIFS('Outages (event ledger)'!$H$2:$H$65,'Outages (event ledger)'!$A$2:$A$65,S$2,'Outages (event ledger)'!$E$2:$E$65,"&lt;="&amp;$B34,'Outages (event ledger)'!$G$2:$G$65,"&gt;="&amp;$B34)</f>
        <v>0</v>
      </c>
      <c r="T34" s="26" t="n">
        <f aca="false">SUMIFS('Outages (event ledger)'!$H$2:$H$65,'Outages (event ledger)'!$A$2:$A$65,T$2,'Outages (event ledger)'!$E$2:$E$65,"&lt;="&amp;$B34,'Outages (event ledger)'!$G$2:$G$65,"&gt;="&amp;$B34)</f>
        <v>0</v>
      </c>
      <c r="U34" s="26" t="n">
        <f aca="false">SUMIFS('Outages (event ledger)'!$H$2:$H$65,'Outages (event ledger)'!$A$2:$A$65,U$2,'Outages (event ledger)'!$E$2:$E$65,"&lt;="&amp;$B34,'Outages (event ledger)'!$G$2:$G$65,"&gt;="&amp;$B34)</f>
        <v>0</v>
      </c>
      <c r="V34" s="26" t="n">
        <f aca="false">SUMIFS('Outages (event ledger)'!$H$2:$H$65,'Outages (event ledger)'!$A$2:$A$65,V$2,'Outages (event ledger)'!$E$2:$E$65,"&lt;="&amp;$B34,'Outages (event ledger)'!$G$2:$G$65,"&gt;="&amp;$B34)</f>
        <v>0</v>
      </c>
      <c r="W34" s="26" t="n">
        <f aca="false">SUMIFS('Outages (event ledger)'!$H$2:$H$65,'Outages (event ledger)'!$A$2:$A$65,W$2,'Outages (event ledger)'!$E$2:$E$65,"&lt;="&amp;$B34,'Outages (event ledger)'!$G$2:$G$65,"&gt;="&amp;$B34)</f>
        <v>0</v>
      </c>
      <c r="X34" s="26" t="n">
        <f aca="false">SUMIFS('Outages (event ledger)'!$H$2:$H$65,'Outages (event ledger)'!$A$2:$A$65,X$2,'Outages (event ledger)'!$E$2:$E$65,"&lt;="&amp;$B34,'Outages (event ledger)'!$G$2:$G$65,"&gt;="&amp;$B34)</f>
        <v>0</v>
      </c>
      <c r="Y34" s="26" t="n">
        <f aca="false">SUMIFS('Outages (event ledger)'!$H$2:$H$65,'Outages (event ledger)'!$A$2:$A$65,Y$2,'Outages (event ledger)'!$E$2:$E$65,"&lt;="&amp;$B34,'Outages (event ledger)'!$G$2:$G$65,"&gt;="&amp;$B34)</f>
        <v>0</v>
      </c>
      <c r="Z34" s="26" t="n">
        <f aca="false">SUMIFS('Outages (event ledger)'!$H$2:$H$65,'Outages (event ledger)'!$A$2:$A$65,Z$2,'Outages (event ledger)'!$E$2:$E$65,"&lt;="&amp;$B34,'Outages (event ledger)'!$G$2:$G$65,"&gt;="&amp;$B34)</f>
        <v>0</v>
      </c>
      <c r="AA34" s="26" t="n">
        <f aca="false">SUMIFS('Outages (event ledger)'!$H$2:$H$65,'Outages (event ledger)'!$A$2:$A$65,AA$2,'Outages (event ledger)'!$E$2:$E$65,"&lt;="&amp;$B34,'Outages (event ledger)'!$G$2:$G$65,"&gt;="&amp;$B34)</f>
        <v>0</v>
      </c>
      <c r="AB34" s="26" t="n">
        <f aca="false">SUMIFS('Outages (event ledger)'!$H$2:$H$65,'Outages (event ledger)'!$A$2:$A$65,AB$2,'Outages (event ledger)'!$E$2:$E$65,"&lt;="&amp;$B34,'Outages (event ledger)'!$G$2:$G$65,"&gt;="&amp;$B34)</f>
        <v>8</v>
      </c>
      <c r="AC34" s="26" t="n">
        <f aca="false">SUMIFS('Outages (event ledger)'!$H$2:$H$65,'Outages (event ledger)'!$A$2:$A$65,AC$2,'Outages (event ledger)'!$E$2:$E$65,"&lt;="&amp;$B34,'Outages (event ledger)'!$G$2:$G$65,"&gt;="&amp;$B34)</f>
        <v>0</v>
      </c>
      <c r="AD34" s="26" t="n">
        <f aca="false">SUMIFS('Outages (event ledger)'!$H$2:$H$65,'Outages (event ledger)'!$A$2:$A$65,AD$2,'Outages (event ledger)'!$E$2:$E$65,"&lt;="&amp;$B34,'Outages (event ledger)'!$G$2:$G$65,"&gt;="&amp;$B34)</f>
        <v>0</v>
      </c>
      <c r="AE34" s="26" t="n">
        <f aca="false">SUMIFS('Outages (event ledger)'!$H$2:$H$65,'Outages (event ledger)'!$A$2:$A$65,AE$2,'Outages (event ledger)'!$E$2:$E$65,"&lt;="&amp;$B34,'Outages (event ledger)'!$G$2:$G$65,"&gt;="&amp;$B34)</f>
        <v>0</v>
      </c>
      <c r="AF34" s="26" t="n">
        <f aca="false">SUMIFS('Outages (event ledger)'!$H$2:$H$65,'Outages (event ledger)'!$A$2:$A$65,AF$2,'Outages (event ledger)'!$E$2:$E$65,"&lt;="&amp;$B34,'Outages (event ledger)'!$G$2:$G$65,"&gt;="&amp;$B34)</f>
        <v>0</v>
      </c>
      <c r="AG34" s="26" t="n">
        <f aca="false">SUMIFS('Outages (event ledger)'!$H$2:$H$65,'Outages (event ledger)'!$A$2:$A$65,AG$2,'Outages (event ledger)'!$E$2:$E$65,"&lt;="&amp;$B34,'Outages (event ledger)'!$G$2:$G$65,"&gt;="&amp;$B34)</f>
        <v>0</v>
      </c>
      <c r="AH34" s="26" t="n">
        <f aca="false">SUMIFS('Outages (event ledger)'!$H$2:$H$65,'Outages (event ledger)'!$A$2:$A$65,AH$2,'Outages (event ledger)'!$E$2:$E$65,"&lt;="&amp;$B34,'Outages (event ledger)'!$G$2:$G$65,"&gt;="&amp;$B34)</f>
        <v>0</v>
      </c>
      <c r="AI34" s="26" t="n">
        <f aca="false">SUMIFS('Outages (event ledger)'!$H$2:$H$65,'Outages (event ledger)'!$A$2:$A$65,AI$2,'Outages (event ledger)'!$E$2:$E$65,"&lt;="&amp;$B34,'Outages (event ledger)'!$G$2:$G$65,"&gt;="&amp;$B34)</f>
        <v>0</v>
      </c>
      <c r="AJ34" s="26" t="n">
        <f aca="false">SUMIFS('Outages (event ledger)'!$H$2:$H$65,'Outages (event ledger)'!$A$2:$A$65,AJ$2,'Outages (event ledger)'!$E$2:$E$65,"&lt;="&amp;$B34,'Outages (event ledger)'!$G$2:$G$65,"&gt;="&amp;$B34)</f>
        <v>0</v>
      </c>
      <c r="AK34" s="26" t="n">
        <f aca="false">SUMIFS('Outages (event ledger)'!$H$2:$H$65,'Outages (event ledger)'!$A$2:$A$65,AK$2,'Outages (event ledger)'!$E$2:$E$65,"&lt;="&amp;$B34,'Outages (event ledger)'!$G$2:$G$65,"&gt;="&amp;$B34)</f>
        <v>0</v>
      </c>
      <c r="AL34" s="26" t="n">
        <f aca="false">SUMIFS('Outages (event ledger)'!$H$2:$H$65,'Outages (event ledger)'!$A$2:$A$65,AL$2,'Outages (event ledger)'!$E$2:$E$65,"&lt;="&amp;$B34,'Outages (event ledger)'!$G$2:$G$65,"&gt;="&amp;$B34)</f>
        <v>0</v>
      </c>
      <c r="AM34" s="26" t="n">
        <f aca="false">SUMIFS('Outages (event ledger)'!$H$2:$H$65,'Outages (event ledger)'!$A$2:$A$65,AM$2,'Outages (event ledger)'!$E$2:$E$65,"&lt;="&amp;$B34,'Outages (event ledger)'!$G$2:$G$65,"&gt;="&amp;$B34)</f>
        <v>0</v>
      </c>
      <c r="AN34" s="26" t="n">
        <f aca="false">SUMIFS('Outages (event ledger)'!$H$2:$H$65,'Outages (event ledger)'!$A$2:$A$65,AN$2,'Outages (event ledger)'!$E$2:$E$65,"&lt;="&amp;$B34,'Outages (event ledger)'!$G$2:$G$65,"&gt;="&amp;$B34)</f>
        <v>0</v>
      </c>
      <c r="AO34" s="26" t="n">
        <f aca="false">SUMIFS('Outages (event ledger)'!$H$2:$H$65,'Outages (event ledger)'!$A$2:$A$65,AO$2,'Outages (event ledger)'!$E$2:$E$65,"&lt;="&amp;$B34,'Outages (event ledger)'!$G$2:$G$65,"&gt;="&amp;$B34)</f>
        <v>0</v>
      </c>
      <c r="AP34" s="26" t="n">
        <f aca="false">SUMIFS('Outages (event ledger)'!$H$2:$H$65,'Outages (event ledger)'!$A$2:$A$65,AP$2,'Outages (event ledger)'!$E$2:$E$65,"&lt;="&amp;$B34,'Outages (event ledger)'!$G$2:$G$65,"&gt;="&amp;$B34)</f>
        <v>0</v>
      </c>
      <c r="AQ34" s="26" t="n">
        <f aca="false">SUMIFS('Outages (event ledger)'!$H$2:$H$65,'Outages (event ledger)'!$A$2:$A$65,AQ$2,'Outages (event ledger)'!$E$2:$E$65,"&lt;="&amp;$B34,'Outages (event ledger)'!$G$2:$G$65,"&gt;="&amp;$B34)</f>
        <v>0</v>
      </c>
      <c r="AR34" s="26" t="n">
        <f aca="false">SUMIFS('Outages (event ledger)'!$H$2:$H$65,'Outages (event ledger)'!$A$2:$A$65,AR$2,'Outages (event ledger)'!$E$2:$E$65,"&lt;="&amp;$B34,'Outages (event ledger)'!$G$2:$G$65,"&gt;="&amp;$B34)</f>
        <v>0</v>
      </c>
      <c r="AS34" s="26" t="n">
        <f aca="false">SUMIFS('Outages (event ledger)'!$H$2:$H$65,'Outages (event ledger)'!$A$2:$A$65,AS$2,'Outages (event ledger)'!$E$2:$E$65,"&lt;="&amp;$B34,'Outages (event ledger)'!$G$2:$G$65,"&gt;="&amp;$B34)</f>
        <v>0</v>
      </c>
      <c r="AT34" s="26" t="n">
        <f aca="false">SUMIFS('Outages (event ledger)'!$H$2:$H$65,'Outages (event ledger)'!$A$2:$A$65,AT$2,'Outages (event ledger)'!$E$2:$E$65,"&lt;="&amp;$B34,'Outages (event ledger)'!$G$2:$G$65,"&gt;="&amp;$B34)</f>
        <v>0</v>
      </c>
      <c r="AU34" s="26" t="n">
        <f aca="false">SUMIFS('Outages (event ledger)'!$H$2:$H$65,'Outages (event ledger)'!$A$2:$A$65,AU$2,'Outages (event ledger)'!$E$2:$E$65,"&lt;="&amp;$B34,'Outages (event ledger)'!$G$2:$G$65,"&gt;="&amp;$B34)</f>
        <v>0</v>
      </c>
      <c r="AV34" s="26" t="n">
        <f aca="false">SUMIFS('Outages (event ledger)'!$H$2:$H$65,'Outages (event ledger)'!$A$2:$A$65,AV$2,'Outages (event ledger)'!$E$2:$E$65,"&lt;="&amp;$B34,'Outages (event ledger)'!$G$2:$G$65,"&gt;="&amp;$B34)</f>
        <v>0</v>
      </c>
      <c r="AW34" s="26" t="n">
        <f aca="false">SUMIFS('Outages (event ledger)'!$H$2:$H$65,'Outages (event ledger)'!$A$2:$A$65,AW$2,'Outages (event ledger)'!$E$2:$E$65,"&lt;="&amp;$B34,'Outages (event ledger)'!$G$2:$G$65,"&gt;="&amp;$B34)</f>
        <v>0</v>
      </c>
      <c r="AX34" s="26" t="n">
        <f aca="false">SUMIFS('Outages (event ledger)'!$H$2:$H$65,'Outages (event ledger)'!$A$2:$A$65,AX$2,'Outages (event ledger)'!$E$2:$E$65,"&lt;="&amp;$B34,'Outages (event ledger)'!$G$2:$G$65,"&gt;="&amp;$B34)</f>
        <v>0</v>
      </c>
      <c r="AY34" s="26" t="n">
        <f aca="false">SUMIFS('Outages (event ledger)'!$H$2:$H$65,'Outages (event ledger)'!$A$2:$A$65,AY$2,'Outages (event ledger)'!$E$2:$E$65,"&lt;="&amp;$B34,'Outages (event ledger)'!$G$2:$G$65,"&gt;="&amp;$B34)</f>
        <v>0</v>
      </c>
      <c r="AZ34" s="26" t="n">
        <f aca="false">SUMIFS('Outages (event ledger)'!$H$2:$H$65,'Outages (event ledger)'!$A$2:$A$65,AZ$2,'Outages (event ledger)'!$E$2:$E$65,"&lt;="&amp;$B34,'Outages (event ledger)'!$G$2:$G$65,"&gt;="&amp;$B34)</f>
        <v>0</v>
      </c>
      <c r="BA34" s="26" t="n">
        <f aca="false">SUMIFS('Outages (event ledger)'!$H$2:$H$65,'Outages (event ledger)'!$A$2:$A$65,BA$2,'Outages (event ledger)'!$E$2:$E$65,"&lt;="&amp;$B34,'Outages (event ledger)'!$G$2:$G$65,"&gt;="&amp;$B34)</f>
        <v>0</v>
      </c>
      <c r="BB34" s="26" t="n">
        <f aca="false">SUMIFS('Outages (event ledger)'!$H$2:$H$65,'Outages (event ledger)'!$A$2:$A$65,BB$2,'Outages (event ledger)'!$E$2:$E$65,"&lt;="&amp;$B34,'Outages (event ledger)'!$G$2:$G$65,"&gt;="&amp;$B34)</f>
        <v>0</v>
      </c>
      <c r="BC34" s="26" t="n">
        <f aca="false">SUMIFS('Outages (event ledger)'!$H$2:$H$65,'Outages (event ledger)'!$A$2:$A$65,BC$2,'Outages (event ledger)'!$E$2:$E$65,"&lt;="&amp;$B34,'Outages (event ledger)'!$G$2:$G$65,"&gt;="&amp;$B34)</f>
        <v>0</v>
      </c>
      <c r="BD34" s="26" t="n">
        <f aca="false">SUMIFS('Outages (event ledger)'!$H$2:$H$65,'Outages (event ledger)'!$A$2:$A$65,BD$2,'Outages (event ledger)'!$E$2:$E$65,"&lt;="&amp;$B34,'Outages (event ledger)'!$G$2:$G$65,"&gt;="&amp;$B34)</f>
        <v>0</v>
      </c>
      <c r="BE34" s="26" t="n">
        <f aca="false">SUMIFS('Outages (event ledger)'!$H$2:$H$65,'Outages (event ledger)'!$A$2:$A$65,BE$2,'Outages (event ledger)'!$E$2:$E$65,"&lt;="&amp;$B34,'Outages (event ledger)'!$G$2:$G$65,"&gt;="&amp;$B34)</f>
        <v>0</v>
      </c>
      <c r="BF34" s="26" t="n">
        <f aca="false">SUMIFS('Outages (event ledger)'!$H$2:$H$65,'Outages (event ledger)'!$A$2:$A$65,BF$2,'Outages (event ledger)'!$E$2:$E$65,"&lt;="&amp;$B34,'Outages (event ledger)'!$G$2:$G$65,"&gt;="&amp;$B34)</f>
        <v>0</v>
      </c>
      <c r="BG34" s="26" t="n">
        <f aca="false">SUMIFS('Outages (event ledger)'!$H$2:$H$65,'Outages (event ledger)'!$A$2:$A$65,BG$2,'Outages (event ledger)'!$E$2:$E$65,"&lt;="&amp;$B34,'Outages (event ledger)'!$G$2:$G$65,"&gt;="&amp;$B34)</f>
        <v>0</v>
      </c>
      <c r="BH34" s="26" t="n">
        <f aca="false">SUMIFS('Outages (event ledger)'!$H$2:$H$65,'Outages (event ledger)'!$A$2:$A$65,BH$2,'Outages (event ledger)'!$E$2:$E$65,"&lt;="&amp;$B34,'Outages (event ledger)'!$G$2:$G$65,"&gt;="&amp;$B34)</f>
        <v>0</v>
      </c>
      <c r="BI34" s="26" t="n">
        <f aca="false">SUMIFS('Outages (event ledger)'!$H$2:$H$65,'Outages (event ledger)'!$A$2:$A$65,BI$2,'Outages (event ledger)'!$E$2:$E$65,"&lt;="&amp;$B34,'Outages (event ledger)'!$G$2:$G$65,"&gt;="&amp;$B34)</f>
        <v>0</v>
      </c>
    </row>
    <row r="35" customFormat="false" ht="15" hidden="false" customHeight="false" outlineLevel="0" collapsed="false">
      <c r="A35" s="23" t="n">
        <v>41153</v>
      </c>
      <c r="B35" s="24" t="n">
        <v>201209</v>
      </c>
      <c r="C35" s="25" t="n">
        <f aca="false">SUM(D35:BI35)</f>
        <v>8</v>
      </c>
      <c r="D35" s="26" t="n">
        <f aca="false">SUMIFS('Outages (event ledger)'!$H$2:$H$65,'Outages (event ledger)'!$A$2:$A$65,D$2,'Outages (event ledger)'!$E$2:$E$65,"&lt;="&amp;$B35,'Outages (event ledger)'!$G$2:$G$65,"&gt;="&amp;$B35)</f>
        <v>0</v>
      </c>
      <c r="E35" s="26" t="n">
        <f aca="false">SUMIFS('Outages (event ledger)'!$H$2:$H$65,'Outages (event ledger)'!$A$2:$A$65,E$2,'Outages (event ledger)'!$E$2:$E$65,"&lt;="&amp;$B35,'Outages (event ledger)'!$G$2:$G$65,"&gt;="&amp;$B35)</f>
        <v>0</v>
      </c>
      <c r="F35" s="26" t="n">
        <f aca="false">SUMIFS('Outages (event ledger)'!$H$2:$H$65,'Outages (event ledger)'!$A$2:$A$65,F$2,'Outages (event ledger)'!$E$2:$E$65,"&lt;="&amp;$B35,'Outages (event ledger)'!$G$2:$G$65,"&gt;="&amp;$B35)</f>
        <v>0</v>
      </c>
      <c r="G35" s="26" t="n">
        <f aca="false">SUMIFS('Outages (event ledger)'!$H$2:$H$65,'Outages (event ledger)'!$A$2:$A$65,G$2,'Outages (event ledger)'!$E$2:$E$65,"&lt;="&amp;$B35,'Outages (event ledger)'!$G$2:$G$65,"&gt;="&amp;$B35)</f>
        <v>0</v>
      </c>
      <c r="H35" s="26" t="n">
        <f aca="false">SUMIFS('Outages (event ledger)'!$H$2:$H$65,'Outages (event ledger)'!$A$2:$A$65,H$2,'Outages (event ledger)'!$E$2:$E$65,"&lt;="&amp;$B35,'Outages (event ledger)'!$G$2:$G$65,"&gt;="&amp;$B35)</f>
        <v>0</v>
      </c>
      <c r="I35" s="26" t="n">
        <f aca="false">SUMIFS('Outages (event ledger)'!$H$2:$H$65,'Outages (event ledger)'!$A$2:$A$65,I$2,'Outages (event ledger)'!$E$2:$E$65,"&lt;="&amp;$B35,'Outages (event ledger)'!$G$2:$G$65,"&gt;="&amp;$B35)</f>
        <v>0</v>
      </c>
      <c r="J35" s="26" t="n">
        <f aca="false">SUMIFS('Outages (event ledger)'!$H$2:$H$65,'Outages (event ledger)'!$A$2:$A$65,J$2,'Outages (event ledger)'!$E$2:$E$65,"&lt;="&amp;$B35,'Outages (event ledger)'!$G$2:$G$65,"&gt;="&amp;$B35)</f>
        <v>0</v>
      </c>
      <c r="K35" s="26" t="n">
        <f aca="false">SUMIFS('Outages (event ledger)'!$H$2:$H$65,'Outages (event ledger)'!$A$2:$A$65,K$2,'Outages (event ledger)'!$E$2:$E$65,"&lt;="&amp;$B35,'Outages (event ledger)'!$G$2:$G$65,"&gt;="&amp;$B35)</f>
        <v>0</v>
      </c>
      <c r="L35" s="26" t="n">
        <f aca="false">SUMIFS('Outages (event ledger)'!$H$2:$H$65,'Outages (event ledger)'!$A$2:$A$65,L$2,'Outages (event ledger)'!$E$2:$E$65,"&lt;="&amp;$B35,'Outages (event ledger)'!$G$2:$G$65,"&gt;="&amp;$B35)</f>
        <v>0</v>
      </c>
      <c r="M35" s="26" t="n">
        <f aca="false">SUMIFS('Outages (event ledger)'!$H$2:$H$65,'Outages (event ledger)'!$A$2:$A$65,M$2,'Outages (event ledger)'!$E$2:$E$65,"&lt;="&amp;$B35,'Outages (event ledger)'!$G$2:$G$65,"&gt;="&amp;$B35)</f>
        <v>0</v>
      </c>
      <c r="N35" s="26" t="n">
        <f aca="false">SUMIFS('Outages (event ledger)'!$H$2:$H$65,'Outages (event ledger)'!$A$2:$A$65,N$2,'Outages (event ledger)'!$E$2:$E$65,"&lt;="&amp;$B35,'Outages (event ledger)'!$G$2:$G$65,"&gt;="&amp;$B35)</f>
        <v>0</v>
      </c>
      <c r="O35" s="26" t="n">
        <f aca="false">SUMIFS('Outages (event ledger)'!$H$2:$H$65,'Outages (event ledger)'!$A$2:$A$65,O$2,'Outages (event ledger)'!$E$2:$E$65,"&lt;="&amp;$B35,'Outages (event ledger)'!$G$2:$G$65,"&gt;="&amp;$B35)</f>
        <v>0</v>
      </c>
      <c r="P35" s="26" t="n">
        <f aca="false">SUMIFS('Outages (event ledger)'!$H$2:$H$65,'Outages (event ledger)'!$A$2:$A$65,P$2,'Outages (event ledger)'!$E$2:$E$65,"&lt;="&amp;$B35,'Outages (event ledger)'!$G$2:$G$65,"&gt;="&amp;$B35)</f>
        <v>0</v>
      </c>
      <c r="Q35" s="26" t="n">
        <f aca="false">SUMIFS('Outages (event ledger)'!$H$2:$H$65,'Outages (event ledger)'!$A$2:$A$65,Q$2,'Outages (event ledger)'!$E$2:$E$65,"&lt;="&amp;$B35,'Outages (event ledger)'!$G$2:$G$65,"&gt;="&amp;$B35)</f>
        <v>0</v>
      </c>
      <c r="R35" s="26" t="n">
        <f aca="false">SUMIFS('Outages (event ledger)'!$H$2:$H$65,'Outages (event ledger)'!$A$2:$A$65,R$2,'Outages (event ledger)'!$E$2:$E$65,"&lt;="&amp;$B35,'Outages (event ledger)'!$G$2:$G$65,"&gt;="&amp;$B35)</f>
        <v>0</v>
      </c>
      <c r="S35" s="26" t="n">
        <f aca="false">SUMIFS('Outages (event ledger)'!$H$2:$H$65,'Outages (event ledger)'!$A$2:$A$65,S$2,'Outages (event ledger)'!$E$2:$E$65,"&lt;="&amp;$B35,'Outages (event ledger)'!$G$2:$G$65,"&gt;="&amp;$B35)</f>
        <v>0</v>
      </c>
      <c r="T35" s="26" t="n">
        <f aca="false">SUMIFS('Outages (event ledger)'!$H$2:$H$65,'Outages (event ledger)'!$A$2:$A$65,T$2,'Outages (event ledger)'!$E$2:$E$65,"&lt;="&amp;$B35,'Outages (event ledger)'!$G$2:$G$65,"&gt;="&amp;$B35)</f>
        <v>0</v>
      </c>
      <c r="U35" s="26" t="n">
        <f aca="false">SUMIFS('Outages (event ledger)'!$H$2:$H$65,'Outages (event ledger)'!$A$2:$A$65,U$2,'Outages (event ledger)'!$E$2:$E$65,"&lt;="&amp;$B35,'Outages (event ledger)'!$G$2:$G$65,"&gt;="&amp;$B35)</f>
        <v>0</v>
      </c>
      <c r="V35" s="26" t="n">
        <f aca="false">SUMIFS('Outages (event ledger)'!$H$2:$H$65,'Outages (event ledger)'!$A$2:$A$65,V$2,'Outages (event ledger)'!$E$2:$E$65,"&lt;="&amp;$B35,'Outages (event ledger)'!$G$2:$G$65,"&gt;="&amp;$B35)</f>
        <v>0</v>
      </c>
      <c r="W35" s="26" t="n">
        <f aca="false">SUMIFS('Outages (event ledger)'!$H$2:$H$65,'Outages (event ledger)'!$A$2:$A$65,W$2,'Outages (event ledger)'!$E$2:$E$65,"&lt;="&amp;$B35,'Outages (event ledger)'!$G$2:$G$65,"&gt;="&amp;$B35)</f>
        <v>0</v>
      </c>
      <c r="X35" s="26" t="n">
        <f aca="false">SUMIFS('Outages (event ledger)'!$H$2:$H$65,'Outages (event ledger)'!$A$2:$A$65,X$2,'Outages (event ledger)'!$E$2:$E$65,"&lt;="&amp;$B35,'Outages (event ledger)'!$G$2:$G$65,"&gt;="&amp;$B35)</f>
        <v>0</v>
      </c>
      <c r="Y35" s="26" t="n">
        <f aca="false">SUMIFS('Outages (event ledger)'!$H$2:$H$65,'Outages (event ledger)'!$A$2:$A$65,Y$2,'Outages (event ledger)'!$E$2:$E$65,"&lt;="&amp;$B35,'Outages (event ledger)'!$G$2:$G$65,"&gt;="&amp;$B35)</f>
        <v>0</v>
      </c>
      <c r="Z35" s="26" t="n">
        <f aca="false">SUMIFS('Outages (event ledger)'!$H$2:$H$65,'Outages (event ledger)'!$A$2:$A$65,Z$2,'Outages (event ledger)'!$E$2:$E$65,"&lt;="&amp;$B35,'Outages (event ledger)'!$G$2:$G$65,"&gt;="&amp;$B35)</f>
        <v>0</v>
      </c>
      <c r="AA35" s="26" t="n">
        <f aca="false">SUMIFS('Outages (event ledger)'!$H$2:$H$65,'Outages (event ledger)'!$A$2:$A$65,AA$2,'Outages (event ledger)'!$E$2:$E$65,"&lt;="&amp;$B35,'Outages (event ledger)'!$G$2:$G$65,"&gt;="&amp;$B35)</f>
        <v>0</v>
      </c>
      <c r="AB35" s="26" t="n">
        <f aca="false">SUMIFS('Outages (event ledger)'!$H$2:$H$65,'Outages (event ledger)'!$A$2:$A$65,AB$2,'Outages (event ledger)'!$E$2:$E$65,"&lt;="&amp;$B35,'Outages (event ledger)'!$G$2:$G$65,"&gt;="&amp;$B35)</f>
        <v>8</v>
      </c>
      <c r="AC35" s="26" t="n">
        <f aca="false">SUMIFS('Outages (event ledger)'!$H$2:$H$65,'Outages (event ledger)'!$A$2:$A$65,AC$2,'Outages (event ledger)'!$E$2:$E$65,"&lt;="&amp;$B35,'Outages (event ledger)'!$G$2:$G$65,"&gt;="&amp;$B35)</f>
        <v>0</v>
      </c>
      <c r="AD35" s="26" t="n">
        <f aca="false">SUMIFS('Outages (event ledger)'!$H$2:$H$65,'Outages (event ledger)'!$A$2:$A$65,AD$2,'Outages (event ledger)'!$E$2:$E$65,"&lt;="&amp;$B35,'Outages (event ledger)'!$G$2:$G$65,"&gt;="&amp;$B35)</f>
        <v>0</v>
      </c>
      <c r="AE35" s="26" t="n">
        <f aca="false">SUMIFS('Outages (event ledger)'!$H$2:$H$65,'Outages (event ledger)'!$A$2:$A$65,AE$2,'Outages (event ledger)'!$E$2:$E$65,"&lt;="&amp;$B35,'Outages (event ledger)'!$G$2:$G$65,"&gt;="&amp;$B35)</f>
        <v>0</v>
      </c>
      <c r="AF35" s="26" t="n">
        <f aca="false">SUMIFS('Outages (event ledger)'!$H$2:$H$65,'Outages (event ledger)'!$A$2:$A$65,AF$2,'Outages (event ledger)'!$E$2:$E$65,"&lt;="&amp;$B35,'Outages (event ledger)'!$G$2:$G$65,"&gt;="&amp;$B35)</f>
        <v>0</v>
      </c>
      <c r="AG35" s="26" t="n">
        <f aca="false">SUMIFS('Outages (event ledger)'!$H$2:$H$65,'Outages (event ledger)'!$A$2:$A$65,AG$2,'Outages (event ledger)'!$E$2:$E$65,"&lt;="&amp;$B35,'Outages (event ledger)'!$G$2:$G$65,"&gt;="&amp;$B35)</f>
        <v>0</v>
      </c>
      <c r="AH35" s="26" t="n">
        <f aca="false">SUMIFS('Outages (event ledger)'!$H$2:$H$65,'Outages (event ledger)'!$A$2:$A$65,AH$2,'Outages (event ledger)'!$E$2:$E$65,"&lt;="&amp;$B35,'Outages (event ledger)'!$G$2:$G$65,"&gt;="&amp;$B35)</f>
        <v>0</v>
      </c>
      <c r="AI35" s="26" t="n">
        <f aca="false">SUMIFS('Outages (event ledger)'!$H$2:$H$65,'Outages (event ledger)'!$A$2:$A$65,AI$2,'Outages (event ledger)'!$E$2:$E$65,"&lt;="&amp;$B35,'Outages (event ledger)'!$G$2:$G$65,"&gt;="&amp;$B35)</f>
        <v>0</v>
      </c>
      <c r="AJ35" s="26" t="n">
        <f aca="false">SUMIFS('Outages (event ledger)'!$H$2:$H$65,'Outages (event ledger)'!$A$2:$A$65,AJ$2,'Outages (event ledger)'!$E$2:$E$65,"&lt;="&amp;$B35,'Outages (event ledger)'!$G$2:$G$65,"&gt;="&amp;$B35)</f>
        <v>0</v>
      </c>
      <c r="AK35" s="26" t="n">
        <f aca="false">SUMIFS('Outages (event ledger)'!$H$2:$H$65,'Outages (event ledger)'!$A$2:$A$65,AK$2,'Outages (event ledger)'!$E$2:$E$65,"&lt;="&amp;$B35,'Outages (event ledger)'!$G$2:$G$65,"&gt;="&amp;$B35)</f>
        <v>0</v>
      </c>
      <c r="AL35" s="26" t="n">
        <f aca="false">SUMIFS('Outages (event ledger)'!$H$2:$H$65,'Outages (event ledger)'!$A$2:$A$65,AL$2,'Outages (event ledger)'!$E$2:$E$65,"&lt;="&amp;$B35,'Outages (event ledger)'!$G$2:$G$65,"&gt;="&amp;$B35)</f>
        <v>0</v>
      </c>
      <c r="AM35" s="26" t="n">
        <f aca="false">SUMIFS('Outages (event ledger)'!$H$2:$H$65,'Outages (event ledger)'!$A$2:$A$65,AM$2,'Outages (event ledger)'!$E$2:$E$65,"&lt;="&amp;$B35,'Outages (event ledger)'!$G$2:$G$65,"&gt;="&amp;$B35)</f>
        <v>0</v>
      </c>
      <c r="AN35" s="26" t="n">
        <f aca="false">SUMIFS('Outages (event ledger)'!$H$2:$H$65,'Outages (event ledger)'!$A$2:$A$65,AN$2,'Outages (event ledger)'!$E$2:$E$65,"&lt;="&amp;$B35,'Outages (event ledger)'!$G$2:$G$65,"&gt;="&amp;$B35)</f>
        <v>0</v>
      </c>
      <c r="AO35" s="26" t="n">
        <f aca="false">SUMIFS('Outages (event ledger)'!$H$2:$H$65,'Outages (event ledger)'!$A$2:$A$65,AO$2,'Outages (event ledger)'!$E$2:$E$65,"&lt;="&amp;$B35,'Outages (event ledger)'!$G$2:$G$65,"&gt;="&amp;$B35)</f>
        <v>0</v>
      </c>
      <c r="AP35" s="26" t="n">
        <f aca="false">SUMIFS('Outages (event ledger)'!$H$2:$H$65,'Outages (event ledger)'!$A$2:$A$65,AP$2,'Outages (event ledger)'!$E$2:$E$65,"&lt;="&amp;$B35,'Outages (event ledger)'!$G$2:$G$65,"&gt;="&amp;$B35)</f>
        <v>0</v>
      </c>
      <c r="AQ35" s="26" t="n">
        <f aca="false">SUMIFS('Outages (event ledger)'!$H$2:$H$65,'Outages (event ledger)'!$A$2:$A$65,AQ$2,'Outages (event ledger)'!$E$2:$E$65,"&lt;="&amp;$B35,'Outages (event ledger)'!$G$2:$G$65,"&gt;="&amp;$B35)</f>
        <v>0</v>
      </c>
      <c r="AR35" s="26" t="n">
        <f aca="false">SUMIFS('Outages (event ledger)'!$H$2:$H$65,'Outages (event ledger)'!$A$2:$A$65,AR$2,'Outages (event ledger)'!$E$2:$E$65,"&lt;="&amp;$B35,'Outages (event ledger)'!$G$2:$G$65,"&gt;="&amp;$B35)</f>
        <v>0</v>
      </c>
      <c r="AS35" s="26" t="n">
        <f aca="false">SUMIFS('Outages (event ledger)'!$H$2:$H$65,'Outages (event ledger)'!$A$2:$A$65,AS$2,'Outages (event ledger)'!$E$2:$E$65,"&lt;="&amp;$B35,'Outages (event ledger)'!$G$2:$G$65,"&gt;="&amp;$B35)</f>
        <v>0</v>
      </c>
      <c r="AT35" s="26" t="n">
        <f aca="false">SUMIFS('Outages (event ledger)'!$H$2:$H$65,'Outages (event ledger)'!$A$2:$A$65,AT$2,'Outages (event ledger)'!$E$2:$E$65,"&lt;="&amp;$B35,'Outages (event ledger)'!$G$2:$G$65,"&gt;="&amp;$B35)</f>
        <v>0</v>
      </c>
      <c r="AU35" s="26" t="n">
        <f aca="false">SUMIFS('Outages (event ledger)'!$H$2:$H$65,'Outages (event ledger)'!$A$2:$A$65,AU$2,'Outages (event ledger)'!$E$2:$E$65,"&lt;="&amp;$B35,'Outages (event ledger)'!$G$2:$G$65,"&gt;="&amp;$B35)</f>
        <v>0</v>
      </c>
      <c r="AV35" s="26" t="n">
        <f aca="false">SUMIFS('Outages (event ledger)'!$H$2:$H$65,'Outages (event ledger)'!$A$2:$A$65,AV$2,'Outages (event ledger)'!$E$2:$E$65,"&lt;="&amp;$B35,'Outages (event ledger)'!$G$2:$G$65,"&gt;="&amp;$B35)</f>
        <v>0</v>
      </c>
      <c r="AW35" s="26" t="n">
        <f aca="false">SUMIFS('Outages (event ledger)'!$H$2:$H$65,'Outages (event ledger)'!$A$2:$A$65,AW$2,'Outages (event ledger)'!$E$2:$E$65,"&lt;="&amp;$B35,'Outages (event ledger)'!$G$2:$G$65,"&gt;="&amp;$B35)</f>
        <v>0</v>
      </c>
      <c r="AX35" s="26" t="n">
        <f aca="false">SUMIFS('Outages (event ledger)'!$H$2:$H$65,'Outages (event ledger)'!$A$2:$A$65,AX$2,'Outages (event ledger)'!$E$2:$E$65,"&lt;="&amp;$B35,'Outages (event ledger)'!$G$2:$G$65,"&gt;="&amp;$B35)</f>
        <v>0</v>
      </c>
      <c r="AY35" s="26" t="n">
        <f aca="false">SUMIFS('Outages (event ledger)'!$H$2:$H$65,'Outages (event ledger)'!$A$2:$A$65,AY$2,'Outages (event ledger)'!$E$2:$E$65,"&lt;="&amp;$B35,'Outages (event ledger)'!$G$2:$G$65,"&gt;="&amp;$B35)</f>
        <v>0</v>
      </c>
      <c r="AZ35" s="26" t="n">
        <f aca="false">SUMIFS('Outages (event ledger)'!$H$2:$H$65,'Outages (event ledger)'!$A$2:$A$65,AZ$2,'Outages (event ledger)'!$E$2:$E$65,"&lt;="&amp;$B35,'Outages (event ledger)'!$G$2:$G$65,"&gt;="&amp;$B35)</f>
        <v>0</v>
      </c>
      <c r="BA35" s="26" t="n">
        <f aca="false">SUMIFS('Outages (event ledger)'!$H$2:$H$65,'Outages (event ledger)'!$A$2:$A$65,BA$2,'Outages (event ledger)'!$E$2:$E$65,"&lt;="&amp;$B35,'Outages (event ledger)'!$G$2:$G$65,"&gt;="&amp;$B35)</f>
        <v>0</v>
      </c>
      <c r="BB35" s="26" t="n">
        <f aca="false">SUMIFS('Outages (event ledger)'!$H$2:$H$65,'Outages (event ledger)'!$A$2:$A$65,BB$2,'Outages (event ledger)'!$E$2:$E$65,"&lt;="&amp;$B35,'Outages (event ledger)'!$G$2:$G$65,"&gt;="&amp;$B35)</f>
        <v>0</v>
      </c>
      <c r="BC35" s="26" t="n">
        <f aca="false">SUMIFS('Outages (event ledger)'!$H$2:$H$65,'Outages (event ledger)'!$A$2:$A$65,BC$2,'Outages (event ledger)'!$E$2:$E$65,"&lt;="&amp;$B35,'Outages (event ledger)'!$G$2:$G$65,"&gt;="&amp;$B35)</f>
        <v>0</v>
      </c>
      <c r="BD35" s="26" t="n">
        <f aca="false">SUMIFS('Outages (event ledger)'!$H$2:$H$65,'Outages (event ledger)'!$A$2:$A$65,BD$2,'Outages (event ledger)'!$E$2:$E$65,"&lt;="&amp;$B35,'Outages (event ledger)'!$G$2:$G$65,"&gt;="&amp;$B35)</f>
        <v>0</v>
      </c>
      <c r="BE35" s="26" t="n">
        <f aca="false">SUMIFS('Outages (event ledger)'!$H$2:$H$65,'Outages (event ledger)'!$A$2:$A$65,BE$2,'Outages (event ledger)'!$E$2:$E$65,"&lt;="&amp;$B35,'Outages (event ledger)'!$G$2:$G$65,"&gt;="&amp;$B35)</f>
        <v>0</v>
      </c>
      <c r="BF35" s="26" t="n">
        <f aca="false">SUMIFS('Outages (event ledger)'!$H$2:$H$65,'Outages (event ledger)'!$A$2:$A$65,BF$2,'Outages (event ledger)'!$E$2:$E$65,"&lt;="&amp;$B35,'Outages (event ledger)'!$G$2:$G$65,"&gt;="&amp;$B35)</f>
        <v>0</v>
      </c>
      <c r="BG35" s="26" t="n">
        <f aca="false">SUMIFS('Outages (event ledger)'!$H$2:$H$65,'Outages (event ledger)'!$A$2:$A$65,BG$2,'Outages (event ledger)'!$E$2:$E$65,"&lt;="&amp;$B35,'Outages (event ledger)'!$G$2:$G$65,"&gt;="&amp;$B35)</f>
        <v>0</v>
      </c>
      <c r="BH35" s="26" t="n">
        <f aca="false">SUMIFS('Outages (event ledger)'!$H$2:$H$65,'Outages (event ledger)'!$A$2:$A$65,BH$2,'Outages (event ledger)'!$E$2:$E$65,"&lt;="&amp;$B35,'Outages (event ledger)'!$G$2:$G$65,"&gt;="&amp;$B35)</f>
        <v>0</v>
      </c>
      <c r="BI35" s="26" t="n">
        <f aca="false">SUMIFS('Outages (event ledger)'!$H$2:$H$65,'Outages (event ledger)'!$A$2:$A$65,BI$2,'Outages (event ledger)'!$E$2:$E$65,"&lt;="&amp;$B35,'Outages (event ledger)'!$G$2:$G$65,"&gt;="&amp;$B35)</f>
        <v>0</v>
      </c>
    </row>
    <row r="36" customFormat="false" ht="15" hidden="false" customHeight="false" outlineLevel="0" collapsed="false">
      <c r="A36" s="23" t="n">
        <v>41183</v>
      </c>
      <c r="B36" s="24" t="n">
        <v>201210</v>
      </c>
      <c r="C36" s="25" t="n">
        <f aca="false">SUM(D36:BI36)</f>
        <v>8</v>
      </c>
      <c r="D36" s="26" t="n">
        <f aca="false">SUMIFS('Outages (event ledger)'!$H$2:$H$65,'Outages (event ledger)'!$A$2:$A$65,D$2,'Outages (event ledger)'!$E$2:$E$65,"&lt;="&amp;$B36,'Outages (event ledger)'!$G$2:$G$65,"&gt;="&amp;$B36)</f>
        <v>0</v>
      </c>
      <c r="E36" s="26" t="n">
        <f aca="false">SUMIFS('Outages (event ledger)'!$H$2:$H$65,'Outages (event ledger)'!$A$2:$A$65,E$2,'Outages (event ledger)'!$E$2:$E$65,"&lt;="&amp;$B36,'Outages (event ledger)'!$G$2:$G$65,"&gt;="&amp;$B36)</f>
        <v>0</v>
      </c>
      <c r="F36" s="26" t="n">
        <f aca="false">SUMIFS('Outages (event ledger)'!$H$2:$H$65,'Outages (event ledger)'!$A$2:$A$65,F$2,'Outages (event ledger)'!$E$2:$E$65,"&lt;="&amp;$B36,'Outages (event ledger)'!$G$2:$G$65,"&gt;="&amp;$B36)</f>
        <v>0</v>
      </c>
      <c r="G36" s="26" t="n">
        <f aca="false">SUMIFS('Outages (event ledger)'!$H$2:$H$65,'Outages (event ledger)'!$A$2:$A$65,G$2,'Outages (event ledger)'!$E$2:$E$65,"&lt;="&amp;$B36,'Outages (event ledger)'!$G$2:$G$65,"&gt;="&amp;$B36)</f>
        <v>0</v>
      </c>
      <c r="H36" s="26" t="n">
        <f aca="false">SUMIFS('Outages (event ledger)'!$H$2:$H$65,'Outages (event ledger)'!$A$2:$A$65,H$2,'Outages (event ledger)'!$E$2:$E$65,"&lt;="&amp;$B36,'Outages (event ledger)'!$G$2:$G$65,"&gt;="&amp;$B36)</f>
        <v>0</v>
      </c>
      <c r="I36" s="26" t="n">
        <f aca="false">SUMIFS('Outages (event ledger)'!$H$2:$H$65,'Outages (event ledger)'!$A$2:$A$65,I$2,'Outages (event ledger)'!$E$2:$E$65,"&lt;="&amp;$B36,'Outages (event ledger)'!$G$2:$G$65,"&gt;="&amp;$B36)</f>
        <v>0</v>
      </c>
      <c r="J36" s="26" t="n">
        <f aca="false">SUMIFS('Outages (event ledger)'!$H$2:$H$65,'Outages (event ledger)'!$A$2:$A$65,J$2,'Outages (event ledger)'!$E$2:$E$65,"&lt;="&amp;$B36,'Outages (event ledger)'!$G$2:$G$65,"&gt;="&amp;$B36)</f>
        <v>0</v>
      </c>
      <c r="K36" s="26" t="n">
        <f aca="false">SUMIFS('Outages (event ledger)'!$H$2:$H$65,'Outages (event ledger)'!$A$2:$A$65,K$2,'Outages (event ledger)'!$E$2:$E$65,"&lt;="&amp;$B36,'Outages (event ledger)'!$G$2:$G$65,"&gt;="&amp;$B36)</f>
        <v>0</v>
      </c>
      <c r="L36" s="26" t="n">
        <f aca="false">SUMIFS('Outages (event ledger)'!$H$2:$H$65,'Outages (event ledger)'!$A$2:$A$65,L$2,'Outages (event ledger)'!$E$2:$E$65,"&lt;="&amp;$B36,'Outages (event ledger)'!$G$2:$G$65,"&gt;="&amp;$B36)</f>
        <v>0</v>
      </c>
      <c r="M36" s="26" t="n">
        <f aca="false">SUMIFS('Outages (event ledger)'!$H$2:$H$65,'Outages (event ledger)'!$A$2:$A$65,M$2,'Outages (event ledger)'!$E$2:$E$65,"&lt;="&amp;$B36,'Outages (event ledger)'!$G$2:$G$65,"&gt;="&amp;$B36)</f>
        <v>0</v>
      </c>
      <c r="N36" s="26" t="n">
        <f aca="false">SUMIFS('Outages (event ledger)'!$H$2:$H$65,'Outages (event ledger)'!$A$2:$A$65,N$2,'Outages (event ledger)'!$E$2:$E$65,"&lt;="&amp;$B36,'Outages (event ledger)'!$G$2:$G$65,"&gt;="&amp;$B36)</f>
        <v>0</v>
      </c>
      <c r="O36" s="26" t="n">
        <f aca="false">SUMIFS('Outages (event ledger)'!$H$2:$H$65,'Outages (event ledger)'!$A$2:$A$65,O$2,'Outages (event ledger)'!$E$2:$E$65,"&lt;="&amp;$B36,'Outages (event ledger)'!$G$2:$G$65,"&gt;="&amp;$B36)</f>
        <v>0</v>
      </c>
      <c r="P36" s="26" t="n">
        <f aca="false">SUMIFS('Outages (event ledger)'!$H$2:$H$65,'Outages (event ledger)'!$A$2:$A$65,P$2,'Outages (event ledger)'!$E$2:$E$65,"&lt;="&amp;$B36,'Outages (event ledger)'!$G$2:$G$65,"&gt;="&amp;$B36)</f>
        <v>0</v>
      </c>
      <c r="Q36" s="26" t="n">
        <f aca="false">SUMIFS('Outages (event ledger)'!$H$2:$H$65,'Outages (event ledger)'!$A$2:$A$65,Q$2,'Outages (event ledger)'!$E$2:$E$65,"&lt;="&amp;$B36,'Outages (event ledger)'!$G$2:$G$65,"&gt;="&amp;$B36)</f>
        <v>0</v>
      </c>
      <c r="R36" s="26" t="n">
        <f aca="false">SUMIFS('Outages (event ledger)'!$H$2:$H$65,'Outages (event ledger)'!$A$2:$A$65,R$2,'Outages (event ledger)'!$E$2:$E$65,"&lt;="&amp;$B36,'Outages (event ledger)'!$G$2:$G$65,"&gt;="&amp;$B36)</f>
        <v>0</v>
      </c>
      <c r="S36" s="26" t="n">
        <f aca="false">SUMIFS('Outages (event ledger)'!$H$2:$H$65,'Outages (event ledger)'!$A$2:$A$65,S$2,'Outages (event ledger)'!$E$2:$E$65,"&lt;="&amp;$B36,'Outages (event ledger)'!$G$2:$G$65,"&gt;="&amp;$B36)</f>
        <v>0</v>
      </c>
      <c r="T36" s="26" t="n">
        <f aca="false">SUMIFS('Outages (event ledger)'!$H$2:$H$65,'Outages (event ledger)'!$A$2:$A$65,T$2,'Outages (event ledger)'!$E$2:$E$65,"&lt;="&amp;$B36,'Outages (event ledger)'!$G$2:$G$65,"&gt;="&amp;$B36)</f>
        <v>0</v>
      </c>
      <c r="U36" s="26" t="n">
        <f aca="false">SUMIFS('Outages (event ledger)'!$H$2:$H$65,'Outages (event ledger)'!$A$2:$A$65,U$2,'Outages (event ledger)'!$E$2:$E$65,"&lt;="&amp;$B36,'Outages (event ledger)'!$G$2:$G$65,"&gt;="&amp;$B36)</f>
        <v>0</v>
      </c>
      <c r="V36" s="26" t="n">
        <f aca="false">SUMIFS('Outages (event ledger)'!$H$2:$H$65,'Outages (event ledger)'!$A$2:$A$65,V$2,'Outages (event ledger)'!$E$2:$E$65,"&lt;="&amp;$B36,'Outages (event ledger)'!$G$2:$G$65,"&gt;="&amp;$B36)</f>
        <v>0</v>
      </c>
      <c r="W36" s="26" t="n">
        <f aca="false">SUMIFS('Outages (event ledger)'!$H$2:$H$65,'Outages (event ledger)'!$A$2:$A$65,W$2,'Outages (event ledger)'!$E$2:$E$65,"&lt;="&amp;$B36,'Outages (event ledger)'!$G$2:$G$65,"&gt;="&amp;$B36)</f>
        <v>0</v>
      </c>
      <c r="X36" s="26" t="n">
        <f aca="false">SUMIFS('Outages (event ledger)'!$H$2:$H$65,'Outages (event ledger)'!$A$2:$A$65,X$2,'Outages (event ledger)'!$E$2:$E$65,"&lt;="&amp;$B36,'Outages (event ledger)'!$G$2:$G$65,"&gt;="&amp;$B36)</f>
        <v>0</v>
      </c>
      <c r="Y36" s="26" t="n">
        <f aca="false">SUMIFS('Outages (event ledger)'!$H$2:$H$65,'Outages (event ledger)'!$A$2:$A$65,Y$2,'Outages (event ledger)'!$E$2:$E$65,"&lt;="&amp;$B36,'Outages (event ledger)'!$G$2:$G$65,"&gt;="&amp;$B36)</f>
        <v>0</v>
      </c>
      <c r="Z36" s="26" t="n">
        <f aca="false">SUMIFS('Outages (event ledger)'!$H$2:$H$65,'Outages (event ledger)'!$A$2:$A$65,Z$2,'Outages (event ledger)'!$E$2:$E$65,"&lt;="&amp;$B36,'Outages (event ledger)'!$G$2:$G$65,"&gt;="&amp;$B36)</f>
        <v>0</v>
      </c>
      <c r="AA36" s="26" t="n">
        <f aca="false">SUMIFS('Outages (event ledger)'!$H$2:$H$65,'Outages (event ledger)'!$A$2:$A$65,AA$2,'Outages (event ledger)'!$E$2:$E$65,"&lt;="&amp;$B36,'Outages (event ledger)'!$G$2:$G$65,"&gt;="&amp;$B36)</f>
        <v>0</v>
      </c>
      <c r="AB36" s="26" t="n">
        <f aca="false">SUMIFS('Outages (event ledger)'!$H$2:$H$65,'Outages (event ledger)'!$A$2:$A$65,AB$2,'Outages (event ledger)'!$E$2:$E$65,"&lt;="&amp;$B36,'Outages (event ledger)'!$G$2:$G$65,"&gt;="&amp;$B36)</f>
        <v>8</v>
      </c>
      <c r="AC36" s="26" t="n">
        <f aca="false">SUMIFS('Outages (event ledger)'!$H$2:$H$65,'Outages (event ledger)'!$A$2:$A$65,AC$2,'Outages (event ledger)'!$E$2:$E$65,"&lt;="&amp;$B36,'Outages (event ledger)'!$G$2:$G$65,"&gt;="&amp;$B36)</f>
        <v>0</v>
      </c>
      <c r="AD36" s="26" t="n">
        <f aca="false">SUMIFS('Outages (event ledger)'!$H$2:$H$65,'Outages (event ledger)'!$A$2:$A$65,AD$2,'Outages (event ledger)'!$E$2:$E$65,"&lt;="&amp;$B36,'Outages (event ledger)'!$G$2:$G$65,"&gt;="&amp;$B36)</f>
        <v>0</v>
      </c>
      <c r="AE36" s="26" t="n">
        <f aca="false">SUMIFS('Outages (event ledger)'!$H$2:$H$65,'Outages (event ledger)'!$A$2:$A$65,AE$2,'Outages (event ledger)'!$E$2:$E$65,"&lt;="&amp;$B36,'Outages (event ledger)'!$G$2:$G$65,"&gt;="&amp;$B36)</f>
        <v>0</v>
      </c>
      <c r="AF36" s="26" t="n">
        <f aca="false">SUMIFS('Outages (event ledger)'!$H$2:$H$65,'Outages (event ledger)'!$A$2:$A$65,AF$2,'Outages (event ledger)'!$E$2:$E$65,"&lt;="&amp;$B36,'Outages (event ledger)'!$G$2:$G$65,"&gt;="&amp;$B36)</f>
        <v>0</v>
      </c>
      <c r="AG36" s="26" t="n">
        <f aca="false">SUMIFS('Outages (event ledger)'!$H$2:$H$65,'Outages (event ledger)'!$A$2:$A$65,AG$2,'Outages (event ledger)'!$E$2:$E$65,"&lt;="&amp;$B36,'Outages (event ledger)'!$G$2:$G$65,"&gt;="&amp;$B36)</f>
        <v>0</v>
      </c>
      <c r="AH36" s="26" t="n">
        <f aca="false">SUMIFS('Outages (event ledger)'!$H$2:$H$65,'Outages (event ledger)'!$A$2:$A$65,AH$2,'Outages (event ledger)'!$E$2:$E$65,"&lt;="&amp;$B36,'Outages (event ledger)'!$G$2:$G$65,"&gt;="&amp;$B36)</f>
        <v>0</v>
      </c>
      <c r="AI36" s="26" t="n">
        <f aca="false">SUMIFS('Outages (event ledger)'!$H$2:$H$65,'Outages (event ledger)'!$A$2:$A$65,AI$2,'Outages (event ledger)'!$E$2:$E$65,"&lt;="&amp;$B36,'Outages (event ledger)'!$G$2:$G$65,"&gt;="&amp;$B36)</f>
        <v>0</v>
      </c>
      <c r="AJ36" s="26" t="n">
        <f aca="false">SUMIFS('Outages (event ledger)'!$H$2:$H$65,'Outages (event ledger)'!$A$2:$A$65,AJ$2,'Outages (event ledger)'!$E$2:$E$65,"&lt;="&amp;$B36,'Outages (event ledger)'!$G$2:$G$65,"&gt;="&amp;$B36)</f>
        <v>0</v>
      </c>
      <c r="AK36" s="26" t="n">
        <f aca="false">SUMIFS('Outages (event ledger)'!$H$2:$H$65,'Outages (event ledger)'!$A$2:$A$65,AK$2,'Outages (event ledger)'!$E$2:$E$65,"&lt;="&amp;$B36,'Outages (event ledger)'!$G$2:$G$65,"&gt;="&amp;$B36)</f>
        <v>0</v>
      </c>
      <c r="AL36" s="26" t="n">
        <f aca="false">SUMIFS('Outages (event ledger)'!$H$2:$H$65,'Outages (event ledger)'!$A$2:$A$65,AL$2,'Outages (event ledger)'!$E$2:$E$65,"&lt;="&amp;$B36,'Outages (event ledger)'!$G$2:$G$65,"&gt;="&amp;$B36)</f>
        <v>0</v>
      </c>
      <c r="AM36" s="26" t="n">
        <f aca="false">SUMIFS('Outages (event ledger)'!$H$2:$H$65,'Outages (event ledger)'!$A$2:$A$65,AM$2,'Outages (event ledger)'!$E$2:$E$65,"&lt;="&amp;$B36,'Outages (event ledger)'!$G$2:$G$65,"&gt;="&amp;$B36)</f>
        <v>0</v>
      </c>
      <c r="AN36" s="26" t="n">
        <f aca="false">SUMIFS('Outages (event ledger)'!$H$2:$H$65,'Outages (event ledger)'!$A$2:$A$65,AN$2,'Outages (event ledger)'!$E$2:$E$65,"&lt;="&amp;$B36,'Outages (event ledger)'!$G$2:$G$65,"&gt;="&amp;$B36)</f>
        <v>0</v>
      </c>
      <c r="AO36" s="26" t="n">
        <f aca="false">SUMIFS('Outages (event ledger)'!$H$2:$H$65,'Outages (event ledger)'!$A$2:$A$65,AO$2,'Outages (event ledger)'!$E$2:$E$65,"&lt;="&amp;$B36,'Outages (event ledger)'!$G$2:$G$65,"&gt;="&amp;$B36)</f>
        <v>0</v>
      </c>
      <c r="AP36" s="26" t="n">
        <f aca="false">SUMIFS('Outages (event ledger)'!$H$2:$H$65,'Outages (event ledger)'!$A$2:$A$65,AP$2,'Outages (event ledger)'!$E$2:$E$65,"&lt;="&amp;$B36,'Outages (event ledger)'!$G$2:$G$65,"&gt;="&amp;$B36)</f>
        <v>0</v>
      </c>
      <c r="AQ36" s="26" t="n">
        <f aca="false">SUMIFS('Outages (event ledger)'!$H$2:$H$65,'Outages (event ledger)'!$A$2:$A$65,AQ$2,'Outages (event ledger)'!$E$2:$E$65,"&lt;="&amp;$B36,'Outages (event ledger)'!$G$2:$G$65,"&gt;="&amp;$B36)</f>
        <v>0</v>
      </c>
      <c r="AR36" s="26" t="n">
        <f aca="false">SUMIFS('Outages (event ledger)'!$H$2:$H$65,'Outages (event ledger)'!$A$2:$A$65,AR$2,'Outages (event ledger)'!$E$2:$E$65,"&lt;="&amp;$B36,'Outages (event ledger)'!$G$2:$G$65,"&gt;="&amp;$B36)</f>
        <v>0</v>
      </c>
      <c r="AS36" s="26" t="n">
        <f aca="false">SUMIFS('Outages (event ledger)'!$H$2:$H$65,'Outages (event ledger)'!$A$2:$A$65,AS$2,'Outages (event ledger)'!$E$2:$E$65,"&lt;="&amp;$B36,'Outages (event ledger)'!$G$2:$G$65,"&gt;="&amp;$B36)</f>
        <v>0</v>
      </c>
      <c r="AT36" s="26" t="n">
        <f aca="false">SUMIFS('Outages (event ledger)'!$H$2:$H$65,'Outages (event ledger)'!$A$2:$A$65,AT$2,'Outages (event ledger)'!$E$2:$E$65,"&lt;="&amp;$B36,'Outages (event ledger)'!$G$2:$G$65,"&gt;="&amp;$B36)</f>
        <v>0</v>
      </c>
      <c r="AU36" s="26" t="n">
        <f aca="false">SUMIFS('Outages (event ledger)'!$H$2:$H$65,'Outages (event ledger)'!$A$2:$A$65,AU$2,'Outages (event ledger)'!$E$2:$E$65,"&lt;="&amp;$B36,'Outages (event ledger)'!$G$2:$G$65,"&gt;="&amp;$B36)</f>
        <v>0</v>
      </c>
      <c r="AV36" s="26" t="n">
        <f aca="false">SUMIFS('Outages (event ledger)'!$H$2:$H$65,'Outages (event ledger)'!$A$2:$A$65,AV$2,'Outages (event ledger)'!$E$2:$E$65,"&lt;="&amp;$B36,'Outages (event ledger)'!$G$2:$G$65,"&gt;="&amp;$B36)</f>
        <v>0</v>
      </c>
      <c r="AW36" s="26" t="n">
        <f aca="false">SUMIFS('Outages (event ledger)'!$H$2:$H$65,'Outages (event ledger)'!$A$2:$A$65,AW$2,'Outages (event ledger)'!$E$2:$E$65,"&lt;="&amp;$B36,'Outages (event ledger)'!$G$2:$G$65,"&gt;="&amp;$B36)</f>
        <v>0</v>
      </c>
      <c r="AX36" s="26" t="n">
        <f aca="false">SUMIFS('Outages (event ledger)'!$H$2:$H$65,'Outages (event ledger)'!$A$2:$A$65,AX$2,'Outages (event ledger)'!$E$2:$E$65,"&lt;="&amp;$B36,'Outages (event ledger)'!$G$2:$G$65,"&gt;="&amp;$B36)</f>
        <v>0</v>
      </c>
      <c r="AY36" s="26" t="n">
        <f aca="false">SUMIFS('Outages (event ledger)'!$H$2:$H$65,'Outages (event ledger)'!$A$2:$A$65,AY$2,'Outages (event ledger)'!$E$2:$E$65,"&lt;="&amp;$B36,'Outages (event ledger)'!$G$2:$G$65,"&gt;="&amp;$B36)</f>
        <v>0</v>
      </c>
      <c r="AZ36" s="26" t="n">
        <f aca="false">SUMIFS('Outages (event ledger)'!$H$2:$H$65,'Outages (event ledger)'!$A$2:$A$65,AZ$2,'Outages (event ledger)'!$E$2:$E$65,"&lt;="&amp;$B36,'Outages (event ledger)'!$G$2:$G$65,"&gt;="&amp;$B36)</f>
        <v>0</v>
      </c>
      <c r="BA36" s="26" t="n">
        <f aca="false">SUMIFS('Outages (event ledger)'!$H$2:$H$65,'Outages (event ledger)'!$A$2:$A$65,BA$2,'Outages (event ledger)'!$E$2:$E$65,"&lt;="&amp;$B36,'Outages (event ledger)'!$G$2:$G$65,"&gt;="&amp;$B36)</f>
        <v>0</v>
      </c>
      <c r="BB36" s="26" t="n">
        <f aca="false">SUMIFS('Outages (event ledger)'!$H$2:$H$65,'Outages (event ledger)'!$A$2:$A$65,BB$2,'Outages (event ledger)'!$E$2:$E$65,"&lt;="&amp;$B36,'Outages (event ledger)'!$G$2:$G$65,"&gt;="&amp;$B36)</f>
        <v>0</v>
      </c>
      <c r="BC36" s="26" t="n">
        <f aca="false">SUMIFS('Outages (event ledger)'!$H$2:$H$65,'Outages (event ledger)'!$A$2:$A$65,BC$2,'Outages (event ledger)'!$E$2:$E$65,"&lt;="&amp;$B36,'Outages (event ledger)'!$G$2:$G$65,"&gt;="&amp;$B36)</f>
        <v>0</v>
      </c>
      <c r="BD36" s="26" t="n">
        <f aca="false">SUMIFS('Outages (event ledger)'!$H$2:$H$65,'Outages (event ledger)'!$A$2:$A$65,BD$2,'Outages (event ledger)'!$E$2:$E$65,"&lt;="&amp;$B36,'Outages (event ledger)'!$G$2:$G$65,"&gt;="&amp;$B36)</f>
        <v>0</v>
      </c>
      <c r="BE36" s="26" t="n">
        <f aca="false">SUMIFS('Outages (event ledger)'!$H$2:$H$65,'Outages (event ledger)'!$A$2:$A$65,BE$2,'Outages (event ledger)'!$E$2:$E$65,"&lt;="&amp;$B36,'Outages (event ledger)'!$G$2:$G$65,"&gt;="&amp;$B36)</f>
        <v>0</v>
      </c>
      <c r="BF36" s="26" t="n">
        <f aca="false">SUMIFS('Outages (event ledger)'!$H$2:$H$65,'Outages (event ledger)'!$A$2:$A$65,BF$2,'Outages (event ledger)'!$E$2:$E$65,"&lt;="&amp;$B36,'Outages (event ledger)'!$G$2:$G$65,"&gt;="&amp;$B36)</f>
        <v>0</v>
      </c>
      <c r="BG36" s="26" t="n">
        <f aca="false">SUMIFS('Outages (event ledger)'!$H$2:$H$65,'Outages (event ledger)'!$A$2:$A$65,BG$2,'Outages (event ledger)'!$E$2:$E$65,"&lt;="&amp;$B36,'Outages (event ledger)'!$G$2:$G$65,"&gt;="&amp;$B36)</f>
        <v>0</v>
      </c>
      <c r="BH36" s="26" t="n">
        <f aca="false">SUMIFS('Outages (event ledger)'!$H$2:$H$65,'Outages (event ledger)'!$A$2:$A$65,BH$2,'Outages (event ledger)'!$E$2:$E$65,"&lt;="&amp;$B36,'Outages (event ledger)'!$G$2:$G$65,"&gt;="&amp;$B36)</f>
        <v>0</v>
      </c>
      <c r="BI36" s="26" t="n">
        <f aca="false">SUMIFS('Outages (event ledger)'!$H$2:$H$65,'Outages (event ledger)'!$A$2:$A$65,BI$2,'Outages (event ledger)'!$E$2:$E$65,"&lt;="&amp;$B36,'Outages (event ledger)'!$G$2:$G$65,"&gt;="&amp;$B36)</f>
        <v>0</v>
      </c>
    </row>
    <row r="37" customFormat="false" ht="15" hidden="false" customHeight="false" outlineLevel="0" collapsed="false">
      <c r="A37" s="23" t="n">
        <v>41214</v>
      </c>
      <c r="B37" s="24" t="n">
        <v>201211</v>
      </c>
      <c r="C37" s="25" t="n">
        <f aca="false">SUM(D37:BI37)</f>
        <v>8</v>
      </c>
      <c r="D37" s="26" t="n">
        <f aca="false">SUMIFS('Outages (event ledger)'!$H$2:$H$65,'Outages (event ledger)'!$A$2:$A$65,D$2,'Outages (event ledger)'!$E$2:$E$65,"&lt;="&amp;$B37,'Outages (event ledger)'!$G$2:$G$65,"&gt;="&amp;$B37)</f>
        <v>0</v>
      </c>
      <c r="E37" s="26" t="n">
        <f aca="false">SUMIFS('Outages (event ledger)'!$H$2:$H$65,'Outages (event ledger)'!$A$2:$A$65,E$2,'Outages (event ledger)'!$E$2:$E$65,"&lt;="&amp;$B37,'Outages (event ledger)'!$G$2:$G$65,"&gt;="&amp;$B37)</f>
        <v>0</v>
      </c>
      <c r="F37" s="26" t="n">
        <f aca="false">SUMIFS('Outages (event ledger)'!$H$2:$H$65,'Outages (event ledger)'!$A$2:$A$65,F$2,'Outages (event ledger)'!$E$2:$E$65,"&lt;="&amp;$B37,'Outages (event ledger)'!$G$2:$G$65,"&gt;="&amp;$B37)</f>
        <v>0</v>
      </c>
      <c r="G37" s="26" t="n">
        <f aca="false">SUMIFS('Outages (event ledger)'!$H$2:$H$65,'Outages (event ledger)'!$A$2:$A$65,G$2,'Outages (event ledger)'!$E$2:$E$65,"&lt;="&amp;$B37,'Outages (event ledger)'!$G$2:$G$65,"&gt;="&amp;$B37)</f>
        <v>0</v>
      </c>
      <c r="H37" s="26" t="n">
        <f aca="false">SUMIFS('Outages (event ledger)'!$H$2:$H$65,'Outages (event ledger)'!$A$2:$A$65,H$2,'Outages (event ledger)'!$E$2:$E$65,"&lt;="&amp;$B37,'Outages (event ledger)'!$G$2:$G$65,"&gt;="&amp;$B37)</f>
        <v>0</v>
      </c>
      <c r="I37" s="26" t="n">
        <f aca="false">SUMIFS('Outages (event ledger)'!$H$2:$H$65,'Outages (event ledger)'!$A$2:$A$65,I$2,'Outages (event ledger)'!$E$2:$E$65,"&lt;="&amp;$B37,'Outages (event ledger)'!$G$2:$G$65,"&gt;="&amp;$B37)</f>
        <v>0</v>
      </c>
      <c r="J37" s="26" t="n">
        <f aca="false">SUMIFS('Outages (event ledger)'!$H$2:$H$65,'Outages (event ledger)'!$A$2:$A$65,J$2,'Outages (event ledger)'!$E$2:$E$65,"&lt;="&amp;$B37,'Outages (event ledger)'!$G$2:$G$65,"&gt;="&amp;$B37)</f>
        <v>0</v>
      </c>
      <c r="K37" s="26" t="n">
        <f aca="false">SUMIFS('Outages (event ledger)'!$H$2:$H$65,'Outages (event ledger)'!$A$2:$A$65,K$2,'Outages (event ledger)'!$E$2:$E$65,"&lt;="&amp;$B37,'Outages (event ledger)'!$G$2:$G$65,"&gt;="&amp;$B37)</f>
        <v>0</v>
      </c>
      <c r="L37" s="26" t="n">
        <f aca="false">SUMIFS('Outages (event ledger)'!$H$2:$H$65,'Outages (event ledger)'!$A$2:$A$65,L$2,'Outages (event ledger)'!$E$2:$E$65,"&lt;="&amp;$B37,'Outages (event ledger)'!$G$2:$G$65,"&gt;="&amp;$B37)</f>
        <v>0</v>
      </c>
      <c r="M37" s="26" t="n">
        <f aca="false">SUMIFS('Outages (event ledger)'!$H$2:$H$65,'Outages (event ledger)'!$A$2:$A$65,M$2,'Outages (event ledger)'!$E$2:$E$65,"&lt;="&amp;$B37,'Outages (event ledger)'!$G$2:$G$65,"&gt;="&amp;$B37)</f>
        <v>0</v>
      </c>
      <c r="N37" s="26" t="n">
        <f aca="false">SUMIFS('Outages (event ledger)'!$H$2:$H$65,'Outages (event ledger)'!$A$2:$A$65,N$2,'Outages (event ledger)'!$E$2:$E$65,"&lt;="&amp;$B37,'Outages (event ledger)'!$G$2:$G$65,"&gt;="&amp;$B37)</f>
        <v>0</v>
      </c>
      <c r="O37" s="26" t="n">
        <f aca="false">SUMIFS('Outages (event ledger)'!$H$2:$H$65,'Outages (event ledger)'!$A$2:$A$65,O$2,'Outages (event ledger)'!$E$2:$E$65,"&lt;="&amp;$B37,'Outages (event ledger)'!$G$2:$G$65,"&gt;="&amp;$B37)</f>
        <v>0</v>
      </c>
      <c r="P37" s="26" t="n">
        <f aca="false">SUMIFS('Outages (event ledger)'!$H$2:$H$65,'Outages (event ledger)'!$A$2:$A$65,P$2,'Outages (event ledger)'!$E$2:$E$65,"&lt;="&amp;$B37,'Outages (event ledger)'!$G$2:$G$65,"&gt;="&amp;$B37)</f>
        <v>0</v>
      </c>
      <c r="Q37" s="26" t="n">
        <f aca="false">SUMIFS('Outages (event ledger)'!$H$2:$H$65,'Outages (event ledger)'!$A$2:$A$65,Q$2,'Outages (event ledger)'!$E$2:$E$65,"&lt;="&amp;$B37,'Outages (event ledger)'!$G$2:$G$65,"&gt;="&amp;$B37)</f>
        <v>0</v>
      </c>
      <c r="R37" s="26" t="n">
        <f aca="false">SUMIFS('Outages (event ledger)'!$H$2:$H$65,'Outages (event ledger)'!$A$2:$A$65,R$2,'Outages (event ledger)'!$E$2:$E$65,"&lt;="&amp;$B37,'Outages (event ledger)'!$G$2:$G$65,"&gt;="&amp;$B37)</f>
        <v>0</v>
      </c>
      <c r="S37" s="26" t="n">
        <f aca="false">SUMIFS('Outages (event ledger)'!$H$2:$H$65,'Outages (event ledger)'!$A$2:$A$65,S$2,'Outages (event ledger)'!$E$2:$E$65,"&lt;="&amp;$B37,'Outages (event ledger)'!$G$2:$G$65,"&gt;="&amp;$B37)</f>
        <v>0</v>
      </c>
      <c r="T37" s="26" t="n">
        <f aca="false">SUMIFS('Outages (event ledger)'!$H$2:$H$65,'Outages (event ledger)'!$A$2:$A$65,T$2,'Outages (event ledger)'!$E$2:$E$65,"&lt;="&amp;$B37,'Outages (event ledger)'!$G$2:$G$65,"&gt;="&amp;$B37)</f>
        <v>0</v>
      </c>
      <c r="U37" s="26" t="n">
        <f aca="false">SUMIFS('Outages (event ledger)'!$H$2:$H$65,'Outages (event ledger)'!$A$2:$A$65,U$2,'Outages (event ledger)'!$E$2:$E$65,"&lt;="&amp;$B37,'Outages (event ledger)'!$G$2:$G$65,"&gt;="&amp;$B37)</f>
        <v>0</v>
      </c>
      <c r="V37" s="26" t="n">
        <f aca="false">SUMIFS('Outages (event ledger)'!$H$2:$H$65,'Outages (event ledger)'!$A$2:$A$65,V$2,'Outages (event ledger)'!$E$2:$E$65,"&lt;="&amp;$B37,'Outages (event ledger)'!$G$2:$G$65,"&gt;="&amp;$B37)</f>
        <v>0</v>
      </c>
      <c r="W37" s="26" t="n">
        <f aca="false">SUMIFS('Outages (event ledger)'!$H$2:$H$65,'Outages (event ledger)'!$A$2:$A$65,W$2,'Outages (event ledger)'!$E$2:$E$65,"&lt;="&amp;$B37,'Outages (event ledger)'!$G$2:$G$65,"&gt;="&amp;$B37)</f>
        <v>0</v>
      </c>
      <c r="X37" s="26" t="n">
        <f aca="false">SUMIFS('Outages (event ledger)'!$H$2:$H$65,'Outages (event ledger)'!$A$2:$A$65,X$2,'Outages (event ledger)'!$E$2:$E$65,"&lt;="&amp;$B37,'Outages (event ledger)'!$G$2:$G$65,"&gt;="&amp;$B37)</f>
        <v>0</v>
      </c>
      <c r="Y37" s="26" t="n">
        <f aca="false">SUMIFS('Outages (event ledger)'!$H$2:$H$65,'Outages (event ledger)'!$A$2:$A$65,Y$2,'Outages (event ledger)'!$E$2:$E$65,"&lt;="&amp;$B37,'Outages (event ledger)'!$G$2:$G$65,"&gt;="&amp;$B37)</f>
        <v>0</v>
      </c>
      <c r="Z37" s="26" t="n">
        <f aca="false">SUMIFS('Outages (event ledger)'!$H$2:$H$65,'Outages (event ledger)'!$A$2:$A$65,Z$2,'Outages (event ledger)'!$E$2:$E$65,"&lt;="&amp;$B37,'Outages (event ledger)'!$G$2:$G$65,"&gt;="&amp;$B37)</f>
        <v>0</v>
      </c>
      <c r="AA37" s="26" t="n">
        <f aca="false">SUMIFS('Outages (event ledger)'!$H$2:$H$65,'Outages (event ledger)'!$A$2:$A$65,AA$2,'Outages (event ledger)'!$E$2:$E$65,"&lt;="&amp;$B37,'Outages (event ledger)'!$G$2:$G$65,"&gt;="&amp;$B37)</f>
        <v>0</v>
      </c>
      <c r="AB37" s="26" t="n">
        <f aca="false">SUMIFS('Outages (event ledger)'!$H$2:$H$65,'Outages (event ledger)'!$A$2:$A$65,AB$2,'Outages (event ledger)'!$E$2:$E$65,"&lt;="&amp;$B37,'Outages (event ledger)'!$G$2:$G$65,"&gt;="&amp;$B37)</f>
        <v>8</v>
      </c>
      <c r="AC37" s="26" t="n">
        <f aca="false">SUMIFS('Outages (event ledger)'!$H$2:$H$65,'Outages (event ledger)'!$A$2:$A$65,AC$2,'Outages (event ledger)'!$E$2:$E$65,"&lt;="&amp;$B37,'Outages (event ledger)'!$G$2:$G$65,"&gt;="&amp;$B37)</f>
        <v>0</v>
      </c>
      <c r="AD37" s="26" t="n">
        <f aca="false">SUMIFS('Outages (event ledger)'!$H$2:$H$65,'Outages (event ledger)'!$A$2:$A$65,AD$2,'Outages (event ledger)'!$E$2:$E$65,"&lt;="&amp;$B37,'Outages (event ledger)'!$G$2:$G$65,"&gt;="&amp;$B37)</f>
        <v>0</v>
      </c>
      <c r="AE37" s="26" t="n">
        <f aca="false">SUMIFS('Outages (event ledger)'!$H$2:$H$65,'Outages (event ledger)'!$A$2:$A$65,AE$2,'Outages (event ledger)'!$E$2:$E$65,"&lt;="&amp;$B37,'Outages (event ledger)'!$G$2:$G$65,"&gt;="&amp;$B37)</f>
        <v>0</v>
      </c>
      <c r="AF37" s="26" t="n">
        <f aca="false">SUMIFS('Outages (event ledger)'!$H$2:$H$65,'Outages (event ledger)'!$A$2:$A$65,AF$2,'Outages (event ledger)'!$E$2:$E$65,"&lt;="&amp;$B37,'Outages (event ledger)'!$G$2:$G$65,"&gt;="&amp;$B37)</f>
        <v>0</v>
      </c>
      <c r="AG37" s="26" t="n">
        <f aca="false">SUMIFS('Outages (event ledger)'!$H$2:$H$65,'Outages (event ledger)'!$A$2:$A$65,AG$2,'Outages (event ledger)'!$E$2:$E$65,"&lt;="&amp;$B37,'Outages (event ledger)'!$G$2:$G$65,"&gt;="&amp;$B37)</f>
        <v>0</v>
      </c>
      <c r="AH37" s="26" t="n">
        <f aca="false">SUMIFS('Outages (event ledger)'!$H$2:$H$65,'Outages (event ledger)'!$A$2:$A$65,AH$2,'Outages (event ledger)'!$E$2:$E$65,"&lt;="&amp;$B37,'Outages (event ledger)'!$G$2:$G$65,"&gt;="&amp;$B37)</f>
        <v>0</v>
      </c>
      <c r="AI37" s="26" t="n">
        <f aca="false">SUMIFS('Outages (event ledger)'!$H$2:$H$65,'Outages (event ledger)'!$A$2:$A$65,AI$2,'Outages (event ledger)'!$E$2:$E$65,"&lt;="&amp;$B37,'Outages (event ledger)'!$G$2:$G$65,"&gt;="&amp;$B37)</f>
        <v>0</v>
      </c>
      <c r="AJ37" s="26" t="n">
        <f aca="false">SUMIFS('Outages (event ledger)'!$H$2:$H$65,'Outages (event ledger)'!$A$2:$A$65,AJ$2,'Outages (event ledger)'!$E$2:$E$65,"&lt;="&amp;$B37,'Outages (event ledger)'!$G$2:$G$65,"&gt;="&amp;$B37)</f>
        <v>0</v>
      </c>
      <c r="AK37" s="26" t="n">
        <f aca="false">SUMIFS('Outages (event ledger)'!$H$2:$H$65,'Outages (event ledger)'!$A$2:$A$65,AK$2,'Outages (event ledger)'!$E$2:$E$65,"&lt;="&amp;$B37,'Outages (event ledger)'!$G$2:$G$65,"&gt;="&amp;$B37)</f>
        <v>0</v>
      </c>
      <c r="AL37" s="26" t="n">
        <f aca="false">SUMIFS('Outages (event ledger)'!$H$2:$H$65,'Outages (event ledger)'!$A$2:$A$65,AL$2,'Outages (event ledger)'!$E$2:$E$65,"&lt;="&amp;$B37,'Outages (event ledger)'!$G$2:$G$65,"&gt;="&amp;$B37)</f>
        <v>0</v>
      </c>
      <c r="AM37" s="26" t="n">
        <f aca="false">SUMIFS('Outages (event ledger)'!$H$2:$H$65,'Outages (event ledger)'!$A$2:$A$65,AM$2,'Outages (event ledger)'!$E$2:$E$65,"&lt;="&amp;$B37,'Outages (event ledger)'!$G$2:$G$65,"&gt;="&amp;$B37)</f>
        <v>0</v>
      </c>
      <c r="AN37" s="26" t="n">
        <f aca="false">SUMIFS('Outages (event ledger)'!$H$2:$H$65,'Outages (event ledger)'!$A$2:$A$65,AN$2,'Outages (event ledger)'!$E$2:$E$65,"&lt;="&amp;$B37,'Outages (event ledger)'!$G$2:$G$65,"&gt;="&amp;$B37)</f>
        <v>0</v>
      </c>
      <c r="AO37" s="26" t="n">
        <f aca="false">SUMIFS('Outages (event ledger)'!$H$2:$H$65,'Outages (event ledger)'!$A$2:$A$65,AO$2,'Outages (event ledger)'!$E$2:$E$65,"&lt;="&amp;$B37,'Outages (event ledger)'!$G$2:$G$65,"&gt;="&amp;$B37)</f>
        <v>0</v>
      </c>
      <c r="AP37" s="26" t="n">
        <f aca="false">SUMIFS('Outages (event ledger)'!$H$2:$H$65,'Outages (event ledger)'!$A$2:$A$65,AP$2,'Outages (event ledger)'!$E$2:$E$65,"&lt;="&amp;$B37,'Outages (event ledger)'!$G$2:$G$65,"&gt;="&amp;$B37)</f>
        <v>0</v>
      </c>
      <c r="AQ37" s="26" t="n">
        <f aca="false">SUMIFS('Outages (event ledger)'!$H$2:$H$65,'Outages (event ledger)'!$A$2:$A$65,AQ$2,'Outages (event ledger)'!$E$2:$E$65,"&lt;="&amp;$B37,'Outages (event ledger)'!$G$2:$G$65,"&gt;="&amp;$B37)</f>
        <v>0</v>
      </c>
      <c r="AR37" s="26" t="n">
        <f aca="false">SUMIFS('Outages (event ledger)'!$H$2:$H$65,'Outages (event ledger)'!$A$2:$A$65,AR$2,'Outages (event ledger)'!$E$2:$E$65,"&lt;="&amp;$B37,'Outages (event ledger)'!$G$2:$G$65,"&gt;="&amp;$B37)</f>
        <v>0</v>
      </c>
      <c r="AS37" s="26" t="n">
        <f aca="false">SUMIFS('Outages (event ledger)'!$H$2:$H$65,'Outages (event ledger)'!$A$2:$A$65,AS$2,'Outages (event ledger)'!$E$2:$E$65,"&lt;="&amp;$B37,'Outages (event ledger)'!$G$2:$G$65,"&gt;="&amp;$B37)</f>
        <v>0</v>
      </c>
      <c r="AT37" s="26" t="n">
        <f aca="false">SUMIFS('Outages (event ledger)'!$H$2:$H$65,'Outages (event ledger)'!$A$2:$A$65,AT$2,'Outages (event ledger)'!$E$2:$E$65,"&lt;="&amp;$B37,'Outages (event ledger)'!$G$2:$G$65,"&gt;="&amp;$B37)</f>
        <v>0</v>
      </c>
      <c r="AU37" s="26" t="n">
        <f aca="false">SUMIFS('Outages (event ledger)'!$H$2:$H$65,'Outages (event ledger)'!$A$2:$A$65,AU$2,'Outages (event ledger)'!$E$2:$E$65,"&lt;="&amp;$B37,'Outages (event ledger)'!$G$2:$G$65,"&gt;="&amp;$B37)</f>
        <v>0</v>
      </c>
      <c r="AV37" s="26" t="n">
        <f aca="false">SUMIFS('Outages (event ledger)'!$H$2:$H$65,'Outages (event ledger)'!$A$2:$A$65,AV$2,'Outages (event ledger)'!$E$2:$E$65,"&lt;="&amp;$B37,'Outages (event ledger)'!$G$2:$G$65,"&gt;="&amp;$B37)</f>
        <v>0</v>
      </c>
      <c r="AW37" s="26" t="n">
        <f aca="false">SUMIFS('Outages (event ledger)'!$H$2:$H$65,'Outages (event ledger)'!$A$2:$A$65,AW$2,'Outages (event ledger)'!$E$2:$E$65,"&lt;="&amp;$B37,'Outages (event ledger)'!$G$2:$G$65,"&gt;="&amp;$B37)</f>
        <v>0</v>
      </c>
      <c r="AX37" s="26" t="n">
        <f aca="false">SUMIFS('Outages (event ledger)'!$H$2:$H$65,'Outages (event ledger)'!$A$2:$A$65,AX$2,'Outages (event ledger)'!$E$2:$E$65,"&lt;="&amp;$B37,'Outages (event ledger)'!$G$2:$G$65,"&gt;="&amp;$B37)</f>
        <v>0</v>
      </c>
      <c r="AY37" s="26" t="n">
        <f aca="false">SUMIFS('Outages (event ledger)'!$H$2:$H$65,'Outages (event ledger)'!$A$2:$A$65,AY$2,'Outages (event ledger)'!$E$2:$E$65,"&lt;="&amp;$B37,'Outages (event ledger)'!$G$2:$G$65,"&gt;="&amp;$B37)</f>
        <v>0</v>
      </c>
      <c r="AZ37" s="26" t="n">
        <f aca="false">SUMIFS('Outages (event ledger)'!$H$2:$H$65,'Outages (event ledger)'!$A$2:$A$65,AZ$2,'Outages (event ledger)'!$E$2:$E$65,"&lt;="&amp;$B37,'Outages (event ledger)'!$G$2:$G$65,"&gt;="&amp;$B37)</f>
        <v>0</v>
      </c>
      <c r="BA37" s="26" t="n">
        <f aca="false">SUMIFS('Outages (event ledger)'!$H$2:$H$65,'Outages (event ledger)'!$A$2:$A$65,BA$2,'Outages (event ledger)'!$E$2:$E$65,"&lt;="&amp;$B37,'Outages (event ledger)'!$G$2:$G$65,"&gt;="&amp;$B37)</f>
        <v>0</v>
      </c>
      <c r="BB37" s="26" t="n">
        <f aca="false">SUMIFS('Outages (event ledger)'!$H$2:$H$65,'Outages (event ledger)'!$A$2:$A$65,BB$2,'Outages (event ledger)'!$E$2:$E$65,"&lt;="&amp;$B37,'Outages (event ledger)'!$G$2:$G$65,"&gt;="&amp;$B37)</f>
        <v>0</v>
      </c>
      <c r="BC37" s="26" t="n">
        <f aca="false">SUMIFS('Outages (event ledger)'!$H$2:$H$65,'Outages (event ledger)'!$A$2:$A$65,BC$2,'Outages (event ledger)'!$E$2:$E$65,"&lt;="&amp;$B37,'Outages (event ledger)'!$G$2:$G$65,"&gt;="&amp;$B37)</f>
        <v>0</v>
      </c>
      <c r="BD37" s="26" t="n">
        <f aca="false">SUMIFS('Outages (event ledger)'!$H$2:$H$65,'Outages (event ledger)'!$A$2:$A$65,BD$2,'Outages (event ledger)'!$E$2:$E$65,"&lt;="&amp;$B37,'Outages (event ledger)'!$G$2:$G$65,"&gt;="&amp;$B37)</f>
        <v>0</v>
      </c>
      <c r="BE37" s="26" t="n">
        <f aca="false">SUMIFS('Outages (event ledger)'!$H$2:$H$65,'Outages (event ledger)'!$A$2:$A$65,BE$2,'Outages (event ledger)'!$E$2:$E$65,"&lt;="&amp;$B37,'Outages (event ledger)'!$G$2:$G$65,"&gt;="&amp;$B37)</f>
        <v>0</v>
      </c>
      <c r="BF37" s="26" t="n">
        <f aca="false">SUMIFS('Outages (event ledger)'!$H$2:$H$65,'Outages (event ledger)'!$A$2:$A$65,BF$2,'Outages (event ledger)'!$E$2:$E$65,"&lt;="&amp;$B37,'Outages (event ledger)'!$G$2:$G$65,"&gt;="&amp;$B37)</f>
        <v>0</v>
      </c>
      <c r="BG37" s="26" t="n">
        <f aca="false">SUMIFS('Outages (event ledger)'!$H$2:$H$65,'Outages (event ledger)'!$A$2:$A$65,BG$2,'Outages (event ledger)'!$E$2:$E$65,"&lt;="&amp;$B37,'Outages (event ledger)'!$G$2:$G$65,"&gt;="&amp;$B37)</f>
        <v>0</v>
      </c>
      <c r="BH37" s="26" t="n">
        <f aca="false">SUMIFS('Outages (event ledger)'!$H$2:$H$65,'Outages (event ledger)'!$A$2:$A$65,BH$2,'Outages (event ledger)'!$E$2:$E$65,"&lt;="&amp;$B37,'Outages (event ledger)'!$G$2:$G$65,"&gt;="&amp;$B37)</f>
        <v>0</v>
      </c>
      <c r="BI37" s="26" t="n">
        <f aca="false">SUMIFS('Outages (event ledger)'!$H$2:$H$65,'Outages (event ledger)'!$A$2:$A$65,BI$2,'Outages (event ledger)'!$E$2:$E$65,"&lt;="&amp;$B37,'Outages (event ledger)'!$G$2:$G$65,"&gt;="&amp;$B37)</f>
        <v>0</v>
      </c>
    </row>
    <row r="38" customFormat="false" ht="15" hidden="false" customHeight="false" outlineLevel="0" collapsed="false">
      <c r="A38" s="23" t="n">
        <v>41244</v>
      </c>
      <c r="B38" s="24" t="n">
        <v>201212</v>
      </c>
      <c r="C38" s="25" t="n">
        <f aca="false">SUM(D38:BI38)</f>
        <v>8</v>
      </c>
      <c r="D38" s="26" t="n">
        <f aca="false">SUMIFS('Outages (event ledger)'!$H$2:$H$65,'Outages (event ledger)'!$A$2:$A$65,D$2,'Outages (event ledger)'!$E$2:$E$65,"&lt;="&amp;$B38,'Outages (event ledger)'!$G$2:$G$65,"&gt;="&amp;$B38)</f>
        <v>0</v>
      </c>
      <c r="E38" s="26" t="n">
        <f aca="false">SUMIFS('Outages (event ledger)'!$H$2:$H$65,'Outages (event ledger)'!$A$2:$A$65,E$2,'Outages (event ledger)'!$E$2:$E$65,"&lt;="&amp;$B38,'Outages (event ledger)'!$G$2:$G$65,"&gt;="&amp;$B38)</f>
        <v>0</v>
      </c>
      <c r="F38" s="26" t="n">
        <f aca="false">SUMIFS('Outages (event ledger)'!$H$2:$H$65,'Outages (event ledger)'!$A$2:$A$65,F$2,'Outages (event ledger)'!$E$2:$E$65,"&lt;="&amp;$B38,'Outages (event ledger)'!$G$2:$G$65,"&gt;="&amp;$B38)</f>
        <v>0</v>
      </c>
      <c r="G38" s="26" t="n">
        <f aca="false">SUMIFS('Outages (event ledger)'!$H$2:$H$65,'Outages (event ledger)'!$A$2:$A$65,G$2,'Outages (event ledger)'!$E$2:$E$65,"&lt;="&amp;$B38,'Outages (event ledger)'!$G$2:$G$65,"&gt;="&amp;$B38)</f>
        <v>0</v>
      </c>
      <c r="H38" s="26" t="n">
        <f aca="false">SUMIFS('Outages (event ledger)'!$H$2:$H$65,'Outages (event ledger)'!$A$2:$A$65,H$2,'Outages (event ledger)'!$E$2:$E$65,"&lt;="&amp;$B38,'Outages (event ledger)'!$G$2:$G$65,"&gt;="&amp;$B38)</f>
        <v>0</v>
      </c>
      <c r="I38" s="26" t="n">
        <f aca="false">SUMIFS('Outages (event ledger)'!$H$2:$H$65,'Outages (event ledger)'!$A$2:$A$65,I$2,'Outages (event ledger)'!$E$2:$E$65,"&lt;="&amp;$B38,'Outages (event ledger)'!$G$2:$G$65,"&gt;="&amp;$B38)</f>
        <v>0</v>
      </c>
      <c r="J38" s="26" t="n">
        <f aca="false">SUMIFS('Outages (event ledger)'!$H$2:$H$65,'Outages (event ledger)'!$A$2:$A$65,J$2,'Outages (event ledger)'!$E$2:$E$65,"&lt;="&amp;$B38,'Outages (event ledger)'!$G$2:$G$65,"&gt;="&amp;$B38)</f>
        <v>0</v>
      </c>
      <c r="K38" s="26" t="n">
        <f aca="false">SUMIFS('Outages (event ledger)'!$H$2:$H$65,'Outages (event ledger)'!$A$2:$A$65,K$2,'Outages (event ledger)'!$E$2:$E$65,"&lt;="&amp;$B38,'Outages (event ledger)'!$G$2:$G$65,"&gt;="&amp;$B38)</f>
        <v>0</v>
      </c>
      <c r="L38" s="26" t="n">
        <f aca="false">SUMIFS('Outages (event ledger)'!$H$2:$H$65,'Outages (event ledger)'!$A$2:$A$65,L$2,'Outages (event ledger)'!$E$2:$E$65,"&lt;="&amp;$B38,'Outages (event ledger)'!$G$2:$G$65,"&gt;="&amp;$B38)</f>
        <v>0</v>
      </c>
      <c r="M38" s="26" t="n">
        <f aca="false">SUMIFS('Outages (event ledger)'!$H$2:$H$65,'Outages (event ledger)'!$A$2:$A$65,M$2,'Outages (event ledger)'!$E$2:$E$65,"&lt;="&amp;$B38,'Outages (event ledger)'!$G$2:$G$65,"&gt;="&amp;$B38)</f>
        <v>0</v>
      </c>
      <c r="N38" s="26" t="n">
        <f aca="false">SUMIFS('Outages (event ledger)'!$H$2:$H$65,'Outages (event ledger)'!$A$2:$A$65,N$2,'Outages (event ledger)'!$E$2:$E$65,"&lt;="&amp;$B38,'Outages (event ledger)'!$G$2:$G$65,"&gt;="&amp;$B38)</f>
        <v>0</v>
      </c>
      <c r="O38" s="26" t="n">
        <f aca="false">SUMIFS('Outages (event ledger)'!$H$2:$H$65,'Outages (event ledger)'!$A$2:$A$65,O$2,'Outages (event ledger)'!$E$2:$E$65,"&lt;="&amp;$B38,'Outages (event ledger)'!$G$2:$G$65,"&gt;="&amp;$B38)</f>
        <v>0</v>
      </c>
      <c r="P38" s="26" t="n">
        <f aca="false">SUMIFS('Outages (event ledger)'!$H$2:$H$65,'Outages (event ledger)'!$A$2:$A$65,P$2,'Outages (event ledger)'!$E$2:$E$65,"&lt;="&amp;$B38,'Outages (event ledger)'!$G$2:$G$65,"&gt;="&amp;$B38)</f>
        <v>0</v>
      </c>
      <c r="Q38" s="26" t="n">
        <f aca="false">SUMIFS('Outages (event ledger)'!$H$2:$H$65,'Outages (event ledger)'!$A$2:$A$65,Q$2,'Outages (event ledger)'!$E$2:$E$65,"&lt;="&amp;$B38,'Outages (event ledger)'!$G$2:$G$65,"&gt;="&amp;$B38)</f>
        <v>0</v>
      </c>
      <c r="R38" s="26" t="n">
        <f aca="false">SUMIFS('Outages (event ledger)'!$H$2:$H$65,'Outages (event ledger)'!$A$2:$A$65,R$2,'Outages (event ledger)'!$E$2:$E$65,"&lt;="&amp;$B38,'Outages (event ledger)'!$G$2:$G$65,"&gt;="&amp;$B38)</f>
        <v>0</v>
      </c>
      <c r="S38" s="26" t="n">
        <f aca="false">SUMIFS('Outages (event ledger)'!$H$2:$H$65,'Outages (event ledger)'!$A$2:$A$65,S$2,'Outages (event ledger)'!$E$2:$E$65,"&lt;="&amp;$B38,'Outages (event ledger)'!$G$2:$G$65,"&gt;="&amp;$B38)</f>
        <v>0</v>
      </c>
      <c r="T38" s="26" t="n">
        <f aca="false">SUMIFS('Outages (event ledger)'!$H$2:$H$65,'Outages (event ledger)'!$A$2:$A$65,T$2,'Outages (event ledger)'!$E$2:$E$65,"&lt;="&amp;$B38,'Outages (event ledger)'!$G$2:$G$65,"&gt;="&amp;$B38)</f>
        <v>0</v>
      </c>
      <c r="U38" s="26" t="n">
        <f aca="false">SUMIFS('Outages (event ledger)'!$H$2:$H$65,'Outages (event ledger)'!$A$2:$A$65,U$2,'Outages (event ledger)'!$E$2:$E$65,"&lt;="&amp;$B38,'Outages (event ledger)'!$G$2:$G$65,"&gt;="&amp;$B38)</f>
        <v>0</v>
      </c>
      <c r="V38" s="26" t="n">
        <f aca="false">SUMIFS('Outages (event ledger)'!$H$2:$H$65,'Outages (event ledger)'!$A$2:$A$65,V$2,'Outages (event ledger)'!$E$2:$E$65,"&lt;="&amp;$B38,'Outages (event ledger)'!$G$2:$G$65,"&gt;="&amp;$B38)</f>
        <v>0</v>
      </c>
      <c r="W38" s="26" t="n">
        <f aca="false">SUMIFS('Outages (event ledger)'!$H$2:$H$65,'Outages (event ledger)'!$A$2:$A$65,W$2,'Outages (event ledger)'!$E$2:$E$65,"&lt;="&amp;$B38,'Outages (event ledger)'!$G$2:$G$65,"&gt;="&amp;$B38)</f>
        <v>0</v>
      </c>
      <c r="X38" s="26" t="n">
        <f aca="false">SUMIFS('Outages (event ledger)'!$H$2:$H$65,'Outages (event ledger)'!$A$2:$A$65,X$2,'Outages (event ledger)'!$E$2:$E$65,"&lt;="&amp;$B38,'Outages (event ledger)'!$G$2:$G$65,"&gt;="&amp;$B38)</f>
        <v>0</v>
      </c>
      <c r="Y38" s="26" t="n">
        <f aca="false">SUMIFS('Outages (event ledger)'!$H$2:$H$65,'Outages (event ledger)'!$A$2:$A$65,Y$2,'Outages (event ledger)'!$E$2:$E$65,"&lt;="&amp;$B38,'Outages (event ledger)'!$G$2:$G$65,"&gt;="&amp;$B38)</f>
        <v>0</v>
      </c>
      <c r="Z38" s="26" t="n">
        <f aca="false">SUMIFS('Outages (event ledger)'!$H$2:$H$65,'Outages (event ledger)'!$A$2:$A$65,Z$2,'Outages (event ledger)'!$E$2:$E$65,"&lt;="&amp;$B38,'Outages (event ledger)'!$G$2:$G$65,"&gt;="&amp;$B38)</f>
        <v>0</v>
      </c>
      <c r="AA38" s="26" t="n">
        <f aca="false">SUMIFS('Outages (event ledger)'!$H$2:$H$65,'Outages (event ledger)'!$A$2:$A$65,AA$2,'Outages (event ledger)'!$E$2:$E$65,"&lt;="&amp;$B38,'Outages (event ledger)'!$G$2:$G$65,"&gt;="&amp;$B38)</f>
        <v>0</v>
      </c>
      <c r="AB38" s="26" t="n">
        <f aca="false">SUMIFS('Outages (event ledger)'!$H$2:$H$65,'Outages (event ledger)'!$A$2:$A$65,AB$2,'Outages (event ledger)'!$E$2:$E$65,"&lt;="&amp;$B38,'Outages (event ledger)'!$G$2:$G$65,"&gt;="&amp;$B38)</f>
        <v>8</v>
      </c>
      <c r="AC38" s="26" t="n">
        <f aca="false">SUMIFS('Outages (event ledger)'!$H$2:$H$65,'Outages (event ledger)'!$A$2:$A$65,AC$2,'Outages (event ledger)'!$E$2:$E$65,"&lt;="&amp;$B38,'Outages (event ledger)'!$G$2:$G$65,"&gt;="&amp;$B38)</f>
        <v>0</v>
      </c>
      <c r="AD38" s="26" t="n">
        <f aca="false">SUMIFS('Outages (event ledger)'!$H$2:$H$65,'Outages (event ledger)'!$A$2:$A$65,AD$2,'Outages (event ledger)'!$E$2:$E$65,"&lt;="&amp;$B38,'Outages (event ledger)'!$G$2:$G$65,"&gt;="&amp;$B38)</f>
        <v>0</v>
      </c>
      <c r="AE38" s="26" t="n">
        <f aca="false">SUMIFS('Outages (event ledger)'!$H$2:$H$65,'Outages (event ledger)'!$A$2:$A$65,AE$2,'Outages (event ledger)'!$E$2:$E$65,"&lt;="&amp;$B38,'Outages (event ledger)'!$G$2:$G$65,"&gt;="&amp;$B38)</f>
        <v>0</v>
      </c>
      <c r="AF38" s="26" t="n">
        <f aca="false">SUMIFS('Outages (event ledger)'!$H$2:$H$65,'Outages (event ledger)'!$A$2:$A$65,AF$2,'Outages (event ledger)'!$E$2:$E$65,"&lt;="&amp;$B38,'Outages (event ledger)'!$G$2:$G$65,"&gt;="&amp;$B38)</f>
        <v>0</v>
      </c>
      <c r="AG38" s="26" t="n">
        <f aca="false">SUMIFS('Outages (event ledger)'!$H$2:$H$65,'Outages (event ledger)'!$A$2:$A$65,AG$2,'Outages (event ledger)'!$E$2:$E$65,"&lt;="&amp;$B38,'Outages (event ledger)'!$G$2:$G$65,"&gt;="&amp;$B38)</f>
        <v>0</v>
      </c>
      <c r="AH38" s="26" t="n">
        <f aca="false">SUMIFS('Outages (event ledger)'!$H$2:$H$65,'Outages (event ledger)'!$A$2:$A$65,AH$2,'Outages (event ledger)'!$E$2:$E$65,"&lt;="&amp;$B38,'Outages (event ledger)'!$G$2:$G$65,"&gt;="&amp;$B38)</f>
        <v>0</v>
      </c>
      <c r="AI38" s="26" t="n">
        <f aca="false">SUMIFS('Outages (event ledger)'!$H$2:$H$65,'Outages (event ledger)'!$A$2:$A$65,AI$2,'Outages (event ledger)'!$E$2:$E$65,"&lt;="&amp;$B38,'Outages (event ledger)'!$G$2:$G$65,"&gt;="&amp;$B38)</f>
        <v>0</v>
      </c>
      <c r="AJ38" s="26" t="n">
        <f aca="false">SUMIFS('Outages (event ledger)'!$H$2:$H$65,'Outages (event ledger)'!$A$2:$A$65,AJ$2,'Outages (event ledger)'!$E$2:$E$65,"&lt;="&amp;$B38,'Outages (event ledger)'!$G$2:$G$65,"&gt;="&amp;$B38)</f>
        <v>0</v>
      </c>
      <c r="AK38" s="26" t="n">
        <f aca="false">SUMIFS('Outages (event ledger)'!$H$2:$H$65,'Outages (event ledger)'!$A$2:$A$65,AK$2,'Outages (event ledger)'!$E$2:$E$65,"&lt;="&amp;$B38,'Outages (event ledger)'!$G$2:$G$65,"&gt;="&amp;$B38)</f>
        <v>0</v>
      </c>
      <c r="AL38" s="26" t="n">
        <f aca="false">SUMIFS('Outages (event ledger)'!$H$2:$H$65,'Outages (event ledger)'!$A$2:$A$65,AL$2,'Outages (event ledger)'!$E$2:$E$65,"&lt;="&amp;$B38,'Outages (event ledger)'!$G$2:$G$65,"&gt;="&amp;$B38)</f>
        <v>0</v>
      </c>
      <c r="AM38" s="26" t="n">
        <f aca="false">SUMIFS('Outages (event ledger)'!$H$2:$H$65,'Outages (event ledger)'!$A$2:$A$65,AM$2,'Outages (event ledger)'!$E$2:$E$65,"&lt;="&amp;$B38,'Outages (event ledger)'!$G$2:$G$65,"&gt;="&amp;$B38)</f>
        <v>0</v>
      </c>
      <c r="AN38" s="26" t="n">
        <f aca="false">SUMIFS('Outages (event ledger)'!$H$2:$H$65,'Outages (event ledger)'!$A$2:$A$65,AN$2,'Outages (event ledger)'!$E$2:$E$65,"&lt;="&amp;$B38,'Outages (event ledger)'!$G$2:$G$65,"&gt;="&amp;$B38)</f>
        <v>0</v>
      </c>
      <c r="AO38" s="26" t="n">
        <f aca="false">SUMIFS('Outages (event ledger)'!$H$2:$H$65,'Outages (event ledger)'!$A$2:$A$65,AO$2,'Outages (event ledger)'!$E$2:$E$65,"&lt;="&amp;$B38,'Outages (event ledger)'!$G$2:$G$65,"&gt;="&amp;$B38)</f>
        <v>0</v>
      </c>
      <c r="AP38" s="26" t="n">
        <f aca="false">SUMIFS('Outages (event ledger)'!$H$2:$H$65,'Outages (event ledger)'!$A$2:$A$65,AP$2,'Outages (event ledger)'!$E$2:$E$65,"&lt;="&amp;$B38,'Outages (event ledger)'!$G$2:$G$65,"&gt;="&amp;$B38)</f>
        <v>0</v>
      </c>
      <c r="AQ38" s="26" t="n">
        <f aca="false">SUMIFS('Outages (event ledger)'!$H$2:$H$65,'Outages (event ledger)'!$A$2:$A$65,AQ$2,'Outages (event ledger)'!$E$2:$E$65,"&lt;="&amp;$B38,'Outages (event ledger)'!$G$2:$G$65,"&gt;="&amp;$B38)</f>
        <v>0</v>
      </c>
      <c r="AR38" s="26" t="n">
        <f aca="false">SUMIFS('Outages (event ledger)'!$H$2:$H$65,'Outages (event ledger)'!$A$2:$A$65,AR$2,'Outages (event ledger)'!$E$2:$E$65,"&lt;="&amp;$B38,'Outages (event ledger)'!$G$2:$G$65,"&gt;="&amp;$B38)</f>
        <v>0</v>
      </c>
      <c r="AS38" s="26" t="n">
        <f aca="false">SUMIFS('Outages (event ledger)'!$H$2:$H$65,'Outages (event ledger)'!$A$2:$A$65,AS$2,'Outages (event ledger)'!$E$2:$E$65,"&lt;="&amp;$B38,'Outages (event ledger)'!$G$2:$G$65,"&gt;="&amp;$B38)</f>
        <v>0</v>
      </c>
      <c r="AT38" s="26" t="n">
        <f aca="false">SUMIFS('Outages (event ledger)'!$H$2:$H$65,'Outages (event ledger)'!$A$2:$A$65,AT$2,'Outages (event ledger)'!$E$2:$E$65,"&lt;="&amp;$B38,'Outages (event ledger)'!$G$2:$G$65,"&gt;="&amp;$B38)</f>
        <v>0</v>
      </c>
      <c r="AU38" s="26" t="n">
        <f aca="false">SUMIFS('Outages (event ledger)'!$H$2:$H$65,'Outages (event ledger)'!$A$2:$A$65,AU$2,'Outages (event ledger)'!$E$2:$E$65,"&lt;="&amp;$B38,'Outages (event ledger)'!$G$2:$G$65,"&gt;="&amp;$B38)</f>
        <v>0</v>
      </c>
      <c r="AV38" s="26" t="n">
        <f aca="false">SUMIFS('Outages (event ledger)'!$H$2:$H$65,'Outages (event ledger)'!$A$2:$A$65,AV$2,'Outages (event ledger)'!$E$2:$E$65,"&lt;="&amp;$B38,'Outages (event ledger)'!$G$2:$G$65,"&gt;="&amp;$B38)</f>
        <v>0</v>
      </c>
      <c r="AW38" s="26" t="n">
        <f aca="false">SUMIFS('Outages (event ledger)'!$H$2:$H$65,'Outages (event ledger)'!$A$2:$A$65,AW$2,'Outages (event ledger)'!$E$2:$E$65,"&lt;="&amp;$B38,'Outages (event ledger)'!$G$2:$G$65,"&gt;="&amp;$B38)</f>
        <v>0</v>
      </c>
      <c r="AX38" s="26" t="n">
        <f aca="false">SUMIFS('Outages (event ledger)'!$H$2:$H$65,'Outages (event ledger)'!$A$2:$A$65,AX$2,'Outages (event ledger)'!$E$2:$E$65,"&lt;="&amp;$B38,'Outages (event ledger)'!$G$2:$G$65,"&gt;="&amp;$B38)</f>
        <v>0</v>
      </c>
      <c r="AY38" s="26" t="n">
        <f aca="false">SUMIFS('Outages (event ledger)'!$H$2:$H$65,'Outages (event ledger)'!$A$2:$A$65,AY$2,'Outages (event ledger)'!$E$2:$E$65,"&lt;="&amp;$B38,'Outages (event ledger)'!$G$2:$G$65,"&gt;="&amp;$B38)</f>
        <v>0</v>
      </c>
      <c r="AZ38" s="26" t="n">
        <f aca="false">SUMIFS('Outages (event ledger)'!$H$2:$H$65,'Outages (event ledger)'!$A$2:$A$65,AZ$2,'Outages (event ledger)'!$E$2:$E$65,"&lt;="&amp;$B38,'Outages (event ledger)'!$G$2:$G$65,"&gt;="&amp;$B38)</f>
        <v>0</v>
      </c>
      <c r="BA38" s="26" t="n">
        <f aca="false">SUMIFS('Outages (event ledger)'!$H$2:$H$65,'Outages (event ledger)'!$A$2:$A$65,BA$2,'Outages (event ledger)'!$E$2:$E$65,"&lt;="&amp;$B38,'Outages (event ledger)'!$G$2:$G$65,"&gt;="&amp;$B38)</f>
        <v>0</v>
      </c>
      <c r="BB38" s="26" t="n">
        <f aca="false">SUMIFS('Outages (event ledger)'!$H$2:$H$65,'Outages (event ledger)'!$A$2:$A$65,BB$2,'Outages (event ledger)'!$E$2:$E$65,"&lt;="&amp;$B38,'Outages (event ledger)'!$G$2:$G$65,"&gt;="&amp;$B38)</f>
        <v>0</v>
      </c>
      <c r="BC38" s="26" t="n">
        <f aca="false">SUMIFS('Outages (event ledger)'!$H$2:$H$65,'Outages (event ledger)'!$A$2:$A$65,BC$2,'Outages (event ledger)'!$E$2:$E$65,"&lt;="&amp;$B38,'Outages (event ledger)'!$G$2:$G$65,"&gt;="&amp;$B38)</f>
        <v>0</v>
      </c>
      <c r="BD38" s="26" t="n">
        <f aca="false">SUMIFS('Outages (event ledger)'!$H$2:$H$65,'Outages (event ledger)'!$A$2:$A$65,BD$2,'Outages (event ledger)'!$E$2:$E$65,"&lt;="&amp;$B38,'Outages (event ledger)'!$G$2:$G$65,"&gt;="&amp;$B38)</f>
        <v>0</v>
      </c>
      <c r="BE38" s="26" t="n">
        <f aca="false">SUMIFS('Outages (event ledger)'!$H$2:$H$65,'Outages (event ledger)'!$A$2:$A$65,BE$2,'Outages (event ledger)'!$E$2:$E$65,"&lt;="&amp;$B38,'Outages (event ledger)'!$G$2:$G$65,"&gt;="&amp;$B38)</f>
        <v>0</v>
      </c>
      <c r="BF38" s="26" t="n">
        <f aca="false">SUMIFS('Outages (event ledger)'!$H$2:$H$65,'Outages (event ledger)'!$A$2:$A$65,BF$2,'Outages (event ledger)'!$E$2:$E$65,"&lt;="&amp;$B38,'Outages (event ledger)'!$G$2:$G$65,"&gt;="&amp;$B38)</f>
        <v>0</v>
      </c>
      <c r="BG38" s="26" t="n">
        <f aca="false">SUMIFS('Outages (event ledger)'!$H$2:$H$65,'Outages (event ledger)'!$A$2:$A$65,BG$2,'Outages (event ledger)'!$E$2:$E$65,"&lt;="&amp;$B38,'Outages (event ledger)'!$G$2:$G$65,"&gt;="&amp;$B38)</f>
        <v>0</v>
      </c>
      <c r="BH38" s="26" t="n">
        <f aca="false">SUMIFS('Outages (event ledger)'!$H$2:$H$65,'Outages (event ledger)'!$A$2:$A$65,BH$2,'Outages (event ledger)'!$E$2:$E$65,"&lt;="&amp;$B38,'Outages (event ledger)'!$G$2:$G$65,"&gt;="&amp;$B38)</f>
        <v>0</v>
      </c>
      <c r="BI38" s="26" t="n">
        <f aca="false">SUMIFS('Outages (event ledger)'!$H$2:$H$65,'Outages (event ledger)'!$A$2:$A$65,BI$2,'Outages (event ledger)'!$E$2:$E$65,"&lt;="&amp;$B38,'Outages (event ledger)'!$G$2:$G$65,"&gt;="&amp;$B38)</f>
        <v>0</v>
      </c>
    </row>
    <row r="39" customFormat="false" ht="15" hidden="false" customHeight="false" outlineLevel="0" collapsed="false">
      <c r="A39" s="27" t="n">
        <v>41275</v>
      </c>
      <c r="B39" s="28" t="n">
        <v>201301</v>
      </c>
      <c r="C39" s="25" t="n">
        <f aca="false">SUM(D39:BI39)</f>
        <v>16.5</v>
      </c>
      <c r="D39" s="29" t="n">
        <f aca="false">SUMIFS('Outages (event ledger)'!$H$2:$H$65,'Outages (event ledger)'!$A$2:$A$65,D$2,'Outages (event ledger)'!$E$2:$E$65,"&lt;="&amp;$B39,'Outages (event ledger)'!$G$2:$G$65,"&gt;="&amp;$B39)</f>
        <v>0</v>
      </c>
      <c r="E39" s="29" t="n">
        <f aca="false">SUMIFS('Outages (event ledger)'!$H$2:$H$65,'Outages (event ledger)'!$A$2:$A$65,E$2,'Outages (event ledger)'!$E$2:$E$65,"&lt;="&amp;$B39,'Outages (event ledger)'!$G$2:$G$65,"&gt;="&amp;$B39)</f>
        <v>0</v>
      </c>
      <c r="F39" s="29" t="n">
        <f aca="false">SUMIFS('Outages (event ledger)'!$H$2:$H$65,'Outages (event ledger)'!$A$2:$A$65,F$2,'Outages (event ledger)'!$E$2:$E$65,"&lt;="&amp;$B39,'Outages (event ledger)'!$G$2:$G$65,"&gt;="&amp;$B39)</f>
        <v>0</v>
      </c>
      <c r="G39" s="29" t="n">
        <f aca="false">SUMIFS('Outages (event ledger)'!$H$2:$H$65,'Outages (event ledger)'!$A$2:$A$65,G$2,'Outages (event ledger)'!$E$2:$E$65,"&lt;="&amp;$B39,'Outages (event ledger)'!$G$2:$G$65,"&gt;="&amp;$B39)</f>
        <v>0</v>
      </c>
      <c r="H39" s="29" t="n">
        <f aca="false">SUMIFS('Outages (event ledger)'!$H$2:$H$65,'Outages (event ledger)'!$A$2:$A$65,H$2,'Outages (event ledger)'!$E$2:$E$65,"&lt;="&amp;$B39,'Outages (event ledger)'!$G$2:$G$65,"&gt;="&amp;$B39)</f>
        <v>0</v>
      </c>
      <c r="I39" s="29" t="n">
        <f aca="false">SUMIFS('Outages (event ledger)'!$H$2:$H$65,'Outages (event ledger)'!$A$2:$A$65,I$2,'Outages (event ledger)'!$E$2:$E$65,"&lt;="&amp;$B39,'Outages (event ledger)'!$G$2:$G$65,"&gt;="&amp;$B39)</f>
        <v>0</v>
      </c>
      <c r="J39" s="29" t="n">
        <f aca="false">SUMIFS('Outages (event ledger)'!$H$2:$H$65,'Outages (event ledger)'!$A$2:$A$65,J$2,'Outages (event ledger)'!$E$2:$E$65,"&lt;="&amp;$B39,'Outages (event ledger)'!$G$2:$G$65,"&gt;="&amp;$B39)</f>
        <v>0</v>
      </c>
      <c r="K39" s="29" t="n">
        <f aca="false">SUMIFS('Outages (event ledger)'!$H$2:$H$65,'Outages (event ledger)'!$A$2:$A$65,K$2,'Outages (event ledger)'!$E$2:$E$65,"&lt;="&amp;$B39,'Outages (event ledger)'!$G$2:$G$65,"&gt;="&amp;$B39)</f>
        <v>0</v>
      </c>
      <c r="L39" s="29" t="n">
        <f aca="false">SUMIFS('Outages (event ledger)'!$H$2:$H$65,'Outages (event ledger)'!$A$2:$A$65,L$2,'Outages (event ledger)'!$E$2:$E$65,"&lt;="&amp;$B39,'Outages (event ledger)'!$G$2:$G$65,"&gt;="&amp;$B39)</f>
        <v>0</v>
      </c>
      <c r="M39" s="29" t="n">
        <f aca="false">SUMIFS('Outages (event ledger)'!$H$2:$H$65,'Outages (event ledger)'!$A$2:$A$65,M$2,'Outages (event ledger)'!$E$2:$E$65,"&lt;="&amp;$B39,'Outages (event ledger)'!$G$2:$G$65,"&gt;="&amp;$B39)</f>
        <v>0</v>
      </c>
      <c r="N39" s="29" t="n">
        <f aca="false">SUMIFS('Outages (event ledger)'!$H$2:$H$65,'Outages (event ledger)'!$A$2:$A$65,N$2,'Outages (event ledger)'!$E$2:$E$65,"&lt;="&amp;$B39,'Outages (event ledger)'!$G$2:$G$65,"&gt;="&amp;$B39)</f>
        <v>0</v>
      </c>
      <c r="O39" s="29" t="n">
        <f aca="false">SUMIFS('Outages (event ledger)'!$H$2:$H$65,'Outages (event ledger)'!$A$2:$A$65,O$2,'Outages (event ledger)'!$E$2:$E$65,"&lt;="&amp;$B39,'Outages (event ledger)'!$G$2:$G$65,"&gt;="&amp;$B39)</f>
        <v>0</v>
      </c>
      <c r="P39" s="29" t="n">
        <f aca="false">SUMIFS('Outages (event ledger)'!$H$2:$H$65,'Outages (event ledger)'!$A$2:$A$65,P$2,'Outages (event ledger)'!$E$2:$E$65,"&lt;="&amp;$B39,'Outages (event ledger)'!$G$2:$G$65,"&gt;="&amp;$B39)</f>
        <v>0</v>
      </c>
      <c r="Q39" s="29" t="n">
        <f aca="false">SUMIFS('Outages (event ledger)'!$H$2:$H$65,'Outages (event ledger)'!$A$2:$A$65,Q$2,'Outages (event ledger)'!$E$2:$E$65,"&lt;="&amp;$B39,'Outages (event ledger)'!$G$2:$G$65,"&gt;="&amp;$B39)</f>
        <v>0</v>
      </c>
      <c r="R39" s="29" t="n">
        <f aca="false">SUMIFS('Outages (event ledger)'!$H$2:$H$65,'Outages (event ledger)'!$A$2:$A$65,R$2,'Outages (event ledger)'!$E$2:$E$65,"&lt;="&amp;$B39,'Outages (event ledger)'!$G$2:$G$65,"&gt;="&amp;$B39)</f>
        <v>0</v>
      </c>
      <c r="S39" s="29" t="n">
        <f aca="false">SUMIFS('Outages (event ledger)'!$H$2:$H$65,'Outages (event ledger)'!$A$2:$A$65,S$2,'Outages (event ledger)'!$E$2:$E$65,"&lt;="&amp;$B39,'Outages (event ledger)'!$G$2:$G$65,"&gt;="&amp;$B39)</f>
        <v>0</v>
      </c>
      <c r="T39" s="29" t="n">
        <f aca="false">SUMIFS('Outages (event ledger)'!$H$2:$H$65,'Outages (event ledger)'!$A$2:$A$65,T$2,'Outages (event ledger)'!$E$2:$E$65,"&lt;="&amp;$B39,'Outages (event ledger)'!$G$2:$G$65,"&gt;="&amp;$B39)</f>
        <v>0</v>
      </c>
      <c r="U39" s="29" t="n">
        <f aca="false">SUMIFS('Outages (event ledger)'!$H$2:$H$65,'Outages (event ledger)'!$A$2:$A$65,U$2,'Outages (event ledger)'!$E$2:$E$65,"&lt;="&amp;$B39,'Outages (event ledger)'!$G$2:$G$65,"&gt;="&amp;$B39)</f>
        <v>0</v>
      </c>
      <c r="V39" s="29" t="n">
        <f aca="false">SUMIFS('Outages (event ledger)'!$H$2:$H$65,'Outages (event ledger)'!$A$2:$A$65,V$2,'Outages (event ledger)'!$E$2:$E$65,"&lt;="&amp;$B39,'Outages (event ledger)'!$G$2:$G$65,"&gt;="&amp;$B39)</f>
        <v>0</v>
      </c>
      <c r="W39" s="29" t="n">
        <f aca="false">SUMIFS('Outages (event ledger)'!$H$2:$H$65,'Outages (event ledger)'!$A$2:$A$65,W$2,'Outages (event ledger)'!$E$2:$E$65,"&lt;="&amp;$B39,'Outages (event ledger)'!$G$2:$G$65,"&gt;="&amp;$B39)</f>
        <v>0</v>
      </c>
      <c r="X39" s="29" t="n">
        <f aca="false">SUMIFS('Outages (event ledger)'!$H$2:$H$65,'Outages (event ledger)'!$A$2:$A$65,X$2,'Outages (event ledger)'!$E$2:$E$65,"&lt;="&amp;$B39,'Outages (event ledger)'!$G$2:$G$65,"&gt;="&amp;$B39)</f>
        <v>0</v>
      </c>
      <c r="Y39" s="29" t="n">
        <f aca="false">SUMIFS('Outages (event ledger)'!$H$2:$H$65,'Outages (event ledger)'!$A$2:$A$65,Y$2,'Outages (event ledger)'!$E$2:$E$65,"&lt;="&amp;$B39,'Outages (event ledger)'!$G$2:$G$65,"&gt;="&amp;$B39)</f>
        <v>5</v>
      </c>
      <c r="Z39" s="29" t="n">
        <f aca="false">SUMIFS('Outages (event ledger)'!$H$2:$H$65,'Outages (event ledger)'!$A$2:$A$65,Z$2,'Outages (event ledger)'!$E$2:$E$65,"&lt;="&amp;$B39,'Outages (event ledger)'!$G$2:$G$65,"&gt;="&amp;$B39)</f>
        <v>0</v>
      </c>
      <c r="AA39" s="29" t="n">
        <f aca="false">SUMIFS('Outages (event ledger)'!$H$2:$H$65,'Outages (event ledger)'!$A$2:$A$65,AA$2,'Outages (event ledger)'!$E$2:$E$65,"&lt;="&amp;$B39,'Outages (event ledger)'!$G$2:$G$65,"&gt;="&amp;$B39)</f>
        <v>0</v>
      </c>
      <c r="AB39" s="29" t="n">
        <f aca="false">SUMIFS('Outages (event ledger)'!$H$2:$H$65,'Outages (event ledger)'!$A$2:$A$65,AB$2,'Outages (event ledger)'!$E$2:$E$65,"&lt;="&amp;$B39,'Outages (event ledger)'!$G$2:$G$65,"&gt;="&amp;$B39)</f>
        <v>8</v>
      </c>
      <c r="AC39" s="29" t="n">
        <f aca="false">SUMIFS('Outages (event ledger)'!$H$2:$H$65,'Outages (event ledger)'!$A$2:$A$65,AC$2,'Outages (event ledger)'!$E$2:$E$65,"&lt;="&amp;$B39,'Outages (event ledger)'!$G$2:$G$65,"&gt;="&amp;$B39)</f>
        <v>0</v>
      </c>
      <c r="AD39" s="29" t="n">
        <f aca="false">SUMIFS('Outages (event ledger)'!$H$2:$H$65,'Outages (event ledger)'!$A$2:$A$65,AD$2,'Outages (event ledger)'!$E$2:$E$65,"&lt;="&amp;$B39,'Outages (event ledger)'!$G$2:$G$65,"&gt;="&amp;$B39)</f>
        <v>0</v>
      </c>
      <c r="AE39" s="29" t="n">
        <f aca="false">SUMIFS('Outages (event ledger)'!$H$2:$H$65,'Outages (event ledger)'!$A$2:$A$65,AE$2,'Outages (event ledger)'!$E$2:$E$65,"&lt;="&amp;$B39,'Outages (event ledger)'!$G$2:$G$65,"&gt;="&amp;$B39)</f>
        <v>0</v>
      </c>
      <c r="AF39" s="29" t="n">
        <f aca="false">SUMIFS('Outages (event ledger)'!$H$2:$H$65,'Outages (event ledger)'!$A$2:$A$65,AF$2,'Outages (event ledger)'!$E$2:$E$65,"&lt;="&amp;$B39,'Outages (event ledger)'!$G$2:$G$65,"&gt;="&amp;$B39)</f>
        <v>0</v>
      </c>
      <c r="AG39" s="29" t="n">
        <f aca="false">SUMIFS('Outages (event ledger)'!$H$2:$H$65,'Outages (event ledger)'!$A$2:$A$65,AG$2,'Outages (event ledger)'!$E$2:$E$65,"&lt;="&amp;$B39,'Outages (event ledger)'!$G$2:$G$65,"&gt;="&amp;$B39)</f>
        <v>0</v>
      </c>
      <c r="AH39" s="29" t="n">
        <f aca="false">SUMIFS('Outages (event ledger)'!$H$2:$H$65,'Outages (event ledger)'!$A$2:$A$65,AH$2,'Outages (event ledger)'!$E$2:$E$65,"&lt;="&amp;$B39,'Outages (event ledger)'!$G$2:$G$65,"&gt;="&amp;$B39)</f>
        <v>0</v>
      </c>
      <c r="AI39" s="29" t="n">
        <f aca="false">SUMIFS('Outages (event ledger)'!$H$2:$H$65,'Outages (event ledger)'!$A$2:$A$65,AI$2,'Outages (event ledger)'!$E$2:$E$65,"&lt;="&amp;$B39,'Outages (event ledger)'!$G$2:$G$65,"&gt;="&amp;$B39)</f>
        <v>0</v>
      </c>
      <c r="AJ39" s="29" t="n">
        <f aca="false">SUMIFS('Outages (event ledger)'!$H$2:$H$65,'Outages (event ledger)'!$A$2:$A$65,AJ$2,'Outages (event ledger)'!$E$2:$E$65,"&lt;="&amp;$B39,'Outages (event ledger)'!$G$2:$G$65,"&gt;="&amp;$B39)</f>
        <v>0</v>
      </c>
      <c r="AK39" s="29" t="n">
        <f aca="false">SUMIFS('Outages (event ledger)'!$H$2:$H$65,'Outages (event ledger)'!$A$2:$A$65,AK$2,'Outages (event ledger)'!$E$2:$E$65,"&lt;="&amp;$B39,'Outages (event ledger)'!$G$2:$G$65,"&gt;="&amp;$B39)</f>
        <v>0</v>
      </c>
      <c r="AL39" s="29" t="n">
        <f aca="false">SUMIFS('Outages (event ledger)'!$H$2:$H$65,'Outages (event ledger)'!$A$2:$A$65,AL$2,'Outages (event ledger)'!$E$2:$E$65,"&lt;="&amp;$B39,'Outages (event ledger)'!$G$2:$G$65,"&gt;="&amp;$B39)</f>
        <v>3.5</v>
      </c>
      <c r="AM39" s="29" t="n">
        <f aca="false">SUMIFS('Outages (event ledger)'!$H$2:$H$65,'Outages (event ledger)'!$A$2:$A$65,AM$2,'Outages (event ledger)'!$E$2:$E$65,"&lt;="&amp;$B39,'Outages (event ledger)'!$G$2:$G$65,"&gt;="&amp;$B39)</f>
        <v>0</v>
      </c>
      <c r="AN39" s="29" t="n">
        <f aca="false">SUMIFS('Outages (event ledger)'!$H$2:$H$65,'Outages (event ledger)'!$A$2:$A$65,AN$2,'Outages (event ledger)'!$E$2:$E$65,"&lt;="&amp;$B39,'Outages (event ledger)'!$G$2:$G$65,"&gt;="&amp;$B39)</f>
        <v>0</v>
      </c>
      <c r="AO39" s="29" t="n">
        <f aca="false">SUMIFS('Outages (event ledger)'!$H$2:$H$65,'Outages (event ledger)'!$A$2:$A$65,AO$2,'Outages (event ledger)'!$E$2:$E$65,"&lt;="&amp;$B39,'Outages (event ledger)'!$G$2:$G$65,"&gt;="&amp;$B39)</f>
        <v>0</v>
      </c>
      <c r="AP39" s="29" t="n">
        <f aca="false">SUMIFS('Outages (event ledger)'!$H$2:$H$65,'Outages (event ledger)'!$A$2:$A$65,AP$2,'Outages (event ledger)'!$E$2:$E$65,"&lt;="&amp;$B39,'Outages (event ledger)'!$G$2:$G$65,"&gt;="&amp;$B39)</f>
        <v>0</v>
      </c>
      <c r="AQ39" s="29" t="n">
        <f aca="false">SUMIFS('Outages (event ledger)'!$H$2:$H$65,'Outages (event ledger)'!$A$2:$A$65,AQ$2,'Outages (event ledger)'!$E$2:$E$65,"&lt;="&amp;$B39,'Outages (event ledger)'!$G$2:$G$65,"&gt;="&amp;$B39)</f>
        <v>0</v>
      </c>
      <c r="AR39" s="29" t="n">
        <f aca="false">SUMIFS('Outages (event ledger)'!$H$2:$H$65,'Outages (event ledger)'!$A$2:$A$65,AR$2,'Outages (event ledger)'!$E$2:$E$65,"&lt;="&amp;$B39,'Outages (event ledger)'!$G$2:$G$65,"&gt;="&amp;$B39)</f>
        <v>0</v>
      </c>
      <c r="AS39" s="29" t="n">
        <f aca="false">SUMIFS('Outages (event ledger)'!$H$2:$H$65,'Outages (event ledger)'!$A$2:$A$65,AS$2,'Outages (event ledger)'!$E$2:$E$65,"&lt;="&amp;$B39,'Outages (event ledger)'!$G$2:$G$65,"&gt;="&amp;$B39)</f>
        <v>0</v>
      </c>
      <c r="AT39" s="29" t="n">
        <f aca="false">SUMIFS('Outages (event ledger)'!$H$2:$H$65,'Outages (event ledger)'!$A$2:$A$65,AT$2,'Outages (event ledger)'!$E$2:$E$65,"&lt;="&amp;$B39,'Outages (event ledger)'!$G$2:$G$65,"&gt;="&amp;$B39)</f>
        <v>0</v>
      </c>
      <c r="AU39" s="29" t="n">
        <f aca="false">SUMIFS('Outages (event ledger)'!$H$2:$H$65,'Outages (event ledger)'!$A$2:$A$65,AU$2,'Outages (event ledger)'!$E$2:$E$65,"&lt;="&amp;$B39,'Outages (event ledger)'!$G$2:$G$65,"&gt;="&amp;$B39)</f>
        <v>0</v>
      </c>
      <c r="AV39" s="29" t="n">
        <f aca="false">SUMIFS('Outages (event ledger)'!$H$2:$H$65,'Outages (event ledger)'!$A$2:$A$65,AV$2,'Outages (event ledger)'!$E$2:$E$65,"&lt;="&amp;$B39,'Outages (event ledger)'!$G$2:$G$65,"&gt;="&amp;$B39)</f>
        <v>0</v>
      </c>
      <c r="AW39" s="29" t="n">
        <f aca="false">SUMIFS('Outages (event ledger)'!$H$2:$H$65,'Outages (event ledger)'!$A$2:$A$65,AW$2,'Outages (event ledger)'!$E$2:$E$65,"&lt;="&amp;$B39,'Outages (event ledger)'!$G$2:$G$65,"&gt;="&amp;$B39)</f>
        <v>0</v>
      </c>
      <c r="AX39" s="29" t="n">
        <f aca="false">SUMIFS('Outages (event ledger)'!$H$2:$H$65,'Outages (event ledger)'!$A$2:$A$65,AX$2,'Outages (event ledger)'!$E$2:$E$65,"&lt;="&amp;$B39,'Outages (event ledger)'!$G$2:$G$65,"&gt;="&amp;$B39)</f>
        <v>0</v>
      </c>
      <c r="AY39" s="29" t="n">
        <f aca="false">SUMIFS('Outages (event ledger)'!$H$2:$H$65,'Outages (event ledger)'!$A$2:$A$65,AY$2,'Outages (event ledger)'!$E$2:$E$65,"&lt;="&amp;$B39,'Outages (event ledger)'!$G$2:$G$65,"&gt;="&amp;$B39)</f>
        <v>0</v>
      </c>
      <c r="AZ39" s="29" t="n">
        <f aca="false">SUMIFS('Outages (event ledger)'!$H$2:$H$65,'Outages (event ledger)'!$A$2:$A$65,AZ$2,'Outages (event ledger)'!$E$2:$E$65,"&lt;="&amp;$B39,'Outages (event ledger)'!$G$2:$G$65,"&gt;="&amp;$B39)</f>
        <v>0</v>
      </c>
      <c r="BA39" s="29" t="n">
        <f aca="false">SUMIFS('Outages (event ledger)'!$H$2:$H$65,'Outages (event ledger)'!$A$2:$A$65,BA$2,'Outages (event ledger)'!$E$2:$E$65,"&lt;="&amp;$B39,'Outages (event ledger)'!$G$2:$G$65,"&gt;="&amp;$B39)</f>
        <v>0</v>
      </c>
      <c r="BB39" s="29" t="n">
        <f aca="false">SUMIFS('Outages (event ledger)'!$H$2:$H$65,'Outages (event ledger)'!$A$2:$A$65,BB$2,'Outages (event ledger)'!$E$2:$E$65,"&lt;="&amp;$B39,'Outages (event ledger)'!$G$2:$G$65,"&gt;="&amp;$B39)</f>
        <v>0</v>
      </c>
      <c r="BC39" s="29" t="n">
        <f aca="false">SUMIFS('Outages (event ledger)'!$H$2:$H$65,'Outages (event ledger)'!$A$2:$A$65,BC$2,'Outages (event ledger)'!$E$2:$E$65,"&lt;="&amp;$B39,'Outages (event ledger)'!$G$2:$G$65,"&gt;="&amp;$B39)</f>
        <v>0</v>
      </c>
      <c r="BD39" s="29" t="n">
        <f aca="false">SUMIFS('Outages (event ledger)'!$H$2:$H$65,'Outages (event ledger)'!$A$2:$A$65,BD$2,'Outages (event ledger)'!$E$2:$E$65,"&lt;="&amp;$B39,'Outages (event ledger)'!$G$2:$G$65,"&gt;="&amp;$B39)</f>
        <v>0</v>
      </c>
      <c r="BE39" s="29" t="n">
        <f aca="false">SUMIFS('Outages (event ledger)'!$H$2:$H$65,'Outages (event ledger)'!$A$2:$A$65,BE$2,'Outages (event ledger)'!$E$2:$E$65,"&lt;="&amp;$B39,'Outages (event ledger)'!$G$2:$G$65,"&gt;="&amp;$B39)</f>
        <v>0</v>
      </c>
      <c r="BF39" s="29" t="n">
        <f aca="false">SUMIFS('Outages (event ledger)'!$H$2:$H$65,'Outages (event ledger)'!$A$2:$A$65,BF$2,'Outages (event ledger)'!$E$2:$E$65,"&lt;="&amp;$B39,'Outages (event ledger)'!$G$2:$G$65,"&gt;="&amp;$B39)</f>
        <v>0</v>
      </c>
      <c r="BG39" s="29" t="n">
        <f aca="false">SUMIFS('Outages (event ledger)'!$H$2:$H$65,'Outages (event ledger)'!$A$2:$A$65,BG$2,'Outages (event ledger)'!$E$2:$E$65,"&lt;="&amp;$B39,'Outages (event ledger)'!$G$2:$G$65,"&gt;="&amp;$B39)</f>
        <v>0</v>
      </c>
      <c r="BH39" s="29" t="n">
        <f aca="false">SUMIFS('Outages (event ledger)'!$H$2:$H$65,'Outages (event ledger)'!$A$2:$A$65,BH$2,'Outages (event ledger)'!$E$2:$E$65,"&lt;="&amp;$B39,'Outages (event ledger)'!$G$2:$G$65,"&gt;="&amp;$B39)</f>
        <v>0</v>
      </c>
      <c r="BI39" s="29" t="n">
        <f aca="false">SUMIFS('Outages (event ledger)'!$H$2:$H$65,'Outages (event ledger)'!$A$2:$A$65,BI$2,'Outages (event ledger)'!$E$2:$E$65,"&lt;="&amp;$B39,'Outages (event ledger)'!$G$2:$G$65,"&gt;="&amp;$B39)</f>
        <v>0</v>
      </c>
    </row>
    <row r="40" customFormat="false" ht="15" hidden="false" customHeight="false" outlineLevel="0" collapsed="false">
      <c r="A40" s="27" t="n">
        <v>41306</v>
      </c>
      <c r="B40" s="28" t="n">
        <v>201302</v>
      </c>
      <c r="C40" s="25" t="n">
        <f aca="false">SUM(D40:BI40)</f>
        <v>16.5</v>
      </c>
      <c r="D40" s="29" t="n">
        <f aca="false">SUMIFS('Outages (event ledger)'!$H$2:$H$65,'Outages (event ledger)'!$A$2:$A$65,D$2,'Outages (event ledger)'!$E$2:$E$65,"&lt;="&amp;$B40,'Outages (event ledger)'!$G$2:$G$65,"&gt;="&amp;$B40)</f>
        <v>0</v>
      </c>
      <c r="E40" s="29" t="n">
        <f aca="false">SUMIFS('Outages (event ledger)'!$H$2:$H$65,'Outages (event ledger)'!$A$2:$A$65,E$2,'Outages (event ledger)'!$E$2:$E$65,"&lt;="&amp;$B40,'Outages (event ledger)'!$G$2:$G$65,"&gt;="&amp;$B40)</f>
        <v>0</v>
      </c>
      <c r="F40" s="29" t="n">
        <f aca="false">SUMIFS('Outages (event ledger)'!$H$2:$H$65,'Outages (event ledger)'!$A$2:$A$65,F$2,'Outages (event ledger)'!$E$2:$E$65,"&lt;="&amp;$B40,'Outages (event ledger)'!$G$2:$G$65,"&gt;="&amp;$B40)</f>
        <v>0</v>
      </c>
      <c r="G40" s="29" t="n">
        <f aca="false">SUMIFS('Outages (event ledger)'!$H$2:$H$65,'Outages (event ledger)'!$A$2:$A$65,G$2,'Outages (event ledger)'!$E$2:$E$65,"&lt;="&amp;$B40,'Outages (event ledger)'!$G$2:$G$65,"&gt;="&amp;$B40)</f>
        <v>0</v>
      </c>
      <c r="H40" s="29" t="n">
        <f aca="false">SUMIFS('Outages (event ledger)'!$H$2:$H$65,'Outages (event ledger)'!$A$2:$A$65,H$2,'Outages (event ledger)'!$E$2:$E$65,"&lt;="&amp;$B40,'Outages (event ledger)'!$G$2:$G$65,"&gt;="&amp;$B40)</f>
        <v>0</v>
      </c>
      <c r="I40" s="29" t="n">
        <f aca="false">SUMIFS('Outages (event ledger)'!$H$2:$H$65,'Outages (event ledger)'!$A$2:$A$65,I$2,'Outages (event ledger)'!$E$2:$E$65,"&lt;="&amp;$B40,'Outages (event ledger)'!$G$2:$G$65,"&gt;="&amp;$B40)</f>
        <v>0</v>
      </c>
      <c r="J40" s="29" t="n">
        <f aca="false">SUMIFS('Outages (event ledger)'!$H$2:$H$65,'Outages (event ledger)'!$A$2:$A$65,J$2,'Outages (event ledger)'!$E$2:$E$65,"&lt;="&amp;$B40,'Outages (event ledger)'!$G$2:$G$65,"&gt;="&amp;$B40)</f>
        <v>0</v>
      </c>
      <c r="K40" s="29" t="n">
        <f aca="false">SUMIFS('Outages (event ledger)'!$H$2:$H$65,'Outages (event ledger)'!$A$2:$A$65,K$2,'Outages (event ledger)'!$E$2:$E$65,"&lt;="&amp;$B40,'Outages (event ledger)'!$G$2:$G$65,"&gt;="&amp;$B40)</f>
        <v>0</v>
      </c>
      <c r="L40" s="29" t="n">
        <f aca="false">SUMIFS('Outages (event ledger)'!$H$2:$H$65,'Outages (event ledger)'!$A$2:$A$65,L$2,'Outages (event ledger)'!$E$2:$E$65,"&lt;="&amp;$B40,'Outages (event ledger)'!$G$2:$G$65,"&gt;="&amp;$B40)</f>
        <v>0</v>
      </c>
      <c r="M40" s="29" t="n">
        <f aca="false">SUMIFS('Outages (event ledger)'!$H$2:$H$65,'Outages (event ledger)'!$A$2:$A$65,M$2,'Outages (event ledger)'!$E$2:$E$65,"&lt;="&amp;$B40,'Outages (event ledger)'!$G$2:$G$65,"&gt;="&amp;$B40)</f>
        <v>0</v>
      </c>
      <c r="N40" s="29" t="n">
        <f aca="false">SUMIFS('Outages (event ledger)'!$H$2:$H$65,'Outages (event ledger)'!$A$2:$A$65,N$2,'Outages (event ledger)'!$E$2:$E$65,"&lt;="&amp;$B40,'Outages (event ledger)'!$G$2:$G$65,"&gt;="&amp;$B40)</f>
        <v>0</v>
      </c>
      <c r="O40" s="29" t="n">
        <f aca="false">SUMIFS('Outages (event ledger)'!$H$2:$H$65,'Outages (event ledger)'!$A$2:$A$65,O$2,'Outages (event ledger)'!$E$2:$E$65,"&lt;="&amp;$B40,'Outages (event ledger)'!$G$2:$G$65,"&gt;="&amp;$B40)</f>
        <v>0</v>
      </c>
      <c r="P40" s="29" t="n">
        <f aca="false">SUMIFS('Outages (event ledger)'!$H$2:$H$65,'Outages (event ledger)'!$A$2:$A$65,P$2,'Outages (event ledger)'!$E$2:$E$65,"&lt;="&amp;$B40,'Outages (event ledger)'!$G$2:$G$65,"&gt;="&amp;$B40)</f>
        <v>0</v>
      </c>
      <c r="Q40" s="29" t="n">
        <f aca="false">SUMIFS('Outages (event ledger)'!$H$2:$H$65,'Outages (event ledger)'!$A$2:$A$65,Q$2,'Outages (event ledger)'!$E$2:$E$65,"&lt;="&amp;$B40,'Outages (event ledger)'!$G$2:$G$65,"&gt;="&amp;$B40)</f>
        <v>0</v>
      </c>
      <c r="R40" s="29" t="n">
        <f aca="false">SUMIFS('Outages (event ledger)'!$H$2:$H$65,'Outages (event ledger)'!$A$2:$A$65,R$2,'Outages (event ledger)'!$E$2:$E$65,"&lt;="&amp;$B40,'Outages (event ledger)'!$G$2:$G$65,"&gt;="&amp;$B40)</f>
        <v>0</v>
      </c>
      <c r="S40" s="29" t="n">
        <f aca="false">SUMIFS('Outages (event ledger)'!$H$2:$H$65,'Outages (event ledger)'!$A$2:$A$65,S$2,'Outages (event ledger)'!$E$2:$E$65,"&lt;="&amp;$B40,'Outages (event ledger)'!$G$2:$G$65,"&gt;="&amp;$B40)</f>
        <v>0</v>
      </c>
      <c r="T40" s="29" t="n">
        <f aca="false">SUMIFS('Outages (event ledger)'!$H$2:$H$65,'Outages (event ledger)'!$A$2:$A$65,T$2,'Outages (event ledger)'!$E$2:$E$65,"&lt;="&amp;$B40,'Outages (event ledger)'!$G$2:$G$65,"&gt;="&amp;$B40)</f>
        <v>0</v>
      </c>
      <c r="U40" s="29" t="n">
        <f aca="false">SUMIFS('Outages (event ledger)'!$H$2:$H$65,'Outages (event ledger)'!$A$2:$A$65,U$2,'Outages (event ledger)'!$E$2:$E$65,"&lt;="&amp;$B40,'Outages (event ledger)'!$G$2:$G$65,"&gt;="&amp;$B40)</f>
        <v>0</v>
      </c>
      <c r="V40" s="29" t="n">
        <f aca="false">SUMIFS('Outages (event ledger)'!$H$2:$H$65,'Outages (event ledger)'!$A$2:$A$65,V$2,'Outages (event ledger)'!$E$2:$E$65,"&lt;="&amp;$B40,'Outages (event ledger)'!$G$2:$G$65,"&gt;="&amp;$B40)</f>
        <v>0</v>
      </c>
      <c r="W40" s="29" t="n">
        <f aca="false">SUMIFS('Outages (event ledger)'!$H$2:$H$65,'Outages (event ledger)'!$A$2:$A$65,W$2,'Outages (event ledger)'!$E$2:$E$65,"&lt;="&amp;$B40,'Outages (event ledger)'!$G$2:$G$65,"&gt;="&amp;$B40)</f>
        <v>0</v>
      </c>
      <c r="X40" s="29" t="n">
        <f aca="false">SUMIFS('Outages (event ledger)'!$H$2:$H$65,'Outages (event ledger)'!$A$2:$A$65,X$2,'Outages (event ledger)'!$E$2:$E$65,"&lt;="&amp;$B40,'Outages (event ledger)'!$G$2:$G$65,"&gt;="&amp;$B40)</f>
        <v>0</v>
      </c>
      <c r="Y40" s="29" t="n">
        <f aca="false">SUMIFS('Outages (event ledger)'!$H$2:$H$65,'Outages (event ledger)'!$A$2:$A$65,Y$2,'Outages (event ledger)'!$E$2:$E$65,"&lt;="&amp;$B40,'Outages (event ledger)'!$G$2:$G$65,"&gt;="&amp;$B40)</f>
        <v>5</v>
      </c>
      <c r="Z40" s="29" t="n">
        <f aca="false">SUMIFS('Outages (event ledger)'!$H$2:$H$65,'Outages (event ledger)'!$A$2:$A$65,Z$2,'Outages (event ledger)'!$E$2:$E$65,"&lt;="&amp;$B40,'Outages (event ledger)'!$G$2:$G$65,"&gt;="&amp;$B40)</f>
        <v>0</v>
      </c>
      <c r="AA40" s="29" t="n">
        <f aca="false">SUMIFS('Outages (event ledger)'!$H$2:$H$65,'Outages (event ledger)'!$A$2:$A$65,AA$2,'Outages (event ledger)'!$E$2:$E$65,"&lt;="&amp;$B40,'Outages (event ledger)'!$G$2:$G$65,"&gt;="&amp;$B40)</f>
        <v>0</v>
      </c>
      <c r="AB40" s="29" t="n">
        <f aca="false">SUMIFS('Outages (event ledger)'!$H$2:$H$65,'Outages (event ledger)'!$A$2:$A$65,AB$2,'Outages (event ledger)'!$E$2:$E$65,"&lt;="&amp;$B40,'Outages (event ledger)'!$G$2:$G$65,"&gt;="&amp;$B40)</f>
        <v>8</v>
      </c>
      <c r="AC40" s="29" t="n">
        <f aca="false">SUMIFS('Outages (event ledger)'!$H$2:$H$65,'Outages (event ledger)'!$A$2:$A$65,AC$2,'Outages (event ledger)'!$E$2:$E$65,"&lt;="&amp;$B40,'Outages (event ledger)'!$G$2:$G$65,"&gt;="&amp;$B40)</f>
        <v>0</v>
      </c>
      <c r="AD40" s="29" t="n">
        <f aca="false">SUMIFS('Outages (event ledger)'!$H$2:$H$65,'Outages (event ledger)'!$A$2:$A$65,AD$2,'Outages (event ledger)'!$E$2:$E$65,"&lt;="&amp;$B40,'Outages (event ledger)'!$G$2:$G$65,"&gt;="&amp;$B40)</f>
        <v>0</v>
      </c>
      <c r="AE40" s="29" t="n">
        <f aca="false">SUMIFS('Outages (event ledger)'!$H$2:$H$65,'Outages (event ledger)'!$A$2:$A$65,AE$2,'Outages (event ledger)'!$E$2:$E$65,"&lt;="&amp;$B40,'Outages (event ledger)'!$G$2:$G$65,"&gt;="&amp;$B40)</f>
        <v>0</v>
      </c>
      <c r="AF40" s="29" t="n">
        <f aca="false">SUMIFS('Outages (event ledger)'!$H$2:$H$65,'Outages (event ledger)'!$A$2:$A$65,AF$2,'Outages (event ledger)'!$E$2:$E$65,"&lt;="&amp;$B40,'Outages (event ledger)'!$G$2:$G$65,"&gt;="&amp;$B40)</f>
        <v>0</v>
      </c>
      <c r="AG40" s="29" t="n">
        <f aca="false">SUMIFS('Outages (event ledger)'!$H$2:$H$65,'Outages (event ledger)'!$A$2:$A$65,AG$2,'Outages (event ledger)'!$E$2:$E$65,"&lt;="&amp;$B40,'Outages (event ledger)'!$G$2:$G$65,"&gt;="&amp;$B40)</f>
        <v>0</v>
      </c>
      <c r="AH40" s="29" t="n">
        <f aca="false">SUMIFS('Outages (event ledger)'!$H$2:$H$65,'Outages (event ledger)'!$A$2:$A$65,AH$2,'Outages (event ledger)'!$E$2:$E$65,"&lt;="&amp;$B40,'Outages (event ledger)'!$G$2:$G$65,"&gt;="&amp;$B40)</f>
        <v>0</v>
      </c>
      <c r="AI40" s="29" t="n">
        <f aca="false">SUMIFS('Outages (event ledger)'!$H$2:$H$65,'Outages (event ledger)'!$A$2:$A$65,AI$2,'Outages (event ledger)'!$E$2:$E$65,"&lt;="&amp;$B40,'Outages (event ledger)'!$G$2:$G$65,"&gt;="&amp;$B40)</f>
        <v>0</v>
      </c>
      <c r="AJ40" s="29" t="n">
        <f aca="false">SUMIFS('Outages (event ledger)'!$H$2:$H$65,'Outages (event ledger)'!$A$2:$A$65,AJ$2,'Outages (event ledger)'!$E$2:$E$65,"&lt;="&amp;$B40,'Outages (event ledger)'!$G$2:$G$65,"&gt;="&amp;$B40)</f>
        <v>0</v>
      </c>
      <c r="AK40" s="29" t="n">
        <f aca="false">SUMIFS('Outages (event ledger)'!$H$2:$H$65,'Outages (event ledger)'!$A$2:$A$65,AK$2,'Outages (event ledger)'!$E$2:$E$65,"&lt;="&amp;$B40,'Outages (event ledger)'!$G$2:$G$65,"&gt;="&amp;$B40)</f>
        <v>0</v>
      </c>
      <c r="AL40" s="29" t="n">
        <f aca="false">SUMIFS('Outages (event ledger)'!$H$2:$H$65,'Outages (event ledger)'!$A$2:$A$65,AL$2,'Outages (event ledger)'!$E$2:$E$65,"&lt;="&amp;$B40,'Outages (event ledger)'!$G$2:$G$65,"&gt;="&amp;$B40)</f>
        <v>3.5</v>
      </c>
      <c r="AM40" s="29" t="n">
        <f aca="false">SUMIFS('Outages (event ledger)'!$H$2:$H$65,'Outages (event ledger)'!$A$2:$A$65,AM$2,'Outages (event ledger)'!$E$2:$E$65,"&lt;="&amp;$B40,'Outages (event ledger)'!$G$2:$G$65,"&gt;="&amp;$B40)</f>
        <v>0</v>
      </c>
      <c r="AN40" s="29" t="n">
        <f aca="false">SUMIFS('Outages (event ledger)'!$H$2:$H$65,'Outages (event ledger)'!$A$2:$A$65,AN$2,'Outages (event ledger)'!$E$2:$E$65,"&lt;="&amp;$B40,'Outages (event ledger)'!$G$2:$G$65,"&gt;="&amp;$B40)</f>
        <v>0</v>
      </c>
      <c r="AO40" s="29" t="n">
        <f aca="false">SUMIFS('Outages (event ledger)'!$H$2:$H$65,'Outages (event ledger)'!$A$2:$A$65,AO$2,'Outages (event ledger)'!$E$2:$E$65,"&lt;="&amp;$B40,'Outages (event ledger)'!$G$2:$G$65,"&gt;="&amp;$B40)</f>
        <v>0</v>
      </c>
      <c r="AP40" s="29" t="n">
        <f aca="false">SUMIFS('Outages (event ledger)'!$H$2:$H$65,'Outages (event ledger)'!$A$2:$A$65,AP$2,'Outages (event ledger)'!$E$2:$E$65,"&lt;="&amp;$B40,'Outages (event ledger)'!$G$2:$G$65,"&gt;="&amp;$B40)</f>
        <v>0</v>
      </c>
      <c r="AQ40" s="29" t="n">
        <f aca="false">SUMIFS('Outages (event ledger)'!$H$2:$H$65,'Outages (event ledger)'!$A$2:$A$65,AQ$2,'Outages (event ledger)'!$E$2:$E$65,"&lt;="&amp;$B40,'Outages (event ledger)'!$G$2:$G$65,"&gt;="&amp;$B40)</f>
        <v>0</v>
      </c>
      <c r="AR40" s="29" t="n">
        <f aca="false">SUMIFS('Outages (event ledger)'!$H$2:$H$65,'Outages (event ledger)'!$A$2:$A$65,AR$2,'Outages (event ledger)'!$E$2:$E$65,"&lt;="&amp;$B40,'Outages (event ledger)'!$G$2:$G$65,"&gt;="&amp;$B40)</f>
        <v>0</v>
      </c>
      <c r="AS40" s="29" t="n">
        <f aca="false">SUMIFS('Outages (event ledger)'!$H$2:$H$65,'Outages (event ledger)'!$A$2:$A$65,AS$2,'Outages (event ledger)'!$E$2:$E$65,"&lt;="&amp;$B40,'Outages (event ledger)'!$G$2:$G$65,"&gt;="&amp;$B40)</f>
        <v>0</v>
      </c>
      <c r="AT40" s="29" t="n">
        <f aca="false">SUMIFS('Outages (event ledger)'!$H$2:$H$65,'Outages (event ledger)'!$A$2:$A$65,AT$2,'Outages (event ledger)'!$E$2:$E$65,"&lt;="&amp;$B40,'Outages (event ledger)'!$G$2:$G$65,"&gt;="&amp;$B40)</f>
        <v>0</v>
      </c>
      <c r="AU40" s="29" t="n">
        <f aca="false">SUMIFS('Outages (event ledger)'!$H$2:$H$65,'Outages (event ledger)'!$A$2:$A$65,AU$2,'Outages (event ledger)'!$E$2:$E$65,"&lt;="&amp;$B40,'Outages (event ledger)'!$G$2:$G$65,"&gt;="&amp;$B40)</f>
        <v>0</v>
      </c>
      <c r="AV40" s="29" t="n">
        <f aca="false">SUMIFS('Outages (event ledger)'!$H$2:$H$65,'Outages (event ledger)'!$A$2:$A$65,AV$2,'Outages (event ledger)'!$E$2:$E$65,"&lt;="&amp;$B40,'Outages (event ledger)'!$G$2:$G$65,"&gt;="&amp;$B40)</f>
        <v>0</v>
      </c>
      <c r="AW40" s="29" t="n">
        <f aca="false">SUMIFS('Outages (event ledger)'!$H$2:$H$65,'Outages (event ledger)'!$A$2:$A$65,AW$2,'Outages (event ledger)'!$E$2:$E$65,"&lt;="&amp;$B40,'Outages (event ledger)'!$G$2:$G$65,"&gt;="&amp;$B40)</f>
        <v>0</v>
      </c>
      <c r="AX40" s="29" t="n">
        <f aca="false">SUMIFS('Outages (event ledger)'!$H$2:$H$65,'Outages (event ledger)'!$A$2:$A$65,AX$2,'Outages (event ledger)'!$E$2:$E$65,"&lt;="&amp;$B40,'Outages (event ledger)'!$G$2:$G$65,"&gt;="&amp;$B40)</f>
        <v>0</v>
      </c>
      <c r="AY40" s="29" t="n">
        <f aca="false">SUMIFS('Outages (event ledger)'!$H$2:$H$65,'Outages (event ledger)'!$A$2:$A$65,AY$2,'Outages (event ledger)'!$E$2:$E$65,"&lt;="&amp;$B40,'Outages (event ledger)'!$G$2:$G$65,"&gt;="&amp;$B40)</f>
        <v>0</v>
      </c>
      <c r="AZ40" s="29" t="n">
        <f aca="false">SUMIFS('Outages (event ledger)'!$H$2:$H$65,'Outages (event ledger)'!$A$2:$A$65,AZ$2,'Outages (event ledger)'!$E$2:$E$65,"&lt;="&amp;$B40,'Outages (event ledger)'!$G$2:$G$65,"&gt;="&amp;$B40)</f>
        <v>0</v>
      </c>
      <c r="BA40" s="29" t="n">
        <f aca="false">SUMIFS('Outages (event ledger)'!$H$2:$H$65,'Outages (event ledger)'!$A$2:$A$65,BA$2,'Outages (event ledger)'!$E$2:$E$65,"&lt;="&amp;$B40,'Outages (event ledger)'!$G$2:$G$65,"&gt;="&amp;$B40)</f>
        <v>0</v>
      </c>
      <c r="BB40" s="29" t="n">
        <f aca="false">SUMIFS('Outages (event ledger)'!$H$2:$H$65,'Outages (event ledger)'!$A$2:$A$65,BB$2,'Outages (event ledger)'!$E$2:$E$65,"&lt;="&amp;$B40,'Outages (event ledger)'!$G$2:$G$65,"&gt;="&amp;$B40)</f>
        <v>0</v>
      </c>
      <c r="BC40" s="29" t="n">
        <f aca="false">SUMIFS('Outages (event ledger)'!$H$2:$H$65,'Outages (event ledger)'!$A$2:$A$65,BC$2,'Outages (event ledger)'!$E$2:$E$65,"&lt;="&amp;$B40,'Outages (event ledger)'!$G$2:$G$65,"&gt;="&amp;$B40)</f>
        <v>0</v>
      </c>
      <c r="BD40" s="29" t="n">
        <f aca="false">SUMIFS('Outages (event ledger)'!$H$2:$H$65,'Outages (event ledger)'!$A$2:$A$65,BD$2,'Outages (event ledger)'!$E$2:$E$65,"&lt;="&amp;$B40,'Outages (event ledger)'!$G$2:$G$65,"&gt;="&amp;$B40)</f>
        <v>0</v>
      </c>
      <c r="BE40" s="29" t="n">
        <f aca="false">SUMIFS('Outages (event ledger)'!$H$2:$H$65,'Outages (event ledger)'!$A$2:$A$65,BE$2,'Outages (event ledger)'!$E$2:$E$65,"&lt;="&amp;$B40,'Outages (event ledger)'!$G$2:$G$65,"&gt;="&amp;$B40)</f>
        <v>0</v>
      </c>
      <c r="BF40" s="29" t="n">
        <f aca="false">SUMIFS('Outages (event ledger)'!$H$2:$H$65,'Outages (event ledger)'!$A$2:$A$65,BF$2,'Outages (event ledger)'!$E$2:$E$65,"&lt;="&amp;$B40,'Outages (event ledger)'!$G$2:$G$65,"&gt;="&amp;$B40)</f>
        <v>0</v>
      </c>
      <c r="BG40" s="29" t="n">
        <f aca="false">SUMIFS('Outages (event ledger)'!$H$2:$H$65,'Outages (event ledger)'!$A$2:$A$65,BG$2,'Outages (event ledger)'!$E$2:$E$65,"&lt;="&amp;$B40,'Outages (event ledger)'!$G$2:$G$65,"&gt;="&amp;$B40)</f>
        <v>0</v>
      </c>
      <c r="BH40" s="29" t="n">
        <f aca="false">SUMIFS('Outages (event ledger)'!$H$2:$H$65,'Outages (event ledger)'!$A$2:$A$65,BH$2,'Outages (event ledger)'!$E$2:$E$65,"&lt;="&amp;$B40,'Outages (event ledger)'!$G$2:$G$65,"&gt;="&amp;$B40)</f>
        <v>0</v>
      </c>
      <c r="BI40" s="29" t="n">
        <f aca="false">SUMIFS('Outages (event ledger)'!$H$2:$H$65,'Outages (event ledger)'!$A$2:$A$65,BI$2,'Outages (event ledger)'!$E$2:$E$65,"&lt;="&amp;$B40,'Outages (event ledger)'!$G$2:$G$65,"&gt;="&amp;$B40)</f>
        <v>0</v>
      </c>
    </row>
    <row r="41" customFormat="false" ht="15" hidden="false" customHeight="false" outlineLevel="0" collapsed="false">
      <c r="A41" s="27" t="n">
        <v>41334</v>
      </c>
      <c r="B41" s="28" t="n">
        <v>201303</v>
      </c>
      <c r="C41" s="25" t="n">
        <f aca="false">SUM(D41:BI41)</f>
        <v>16.5</v>
      </c>
      <c r="D41" s="29" t="n">
        <f aca="false">SUMIFS('Outages (event ledger)'!$H$2:$H$65,'Outages (event ledger)'!$A$2:$A$65,D$2,'Outages (event ledger)'!$E$2:$E$65,"&lt;="&amp;$B41,'Outages (event ledger)'!$G$2:$G$65,"&gt;="&amp;$B41)</f>
        <v>0</v>
      </c>
      <c r="E41" s="29" t="n">
        <f aca="false">SUMIFS('Outages (event ledger)'!$H$2:$H$65,'Outages (event ledger)'!$A$2:$A$65,E$2,'Outages (event ledger)'!$E$2:$E$65,"&lt;="&amp;$B41,'Outages (event ledger)'!$G$2:$G$65,"&gt;="&amp;$B41)</f>
        <v>0</v>
      </c>
      <c r="F41" s="29" t="n">
        <f aca="false">SUMIFS('Outages (event ledger)'!$H$2:$H$65,'Outages (event ledger)'!$A$2:$A$65,F$2,'Outages (event ledger)'!$E$2:$E$65,"&lt;="&amp;$B41,'Outages (event ledger)'!$G$2:$G$65,"&gt;="&amp;$B41)</f>
        <v>0</v>
      </c>
      <c r="G41" s="29" t="n">
        <f aca="false">SUMIFS('Outages (event ledger)'!$H$2:$H$65,'Outages (event ledger)'!$A$2:$A$65,G$2,'Outages (event ledger)'!$E$2:$E$65,"&lt;="&amp;$B41,'Outages (event ledger)'!$G$2:$G$65,"&gt;="&amp;$B41)</f>
        <v>0</v>
      </c>
      <c r="H41" s="29" t="n">
        <f aca="false">SUMIFS('Outages (event ledger)'!$H$2:$H$65,'Outages (event ledger)'!$A$2:$A$65,H$2,'Outages (event ledger)'!$E$2:$E$65,"&lt;="&amp;$B41,'Outages (event ledger)'!$G$2:$G$65,"&gt;="&amp;$B41)</f>
        <v>0</v>
      </c>
      <c r="I41" s="29" t="n">
        <f aca="false">SUMIFS('Outages (event ledger)'!$H$2:$H$65,'Outages (event ledger)'!$A$2:$A$65,I$2,'Outages (event ledger)'!$E$2:$E$65,"&lt;="&amp;$B41,'Outages (event ledger)'!$G$2:$G$65,"&gt;="&amp;$B41)</f>
        <v>0</v>
      </c>
      <c r="J41" s="29" t="n">
        <f aca="false">SUMIFS('Outages (event ledger)'!$H$2:$H$65,'Outages (event ledger)'!$A$2:$A$65,J$2,'Outages (event ledger)'!$E$2:$E$65,"&lt;="&amp;$B41,'Outages (event ledger)'!$G$2:$G$65,"&gt;="&amp;$B41)</f>
        <v>0</v>
      </c>
      <c r="K41" s="29" t="n">
        <f aca="false">SUMIFS('Outages (event ledger)'!$H$2:$H$65,'Outages (event ledger)'!$A$2:$A$65,K$2,'Outages (event ledger)'!$E$2:$E$65,"&lt;="&amp;$B41,'Outages (event ledger)'!$G$2:$G$65,"&gt;="&amp;$B41)</f>
        <v>0</v>
      </c>
      <c r="L41" s="29" t="n">
        <f aca="false">SUMIFS('Outages (event ledger)'!$H$2:$H$65,'Outages (event ledger)'!$A$2:$A$65,L$2,'Outages (event ledger)'!$E$2:$E$65,"&lt;="&amp;$B41,'Outages (event ledger)'!$G$2:$G$65,"&gt;="&amp;$B41)</f>
        <v>0</v>
      </c>
      <c r="M41" s="29" t="n">
        <f aca="false">SUMIFS('Outages (event ledger)'!$H$2:$H$65,'Outages (event ledger)'!$A$2:$A$65,M$2,'Outages (event ledger)'!$E$2:$E$65,"&lt;="&amp;$B41,'Outages (event ledger)'!$G$2:$G$65,"&gt;="&amp;$B41)</f>
        <v>0</v>
      </c>
      <c r="N41" s="29" t="n">
        <f aca="false">SUMIFS('Outages (event ledger)'!$H$2:$H$65,'Outages (event ledger)'!$A$2:$A$65,N$2,'Outages (event ledger)'!$E$2:$E$65,"&lt;="&amp;$B41,'Outages (event ledger)'!$G$2:$G$65,"&gt;="&amp;$B41)</f>
        <v>0</v>
      </c>
      <c r="O41" s="29" t="n">
        <f aca="false">SUMIFS('Outages (event ledger)'!$H$2:$H$65,'Outages (event ledger)'!$A$2:$A$65,O$2,'Outages (event ledger)'!$E$2:$E$65,"&lt;="&amp;$B41,'Outages (event ledger)'!$G$2:$G$65,"&gt;="&amp;$B41)</f>
        <v>0</v>
      </c>
      <c r="P41" s="29" t="n">
        <f aca="false">SUMIFS('Outages (event ledger)'!$H$2:$H$65,'Outages (event ledger)'!$A$2:$A$65,P$2,'Outages (event ledger)'!$E$2:$E$65,"&lt;="&amp;$B41,'Outages (event ledger)'!$G$2:$G$65,"&gt;="&amp;$B41)</f>
        <v>0</v>
      </c>
      <c r="Q41" s="29" t="n">
        <f aca="false">SUMIFS('Outages (event ledger)'!$H$2:$H$65,'Outages (event ledger)'!$A$2:$A$65,Q$2,'Outages (event ledger)'!$E$2:$E$65,"&lt;="&amp;$B41,'Outages (event ledger)'!$G$2:$G$65,"&gt;="&amp;$B41)</f>
        <v>0</v>
      </c>
      <c r="R41" s="29" t="n">
        <f aca="false">SUMIFS('Outages (event ledger)'!$H$2:$H$65,'Outages (event ledger)'!$A$2:$A$65,R$2,'Outages (event ledger)'!$E$2:$E$65,"&lt;="&amp;$B41,'Outages (event ledger)'!$G$2:$G$65,"&gt;="&amp;$B41)</f>
        <v>0</v>
      </c>
      <c r="S41" s="29" t="n">
        <f aca="false">SUMIFS('Outages (event ledger)'!$H$2:$H$65,'Outages (event ledger)'!$A$2:$A$65,S$2,'Outages (event ledger)'!$E$2:$E$65,"&lt;="&amp;$B41,'Outages (event ledger)'!$G$2:$G$65,"&gt;="&amp;$B41)</f>
        <v>0</v>
      </c>
      <c r="T41" s="29" t="n">
        <f aca="false">SUMIFS('Outages (event ledger)'!$H$2:$H$65,'Outages (event ledger)'!$A$2:$A$65,T$2,'Outages (event ledger)'!$E$2:$E$65,"&lt;="&amp;$B41,'Outages (event ledger)'!$G$2:$G$65,"&gt;="&amp;$B41)</f>
        <v>0</v>
      </c>
      <c r="U41" s="29" t="n">
        <f aca="false">SUMIFS('Outages (event ledger)'!$H$2:$H$65,'Outages (event ledger)'!$A$2:$A$65,U$2,'Outages (event ledger)'!$E$2:$E$65,"&lt;="&amp;$B41,'Outages (event ledger)'!$G$2:$G$65,"&gt;="&amp;$B41)</f>
        <v>0</v>
      </c>
      <c r="V41" s="29" t="n">
        <f aca="false">SUMIFS('Outages (event ledger)'!$H$2:$H$65,'Outages (event ledger)'!$A$2:$A$65,V$2,'Outages (event ledger)'!$E$2:$E$65,"&lt;="&amp;$B41,'Outages (event ledger)'!$G$2:$G$65,"&gt;="&amp;$B41)</f>
        <v>0</v>
      </c>
      <c r="W41" s="29" t="n">
        <f aca="false">SUMIFS('Outages (event ledger)'!$H$2:$H$65,'Outages (event ledger)'!$A$2:$A$65,W$2,'Outages (event ledger)'!$E$2:$E$65,"&lt;="&amp;$B41,'Outages (event ledger)'!$G$2:$G$65,"&gt;="&amp;$B41)</f>
        <v>0</v>
      </c>
      <c r="X41" s="29" t="n">
        <f aca="false">SUMIFS('Outages (event ledger)'!$H$2:$H$65,'Outages (event ledger)'!$A$2:$A$65,X$2,'Outages (event ledger)'!$E$2:$E$65,"&lt;="&amp;$B41,'Outages (event ledger)'!$G$2:$G$65,"&gt;="&amp;$B41)</f>
        <v>0</v>
      </c>
      <c r="Y41" s="29" t="n">
        <f aca="false">SUMIFS('Outages (event ledger)'!$H$2:$H$65,'Outages (event ledger)'!$A$2:$A$65,Y$2,'Outages (event ledger)'!$E$2:$E$65,"&lt;="&amp;$B41,'Outages (event ledger)'!$G$2:$G$65,"&gt;="&amp;$B41)</f>
        <v>5</v>
      </c>
      <c r="Z41" s="29" t="n">
        <f aca="false">SUMIFS('Outages (event ledger)'!$H$2:$H$65,'Outages (event ledger)'!$A$2:$A$65,Z$2,'Outages (event ledger)'!$E$2:$E$65,"&lt;="&amp;$B41,'Outages (event ledger)'!$G$2:$G$65,"&gt;="&amp;$B41)</f>
        <v>0</v>
      </c>
      <c r="AA41" s="29" t="n">
        <f aca="false">SUMIFS('Outages (event ledger)'!$H$2:$H$65,'Outages (event ledger)'!$A$2:$A$65,AA$2,'Outages (event ledger)'!$E$2:$E$65,"&lt;="&amp;$B41,'Outages (event ledger)'!$G$2:$G$65,"&gt;="&amp;$B41)</f>
        <v>0</v>
      </c>
      <c r="AB41" s="29" t="n">
        <f aca="false">SUMIFS('Outages (event ledger)'!$H$2:$H$65,'Outages (event ledger)'!$A$2:$A$65,AB$2,'Outages (event ledger)'!$E$2:$E$65,"&lt;="&amp;$B41,'Outages (event ledger)'!$G$2:$G$65,"&gt;="&amp;$B41)</f>
        <v>8</v>
      </c>
      <c r="AC41" s="29" t="n">
        <f aca="false">SUMIFS('Outages (event ledger)'!$H$2:$H$65,'Outages (event ledger)'!$A$2:$A$65,AC$2,'Outages (event ledger)'!$E$2:$E$65,"&lt;="&amp;$B41,'Outages (event ledger)'!$G$2:$G$65,"&gt;="&amp;$B41)</f>
        <v>0</v>
      </c>
      <c r="AD41" s="29" t="n">
        <f aca="false">SUMIFS('Outages (event ledger)'!$H$2:$H$65,'Outages (event ledger)'!$A$2:$A$65,AD$2,'Outages (event ledger)'!$E$2:$E$65,"&lt;="&amp;$B41,'Outages (event ledger)'!$G$2:$G$65,"&gt;="&amp;$B41)</f>
        <v>0</v>
      </c>
      <c r="AE41" s="29" t="n">
        <f aca="false">SUMIFS('Outages (event ledger)'!$H$2:$H$65,'Outages (event ledger)'!$A$2:$A$65,AE$2,'Outages (event ledger)'!$E$2:$E$65,"&lt;="&amp;$B41,'Outages (event ledger)'!$G$2:$G$65,"&gt;="&amp;$B41)</f>
        <v>0</v>
      </c>
      <c r="AF41" s="29" t="n">
        <f aca="false">SUMIFS('Outages (event ledger)'!$H$2:$H$65,'Outages (event ledger)'!$A$2:$A$65,AF$2,'Outages (event ledger)'!$E$2:$E$65,"&lt;="&amp;$B41,'Outages (event ledger)'!$G$2:$G$65,"&gt;="&amp;$B41)</f>
        <v>0</v>
      </c>
      <c r="AG41" s="29" t="n">
        <f aca="false">SUMIFS('Outages (event ledger)'!$H$2:$H$65,'Outages (event ledger)'!$A$2:$A$65,AG$2,'Outages (event ledger)'!$E$2:$E$65,"&lt;="&amp;$B41,'Outages (event ledger)'!$G$2:$G$65,"&gt;="&amp;$B41)</f>
        <v>0</v>
      </c>
      <c r="AH41" s="29" t="n">
        <f aca="false">SUMIFS('Outages (event ledger)'!$H$2:$H$65,'Outages (event ledger)'!$A$2:$A$65,AH$2,'Outages (event ledger)'!$E$2:$E$65,"&lt;="&amp;$B41,'Outages (event ledger)'!$G$2:$G$65,"&gt;="&amp;$B41)</f>
        <v>0</v>
      </c>
      <c r="AI41" s="29" t="n">
        <f aca="false">SUMIFS('Outages (event ledger)'!$H$2:$H$65,'Outages (event ledger)'!$A$2:$A$65,AI$2,'Outages (event ledger)'!$E$2:$E$65,"&lt;="&amp;$B41,'Outages (event ledger)'!$G$2:$G$65,"&gt;="&amp;$B41)</f>
        <v>0</v>
      </c>
      <c r="AJ41" s="29" t="n">
        <f aca="false">SUMIFS('Outages (event ledger)'!$H$2:$H$65,'Outages (event ledger)'!$A$2:$A$65,AJ$2,'Outages (event ledger)'!$E$2:$E$65,"&lt;="&amp;$B41,'Outages (event ledger)'!$G$2:$G$65,"&gt;="&amp;$B41)</f>
        <v>0</v>
      </c>
      <c r="AK41" s="29" t="n">
        <f aca="false">SUMIFS('Outages (event ledger)'!$H$2:$H$65,'Outages (event ledger)'!$A$2:$A$65,AK$2,'Outages (event ledger)'!$E$2:$E$65,"&lt;="&amp;$B41,'Outages (event ledger)'!$G$2:$G$65,"&gt;="&amp;$B41)</f>
        <v>0</v>
      </c>
      <c r="AL41" s="29" t="n">
        <f aca="false">SUMIFS('Outages (event ledger)'!$H$2:$H$65,'Outages (event ledger)'!$A$2:$A$65,AL$2,'Outages (event ledger)'!$E$2:$E$65,"&lt;="&amp;$B41,'Outages (event ledger)'!$G$2:$G$65,"&gt;="&amp;$B41)</f>
        <v>3.5</v>
      </c>
      <c r="AM41" s="29" t="n">
        <f aca="false">SUMIFS('Outages (event ledger)'!$H$2:$H$65,'Outages (event ledger)'!$A$2:$A$65,AM$2,'Outages (event ledger)'!$E$2:$E$65,"&lt;="&amp;$B41,'Outages (event ledger)'!$G$2:$G$65,"&gt;="&amp;$B41)</f>
        <v>0</v>
      </c>
      <c r="AN41" s="29" t="n">
        <f aca="false">SUMIFS('Outages (event ledger)'!$H$2:$H$65,'Outages (event ledger)'!$A$2:$A$65,AN$2,'Outages (event ledger)'!$E$2:$E$65,"&lt;="&amp;$B41,'Outages (event ledger)'!$G$2:$G$65,"&gt;="&amp;$B41)</f>
        <v>0</v>
      </c>
      <c r="AO41" s="29" t="n">
        <f aca="false">SUMIFS('Outages (event ledger)'!$H$2:$H$65,'Outages (event ledger)'!$A$2:$A$65,AO$2,'Outages (event ledger)'!$E$2:$E$65,"&lt;="&amp;$B41,'Outages (event ledger)'!$G$2:$G$65,"&gt;="&amp;$B41)</f>
        <v>0</v>
      </c>
      <c r="AP41" s="29" t="n">
        <f aca="false">SUMIFS('Outages (event ledger)'!$H$2:$H$65,'Outages (event ledger)'!$A$2:$A$65,AP$2,'Outages (event ledger)'!$E$2:$E$65,"&lt;="&amp;$B41,'Outages (event ledger)'!$G$2:$G$65,"&gt;="&amp;$B41)</f>
        <v>0</v>
      </c>
      <c r="AQ41" s="29" t="n">
        <f aca="false">SUMIFS('Outages (event ledger)'!$H$2:$H$65,'Outages (event ledger)'!$A$2:$A$65,AQ$2,'Outages (event ledger)'!$E$2:$E$65,"&lt;="&amp;$B41,'Outages (event ledger)'!$G$2:$G$65,"&gt;="&amp;$B41)</f>
        <v>0</v>
      </c>
      <c r="AR41" s="29" t="n">
        <f aca="false">SUMIFS('Outages (event ledger)'!$H$2:$H$65,'Outages (event ledger)'!$A$2:$A$65,AR$2,'Outages (event ledger)'!$E$2:$E$65,"&lt;="&amp;$B41,'Outages (event ledger)'!$G$2:$G$65,"&gt;="&amp;$B41)</f>
        <v>0</v>
      </c>
      <c r="AS41" s="29" t="n">
        <f aca="false">SUMIFS('Outages (event ledger)'!$H$2:$H$65,'Outages (event ledger)'!$A$2:$A$65,AS$2,'Outages (event ledger)'!$E$2:$E$65,"&lt;="&amp;$B41,'Outages (event ledger)'!$G$2:$G$65,"&gt;="&amp;$B41)</f>
        <v>0</v>
      </c>
      <c r="AT41" s="29" t="n">
        <f aca="false">SUMIFS('Outages (event ledger)'!$H$2:$H$65,'Outages (event ledger)'!$A$2:$A$65,AT$2,'Outages (event ledger)'!$E$2:$E$65,"&lt;="&amp;$B41,'Outages (event ledger)'!$G$2:$G$65,"&gt;="&amp;$B41)</f>
        <v>0</v>
      </c>
      <c r="AU41" s="29" t="n">
        <f aca="false">SUMIFS('Outages (event ledger)'!$H$2:$H$65,'Outages (event ledger)'!$A$2:$A$65,AU$2,'Outages (event ledger)'!$E$2:$E$65,"&lt;="&amp;$B41,'Outages (event ledger)'!$G$2:$G$65,"&gt;="&amp;$B41)</f>
        <v>0</v>
      </c>
      <c r="AV41" s="29" t="n">
        <f aca="false">SUMIFS('Outages (event ledger)'!$H$2:$H$65,'Outages (event ledger)'!$A$2:$A$65,AV$2,'Outages (event ledger)'!$E$2:$E$65,"&lt;="&amp;$B41,'Outages (event ledger)'!$G$2:$G$65,"&gt;="&amp;$B41)</f>
        <v>0</v>
      </c>
      <c r="AW41" s="29" t="n">
        <f aca="false">SUMIFS('Outages (event ledger)'!$H$2:$H$65,'Outages (event ledger)'!$A$2:$A$65,AW$2,'Outages (event ledger)'!$E$2:$E$65,"&lt;="&amp;$B41,'Outages (event ledger)'!$G$2:$G$65,"&gt;="&amp;$B41)</f>
        <v>0</v>
      </c>
      <c r="AX41" s="29" t="n">
        <f aca="false">SUMIFS('Outages (event ledger)'!$H$2:$H$65,'Outages (event ledger)'!$A$2:$A$65,AX$2,'Outages (event ledger)'!$E$2:$E$65,"&lt;="&amp;$B41,'Outages (event ledger)'!$G$2:$G$65,"&gt;="&amp;$B41)</f>
        <v>0</v>
      </c>
      <c r="AY41" s="29" t="n">
        <f aca="false">SUMIFS('Outages (event ledger)'!$H$2:$H$65,'Outages (event ledger)'!$A$2:$A$65,AY$2,'Outages (event ledger)'!$E$2:$E$65,"&lt;="&amp;$B41,'Outages (event ledger)'!$G$2:$G$65,"&gt;="&amp;$B41)</f>
        <v>0</v>
      </c>
      <c r="AZ41" s="29" t="n">
        <f aca="false">SUMIFS('Outages (event ledger)'!$H$2:$H$65,'Outages (event ledger)'!$A$2:$A$65,AZ$2,'Outages (event ledger)'!$E$2:$E$65,"&lt;="&amp;$B41,'Outages (event ledger)'!$G$2:$G$65,"&gt;="&amp;$B41)</f>
        <v>0</v>
      </c>
      <c r="BA41" s="29" t="n">
        <f aca="false">SUMIFS('Outages (event ledger)'!$H$2:$H$65,'Outages (event ledger)'!$A$2:$A$65,BA$2,'Outages (event ledger)'!$E$2:$E$65,"&lt;="&amp;$B41,'Outages (event ledger)'!$G$2:$G$65,"&gt;="&amp;$B41)</f>
        <v>0</v>
      </c>
      <c r="BB41" s="29" t="n">
        <f aca="false">SUMIFS('Outages (event ledger)'!$H$2:$H$65,'Outages (event ledger)'!$A$2:$A$65,BB$2,'Outages (event ledger)'!$E$2:$E$65,"&lt;="&amp;$B41,'Outages (event ledger)'!$G$2:$G$65,"&gt;="&amp;$B41)</f>
        <v>0</v>
      </c>
      <c r="BC41" s="29" t="n">
        <f aca="false">SUMIFS('Outages (event ledger)'!$H$2:$H$65,'Outages (event ledger)'!$A$2:$A$65,BC$2,'Outages (event ledger)'!$E$2:$E$65,"&lt;="&amp;$B41,'Outages (event ledger)'!$G$2:$G$65,"&gt;="&amp;$B41)</f>
        <v>0</v>
      </c>
      <c r="BD41" s="29" t="n">
        <f aca="false">SUMIFS('Outages (event ledger)'!$H$2:$H$65,'Outages (event ledger)'!$A$2:$A$65,BD$2,'Outages (event ledger)'!$E$2:$E$65,"&lt;="&amp;$B41,'Outages (event ledger)'!$G$2:$G$65,"&gt;="&amp;$B41)</f>
        <v>0</v>
      </c>
      <c r="BE41" s="29" t="n">
        <f aca="false">SUMIFS('Outages (event ledger)'!$H$2:$H$65,'Outages (event ledger)'!$A$2:$A$65,BE$2,'Outages (event ledger)'!$E$2:$E$65,"&lt;="&amp;$B41,'Outages (event ledger)'!$G$2:$G$65,"&gt;="&amp;$B41)</f>
        <v>0</v>
      </c>
      <c r="BF41" s="29" t="n">
        <f aca="false">SUMIFS('Outages (event ledger)'!$H$2:$H$65,'Outages (event ledger)'!$A$2:$A$65,BF$2,'Outages (event ledger)'!$E$2:$E$65,"&lt;="&amp;$B41,'Outages (event ledger)'!$G$2:$G$65,"&gt;="&amp;$B41)</f>
        <v>0</v>
      </c>
      <c r="BG41" s="29" t="n">
        <f aca="false">SUMIFS('Outages (event ledger)'!$H$2:$H$65,'Outages (event ledger)'!$A$2:$A$65,BG$2,'Outages (event ledger)'!$E$2:$E$65,"&lt;="&amp;$B41,'Outages (event ledger)'!$G$2:$G$65,"&gt;="&amp;$B41)</f>
        <v>0</v>
      </c>
      <c r="BH41" s="29" t="n">
        <f aca="false">SUMIFS('Outages (event ledger)'!$H$2:$H$65,'Outages (event ledger)'!$A$2:$A$65,BH$2,'Outages (event ledger)'!$E$2:$E$65,"&lt;="&amp;$B41,'Outages (event ledger)'!$G$2:$G$65,"&gt;="&amp;$B41)</f>
        <v>0</v>
      </c>
      <c r="BI41" s="29" t="n">
        <f aca="false">SUMIFS('Outages (event ledger)'!$H$2:$H$65,'Outages (event ledger)'!$A$2:$A$65,BI$2,'Outages (event ledger)'!$E$2:$E$65,"&lt;="&amp;$B41,'Outages (event ledger)'!$G$2:$G$65,"&gt;="&amp;$B41)</f>
        <v>0</v>
      </c>
    </row>
    <row r="42" customFormat="false" ht="15" hidden="false" customHeight="false" outlineLevel="0" collapsed="false">
      <c r="A42" s="27" t="n">
        <v>41365</v>
      </c>
      <c r="B42" s="28" t="n">
        <v>201304</v>
      </c>
      <c r="C42" s="25" t="n">
        <f aca="false">SUM(D42:BI42)</f>
        <v>16.5</v>
      </c>
      <c r="D42" s="29" t="n">
        <f aca="false">SUMIFS('Outages (event ledger)'!$H$2:$H$65,'Outages (event ledger)'!$A$2:$A$65,D$2,'Outages (event ledger)'!$E$2:$E$65,"&lt;="&amp;$B42,'Outages (event ledger)'!$G$2:$G$65,"&gt;="&amp;$B42)</f>
        <v>0</v>
      </c>
      <c r="E42" s="29" t="n">
        <f aca="false">SUMIFS('Outages (event ledger)'!$H$2:$H$65,'Outages (event ledger)'!$A$2:$A$65,E$2,'Outages (event ledger)'!$E$2:$E$65,"&lt;="&amp;$B42,'Outages (event ledger)'!$G$2:$G$65,"&gt;="&amp;$B42)</f>
        <v>0</v>
      </c>
      <c r="F42" s="29" t="n">
        <f aca="false">SUMIFS('Outages (event ledger)'!$H$2:$H$65,'Outages (event ledger)'!$A$2:$A$65,F$2,'Outages (event ledger)'!$E$2:$E$65,"&lt;="&amp;$B42,'Outages (event ledger)'!$G$2:$G$65,"&gt;="&amp;$B42)</f>
        <v>0</v>
      </c>
      <c r="G42" s="29" t="n">
        <f aca="false">SUMIFS('Outages (event ledger)'!$H$2:$H$65,'Outages (event ledger)'!$A$2:$A$65,G$2,'Outages (event ledger)'!$E$2:$E$65,"&lt;="&amp;$B42,'Outages (event ledger)'!$G$2:$G$65,"&gt;="&amp;$B42)</f>
        <v>0</v>
      </c>
      <c r="H42" s="29" t="n">
        <f aca="false">SUMIFS('Outages (event ledger)'!$H$2:$H$65,'Outages (event ledger)'!$A$2:$A$65,H$2,'Outages (event ledger)'!$E$2:$E$65,"&lt;="&amp;$B42,'Outages (event ledger)'!$G$2:$G$65,"&gt;="&amp;$B42)</f>
        <v>0</v>
      </c>
      <c r="I42" s="29" t="n">
        <f aca="false">SUMIFS('Outages (event ledger)'!$H$2:$H$65,'Outages (event ledger)'!$A$2:$A$65,I$2,'Outages (event ledger)'!$E$2:$E$65,"&lt;="&amp;$B42,'Outages (event ledger)'!$G$2:$G$65,"&gt;="&amp;$B42)</f>
        <v>0</v>
      </c>
      <c r="J42" s="29" t="n">
        <f aca="false">SUMIFS('Outages (event ledger)'!$H$2:$H$65,'Outages (event ledger)'!$A$2:$A$65,J$2,'Outages (event ledger)'!$E$2:$E$65,"&lt;="&amp;$B42,'Outages (event ledger)'!$G$2:$G$65,"&gt;="&amp;$B42)</f>
        <v>0</v>
      </c>
      <c r="K42" s="29" t="n">
        <f aca="false">SUMIFS('Outages (event ledger)'!$H$2:$H$65,'Outages (event ledger)'!$A$2:$A$65,K$2,'Outages (event ledger)'!$E$2:$E$65,"&lt;="&amp;$B42,'Outages (event ledger)'!$G$2:$G$65,"&gt;="&amp;$B42)</f>
        <v>0</v>
      </c>
      <c r="L42" s="29" t="n">
        <f aca="false">SUMIFS('Outages (event ledger)'!$H$2:$H$65,'Outages (event ledger)'!$A$2:$A$65,L$2,'Outages (event ledger)'!$E$2:$E$65,"&lt;="&amp;$B42,'Outages (event ledger)'!$G$2:$G$65,"&gt;="&amp;$B42)</f>
        <v>0</v>
      </c>
      <c r="M42" s="29" t="n">
        <f aca="false">SUMIFS('Outages (event ledger)'!$H$2:$H$65,'Outages (event ledger)'!$A$2:$A$65,M$2,'Outages (event ledger)'!$E$2:$E$65,"&lt;="&amp;$B42,'Outages (event ledger)'!$G$2:$G$65,"&gt;="&amp;$B42)</f>
        <v>0</v>
      </c>
      <c r="N42" s="29" t="n">
        <f aca="false">SUMIFS('Outages (event ledger)'!$H$2:$H$65,'Outages (event ledger)'!$A$2:$A$65,N$2,'Outages (event ledger)'!$E$2:$E$65,"&lt;="&amp;$B42,'Outages (event ledger)'!$G$2:$G$65,"&gt;="&amp;$B42)</f>
        <v>0</v>
      </c>
      <c r="O42" s="29" t="n">
        <f aca="false">SUMIFS('Outages (event ledger)'!$H$2:$H$65,'Outages (event ledger)'!$A$2:$A$65,O$2,'Outages (event ledger)'!$E$2:$E$65,"&lt;="&amp;$B42,'Outages (event ledger)'!$G$2:$G$65,"&gt;="&amp;$B42)</f>
        <v>0</v>
      </c>
      <c r="P42" s="29" t="n">
        <f aca="false">SUMIFS('Outages (event ledger)'!$H$2:$H$65,'Outages (event ledger)'!$A$2:$A$65,P$2,'Outages (event ledger)'!$E$2:$E$65,"&lt;="&amp;$B42,'Outages (event ledger)'!$G$2:$G$65,"&gt;="&amp;$B42)</f>
        <v>0</v>
      </c>
      <c r="Q42" s="29" t="n">
        <f aca="false">SUMIFS('Outages (event ledger)'!$H$2:$H$65,'Outages (event ledger)'!$A$2:$A$65,Q$2,'Outages (event ledger)'!$E$2:$E$65,"&lt;="&amp;$B42,'Outages (event ledger)'!$G$2:$G$65,"&gt;="&amp;$B42)</f>
        <v>0</v>
      </c>
      <c r="R42" s="29" t="n">
        <f aca="false">SUMIFS('Outages (event ledger)'!$H$2:$H$65,'Outages (event ledger)'!$A$2:$A$65,R$2,'Outages (event ledger)'!$E$2:$E$65,"&lt;="&amp;$B42,'Outages (event ledger)'!$G$2:$G$65,"&gt;="&amp;$B42)</f>
        <v>0</v>
      </c>
      <c r="S42" s="29" t="n">
        <f aca="false">SUMIFS('Outages (event ledger)'!$H$2:$H$65,'Outages (event ledger)'!$A$2:$A$65,S$2,'Outages (event ledger)'!$E$2:$E$65,"&lt;="&amp;$B42,'Outages (event ledger)'!$G$2:$G$65,"&gt;="&amp;$B42)</f>
        <v>0</v>
      </c>
      <c r="T42" s="29" t="n">
        <f aca="false">SUMIFS('Outages (event ledger)'!$H$2:$H$65,'Outages (event ledger)'!$A$2:$A$65,T$2,'Outages (event ledger)'!$E$2:$E$65,"&lt;="&amp;$B42,'Outages (event ledger)'!$G$2:$G$65,"&gt;="&amp;$B42)</f>
        <v>0</v>
      </c>
      <c r="U42" s="29" t="n">
        <f aca="false">SUMIFS('Outages (event ledger)'!$H$2:$H$65,'Outages (event ledger)'!$A$2:$A$65,U$2,'Outages (event ledger)'!$E$2:$E$65,"&lt;="&amp;$B42,'Outages (event ledger)'!$G$2:$G$65,"&gt;="&amp;$B42)</f>
        <v>0</v>
      </c>
      <c r="V42" s="29" t="n">
        <f aca="false">SUMIFS('Outages (event ledger)'!$H$2:$H$65,'Outages (event ledger)'!$A$2:$A$65,V$2,'Outages (event ledger)'!$E$2:$E$65,"&lt;="&amp;$B42,'Outages (event ledger)'!$G$2:$G$65,"&gt;="&amp;$B42)</f>
        <v>0</v>
      </c>
      <c r="W42" s="29" t="n">
        <f aca="false">SUMIFS('Outages (event ledger)'!$H$2:$H$65,'Outages (event ledger)'!$A$2:$A$65,W$2,'Outages (event ledger)'!$E$2:$E$65,"&lt;="&amp;$B42,'Outages (event ledger)'!$G$2:$G$65,"&gt;="&amp;$B42)</f>
        <v>0</v>
      </c>
      <c r="X42" s="29" t="n">
        <f aca="false">SUMIFS('Outages (event ledger)'!$H$2:$H$65,'Outages (event ledger)'!$A$2:$A$65,X$2,'Outages (event ledger)'!$E$2:$E$65,"&lt;="&amp;$B42,'Outages (event ledger)'!$G$2:$G$65,"&gt;="&amp;$B42)</f>
        <v>0</v>
      </c>
      <c r="Y42" s="29" t="n">
        <f aca="false">SUMIFS('Outages (event ledger)'!$H$2:$H$65,'Outages (event ledger)'!$A$2:$A$65,Y$2,'Outages (event ledger)'!$E$2:$E$65,"&lt;="&amp;$B42,'Outages (event ledger)'!$G$2:$G$65,"&gt;="&amp;$B42)</f>
        <v>5</v>
      </c>
      <c r="Z42" s="29" t="n">
        <f aca="false">SUMIFS('Outages (event ledger)'!$H$2:$H$65,'Outages (event ledger)'!$A$2:$A$65,Z$2,'Outages (event ledger)'!$E$2:$E$65,"&lt;="&amp;$B42,'Outages (event ledger)'!$G$2:$G$65,"&gt;="&amp;$B42)</f>
        <v>0</v>
      </c>
      <c r="AA42" s="29" t="n">
        <f aca="false">SUMIFS('Outages (event ledger)'!$H$2:$H$65,'Outages (event ledger)'!$A$2:$A$65,AA$2,'Outages (event ledger)'!$E$2:$E$65,"&lt;="&amp;$B42,'Outages (event ledger)'!$G$2:$G$65,"&gt;="&amp;$B42)</f>
        <v>0</v>
      </c>
      <c r="AB42" s="29" t="n">
        <f aca="false">SUMIFS('Outages (event ledger)'!$H$2:$H$65,'Outages (event ledger)'!$A$2:$A$65,AB$2,'Outages (event ledger)'!$E$2:$E$65,"&lt;="&amp;$B42,'Outages (event ledger)'!$G$2:$G$65,"&gt;="&amp;$B42)</f>
        <v>8</v>
      </c>
      <c r="AC42" s="29" t="n">
        <f aca="false">SUMIFS('Outages (event ledger)'!$H$2:$H$65,'Outages (event ledger)'!$A$2:$A$65,AC$2,'Outages (event ledger)'!$E$2:$E$65,"&lt;="&amp;$B42,'Outages (event ledger)'!$G$2:$G$65,"&gt;="&amp;$B42)</f>
        <v>0</v>
      </c>
      <c r="AD42" s="29" t="n">
        <f aca="false">SUMIFS('Outages (event ledger)'!$H$2:$H$65,'Outages (event ledger)'!$A$2:$A$65,AD$2,'Outages (event ledger)'!$E$2:$E$65,"&lt;="&amp;$B42,'Outages (event ledger)'!$G$2:$G$65,"&gt;="&amp;$B42)</f>
        <v>0</v>
      </c>
      <c r="AE42" s="29" t="n">
        <f aca="false">SUMIFS('Outages (event ledger)'!$H$2:$H$65,'Outages (event ledger)'!$A$2:$A$65,AE$2,'Outages (event ledger)'!$E$2:$E$65,"&lt;="&amp;$B42,'Outages (event ledger)'!$G$2:$G$65,"&gt;="&amp;$B42)</f>
        <v>0</v>
      </c>
      <c r="AF42" s="29" t="n">
        <f aca="false">SUMIFS('Outages (event ledger)'!$H$2:$H$65,'Outages (event ledger)'!$A$2:$A$65,AF$2,'Outages (event ledger)'!$E$2:$E$65,"&lt;="&amp;$B42,'Outages (event ledger)'!$G$2:$G$65,"&gt;="&amp;$B42)</f>
        <v>0</v>
      </c>
      <c r="AG42" s="29" t="n">
        <f aca="false">SUMIFS('Outages (event ledger)'!$H$2:$H$65,'Outages (event ledger)'!$A$2:$A$65,AG$2,'Outages (event ledger)'!$E$2:$E$65,"&lt;="&amp;$B42,'Outages (event ledger)'!$G$2:$G$65,"&gt;="&amp;$B42)</f>
        <v>0</v>
      </c>
      <c r="AH42" s="29" t="n">
        <f aca="false">SUMIFS('Outages (event ledger)'!$H$2:$H$65,'Outages (event ledger)'!$A$2:$A$65,AH$2,'Outages (event ledger)'!$E$2:$E$65,"&lt;="&amp;$B42,'Outages (event ledger)'!$G$2:$G$65,"&gt;="&amp;$B42)</f>
        <v>0</v>
      </c>
      <c r="AI42" s="29" t="n">
        <f aca="false">SUMIFS('Outages (event ledger)'!$H$2:$H$65,'Outages (event ledger)'!$A$2:$A$65,AI$2,'Outages (event ledger)'!$E$2:$E$65,"&lt;="&amp;$B42,'Outages (event ledger)'!$G$2:$G$65,"&gt;="&amp;$B42)</f>
        <v>0</v>
      </c>
      <c r="AJ42" s="29" t="n">
        <f aca="false">SUMIFS('Outages (event ledger)'!$H$2:$H$65,'Outages (event ledger)'!$A$2:$A$65,AJ$2,'Outages (event ledger)'!$E$2:$E$65,"&lt;="&amp;$B42,'Outages (event ledger)'!$G$2:$G$65,"&gt;="&amp;$B42)</f>
        <v>0</v>
      </c>
      <c r="AK42" s="29" t="n">
        <f aca="false">SUMIFS('Outages (event ledger)'!$H$2:$H$65,'Outages (event ledger)'!$A$2:$A$65,AK$2,'Outages (event ledger)'!$E$2:$E$65,"&lt;="&amp;$B42,'Outages (event ledger)'!$G$2:$G$65,"&gt;="&amp;$B42)</f>
        <v>0</v>
      </c>
      <c r="AL42" s="29" t="n">
        <f aca="false">SUMIFS('Outages (event ledger)'!$H$2:$H$65,'Outages (event ledger)'!$A$2:$A$65,AL$2,'Outages (event ledger)'!$E$2:$E$65,"&lt;="&amp;$B42,'Outages (event ledger)'!$G$2:$G$65,"&gt;="&amp;$B42)</f>
        <v>3.5</v>
      </c>
      <c r="AM42" s="29" t="n">
        <f aca="false">SUMIFS('Outages (event ledger)'!$H$2:$H$65,'Outages (event ledger)'!$A$2:$A$65,AM$2,'Outages (event ledger)'!$E$2:$E$65,"&lt;="&amp;$B42,'Outages (event ledger)'!$G$2:$G$65,"&gt;="&amp;$B42)</f>
        <v>0</v>
      </c>
      <c r="AN42" s="29" t="n">
        <f aca="false">SUMIFS('Outages (event ledger)'!$H$2:$H$65,'Outages (event ledger)'!$A$2:$A$65,AN$2,'Outages (event ledger)'!$E$2:$E$65,"&lt;="&amp;$B42,'Outages (event ledger)'!$G$2:$G$65,"&gt;="&amp;$B42)</f>
        <v>0</v>
      </c>
      <c r="AO42" s="29" t="n">
        <f aca="false">SUMIFS('Outages (event ledger)'!$H$2:$H$65,'Outages (event ledger)'!$A$2:$A$65,AO$2,'Outages (event ledger)'!$E$2:$E$65,"&lt;="&amp;$B42,'Outages (event ledger)'!$G$2:$G$65,"&gt;="&amp;$B42)</f>
        <v>0</v>
      </c>
      <c r="AP42" s="29" t="n">
        <f aca="false">SUMIFS('Outages (event ledger)'!$H$2:$H$65,'Outages (event ledger)'!$A$2:$A$65,AP$2,'Outages (event ledger)'!$E$2:$E$65,"&lt;="&amp;$B42,'Outages (event ledger)'!$G$2:$G$65,"&gt;="&amp;$B42)</f>
        <v>0</v>
      </c>
      <c r="AQ42" s="29" t="n">
        <f aca="false">SUMIFS('Outages (event ledger)'!$H$2:$H$65,'Outages (event ledger)'!$A$2:$A$65,AQ$2,'Outages (event ledger)'!$E$2:$E$65,"&lt;="&amp;$B42,'Outages (event ledger)'!$G$2:$G$65,"&gt;="&amp;$B42)</f>
        <v>0</v>
      </c>
      <c r="AR42" s="29" t="n">
        <f aca="false">SUMIFS('Outages (event ledger)'!$H$2:$H$65,'Outages (event ledger)'!$A$2:$A$65,AR$2,'Outages (event ledger)'!$E$2:$E$65,"&lt;="&amp;$B42,'Outages (event ledger)'!$G$2:$G$65,"&gt;="&amp;$B42)</f>
        <v>0</v>
      </c>
      <c r="AS42" s="29" t="n">
        <f aca="false">SUMIFS('Outages (event ledger)'!$H$2:$H$65,'Outages (event ledger)'!$A$2:$A$65,AS$2,'Outages (event ledger)'!$E$2:$E$65,"&lt;="&amp;$B42,'Outages (event ledger)'!$G$2:$G$65,"&gt;="&amp;$B42)</f>
        <v>0</v>
      </c>
      <c r="AT42" s="29" t="n">
        <f aca="false">SUMIFS('Outages (event ledger)'!$H$2:$H$65,'Outages (event ledger)'!$A$2:$A$65,AT$2,'Outages (event ledger)'!$E$2:$E$65,"&lt;="&amp;$B42,'Outages (event ledger)'!$G$2:$G$65,"&gt;="&amp;$B42)</f>
        <v>0</v>
      </c>
      <c r="AU42" s="29" t="n">
        <f aca="false">SUMIFS('Outages (event ledger)'!$H$2:$H$65,'Outages (event ledger)'!$A$2:$A$65,AU$2,'Outages (event ledger)'!$E$2:$E$65,"&lt;="&amp;$B42,'Outages (event ledger)'!$G$2:$G$65,"&gt;="&amp;$B42)</f>
        <v>0</v>
      </c>
      <c r="AV42" s="29" t="n">
        <f aca="false">SUMIFS('Outages (event ledger)'!$H$2:$H$65,'Outages (event ledger)'!$A$2:$A$65,AV$2,'Outages (event ledger)'!$E$2:$E$65,"&lt;="&amp;$B42,'Outages (event ledger)'!$G$2:$G$65,"&gt;="&amp;$B42)</f>
        <v>0</v>
      </c>
      <c r="AW42" s="29" t="n">
        <f aca="false">SUMIFS('Outages (event ledger)'!$H$2:$H$65,'Outages (event ledger)'!$A$2:$A$65,AW$2,'Outages (event ledger)'!$E$2:$E$65,"&lt;="&amp;$B42,'Outages (event ledger)'!$G$2:$G$65,"&gt;="&amp;$B42)</f>
        <v>0</v>
      </c>
      <c r="AX42" s="29" t="n">
        <f aca="false">SUMIFS('Outages (event ledger)'!$H$2:$H$65,'Outages (event ledger)'!$A$2:$A$65,AX$2,'Outages (event ledger)'!$E$2:$E$65,"&lt;="&amp;$B42,'Outages (event ledger)'!$G$2:$G$65,"&gt;="&amp;$B42)</f>
        <v>0</v>
      </c>
      <c r="AY42" s="29" t="n">
        <f aca="false">SUMIFS('Outages (event ledger)'!$H$2:$H$65,'Outages (event ledger)'!$A$2:$A$65,AY$2,'Outages (event ledger)'!$E$2:$E$65,"&lt;="&amp;$B42,'Outages (event ledger)'!$G$2:$G$65,"&gt;="&amp;$B42)</f>
        <v>0</v>
      </c>
      <c r="AZ42" s="29" t="n">
        <f aca="false">SUMIFS('Outages (event ledger)'!$H$2:$H$65,'Outages (event ledger)'!$A$2:$A$65,AZ$2,'Outages (event ledger)'!$E$2:$E$65,"&lt;="&amp;$B42,'Outages (event ledger)'!$G$2:$G$65,"&gt;="&amp;$B42)</f>
        <v>0</v>
      </c>
      <c r="BA42" s="29" t="n">
        <f aca="false">SUMIFS('Outages (event ledger)'!$H$2:$H$65,'Outages (event ledger)'!$A$2:$A$65,BA$2,'Outages (event ledger)'!$E$2:$E$65,"&lt;="&amp;$B42,'Outages (event ledger)'!$G$2:$G$65,"&gt;="&amp;$B42)</f>
        <v>0</v>
      </c>
      <c r="BB42" s="29" t="n">
        <f aca="false">SUMIFS('Outages (event ledger)'!$H$2:$H$65,'Outages (event ledger)'!$A$2:$A$65,BB$2,'Outages (event ledger)'!$E$2:$E$65,"&lt;="&amp;$B42,'Outages (event ledger)'!$G$2:$G$65,"&gt;="&amp;$B42)</f>
        <v>0</v>
      </c>
      <c r="BC42" s="29" t="n">
        <f aca="false">SUMIFS('Outages (event ledger)'!$H$2:$H$65,'Outages (event ledger)'!$A$2:$A$65,BC$2,'Outages (event ledger)'!$E$2:$E$65,"&lt;="&amp;$B42,'Outages (event ledger)'!$G$2:$G$65,"&gt;="&amp;$B42)</f>
        <v>0</v>
      </c>
      <c r="BD42" s="29" t="n">
        <f aca="false">SUMIFS('Outages (event ledger)'!$H$2:$H$65,'Outages (event ledger)'!$A$2:$A$65,BD$2,'Outages (event ledger)'!$E$2:$E$65,"&lt;="&amp;$B42,'Outages (event ledger)'!$G$2:$G$65,"&gt;="&amp;$B42)</f>
        <v>0</v>
      </c>
      <c r="BE42" s="29" t="n">
        <f aca="false">SUMIFS('Outages (event ledger)'!$H$2:$H$65,'Outages (event ledger)'!$A$2:$A$65,BE$2,'Outages (event ledger)'!$E$2:$E$65,"&lt;="&amp;$B42,'Outages (event ledger)'!$G$2:$G$65,"&gt;="&amp;$B42)</f>
        <v>0</v>
      </c>
      <c r="BF42" s="29" t="n">
        <f aca="false">SUMIFS('Outages (event ledger)'!$H$2:$H$65,'Outages (event ledger)'!$A$2:$A$65,BF$2,'Outages (event ledger)'!$E$2:$E$65,"&lt;="&amp;$B42,'Outages (event ledger)'!$G$2:$G$65,"&gt;="&amp;$B42)</f>
        <v>0</v>
      </c>
      <c r="BG42" s="29" t="n">
        <f aca="false">SUMIFS('Outages (event ledger)'!$H$2:$H$65,'Outages (event ledger)'!$A$2:$A$65,BG$2,'Outages (event ledger)'!$E$2:$E$65,"&lt;="&amp;$B42,'Outages (event ledger)'!$G$2:$G$65,"&gt;="&amp;$B42)</f>
        <v>0</v>
      </c>
      <c r="BH42" s="29" t="n">
        <f aca="false">SUMIFS('Outages (event ledger)'!$H$2:$H$65,'Outages (event ledger)'!$A$2:$A$65,BH$2,'Outages (event ledger)'!$E$2:$E$65,"&lt;="&amp;$B42,'Outages (event ledger)'!$G$2:$G$65,"&gt;="&amp;$B42)</f>
        <v>0</v>
      </c>
      <c r="BI42" s="29" t="n">
        <f aca="false">SUMIFS('Outages (event ledger)'!$H$2:$H$65,'Outages (event ledger)'!$A$2:$A$65,BI$2,'Outages (event ledger)'!$E$2:$E$65,"&lt;="&amp;$B42,'Outages (event ledger)'!$G$2:$G$65,"&gt;="&amp;$B42)</f>
        <v>0</v>
      </c>
    </row>
    <row r="43" customFormat="false" ht="15" hidden="false" customHeight="false" outlineLevel="0" collapsed="false">
      <c r="A43" s="27" t="n">
        <v>41395</v>
      </c>
      <c r="B43" s="28" t="n">
        <v>201305</v>
      </c>
      <c r="C43" s="25" t="n">
        <f aca="false">SUM(D43:BI43)</f>
        <v>16.5</v>
      </c>
      <c r="D43" s="29" t="n">
        <f aca="false">SUMIFS('Outages (event ledger)'!$H$2:$H$65,'Outages (event ledger)'!$A$2:$A$65,D$2,'Outages (event ledger)'!$E$2:$E$65,"&lt;="&amp;$B43,'Outages (event ledger)'!$G$2:$G$65,"&gt;="&amp;$B43)</f>
        <v>0</v>
      </c>
      <c r="E43" s="29" t="n">
        <f aca="false">SUMIFS('Outages (event ledger)'!$H$2:$H$65,'Outages (event ledger)'!$A$2:$A$65,E$2,'Outages (event ledger)'!$E$2:$E$65,"&lt;="&amp;$B43,'Outages (event ledger)'!$G$2:$G$65,"&gt;="&amp;$B43)</f>
        <v>0</v>
      </c>
      <c r="F43" s="29" t="n">
        <f aca="false">SUMIFS('Outages (event ledger)'!$H$2:$H$65,'Outages (event ledger)'!$A$2:$A$65,F$2,'Outages (event ledger)'!$E$2:$E$65,"&lt;="&amp;$B43,'Outages (event ledger)'!$G$2:$G$65,"&gt;="&amp;$B43)</f>
        <v>0</v>
      </c>
      <c r="G43" s="29" t="n">
        <f aca="false">SUMIFS('Outages (event ledger)'!$H$2:$H$65,'Outages (event ledger)'!$A$2:$A$65,G$2,'Outages (event ledger)'!$E$2:$E$65,"&lt;="&amp;$B43,'Outages (event ledger)'!$G$2:$G$65,"&gt;="&amp;$B43)</f>
        <v>0</v>
      </c>
      <c r="H43" s="29" t="n">
        <f aca="false">SUMIFS('Outages (event ledger)'!$H$2:$H$65,'Outages (event ledger)'!$A$2:$A$65,H$2,'Outages (event ledger)'!$E$2:$E$65,"&lt;="&amp;$B43,'Outages (event ledger)'!$G$2:$G$65,"&gt;="&amp;$B43)</f>
        <v>0</v>
      </c>
      <c r="I43" s="29" t="n">
        <f aca="false">SUMIFS('Outages (event ledger)'!$H$2:$H$65,'Outages (event ledger)'!$A$2:$A$65,I$2,'Outages (event ledger)'!$E$2:$E$65,"&lt;="&amp;$B43,'Outages (event ledger)'!$G$2:$G$65,"&gt;="&amp;$B43)</f>
        <v>0</v>
      </c>
      <c r="J43" s="29" t="n">
        <f aca="false">SUMIFS('Outages (event ledger)'!$H$2:$H$65,'Outages (event ledger)'!$A$2:$A$65,J$2,'Outages (event ledger)'!$E$2:$E$65,"&lt;="&amp;$B43,'Outages (event ledger)'!$G$2:$G$65,"&gt;="&amp;$B43)</f>
        <v>0</v>
      </c>
      <c r="K43" s="29" t="n">
        <f aca="false">SUMIFS('Outages (event ledger)'!$H$2:$H$65,'Outages (event ledger)'!$A$2:$A$65,K$2,'Outages (event ledger)'!$E$2:$E$65,"&lt;="&amp;$B43,'Outages (event ledger)'!$G$2:$G$65,"&gt;="&amp;$B43)</f>
        <v>0</v>
      </c>
      <c r="L43" s="29" t="n">
        <f aca="false">SUMIFS('Outages (event ledger)'!$H$2:$H$65,'Outages (event ledger)'!$A$2:$A$65,L$2,'Outages (event ledger)'!$E$2:$E$65,"&lt;="&amp;$B43,'Outages (event ledger)'!$G$2:$G$65,"&gt;="&amp;$B43)</f>
        <v>0</v>
      </c>
      <c r="M43" s="29" t="n">
        <f aca="false">SUMIFS('Outages (event ledger)'!$H$2:$H$65,'Outages (event ledger)'!$A$2:$A$65,M$2,'Outages (event ledger)'!$E$2:$E$65,"&lt;="&amp;$B43,'Outages (event ledger)'!$G$2:$G$65,"&gt;="&amp;$B43)</f>
        <v>0</v>
      </c>
      <c r="N43" s="29" t="n">
        <f aca="false">SUMIFS('Outages (event ledger)'!$H$2:$H$65,'Outages (event ledger)'!$A$2:$A$65,N$2,'Outages (event ledger)'!$E$2:$E$65,"&lt;="&amp;$B43,'Outages (event ledger)'!$G$2:$G$65,"&gt;="&amp;$B43)</f>
        <v>0</v>
      </c>
      <c r="O43" s="29" t="n">
        <f aca="false">SUMIFS('Outages (event ledger)'!$H$2:$H$65,'Outages (event ledger)'!$A$2:$A$65,O$2,'Outages (event ledger)'!$E$2:$E$65,"&lt;="&amp;$B43,'Outages (event ledger)'!$G$2:$G$65,"&gt;="&amp;$B43)</f>
        <v>0</v>
      </c>
      <c r="P43" s="29" t="n">
        <f aca="false">SUMIFS('Outages (event ledger)'!$H$2:$H$65,'Outages (event ledger)'!$A$2:$A$65,P$2,'Outages (event ledger)'!$E$2:$E$65,"&lt;="&amp;$B43,'Outages (event ledger)'!$G$2:$G$65,"&gt;="&amp;$B43)</f>
        <v>0</v>
      </c>
      <c r="Q43" s="29" t="n">
        <f aca="false">SUMIFS('Outages (event ledger)'!$H$2:$H$65,'Outages (event ledger)'!$A$2:$A$65,Q$2,'Outages (event ledger)'!$E$2:$E$65,"&lt;="&amp;$B43,'Outages (event ledger)'!$G$2:$G$65,"&gt;="&amp;$B43)</f>
        <v>0</v>
      </c>
      <c r="R43" s="29" t="n">
        <f aca="false">SUMIFS('Outages (event ledger)'!$H$2:$H$65,'Outages (event ledger)'!$A$2:$A$65,R$2,'Outages (event ledger)'!$E$2:$E$65,"&lt;="&amp;$B43,'Outages (event ledger)'!$G$2:$G$65,"&gt;="&amp;$B43)</f>
        <v>0</v>
      </c>
      <c r="S43" s="29" t="n">
        <f aca="false">SUMIFS('Outages (event ledger)'!$H$2:$H$65,'Outages (event ledger)'!$A$2:$A$65,S$2,'Outages (event ledger)'!$E$2:$E$65,"&lt;="&amp;$B43,'Outages (event ledger)'!$G$2:$G$65,"&gt;="&amp;$B43)</f>
        <v>0</v>
      </c>
      <c r="T43" s="29" t="n">
        <f aca="false">SUMIFS('Outages (event ledger)'!$H$2:$H$65,'Outages (event ledger)'!$A$2:$A$65,T$2,'Outages (event ledger)'!$E$2:$E$65,"&lt;="&amp;$B43,'Outages (event ledger)'!$G$2:$G$65,"&gt;="&amp;$B43)</f>
        <v>0</v>
      </c>
      <c r="U43" s="29" t="n">
        <f aca="false">SUMIFS('Outages (event ledger)'!$H$2:$H$65,'Outages (event ledger)'!$A$2:$A$65,U$2,'Outages (event ledger)'!$E$2:$E$65,"&lt;="&amp;$B43,'Outages (event ledger)'!$G$2:$G$65,"&gt;="&amp;$B43)</f>
        <v>0</v>
      </c>
      <c r="V43" s="29" t="n">
        <f aca="false">SUMIFS('Outages (event ledger)'!$H$2:$H$65,'Outages (event ledger)'!$A$2:$A$65,V$2,'Outages (event ledger)'!$E$2:$E$65,"&lt;="&amp;$B43,'Outages (event ledger)'!$G$2:$G$65,"&gt;="&amp;$B43)</f>
        <v>0</v>
      </c>
      <c r="W43" s="29" t="n">
        <f aca="false">SUMIFS('Outages (event ledger)'!$H$2:$H$65,'Outages (event ledger)'!$A$2:$A$65,W$2,'Outages (event ledger)'!$E$2:$E$65,"&lt;="&amp;$B43,'Outages (event ledger)'!$G$2:$G$65,"&gt;="&amp;$B43)</f>
        <v>0</v>
      </c>
      <c r="X43" s="29" t="n">
        <f aca="false">SUMIFS('Outages (event ledger)'!$H$2:$H$65,'Outages (event ledger)'!$A$2:$A$65,X$2,'Outages (event ledger)'!$E$2:$E$65,"&lt;="&amp;$B43,'Outages (event ledger)'!$G$2:$G$65,"&gt;="&amp;$B43)</f>
        <v>0</v>
      </c>
      <c r="Y43" s="29" t="n">
        <f aca="false">SUMIFS('Outages (event ledger)'!$H$2:$H$65,'Outages (event ledger)'!$A$2:$A$65,Y$2,'Outages (event ledger)'!$E$2:$E$65,"&lt;="&amp;$B43,'Outages (event ledger)'!$G$2:$G$65,"&gt;="&amp;$B43)</f>
        <v>5</v>
      </c>
      <c r="Z43" s="29" t="n">
        <f aca="false">SUMIFS('Outages (event ledger)'!$H$2:$H$65,'Outages (event ledger)'!$A$2:$A$65,Z$2,'Outages (event ledger)'!$E$2:$E$65,"&lt;="&amp;$B43,'Outages (event ledger)'!$G$2:$G$65,"&gt;="&amp;$B43)</f>
        <v>0</v>
      </c>
      <c r="AA43" s="29" t="n">
        <f aca="false">SUMIFS('Outages (event ledger)'!$H$2:$H$65,'Outages (event ledger)'!$A$2:$A$65,AA$2,'Outages (event ledger)'!$E$2:$E$65,"&lt;="&amp;$B43,'Outages (event ledger)'!$G$2:$G$65,"&gt;="&amp;$B43)</f>
        <v>0</v>
      </c>
      <c r="AB43" s="29" t="n">
        <f aca="false">SUMIFS('Outages (event ledger)'!$H$2:$H$65,'Outages (event ledger)'!$A$2:$A$65,AB$2,'Outages (event ledger)'!$E$2:$E$65,"&lt;="&amp;$B43,'Outages (event ledger)'!$G$2:$G$65,"&gt;="&amp;$B43)</f>
        <v>8</v>
      </c>
      <c r="AC43" s="29" t="n">
        <f aca="false">SUMIFS('Outages (event ledger)'!$H$2:$H$65,'Outages (event ledger)'!$A$2:$A$65,AC$2,'Outages (event ledger)'!$E$2:$E$65,"&lt;="&amp;$B43,'Outages (event ledger)'!$G$2:$G$65,"&gt;="&amp;$B43)</f>
        <v>0</v>
      </c>
      <c r="AD43" s="29" t="n">
        <f aca="false">SUMIFS('Outages (event ledger)'!$H$2:$H$65,'Outages (event ledger)'!$A$2:$A$65,AD$2,'Outages (event ledger)'!$E$2:$E$65,"&lt;="&amp;$B43,'Outages (event ledger)'!$G$2:$G$65,"&gt;="&amp;$B43)</f>
        <v>0</v>
      </c>
      <c r="AE43" s="29" t="n">
        <f aca="false">SUMIFS('Outages (event ledger)'!$H$2:$H$65,'Outages (event ledger)'!$A$2:$A$65,AE$2,'Outages (event ledger)'!$E$2:$E$65,"&lt;="&amp;$B43,'Outages (event ledger)'!$G$2:$G$65,"&gt;="&amp;$B43)</f>
        <v>0</v>
      </c>
      <c r="AF43" s="29" t="n">
        <f aca="false">SUMIFS('Outages (event ledger)'!$H$2:$H$65,'Outages (event ledger)'!$A$2:$A$65,AF$2,'Outages (event ledger)'!$E$2:$E$65,"&lt;="&amp;$B43,'Outages (event ledger)'!$G$2:$G$65,"&gt;="&amp;$B43)</f>
        <v>0</v>
      </c>
      <c r="AG43" s="29" t="n">
        <f aca="false">SUMIFS('Outages (event ledger)'!$H$2:$H$65,'Outages (event ledger)'!$A$2:$A$65,AG$2,'Outages (event ledger)'!$E$2:$E$65,"&lt;="&amp;$B43,'Outages (event ledger)'!$G$2:$G$65,"&gt;="&amp;$B43)</f>
        <v>0</v>
      </c>
      <c r="AH43" s="29" t="n">
        <f aca="false">SUMIFS('Outages (event ledger)'!$H$2:$H$65,'Outages (event ledger)'!$A$2:$A$65,AH$2,'Outages (event ledger)'!$E$2:$E$65,"&lt;="&amp;$B43,'Outages (event ledger)'!$G$2:$G$65,"&gt;="&amp;$B43)</f>
        <v>0</v>
      </c>
      <c r="AI43" s="29" t="n">
        <f aca="false">SUMIFS('Outages (event ledger)'!$H$2:$H$65,'Outages (event ledger)'!$A$2:$A$65,AI$2,'Outages (event ledger)'!$E$2:$E$65,"&lt;="&amp;$B43,'Outages (event ledger)'!$G$2:$G$65,"&gt;="&amp;$B43)</f>
        <v>0</v>
      </c>
      <c r="AJ43" s="29" t="n">
        <f aca="false">SUMIFS('Outages (event ledger)'!$H$2:$H$65,'Outages (event ledger)'!$A$2:$A$65,AJ$2,'Outages (event ledger)'!$E$2:$E$65,"&lt;="&amp;$B43,'Outages (event ledger)'!$G$2:$G$65,"&gt;="&amp;$B43)</f>
        <v>0</v>
      </c>
      <c r="AK43" s="29" t="n">
        <f aca="false">SUMIFS('Outages (event ledger)'!$H$2:$H$65,'Outages (event ledger)'!$A$2:$A$65,AK$2,'Outages (event ledger)'!$E$2:$E$65,"&lt;="&amp;$B43,'Outages (event ledger)'!$G$2:$G$65,"&gt;="&amp;$B43)</f>
        <v>0</v>
      </c>
      <c r="AL43" s="29" t="n">
        <f aca="false">SUMIFS('Outages (event ledger)'!$H$2:$H$65,'Outages (event ledger)'!$A$2:$A$65,AL$2,'Outages (event ledger)'!$E$2:$E$65,"&lt;="&amp;$B43,'Outages (event ledger)'!$G$2:$G$65,"&gt;="&amp;$B43)</f>
        <v>3.5</v>
      </c>
      <c r="AM43" s="29" t="n">
        <f aca="false">SUMIFS('Outages (event ledger)'!$H$2:$H$65,'Outages (event ledger)'!$A$2:$A$65,AM$2,'Outages (event ledger)'!$E$2:$E$65,"&lt;="&amp;$B43,'Outages (event ledger)'!$G$2:$G$65,"&gt;="&amp;$B43)</f>
        <v>0</v>
      </c>
      <c r="AN43" s="29" t="n">
        <f aca="false">SUMIFS('Outages (event ledger)'!$H$2:$H$65,'Outages (event ledger)'!$A$2:$A$65,AN$2,'Outages (event ledger)'!$E$2:$E$65,"&lt;="&amp;$B43,'Outages (event ledger)'!$G$2:$G$65,"&gt;="&amp;$B43)</f>
        <v>0</v>
      </c>
      <c r="AO43" s="29" t="n">
        <f aca="false">SUMIFS('Outages (event ledger)'!$H$2:$H$65,'Outages (event ledger)'!$A$2:$A$65,AO$2,'Outages (event ledger)'!$E$2:$E$65,"&lt;="&amp;$B43,'Outages (event ledger)'!$G$2:$G$65,"&gt;="&amp;$B43)</f>
        <v>0</v>
      </c>
      <c r="AP43" s="29" t="n">
        <f aca="false">SUMIFS('Outages (event ledger)'!$H$2:$H$65,'Outages (event ledger)'!$A$2:$A$65,AP$2,'Outages (event ledger)'!$E$2:$E$65,"&lt;="&amp;$B43,'Outages (event ledger)'!$G$2:$G$65,"&gt;="&amp;$B43)</f>
        <v>0</v>
      </c>
      <c r="AQ43" s="29" t="n">
        <f aca="false">SUMIFS('Outages (event ledger)'!$H$2:$H$65,'Outages (event ledger)'!$A$2:$A$65,AQ$2,'Outages (event ledger)'!$E$2:$E$65,"&lt;="&amp;$B43,'Outages (event ledger)'!$G$2:$G$65,"&gt;="&amp;$B43)</f>
        <v>0</v>
      </c>
      <c r="AR43" s="29" t="n">
        <f aca="false">SUMIFS('Outages (event ledger)'!$H$2:$H$65,'Outages (event ledger)'!$A$2:$A$65,AR$2,'Outages (event ledger)'!$E$2:$E$65,"&lt;="&amp;$B43,'Outages (event ledger)'!$G$2:$G$65,"&gt;="&amp;$B43)</f>
        <v>0</v>
      </c>
      <c r="AS43" s="29" t="n">
        <f aca="false">SUMIFS('Outages (event ledger)'!$H$2:$H$65,'Outages (event ledger)'!$A$2:$A$65,AS$2,'Outages (event ledger)'!$E$2:$E$65,"&lt;="&amp;$B43,'Outages (event ledger)'!$G$2:$G$65,"&gt;="&amp;$B43)</f>
        <v>0</v>
      </c>
      <c r="AT43" s="29" t="n">
        <f aca="false">SUMIFS('Outages (event ledger)'!$H$2:$H$65,'Outages (event ledger)'!$A$2:$A$65,AT$2,'Outages (event ledger)'!$E$2:$E$65,"&lt;="&amp;$B43,'Outages (event ledger)'!$G$2:$G$65,"&gt;="&amp;$B43)</f>
        <v>0</v>
      </c>
      <c r="AU43" s="29" t="n">
        <f aca="false">SUMIFS('Outages (event ledger)'!$H$2:$H$65,'Outages (event ledger)'!$A$2:$A$65,AU$2,'Outages (event ledger)'!$E$2:$E$65,"&lt;="&amp;$B43,'Outages (event ledger)'!$G$2:$G$65,"&gt;="&amp;$B43)</f>
        <v>0</v>
      </c>
      <c r="AV43" s="29" t="n">
        <f aca="false">SUMIFS('Outages (event ledger)'!$H$2:$H$65,'Outages (event ledger)'!$A$2:$A$65,AV$2,'Outages (event ledger)'!$E$2:$E$65,"&lt;="&amp;$B43,'Outages (event ledger)'!$G$2:$G$65,"&gt;="&amp;$B43)</f>
        <v>0</v>
      </c>
      <c r="AW43" s="29" t="n">
        <f aca="false">SUMIFS('Outages (event ledger)'!$H$2:$H$65,'Outages (event ledger)'!$A$2:$A$65,AW$2,'Outages (event ledger)'!$E$2:$E$65,"&lt;="&amp;$B43,'Outages (event ledger)'!$G$2:$G$65,"&gt;="&amp;$B43)</f>
        <v>0</v>
      </c>
      <c r="AX43" s="29" t="n">
        <f aca="false">SUMIFS('Outages (event ledger)'!$H$2:$H$65,'Outages (event ledger)'!$A$2:$A$65,AX$2,'Outages (event ledger)'!$E$2:$E$65,"&lt;="&amp;$B43,'Outages (event ledger)'!$G$2:$G$65,"&gt;="&amp;$B43)</f>
        <v>0</v>
      </c>
      <c r="AY43" s="29" t="n">
        <f aca="false">SUMIFS('Outages (event ledger)'!$H$2:$H$65,'Outages (event ledger)'!$A$2:$A$65,AY$2,'Outages (event ledger)'!$E$2:$E$65,"&lt;="&amp;$B43,'Outages (event ledger)'!$G$2:$G$65,"&gt;="&amp;$B43)</f>
        <v>0</v>
      </c>
      <c r="AZ43" s="29" t="n">
        <f aca="false">SUMIFS('Outages (event ledger)'!$H$2:$H$65,'Outages (event ledger)'!$A$2:$A$65,AZ$2,'Outages (event ledger)'!$E$2:$E$65,"&lt;="&amp;$B43,'Outages (event ledger)'!$G$2:$G$65,"&gt;="&amp;$B43)</f>
        <v>0</v>
      </c>
      <c r="BA43" s="29" t="n">
        <f aca="false">SUMIFS('Outages (event ledger)'!$H$2:$H$65,'Outages (event ledger)'!$A$2:$A$65,BA$2,'Outages (event ledger)'!$E$2:$E$65,"&lt;="&amp;$B43,'Outages (event ledger)'!$G$2:$G$65,"&gt;="&amp;$B43)</f>
        <v>0</v>
      </c>
      <c r="BB43" s="29" t="n">
        <f aca="false">SUMIFS('Outages (event ledger)'!$H$2:$H$65,'Outages (event ledger)'!$A$2:$A$65,BB$2,'Outages (event ledger)'!$E$2:$E$65,"&lt;="&amp;$B43,'Outages (event ledger)'!$G$2:$G$65,"&gt;="&amp;$B43)</f>
        <v>0</v>
      </c>
      <c r="BC43" s="29" t="n">
        <f aca="false">SUMIFS('Outages (event ledger)'!$H$2:$H$65,'Outages (event ledger)'!$A$2:$A$65,BC$2,'Outages (event ledger)'!$E$2:$E$65,"&lt;="&amp;$B43,'Outages (event ledger)'!$G$2:$G$65,"&gt;="&amp;$B43)</f>
        <v>0</v>
      </c>
      <c r="BD43" s="29" t="n">
        <f aca="false">SUMIFS('Outages (event ledger)'!$H$2:$H$65,'Outages (event ledger)'!$A$2:$A$65,BD$2,'Outages (event ledger)'!$E$2:$E$65,"&lt;="&amp;$B43,'Outages (event ledger)'!$G$2:$G$65,"&gt;="&amp;$B43)</f>
        <v>0</v>
      </c>
      <c r="BE43" s="29" t="n">
        <f aca="false">SUMIFS('Outages (event ledger)'!$H$2:$H$65,'Outages (event ledger)'!$A$2:$A$65,BE$2,'Outages (event ledger)'!$E$2:$E$65,"&lt;="&amp;$B43,'Outages (event ledger)'!$G$2:$G$65,"&gt;="&amp;$B43)</f>
        <v>0</v>
      </c>
      <c r="BF43" s="29" t="n">
        <f aca="false">SUMIFS('Outages (event ledger)'!$H$2:$H$65,'Outages (event ledger)'!$A$2:$A$65,BF$2,'Outages (event ledger)'!$E$2:$E$65,"&lt;="&amp;$B43,'Outages (event ledger)'!$G$2:$G$65,"&gt;="&amp;$B43)</f>
        <v>0</v>
      </c>
      <c r="BG43" s="29" t="n">
        <f aca="false">SUMIFS('Outages (event ledger)'!$H$2:$H$65,'Outages (event ledger)'!$A$2:$A$65,BG$2,'Outages (event ledger)'!$E$2:$E$65,"&lt;="&amp;$B43,'Outages (event ledger)'!$G$2:$G$65,"&gt;="&amp;$B43)</f>
        <v>0</v>
      </c>
      <c r="BH43" s="29" t="n">
        <f aca="false">SUMIFS('Outages (event ledger)'!$H$2:$H$65,'Outages (event ledger)'!$A$2:$A$65,BH$2,'Outages (event ledger)'!$E$2:$E$65,"&lt;="&amp;$B43,'Outages (event ledger)'!$G$2:$G$65,"&gt;="&amp;$B43)</f>
        <v>0</v>
      </c>
      <c r="BI43" s="29" t="n">
        <f aca="false">SUMIFS('Outages (event ledger)'!$H$2:$H$65,'Outages (event ledger)'!$A$2:$A$65,BI$2,'Outages (event ledger)'!$E$2:$E$65,"&lt;="&amp;$B43,'Outages (event ledger)'!$G$2:$G$65,"&gt;="&amp;$B43)</f>
        <v>0</v>
      </c>
    </row>
    <row r="44" customFormat="false" ht="15" hidden="false" customHeight="false" outlineLevel="0" collapsed="false">
      <c r="A44" s="27" t="n">
        <v>41426</v>
      </c>
      <c r="B44" s="28" t="n">
        <v>201306</v>
      </c>
      <c r="C44" s="25" t="n">
        <f aca="false">SUM(D44:BI44)</f>
        <v>21.5</v>
      </c>
      <c r="D44" s="29" t="n">
        <f aca="false">SUMIFS('Outages (event ledger)'!$H$2:$H$65,'Outages (event ledger)'!$A$2:$A$65,D$2,'Outages (event ledger)'!$E$2:$E$65,"&lt;="&amp;$B44,'Outages (event ledger)'!$G$2:$G$65,"&gt;="&amp;$B44)</f>
        <v>0</v>
      </c>
      <c r="E44" s="29" t="n">
        <f aca="false">SUMIFS('Outages (event ledger)'!$H$2:$H$65,'Outages (event ledger)'!$A$2:$A$65,E$2,'Outages (event ledger)'!$E$2:$E$65,"&lt;="&amp;$B44,'Outages (event ledger)'!$G$2:$G$65,"&gt;="&amp;$B44)</f>
        <v>0</v>
      </c>
      <c r="F44" s="29" t="n">
        <f aca="false">SUMIFS('Outages (event ledger)'!$H$2:$H$65,'Outages (event ledger)'!$A$2:$A$65,F$2,'Outages (event ledger)'!$E$2:$E$65,"&lt;="&amp;$B44,'Outages (event ledger)'!$G$2:$G$65,"&gt;="&amp;$B44)</f>
        <v>0</v>
      </c>
      <c r="G44" s="29" t="n">
        <f aca="false">SUMIFS('Outages (event ledger)'!$H$2:$H$65,'Outages (event ledger)'!$A$2:$A$65,G$2,'Outages (event ledger)'!$E$2:$E$65,"&lt;="&amp;$B44,'Outages (event ledger)'!$G$2:$G$65,"&gt;="&amp;$B44)</f>
        <v>0</v>
      </c>
      <c r="H44" s="29" t="n">
        <f aca="false">SUMIFS('Outages (event ledger)'!$H$2:$H$65,'Outages (event ledger)'!$A$2:$A$65,H$2,'Outages (event ledger)'!$E$2:$E$65,"&lt;="&amp;$B44,'Outages (event ledger)'!$G$2:$G$65,"&gt;="&amp;$B44)</f>
        <v>0</v>
      </c>
      <c r="I44" s="29" t="n">
        <f aca="false">SUMIFS('Outages (event ledger)'!$H$2:$H$65,'Outages (event ledger)'!$A$2:$A$65,I$2,'Outages (event ledger)'!$E$2:$E$65,"&lt;="&amp;$B44,'Outages (event ledger)'!$G$2:$G$65,"&gt;="&amp;$B44)</f>
        <v>0</v>
      </c>
      <c r="J44" s="29" t="n">
        <f aca="false">SUMIFS('Outages (event ledger)'!$H$2:$H$65,'Outages (event ledger)'!$A$2:$A$65,J$2,'Outages (event ledger)'!$E$2:$E$65,"&lt;="&amp;$B44,'Outages (event ledger)'!$G$2:$G$65,"&gt;="&amp;$B44)</f>
        <v>0</v>
      </c>
      <c r="K44" s="29" t="n">
        <f aca="false">SUMIFS('Outages (event ledger)'!$H$2:$H$65,'Outages (event ledger)'!$A$2:$A$65,K$2,'Outages (event ledger)'!$E$2:$E$65,"&lt;="&amp;$B44,'Outages (event ledger)'!$G$2:$G$65,"&gt;="&amp;$B44)</f>
        <v>0</v>
      </c>
      <c r="L44" s="29" t="n">
        <f aca="false">SUMIFS('Outages (event ledger)'!$H$2:$H$65,'Outages (event ledger)'!$A$2:$A$65,L$2,'Outages (event ledger)'!$E$2:$E$65,"&lt;="&amp;$B44,'Outages (event ledger)'!$G$2:$G$65,"&gt;="&amp;$B44)</f>
        <v>0</v>
      </c>
      <c r="M44" s="29" t="n">
        <f aca="false">SUMIFS('Outages (event ledger)'!$H$2:$H$65,'Outages (event ledger)'!$A$2:$A$65,M$2,'Outages (event ledger)'!$E$2:$E$65,"&lt;="&amp;$B44,'Outages (event ledger)'!$G$2:$G$65,"&gt;="&amp;$B44)</f>
        <v>0</v>
      </c>
      <c r="N44" s="29" t="n">
        <f aca="false">SUMIFS('Outages (event ledger)'!$H$2:$H$65,'Outages (event ledger)'!$A$2:$A$65,N$2,'Outages (event ledger)'!$E$2:$E$65,"&lt;="&amp;$B44,'Outages (event ledger)'!$G$2:$G$65,"&gt;="&amp;$B44)</f>
        <v>0</v>
      </c>
      <c r="O44" s="29" t="n">
        <f aca="false">SUMIFS('Outages (event ledger)'!$H$2:$H$65,'Outages (event ledger)'!$A$2:$A$65,O$2,'Outages (event ledger)'!$E$2:$E$65,"&lt;="&amp;$B44,'Outages (event ledger)'!$G$2:$G$65,"&gt;="&amp;$B44)</f>
        <v>0</v>
      </c>
      <c r="P44" s="29" t="n">
        <f aca="false">SUMIFS('Outages (event ledger)'!$H$2:$H$65,'Outages (event ledger)'!$A$2:$A$65,P$2,'Outages (event ledger)'!$E$2:$E$65,"&lt;="&amp;$B44,'Outages (event ledger)'!$G$2:$G$65,"&gt;="&amp;$B44)</f>
        <v>0</v>
      </c>
      <c r="Q44" s="29" t="n">
        <f aca="false">SUMIFS('Outages (event ledger)'!$H$2:$H$65,'Outages (event ledger)'!$A$2:$A$65,Q$2,'Outages (event ledger)'!$E$2:$E$65,"&lt;="&amp;$B44,'Outages (event ledger)'!$G$2:$G$65,"&gt;="&amp;$B44)</f>
        <v>0</v>
      </c>
      <c r="R44" s="29" t="n">
        <f aca="false">SUMIFS('Outages (event ledger)'!$H$2:$H$65,'Outages (event ledger)'!$A$2:$A$65,R$2,'Outages (event ledger)'!$E$2:$E$65,"&lt;="&amp;$B44,'Outages (event ledger)'!$G$2:$G$65,"&gt;="&amp;$B44)</f>
        <v>0</v>
      </c>
      <c r="S44" s="29" t="n">
        <f aca="false">SUMIFS('Outages (event ledger)'!$H$2:$H$65,'Outages (event ledger)'!$A$2:$A$65,S$2,'Outages (event ledger)'!$E$2:$E$65,"&lt;="&amp;$B44,'Outages (event ledger)'!$G$2:$G$65,"&gt;="&amp;$B44)</f>
        <v>0</v>
      </c>
      <c r="T44" s="29" t="n">
        <f aca="false">SUMIFS('Outages (event ledger)'!$H$2:$H$65,'Outages (event ledger)'!$A$2:$A$65,T$2,'Outages (event ledger)'!$E$2:$E$65,"&lt;="&amp;$B44,'Outages (event ledger)'!$G$2:$G$65,"&gt;="&amp;$B44)</f>
        <v>0</v>
      </c>
      <c r="U44" s="29" t="n">
        <f aca="false">SUMIFS('Outages (event ledger)'!$H$2:$H$65,'Outages (event ledger)'!$A$2:$A$65,U$2,'Outages (event ledger)'!$E$2:$E$65,"&lt;="&amp;$B44,'Outages (event ledger)'!$G$2:$G$65,"&gt;="&amp;$B44)</f>
        <v>0</v>
      </c>
      <c r="V44" s="29" t="n">
        <f aca="false">SUMIFS('Outages (event ledger)'!$H$2:$H$65,'Outages (event ledger)'!$A$2:$A$65,V$2,'Outages (event ledger)'!$E$2:$E$65,"&lt;="&amp;$B44,'Outages (event ledger)'!$G$2:$G$65,"&gt;="&amp;$B44)</f>
        <v>0</v>
      </c>
      <c r="W44" s="29" t="n">
        <f aca="false">SUMIFS('Outages (event ledger)'!$H$2:$H$65,'Outages (event ledger)'!$A$2:$A$65,W$2,'Outages (event ledger)'!$E$2:$E$65,"&lt;="&amp;$B44,'Outages (event ledger)'!$G$2:$G$65,"&gt;="&amp;$B44)</f>
        <v>0</v>
      </c>
      <c r="X44" s="29" t="n">
        <f aca="false">SUMIFS('Outages (event ledger)'!$H$2:$H$65,'Outages (event ledger)'!$A$2:$A$65,X$2,'Outages (event ledger)'!$E$2:$E$65,"&lt;="&amp;$B44,'Outages (event ledger)'!$G$2:$G$65,"&gt;="&amp;$B44)</f>
        <v>0</v>
      </c>
      <c r="Y44" s="29" t="n">
        <f aca="false">SUMIFS('Outages (event ledger)'!$H$2:$H$65,'Outages (event ledger)'!$A$2:$A$65,Y$2,'Outages (event ledger)'!$E$2:$E$65,"&lt;="&amp;$B44,'Outages (event ledger)'!$G$2:$G$65,"&gt;="&amp;$B44)</f>
        <v>5</v>
      </c>
      <c r="Z44" s="29" t="n">
        <f aca="false">SUMIFS('Outages (event ledger)'!$H$2:$H$65,'Outages (event ledger)'!$A$2:$A$65,Z$2,'Outages (event ledger)'!$E$2:$E$65,"&lt;="&amp;$B44,'Outages (event ledger)'!$G$2:$G$65,"&gt;="&amp;$B44)</f>
        <v>5</v>
      </c>
      <c r="AA44" s="29" t="n">
        <f aca="false">SUMIFS('Outages (event ledger)'!$H$2:$H$65,'Outages (event ledger)'!$A$2:$A$65,AA$2,'Outages (event ledger)'!$E$2:$E$65,"&lt;="&amp;$B44,'Outages (event ledger)'!$G$2:$G$65,"&gt;="&amp;$B44)</f>
        <v>0</v>
      </c>
      <c r="AB44" s="29" t="n">
        <f aca="false">SUMIFS('Outages (event ledger)'!$H$2:$H$65,'Outages (event ledger)'!$A$2:$A$65,AB$2,'Outages (event ledger)'!$E$2:$E$65,"&lt;="&amp;$B44,'Outages (event ledger)'!$G$2:$G$65,"&gt;="&amp;$B44)</f>
        <v>8</v>
      </c>
      <c r="AC44" s="29" t="n">
        <f aca="false">SUMIFS('Outages (event ledger)'!$H$2:$H$65,'Outages (event ledger)'!$A$2:$A$65,AC$2,'Outages (event ledger)'!$E$2:$E$65,"&lt;="&amp;$B44,'Outages (event ledger)'!$G$2:$G$65,"&gt;="&amp;$B44)</f>
        <v>0</v>
      </c>
      <c r="AD44" s="29" t="n">
        <f aca="false">SUMIFS('Outages (event ledger)'!$H$2:$H$65,'Outages (event ledger)'!$A$2:$A$65,AD$2,'Outages (event ledger)'!$E$2:$E$65,"&lt;="&amp;$B44,'Outages (event ledger)'!$G$2:$G$65,"&gt;="&amp;$B44)</f>
        <v>0</v>
      </c>
      <c r="AE44" s="29" t="n">
        <f aca="false">SUMIFS('Outages (event ledger)'!$H$2:$H$65,'Outages (event ledger)'!$A$2:$A$65,AE$2,'Outages (event ledger)'!$E$2:$E$65,"&lt;="&amp;$B44,'Outages (event ledger)'!$G$2:$G$65,"&gt;="&amp;$B44)</f>
        <v>0</v>
      </c>
      <c r="AF44" s="29" t="n">
        <f aca="false">SUMIFS('Outages (event ledger)'!$H$2:$H$65,'Outages (event ledger)'!$A$2:$A$65,AF$2,'Outages (event ledger)'!$E$2:$E$65,"&lt;="&amp;$B44,'Outages (event ledger)'!$G$2:$G$65,"&gt;="&amp;$B44)</f>
        <v>0</v>
      </c>
      <c r="AG44" s="29" t="n">
        <f aca="false">SUMIFS('Outages (event ledger)'!$H$2:$H$65,'Outages (event ledger)'!$A$2:$A$65,AG$2,'Outages (event ledger)'!$E$2:$E$65,"&lt;="&amp;$B44,'Outages (event ledger)'!$G$2:$G$65,"&gt;="&amp;$B44)</f>
        <v>0</v>
      </c>
      <c r="AH44" s="29" t="n">
        <f aca="false">SUMIFS('Outages (event ledger)'!$H$2:$H$65,'Outages (event ledger)'!$A$2:$A$65,AH$2,'Outages (event ledger)'!$E$2:$E$65,"&lt;="&amp;$B44,'Outages (event ledger)'!$G$2:$G$65,"&gt;="&amp;$B44)</f>
        <v>0</v>
      </c>
      <c r="AI44" s="29" t="n">
        <f aca="false">SUMIFS('Outages (event ledger)'!$H$2:$H$65,'Outages (event ledger)'!$A$2:$A$65,AI$2,'Outages (event ledger)'!$E$2:$E$65,"&lt;="&amp;$B44,'Outages (event ledger)'!$G$2:$G$65,"&gt;="&amp;$B44)</f>
        <v>0</v>
      </c>
      <c r="AJ44" s="29" t="n">
        <f aca="false">SUMIFS('Outages (event ledger)'!$H$2:$H$65,'Outages (event ledger)'!$A$2:$A$65,AJ$2,'Outages (event ledger)'!$E$2:$E$65,"&lt;="&amp;$B44,'Outages (event ledger)'!$G$2:$G$65,"&gt;="&amp;$B44)</f>
        <v>0</v>
      </c>
      <c r="AK44" s="29" t="n">
        <f aca="false">SUMIFS('Outages (event ledger)'!$H$2:$H$65,'Outages (event ledger)'!$A$2:$A$65,AK$2,'Outages (event ledger)'!$E$2:$E$65,"&lt;="&amp;$B44,'Outages (event ledger)'!$G$2:$G$65,"&gt;="&amp;$B44)</f>
        <v>0</v>
      </c>
      <c r="AL44" s="29" t="n">
        <f aca="false">SUMIFS('Outages (event ledger)'!$H$2:$H$65,'Outages (event ledger)'!$A$2:$A$65,AL$2,'Outages (event ledger)'!$E$2:$E$65,"&lt;="&amp;$B44,'Outages (event ledger)'!$G$2:$G$65,"&gt;="&amp;$B44)</f>
        <v>3.5</v>
      </c>
      <c r="AM44" s="29" t="n">
        <f aca="false">SUMIFS('Outages (event ledger)'!$H$2:$H$65,'Outages (event ledger)'!$A$2:$A$65,AM$2,'Outages (event ledger)'!$E$2:$E$65,"&lt;="&amp;$B44,'Outages (event ledger)'!$G$2:$G$65,"&gt;="&amp;$B44)</f>
        <v>0</v>
      </c>
      <c r="AN44" s="29" t="n">
        <f aca="false">SUMIFS('Outages (event ledger)'!$H$2:$H$65,'Outages (event ledger)'!$A$2:$A$65,AN$2,'Outages (event ledger)'!$E$2:$E$65,"&lt;="&amp;$B44,'Outages (event ledger)'!$G$2:$G$65,"&gt;="&amp;$B44)</f>
        <v>0</v>
      </c>
      <c r="AO44" s="29" t="n">
        <f aca="false">SUMIFS('Outages (event ledger)'!$H$2:$H$65,'Outages (event ledger)'!$A$2:$A$65,AO$2,'Outages (event ledger)'!$E$2:$E$65,"&lt;="&amp;$B44,'Outages (event ledger)'!$G$2:$G$65,"&gt;="&amp;$B44)</f>
        <v>0</v>
      </c>
      <c r="AP44" s="29" t="n">
        <f aca="false">SUMIFS('Outages (event ledger)'!$H$2:$H$65,'Outages (event ledger)'!$A$2:$A$65,AP$2,'Outages (event ledger)'!$E$2:$E$65,"&lt;="&amp;$B44,'Outages (event ledger)'!$G$2:$G$65,"&gt;="&amp;$B44)</f>
        <v>0</v>
      </c>
      <c r="AQ44" s="29" t="n">
        <f aca="false">SUMIFS('Outages (event ledger)'!$H$2:$H$65,'Outages (event ledger)'!$A$2:$A$65,AQ$2,'Outages (event ledger)'!$E$2:$E$65,"&lt;="&amp;$B44,'Outages (event ledger)'!$G$2:$G$65,"&gt;="&amp;$B44)</f>
        <v>0</v>
      </c>
      <c r="AR44" s="29" t="n">
        <f aca="false">SUMIFS('Outages (event ledger)'!$H$2:$H$65,'Outages (event ledger)'!$A$2:$A$65,AR$2,'Outages (event ledger)'!$E$2:$E$65,"&lt;="&amp;$B44,'Outages (event ledger)'!$G$2:$G$65,"&gt;="&amp;$B44)</f>
        <v>0</v>
      </c>
      <c r="AS44" s="29" t="n">
        <f aca="false">SUMIFS('Outages (event ledger)'!$H$2:$H$65,'Outages (event ledger)'!$A$2:$A$65,AS$2,'Outages (event ledger)'!$E$2:$E$65,"&lt;="&amp;$B44,'Outages (event ledger)'!$G$2:$G$65,"&gt;="&amp;$B44)</f>
        <v>0</v>
      </c>
      <c r="AT44" s="29" t="n">
        <f aca="false">SUMIFS('Outages (event ledger)'!$H$2:$H$65,'Outages (event ledger)'!$A$2:$A$65,AT$2,'Outages (event ledger)'!$E$2:$E$65,"&lt;="&amp;$B44,'Outages (event ledger)'!$G$2:$G$65,"&gt;="&amp;$B44)</f>
        <v>0</v>
      </c>
      <c r="AU44" s="29" t="n">
        <f aca="false">SUMIFS('Outages (event ledger)'!$H$2:$H$65,'Outages (event ledger)'!$A$2:$A$65,AU$2,'Outages (event ledger)'!$E$2:$E$65,"&lt;="&amp;$B44,'Outages (event ledger)'!$G$2:$G$65,"&gt;="&amp;$B44)</f>
        <v>0</v>
      </c>
      <c r="AV44" s="29" t="n">
        <f aca="false">SUMIFS('Outages (event ledger)'!$H$2:$H$65,'Outages (event ledger)'!$A$2:$A$65,AV$2,'Outages (event ledger)'!$E$2:$E$65,"&lt;="&amp;$B44,'Outages (event ledger)'!$G$2:$G$65,"&gt;="&amp;$B44)</f>
        <v>0</v>
      </c>
      <c r="AW44" s="29" t="n">
        <f aca="false">SUMIFS('Outages (event ledger)'!$H$2:$H$65,'Outages (event ledger)'!$A$2:$A$65,AW$2,'Outages (event ledger)'!$E$2:$E$65,"&lt;="&amp;$B44,'Outages (event ledger)'!$G$2:$G$65,"&gt;="&amp;$B44)</f>
        <v>0</v>
      </c>
      <c r="AX44" s="29" t="n">
        <f aca="false">SUMIFS('Outages (event ledger)'!$H$2:$H$65,'Outages (event ledger)'!$A$2:$A$65,AX$2,'Outages (event ledger)'!$E$2:$E$65,"&lt;="&amp;$B44,'Outages (event ledger)'!$G$2:$G$65,"&gt;="&amp;$B44)</f>
        <v>0</v>
      </c>
      <c r="AY44" s="29" t="n">
        <f aca="false">SUMIFS('Outages (event ledger)'!$H$2:$H$65,'Outages (event ledger)'!$A$2:$A$65,AY$2,'Outages (event ledger)'!$E$2:$E$65,"&lt;="&amp;$B44,'Outages (event ledger)'!$G$2:$G$65,"&gt;="&amp;$B44)</f>
        <v>0</v>
      </c>
      <c r="AZ44" s="29" t="n">
        <f aca="false">SUMIFS('Outages (event ledger)'!$H$2:$H$65,'Outages (event ledger)'!$A$2:$A$65,AZ$2,'Outages (event ledger)'!$E$2:$E$65,"&lt;="&amp;$B44,'Outages (event ledger)'!$G$2:$G$65,"&gt;="&amp;$B44)</f>
        <v>0</v>
      </c>
      <c r="BA44" s="29" t="n">
        <f aca="false">SUMIFS('Outages (event ledger)'!$H$2:$H$65,'Outages (event ledger)'!$A$2:$A$65,BA$2,'Outages (event ledger)'!$E$2:$E$65,"&lt;="&amp;$B44,'Outages (event ledger)'!$G$2:$G$65,"&gt;="&amp;$B44)</f>
        <v>0</v>
      </c>
      <c r="BB44" s="29" t="n">
        <f aca="false">SUMIFS('Outages (event ledger)'!$H$2:$H$65,'Outages (event ledger)'!$A$2:$A$65,BB$2,'Outages (event ledger)'!$E$2:$E$65,"&lt;="&amp;$B44,'Outages (event ledger)'!$G$2:$G$65,"&gt;="&amp;$B44)</f>
        <v>0</v>
      </c>
      <c r="BC44" s="29" t="n">
        <f aca="false">SUMIFS('Outages (event ledger)'!$H$2:$H$65,'Outages (event ledger)'!$A$2:$A$65,BC$2,'Outages (event ledger)'!$E$2:$E$65,"&lt;="&amp;$B44,'Outages (event ledger)'!$G$2:$G$65,"&gt;="&amp;$B44)</f>
        <v>0</v>
      </c>
      <c r="BD44" s="29" t="n">
        <f aca="false">SUMIFS('Outages (event ledger)'!$H$2:$H$65,'Outages (event ledger)'!$A$2:$A$65,BD$2,'Outages (event ledger)'!$E$2:$E$65,"&lt;="&amp;$B44,'Outages (event ledger)'!$G$2:$G$65,"&gt;="&amp;$B44)</f>
        <v>0</v>
      </c>
      <c r="BE44" s="29" t="n">
        <f aca="false">SUMIFS('Outages (event ledger)'!$H$2:$H$65,'Outages (event ledger)'!$A$2:$A$65,BE$2,'Outages (event ledger)'!$E$2:$E$65,"&lt;="&amp;$B44,'Outages (event ledger)'!$G$2:$G$65,"&gt;="&amp;$B44)</f>
        <v>0</v>
      </c>
      <c r="BF44" s="29" t="n">
        <f aca="false">SUMIFS('Outages (event ledger)'!$H$2:$H$65,'Outages (event ledger)'!$A$2:$A$65,BF$2,'Outages (event ledger)'!$E$2:$E$65,"&lt;="&amp;$B44,'Outages (event ledger)'!$G$2:$G$65,"&gt;="&amp;$B44)</f>
        <v>0</v>
      </c>
      <c r="BG44" s="29" t="n">
        <f aca="false">SUMIFS('Outages (event ledger)'!$H$2:$H$65,'Outages (event ledger)'!$A$2:$A$65,BG$2,'Outages (event ledger)'!$E$2:$E$65,"&lt;="&amp;$B44,'Outages (event ledger)'!$G$2:$G$65,"&gt;="&amp;$B44)</f>
        <v>0</v>
      </c>
      <c r="BH44" s="29" t="n">
        <f aca="false">SUMIFS('Outages (event ledger)'!$H$2:$H$65,'Outages (event ledger)'!$A$2:$A$65,BH$2,'Outages (event ledger)'!$E$2:$E$65,"&lt;="&amp;$B44,'Outages (event ledger)'!$G$2:$G$65,"&gt;="&amp;$B44)</f>
        <v>0</v>
      </c>
      <c r="BI44" s="29" t="n">
        <f aca="false">SUMIFS('Outages (event ledger)'!$H$2:$H$65,'Outages (event ledger)'!$A$2:$A$65,BI$2,'Outages (event ledger)'!$E$2:$E$65,"&lt;="&amp;$B44,'Outages (event ledger)'!$G$2:$G$65,"&gt;="&amp;$B44)</f>
        <v>0</v>
      </c>
    </row>
    <row r="45" customFormat="false" ht="15" hidden="false" customHeight="false" outlineLevel="0" collapsed="false">
      <c r="A45" s="27" t="n">
        <v>41456</v>
      </c>
      <c r="B45" s="28" t="n">
        <v>201307</v>
      </c>
      <c r="C45" s="25" t="n">
        <f aca="false">SUM(D45:BI45)</f>
        <v>21.5</v>
      </c>
      <c r="D45" s="29" t="n">
        <f aca="false">SUMIFS('Outages (event ledger)'!$H$2:$H$65,'Outages (event ledger)'!$A$2:$A$65,D$2,'Outages (event ledger)'!$E$2:$E$65,"&lt;="&amp;$B45,'Outages (event ledger)'!$G$2:$G$65,"&gt;="&amp;$B45)</f>
        <v>0</v>
      </c>
      <c r="E45" s="29" t="n">
        <f aca="false">SUMIFS('Outages (event ledger)'!$H$2:$H$65,'Outages (event ledger)'!$A$2:$A$65,E$2,'Outages (event ledger)'!$E$2:$E$65,"&lt;="&amp;$B45,'Outages (event ledger)'!$G$2:$G$65,"&gt;="&amp;$B45)</f>
        <v>0</v>
      </c>
      <c r="F45" s="29" t="n">
        <f aca="false">SUMIFS('Outages (event ledger)'!$H$2:$H$65,'Outages (event ledger)'!$A$2:$A$65,F$2,'Outages (event ledger)'!$E$2:$E$65,"&lt;="&amp;$B45,'Outages (event ledger)'!$G$2:$G$65,"&gt;="&amp;$B45)</f>
        <v>0</v>
      </c>
      <c r="G45" s="29" t="n">
        <f aca="false">SUMIFS('Outages (event ledger)'!$H$2:$H$65,'Outages (event ledger)'!$A$2:$A$65,G$2,'Outages (event ledger)'!$E$2:$E$65,"&lt;="&amp;$B45,'Outages (event ledger)'!$G$2:$G$65,"&gt;="&amp;$B45)</f>
        <v>0</v>
      </c>
      <c r="H45" s="29" t="n">
        <f aca="false">SUMIFS('Outages (event ledger)'!$H$2:$H$65,'Outages (event ledger)'!$A$2:$A$65,H$2,'Outages (event ledger)'!$E$2:$E$65,"&lt;="&amp;$B45,'Outages (event ledger)'!$G$2:$G$65,"&gt;="&amp;$B45)</f>
        <v>0</v>
      </c>
      <c r="I45" s="29" t="n">
        <f aca="false">SUMIFS('Outages (event ledger)'!$H$2:$H$65,'Outages (event ledger)'!$A$2:$A$65,I$2,'Outages (event ledger)'!$E$2:$E$65,"&lt;="&amp;$B45,'Outages (event ledger)'!$G$2:$G$65,"&gt;="&amp;$B45)</f>
        <v>0</v>
      </c>
      <c r="J45" s="29" t="n">
        <f aca="false">SUMIFS('Outages (event ledger)'!$H$2:$H$65,'Outages (event ledger)'!$A$2:$A$65,J$2,'Outages (event ledger)'!$E$2:$E$65,"&lt;="&amp;$B45,'Outages (event ledger)'!$G$2:$G$65,"&gt;="&amp;$B45)</f>
        <v>0</v>
      </c>
      <c r="K45" s="29" t="n">
        <f aca="false">SUMIFS('Outages (event ledger)'!$H$2:$H$65,'Outages (event ledger)'!$A$2:$A$65,K$2,'Outages (event ledger)'!$E$2:$E$65,"&lt;="&amp;$B45,'Outages (event ledger)'!$G$2:$G$65,"&gt;="&amp;$B45)</f>
        <v>0</v>
      </c>
      <c r="L45" s="29" t="n">
        <f aca="false">SUMIFS('Outages (event ledger)'!$H$2:$H$65,'Outages (event ledger)'!$A$2:$A$65,L$2,'Outages (event ledger)'!$E$2:$E$65,"&lt;="&amp;$B45,'Outages (event ledger)'!$G$2:$G$65,"&gt;="&amp;$B45)</f>
        <v>0</v>
      </c>
      <c r="M45" s="29" t="n">
        <f aca="false">SUMIFS('Outages (event ledger)'!$H$2:$H$65,'Outages (event ledger)'!$A$2:$A$65,M$2,'Outages (event ledger)'!$E$2:$E$65,"&lt;="&amp;$B45,'Outages (event ledger)'!$G$2:$G$65,"&gt;="&amp;$B45)</f>
        <v>0</v>
      </c>
      <c r="N45" s="29" t="n">
        <f aca="false">SUMIFS('Outages (event ledger)'!$H$2:$H$65,'Outages (event ledger)'!$A$2:$A$65,N$2,'Outages (event ledger)'!$E$2:$E$65,"&lt;="&amp;$B45,'Outages (event ledger)'!$G$2:$G$65,"&gt;="&amp;$B45)</f>
        <v>0</v>
      </c>
      <c r="O45" s="29" t="n">
        <f aca="false">SUMIFS('Outages (event ledger)'!$H$2:$H$65,'Outages (event ledger)'!$A$2:$A$65,O$2,'Outages (event ledger)'!$E$2:$E$65,"&lt;="&amp;$B45,'Outages (event ledger)'!$G$2:$G$65,"&gt;="&amp;$B45)</f>
        <v>0</v>
      </c>
      <c r="P45" s="29" t="n">
        <f aca="false">SUMIFS('Outages (event ledger)'!$H$2:$H$65,'Outages (event ledger)'!$A$2:$A$65,P$2,'Outages (event ledger)'!$E$2:$E$65,"&lt;="&amp;$B45,'Outages (event ledger)'!$G$2:$G$65,"&gt;="&amp;$B45)</f>
        <v>0</v>
      </c>
      <c r="Q45" s="29" t="n">
        <f aca="false">SUMIFS('Outages (event ledger)'!$H$2:$H$65,'Outages (event ledger)'!$A$2:$A$65,Q$2,'Outages (event ledger)'!$E$2:$E$65,"&lt;="&amp;$B45,'Outages (event ledger)'!$G$2:$G$65,"&gt;="&amp;$B45)</f>
        <v>0</v>
      </c>
      <c r="R45" s="29" t="n">
        <f aca="false">SUMIFS('Outages (event ledger)'!$H$2:$H$65,'Outages (event ledger)'!$A$2:$A$65,R$2,'Outages (event ledger)'!$E$2:$E$65,"&lt;="&amp;$B45,'Outages (event ledger)'!$G$2:$G$65,"&gt;="&amp;$B45)</f>
        <v>0</v>
      </c>
      <c r="S45" s="29" t="n">
        <f aca="false">SUMIFS('Outages (event ledger)'!$H$2:$H$65,'Outages (event ledger)'!$A$2:$A$65,S$2,'Outages (event ledger)'!$E$2:$E$65,"&lt;="&amp;$B45,'Outages (event ledger)'!$G$2:$G$65,"&gt;="&amp;$B45)</f>
        <v>0</v>
      </c>
      <c r="T45" s="29" t="n">
        <f aca="false">SUMIFS('Outages (event ledger)'!$H$2:$H$65,'Outages (event ledger)'!$A$2:$A$65,T$2,'Outages (event ledger)'!$E$2:$E$65,"&lt;="&amp;$B45,'Outages (event ledger)'!$G$2:$G$65,"&gt;="&amp;$B45)</f>
        <v>0</v>
      </c>
      <c r="U45" s="29" t="n">
        <f aca="false">SUMIFS('Outages (event ledger)'!$H$2:$H$65,'Outages (event ledger)'!$A$2:$A$65,U$2,'Outages (event ledger)'!$E$2:$E$65,"&lt;="&amp;$B45,'Outages (event ledger)'!$G$2:$G$65,"&gt;="&amp;$B45)</f>
        <v>0</v>
      </c>
      <c r="V45" s="29" t="n">
        <f aca="false">SUMIFS('Outages (event ledger)'!$H$2:$H$65,'Outages (event ledger)'!$A$2:$A$65,V$2,'Outages (event ledger)'!$E$2:$E$65,"&lt;="&amp;$B45,'Outages (event ledger)'!$G$2:$G$65,"&gt;="&amp;$B45)</f>
        <v>0</v>
      </c>
      <c r="W45" s="29" t="n">
        <f aca="false">SUMIFS('Outages (event ledger)'!$H$2:$H$65,'Outages (event ledger)'!$A$2:$A$65,W$2,'Outages (event ledger)'!$E$2:$E$65,"&lt;="&amp;$B45,'Outages (event ledger)'!$G$2:$G$65,"&gt;="&amp;$B45)</f>
        <v>0</v>
      </c>
      <c r="X45" s="29" t="n">
        <f aca="false">SUMIFS('Outages (event ledger)'!$H$2:$H$65,'Outages (event ledger)'!$A$2:$A$65,X$2,'Outages (event ledger)'!$E$2:$E$65,"&lt;="&amp;$B45,'Outages (event ledger)'!$G$2:$G$65,"&gt;="&amp;$B45)</f>
        <v>0</v>
      </c>
      <c r="Y45" s="29" t="n">
        <f aca="false">SUMIFS('Outages (event ledger)'!$H$2:$H$65,'Outages (event ledger)'!$A$2:$A$65,Y$2,'Outages (event ledger)'!$E$2:$E$65,"&lt;="&amp;$B45,'Outages (event ledger)'!$G$2:$G$65,"&gt;="&amp;$B45)</f>
        <v>5</v>
      </c>
      <c r="Z45" s="29" t="n">
        <f aca="false">SUMIFS('Outages (event ledger)'!$H$2:$H$65,'Outages (event ledger)'!$A$2:$A$65,Z$2,'Outages (event ledger)'!$E$2:$E$65,"&lt;="&amp;$B45,'Outages (event ledger)'!$G$2:$G$65,"&gt;="&amp;$B45)</f>
        <v>5</v>
      </c>
      <c r="AA45" s="29" t="n">
        <f aca="false">SUMIFS('Outages (event ledger)'!$H$2:$H$65,'Outages (event ledger)'!$A$2:$A$65,AA$2,'Outages (event ledger)'!$E$2:$E$65,"&lt;="&amp;$B45,'Outages (event ledger)'!$G$2:$G$65,"&gt;="&amp;$B45)</f>
        <v>0</v>
      </c>
      <c r="AB45" s="29" t="n">
        <f aca="false">SUMIFS('Outages (event ledger)'!$H$2:$H$65,'Outages (event ledger)'!$A$2:$A$65,AB$2,'Outages (event ledger)'!$E$2:$E$65,"&lt;="&amp;$B45,'Outages (event ledger)'!$G$2:$G$65,"&gt;="&amp;$B45)</f>
        <v>8</v>
      </c>
      <c r="AC45" s="29" t="n">
        <f aca="false">SUMIFS('Outages (event ledger)'!$H$2:$H$65,'Outages (event ledger)'!$A$2:$A$65,AC$2,'Outages (event ledger)'!$E$2:$E$65,"&lt;="&amp;$B45,'Outages (event ledger)'!$G$2:$G$65,"&gt;="&amp;$B45)</f>
        <v>0</v>
      </c>
      <c r="AD45" s="29" t="n">
        <f aca="false">SUMIFS('Outages (event ledger)'!$H$2:$H$65,'Outages (event ledger)'!$A$2:$A$65,AD$2,'Outages (event ledger)'!$E$2:$E$65,"&lt;="&amp;$B45,'Outages (event ledger)'!$G$2:$G$65,"&gt;="&amp;$B45)</f>
        <v>0</v>
      </c>
      <c r="AE45" s="29" t="n">
        <f aca="false">SUMIFS('Outages (event ledger)'!$H$2:$H$65,'Outages (event ledger)'!$A$2:$A$65,AE$2,'Outages (event ledger)'!$E$2:$E$65,"&lt;="&amp;$B45,'Outages (event ledger)'!$G$2:$G$65,"&gt;="&amp;$B45)</f>
        <v>0</v>
      </c>
      <c r="AF45" s="29" t="n">
        <f aca="false">SUMIFS('Outages (event ledger)'!$H$2:$H$65,'Outages (event ledger)'!$A$2:$A$65,AF$2,'Outages (event ledger)'!$E$2:$E$65,"&lt;="&amp;$B45,'Outages (event ledger)'!$G$2:$G$65,"&gt;="&amp;$B45)</f>
        <v>0</v>
      </c>
      <c r="AG45" s="29" t="n">
        <f aca="false">SUMIFS('Outages (event ledger)'!$H$2:$H$65,'Outages (event ledger)'!$A$2:$A$65,AG$2,'Outages (event ledger)'!$E$2:$E$65,"&lt;="&amp;$B45,'Outages (event ledger)'!$G$2:$G$65,"&gt;="&amp;$B45)</f>
        <v>0</v>
      </c>
      <c r="AH45" s="29" t="n">
        <f aca="false">SUMIFS('Outages (event ledger)'!$H$2:$H$65,'Outages (event ledger)'!$A$2:$A$65,AH$2,'Outages (event ledger)'!$E$2:$E$65,"&lt;="&amp;$B45,'Outages (event ledger)'!$G$2:$G$65,"&gt;="&amp;$B45)</f>
        <v>0</v>
      </c>
      <c r="AI45" s="29" t="n">
        <f aca="false">SUMIFS('Outages (event ledger)'!$H$2:$H$65,'Outages (event ledger)'!$A$2:$A$65,AI$2,'Outages (event ledger)'!$E$2:$E$65,"&lt;="&amp;$B45,'Outages (event ledger)'!$G$2:$G$65,"&gt;="&amp;$B45)</f>
        <v>0</v>
      </c>
      <c r="AJ45" s="29" t="n">
        <f aca="false">SUMIFS('Outages (event ledger)'!$H$2:$H$65,'Outages (event ledger)'!$A$2:$A$65,AJ$2,'Outages (event ledger)'!$E$2:$E$65,"&lt;="&amp;$B45,'Outages (event ledger)'!$G$2:$G$65,"&gt;="&amp;$B45)</f>
        <v>0</v>
      </c>
      <c r="AK45" s="29" t="n">
        <f aca="false">SUMIFS('Outages (event ledger)'!$H$2:$H$65,'Outages (event ledger)'!$A$2:$A$65,AK$2,'Outages (event ledger)'!$E$2:$E$65,"&lt;="&amp;$B45,'Outages (event ledger)'!$G$2:$G$65,"&gt;="&amp;$B45)</f>
        <v>0</v>
      </c>
      <c r="AL45" s="29" t="n">
        <f aca="false">SUMIFS('Outages (event ledger)'!$H$2:$H$65,'Outages (event ledger)'!$A$2:$A$65,AL$2,'Outages (event ledger)'!$E$2:$E$65,"&lt;="&amp;$B45,'Outages (event ledger)'!$G$2:$G$65,"&gt;="&amp;$B45)</f>
        <v>3.5</v>
      </c>
      <c r="AM45" s="29" t="n">
        <f aca="false">SUMIFS('Outages (event ledger)'!$H$2:$H$65,'Outages (event ledger)'!$A$2:$A$65,AM$2,'Outages (event ledger)'!$E$2:$E$65,"&lt;="&amp;$B45,'Outages (event ledger)'!$G$2:$G$65,"&gt;="&amp;$B45)</f>
        <v>0</v>
      </c>
      <c r="AN45" s="29" t="n">
        <f aca="false">SUMIFS('Outages (event ledger)'!$H$2:$H$65,'Outages (event ledger)'!$A$2:$A$65,AN$2,'Outages (event ledger)'!$E$2:$E$65,"&lt;="&amp;$B45,'Outages (event ledger)'!$G$2:$G$65,"&gt;="&amp;$B45)</f>
        <v>0</v>
      </c>
      <c r="AO45" s="29" t="n">
        <f aca="false">SUMIFS('Outages (event ledger)'!$H$2:$H$65,'Outages (event ledger)'!$A$2:$A$65,AO$2,'Outages (event ledger)'!$E$2:$E$65,"&lt;="&amp;$B45,'Outages (event ledger)'!$G$2:$G$65,"&gt;="&amp;$B45)</f>
        <v>0</v>
      </c>
      <c r="AP45" s="29" t="n">
        <f aca="false">SUMIFS('Outages (event ledger)'!$H$2:$H$65,'Outages (event ledger)'!$A$2:$A$65,AP$2,'Outages (event ledger)'!$E$2:$E$65,"&lt;="&amp;$B45,'Outages (event ledger)'!$G$2:$G$65,"&gt;="&amp;$B45)</f>
        <v>0</v>
      </c>
      <c r="AQ45" s="29" t="n">
        <f aca="false">SUMIFS('Outages (event ledger)'!$H$2:$H$65,'Outages (event ledger)'!$A$2:$A$65,AQ$2,'Outages (event ledger)'!$E$2:$E$65,"&lt;="&amp;$B45,'Outages (event ledger)'!$G$2:$G$65,"&gt;="&amp;$B45)</f>
        <v>0</v>
      </c>
      <c r="AR45" s="29" t="n">
        <f aca="false">SUMIFS('Outages (event ledger)'!$H$2:$H$65,'Outages (event ledger)'!$A$2:$A$65,AR$2,'Outages (event ledger)'!$E$2:$E$65,"&lt;="&amp;$B45,'Outages (event ledger)'!$G$2:$G$65,"&gt;="&amp;$B45)</f>
        <v>0</v>
      </c>
      <c r="AS45" s="29" t="n">
        <f aca="false">SUMIFS('Outages (event ledger)'!$H$2:$H$65,'Outages (event ledger)'!$A$2:$A$65,AS$2,'Outages (event ledger)'!$E$2:$E$65,"&lt;="&amp;$B45,'Outages (event ledger)'!$G$2:$G$65,"&gt;="&amp;$B45)</f>
        <v>0</v>
      </c>
      <c r="AT45" s="29" t="n">
        <f aca="false">SUMIFS('Outages (event ledger)'!$H$2:$H$65,'Outages (event ledger)'!$A$2:$A$65,AT$2,'Outages (event ledger)'!$E$2:$E$65,"&lt;="&amp;$B45,'Outages (event ledger)'!$G$2:$G$65,"&gt;="&amp;$B45)</f>
        <v>0</v>
      </c>
      <c r="AU45" s="29" t="n">
        <f aca="false">SUMIFS('Outages (event ledger)'!$H$2:$H$65,'Outages (event ledger)'!$A$2:$A$65,AU$2,'Outages (event ledger)'!$E$2:$E$65,"&lt;="&amp;$B45,'Outages (event ledger)'!$G$2:$G$65,"&gt;="&amp;$B45)</f>
        <v>0</v>
      </c>
      <c r="AV45" s="29" t="n">
        <f aca="false">SUMIFS('Outages (event ledger)'!$H$2:$H$65,'Outages (event ledger)'!$A$2:$A$65,AV$2,'Outages (event ledger)'!$E$2:$E$65,"&lt;="&amp;$B45,'Outages (event ledger)'!$G$2:$G$65,"&gt;="&amp;$B45)</f>
        <v>0</v>
      </c>
      <c r="AW45" s="29" t="n">
        <f aca="false">SUMIFS('Outages (event ledger)'!$H$2:$H$65,'Outages (event ledger)'!$A$2:$A$65,AW$2,'Outages (event ledger)'!$E$2:$E$65,"&lt;="&amp;$B45,'Outages (event ledger)'!$G$2:$G$65,"&gt;="&amp;$B45)</f>
        <v>0</v>
      </c>
      <c r="AX45" s="29" t="n">
        <f aca="false">SUMIFS('Outages (event ledger)'!$H$2:$H$65,'Outages (event ledger)'!$A$2:$A$65,AX$2,'Outages (event ledger)'!$E$2:$E$65,"&lt;="&amp;$B45,'Outages (event ledger)'!$G$2:$G$65,"&gt;="&amp;$B45)</f>
        <v>0</v>
      </c>
      <c r="AY45" s="29" t="n">
        <f aca="false">SUMIFS('Outages (event ledger)'!$H$2:$H$65,'Outages (event ledger)'!$A$2:$A$65,AY$2,'Outages (event ledger)'!$E$2:$E$65,"&lt;="&amp;$B45,'Outages (event ledger)'!$G$2:$G$65,"&gt;="&amp;$B45)</f>
        <v>0</v>
      </c>
      <c r="AZ45" s="29" t="n">
        <f aca="false">SUMIFS('Outages (event ledger)'!$H$2:$H$65,'Outages (event ledger)'!$A$2:$A$65,AZ$2,'Outages (event ledger)'!$E$2:$E$65,"&lt;="&amp;$B45,'Outages (event ledger)'!$G$2:$G$65,"&gt;="&amp;$B45)</f>
        <v>0</v>
      </c>
      <c r="BA45" s="29" t="n">
        <f aca="false">SUMIFS('Outages (event ledger)'!$H$2:$H$65,'Outages (event ledger)'!$A$2:$A$65,BA$2,'Outages (event ledger)'!$E$2:$E$65,"&lt;="&amp;$B45,'Outages (event ledger)'!$G$2:$G$65,"&gt;="&amp;$B45)</f>
        <v>0</v>
      </c>
      <c r="BB45" s="29" t="n">
        <f aca="false">SUMIFS('Outages (event ledger)'!$H$2:$H$65,'Outages (event ledger)'!$A$2:$A$65,BB$2,'Outages (event ledger)'!$E$2:$E$65,"&lt;="&amp;$B45,'Outages (event ledger)'!$G$2:$G$65,"&gt;="&amp;$B45)</f>
        <v>0</v>
      </c>
      <c r="BC45" s="29" t="n">
        <f aca="false">SUMIFS('Outages (event ledger)'!$H$2:$H$65,'Outages (event ledger)'!$A$2:$A$65,BC$2,'Outages (event ledger)'!$E$2:$E$65,"&lt;="&amp;$B45,'Outages (event ledger)'!$G$2:$G$65,"&gt;="&amp;$B45)</f>
        <v>0</v>
      </c>
      <c r="BD45" s="29" t="n">
        <f aca="false">SUMIFS('Outages (event ledger)'!$H$2:$H$65,'Outages (event ledger)'!$A$2:$A$65,BD$2,'Outages (event ledger)'!$E$2:$E$65,"&lt;="&amp;$B45,'Outages (event ledger)'!$G$2:$G$65,"&gt;="&amp;$B45)</f>
        <v>0</v>
      </c>
      <c r="BE45" s="29" t="n">
        <f aca="false">SUMIFS('Outages (event ledger)'!$H$2:$H$65,'Outages (event ledger)'!$A$2:$A$65,BE$2,'Outages (event ledger)'!$E$2:$E$65,"&lt;="&amp;$B45,'Outages (event ledger)'!$G$2:$G$65,"&gt;="&amp;$B45)</f>
        <v>0</v>
      </c>
      <c r="BF45" s="29" t="n">
        <f aca="false">SUMIFS('Outages (event ledger)'!$H$2:$H$65,'Outages (event ledger)'!$A$2:$A$65,BF$2,'Outages (event ledger)'!$E$2:$E$65,"&lt;="&amp;$B45,'Outages (event ledger)'!$G$2:$G$65,"&gt;="&amp;$B45)</f>
        <v>0</v>
      </c>
      <c r="BG45" s="29" t="n">
        <f aca="false">SUMIFS('Outages (event ledger)'!$H$2:$H$65,'Outages (event ledger)'!$A$2:$A$65,BG$2,'Outages (event ledger)'!$E$2:$E$65,"&lt;="&amp;$B45,'Outages (event ledger)'!$G$2:$G$65,"&gt;="&amp;$B45)</f>
        <v>0</v>
      </c>
      <c r="BH45" s="29" t="n">
        <f aca="false">SUMIFS('Outages (event ledger)'!$H$2:$H$65,'Outages (event ledger)'!$A$2:$A$65,BH$2,'Outages (event ledger)'!$E$2:$E$65,"&lt;="&amp;$B45,'Outages (event ledger)'!$G$2:$G$65,"&gt;="&amp;$B45)</f>
        <v>0</v>
      </c>
      <c r="BI45" s="29" t="n">
        <f aca="false">SUMIFS('Outages (event ledger)'!$H$2:$H$65,'Outages (event ledger)'!$A$2:$A$65,BI$2,'Outages (event ledger)'!$E$2:$E$65,"&lt;="&amp;$B45,'Outages (event ledger)'!$G$2:$G$65,"&gt;="&amp;$B45)</f>
        <v>0</v>
      </c>
    </row>
    <row r="46" customFormat="false" ht="15" hidden="false" customHeight="false" outlineLevel="0" collapsed="false">
      <c r="A46" s="27" t="n">
        <v>41487</v>
      </c>
      <c r="B46" s="28" t="n">
        <v>201308</v>
      </c>
      <c r="C46" s="25" t="n">
        <f aca="false">SUM(D46:BI46)</f>
        <v>21.5</v>
      </c>
      <c r="D46" s="29" t="n">
        <f aca="false">SUMIFS('Outages (event ledger)'!$H$2:$H$65,'Outages (event ledger)'!$A$2:$A$65,D$2,'Outages (event ledger)'!$E$2:$E$65,"&lt;="&amp;$B46,'Outages (event ledger)'!$G$2:$G$65,"&gt;="&amp;$B46)</f>
        <v>0</v>
      </c>
      <c r="E46" s="29" t="n">
        <f aca="false">SUMIFS('Outages (event ledger)'!$H$2:$H$65,'Outages (event ledger)'!$A$2:$A$65,E$2,'Outages (event ledger)'!$E$2:$E$65,"&lt;="&amp;$B46,'Outages (event ledger)'!$G$2:$G$65,"&gt;="&amp;$B46)</f>
        <v>0</v>
      </c>
      <c r="F46" s="29" t="n">
        <f aca="false">SUMIFS('Outages (event ledger)'!$H$2:$H$65,'Outages (event ledger)'!$A$2:$A$65,F$2,'Outages (event ledger)'!$E$2:$E$65,"&lt;="&amp;$B46,'Outages (event ledger)'!$G$2:$G$65,"&gt;="&amp;$B46)</f>
        <v>0</v>
      </c>
      <c r="G46" s="29" t="n">
        <f aca="false">SUMIFS('Outages (event ledger)'!$H$2:$H$65,'Outages (event ledger)'!$A$2:$A$65,G$2,'Outages (event ledger)'!$E$2:$E$65,"&lt;="&amp;$B46,'Outages (event ledger)'!$G$2:$G$65,"&gt;="&amp;$B46)</f>
        <v>0</v>
      </c>
      <c r="H46" s="29" t="n">
        <f aca="false">SUMIFS('Outages (event ledger)'!$H$2:$H$65,'Outages (event ledger)'!$A$2:$A$65,H$2,'Outages (event ledger)'!$E$2:$E$65,"&lt;="&amp;$B46,'Outages (event ledger)'!$G$2:$G$65,"&gt;="&amp;$B46)</f>
        <v>0</v>
      </c>
      <c r="I46" s="29" t="n">
        <f aca="false">SUMIFS('Outages (event ledger)'!$H$2:$H$65,'Outages (event ledger)'!$A$2:$A$65,I$2,'Outages (event ledger)'!$E$2:$E$65,"&lt;="&amp;$B46,'Outages (event ledger)'!$G$2:$G$65,"&gt;="&amp;$B46)</f>
        <v>0</v>
      </c>
      <c r="J46" s="29" t="n">
        <f aca="false">SUMIFS('Outages (event ledger)'!$H$2:$H$65,'Outages (event ledger)'!$A$2:$A$65,J$2,'Outages (event ledger)'!$E$2:$E$65,"&lt;="&amp;$B46,'Outages (event ledger)'!$G$2:$G$65,"&gt;="&amp;$B46)</f>
        <v>0</v>
      </c>
      <c r="K46" s="29" t="n">
        <f aca="false">SUMIFS('Outages (event ledger)'!$H$2:$H$65,'Outages (event ledger)'!$A$2:$A$65,K$2,'Outages (event ledger)'!$E$2:$E$65,"&lt;="&amp;$B46,'Outages (event ledger)'!$G$2:$G$65,"&gt;="&amp;$B46)</f>
        <v>0</v>
      </c>
      <c r="L46" s="29" t="n">
        <f aca="false">SUMIFS('Outages (event ledger)'!$H$2:$H$65,'Outages (event ledger)'!$A$2:$A$65,L$2,'Outages (event ledger)'!$E$2:$E$65,"&lt;="&amp;$B46,'Outages (event ledger)'!$G$2:$G$65,"&gt;="&amp;$B46)</f>
        <v>0</v>
      </c>
      <c r="M46" s="29" t="n">
        <f aca="false">SUMIFS('Outages (event ledger)'!$H$2:$H$65,'Outages (event ledger)'!$A$2:$A$65,M$2,'Outages (event ledger)'!$E$2:$E$65,"&lt;="&amp;$B46,'Outages (event ledger)'!$G$2:$G$65,"&gt;="&amp;$B46)</f>
        <v>0</v>
      </c>
      <c r="N46" s="29" t="n">
        <f aca="false">SUMIFS('Outages (event ledger)'!$H$2:$H$65,'Outages (event ledger)'!$A$2:$A$65,N$2,'Outages (event ledger)'!$E$2:$E$65,"&lt;="&amp;$B46,'Outages (event ledger)'!$G$2:$G$65,"&gt;="&amp;$B46)</f>
        <v>0</v>
      </c>
      <c r="O46" s="29" t="n">
        <f aca="false">SUMIFS('Outages (event ledger)'!$H$2:$H$65,'Outages (event ledger)'!$A$2:$A$65,O$2,'Outages (event ledger)'!$E$2:$E$65,"&lt;="&amp;$B46,'Outages (event ledger)'!$G$2:$G$65,"&gt;="&amp;$B46)</f>
        <v>0</v>
      </c>
      <c r="P46" s="29" t="n">
        <f aca="false">SUMIFS('Outages (event ledger)'!$H$2:$H$65,'Outages (event ledger)'!$A$2:$A$65,P$2,'Outages (event ledger)'!$E$2:$E$65,"&lt;="&amp;$B46,'Outages (event ledger)'!$G$2:$G$65,"&gt;="&amp;$B46)</f>
        <v>0</v>
      </c>
      <c r="Q46" s="29" t="n">
        <f aca="false">SUMIFS('Outages (event ledger)'!$H$2:$H$65,'Outages (event ledger)'!$A$2:$A$65,Q$2,'Outages (event ledger)'!$E$2:$E$65,"&lt;="&amp;$B46,'Outages (event ledger)'!$G$2:$G$65,"&gt;="&amp;$B46)</f>
        <v>0</v>
      </c>
      <c r="R46" s="29" t="n">
        <f aca="false">SUMIFS('Outages (event ledger)'!$H$2:$H$65,'Outages (event ledger)'!$A$2:$A$65,R$2,'Outages (event ledger)'!$E$2:$E$65,"&lt;="&amp;$B46,'Outages (event ledger)'!$G$2:$G$65,"&gt;="&amp;$B46)</f>
        <v>0</v>
      </c>
      <c r="S46" s="29" t="n">
        <f aca="false">SUMIFS('Outages (event ledger)'!$H$2:$H$65,'Outages (event ledger)'!$A$2:$A$65,S$2,'Outages (event ledger)'!$E$2:$E$65,"&lt;="&amp;$B46,'Outages (event ledger)'!$G$2:$G$65,"&gt;="&amp;$B46)</f>
        <v>0</v>
      </c>
      <c r="T46" s="29" t="n">
        <f aca="false">SUMIFS('Outages (event ledger)'!$H$2:$H$65,'Outages (event ledger)'!$A$2:$A$65,T$2,'Outages (event ledger)'!$E$2:$E$65,"&lt;="&amp;$B46,'Outages (event ledger)'!$G$2:$G$65,"&gt;="&amp;$B46)</f>
        <v>0</v>
      </c>
      <c r="U46" s="29" t="n">
        <f aca="false">SUMIFS('Outages (event ledger)'!$H$2:$H$65,'Outages (event ledger)'!$A$2:$A$65,U$2,'Outages (event ledger)'!$E$2:$E$65,"&lt;="&amp;$B46,'Outages (event ledger)'!$G$2:$G$65,"&gt;="&amp;$B46)</f>
        <v>0</v>
      </c>
      <c r="V46" s="29" t="n">
        <f aca="false">SUMIFS('Outages (event ledger)'!$H$2:$H$65,'Outages (event ledger)'!$A$2:$A$65,V$2,'Outages (event ledger)'!$E$2:$E$65,"&lt;="&amp;$B46,'Outages (event ledger)'!$G$2:$G$65,"&gt;="&amp;$B46)</f>
        <v>0</v>
      </c>
      <c r="W46" s="29" t="n">
        <f aca="false">SUMIFS('Outages (event ledger)'!$H$2:$H$65,'Outages (event ledger)'!$A$2:$A$65,W$2,'Outages (event ledger)'!$E$2:$E$65,"&lt;="&amp;$B46,'Outages (event ledger)'!$G$2:$G$65,"&gt;="&amp;$B46)</f>
        <v>0</v>
      </c>
      <c r="X46" s="29" t="n">
        <f aca="false">SUMIFS('Outages (event ledger)'!$H$2:$H$65,'Outages (event ledger)'!$A$2:$A$65,X$2,'Outages (event ledger)'!$E$2:$E$65,"&lt;="&amp;$B46,'Outages (event ledger)'!$G$2:$G$65,"&gt;="&amp;$B46)</f>
        <v>0</v>
      </c>
      <c r="Y46" s="29" t="n">
        <f aca="false">SUMIFS('Outages (event ledger)'!$H$2:$H$65,'Outages (event ledger)'!$A$2:$A$65,Y$2,'Outages (event ledger)'!$E$2:$E$65,"&lt;="&amp;$B46,'Outages (event ledger)'!$G$2:$G$65,"&gt;="&amp;$B46)</f>
        <v>5</v>
      </c>
      <c r="Z46" s="29" t="n">
        <f aca="false">SUMIFS('Outages (event ledger)'!$H$2:$H$65,'Outages (event ledger)'!$A$2:$A$65,Z$2,'Outages (event ledger)'!$E$2:$E$65,"&lt;="&amp;$B46,'Outages (event ledger)'!$G$2:$G$65,"&gt;="&amp;$B46)</f>
        <v>5</v>
      </c>
      <c r="AA46" s="29" t="n">
        <f aca="false">SUMIFS('Outages (event ledger)'!$H$2:$H$65,'Outages (event ledger)'!$A$2:$A$65,AA$2,'Outages (event ledger)'!$E$2:$E$65,"&lt;="&amp;$B46,'Outages (event ledger)'!$G$2:$G$65,"&gt;="&amp;$B46)</f>
        <v>0</v>
      </c>
      <c r="AB46" s="29" t="n">
        <f aca="false">SUMIFS('Outages (event ledger)'!$H$2:$H$65,'Outages (event ledger)'!$A$2:$A$65,AB$2,'Outages (event ledger)'!$E$2:$E$65,"&lt;="&amp;$B46,'Outages (event ledger)'!$G$2:$G$65,"&gt;="&amp;$B46)</f>
        <v>8</v>
      </c>
      <c r="AC46" s="29" t="n">
        <f aca="false">SUMIFS('Outages (event ledger)'!$H$2:$H$65,'Outages (event ledger)'!$A$2:$A$65,AC$2,'Outages (event ledger)'!$E$2:$E$65,"&lt;="&amp;$B46,'Outages (event ledger)'!$G$2:$G$65,"&gt;="&amp;$B46)</f>
        <v>0</v>
      </c>
      <c r="AD46" s="29" t="n">
        <f aca="false">SUMIFS('Outages (event ledger)'!$H$2:$H$65,'Outages (event ledger)'!$A$2:$A$65,AD$2,'Outages (event ledger)'!$E$2:$E$65,"&lt;="&amp;$B46,'Outages (event ledger)'!$G$2:$G$65,"&gt;="&amp;$B46)</f>
        <v>0</v>
      </c>
      <c r="AE46" s="29" t="n">
        <f aca="false">SUMIFS('Outages (event ledger)'!$H$2:$H$65,'Outages (event ledger)'!$A$2:$A$65,AE$2,'Outages (event ledger)'!$E$2:$E$65,"&lt;="&amp;$B46,'Outages (event ledger)'!$G$2:$G$65,"&gt;="&amp;$B46)</f>
        <v>0</v>
      </c>
      <c r="AF46" s="29" t="n">
        <f aca="false">SUMIFS('Outages (event ledger)'!$H$2:$H$65,'Outages (event ledger)'!$A$2:$A$65,AF$2,'Outages (event ledger)'!$E$2:$E$65,"&lt;="&amp;$B46,'Outages (event ledger)'!$G$2:$G$65,"&gt;="&amp;$B46)</f>
        <v>0</v>
      </c>
      <c r="AG46" s="29" t="n">
        <f aca="false">SUMIFS('Outages (event ledger)'!$H$2:$H$65,'Outages (event ledger)'!$A$2:$A$65,AG$2,'Outages (event ledger)'!$E$2:$E$65,"&lt;="&amp;$B46,'Outages (event ledger)'!$G$2:$G$65,"&gt;="&amp;$B46)</f>
        <v>0</v>
      </c>
      <c r="AH46" s="29" t="n">
        <f aca="false">SUMIFS('Outages (event ledger)'!$H$2:$H$65,'Outages (event ledger)'!$A$2:$A$65,AH$2,'Outages (event ledger)'!$E$2:$E$65,"&lt;="&amp;$B46,'Outages (event ledger)'!$G$2:$G$65,"&gt;="&amp;$B46)</f>
        <v>0</v>
      </c>
      <c r="AI46" s="29" t="n">
        <f aca="false">SUMIFS('Outages (event ledger)'!$H$2:$H$65,'Outages (event ledger)'!$A$2:$A$65,AI$2,'Outages (event ledger)'!$E$2:$E$65,"&lt;="&amp;$B46,'Outages (event ledger)'!$G$2:$G$65,"&gt;="&amp;$B46)</f>
        <v>0</v>
      </c>
      <c r="AJ46" s="29" t="n">
        <f aca="false">SUMIFS('Outages (event ledger)'!$H$2:$H$65,'Outages (event ledger)'!$A$2:$A$65,AJ$2,'Outages (event ledger)'!$E$2:$E$65,"&lt;="&amp;$B46,'Outages (event ledger)'!$G$2:$G$65,"&gt;="&amp;$B46)</f>
        <v>0</v>
      </c>
      <c r="AK46" s="29" t="n">
        <f aca="false">SUMIFS('Outages (event ledger)'!$H$2:$H$65,'Outages (event ledger)'!$A$2:$A$65,AK$2,'Outages (event ledger)'!$E$2:$E$65,"&lt;="&amp;$B46,'Outages (event ledger)'!$G$2:$G$65,"&gt;="&amp;$B46)</f>
        <v>0</v>
      </c>
      <c r="AL46" s="29" t="n">
        <f aca="false">SUMIFS('Outages (event ledger)'!$H$2:$H$65,'Outages (event ledger)'!$A$2:$A$65,AL$2,'Outages (event ledger)'!$E$2:$E$65,"&lt;="&amp;$B46,'Outages (event ledger)'!$G$2:$G$65,"&gt;="&amp;$B46)</f>
        <v>3.5</v>
      </c>
      <c r="AM46" s="29" t="n">
        <f aca="false">SUMIFS('Outages (event ledger)'!$H$2:$H$65,'Outages (event ledger)'!$A$2:$A$65,AM$2,'Outages (event ledger)'!$E$2:$E$65,"&lt;="&amp;$B46,'Outages (event ledger)'!$G$2:$G$65,"&gt;="&amp;$B46)</f>
        <v>0</v>
      </c>
      <c r="AN46" s="29" t="n">
        <f aca="false">SUMIFS('Outages (event ledger)'!$H$2:$H$65,'Outages (event ledger)'!$A$2:$A$65,AN$2,'Outages (event ledger)'!$E$2:$E$65,"&lt;="&amp;$B46,'Outages (event ledger)'!$G$2:$G$65,"&gt;="&amp;$B46)</f>
        <v>0</v>
      </c>
      <c r="AO46" s="29" t="n">
        <f aca="false">SUMIFS('Outages (event ledger)'!$H$2:$H$65,'Outages (event ledger)'!$A$2:$A$65,AO$2,'Outages (event ledger)'!$E$2:$E$65,"&lt;="&amp;$B46,'Outages (event ledger)'!$G$2:$G$65,"&gt;="&amp;$B46)</f>
        <v>0</v>
      </c>
      <c r="AP46" s="29" t="n">
        <f aca="false">SUMIFS('Outages (event ledger)'!$H$2:$H$65,'Outages (event ledger)'!$A$2:$A$65,AP$2,'Outages (event ledger)'!$E$2:$E$65,"&lt;="&amp;$B46,'Outages (event ledger)'!$G$2:$G$65,"&gt;="&amp;$B46)</f>
        <v>0</v>
      </c>
      <c r="AQ46" s="29" t="n">
        <f aca="false">SUMIFS('Outages (event ledger)'!$H$2:$H$65,'Outages (event ledger)'!$A$2:$A$65,AQ$2,'Outages (event ledger)'!$E$2:$E$65,"&lt;="&amp;$B46,'Outages (event ledger)'!$G$2:$G$65,"&gt;="&amp;$B46)</f>
        <v>0</v>
      </c>
      <c r="AR46" s="29" t="n">
        <f aca="false">SUMIFS('Outages (event ledger)'!$H$2:$H$65,'Outages (event ledger)'!$A$2:$A$65,AR$2,'Outages (event ledger)'!$E$2:$E$65,"&lt;="&amp;$B46,'Outages (event ledger)'!$G$2:$G$65,"&gt;="&amp;$B46)</f>
        <v>0</v>
      </c>
      <c r="AS46" s="29" t="n">
        <f aca="false">SUMIFS('Outages (event ledger)'!$H$2:$H$65,'Outages (event ledger)'!$A$2:$A$65,AS$2,'Outages (event ledger)'!$E$2:$E$65,"&lt;="&amp;$B46,'Outages (event ledger)'!$G$2:$G$65,"&gt;="&amp;$B46)</f>
        <v>0</v>
      </c>
      <c r="AT46" s="29" t="n">
        <f aca="false">SUMIFS('Outages (event ledger)'!$H$2:$H$65,'Outages (event ledger)'!$A$2:$A$65,AT$2,'Outages (event ledger)'!$E$2:$E$65,"&lt;="&amp;$B46,'Outages (event ledger)'!$G$2:$G$65,"&gt;="&amp;$B46)</f>
        <v>0</v>
      </c>
      <c r="AU46" s="29" t="n">
        <f aca="false">SUMIFS('Outages (event ledger)'!$H$2:$H$65,'Outages (event ledger)'!$A$2:$A$65,AU$2,'Outages (event ledger)'!$E$2:$E$65,"&lt;="&amp;$B46,'Outages (event ledger)'!$G$2:$G$65,"&gt;="&amp;$B46)</f>
        <v>0</v>
      </c>
      <c r="AV46" s="29" t="n">
        <f aca="false">SUMIFS('Outages (event ledger)'!$H$2:$H$65,'Outages (event ledger)'!$A$2:$A$65,AV$2,'Outages (event ledger)'!$E$2:$E$65,"&lt;="&amp;$B46,'Outages (event ledger)'!$G$2:$G$65,"&gt;="&amp;$B46)</f>
        <v>0</v>
      </c>
      <c r="AW46" s="29" t="n">
        <f aca="false">SUMIFS('Outages (event ledger)'!$H$2:$H$65,'Outages (event ledger)'!$A$2:$A$65,AW$2,'Outages (event ledger)'!$E$2:$E$65,"&lt;="&amp;$B46,'Outages (event ledger)'!$G$2:$G$65,"&gt;="&amp;$B46)</f>
        <v>0</v>
      </c>
      <c r="AX46" s="29" t="n">
        <f aca="false">SUMIFS('Outages (event ledger)'!$H$2:$H$65,'Outages (event ledger)'!$A$2:$A$65,AX$2,'Outages (event ledger)'!$E$2:$E$65,"&lt;="&amp;$B46,'Outages (event ledger)'!$G$2:$G$65,"&gt;="&amp;$B46)</f>
        <v>0</v>
      </c>
      <c r="AY46" s="29" t="n">
        <f aca="false">SUMIFS('Outages (event ledger)'!$H$2:$H$65,'Outages (event ledger)'!$A$2:$A$65,AY$2,'Outages (event ledger)'!$E$2:$E$65,"&lt;="&amp;$B46,'Outages (event ledger)'!$G$2:$G$65,"&gt;="&amp;$B46)</f>
        <v>0</v>
      </c>
      <c r="AZ46" s="29" t="n">
        <f aca="false">SUMIFS('Outages (event ledger)'!$H$2:$H$65,'Outages (event ledger)'!$A$2:$A$65,AZ$2,'Outages (event ledger)'!$E$2:$E$65,"&lt;="&amp;$B46,'Outages (event ledger)'!$G$2:$G$65,"&gt;="&amp;$B46)</f>
        <v>0</v>
      </c>
      <c r="BA46" s="29" t="n">
        <f aca="false">SUMIFS('Outages (event ledger)'!$H$2:$H$65,'Outages (event ledger)'!$A$2:$A$65,BA$2,'Outages (event ledger)'!$E$2:$E$65,"&lt;="&amp;$B46,'Outages (event ledger)'!$G$2:$G$65,"&gt;="&amp;$B46)</f>
        <v>0</v>
      </c>
      <c r="BB46" s="29" t="n">
        <f aca="false">SUMIFS('Outages (event ledger)'!$H$2:$H$65,'Outages (event ledger)'!$A$2:$A$65,BB$2,'Outages (event ledger)'!$E$2:$E$65,"&lt;="&amp;$B46,'Outages (event ledger)'!$G$2:$G$65,"&gt;="&amp;$B46)</f>
        <v>0</v>
      </c>
      <c r="BC46" s="29" t="n">
        <f aca="false">SUMIFS('Outages (event ledger)'!$H$2:$H$65,'Outages (event ledger)'!$A$2:$A$65,BC$2,'Outages (event ledger)'!$E$2:$E$65,"&lt;="&amp;$B46,'Outages (event ledger)'!$G$2:$G$65,"&gt;="&amp;$B46)</f>
        <v>0</v>
      </c>
      <c r="BD46" s="29" t="n">
        <f aca="false">SUMIFS('Outages (event ledger)'!$H$2:$H$65,'Outages (event ledger)'!$A$2:$A$65,BD$2,'Outages (event ledger)'!$E$2:$E$65,"&lt;="&amp;$B46,'Outages (event ledger)'!$G$2:$G$65,"&gt;="&amp;$B46)</f>
        <v>0</v>
      </c>
      <c r="BE46" s="29" t="n">
        <f aca="false">SUMIFS('Outages (event ledger)'!$H$2:$H$65,'Outages (event ledger)'!$A$2:$A$65,BE$2,'Outages (event ledger)'!$E$2:$E$65,"&lt;="&amp;$B46,'Outages (event ledger)'!$G$2:$G$65,"&gt;="&amp;$B46)</f>
        <v>0</v>
      </c>
      <c r="BF46" s="29" t="n">
        <f aca="false">SUMIFS('Outages (event ledger)'!$H$2:$H$65,'Outages (event ledger)'!$A$2:$A$65,BF$2,'Outages (event ledger)'!$E$2:$E$65,"&lt;="&amp;$B46,'Outages (event ledger)'!$G$2:$G$65,"&gt;="&amp;$B46)</f>
        <v>0</v>
      </c>
      <c r="BG46" s="29" t="n">
        <f aca="false">SUMIFS('Outages (event ledger)'!$H$2:$H$65,'Outages (event ledger)'!$A$2:$A$65,BG$2,'Outages (event ledger)'!$E$2:$E$65,"&lt;="&amp;$B46,'Outages (event ledger)'!$G$2:$G$65,"&gt;="&amp;$B46)</f>
        <v>0</v>
      </c>
      <c r="BH46" s="29" t="n">
        <f aca="false">SUMIFS('Outages (event ledger)'!$H$2:$H$65,'Outages (event ledger)'!$A$2:$A$65,BH$2,'Outages (event ledger)'!$E$2:$E$65,"&lt;="&amp;$B46,'Outages (event ledger)'!$G$2:$G$65,"&gt;="&amp;$B46)</f>
        <v>0</v>
      </c>
      <c r="BI46" s="29" t="n">
        <f aca="false">SUMIFS('Outages (event ledger)'!$H$2:$H$65,'Outages (event ledger)'!$A$2:$A$65,BI$2,'Outages (event ledger)'!$E$2:$E$65,"&lt;="&amp;$B46,'Outages (event ledger)'!$G$2:$G$65,"&gt;="&amp;$B46)</f>
        <v>0</v>
      </c>
    </row>
    <row r="47" customFormat="false" ht="15" hidden="false" customHeight="false" outlineLevel="0" collapsed="false">
      <c r="A47" s="27" t="n">
        <v>41518</v>
      </c>
      <c r="B47" s="28" t="n">
        <v>201309</v>
      </c>
      <c r="C47" s="25" t="n">
        <f aca="false">SUM(D47:BI47)</f>
        <v>21.5</v>
      </c>
      <c r="D47" s="29" t="n">
        <f aca="false">SUMIFS('Outages (event ledger)'!$H$2:$H$65,'Outages (event ledger)'!$A$2:$A$65,D$2,'Outages (event ledger)'!$E$2:$E$65,"&lt;="&amp;$B47,'Outages (event ledger)'!$G$2:$G$65,"&gt;="&amp;$B47)</f>
        <v>0</v>
      </c>
      <c r="E47" s="29" t="n">
        <f aca="false">SUMIFS('Outages (event ledger)'!$H$2:$H$65,'Outages (event ledger)'!$A$2:$A$65,E$2,'Outages (event ledger)'!$E$2:$E$65,"&lt;="&amp;$B47,'Outages (event ledger)'!$G$2:$G$65,"&gt;="&amp;$B47)</f>
        <v>0</v>
      </c>
      <c r="F47" s="29" t="n">
        <f aca="false">SUMIFS('Outages (event ledger)'!$H$2:$H$65,'Outages (event ledger)'!$A$2:$A$65,F$2,'Outages (event ledger)'!$E$2:$E$65,"&lt;="&amp;$B47,'Outages (event ledger)'!$G$2:$G$65,"&gt;="&amp;$B47)</f>
        <v>0</v>
      </c>
      <c r="G47" s="29" t="n">
        <f aca="false">SUMIFS('Outages (event ledger)'!$H$2:$H$65,'Outages (event ledger)'!$A$2:$A$65,G$2,'Outages (event ledger)'!$E$2:$E$65,"&lt;="&amp;$B47,'Outages (event ledger)'!$G$2:$G$65,"&gt;="&amp;$B47)</f>
        <v>0</v>
      </c>
      <c r="H47" s="29" t="n">
        <f aca="false">SUMIFS('Outages (event ledger)'!$H$2:$H$65,'Outages (event ledger)'!$A$2:$A$65,H$2,'Outages (event ledger)'!$E$2:$E$65,"&lt;="&amp;$B47,'Outages (event ledger)'!$G$2:$G$65,"&gt;="&amp;$B47)</f>
        <v>0</v>
      </c>
      <c r="I47" s="29" t="n">
        <f aca="false">SUMIFS('Outages (event ledger)'!$H$2:$H$65,'Outages (event ledger)'!$A$2:$A$65,I$2,'Outages (event ledger)'!$E$2:$E$65,"&lt;="&amp;$B47,'Outages (event ledger)'!$G$2:$G$65,"&gt;="&amp;$B47)</f>
        <v>0</v>
      </c>
      <c r="J47" s="29" t="n">
        <f aca="false">SUMIFS('Outages (event ledger)'!$H$2:$H$65,'Outages (event ledger)'!$A$2:$A$65,J$2,'Outages (event ledger)'!$E$2:$E$65,"&lt;="&amp;$B47,'Outages (event ledger)'!$G$2:$G$65,"&gt;="&amp;$B47)</f>
        <v>0</v>
      </c>
      <c r="K47" s="29" t="n">
        <f aca="false">SUMIFS('Outages (event ledger)'!$H$2:$H$65,'Outages (event ledger)'!$A$2:$A$65,K$2,'Outages (event ledger)'!$E$2:$E$65,"&lt;="&amp;$B47,'Outages (event ledger)'!$G$2:$G$65,"&gt;="&amp;$B47)</f>
        <v>0</v>
      </c>
      <c r="L47" s="29" t="n">
        <f aca="false">SUMIFS('Outages (event ledger)'!$H$2:$H$65,'Outages (event ledger)'!$A$2:$A$65,L$2,'Outages (event ledger)'!$E$2:$E$65,"&lt;="&amp;$B47,'Outages (event ledger)'!$G$2:$G$65,"&gt;="&amp;$B47)</f>
        <v>0</v>
      </c>
      <c r="M47" s="29" t="n">
        <f aca="false">SUMIFS('Outages (event ledger)'!$H$2:$H$65,'Outages (event ledger)'!$A$2:$A$65,M$2,'Outages (event ledger)'!$E$2:$E$65,"&lt;="&amp;$B47,'Outages (event ledger)'!$G$2:$G$65,"&gt;="&amp;$B47)</f>
        <v>0</v>
      </c>
      <c r="N47" s="29" t="n">
        <f aca="false">SUMIFS('Outages (event ledger)'!$H$2:$H$65,'Outages (event ledger)'!$A$2:$A$65,N$2,'Outages (event ledger)'!$E$2:$E$65,"&lt;="&amp;$B47,'Outages (event ledger)'!$G$2:$G$65,"&gt;="&amp;$B47)</f>
        <v>0</v>
      </c>
      <c r="O47" s="29" t="n">
        <f aca="false">SUMIFS('Outages (event ledger)'!$H$2:$H$65,'Outages (event ledger)'!$A$2:$A$65,O$2,'Outages (event ledger)'!$E$2:$E$65,"&lt;="&amp;$B47,'Outages (event ledger)'!$G$2:$G$65,"&gt;="&amp;$B47)</f>
        <v>0</v>
      </c>
      <c r="P47" s="29" t="n">
        <f aca="false">SUMIFS('Outages (event ledger)'!$H$2:$H$65,'Outages (event ledger)'!$A$2:$A$65,P$2,'Outages (event ledger)'!$E$2:$E$65,"&lt;="&amp;$B47,'Outages (event ledger)'!$G$2:$G$65,"&gt;="&amp;$B47)</f>
        <v>0</v>
      </c>
      <c r="Q47" s="29" t="n">
        <f aca="false">SUMIFS('Outages (event ledger)'!$H$2:$H$65,'Outages (event ledger)'!$A$2:$A$65,Q$2,'Outages (event ledger)'!$E$2:$E$65,"&lt;="&amp;$B47,'Outages (event ledger)'!$G$2:$G$65,"&gt;="&amp;$B47)</f>
        <v>0</v>
      </c>
      <c r="R47" s="29" t="n">
        <f aca="false">SUMIFS('Outages (event ledger)'!$H$2:$H$65,'Outages (event ledger)'!$A$2:$A$65,R$2,'Outages (event ledger)'!$E$2:$E$65,"&lt;="&amp;$B47,'Outages (event ledger)'!$G$2:$G$65,"&gt;="&amp;$B47)</f>
        <v>0</v>
      </c>
      <c r="S47" s="29" t="n">
        <f aca="false">SUMIFS('Outages (event ledger)'!$H$2:$H$65,'Outages (event ledger)'!$A$2:$A$65,S$2,'Outages (event ledger)'!$E$2:$E$65,"&lt;="&amp;$B47,'Outages (event ledger)'!$G$2:$G$65,"&gt;="&amp;$B47)</f>
        <v>0</v>
      </c>
      <c r="T47" s="29" t="n">
        <f aca="false">SUMIFS('Outages (event ledger)'!$H$2:$H$65,'Outages (event ledger)'!$A$2:$A$65,T$2,'Outages (event ledger)'!$E$2:$E$65,"&lt;="&amp;$B47,'Outages (event ledger)'!$G$2:$G$65,"&gt;="&amp;$B47)</f>
        <v>0</v>
      </c>
      <c r="U47" s="29" t="n">
        <f aca="false">SUMIFS('Outages (event ledger)'!$H$2:$H$65,'Outages (event ledger)'!$A$2:$A$65,U$2,'Outages (event ledger)'!$E$2:$E$65,"&lt;="&amp;$B47,'Outages (event ledger)'!$G$2:$G$65,"&gt;="&amp;$B47)</f>
        <v>0</v>
      </c>
      <c r="V47" s="29" t="n">
        <f aca="false">SUMIFS('Outages (event ledger)'!$H$2:$H$65,'Outages (event ledger)'!$A$2:$A$65,V$2,'Outages (event ledger)'!$E$2:$E$65,"&lt;="&amp;$B47,'Outages (event ledger)'!$G$2:$G$65,"&gt;="&amp;$B47)</f>
        <v>0</v>
      </c>
      <c r="W47" s="29" t="n">
        <f aca="false">SUMIFS('Outages (event ledger)'!$H$2:$H$65,'Outages (event ledger)'!$A$2:$A$65,W$2,'Outages (event ledger)'!$E$2:$E$65,"&lt;="&amp;$B47,'Outages (event ledger)'!$G$2:$G$65,"&gt;="&amp;$B47)</f>
        <v>0</v>
      </c>
      <c r="X47" s="29" t="n">
        <f aca="false">SUMIFS('Outages (event ledger)'!$H$2:$H$65,'Outages (event ledger)'!$A$2:$A$65,X$2,'Outages (event ledger)'!$E$2:$E$65,"&lt;="&amp;$B47,'Outages (event ledger)'!$G$2:$G$65,"&gt;="&amp;$B47)</f>
        <v>0</v>
      </c>
      <c r="Y47" s="29" t="n">
        <f aca="false">SUMIFS('Outages (event ledger)'!$H$2:$H$65,'Outages (event ledger)'!$A$2:$A$65,Y$2,'Outages (event ledger)'!$E$2:$E$65,"&lt;="&amp;$B47,'Outages (event ledger)'!$G$2:$G$65,"&gt;="&amp;$B47)</f>
        <v>5</v>
      </c>
      <c r="Z47" s="29" t="n">
        <f aca="false">SUMIFS('Outages (event ledger)'!$H$2:$H$65,'Outages (event ledger)'!$A$2:$A$65,Z$2,'Outages (event ledger)'!$E$2:$E$65,"&lt;="&amp;$B47,'Outages (event ledger)'!$G$2:$G$65,"&gt;="&amp;$B47)</f>
        <v>5</v>
      </c>
      <c r="AA47" s="29" t="n">
        <f aca="false">SUMIFS('Outages (event ledger)'!$H$2:$H$65,'Outages (event ledger)'!$A$2:$A$65,AA$2,'Outages (event ledger)'!$E$2:$E$65,"&lt;="&amp;$B47,'Outages (event ledger)'!$G$2:$G$65,"&gt;="&amp;$B47)</f>
        <v>0</v>
      </c>
      <c r="AB47" s="29" t="n">
        <f aca="false">SUMIFS('Outages (event ledger)'!$H$2:$H$65,'Outages (event ledger)'!$A$2:$A$65,AB$2,'Outages (event ledger)'!$E$2:$E$65,"&lt;="&amp;$B47,'Outages (event ledger)'!$G$2:$G$65,"&gt;="&amp;$B47)</f>
        <v>8</v>
      </c>
      <c r="AC47" s="29" t="n">
        <f aca="false">SUMIFS('Outages (event ledger)'!$H$2:$H$65,'Outages (event ledger)'!$A$2:$A$65,AC$2,'Outages (event ledger)'!$E$2:$E$65,"&lt;="&amp;$B47,'Outages (event ledger)'!$G$2:$G$65,"&gt;="&amp;$B47)</f>
        <v>0</v>
      </c>
      <c r="AD47" s="29" t="n">
        <f aca="false">SUMIFS('Outages (event ledger)'!$H$2:$H$65,'Outages (event ledger)'!$A$2:$A$65,AD$2,'Outages (event ledger)'!$E$2:$E$65,"&lt;="&amp;$B47,'Outages (event ledger)'!$G$2:$G$65,"&gt;="&amp;$B47)</f>
        <v>0</v>
      </c>
      <c r="AE47" s="29" t="n">
        <f aca="false">SUMIFS('Outages (event ledger)'!$H$2:$H$65,'Outages (event ledger)'!$A$2:$A$65,AE$2,'Outages (event ledger)'!$E$2:$E$65,"&lt;="&amp;$B47,'Outages (event ledger)'!$G$2:$G$65,"&gt;="&amp;$B47)</f>
        <v>0</v>
      </c>
      <c r="AF47" s="29" t="n">
        <f aca="false">SUMIFS('Outages (event ledger)'!$H$2:$H$65,'Outages (event ledger)'!$A$2:$A$65,AF$2,'Outages (event ledger)'!$E$2:$E$65,"&lt;="&amp;$B47,'Outages (event ledger)'!$G$2:$G$65,"&gt;="&amp;$B47)</f>
        <v>0</v>
      </c>
      <c r="AG47" s="29" t="n">
        <f aca="false">SUMIFS('Outages (event ledger)'!$H$2:$H$65,'Outages (event ledger)'!$A$2:$A$65,AG$2,'Outages (event ledger)'!$E$2:$E$65,"&lt;="&amp;$B47,'Outages (event ledger)'!$G$2:$G$65,"&gt;="&amp;$B47)</f>
        <v>0</v>
      </c>
      <c r="AH47" s="29" t="n">
        <f aca="false">SUMIFS('Outages (event ledger)'!$H$2:$H$65,'Outages (event ledger)'!$A$2:$A$65,AH$2,'Outages (event ledger)'!$E$2:$E$65,"&lt;="&amp;$B47,'Outages (event ledger)'!$G$2:$G$65,"&gt;="&amp;$B47)</f>
        <v>0</v>
      </c>
      <c r="AI47" s="29" t="n">
        <f aca="false">SUMIFS('Outages (event ledger)'!$H$2:$H$65,'Outages (event ledger)'!$A$2:$A$65,AI$2,'Outages (event ledger)'!$E$2:$E$65,"&lt;="&amp;$B47,'Outages (event ledger)'!$G$2:$G$65,"&gt;="&amp;$B47)</f>
        <v>0</v>
      </c>
      <c r="AJ47" s="29" t="n">
        <f aca="false">SUMIFS('Outages (event ledger)'!$H$2:$H$65,'Outages (event ledger)'!$A$2:$A$65,AJ$2,'Outages (event ledger)'!$E$2:$E$65,"&lt;="&amp;$B47,'Outages (event ledger)'!$G$2:$G$65,"&gt;="&amp;$B47)</f>
        <v>0</v>
      </c>
      <c r="AK47" s="29" t="n">
        <f aca="false">SUMIFS('Outages (event ledger)'!$H$2:$H$65,'Outages (event ledger)'!$A$2:$A$65,AK$2,'Outages (event ledger)'!$E$2:$E$65,"&lt;="&amp;$B47,'Outages (event ledger)'!$G$2:$G$65,"&gt;="&amp;$B47)</f>
        <v>0</v>
      </c>
      <c r="AL47" s="29" t="n">
        <f aca="false">SUMIFS('Outages (event ledger)'!$H$2:$H$65,'Outages (event ledger)'!$A$2:$A$65,AL$2,'Outages (event ledger)'!$E$2:$E$65,"&lt;="&amp;$B47,'Outages (event ledger)'!$G$2:$G$65,"&gt;="&amp;$B47)</f>
        <v>3.5</v>
      </c>
      <c r="AM47" s="29" t="n">
        <f aca="false">SUMIFS('Outages (event ledger)'!$H$2:$H$65,'Outages (event ledger)'!$A$2:$A$65,AM$2,'Outages (event ledger)'!$E$2:$E$65,"&lt;="&amp;$B47,'Outages (event ledger)'!$G$2:$G$65,"&gt;="&amp;$B47)</f>
        <v>0</v>
      </c>
      <c r="AN47" s="29" t="n">
        <f aca="false">SUMIFS('Outages (event ledger)'!$H$2:$H$65,'Outages (event ledger)'!$A$2:$A$65,AN$2,'Outages (event ledger)'!$E$2:$E$65,"&lt;="&amp;$B47,'Outages (event ledger)'!$G$2:$G$65,"&gt;="&amp;$B47)</f>
        <v>0</v>
      </c>
      <c r="AO47" s="29" t="n">
        <f aca="false">SUMIFS('Outages (event ledger)'!$H$2:$H$65,'Outages (event ledger)'!$A$2:$A$65,AO$2,'Outages (event ledger)'!$E$2:$E$65,"&lt;="&amp;$B47,'Outages (event ledger)'!$G$2:$G$65,"&gt;="&amp;$B47)</f>
        <v>0</v>
      </c>
      <c r="AP47" s="29" t="n">
        <f aca="false">SUMIFS('Outages (event ledger)'!$H$2:$H$65,'Outages (event ledger)'!$A$2:$A$65,AP$2,'Outages (event ledger)'!$E$2:$E$65,"&lt;="&amp;$B47,'Outages (event ledger)'!$G$2:$G$65,"&gt;="&amp;$B47)</f>
        <v>0</v>
      </c>
      <c r="AQ47" s="29" t="n">
        <f aca="false">SUMIFS('Outages (event ledger)'!$H$2:$H$65,'Outages (event ledger)'!$A$2:$A$65,AQ$2,'Outages (event ledger)'!$E$2:$E$65,"&lt;="&amp;$B47,'Outages (event ledger)'!$G$2:$G$65,"&gt;="&amp;$B47)</f>
        <v>0</v>
      </c>
      <c r="AR47" s="29" t="n">
        <f aca="false">SUMIFS('Outages (event ledger)'!$H$2:$H$65,'Outages (event ledger)'!$A$2:$A$65,AR$2,'Outages (event ledger)'!$E$2:$E$65,"&lt;="&amp;$B47,'Outages (event ledger)'!$G$2:$G$65,"&gt;="&amp;$B47)</f>
        <v>0</v>
      </c>
      <c r="AS47" s="29" t="n">
        <f aca="false">SUMIFS('Outages (event ledger)'!$H$2:$H$65,'Outages (event ledger)'!$A$2:$A$65,AS$2,'Outages (event ledger)'!$E$2:$E$65,"&lt;="&amp;$B47,'Outages (event ledger)'!$G$2:$G$65,"&gt;="&amp;$B47)</f>
        <v>0</v>
      </c>
      <c r="AT47" s="29" t="n">
        <f aca="false">SUMIFS('Outages (event ledger)'!$H$2:$H$65,'Outages (event ledger)'!$A$2:$A$65,AT$2,'Outages (event ledger)'!$E$2:$E$65,"&lt;="&amp;$B47,'Outages (event ledger)'!$G$2:$G$65,"&gt;="&amp;$B47)</f>
        <v>0</v>
      </c>
      <c r="AU47" s="29" t="n">
        <f aca="false">SUMIFS('Outages (event ledger)'!$H$2:$H$65,'Outages (event ledger)'!$A$2:$A$65,AU$2,'Outages (event ledger)'!$E$2:$E$65,"&lt;="&amp;$B47,'Outages (event ledger)'!$G$2:$G$65,"&gt;="&amp;$B47)</f>
        <v>0</v>
      </c>
      <c r="AV47" s="29" t="n">
        <f aca="false">SUMIFS('Outages (event ledger)'!$H$2:$H$65,'Outages (event ledger)'!$A$2:$A$65,AV$2,'Outages (event ledger)'!$E$2:$E$65,"&lt;="&amp;$B47,'Outages (event ledger)'!$G$2:$G$65,"&gt;="&amp;$B47)</f>
        <v>0</v>
      </c>
      <c r="AW47" s="29" t="n">
        <f aca="false">SUMIFS('Outages (event ledger)'!$H$2:$H$65,'Outages (event ledger)'!$A$2:$A$65,AW$2,'Outages (event ledger)'!$E$2:$E$65,"&lt;="&amp;$B47,'Outages (event ledger)'!$G$2:$G$65,"&gt;="&amp;$B47)</f>
        <v>0</v>
      </c>
      <c r="AX47" s="29" t="n">
        <f aca="false">SUMIFS('Outages (event ledger)'!$H$2:$H$65,'Outages (event ledger)'!$A$2:$A$65,AX$2,'Outages (event ledger)'!$E$2:$E$65,"&lt;="&amp;$B47,'Outages (event ledger)'!$G$2:$G$65,"&gt;="&amp;$B47)</f>
        <v>0</v>
      </c>
      <c r="AY47" s="29" t="n">
        <f aca="false">SUMIFS('Outages (event ledger)'!$H$2:$H$65,'Outages (event ledger)'!$A$2:$A$65,AY$2,'Outages (event ledger)'!$E$2:$E$65,"&lt;="&amp;$B47,'Outages (event ledger)'!$G$2:$G$65,"&gt;="&amp;$B47)</f>
        <v>0</v>
      </c>
      <c r="AZ47" s="29" t="n">
        <f aca="false">SUMIFS('Outages (event ledger)'!$H$2:$H$65,'Outages (event ledger)'!$A$2:$A$65,AZ$2,'Outages (event ledger)'!$E$2:$E$65,"&lt;="&amp;$B47,'Outages (event ledger)'!$G$2:$G$65,"&gt;="&amp;$B47)</f>
        <v>0</v>
      </c>
      <c r="BA47" s="29" t="n">
        <f aca="false">SUMIFS('Outages (event ledger)'!$H$2:$H$65,'Outages (event ledger)'!$A$2:$A$65,BA$2,'Outages (event ledger)'!$E$2:$E$65,"&lt;="&amp;$B47,'Outages (event ledger)'!$G$2:$G$65,"&gt;="&amp;$B47)</f>
        <v>0</v>
      </c>
      <c r="BB47" s="29" t="n">
        <f aca="false">SUMIFS('Outages (event ledger)'!$H$2:$H$65,'Outages (event ledger)'!$A$2:$A$65,BB$2,'Outages (event ledger)'!$E$2:$E$65,"&lt;="&amp;$B47,'Outages (event ledger)'!$G$2:$G$65,"&gt;="&amp;$B47)</f>
        <v>0</v>
      </c>
      <c r="BC47" s="29" t="n">
        <f aca="false">SUMIFS('Outages (event ledger)'!$H$2:$H$65,'Outages (event ledger)'!$A$2:$A$65,BC$2,'Outages (event ledger)'!$E$2:$E$65,"&lt;="&amp;$B47,'Outages (event ledger)'!$G$2:$G$65,"&gt;="&amp;$B47)</f>
        <v>0</v>
      </c>
      <c r="BD47" s="29" t="n">
        <f aca="false">SUMIFS('Outages (event ledger)'!$H$2:$H$65,'Outages (event ledger)'!$A$2:$A$65,BD$2,'Outages (event ledger)'!$E$2:$E$65,"&lt;="&amp;$B47,'Outages (event ledger)'!$G$2:$G$65,"&gt;="&amp;$B47)</f>
        <v>0</v>
      </c>
      <c r="BE47" s="29" t="n">
        <f aca="false">SUMIFS('Outages (event ledger)'!$H$2:$H$65,'Outages (event ledger)'!$A$2:$A$65,BE$2,'Outages (event ledger)'!$E$2:$E$65,"&lt;="&amp;$B47,'Outages (event ledger)'!$G$2:$G$65,"&gt;="&amp;$B47)</f>
        <v>0</v>
      </c>
      <c r="BF47" s="29" t="n">
        <f aca="false">SUMIFS('Outages (event ledger)'!$H$2:$H$65,'Outages (event ledger)'!$A$2:$A$65,BF$2,'Outages (event ledger)'!$E$2:$E$65,"&lt;="&amp;$B47,'Outages (event ledger)'!$G$2:$G$65,"&gt;="&amp;$B47)</f>
        <v>0</v>
      </c>
      <c r="BG47" s="29" t="n">
        <f aca="false">SUMIFS('Outages (event ledger)'!$H$2:$H$65,'Outages (event ledger)'!$A$2:$A$65,BG$2,'Outages (event ledger)'!$E$2:$E$65,"&lt;="&amp;$B47,'Outages (event ledger)'!$G$2:$G$65,"&gt;="&amp;$B47)</f>
        <v>0</v>
      </c>
      <c r="BH47" s="29" t="n">
        <f aca="false">SUMIFS('Outages (event ledger)'!$H$2:$H$65,'Outages (event ledger)'!$A$2:$A$65,BH$2,'Outages (event ledger)'!$E$2:$E$65,"&lt;="&amp;$B47,'Outages (event ledger)'!$G$2:$G$65,"&gt;="&amp;$B47)</f>
        <v>0</v>
      </c>
      <c r="BI47" s="29" t="n">
        <f aca="false">SUMIFS('Outages (event ledger)'!$H$2:$H$65,'Outages (event ledger)'!$A$2:$A$65,BI$2,'Outages (event ledger)'!$E$2:$E$65,"&lt;="&amp;$B47,'Outages (event ledger)'!$G$2:$G$65,"&gt;="&amp;$B47)</f>
        <v>0</v>
      </c>
    </row>
    <row r="48" customFormat="false" ht="15" hidden="false" customHeight="false" outlineLevel="0" collapsed="false">
      <c r="A48" s="27" t="n">
        <v>41548</v>
      </c>
      <c r="B48" s="28" t="n">
        <v>201310</v>
      </c>
      <c r="C48" s="25" t="n">
        <f aca="false">SUM(D48:BI48)</f>
        <v>21.5</v>
      </c>
      <c r="D48" s="29" t="n">
        <f aca="false">SUMIFS('Outages (event ledger)'!$H$2:$H$65,'Outages (event ledger)'!$A$2:$A$65,D$2,'Outages (event ledger)'!$E$2:$E$65,"&lt;="&amp;$B48,'Outages (event ledger)'!$G$2:$G$65,"&gt;="&amp;$B48)</f>
        <v>0</v>
      </c>
      <c r="E48" s="29" t="n">
        <f aca="false">SUMIFS('Outages (event ledger)'!$H$2:$H$65,'Outages (event ledger)'!$A$2:$A$65,E$2,'Outages (event ledger)'!$E$2:$E$65,"&lt;="&amp;$B48,'Outages (event ledger)'!$G$2:$G$65,"&gt;="&amp;$B48)</f>
        <v>0</v>
      </c>
      <c r="F48" s="29" t="n">
        <f aca="false">SUMIFS('Outages (event ledger)'!$H$2:$H$65,'Outages (event ledger)'!$A$2:$A$65,F$2,'Outages (event ledger)'!$E$2:$E$65,"&lt;="&amp;$B48,'Outages (event ledger)'!$G$2:$G$65,"&gt;="&amp;$B48)</f>
        <v>0</v>
      </c>
      <c r="G48" s="29" t="n">
        <f aca="false">SUMIFS('Outages (event ledger)'!$H$2:$H$65,'Outages (event ledger)'!$A$2:$A$65,G$2,'Outages (event ledger)'!$E$2:$E$65,"&lt;="&amp;$B48,'Outages (event ledger)'!$G$2:$G$65,"&gt;="&amp;$B48)</f>
        <v>0</v>
      </c>
      <c r="H48" s="29" t="n">
        <f aca="false">SUMIFS('Outages (event ledger)'!$H$2:$H$65,'Outages (event ledger)'!$A$2:$A$65,H$2,'Outages (event ledger)'!$E$2:$E$65,"&lt;="&amp;$B48,'Outages (event ledger)'!$G$2:$G$65,"&gt;="&amp;$B48)</f>
        <v>0</v>
      </c>
      <c r="I48" s="29" t="n">
        <f aca="false">SUMIFS('Outages (event ledger)'!$H$2:$H$65,'Outages (event ledger)'!$A$2:$A$65,I$2,'Outages (event ledger)'!$E$2:$E$65,"&lt;="&amp;$B48,'Outages (event ledger)'!$G$2:$G$65,"&gt;="&amp;$B48)</f>
        <v>0</v>
      </c>
      <c r="J48" s="29" t="n">
        <f aca="false">SUMIFS('Outages (event ledger)'!$H$2:$H$65,'Outages (event ledger)'!$A$2:$A$65,J$2,'Outages (event ledger)'!$E$2:$E$65,"&lt;="&amp;$B48,'Outages (event ledger)'!$G$2:$G$65,"&gt;="&amp;$B48)</f>
        <v>0</v>
      </c>
      <c r="K48" s="29" t="n">
        <f aca="false">SUMIFS('Outages (event ledger)'!$H$2:$H$65,'Outages (event ledger)'!$A$2:$A$65,K$2,'Outages (event ledger)'!$E$2:$E$65,"&lt;="&amp;$B48,'Outages (event ledger)'!$G$2:$G$65,"&gt;="&amp;$B48)</f>
        <v>0</v>
      </c>
      <c r="L48" s="29" t="n">
        <f aca="false">SUMIFS('Outages (event ledger)'!$H$2:$H$65,'Outages (event ledger)'!$A$2:$A$65,L$2,'Outages (event ledger)'!$E$2:$E$65,"&lt;="&amp;$B48,'Outages (event ledger)'!$G$2:$G$65,"&gt;="&amp;$B48)</f>
        <v>0</v>
      </c>
      <c r="M48" s="29" t="n">
        <f aca="false">SUMIFS('Outages (event ledger)'!$H$2:$H$65,'Outages (event ledger)'!$A$2:$A$65,M$2,'Outages (event ledger)'!$E$2:$E$65,"&lt;="&amp;$B48,'Outages (event ledger)'!$G$2:$G$65,"&gt;="&amp;$B48)</f>
        <v>0</v>
      </c>
      <c r="N48" s="29" t="n">
        <f aca="false">SUMIFS('Outages (event ledger)'!$H$2:$H$65,'Outages (event ledger)'!$A$2:$A$65,N$2,'Outages (event ledger)'!$E$2:$E$65,"&lt;="&amp;$B48,'Outages (event ledger)'!$G$2:$G$65,"&gt;="&amp;$B48)</f>
        <v>0</v>
      </c>
      <c r="O48" s="29" t="n">
        <f aca="false">SUMIFS('Outages (event ledger)'!$H$2:$H$65,'Outages (event ledger)'!$A$2:$A$65,O$2,'Outages (event ledger)'!$E$2:$E$65,"&lt;="&amp;$B48,'Outages (event ledger)'!$G$2:$G$65,"&gt;="&amp;$B48)</f>
        <v>0</v>
      </c>
      <c r="P48" s="29" t="n">
        <f aca="false">SUMIFS('Outages (event ledger)'!$H$2:$H$65,'Outages (event ledger)'!$A$2:$A$65,P$2,'Outages (event ledger)'!$E$2:$E$65,"&lt;="&amp;$B48,'Outages (event ledger)'!$G$2:$G$65,"&gt;="&amp;$B48)</f>
        <v>0</v>
      </c>
      <c r="Q48" s="29" t="n">
        <f aca="false">SUMIFS('Outages (event ledger)'!$H$2:$H$65,'Outages (event ledger)'!$A$2:$A$65,Q$2,'Outages (event ledger)'!$E$2:$E$65,"&lt;="&amp;$B48,'Outages (event ledger)'!$G$2:$G$65,"&gt;="&amp;$B48)</f>
        <v>0</v>
      </c>
      <c r="R48" s="29" t="n">
        <f aca="false">SUMIFS('Outages (event ledger)'!$H$2:$H$65,'Outages (event ledger)'!$A$2:$A$65,R$2,'Outages (event ledger)'!$E$2:$E$65,"&lt;="&amp;$B48,'Outages (event ledger)'!$G$2:$G$65,"&gt;="&amp;$B48)</f>
        <v>0</v>
      </c>
      <c r="S48" s="29" t="n">
        <f aca="false">SUMIFS('Outages (event ledger)'!$H$2:$H$65,'Outages (event ledger)'!$A$2:$A$65,S$2,'Outages (event ledger)'!$E$2:$E$65,"&lt;="&amp;$B48,'Outages (event ledger)'!$G$2:$G$65,"&gt;="&amp;$B48)</f>
        <v>0</v>
      </c>
      <c r="T48" s="29" t="n">
        <f aca="false">SUMIFS('Outages (event ledger)'!$H$2:$H$65,'Outages (event ledger)'!$A$2:$A$65,T$2,'Outages (event ledger)'!$E$2:$E$65,"&lt;="&amp;$B48,'Outages (event ledger)'!$G$2:$G$65,"&gt;="&amp;$B48)</f>
        <v>0</v>
      </c>
      <c r="U48" s="29" t="n">
        <f aca="false">SUMIFS('Outages (event ledger)'!$H$2:$H$65,'Outages (event ledger)'!$A$2:$A$65,U$2,'Outages (event ledger)'!$E$2:$E$65,"&lt;="&amp;$B48,'Outages (event ledger)'!$G$2:$G$65,"&gt;="&amp;$B48)</f>
        <v>0</v>
      </c>
      <c r="V48" s="29" t="n">
        <f aca="false">SUMIFS('Outages (event ledger)'!$H$2:$H$65,'Outages (event ledger)'!$A$2:$A$65,V$2,'Outages (event ledger)'!$E$2:$E$65,"&lt;="&amp;$B48,'Outages (event ledger)'!$G$2:$G$65,"&gt;="&amp;$B48)</f>
        <v>0</v>
      </c>
      <c r="W48" s="29" t="n">
        <f aca="false">SUMIFS('Outages (event ledger)'!$H$2:$H$65,'Outages (event ledger)'!$A$2:$A$65,W$2,'Outages (event ledger)'!$E$2:$E$65,"&lt;="&amp;$B48,'Outages (event ledger)'!$G$2:$G$65,"&gt;="&amp;$B48)</f>
        <v>0</v>
      </c>
      <c r="X48" s="29" t="n">
        <f aca="false">SUMIFS('Outages (event ledger)'!$H$2:$H$65,'Outages (event ledger)'!$A$2:$A$65,X$2,'Outages (event ledger)'!$E$2:$E$65,"&lt;="&amp;$B48,'Outages (event ledger)'!$G$2:$G$65,"&gt;="&amp;$B48)</f>
        <v>0</v>
      </c>
      <c r="Y48" s="29" t="n">
        <f aca="false">SUMIFS('Outages (event ledger)'!$H$2:$H$65,'Outages (event ledger)'!$A$2:$A$65,Y$2,'Outages (event ledger)'!$E$2:$E$65,"&lt;="&amp;$B48,'Outages (event ledger)'!$G$2:$G$65,"&gt;="&amp;$B48)</f>
        <v>5</v>
      </c>
      <c r="Z48" s="29" t="n">
        <f aca="false">SUMIFS('Outages (event ledger)'!$H$2:$H$65,'Outages (event ledger)'!$A$2:$A$65,Z$2,'Outages (event ledger)'!$E$2:$E$65,"&lt;="&amp;$B48,'Outages (event ledger)'!$G$2:$G$65,"&gt;="&amp;$B48)</f>
        <v>5</v>
      </c>
      <c r="AA48" s="29" t="n">
        <f aca="false">SUMIFS('Outages (event ledger)'!$H$2:$H$65,'Outages (event ledger)'!$A$2:$A$65,AA$2,'Outages (event ledger)'!$E$2:$E$65,"&lt;="&amp;$B48,'Outages (event ledger)'!$G$2:$G$65,"&gt;="&amp;$B48)</f>
        <v>0</v>
      </c>
      <c r="AB48" s="29" t="n">
        <f aca="false">SUMIFS('Outages (event ledger)'!$H$2:$H$65,'Outages (event ledger)'!$A$2:$A$65,AB$2,'Outages (event ledger)'!$E$2:$E$65,"&lt;="&amp;$B48,'Outages (event ledger)'!$G$2:$G$65,"&gt;="&amp;$B48)</f>
        <v>8</v>
      </c>
      <c r="AC48" s="29" t="n">
        <f aca="false">SUMIFS('Outages (event ledger)'!$H$2:$H$65,'Outages (event ledger)'!$A$2:$A$65,AC$2,'Outages (event ledger)'!$E$2:$E$65,"&lt;="&amp;$B48,'Outages (event ledger)'!$G$2:$G$65,"&gt;="&amp;$B48)</f>
        <v>0</v>
      </c>
      <c r="AD48" s="29" t="n">
        <f aca="false">SUMIFS('Outages (event ledger)'!$H$2:$H$65,'Outages (event ledger)'!$A$2:$A$65,AD$2,'Outages (event ledger)'!$E$2:$E$65,"&lt;="&amp;$B48,'Outages (event ledger)'!$G$2:$G$65,"&gt;="&amp;$B48)</f>
        <v>0</v>
      </c>
      <c r="AE48" s="29" t="n">
        <f aca="false">SUMIFS('Outages (event ledger)'!$H$2:$H$65,'Outages (event ledger)'!$A$2:$A$65,AE$2,'Outages (event ledger)'!$E$2:$E$65,"&lt;="&amp;$B48,'Outages (event ledger)'!$G$2:$G$65,"&gt;="&amp;$B48)</f>
        <v>0</v>
      </c>
      <c r="AF48" s="29" t="n">
        <f aca="false">SUMIFS('Outages (event ledger)'!$H$2:$H$65,'Outages (event ledger)'!$A$2:$A$65,AF$2,'Outages (event ledger)'!$E$2:$E$65,"&lt;="&amp;$B48,'Outages (event ledger)'!$G$2:$G$65,"&gt;="&amp;$B48)</f>
        <v>0</v>
      </c>
      <c r="AG48" s="29" t="n">
        <f aca="false">SUMIFS('Outages (event ledger)'!$H$2:$H$65,'Outages (event ledger)'!$A$2:$A$65,AG$2,'Outages (event ledger)'!$E$2:$E$65,"&lt;="&amp;$B48,'Outages (event ledger)'!$G$2:$G$65,"&gt;="&amp;$B48)</f>
        <v>0</v>
      </c>
      <c r="AH48" s="29" t="n">
        <f aca="false">SUMIFS('Outages (event ledger)'!$H$2:$H$65,'Outages (event ledger)'!$A$2:$A$65,AH$2,'Outages (event ledger)'!$E$2:$E$65,"&lt;="&amp;$B48,'Outages (event ledger)'!$G$2:$G$65,"&gt;="&amp;$B48)</f>
        <v>0</v>
      </c>
      <c r="AI48" s="29" t="n">
        <f aca="false">SUMIFS('Outages (event ledger)'!$H$2:$H$65,'Outages (event ledger)'!$A$2:$A$65,AI$2,'Outages (event ledger)'!$E$2:$E$65,"&lt;="&amp;$B48,'Outages (event ledger)'!$G$2:$G$65,"&gt;="&amp;$B48)</f>
        <v>0</v>
      </c>
      <c r="AJ48" s="29" t="n">
        <f aca="false">SUMIFS('Outages (event ledger)'!$H$2:$H$65,'Outages (event ledger)'!$A$2:$A$65,AJ$2,'Outages (event ledger)'!$E$2:$E$65,"&lt;="&amp;$B48,'Outages (event ledger)'!$G$2:$G$65,"&gt;="&amp;$B48)</f>
        <v>0</v>
      </c>
      <c r="AK48" s="29" t="n">
        <f aca="false">SUMIFS('Outages (event ledger)'!$H$2:$H$65,'Outages (event ledger)'!$A$2:$A$65,AK$2,'Outages (event ledger)'!$E$2:$E$65,"&lt;="&amp;$B48,'Outages (event ledger)'!$G$2:$G$65,"&gt;="&amp;$B48)</f>
        <v>0</v>
      </c>
      <c r="AL48" s="29" t="n">
        <f aca="false">SUMIFS('Outages (event ledger)'!$H$2:$H$65,'Outages (event ledger)'!$A$2:$A$65,AL$2,'Outages (event ledger)'!$E$2:$E$65,"&lt;="&amp;$B48,'Outages (event ledger)'!$G$2:$G$65,"&gt;="&amp;$B48)</f>
        <v>3.5</v>
      </c>
      <c r="AM48" s="29" t="n">
        <f aca="false">SUMIFS('Outages (event ledger)'!$H$2:$H$65,'Outages (event ledger)'!$A$2:$A$65,AM$2,'Outages (event ledger)'!$E$2:$E$65,"&lt;="&amp;$B48,'Outages (event ledger)'!$G$2:$G$65,"&gt;="&amp;$B48)</f>
        <v>0</v>
      </c>
      <c r="AN48" s="29" t="n">
        <f aca="false">SUMIFS('Outages (event ledger)'!$H$2:$H$65,'Outages (event ledger)'!$A$2:$A$65,AN$2,'Outages (event ledger)'!$E$2:$E$65,"&lt;="&amp;$B48,'Outages (event ledger)'!$G$2:$G$65,"&gt;="&amp;$B48)</f>
        <v>0</v>
      </c>
      <c r="AO48" s="29" t="n">
        <f aca="false">SUMIFS('Outages (event ledger)'!$H$2:$H$65,'Outages (event ledger)'!$A$2:$A$65,AO$2,'Outages (event ledger)'!$E$2:$E$65,"&lt;="&amp;$B48,'Outages (event ledger)'!$G$2:$G$65,"&gt;="&amp;$B48)</f>
        <v>0</v>
      </c>
      <c r="AP48" s="29" t="n">
        <f aca="false">SUMIFS('Outages (event ledger)'!$H$2:$H$65,'Outages (event ledger)'!$A$2:$A$65,AP$2,'Outages (event ledger)'!$E$2:$E$65,"&lt;="&amp;$B48,'Outages (event ledger)'!$G$2:$G$65,"&gt;="&amp;$B48)</f>
        <v>0</v>
      </c>
      <c r="AQ48" s="29" t="n">
        <f aca="false">SUMIFS('Outages (event ledger)'!$H$2:$H$65,'Outages (event ledger)'!$A$2:$A$65,AQ$2,'Outages (event ledger)'!$E$2:$E$65,"&lt;="&amp;$B48,'Outages (event ledger)'!$G$2:$G$65,"&gt;="&amp;$B48)</f>
        <v>0</v>
      </c>
      <c r="AR48" s="29" t="n">
        <f aca="false">SUMIFS('Outages (event ledger)'!$H$2:$H$65,'Outages (event ledger)'!$A$2:$A$65,AR$2,'Outages (event ledger)'!$E$2:$E$65,"&lt;="&amp;$B48,'Outages (event ledger)'!$G$2:$G$65,"&gt;="&amp;$B48)</f>
        <v>0</v>
      </c>
      <c r="AS48" s="29" t="n">
        <f aca="false">SUMIFS('Outages (event ledger)'!$H$2:$H$65,'Outages (event ledger)'!$A$2:$A$65,AS$2,'Outages (event ledger)'!$E$2:$E$65,"&lt;="&amp;$B48,'Outages (event ledger)'!$G$2:$G$65,"&gt;="&amp;$B48)</f>
        <v>0</v>
      </c>
      <c r="AT48" s="29" t="n">
        <f aca="false">SUMIFS('Outages (event ledger)'!$H$2:$H$65,'Outages (event ledger)'!$A$2:$A$65,AT$2,'Outages (event ledger)'!$E$2:$E$65,"&lt;="&amp;$B48,'Outages (event ledger)'!$G$2:$G$65,"&gt;="&amp;$B48)</f>
        <v>0</v>
      </c>
      <c r="AU48" s="29" t="n">
        <f aca="false">SUMIFS('Outages (event ledger)'!$H$2:$H$65,'Outages (event ledger)'!$A$2:$A$65,AU$2,'Outages (event ledger)'!$E$2:$E$65,"&lt;="&amp;$B48,'Outages (event ledger)'!$G$2:$G$65,"&gt;="&amp;$B48)</f>
        <v>0</v>
      </c>
      <c r="AV48" s="29" t="n">
        <f aca="false">SUMIFS('Outages (event ledger)'!$H$2:$H$65,'Outages (event ledger)'!$A$2:$A$65,AV$2,'Outages (event ledger)'!$E$2:$E$65,"&lt;="&amp;$B48,'Outages (event ledger)'!$G$2:$G$65,"&gt;="&amp;$B48)</f>
        <v>0</v>
      </c>
      <c r="AW48" s="29" t="n">
        <f aca="false">SUMIFS('Outages (event ledger)'!$H$2:$H$65,'Outages (event ledger)'!$A$2:$A$65,AW$2,'Outages (event ledger)'!$E$2:$E$65,"&lt;="&amp;$B48,'Outages (event ledger)'!$G$2:$G$65,"&gt;="&amp;$B48)</f>
        <v>0</v>
      </c>
      <c r="AX48" s="29" t="n">
        <f aca="false">SUMIFS('Outages (event ledger)'!$H$2:$H$65,'Outages (event ledger)'!$A$2:$A$65,AX$2,'Outages (event ledger)'!$E$2:$E$65,"&lt;="&amp;$B48,'Outages (event ledger)'!$G$2:$G$65,"&gt;="&amp;$B48)</f>
        <v>0</v>
      </c>
      <c r="AY48" s="29" t="n">
        <f aca="false">SUMIFS('Outages (event ledger)'!$H$2:$H$65,'Outages (event ledger)'!$A$2:$A$65,AY$2,'Outages (event ledger)'!$E$2:$E$65,"&lt;="&amp;$B48,'Outages (event ledger)'!$G$2:$G$65,"&gt;="&amp;$B48)</f>
        <v>0</v>
      </c>
      <c r="AZ48" s="29" t="n">
        <f aca="false">SUMIFS('Outages (event ledger)'!$H$2:$H$65,'Outages (event ledger)'!$A$2:$A$65,AZ$2,'Outages (event ledger)'!$E$2:$E$65,"&lt;="&amp;$B48,'Outages (event ledger)'!$G$2:$G$65,"&gt;="&amp;$B48)</f>
        <v>0</v>
      </c>
      <c r="BA48" s="29" t="n">
        <f aca="false">SUMIFS('Outages (event ledger)'!$H$2:$H$65,'Outages (event ledger)'!$A$2:$A$65,BA$2,'Outages (event ledger)'!$E$2:$E$65,"&lt;="&amp;$B48,'Outages (event ledger)'!$G$2:$G$65,"&gt;="&amp;$B48)</f>
        <v>0</v>
      </c>
      <c r="BB48" s="29" t="n">
        <f aca="false">SUMIFS('Outages (event ledger)'!$H$2:$H$65,'Outages (event ledger)'!$A$2:$A$65,BB$2,'Outages (event ledger)'!$E$2:$E$65,"&lt;="&amp;$B48,'Outages (event ledger)'!$G$2:$G$65,"&gt;="&amp;$B48)</f>
        <v>0</v>
      </c>
      <c r="BC48" s="29" t="n">
        <f aca="false">SUMIFS('Outages (event ledger)'!$H$2:$H$65,'Outages (event ledger)'!$A$2:$A$65,BC$2,'Outages (event ledger)'!$E$2:$E$65,"&lt;="&amp;$B48,'Outages (event ledger)'!$G$2:$G$65,"&gt;="&amp;$B48)</f>
        <v>0</v>
      </c>
      <c r="BD48" s="29" t="n">
        <f aca="false">SUMIFS('Outages (event ledger)'!$H$2:$H$65,'Outages (event ledger)'!$A$2:$A$65,BD$2,'Outages (event ledger)'!$E$2:$E$65,"&lt;="&amp;$B48,'Outages (event ledger)'!$G$2:$G$65,"&gt;="&amp;$B48)</f>
        <v>0</v>
      </c>
      <c r="BE48" s="29" t="n">
        <f aca="false">SUMIFS('Outages (event ledger)'!$H$2:$H$65,'Outages (event ledger)'!$A$2:$A$65,BE$2,'Outages (event ledger)'!$E$2:$E$65,"&lt;="&amp;$B48,'Outages (event ledger)'!$G$2:$G$65,"&gt;="&amp;$B48)</f>
        <v>0</v>
      </c>
      <c r="BF48" s="29" t="n">
        <f aca="false">SUMIFS('Outages (event ledger)'!$H$2:$H$65,'Outages (event ledger)'!$A$2:$A$65,BF$2,'Outages (event ledger)'!$E$2:$E$65,"&lt;="&amp;$B48,'Outages (event ledger)'!$G$2:$G$65,"&gt;="&amp;$B48)</f>
        <v>0</v>
      </c>
      <c r="BG48" s="29" t="n">
        <f aca="false">SUMIFS('Outages (event ledger)'!$H$2:$H$65,'Outages (event ledger)'!$A$2:$A$65,BG$2,'Outages (event ledger)'!$E$2:$E$65,"&lt;="&amp;$B48,'Outages (event ledger)'!$G$2:$G$65,"&gt;="&amp;$B48)</f>
        <v>0</v>
      </c>
      <c r="BH48" s="29" t="n">
        <f aca="false">SUMIFS('Outages (event ledger)'!$H$2:$H$65,'Outages (event ledger)'!$A$2:$A$65,BH$2,'Outages (event ledger)'!$E$2:$E$65,"&lt;="&amp;$B48,'Outages (event ledger)'!$G$2:$G$65,"&gt;="&amp;$B48)</f>
        <v>0</v>
      </c>
      <c r="BI48" s="29" t="n">
        <f aca="false">SUMIFS('Outages (event ledger)'!$H$2:$H$65,'Outages (event ledger)'!$A$2:$A$65,BI$2,'Outages (event ledger)'!$E$2:$E$65,"&lt;="&amp;$B48,'Outages (event ledger)'!$G$2:$G$65,"&gt;="&amp;$B48)</f>
        <v>0</v>
      </c>
    </row>
    <row r="49" customFormat="false" ht="15" hidden="false" customHeight="false" outlineLevel="0" collapsed="false">
      <c r="A49" s="27" t="n">
        <v>41579</v>
      </c>
      <c r="B49" s="28" t="n">
        <v>201311</v>
      </c>
      <c r="C49" s="25" t="n">
        <f aca="false">SUM(D49:BI49)</f>
        <v>21.5</v>
      </c>
      <c r="D49" s="29" t="n">
        <f aca="false">SUMIFS('Outages (event ledger)'!$H$2:$H$65,'Outages (event ledger)'!$A$2:$A$65,D$2,'Outages (event ledger)'!$E$2:$E$65,"&lt;="&amp;$B49,'Outages (event ledger)'!$G$2:$G$65,"&gt;="&amp;$B49)</f>
        <v>0</v>
      </c>
      <c r="E49" s="29" t="n">
        <f aca="false">SUMIFS('Outages (event ledger)'!$H$2:$H$65,'Outages (event ledger)'!$A$2:$A$65,E$2,'Outages (event ledger)'!$E$2:$E$65,"&lt;="&amp;$B49,'Outages (event ledger)'!$G$2:$G$65,"&gt;="&amp;$B49)</f>
        <v>0</v>
      </c>
      <c r="F49" s="29" t="n">
        <f aca="false">SUMIFS('Outages (event ledger)'!$H$2:$H$65,'Outages (event ledger)'!$A$2:$A$65,F$2,'Outages (event ledger)'!$E$2:$E$65,"&lt;="&amp;$B49,'Outages (event ledger)'!$G$2:$G$65,"&gt;="&amp;$B49)</f>
        <v>0</v>
      </c>
      <c r="G49" s="29" t="n">
        <f aca="false">SUMIFS('Outages (event ledger)'!$H$2:$H$65,'Outages (event ledger)'!$A$2:$A$65,G$2,'Outages (event ledger)'!$E$2:$E$65,"&lt;="&amp;$B49,'Outages (event ledger)'!$G$2:$G$65,"&gt;="&amp;$B49)</f>
        <v>0</v>
      </c>
      <c r="H49" s="29" t="n">
        <f aca="false">SUMIFS('Outages (event ledger)'!$H$2:$H$65,'Outages (event ledger)'!$A$2:$A$65,H$2,'Outages (event ledger)'!$E$2:$E$65,"&lt;="&amp;$B49,'Outages (event ledger)'!$G$2:$G$65,"&gt;="&amp;$B49)</f>
        <v>0</v>
      </c>
      <c r="I49" s="29" t="n">
        <f aca="false">SUMIFS('Outages (event ledger)'!$H$2:$H$65,'Outages (event ledger)'!$A$2:$A$65,I$2,'Outages (event ledger)'!$E$2:$E$65,"&lt;="&amp;$B49,'Outages (event ledger)'!$G$2:$G$65,"&gt;="&amp;$B49)</f>
        <v>0</v>
      </c>
      <c r="J49" s="29" t="n">
        <f aca="false">SUMIFS('Outages (event ledger)'!$H$2:$H$65,'Outages (event ledger)'!$A$2:$A$65,J$2,'Outages (event ledger)'!$E$2:$E$65,"&lt;="&amp;$B49,'Outages (event ledger)'!$G$2:$G$65,"&gt;="&amp;$B49)</f>
        <v>0</v>
      </c>
      <c r="K49" s="29" t="n">
        <f aca="false">SUMIFS('Outages (event ledger)'!$H$2:$H$65,'Outages (event ledger)'!$A$2:$A$65,K$2,'Outages (event ledger)'!$E$2:$E$65,"&lt;="&amp;$B49,'Outages (event ledger)'!$G$2:$G$65,"&gt;="&amp;$B49)</f>
        <v>0</v>
      </c>
      <c r="L49" s="29" t="n">
        <f aca="false">SUMIFS('Outages (event ledger)'!$H$2:$H$65,'Outages (event ledger)'!$A$2:$A$65,L$2,'Outages (event ledger)'!$E$2:$E$65,"&lt;="&amp;$B49,'Outages (event ledger)'!$G$2:$G$65,"&gt;="&amp;$B49)</f>
        <v>0</v>
      </c>
      <c r="M49" s="29" t="n">
        <f aca="false">SUMIFS('Outages (event ledger)'!$H$2:$H$65,'Outages (event ledger)'!$A$2:$A$65,M$2,'Outages (event ledger)'!$E$2:$E$65,"&lt;="&amp;$B49,'Outages (event ledger)'!$G$2:$G$65,"&gt;="&amp;$B49)</f>
        <v>0</v>
      </c>
      <c r="N49" s="29" t="n">
        <f aca="false">SUMIFS('Outages (event ledger)'!$H$2:$H$65,'Outages (event ledger)'!$A$2:$A$65,N$2,'Outages (event ledger)'!$E$2:$E$65,"&lt;="&amp;$B49,'Outages (event ledger)'!$G$2:$G$65,"&gt;="&amp;$B49)</f>
        <v>0</v>
      </c>
      <c r="O49" s="29" t="n">
        <f aca="false">SUMIFS('Outages (event ledger)'!$H$2:$H$65,'Outages (event ledger)'!$A$2:$A$65,O$2,'Outages (event ledger)'!$E$2:$E$65,"&lt;="&amp;$B49,'Outages (event ledger)'!$G$2:$G$65,"&gt;="&amp;$B49)</f>
        <v>0</v>
      </c>
      <c r="P49" s="29" t="n">
        <f aca="false">SUMIFS('Outages (event ledger)'!$H$2:$H$65,'Outages (event ledger)'!$A$2:$A$65,P$2,'Outages (event ledger)'!$E$2:$E$65,"&lt;="&amp;$B49,'Outages (event ledger)'!$G$2:$G$65,"&gt;="&amp;$B49)</f>
        <v>0</v>
      </c>
      <c r="Q49" s="29" t="n">
        <f aca="false">SUMIFS('Outages (event ledger)'!$H$2:$H$65,'Outages (event ledger)'!$A$2:$A$65,Q$2,'Outages (event ledger)'!$E$2:$E$65,"&lt;="&amp;$B49,'Outages (event ledger)'!$G$2:$G$65,"&gt;="&amp;$B49)</f>
        <v>0</v>
      </c>
      <c r="R49" s="29" t="n">
        <f aca="false">SUMIFS('Outages (event ledger)'!$H$2:$H$65,'Outages (event ledger)'!$A$2:$A$65,R$2,'Outages (event ledger)'!$E$2:$E$65,"&lt;="&amp;$B49,'Outages (event ledger)'!$G$2:$G$65,"&gt;="&amp;$B49)</f>
        <v>0</v>
      </c>
      <c r="S49" s="29" t="n">
        <f aca="false">SUMIFS('Outages (event ledger)'!$H$2:$H$65,'Outages (event ledger)'!$A$2:$A$65,S$2,'Outages (event ledger)'!$E$2:$E$65,"&lt;="&amp;$B49,'Outages (event ledger)'!$G$2:$G$65,"&gt;="&amp;$B49)</f>
        <v>0</v>
      </c>
      <c r="T49" s="29" t="n">
        <f aca="false">SUMIFS('Outages (event ledger)'!$H$2:$H$65,'Outages (event ledger)'!$A$2:$A$65,T$2,'Outages (event ledger)'!$E$2:$E$65,"&lt;="&amp;$B49,'Outages (event ledger)'!$G$2:$G$65,"&gt;="&amp;$B49)</f>
        <v>0</v>
      </c>
      <c r="U49" s="29" t="n">
        <f aca="false">SUMIFS('Outages (event ledger)'!$H$2:$H$65,'Outages (event ledger)'!$A$2:$A$65,U$2,'Outages (event ledger)'!$E$2:$E$65,"&lt;="&amp;$B49,'Outages (event ledger)'!$G$2:$G$65,"&gt;="&amp;$B49)</f>
        <v>0</v>
      </c>
      <c r="V49" s="29" t="n">
        <f aca="false">SUMIFS('Outages (event ledger)'!$H$2:$H$65,'Outages (event ledger)'!$A$2:$A$65,V$2,'Outages (event ledger)'!$E$2:$E$65,"&lt;="&amp;$B49,'Outages (event ledger)'!$G$2:$G$65,"&gt;="&amp;$B49)</f>
        <v>0</v>
      </c>
      <c r="W49" s="29" t="n">
        <f aca="false">SUMIFS('Outages (event ledger)'!$H$2:$H$65,'Outages (event ledger)'!$A$2:$A$65,W$2,'Outages (event ledger)'!$E$2:$E$65,"&lt;="&amp;$B49,'Outages (event ledger)'!$G$2:$G$65,"&gt;="&amp;$B49)</f>
        <v>0</v>
      </c>
      <c r="X49" s="29" t="n">
        <f aca="false">SUMIFS('Outages (event ledger)'!$H$2:$H$65,'Outages (event ledger)'!$A$2:$A$65,X$2,'Outages (event ledger)'!$E$2:$E$65,"&lt;="&amp;$B49,'Outages (event ledger)'!$G$2:$G$65,"&gt;="&amp;$B49)</f>
        <v>0</v>
      </c>
      <c r="Y49" s="29" t="n">
        <f aca="false">SUMIFS('Outages (event ledger)'!$H$2:$H$65,'Outages (event ledger)'!$A$2:$A$65,Y$2,'Outages (event ledger)'!$E$2:$E$65,"&lt;="&amp;$B49,'Outages (event ledger)'!$G$2:$G$65,"&gt;="&amp;$B49)</f>
        <v>5</v>
      </c>
      <c r="Z49" s="29" t="n">
        <f aca="false">SUMIFS('Outages (event ledger)'!$H$2:$H$65,'Outages (event ledger)'!$A$2:$A$65,Z$2,'Outages (event ledger)'!$E$2:$E$65,"&lt;="&amp;$B49,'Outages (event ledger)'!$G$2:$G$65,"&gt;="&amp;$B49)</f>
        <v>5</v>
      </c>
      <c r="AA49" s="29" t="n">
        <f aca="false">SUMIFS('Outages (event ledger)'!$H$2:$H$65,'Outages (event ledger)'!$A$2:$A$65,AA$2,'Outages (event ledger)'!$E$2:$E$65,"&lt;="&amp;$B49,'Outages (event ledger)'!$G$2:$G$65,"&gt;="&amp;$B49)</f>
        <v>0</v>
      </c>
      <c r="AB49" s="29" t="n">
        <f aca="false">SUMIFS('Outages (event ledger)'!$H$2:$H$65,'Outages (event ledger)'!$A$2:$A$65,AB$2,'Outages (event ledger)'!$E$2:$E$65,"&lt;="&amp;$B49,'Outages (event ledger)'!$G$2:$G$65,"&gt;="&amp;$B49)</f>
        <v>8</v>
      </c>
      <c r="AC49" s="29" t="n">
        <f aca="false">SUMIFS('Outages (event ledger)'!$H$2:$H$65,'Outages (event ledger)'!$A$2:$A$65,AC$2,'Outages (event ledger)'!$E$2:$E$65,"&lt;="&amp;$B49,'Outages (event ledger)'!$G$2:$G$65,"&gt;="&amp;$B49)</f>
        <v>0</v>
      </c>
      <c r="AD49" s="29" t="n">
        <f aca="false">SUMIFS('Outages (event ledger)'!$H$2:$H$65,'Outages (event ledger)'!$A$2:$A$65,AD$2,'Outages (event ledger)'!$E$2:$E$65,"&lt;="&amp;$B49,'Outages (event ledger)'!$G$2:$G$65,"&gt;="&amp;$B49)</f>
        <v>0</v>
      </c>
      <c r="AE49" s="29" t="n">
        <f aca="false">SUMIFS('Outages (event ledger)'!$H$2:$H$65,'Outages (event ledger)'!$A$2:$A$65,AE$2,'Outages (event ledger)'!$E$2:$E$65,"&lt;="&amp;$B49,'Outages (event ledger)'!$G$2:$G$65,"&gt;="&amp;$B49)</f>
        <v>0</v>
      </c>
      <c r="AF49" s="29" t="n">
        <f aca="false">SUMIFS('Outages (event ledger)'!$H$2:$H$65,'Outages (event ledger)'!$A$2:$A$65,AF$2,'Outages (event ledger)'!$E$2:$E$65,"&lt;="&amp;$B49,'Outages (event ledger)'!$G$2:$G$65,"&gt;="&amp;$B49)</f>
        <v>0</v>
      </c>
      <c r="AG49" s="29" t="n">
        <f aca="false">SUMIFS('Outages (event ledger)'!$H$2:$H$65,'Outages (event ledger)'!$A$2:$A$65,AG$2,'Outages (event ledger)'!$E$2:$E$65,"&lt;="&amp;$B49,'Outages (event ledger)'!$G$2:$G$65,"&gt;="&amp;$B49)</f>
        <v>0</v>
      </c>
      <c r="AH49" s="29" t="n">
        <f aca="false">SUMIFS('Outages (event ledger)'!$H$2:$H$65,'Outages (event ledger)'!$A$2:$A$65,AH$2,'Outages (event ledger)'!$E$2:$E$65,"&lt;="&amp;$B49,'Outages (event ledger)'!$G$2:$G$65,"&gt;="&amp;$B49)</f>
        <v>0</v>
      </c>
      <c r="AI49" s="29" t="n">
        <f aca="false">SUMIFS('Outages (event ledger)'!$H$2:$H$65,'Outages (event ledger)'!$A$2:$A$65,AI$2,'Outages (event ledger)'!$E$2:$E$65,"&lt;="&amp;$B49,'Outages (event ledger)'!$G$2:$G$65,"&gt;="&amp;$B49)</f>
        <v>0</v>
      </c>
      <c r="AJ49" s="29" t="n">
        <f aca="false">SUMIFS('Outages (event ledger)'!$H$2:$H$65,'Outages (event ledger)'!$A$2:$A$65,AJ$2,'Outages (event ledger)'!$E$2:$E$65,"&lt;="&amp;$B49,'Outages (event ledger)'!$G$2:$G$65,"&gt;="&amp;$B49)</f>
        <v>0</v>
      </c>
      <c r="AK49" s="29" t="n">
        <f aca="false">SUMIFS('Outages (event ledger)'!$H$2:$H$65,'Outages (event ledger)'!$A$2:$A$65,AK$2,'Outages (event ledger)'!$E$2:$E$65,"&lt;="&amp;$B49,'Outages (event ledger)'!$G$2:$G$65,"&gt;="&amp;$B49)</f>
        <v>0</v>
      </c>
      <c r="AL49" s="29" t="n">
        <f aca="false">SUMIFS('Outages (event ledger)'!$H$2:$H$65,'Outages (event ledger)'!$A$2:$A$65,AL$2,'Outages (event ledger)'!$E$2:$E$65,"&lt;="&amp;$B49,'Outages (event ledger)'!$G$2:$G$65,"&gt;="&amp;$B49)</f>
        <v>3.5</v>
      </c>
      <c r="AM49" s="29" t="n">
        <f aca="false">SUMIFS('Outages (event ledger)'!$H$2:$H$65,'Outages (event ledger)'!$A$2:$A$65,AM$2,'Outages (event ledger)'!$E$2:$E$65,"&lt;="&amp;$B49,'Outages (event ledger)'!$G$2:$G$65,"&gt;="&amp;$B49)</f>
        <v>0</v>
      </c>
      <c r="AN49" s="29" t="n">
        <f aca="false">SUMIFS('Outages (event ledger)'!$H$2:$H$65,'Outages (event ledger)'!$A$2:$A$65,AN$2,'Outages (event ledger)'!$E$2:$E$65,"&lt;="&amp;$B49,'Outages (event ledger)'!$G$2:$G$65,"&gt;="&amp;$B49)</f>
        <v>0</v>
      </c>
      <c r="AO49" s="29" t="n">
        <f aca="false">SUMIFS('Outages (event ledger)'!$H$2:$H$65,'Outages (event ledger)'!$A$2:$A$65,AO$2,'Outages (event ledger)'!$E$2:$E$65,"&lt;="&amp;$B49,'Outages (event ledger)'!$G$2:$G$65,"&gt;="&amp;$B49)</f>
        <v>0</v>
      </c>
      <c r="AP49" s="29" t="n">
        <f aca="false">SUMIFS('Outages (event ledger)'!$H$2:$H$65,'Outages (event ledger)'!$A$2:$A$65,AP$2,'Outages (event ledger)'!$E$2:$E$65,"&lt;="&amp;$B49,'Outages (event ledger)'!$G$2:$G$65,"&gt;="&amp;$B49)</f>
        <v>0</v>
      </c>
      <c r="AQ49" s="29" t="n">
        <f aca="false">SUMIFS('Outages (event ledger)'!$H$2:$H$65,'Outages (event ledger)'!$A$2:$A$65,AQ$2,'Outages (event ledger)'!$E$2:$E$65,"&lt;="&amp;$B49,'Outages (event ledger)'!$G$2:$G$65,"&gt;="&amp;$B49)</f>
        <v>0</v>
      </c>
      <c r="AR49" s="29" t="n">
        <f aca="false">SUMIFS('Outages (event ledger)'!$H$2:$H$65,'Outages (event ledger)'!$A$2:$A$65,AR$2,'Outages (event ledger)'!$E$2:$E$65,"&lt;="&amp;$B49,'Outages (event ledger)'!$G$2:$G$65,"&gt;="&amp;$B49)</f>
        <v>0</v>
      </c>
      <c r="AS49" s="29" t="n">
        <f aca="false">SUMIFS('Outages (event ledger)'!$H$2:$H$65,'Outages (event ledger)'!$A$2:$A$65,AS$2,'Outages (event ledger)'!$E$2:$E$65,"&lt;="&amp;$B49,'Outages (event ledger)'!$G$2:$G$65,"&gt;="&amp;$B49)</f>
        <v>0</v>
      </c>
      <c r="AT49" s="29" t="n">
        <f aca="false">SUMIFS('Outages (event ledger)'!$H$2:$H$65,'Outages (event ledger)'!$A$2:$A$65,AT$2,'Outages (event ledger)'!$E$2:$E$65,"&lt;="&amp;$B49,'Outages (event ledger)'!$G$2:$G$65,"&gt;="&amp;$B49)</f>
        <v>0</v>
      </c>
      <c r="AU49" s="29" t="n">
        <f aca="false">SUMIFS('Outages (event ledger)'!$H$2:$H$65,'Outages (event ledger)'!$A$2:$A$65,AU$2,'Outages (event ledger)'!$E$2:$E$65,"&lt;="&amp;$B49,'Outages (event ledger)'!$G$2:$G$65,"&gt;="&amp;$B49)</f>
        <v>0</v>
      </c>
      <c r="AV49" s="29" t="n">
        <f aca="false">SUMIFS('Outages (event ledger)'!$H$2:$H$65,'Outages (event ledger)'!$A$2:$A$65,AV$2,'Outages (event ledger)'!$E$2:$E$65,"&lt;="&amp;$B49,'Outages (event ledger)'!$G$2:$G$65,"&gt;="&amp;$B49)</f>
        <v>0</v>
      </c>
      <c r="AW49" s="29" t="n">
        <f aca="false">SUMIFS('Outages (event ledger)'!$H$2:$H$65,'Outages (event ledger)'!$A$2:$A$65,AW$2,'Outages (event ledger)'!$E$2:$E$65,"&lt;="&amp;$B49,'Outages (event ledger)'!$G$2:$G$65,"&gt;="&amp;$B49)</f>
        <v>0</v>
      </c>
      <c r="AX49" s="29" t="n">
        <f aca="false">SUMIFS('Outages (event ledger)'!$H$2:$H$65,'Outages (event ledger)'!$A$2:$A$65,AX$2,'Outages (event ledger)'!$E$2:$E$65,"&lt;="&amp;$B49,'Outages (event ledger)'!$G$2:$G$65,"&gt;="&amp;$B49)</f>
        <v>0</v>
      </c>
      <c r="AY49" s="29" t="n">
        <f aca="false">SUMIFS('Outages (event ledger)'!$H$2:$H$65,'Outages (event ledger)'!$A$2:$A$65,AY$2,'Outages (event ledger)'!$E$2:$E$65,"&lt;="&amp;$B49,'Outages (event ledger)'!$G$2:$G$65,"&gt;="&amp;$B49)</f>
        <v>0</v>
      </c>
      <c r="AZ49" s="29" t="n">
        <f aca="false">SUMIFS('Outages (event ledger)'!$H$2:$H$65,'Outages (event ledger)'!$A$2:$A$65,AZ$2,'Outages (event ledger)'!$E$2:$E$65,"&lt;="&amp;$B49,'Outages (event ledger)'!$G$2:$G$65,"&gt;="&amp;$B49)</f>
        <v>0</v>
      </c>
      <c r="BA49" s="29" t="n">
        <f aca="false">SUMIFS('Outages (event ledger)'!$H$2:$H$65,'Outages (event ledger)'!$A$2:$A$65,BA$2,'Outages (event ledger)'!$E$2:$E$65,"&lt;="&amp;$B49,'Outages (event ledger)'!$G$2:$G$65,"&gt;="&amp;$B49)</f>
        <v>0</v>
      </c>
      <c r="BB49" s="29" t="n">
        <f aca="false">SUMIFS('Outages (event ledger)'!$H$2:$H$65,'Outages (event ledger)'!$A$2:$A$65,BB$2,'Outages (event ledger)'!$E$2:$E$65,"&lt;="&amp;$B49,'Outages (event ledger)'!$G$2:$G$65,"&gt;="&amp;$B49)</f>
        <v>0</v>
      </c>
      <c r="BC49" s="29" t="n">
        <f aca="false">SUMIFS('Outages (event ledger)'!$H$2:$H$65,'Outages (event ledger)'!$A$2:$A$65,BC$2,'Outages (event ledger)'!$E$2:$E$65,"&lt;="&amp;$B49,'Outages (event ledger)'!$G$2:$G$65,"&gt;="&amp;$B49)</f>
        <v>0</v>
      </c>
      <c r="BD49" s="29" t="n">
        <f aca="false">SUMIFS('Outages (event ledger)'!$H$2:$H$65,'Outages (event ledger)'!$A$2:$A$65,BD$2,'Outages (event ledger)'!$E$2:$E$65,"&lt;="&amp;$B49,'Outages (event ledger)'!$G$2:$G$65,"&gt;="&amp;$B49)</f>
        <v>0</v>
      </c>
      <c r="BE49" s="29" t="n">
        <f aca="false">SUMIFS('Outages (event ledger)'!$H$2:$H$65,'Outages (event ledger)'!$A$2:$A$65,BE$2,'Outages (event ledger)'!$E$2:$E$65,"&lt;="&amp;$B49,'Outages (event ledger)'!$G$2:$G$65,"&gt;="&amp;$B49)</f>
        <v>0</v>
      </c>
      <c r="BF49" s="29" t="n">
        <f aca="false">SUMIFS('Outages (event ledger)'!$H$2:$H$65,'Outages (event ledger)'!$A$2:$A$65,BF$2,'Outages (event ledger)'!$E$2:$E$65,"&lt;="&amp;$B49,'Outages (event ledger)'!$G$2:$G$65,"&gt;="&amp;$B49)</f>
        <v>0</v>
      </c>
      <c r="BG49" s="29" t="n">
        <f aca="false">SUMIFS('Outages (event ledger)'!$H$2:$H$65,'Outages (event ledger)'!$A$2:$A$65,BG$2,'Outages (event ledger)'!$E$2:$E$65,"&lt;="&amp;$B49,'Outages (event ledger)'!$G$2:$G$65,"&gt;="&amp;$B49)</f>
        <v>0</v>
      </c>
      <c r="BH49" s="29" t="n">
        <f aca="false">SUMIFS('Outages (event ledger)'!$H$2:$H$65,'Outages (event ledger)'!$A$2:$A$65,BH$2,'Outages (event ledger)'!$E$2:$E$65,"&lt;="&amp;$B49,'Outages (event ledger)'!$G$2:$G$65,"&gt;="&amp;$B49)</f>
        <v>0</v>
      </c>
      <c r="BI49" s="29" t="n">
        <f aca="false">SUMIFS('Outages (event ledger)'!$H$2:$H$65,'Outages (event ledger)'!$A$2:$A$65,BI$2,'Outages (event ledger)'!$E$2:$E$65,"&lt;="&amp;$B49,'Outages (event ledger)'!$G$2:$G$65,"&gt;="&amp;$B49)</f>
        <v>0</v>
      </c>
    </row>
    <row r="50" customFormat="false" ht="15" hidden="false" customHeight="false" outlineLevel="0" collapsed="false">
      <c r="A50" s="27" t="n">
        <v>41609</v>
      </c>
      <c r="B50" s="28" t="n">
        <v>201312</v>
      </c>
      <c r="C50" s="25" t="n">
        <f aca="false">SUM(D50:BI50)</f>
        <v>21.5</v>
      </c>
      <c r="D50" s="29" t="n">
        <f aca="false">SUMIFS('Outages (event ledger)'!$H$2:$H$65,'Outages (event ledger)'!$A$2:$A$65,D$2,'Outages (event ledger)'!$E$2:$E$65,"&lt;="&amp;$B50,'Outages (event ledger)'!$G$2:$G$65,"&gt;="&amp;$B50)</f>
        <v>0</v>
      </c>
      <c r="E50" s="29" t="n">
        <f aca="false">SUMIFS('Outages (event ledger)'!$H$2:$H$65,'Outages (event ledger)'!$A$2:$A$65,E$2,'Outages (event ledger)'!$E$2:$E$65,"&lt;="&amp;$B50,'Outages (event ledger)'!$G$2:$G$65,"&gt;="&amp;$B50)</f>
        <v>0</v>
      </c>
      <c r="F50" s="29" t="n">
        <f aca="false">SUMIFS('Outages (event ledger)'!$H$2:$H$65,'Outages (event ledger)'!$A$2:$A$65,F$2,'Outages (event ledger)'!$E$2:$E$65,"&lt;="&amp;$B50,'Outages (event ledger)'!$G$2:$G$65,"&gt;="&amp;$B50)</f>
        <v>0</v>
      </c>
      <c r="G50" s="29" t="n">
        <f aca="false">SUMIFS('Outages (event ledger)'!$H$2:$H$65,'Outages (event ledger)'!$A$2:$A$65,G$2,'Outages (event ledger)'!$E$2:$E$65,"&lt;="&amp;$B50,'Outages (event ledger)'!$G$2:$G$65,"&gt;="&amp;$B50)</f>
        <v>0</v>
      </c>
      <c r="H50" s="29" t="n">
        <f aca="false">SUMIFS('Outages (event ledger)'!$H$2:$H$65,'Outages (event ledger)'!$A$2:$A$65,H$2,'Outages (event ledger)'!$E$2:$E$65,"&lt;="&amp;$B50,'Outages (event ledger)'!$G$2:$G$65,"&gt;="&amp;$B50)</f>
        <v>0</v>
      </c>
      <c r="I50" s="29" t="n">
        <f aca="false">SUMIFS('Outages (event ledger)'!$H$2:$H$65,'Outages (event ledger)'!$A$2:$A$65,I$2,'Outages (event ledger)'!$E$2:$E$65,"&lt;="&amp;$B50,'Outages (event ledger)'!$G$2:$G$65,"&gt;="&amp;$B50)</f>
        <v>0</v>
      </c>
      <c r="J50" s="29" t="n">
        <f aca="false">SUMIFS('Outages (event ledger)'!$H$2:$H$65,'Outages (event ledger)'!$A$2:$A$65,J$2,'Outages (event ledger)'!$E$2:$E$65,"&lt;="&amp;$B50,'Outages (event ledger)'!$G$2:$G$65,"&gt;="&amp;$B50)</f>
        <v>0</v>
      </c>
      <c r="K50" s="29" t="n">
        <f aca="false">SUMIFS('Outages (event ledger)'!$H$2:$H$65,'Outages (event ledger)'!$A$2:$A$65,K$2,'Outages (event ledger)'!$E$2:$E$65,"&lt;="&amp;$B50,'Outages (event ledger)'!$G$2:$G$65,"&gt;="&amp;$B50)</f>
        <v>0</v>
      </c>
      <c r="L50" s="29" t="n">
        <f aca="false">SUMIFS('Outages (event ledger)'!$H$2:$H$65,'Outages (event ledger)'!$A$2:$A$65,L$2,'Outages (event ledger)'!$E$2:$E$65,"&lt;="&amp;$B50,'Outages (event ledger)'!$G$2:$G$65,"&gt;="&amp;$B50)</f>
        <v>0</v>
      </c>
      <c r="M50" s="29" t="n">
        <f aca="false">SUMIFS('Outages (event ledger)'!$H$2:$H$65,'Outages (event ledger)'!$A$2:$A$65,M$2,'Outages (event ledger)'!$E$2:$E$65,"&lt;="&amp;$B50,'Outages (event ledger)'!$G$2:$G$65,"&gt;="&amp;$B50)</f>
        <v>0</v>
      </c>
      <c r="N50" s="29" t="n">
        <f aca="false">SUMIFS('Outages (event ledger)'!$H$2:$H$65,'Outages (event ledger)'!$A$2:$A$65,N$2,'Outages (event ledger)'!$E$2:$E$65,"&lt;="&amp;$B50,'Outages (event ledger)'!$G$2:$G$65,"&gt;="&amp;$B50)</f>
        <v>0</v>
      </c>
      <c r="O50" s="29" t="n">
        <f aca="false">SUMIFS('Outages (event ledger)'!$H$2:$H$65,'Outages (event ledger)'!$A$2:$A$65,O$2,'Outages (event ledger)'!$E$2:$E$65,"&lt;="&amp;$B50,'Outages (event ledger)'!$G$2:$G$65,"&gt;="&amp;$B50)</f>
        <v>0</v>
      </c>
      <c r="P50" s="29" t="n">
        <f aca="false">SUMIFS('Outages (event ledger)'!$H$2:$H$65,'Outages (event ledger)'!$A$2:$A$65,P$2,'Outages (event ledger)'!$E$2:$E$65,"&lt;="&amp;$B50,'Outages (event ledger)'!$G$2:$G$65,"&gt;="&amp;$B50)</f>
        <v>0</v>
      </c>
      <c r="Q50" s="29" t="n">
        <f aca="false">SUMIFS('Outages (event ledger)'!$H$2:$H$65,'Outages (event ledger)'!$A$2:$A$65,Q$2,'Outages (event ledger)'!$E$2:$E$65,"&lt;="&amp;$B50,'Outages (event ledger)'!$G$2:$G$65,"&gt;="&amp;$B50)</f>
        <v>0</v>
      </c>
      <c r="R50" s="29" t="n">
        <f aca="false">SUMIFS('Outages (event ledger)'!$H$2:$H$65,'Outages (event ledger)'!$A$2:$A$65,R$2,'Outages (event ledger)'!$E$2:$E$65,"&lt;="&amp;$B50,'Outages (event ledger)'!$G$2:$G$65,"&gt;="&amp;$B50)</f>
        <v>0</v>
      </c>
      <c r="S50" s="29" t="n">
        <f aca="false">SUMIFS('Outages (event ledger)'!$H$2:$H$65,'Outages (event ledger)'!$A$2:$A$65,S$2,'Outages (event ledger)'!$E$2:$E$65,"&lt;="&amp;$B50,'Outages (event ledger)'!$G$2:$G$65,"&gt;="&amp;$B50)</f>
        <v>0</v>
      </c>
      <c r="T50" s="29" t="n">
        <f aca="false">SUMIFS('Outages (event ledger)'!$H$2:$H$65,'Outages (event ledger)'!$A$2:$A$65,T$2,'Outages (event ledger)'!$E$2:$E$65,"&lt;="&amp;$B50,'Outages (event ledger)'!$G$2:$G$65,"&gt;="&amp;$B50)</f>
        <v>0</v>
      </c>
      <c r="U50" s="29" t="n">
        <f aca="false">SUMIFS('Outages (event ledger)'!$H$2:$H$65,'Outages (event ledger)'!$A$2:$A$65,U$2,'Outages (event ledger)'!$E$2:$E$65,"&lt;="&amp;$B50,'Outages (event ledger)'!$G$2:$G$65,"&gt;="&amp;$B50)</f>
        <v>0</v>
      </c>
      <c r="V50" s="29" t="n">
        <f aca="false">SUMIFS('Outages (event ledger)'!$H$2:$H$65,'Outages (event ledger)'!$A$2:$A$65,V$2,'Outages (event ledger)'!$E$2:$E$65,"&lt;="&amp;$B50,'Outages (event ledger)'!$G$2:$G$65,"&gt;="&amp;$B50)</f>
        <v>0</v>
      </c>
      <c r="W50" s="29" t="n">
        <f aca="false">SUMIFS('Outages (event ledger)'!$H$2:$H$65,'Outages (event ledger)'!$A$2:$A$65,W$2,'Outages (event ledger)'!$E$2:$E$65,"&lt;="&amp;$B50,'Outages (event ledger)'!$G$2:$G$65,"&gt;="&amp;$B50)</f>
        <v>0</v>
      </c>
      <c r="X50" s="29" t="n">
        <f aca="false">SUMIFS('Outages (event ledger)'!$H$2:$H$65,'Outages (event ledger)'!$A$2:$A$65,X$2,'Outages (event ledger)'!$E$2:$E$65,"&lt;="&amp;$B50,'Outages (event ledger)'!$G$2:$G$65,"&gt;="&amp;$B50)</f>
        <v>0</v>
      </c>
      <c r="Y50" s="29" t="n">
        <f aca="false">SUMIFS('Outages (event ledger)'!$H$2:$H$65,'Outages (event ledger)'!$A$2:$A$65,Y$2,'Outages (event ledger)'!$E$2:$E$65,"&lt;="&amp;$B50,'Outages (event ledger)'!$G$2:$G$65,"&gt;="&amp;$B50)</f>
        <v>5</v>
      </c>
      <c r="Z50" s="29" t="n">
        <f aca="false">SUMIFS('Outages (event ledger)'!$H$2:$H$65,'Outages (event ledger)'!$A$2:$A$65,Z$2,'Outages (event ledger)'!$E$2:$E$65,"&lt;="&amp;$B50,'Outages (event ledger)'!$G$2:$G$65,"&gt;="&amp;$B50)</f>
        <v>5</v>
      </c>
      <c r="AA50" s="29" t="n">
        <f aca="false">SUMIFS('Outages (event ledger)'!$H$2:$H$65,'Outages (event ledger)'!$A$2:$A$65,AA$2,'Outages (event ledger)'!$E$2:$E$65,"&lt;="&amp;$B50,'Outages (event ledger)'!$G$2:$G$65,"&gt;="&amp;$B50)</f>
        <v>0</v>
      </c>
      <c r="AB50" s="29" t="n">
        <f aca="false">SUMIFS('Outages (event ledger)'!$H$2:$H$65,'Outages (event ledger)'!$A$2:$A$65,AB$2,'Outages (event ledger)'!$E$2:$E$65,"&lt;="&amp;$B50,'Outages (event ledger)'!$G$2:$G$65,"&gt;="&amp;$B50)</f>
        <v>8</v>
      </c>
      <c r="AC50" s="29" t="n">
        <f aca="false">SUMIFS('Outages (event ledger)'!$H$2:$H$65,'Outages (event ledger)'!$A$2:$A$65,AC$2,'Outages (event ledger)'!$E$2:$E$65,"&lt;="&amp;$B50,'Outages (event ledger)'!$G$2:$G$65,"&gt;="&amp;$B50)</f>
        <v>0</v>
      </c>
      <c r="AD50" s="29" t="n">
        <f aca="false">SUMIFS('Outages (event ledger)'!$H$2:$H$65,'Outages (event ledger)'!$A$2:$A$65,AD$2,'Outages (event ledger)'!$E$2:$E$65,"&lt;="&amp;$B50,'Outages (event ledger)'!$G$2:$G$65,"&gt;="&amp;$B50)</f>
        <v>0</v>
      </c>
      <c r="AE50" s="29" t="n">
        <f aca="false">SUMIFS('Outages (event ledger)'!$H$2:$H$65,'Outages (event ledger)'!$A$2:$A$65,AE$2,'Outages (event ledger)'!$E$2:$E$65,"&lt;="&amp;$B50,'Outages (event ledger)'!$G$2:$G$65,"&gt;="&amp;$B50)</f>
        <v>0</v>
      </c>
      <c r="AF50" s="29" t="n">
        <f aca="false">SUMIFS('Outages (event ledger)'!$H$2:$H$65,'Outages (event ledger)'!$A$2:$A$65,AF$2,'Outages (event ledger)'!$E$2:$E$65,"&lt;="&amp;$B50,'Outages (event ledger)'!$G$2:$G$65,"&gt;="&amp;$B50)</f>
        <v>0</v>
      </c>
      <c r="AG50" s="29" t="n">
        <f aca="false">SUMIFS('Outages (event ledger)'!$H$2:$H$65,'Outages (event ledger)'!$A$2:$A$65,AG$2,'Outages (event ledger)'!$E$2:$E$65,"&lt;="&amp;$B50,'Outages (event ledger)'!$G$2:$G$65,"&gt;="&amp;$B50)</f>
        <v>0</v>
      </c>
      <c r="AH50" s="29" t="n">
        <f aca="false">SUMIFS('Outages (event ledger)'!$H$2:$H$65,'Outages (event ledger)'!$A$2:$A$65,AH$2,'Outages (event ledger)'!$E$2:$E$65,"&lt;="&amp;$B50,'Outages (event ledger)'!$G$2:$G$65,"&gt;="&amp;$B50)</f>
        <v>0</v>
      </c>
      <c r="AI50" s="29" t="n">
        <f aca="false">SUMIFS('Outages (event ledger)'!$H$2:$H$65,'Outages (event ledger)'!$A$2:$A$65,AI$2,'Outages (event ledger)'!$E$2:$E$65,"&lt;="&amp;$B50,'Outages (event ledger)'!$G$2:$G$65,"&gt;="&amp;$B50)</f>
        <v>0</v>
      </c>
      <c r="AJ50" s="29" t="n">
        <f aca="false">SUMIFS('Outages (event ledger)'!$H$2:$H$65,'Outages (event ledger)'!$A$2:$A$65,AJ$2,'Outages (event ledger)'!$E$2:$E$65,"&lt;="&amp;$B50,'Outages (event ledger)'!$G$2:$G$65,"&gt;="&amp;$B50)</f>
        <v>0</v>
      </c>
      <c r="AK50" s="29" t="n">
        <f aca="false">SUMIFS('Outages (event ledger)'!$H$2:$H$65,'Outages (event ledger)'!$A$2:$A$65,AK$2,'Outages (event ledger)'!$E$2:$E$65,"&lt;="&amp;$B50,'Outages (event ledger)'!$G$2:$G$65,"&gt;="&amp;$B50)</f>
        <v>0</v>
      </c>
      <c r="AL50" s="29" t="n">
        <f aca="false">SUMIFS('Outages (event ledger)'!$H$2:$H$65,'Outages (event ledger)'!$A$2:$A$65,AL$2,'Outages (event ledger)'!$E$2:$E$65,"&lt;="&amp;$B50,'Outages (event ledger)'!$G$2:$G$65,"&gt;="&amp;$B50)</f>
        <v>3.5</v>
      </c>
      <c r="AM50" s="29" t="n">
        <f aca="false">SUMIFS('Outages (event ledger)'!$H$2:$H$65,'Outages (event ledger)'!$A$2:$A$65,AM$2,'Outages (event ledger)'!$E$2:$E$65,"&lt;="&amp;$B50,'Outages (event ledger)'!$G$2:$G$65,"&gt;="&amp;$B50)</f>
        <v>0</v>
      </c>
      <c r="AN50" s="29" t="n">
        <f aca="false">SUMIFS('Outages (event ledger)'!$H$2:$H$65,'Outages (event ledger)'!$A$2:$A$65,AN$2,'Outages (event ledger)'!$E$2:$E$65,"&lt;="&amp;$B50,'Outages (event ledger)'!$G$2:$G$65,"&gt;="&amp;$B50)</f>
        <v>0</v>
      </c>
      <c r="AO50" s="29" t="n">
        <f aca="false">SUMIFS('Outages (event ledger)'!$H$2:$H$65,'Outages (event ledger)'!$A$2:$A$65,AO$2,'Outages (event ledger)'!$E$2:$E$65,"&lt;="&amp;$B50,'Outages (event ledger)'!$G$2:$G$65,"&gt;="&amp;$B50)</f>
        <v>0</v>
      </c>
      <c r="AP50" s="29" t="n">
        <f aca="false">SUMIFS('Outages (event ledger)'!$H$2:$H$65,'Outages (event ledger)'!$A$2:$A$65,AP$2,'Outages (event ledger)'!$E$2:$E$65,"&lt;="&amp;$B50,'Outages (event ledger)'!$G$2:$G$65,"&gt;="&amp;$B50)</f>
        <v>0</v>
      </c>
      <c r="AQ50" s="29" t="n">
        <f aca="false">SUMIFS('Outages (event ledger)'!$H$2:$H$65,'Outages (event ledger)'!$A$2:$A$65,AQ$2,'Outages (event ledger)'!$E$2:$E$65,"&lt;="&amp;$B50,'Outages (event ledger)'!$G$2:$G$65,"&gt;="&amp;$B50)</f>
        <v>0</v>
      </c>
      <c r="AR50" s="29" t="n">
        <f aca="false">SUMIFS('Outages (event ledger)'!$H$2:$H$65,'Outages (event ledger)'!$A$2:$A$65,AR$2,'Outages (event ledger)'!$E$2:$E$65,"&lt;="&amp;$B50,'Outages (event ledger)'!$G$2:$G$65,"&gt;="&amp;$B50)</f>
        <v>0</v>
      </c>
      <c r="AS50" s="29" t="n">
        <f aca="false">SUMIFS('Outages (event ledger)'!$H$2:$H$65,'Outages (event ledger)'!$A$2:$A$65,AS$2,'Outages (event ledger)'!$E$2:$E$65,"&lt;="&amp;$B50,'Outages (event ledger)'!$G$2:$G$65,"&gt;="&amp;$B50)</f>
        <v>0</v>
      </c>
      <c r="AT50" s="29" t="n">
        <f aca="false">SUMIFS('Outages (event ledger)'!$H$2:$H$65,'Outages (event ledger)'!$A$2:$A$65,AT$2,'Outages (event ledger)'!$E$2:$E$65,"&lt;="&amp;$B50,'Outages (event ledger)'!$G$2:$G$65,"&gt;="&amp;$B50)</f>
        <v>0</v>
      </c>
      <c r="AU50" s="29" t="n">
        <f aca="false">SUMIFS('Outages (event ledger)'!$H$2:$H$65,'Outages (event ledger)'!$A$2:$A$65,AU$2,'Outages (event ledger)'!$E$2:$E$65,"&lt;="&amp;$B50,'Outages (event ledger)'!$G$2:$G$65,"&gt;="&amp;$B50)</f>
        <v>0</v>
      </c>
      <c r="AV50" s="29" t="n">
        <f aca="false">SUMIFS('Outages (event ledger)'!$H$2:$H$65,'Outages (event ledger)'!$A$2:$A$65,AV$2,'Outages (event ledger)'!$E$2:$E$65,"&lt;="&amp;$B50,'Outages (event ledger)'!$G$2:$G$65,"&gt;="&amp;$B50)</f>
        <v>0</v>
      </c>
      <c r="AW50" s="29" t="n">
        <f aca="false">SUMIFS('Outages (event ledger)'!$H$2:$H$65,'Outages (event ledger)'!$A$2:$A$65,AW$2,'Outages (event ledger)'!$E$2:$E$65,"&lt;="&amp;$B50,'Outages (event ledger)'!$G$2:$G$65,"&gt;="&amp;$B50)</f>
        <v>0</v>
      </c>
      <c r="AX50" s="29" t="n">
        <f aca="false">SUMIFS('Outages (event ledger)'!$H$2:$H$65,'Outages (event ledger)'!$A$2:$A$65,AX$2,'Outages (event ledger)'!$E$2:$E$65,"&lt;="&amp;$B50,'Outages (event ledger)'!$G$2:$G$65,"&gt;="&amp;$B50)</f>
        <v>0</v>
      </c>
      <c r="AY50" s="29" t="n">
        <f aca="false">SUMIFS('Outages (event ledger)'!$H$2:$H$65,'Outages (event ledger)'!$A$2:$A$65,AY$2,'Outages (event ledger)'!$E$2:$E$65,"&lt;="&amp;$B50,'Outages (event ledger)'!$G$2:$G$65,"&gt;="&amp;$B50)</f>
        <v>0</v>
      </c>
      <c r="AZ50" s="29" t="n">
        <f aca="false">SUMIFS('Outages (event ledger)'!$H$2:$H$65,'Outages (event ledger)'!$A$2:$A$65,AZ$2,'Outages (event ledger)'!$E$2:$E$65,"&lt;="&amp;$B50,'Outages (event ledger)'!$G$2:$G$65,"&gt;="&amp;$B50)</f>
        <v>0</v>
      </c>
      <c r="BA50" s="29" t="n">
        <f aca="false">SUMIFS('Outages (event ledger)'!$H$2:$H$65,'Outages (event ledger)'!$A$2:$A$65,BA$2,'Outages (event ledger)'!$E$2:$E$65,"&lt;="&amp;$B50,'Outages (event ledger)'!$G$2:$G$65,"&gt;="&amp;$B50)</f>
        <v>0</v>
      </c>
      <c r="BB50" s="29" t="n">
        <f aca="false">SUMIFS('Outages (event ledger)'!$H$2:$H$65,'Outages (event ledger)'!$A$2:$A$65,BB$2,'Outages (event ledger)'!$E$2:$E$65,"&lt;="&amp;$B50,'Outages (event ledger)'!$G$2:$G$65,"&gt;="&amp;$B50)</f>
        <v>0</v>
      </c>
      <c r="BC50" s="29" t="n">
        <f aca="false">SUMIFS('Outages (event ledger)'!$H$2:$H$65,'Outages (event ledger)'!$A$2:$A$65,BC$2,'Outages (event ledger)'!$E$2:$E$65,"&lt;="&amp;$B50,'Outages (event ledger)'!$G$2:$G$65,"&gt;="&amp;$B50)</f>
        <v>0</v>
      </c>
      <c r="BD50" s="29" t="n">
        <f aca="false">SUMIFS('Outages (event ledger)'!$H$2:$H$65,'Outages (event ledger)'!$A$2:$A$65,BD$2,'Outages (event ledger)'!$E$2:$E$65,"&lt;="&amp;$B50,'Outages (event ledger)'!$G$2:$G$65,"&gt;="&amp;$B50)</f>
        <v>0</v>
      </c>
      <c r="BE50" s="29" t="n">
        <f aca="false">SUMIFS('Outages (event ledger)'!$H$2:$H$65,'Outages (event ledger)'!$A$2:$A$65,BE$2,'Outages (event ledger)'!$E$2:$E$65,"&lt;="&amp;$B50,'Outages (event ledger)'!$G$2:$G$65,"&gt;="&amp;$B50)</f>
        <v>0</v>
      </c>
      <c r="BF50" s="29" t="n">
        <f aca="false">SUMIFS('Outages (event ledger)'!$H$2:$H$65,'Outages (event ledger)'!$A$2:$A$65,BF$2,'Outages (event ledger)'!$E$2:$E$65,"&lt;="&amp;$B50,'Outages (event ledger)'!$G$2:$G$65,"&gt;="&amp;$B50)</f>
        <v>0</v>
      </c>
      <c r="BG50" s="29" t="n">
        <f aca="false">SUMIFS('Outages (event ledger)'!$H$2:$H$65,'Outages (event ledger)'!$A$2:$A$65,BG$2,'Outages (event ledger)'!$E$2:$E$65,"&lt;="&amp;$B50,'Outages (event ledger)'!$G$2:$G$65,"&gt;="&amp;$B50)</f>
        <v>0</v>
      </c>
      <c r="BH50" s="29" t="n">
        <f aca="false">SUMIFS('Outages (event ledger)'!$H$2:$H$65,'Outages (event ledger)'!$A$2:$A$65,BH$2,'Outages (event ledger)'!$E$2:$E$65,"&lt;="&amp;$B50,'Outages (event ledger)'!$G$2:$G$65,"&gt;="&amp;$B50)</f>
        <v>0</v>
      </c>
      <c r="BI50" s="29" t="n">
        <f aca="false">SUMIFS('Outages (event ledger)'!$H$2:$H$65,'Outages (event ledger)'!$A$2:$A$65,BI$2,'Outages (event ledger)'!$E$2:$E$65,"&lt;="&amp;$B50,'Outages (event ledger)'!$G$2:$G$65,"&gt;="&amp;$B50)</f>
        <v>0</v>
      </c>
    </row>
    <row r="51" customFormat="false" ht="15" hidden="false" customHeight="false" outlineLevel="0" collapsed="false">
      <c r="A51" s="23" t="n">
        <v>41640</v>
      </c>
      <c r="B51" s="24" t="n">
        <v>201401</v>
      </c>
      <c r="C51" s="25" t="n">
        <f aca="false">SUM(D51:BI51)</f>
        <v>21.5</v>
      </c>
      <c r="D51" s="26" t="n">
        <f aca="false">SUMIFS('Outages (event ledger)'!$H$2:$H$65,'Outages (event ledger)'!$A$2:$A$65,D$2,'Outages (event ledger)'!$E$2:$E$65,"&lt;="&amp;$B51,'Outages (event ledger)'!$G$2:$G$65,"&gt;="&amp;$B51)</f>
        <v>0</v>
      </c>
      <c r="E51" s="26" t="n">
        <f aca="false">SUMIFS('Outages (event ledger)'!$H$2:$H$65,'Outages (event ledger)'!$A$2:$A$65,E$2,'Outages (event ledger)'!$E$2:$E$65,"&lt;="&amp;$B51,'Outages (event ledger)'!$G$2:$G$65,"&gt;="&amp;$B51)</f>
        <v>0</v>
      </c>
      <c r="F51" s="26" t="n">
        <f aca="false">SUMIFS('Outages (event ledger)'!$H$2:$H$65,'Outages (event ledger)'!$A$2:$A$65,F$2,'Outages (event ledger)'!$E$2:$E$65,"&lt;="&amp;$B51,'Outages (event ledger)'!$G$2:$G$65,"&gt;="&amp;$B51)</f>
        <v>0</v>
      </c>
      <c r="G51" s="26" t="n">
        <f aca="false">SUMIFS('Outages (event ledger)'!$H$2:$H$65,'Outages (event ledger)'!$A$2:$A$65,G$2,'Outages (event ledger)'!$E$2:$E$65,"&lt;="&amp;$B51,'Outages (event ledger)'!$G$2:$G$65,"&gt;="&amp;$B51)</f>
        <v>0</v>
      </c>
      <c r="H51" s="26" t="n">
        <f aca="false">SUMIFS('Outages (event ledger)'!$H$2:$H$65,'Outages (event ledger)'!$A$2:$A$65,H$2,'Outages (event ledger)'!$E$2:$E$65,"&lt;="&amp;$B51,'Outages (event ledger)'!$G$2:$G$65,"&gt;="&amp;$B51)</f>
        <v>0</v>
      </c>
      <c r="I51" s="26" t="n">
        <f aca="false">SUMIFS('Outages (event ledger)'!$H$2:$H$65,'Outages (event ledger)'!$A$2:$A$65,I$2,'Outages (event ledger)'!$E$2:$E$65,"&lt;="&amp;$B51,'Outages (event ledger)'!$G$2:$G$65,"&gt;="&amp;$B51)</f>
        <v>0</v>
      </c>
      <c r="J51" s="26" t="n">
        <f aca="false">SUMIFS('Outages (event ledger)'!$H$2:$H$65,'Outages (event ledger)'!$A$2:$A$65,J$2,'Outages (event ledger)'!$E$2:$E$65,"&lt;="&amp;$B51,'Outages (event ledger)'!$G$2:$G$65,"&gt;="&amp;$B51)</f>
        <v>0</v>
      </c>
      <c r="K51" s="26" t="n">
        <f aca="false">SUMIFS('Outages (event ledger)'!$H$2:$H$65,'Outages (event ledger)'!$A$2:$A$65,K$2,'Outages (event ledger)'!$E$2:$E$65,"&lt;="&amp;$B51,'Outages (event ledger)'!$G$2:$G$65,"&gt;="&amp;$B51)</f>
        <v>0</v>
      </c>
      <c r="L51" s="26" t="n">
        <f aca="false">SUMIFS('Outages (event ledger)'!$H$2:$H$65,'Outages (event ledger)'!$A$2:$A$65,L$2,'Outages (event ledger)'!$E$2:$E$65,"&lt;="&amp;$B51,'Outages (event ledger)'!$G$2:$G$65,"&gt;="&amp;$B51)</f>
        <v>0</v>
      </c>
      <c r="M51" s="26" t="n">
        <f aca="false">SUMIFS('Outages (event ledger)'!$H$2:$H$65,'Outages (event ledger)'!$A$2:$A$65,M$2,'Outages (event ledger)'!$E$2:$E$65,"&lt;="&amp;$B51,'Outages (event ledger)'!$G$2:$G$65,"&gt;="&amp;$B51)</f>
        <v>0</v>
      </c>
      <c r="N51" s="26" t="n">
        <f aca="false">SUMIFS('Outages (event ledger)'!$H$2:$H$65,'Outages (event ledger)'!$A$2:$A$65,N$2,'Outages (event ledger)'!$E$2:$E$65,"&lt;="&amp;$B51,'Outages (event ledger)'!$G$2:$G$65,"&gt;="&amp;$B51)</f>
        <v>0</v>
      </c>
      <c r="O51" s="26" t="n">
        <f aca="false">SUMIFS('Outages (event ledger)'!$H$2:$H$65,'Outages (event ledger)'!$A$2:$A$65,O$2,'Outages (event ledger)'!$E$2:$E$65,"&lt;="&amp;$B51,'Outages (event ledger)'!$G$2:$G$65,"&gt;="&amp;$B51)</f>
        <v>0</v>
      </c>
      <c r="P51" s="26" t="n">
        <f aca="false">SUMIFS('Outages (event ledger)'!$H$2:$H$65,'Outages (event ledger)'!$A$2:$A$65,P$2,'Outages (event ledger)'!$E$2:$E$65,"&lt;="&amp;$B51,'Outages (event ledger)'!$G$2:$G$65,"&gt;="&amp;$B51)</f>
        <v>0</v>
      </c>
      <c r="Q51" s="26" t="n">
        <f aca="false">SUMIFS('Outages (event ledger)'!$H$2:$H$65,'Outages (event ledger)'!$A$2:$A$65,Q$2,'Outages (event ledger)'!$E$2:$E$65,"&lt;="&amp;$B51,'Outages (event ledger)'!$G$2:$G$65,"&gt;="&amp;$B51)</f>
        <v>0</v>
      </c>
      <c r="R51" s="26" t="n">
        <f aca="false">SUMIFS('Outages (event ledger)'!$H$2:$H$65,'Outages (event ledger)'!$A$2:$A$65,R$2,'Outages (event ledger)'!$E$2:$E$65,"&lt;="&amp;$B51,'Outages (event ledger)'!$G$2:$G$65,"&gt;="&amp;$B51)</f>
        <v>0</v>
      </c>
      <c r="S51" s="26" t="n">
        <f aca="false">SUMIFS('Outages (event ledger)'!$H$2:$H$65,'Outages (event ledger)'!$A$2:$A$65,S$2,'Outages (event ledger)'!$E$2:$E$65,"&lt;="&amp;$B51,'Outages (event ledger)'!$G$2:$G$65,"&gt;="&amp;$B51)</f>
        <v>0</v>
      </c>
      <c r="T51" s="26" t="n">
        <f aca="false">SUMIFS('Outages (event ledger)'!$H$2:$H$65,'Outages (event ledger)'!$A$2:$A$65,T$2,'Outages (event ledger)'!$E$2:$E$65,"&lt;="&amp;$B51,'Outages (event ledger)'!$G$2:$G$65,"&gt;="&amp;$B51)</f>
        <v>0</v>
      </c>
      <c r="U51" s="26" t="n">
        <f aca="false">SUMIFS('Outages (event ledger)'!$H$2:$H$65,'Outages (event ledger)'!$A$2:$A$65,U$2,'Outages (event ledger)'!$E$2:$E$65,"&lt;="&amp;$B51,'Outages (event ledger)'!$G$2:$G$65,"&gt;="&amp;$B51)</f>
        <v>0</v>
      </c>
      <c r="V51" s="26" t="n">
        <f aca="false">SUMIFS('Outages (event ledger)'!$H$2:$H$65,'Outages (event ledger)'!$A$2:$A$65,V$2,'Outages (event ledger)'!$E$2:$E$65,"&lt;="&amp;$B51,'Outages (event ledger)'!$G$2:$G$65,"&gt;="&amp;$B51)</f>
        <v>0</v>
      </c>
      <c r="W51" s="26" t="n">
        <f aca="false">SUMIFS('Outages (event ledger)'!$H$2:$H$65,'Outages (event ledger)'!$A$2:$A$65,W$2,'Outages (event ledger)'!$E$2:$E$65,"&lt;="&amp;$B51,'Outages (event ledger)'!$G$2:$G$65,"&gt;="&amp;$B51)</f>
        <v>0</v>
      </c>
      <c r="X51" s="26" t="n">
        <f aca="false">SUMIFS('Outages (event ledger)'!$H$2:$H$65,'Outages (event ledger)'!$A$2:$A$65,X$2,'Outages (event ledger)'!$E$2:$E$65,"&lt;="&amp;$B51,'Outages (event ledger)'!$G$2:$G$65,"&gt;="&amp;$B51)</f>
        <v>0</v>
      </c>
      <c r="Y51" s="26" t="n">
        <f aca="false">SUMIFS('Outages (event ledger)'!$H$2:$H$65,'Outages (event ledger)'!$A$2:$A$65,Y$2,'Outages (event ledger)'!$E$2:$E$65,"&lt;="&amp;$B51,'Outages (event ledger)'!$G$2:$G$65,"&gt;="&amp;$B51)</f>
        <v>5</v>
      </c>
      <c r="Z51" s="26" t="n">
        <f aca="false">SUMIFS('Outages (event ledger)'!$H$2:$H$65,'Outages (event ledger)'!$A$2:$A$65,Z$2,'Outages (event ledger)'!$E$2:$E$65,"&lt;="&amp;$B51,'Outages (event ledger)'!$G$2:$G$65,"&gt;="&amp;$B51)</f>
        <v>5</v>
      </c>
      <c r="AA51" s="26" t="n">
        <f aca="false">SUMIFS('Outages (event ledger)'!$H$2:$H$65,'Outages (event ledger)'!$A$2:$A$65,AA$2,'Outages (event ledger)'!$E$2:$E$65,"&lt;="&amp;$B51,'Outages (event ledger)'!$G$2:$G$65,"&gt;="&amp;$B51)</f>
        <v>0</v>
      </c>
      <c r="AB51" s="26" t="n">
        <f aca="false">SUMIFS('Outages (event ledger)'!$H$2:$H$65,'Outages (event ledger)'!$A$2:$A$65,AB$2,'Outages (event ledger)'!$E$2:$E$65,"&lt;="&amp;$B51,'Outages (event ledger)'!$G$2:$G$65,"&gt;="&amp;$B51)</f>
        <v>8</v>
      </c>
      <c r="AC51" s="26" t="n">
        <f aca="false">SUMIFS('Outages (event ledger)'!$H$2:$H$65,'Outages (event ledger)'!$A$2:$A$65,AC$2,'Outages (event ledger)'!$E$2:$E$65,"&lt;="&amp;$B51,'Outages (event ledger)'!$G$2:$G$65,"&gt;="&amp;$B51)</f>
        <v>0</v>
      </c>
      <c r="AD51" s="26" t="n">
        <f aca="false">SUMIFS('Outages (event ledger)'!$H$2:$H$65,'Outages (event ledger)'!$A$2:$A$65,AD$2,'Outages (event ledger)'!$E$2:$E$65,"&lt;="&amp;$B51,'Outages (event ledger)'!$G$2:$G$65,"&gt;="&amp;$B51)</f>
        <v>0</v>
      </c>
      <c r="AE51" s="26" t="n">
        <f aca="false">SUMIFS('Outages (event ledger)'!$H$2:$H$65,'Outages (event ledger)'!$A$2:$A$65,AE$2,'Outages (event ledger)'!$E$2:$E$65,"&lt;="&amp;$B51,'Outages (event ledger)'!$G$2:$G$65,"&gt;="&amp;$B51)</f>
        <v>0</v>
      </c>
      <c r="AF51" s="26" t="n">
        <f aca="false">SUMIFS('Outages (event ledger)'!$H$2:$H$65,'Outages (event ledger)'!$A$2:$A$65,AF$2,'Outages (event ledger)'!$E$2:$E$65,"&lt;="&amp;$B51,'Outages (event ledger)'!$G$2:$G$65,"&gt;="&amp;$B51)</f>
        <v>0</v>
      </c>
      <c r="AG51" s="26" t="n">
        <f aca="false">SUMIFS('Outages (event ledger)'!$H$2:$H$65,'Outages (event ledger)'!$A$2:$A$65,AG$2,'Outages (event ledger)'!$E$2:$E$65,"&lt;="&amp;$B51,'Outages (event ledger)'!$G$2:$G$65,"&gt;="&amp;$B51)</f>
        <v>0</v>
      </c>
      <c r="AH51" s="26" t="n">
        <f aca="false">SUMIFS('Outages (event ledger)'!$H$2:$H$65,'Outages (event ledger)'!$A$2:$A$65,AH$2,'Outages (event ledger)'!$E$2:$E$65,"&lt;="&amp;$B51,'Outages (event ledger)'!$G$2:$G$65,"&gt;="&amp;$B51)</f>
        <v>0</v>
      </c>
      <c r="AI51" s="26" t="n">
        <f aca="false">SUMIFS('Outages (event ledger)'!$H$2:$H$65,'Outages (event ledger)'!$A$2:$A$65,AI$2,'Outages (event ledger)'!$E$2:$E$65,"&lt;="&amp;$B51,'Outages (event ledger)'!$G$2:$G$65,"&gt;="&amp;$B51)</f>
        <v>0</v>
      </c>
      <c r="AJ51" s="26" t="n">
        <f aca="false">SUMIFS('Outages (event ledger)'!$H$2:$H$65,'Outages (event ledger)'!$A$2:$A$65,AJ$2,'Outages (event ledger)'!$E$2:$E$65,"&lt;="&amp;$B51,'Outages (event ledger)'!$G$2:$G$65,"&gt;="&amp;$B51)</f>
        <v>0</v>
      </c>
      <c r="AK51" s="26" t="n">
        <f aca="false">SUMIFS('Outages (event ledger)'!$H$2:$H$65,'Outages (event ledger)'!$A$2:$A$65,AK$2,'Outages (event ledger)'!$E$2:$E$65,"&lt;="&amp;$B51,'Outages (event ledger)'!$G$2:$G$65,"&gt;="&amp;$B51)</f>
        <v>0</v>
      </c>
      <c r="AL51" s="26" t="n">
        <f aca="false">SUMIFS('Outages (event ledger)'!$H$2:$H$65,'Outages (event ledger)'!$A$2:$A$65,AL$2,'Outages (event ledger)'!$E$2:$E$65,"&lt;="&amp;$B51,'Outages (event ledger)'!$G$2:$G$65,"&gt;="&amp;$B51)</f>
        <v>3.5</v>
      </c>
      <c r="AM51" s="26" t="n">
        <f aca="false">SUMIFS('Outages (event ledger)'!$H$2:$H$65,'Outages (event ledger)'!$A$2:$A$65,AM$2,'Outages (event ledger)'!$E$2:$E$65,"&lt;="&amp;$B51,'Outages (event ledger)'!$G$2:$G$65,"&gt;="&amp;$B51)</f>
        <v>0</v>
      </c>
      <c r="AN51" s="26" t="n">
        <f aca="false">SUMIFS('Outages (event ledger)'!$H$2:$H$65,'Outages (event ledger)'!$A$2:$A$65,AN$2,'Outages (event ledger)'!$E$2:$E$65,"&lt;="&amp;$B51,'Outages (event ledger)'!$G$2:$G$65,"&gt;="&amp;$B51)</f>
        <v>0</v>
      </c>
      <c r="AO51" s="26" t="n">
        <f aca="false">SUMIFS('Outages (event ledger)'!$H$2:$H$65,'Outages (event ledger)'!$A$2:$A$65,AO$2,'Outages (event ledger)'!$E$2:$E$65,"&lt;="&amp;$B51,'Outages (event ledger)'!$G$2:$G$65,"&gt;="&amp;$B51)</f>
        <v>0</v>
      </c>
      <c r="AP51" s="26" t="n">
        <f aca="false">SUMIFS('Outages (event ledger)'!$H$2:$H$65,'Outages (event ledger)'!$A$2:$A$65,AP$2,'Outages (event ledger)'!$E$2:$E$65,"&lt;="&amp;$B51,'Outages (event ledger)'!$G$2:$G$65,"&gt;="&amp;$B51)</f>
        <v>0</v>
      </c>
      <c r="AQ51" s="26" t="n">
        <f aca="false">SUMIFS('Outages (event ledger)'!$H$2:$H$65,'Outages (event ledger)'!$A$2:$A$65,AQ$2,'Outages (event ledger)'!$E$2:$E$65,"&lt;="&amp;$B51,'Outages (event ledger)'!$G$2:$G$65,"&gt;="&amp;$B51)</f>
        <v>0</v>
      </c>
      <c r="AR51" s="26" t="n">
        <f aca="false">SUMIFS('Outages (event ledger)'!$H$2:$H$65,'Outages (event ledger)'!$A$2:$A$65,AR$2,'Outages (event ledger)'!$E$2:$E$65,"&lt;="&amp;$B51,'Outages (event ledger)'!$G$2:$G$65,"&gt;="&amp;$B51)</f>
        <v>0</v>
      </c>
      <c r="AS51" s="26" t="n">
        <f aca="false">SUMIFS('Outages (event ledger)'!$H$2:$H$65,'Outages (event ledger)'!$A$2:$A$65,AS$2,'Outages (event ledger)'!$E$2:$E$65,"&lt;="&amp;$B51,'Outages (event ledger)'!$G$2:$G$65,"&gt;="&amp;$B51)</f>
        <v>0</v>
      </c>
      <c r="AT51" s="26" t="n">
        <f aca="false">SUMIFS('Outages (event ledger)'!$H$2:$H$65,'Outages (event ledger)'!$A$2:$A$65,AT$2,'Outages (event ledger)'!$E$2:$E$65,"&lt;="&amp;$B51,'Outages (event ledger)'!$G$2:$G$65,"&gt;="&amp;$B51)</f>
        <v>0</v>
      </c>
      <c r="AU51" s="26" t="n">
        <f aca="false">SUMIFS('Outages (event ledger)'!$H$2:$H$65,'Outages (event ledger)'!$A$2:$A$65,AU$2,'Outages (event ledger)'!$E$2:$E$65,"&lt;="&amp;$B51,'Outages (event ledger)'!$G$2:$G$65,"&gt;="&amp;$B51)</f>
        <v>0</v>
      </c>
      <c r="AV51" s="26" t="n">
        <f aca="false">SUMIFS('Outages (event ledger)'!$H$2:$H$65,'Outages (event ledger)'!$A$2:$A$65,AV$2,'Outages (event ledger)'!$E$2:$E$65,"&lt;="&amp;$B51,'Outages (event ledger)'!$G$2:$G$65,"&gt;="&amp;$B51)</f>
        <v>0</v>
      </c>
      <c r="AW51" s="26" t="n">
        <f aca="false">SUMIFS('Outages (event ledger)'!$H$2:$H$65,'Outages (event ledger)'!$A$2:$A$65,AW$2,'Outages (event ledger)'!$E$2:$E$65,"&lt;="&amp;$B51,'Outages (event ledger)'!$G$2:$G$65,"&gt;="&amp;$B51)</f>
        <v>0</v>
      </c>
      <c r="AX51" s="26" t="n">
        <f aca="false">SUMIFS('Outages (event ledger)'!$H$2:$H$65,'Outages (event ledger)'!$A$2:$A$65,AX$2,'Outages (event ledger)'!$E$2:$E$65,"&lt;="&amp;$B51,'Outages (event ledger)'!$G$2:$G$65,"&gt;="&amp;$B51)</f>
        <v>0</v>
      </c>
      <c r="AY51" s="26" t="n">
        <f aca="false">SUMIFS('Outages (event ledger)'!$H$2:$H$65,'Outages (event ledger)'!$A$2:$A$65,AY$2,'Outages (event ledger)'!$E$2:$E$65,"&lt;="&amp;$B51,'Outages (event ledger)'!$G$2:$G$65,"&gt;="&amp;$B51)</f>
        <v>0</v>
      </c>
      <c r="AZ51" s="26" t="n">
        <f aca="false">SUMIFS('Outages (event ledger)'!$H$2:$H$65,'Outages (event ledger)'!$A$2:$A$65,AZ$2,'Outages (event ledger)'!$E$2:$E$65,"&lt;="&amp;$B51,'Outages (event ledger)'!$G$2:$G$65,"&gt;="&amp;$B51)</f>
        <v>0</v>
      </c>
      <c r="BA51" s="26" t="n">
        <f aca="false">SUMIFS('Outages (event ledger)'!$H$2:$H$65,'Outages (event ledger)'!$A$2:$A$65,BA$2,'Outages (event ledger)'!$E$2:$E$65,"&lt;="&amp;$B51,'Outages (event ledger)'!$G$2:$G$65,"&gt;="&amp;$B51)</f>
        <v>0</v>
      </c>
      <c r="BB51" s="26" t="n">
        <f aca="false">SUMIFS('Outages (event ledger)'!$H$2:$H$65,'Outages (event ledger)'!$A$2:$A$65,BB$2,'Outages (event ledger)'!$E$2:$E$65,"&lt;="&amp;$B51,'Outages (event ledger)'!$G$2:$G$65,"&gt;="&amp;$B51)</f>
        <v>0</v>
      </c>
      <c r="BC51" s="26" t="n">
        <f aca="false">SUMIFS('Outages (event ledger)'!$H$2:$H$65,'Outages (event ledger)'!$A$2:$A$65,BC$2,'Outages (event ledger)'!$E$2:$E$65,"&lt;="&amp;$B51,'Outages (event ledger)'!$G$2:$G$65,"&gt;="&amp;$B51)</f>
        <v>0</v>
      </c>
      <c r="BD51" s="26" t="n">
        <f aca="false">SUMIFS('Outages (event ledger)'!$H$2:$H$65,'Outages (event ledger)'!$A$2:$A$65,BD$2,'Outages (event ledger)'!$E$2:$E$65,"&lt;="&amp;$B51,'Outages (event ledger)'!$G$2:$G$65,"&gt;="&amp;$B51)</f>
        <v>0</v>
      </c>
      <c r="BE51" s="26" t="n">
        <f aca="false">SUMIFS('Outages (event ledger)'!$H$2:$H$65,'Outages (event ledger)'!$A$2:$A$65,BE$2,'Outages (event ledger)'!$E$2:$E$65,"&lt;="&amp;$B51,'Outages (event ledger)'!$G$2:$G$65,"&gt;="&amp;$B51)</f>
        <v>0</v>
      </c>
      <c r="BF51" s="26" t="n">
        <f aca="false">SUMIFS('Outages (event ledger)'!$H$2:$H$65,'Outages (event ledger)'!$A$2:$A$65,BF$2,'Outages (event ledger)'!$E$2:$E$65,"&lt;="&amp;$B51,'Outages (event ledger)'!$G$2:$G$65,"&gt;="&amp;$B51)</f>
        <v>0</v>
      </c>
      <c r="BG51" s="26" t="n">
        <f aca="false">SUMIFS('Outages (event ledger)'!$H$2:$H$65,'Outages (event ledger)'!$A$2:$A$65,BG$2,'Outages (event ledger)'!$E$2:$E$65,"&lt;="&amp;$B51,'Outages (event ledger)'!$G$2:$G$65,"&gt;="&amp;$B51)</f>
        <v>0</v>
      </c>
      <c r="BH51" s="26" t="n">
        <f aca="false">SUMIFS('Outages (event ledger)'!$H$2:$H$65,'Outages (event ledger)'!$A$2:$A$65,BH$2,'Outages (event ledger)'!$E$2:$E$65,"&lt;="&amp;$B51,'Outages (event ledger)'!$G$2:$G$65,"&gt;="&amp;$B51)</f>
        <v>0</v>
      </c>
      <c r="BI51" s="26" t="n">
        <f aca="false">SUMIFS('Outages (event ledger)'!$H$2:$H$65,'Outages (event ledger)'!$A$2:$A$65,BI$2,'Outages (event ledger)'!$E$2:$E$65,"&lt;="&amp;$B51,'Outages (event ledger)'!$G$2:$G$65,"&gt;="&amp;$B51)</f>
        <v>0</v>
      </c>
    </row>
    <row r="52" customFormat="false" ht="15" hidden="false" customHeight="false" outlineLevel="0" collapsed="false">
      <c r="A52" s="23" t="n">
        <v>41671</v>
      </c>
      <c r="B52" s="24" t="n">
        <v>201402</v>
      </c>
      <c r="C52" s="25" t="n">
        <f aca="false">SUM(D52:BI52)</f>
        <v>21.5</v>
      </c>
      <c r="D52" s="26" t="n">
        <f aca="false">SUMIFS('Outages (event ledger)'!$H$2:$H$65,'Outages (event ledger)'!$A$2:$A$65,D$2,'Outages (event ledger)'!$E$2:$E$65,"&lt;="&amp;$B52,'Outages (event ledger)'!$G$2:$G$65,"&gt;="&amp;$B52)</f>
        <v>0</v>
      </c>
      <c r="E52" s="26" t="n">
        <f aca="false">SUMIFS('Outages (event ledger)'!$H$2:$H$65,'Outages (event ledger)'!$A$2:$A$65,E$2,'Outages (event ledger)'!$E$2:$E$65,"&lt;="&amp;$B52,'Outages (event ledger)'!$G$2:$G$65,"&gt;="&amp;$B52)</f>
        <v>0</v>
      </c>
      <c r="F52" s="26" t="n">
        <f aca="false">SUMIFS('Outages (event ledger)'!$H$2:$H$65,'Outages (event ledger)'!$A$2:$A$65,F$2,'Outages (event ledger)'!$E$2:$E$65,"&lt;="&amp;$B52,'Outages (event ledger)'!$G$2:$G$65,"&gt;="&amp;$B52)</f>
        <v>0</v>
      </c>
      <c r="G52" s="26" t="n">
        <f aca="false">SUMIFS('Outages (event ledger)'!$H$2:$H$65,'Outages (event ledger)'!$A$2:$A$65,G$2,'Outages (event ledger)'!$E$2:$E$65,"&lt;="&amp;$B52,'Outages (event ledger)'!$G$2:$G$65,"&gt;="&amp;$B52)</f>
        <v>0</v>
      </c>
      <c r="H52" s="26" t="n">
        <f aca="false">SUMIFS('Outages (event ledger)'!$H$2:$H$65,'Outages (event ledger)'!$A$2:$A$65,H$2,'Outages (event ledger)'!$E$2:$E$65,"&lt;="&amp;$B52,'Outages (event ledger)'!$G$2:$G$65,"&gt;="&amp;$B52)</f>
        <v>0</v>
      </c>
      <c r="I52" s="26" t="n">
        <f aca="false">SUMIFS('Outages (event ledger)'!$H$2:$H$65,'Outages (event ledger)'!$A$2:$A$65,I$2,'Outages (event ledger)'!$E$2:$E$65,"&lt;="&amp;$B52,'Outages (event ledger)'!$G$2:$G$65,"&gt;="&amp;$B52)</f>
        <v>0</v>
      </c>
      <c r="J52" s="26" t="n">
        <f aca="false">SUMIFS('Outages (event ledger)'!$H$2:$H$65,'Outages (event ledger)'!$A$2:$A$65,J$2,'Outages (event ledger)'!$E$2:$E$65,"&lt;="&amp;$B52,'Outages (event ledger)'!$G$2:$G$65,"&gt;="&amp;$B52)</f>
        <v>0</v>
      </c>
      <c r="K52" s="26" t="n">
        <f aca="false">SUMIFS('Outages (event ledger)'!$H$2:$H$65,'Outages (event ledger)'!$A$2:$A$65,K$2,'Outages (event ledger)'!$E$2:$E$65,"&lt;="&amp;$B52,'Outages (event ledger)'!$G$2:$G$65,"&gt;="&amp;$B52)</f>
        <v>0</v>
      </c>
      <c r="L52" s="26" t="n">
        <f aca="false">SUMIFS('Outages (event ledger)'!$H$2:$H$65,'Outages (event ledger)'!$A$2:$A$65,L$2,'Outages (event ledger)'!$E$2:$E$65,"&lt;="&amp;$B52,'Outages (event ledger)'!$G$2:$G$65,"&gt;="&amp;$B52)</f>
        <v>0</v>
      </c>
      <c r="M52" s="26" t="n">
        <f aca="false">SUMIFS('Outages (event ledger)'!$H$2:$H$65,'Outages (event ledger)'!$A$2:$A$65,M$2,'Outages (event ledger)'!$E$2:$E$65,"&lt;="&amp;$B52,'Outages (event ledger)'!$G$2:$G$65,"&gt;="&amp;$B52)</f>
        <v>0</v>
      </c>
      <c r="N52" s="26" t="n">
        <f aca="false">SUMIFS('Outages (event ledger)'!$H$2:$H$65,'Outages (event ledger)'!$A$2:$A$65,N$2,'Outages (event ledger)'!$E$2:$E$65,"&lt;="&amp;$B52,'Outages (event ledger)'!$G$2:$G$65,"&gt;="&amp;$B52)</f>
        <v>0</v>
      </c>
      <c r="O52" s="26" t="n">
        <f aca="false">SUMIFS('Outages (event ledger)'!$H$2:$H$65,'Outages (event ledger)'!$A$2:$A$65,O$2,'Outages (event ledger)'!$E$2:$E$65,"&lt;="&amp;$B52,'Outages (event ledger)'!$G$2:$G$65,"&gt;="&amp;$B52)</f>
        <v>0</v>
      </c>
      <c r="P52" s="26" t="n">
        <f aca="false">SUMIFS('Outages (event ledger)'!$H$2:$H$65,'Outages (event ledger)'!$A$2:$A$65,P$2,'Outages (event ledger)'!$E$2:$E$65,"&lt;="&amp;$B52,'Outages (event ledger)'!$G$2:$G$65,"&gt;="&amp;$B52)</f>
        <v>0</v>
      </c>
      <c r="Q52" s="26" t="n">
        <f aca="false">SUMIFS('Outages (event ledger)'!$H$2:$H$65,'Outages (event ledger)'!$A$2:$A$65,Q$2,'Outages (event ledger)'!$E$2:$E$65,"&lt;="&amp;$B52,'Outages (event ledger)'!$G$2:$G$65,"&gt;="&amp;$B52)</f>
        <v>0</v>
      </c>
      <c r="R52" s="26" t="n">
        <f aca="false">SUMIFS('Outages (event ledger)'!$H$2:$H$65,'Outages (event ledger)'!$A$2:$A$65,R$2,'Outages (event ledger)'!$E$2:$E$65,"&lt;="&amp;$B52,'Outages (event ledger)'!$G$2:$G$65,"&gt;="&amp;$B52)</f>
        <v>0</v>
      </c>
      <c r="S52" s="26" t="n">
        <f aca="false">SUMIFS('Outages (event ledger)'!$H$2:$H$65,'Outages (event ledger)'!$A$2:$A$65,S$2,'Outages (event ledger)'!$E$2:$E$65,"&lt;="&amp;$B52,'Outages (event ledger)'!$G$2:$G$65,"&gt;="&amp;$B52)</f>
        <v>0</v>
      </c>
      <c r="T52" s="26" t="n">
        <f aca="false">SUMIFS('Outages (event ledger)'!$H$2:$H$65,'Outages (event ledger)'!$A$2:$A$65,T$2,'Outages (event ledger)'!$E$2:$E$65,"&lt;="&amp;$B52,'Outages (event ledger)'!$G$2:$G$65,"&gt;="&amp;$B52)</f>
        <v>0</v>
      </c>
      <c r="U52" s="26" t="n">
        <f aca="false">SUMIFS('Outages (event ledger)'!$H$2:$H$65,'Outages (event ledger)'!$A$2:$A$65,U$2,'Outages (event ledger)'!$E$2:$E$65,"&lt;="&amp;$B52,'Outages (event ledger)'!$G$2:$G$65,"&gt;="&amp;$B52)</f>
        <v>0</v>
      </c>
      <c r="V52" s="26" t="n">
        <f aca="false">SUMIFS('Outages (event ledger)'!$H$2:$H$65,'Outages (event ledger)'!$A$2:$A$65,V$2,'Outages (event ledger)'!$E$2:$E$65,"&lt;="&amp;$B52,'Outages (event ledger)'!$G$2:$G$65,"&gt;="&amp;$B52)</f>
        <v>0</v>
      </c>
      <c r="W52" s="26" t="n">
        <f aca="false">SUMIFS('Outages (event ledger)'!$H$2:$H$65,'Outages (event ledger)'!$A$2:$A$65,W$2,'Outages (event ledger)'!$E$2:$E$65,"&lt;="&amp;$B52,'Outages (event ledger)'!$G$2:$G$65,"&gt;="&amp;$B52)</f>
        <v>0</v>
      </c>
      <c r="X52" s="26" t="n">
        <f aca="false">SUMIFS('Outages (event ledger)'!$H$2:$H$65,'Outages (event ledger)'!$A$2:$A$65,X$2,'Outages (event ledger)'!$E$2:$E$65,"&lt;="&amp;$B52,'Outages (event ledger)'!$G$2:$G$65,"&gt;="&amp;$B52)</f>
        <v>0</v>
      </c>
      <c r="Y52" s="26" t="n">
        <f aca="false">SUMIFS('Outages (event ledger)'!$H$2:$H$65,'Outages (event ledger)'!$A$2:$A$65,Y$2,'Outages (event ledger)'!$E$2:$E$65,"&lt;="&amp;$B52,'Outages (event ledger)'!$G$2:$G$65,"&gt;="&amp;$B52)</f>
        <v>5</v>
      </c>
      <c r="Z52" s="26" t="n">
        <f aca="false">SUMIFS('Outages (event ledger)'!$H$2:$H$65,'Outages (event ledger)'!$A$2:$A$65,Z$2,'Outages (event ledger)'!$E$2:$E$65,"&lt;="&amp;$B52,'Outages (event ledger)'!$G$2:$G$65,"&gt;="&amp;$B52)</f>
        <v>5</v>
      </c>
      <c r="AA52" s="26" t="n">
        <f aca="false">SUMIFS('Outages (event ledger)'!$H$2:$H$65,'Outages (event ledger)'!$A$2:$A$65,AA$2,'Outages (event ledger)'!$E$2:$E$65,"&lt;="&amp;$B52,'Outages (event ledger)'!$G$2:$G$65,"&gt;="&amp;$B52)</f>
        <v>0</v>
      </c>
      <c r="AB52" s="26" t="n">
        <f aca="false">SUMIFS('Outages (event ledger)'!$H$2:$H$65,'Outages (event ledger)'!$A$2:$A$65,AB$2,'Outages (event ledger)'!$E$2:$E$65,"&lt;="&amp;$B52,'Outages (event ledger)'!$G$2:$G$65,"&gt;="&amp;$B52)</f>
        <v>8</v>
      </c>
      <c r="AC52" s="26" t="n">
        <f aca="false">SUMIFS('Outages (event ledger)'!$H$2:$H$65,'Outages (event ledger)'!$A$2:$A$65,AC$2,'Outages (event ledger)'!$E$2:$E$65,"&lt;="&amp;$B52,'Outages (event ledger)'!$G$2:$G$65,"&gt;="&amp;$B52)</f>
        <v>0</v>
      </c>
      <c r="AD52" s="26" t="n">
        <f aca="false">SUMIFS('Outages (event ledger)'!$H$2:$H$65,'Outages (event ledger)'!$A$2:$A$65,AD$2,'Outages (event ledger)'!$E$2:$E$65,"&lt;="&amp;$B52,'Outages (event ledger)'!$G$2:$G$65,"&gt;="&amp;$B52)</f>
        <v>0</v>
      </c>
      <c r="AE52" s="26" t="n">
        <f aca="false">SUMIFS('Outages (event ledger)'!$H$2:$H$65,'Outages (event ledger)'!$A$2:$A$65,AE$2,'Outages (event ledger)'!$E$2:$E$65,"&lt;="&amp;$B52,'Outages (event ledger)'!$G$2:$G$65,"&gt;="&amp;$B52)</f>
        <v>0</v>
      </c>
      <c r="AF52" s="26" t="n">
        <f aca="false">SUMIFS('Outages (event ledger)'!$H$2:$H$65,'Outages (event ledger)'!$A$2:$A$65,AF$2,'Outages (event ledger)'!$E$2:$E$65,"&lt;="&amp;$B52,'Outages (event ledger)'!$G$2:$G$65,"&gt;="&amp;$B52)</f>
        <v>0</v>
      </c>
      <c r="AG52" s="26" t="n">
        <f aca="false">SUMIFS('Outages (event ledger)'!$H$2:$H$65,'Outages (event ledger)'!$A$2:$A$65,AG$2,'Outages (event ledger)'!$E$2:$E$65,"&lt;="&amp;$B52,'Outages (event ledger)'!$G$2:$G$65,"&gt;="&amp;$B52)</f>
        <v>0</v>
      </c>
      <c r="AH52" s="26" t="n">
        <f aca="false">SUMIFS('Outages (event ledger)'!$H$2:$H$65,'Outages (event ledger)'!$A$2:$A$65,AH$2,'Outages (event ledger)'!$E$2:$E$65,"&lt;="&amp;$B52,'Outages (event ledger)'!$G$2:$G$65,"&gt;="&amp;$B52)</f>
        <v>0</v>
      </c>
      <c r="AI52" s="26" t="n">
        <f aca="false">SUMIFS('Outages (event ledger)'!$H$2:$H$65,'Outages (event ledger)'!$A$2:$A$65,AI$2,'Outages (event ledger)'!$E$2:$E$65,"&lt;="&amp;$B52,'Outages (event ledger)'!$G$2:$G$65,"&gt;="&amp;$B52)</f>
        <v>0</v>
      </c>
      <c r="AJ52" s="26" t="n">
        <f aca="false">SUMIFS('Outages (event ledger)'!$H$2:$H$65,'Outages (event ledger)'!$A$2:$A$65,AJ$2,'Outages (event ledger)'!$E$2:$E$65,"&lt;="&amp;$B52,'Outages (event ledger)'!$G$2:$G$65,"&gt;="&amp;$B52)</f>
        <v>0</v>
      </c>
      <c r="AK52" s="26" t="n">
        <f aca="false">SUMIFS('Outages (event ledger)'!$H$2:$H$65,'Outages (event ledger)'!$A$2:$A$65,AK$2,'Outages (event ledger)'!$E$2:$E$65,"&lt;="&amp;$B52,'Outages (event ledger)'!$G$2:$G$65,"&gt;="&amp;$B52)</f>
        <v>0</v>
      </c>
      <c r="AL52" s="26" t="n">
        <f aca="false">SUMIFS('Outages (event ledger)'!$H$2:$H$65,'Outages (event ledger)'!$A$2:$A$65,AL$2,'Outages (event ledger)'!$E$2:$E$65,"&lt;="&amp;$B52,'Outages (event ledger)'!$G$2:$G$65,"&gt;="&amp;$B52)</f>
        <v>3.5</v>
      </c>
      <c r="AM52" s="26" t="n">
        <f aca="false">SUMIFS('Outages (event ledger)'!$H$2:$H$65,'Outages (event ledger)'!$A$2:$A$65,AM$2,'Outages (event ledger)'!$E$2:$E$65,"&lt;="&amp;$B52,'Outages (event ledger)'!$G$2:$G$65,"&gt;="&amp;$B52)</f>
        <v>0</v>
      </c>
      <c r="AN52" s="26" t="n">
        <f aca="false">SUMIFS('Outages (event ledger)'!$H$2:$H$65,'Outages (event ledger)'!$A$2:$A$65,AN$2,'Outages (event ledger)'!$E$2:$E$65,"&lt;="&amp;$B52,'Outages (event ledger)'!$G$2:$G$65,"&gt;="&amp;$B52)</f>
        <v>0</v>
      </c>
      <c r="AO52" s="26" t="n">
        <f aca="false">SUMIFS('Outages (event ledger)'!$H$2:$H$65,'Outages (event ledger)'!$A$2:$A$65,AO$2,'Outages (event ledger)'!$E$2:$E$65,"&lt;="&amp;$B52,'Outages (event ledger)'!$G$2:$G$65,"&gt;="&amp;$B52)</f>
        <v>0</v>
      </c>
      <c r="AP52" s="26" t="n">
        <f aca="false">SUMIFS('Outages (event ledger)'!$H$2:$H$65,'Outages (event ledger)'!$A$2:$A$65,AP$2,'Outages (event ledger)'!$E$2:$E$65,"&lt;="&amp;$B52,'Outages (event ledger)'!$G$2:$G$65,"&gt;="&amp;$B52)</f>
        <v>0</v>
      </c>
      <c r="AQ52" s="26" t="n">
        <f aca="false">SUMIFS('Outages (event ledger)'!$H$2:$H$65,'Outages (event ledger)'!$A$2:$A$65,AQ$2,'Outages (event ledger)'!$E$2:$E$65,"&lt;="&amp;$B52,'Outages (event ledger)'!$G$2:$G$65,"&gt;="&amp;$B52)</f>
        <v>0</v>
      </c>
      <c r="AR52" s="26" t="n">
        <f aca="false">SUMIFS('Outages (event ledger)'!$H$2:$H$65,'Outages (event ledger)'!$A$2:$A$65,AR$2,'Outages (event ledger)'!$E$2:$E$65,"&lt;="&amp;$B52,'Outages (event ledger)'!$G$2:$G$65,"&gt;="&amp;$B52)</f>
        <v>0</v>
      </c>
      <c r="AS52" s="26" t="n">
        <f aca="false">SUMIFS('Outages (event ledger)'!$H$2:$H$65,'Outages (event ledger)'!$A$2:$A$65,AS$2,'Outages (event ledger)'!$E$2:$E$65,"&lt;="&amp;$B52,'Outages (event ledger)'!$G$2:$G$65,"&gt;="&amp;$B52)</f>
        <v>0</v>
      </c>
      <c r="AT52" s="26" t="n">
        <f aca="false">SUMIFS('Outages (event ledger)'!$H$2:$H$65,'Outages (event ledger)'!$A$2:$A$65,AT$2,'Outages (event ledger)'!$E$2:$E$65,"&lt;="&amp;$B52,'Outages (event ledger)'!$G$2:$G$65,"&gt;="&amp;$B52)</f>
        <v>0</v>
      </c>
      <c r="AU52" s="26" t="n">
        <f aca="false">SUMIFS('Outages (event ledger)'!$H$2:$H$65,'Outages (event ledger)'!$A$2:$A$65,AU$2,'Outages (event ledger)'!$E$2:$E$65,"&lt;="&amp;$B52,'Outages (event ledger)'!$G$2:$G$65,"&gt;="&amp;$B52)</f>
        <v>0</v>
      </c>
      <c r="AV52" s="26" t="n">
        <f aca="false">SUMIFS('Outages (event ledger)'!$H$2:$H$65,'Outages (event ledger)'!$A$2:$A$65,AV$2,'Outages (event ledger)'!$E$2:$E$65,"&lt;="&amp;$B52,'Outages (event ledger)'!$G$2:$G$65,"&gt;="&amp;$B52)</f>
        <v>0</v>
      </c>
      <c r="AW52" s="26" t="n">
        <f aca="false">SUMIFS('Outages (event ledger)'!$H$2:$H$65,'Outages (event ledger)'!$A$2:$A$65,AW$2,'Outages (event ledger)'!$E$2:$E$65,"&lt;="&amp;$B52,'Outages (event ledger)'!$G$2:$G$65,"&gt;="&amp;$B52)</f>
        <v>0</v>
      </c>
      <c r="AX52" s="26" t="n">
        <f aca="false">SUMIFS('Outages (event ledger)'!$H$2:$H$65,'Outages (event ledger)'!$A$2:$A$65,AX$2,'Outages (event ledger)'!$E$2:$E$65,"&lt;="&amp;$B52,'Outages (event ledger)'!$G$2:$G$65,"&gt;="&amp;$B52)</f>
        <v>0</v>
      </c>
      <c r="AY52" s="26" t="n">
        <f aca="false">SUMIFS('Outages (event ledger)'!$H$2:$H$65,'Outages (event ledger)'!$A$2:$A$65,AY$2,'Outages (event ledger)'!$E$2:$E$65,"&lt;="&amp;$B52,'Outages (event ledger)'!$G$2:$G$65,"&gt;="&amp;$B52)</f>
        <v>0</v>
      </c>
      <c r="AZ52" s="26" t="n">
        <f aca="false">SUMIFS('Outages (event ledger)'!$H$2:$H$65,'Outages (event ledger)'!$A$2:$A$65,AZ$2,'Outages (event ledger)'!$E$2:$E$65,"&lt;="&amp;$B52,'Outages (event ledger)'!$G$2:$G$65,"&gt;="&amp;$B52)</f>
        <v>0</v>
      </c>
      <c r="BA52" s="26" t="n">
        <f aca="false">SUMIFS('Outages (event ledger)'!$H$2:$H$65,'Outages (event ledger)'!$A$2:$A$65,BA$2,'Outages (event ledger)'!$E$2:$E$65,"&lt;="&amp;$B52,'Outages (event ledger)'!$G$2:$G$65,"&gt;="&amp;$B52)</f>
        <v>0</v>
      </c>
      <c r="BB52" s="26" t="n">
        <f aca="false">SUMIFS('Outages (event ledger)'!$H$2:$H$65,'Outages (event ledger)'!$A$2:$A$65,BB$2,'Outages (event ledger)'!$E$2:$E$65,"&lt;="&amp;$B52,'Outages (event ledger)'!$G$2:$G$65,"&gt;="&amp;$B52)</f>
        <v>0</v>
      </c>
      <c r="BC52" s="26" t="n">
        <f aca="false">SUMIFS('Outages (event ledger)'!$H$2:$H$65,'Outages (event ledger)'!$A$2:$A$65,BC$2,'Outages (event ledger)'!$E$2:$E$65,"&lt;="&amp;$B52,'Outages (event ledger)'!$G$2:$G$65,"&gt;="&amp;$B52)</f>
        <v>0</v>
      </c>
      <c r="BD52" s="26" t="n">
        <f aca="false">SUMIFS('Outages (event ledger)'!$H$2:$H$65,'Outages (event ledger)'!$A$2:$A$65,BD$2,'Outages (event ledger)'!$E$2:$E$65,"&lt;="&amp;$B52,'Outages (event ledger)'!$G$2:$G$65,"&gt;="&amp;$B52)</f>
        <v>0</v>
      </c>
      <c r="BE52" s="26" t="n">
        <f aca="false">SUMIFS('Outages (event ledger)'!$H$2:$H$65,'Outages (event ledger)'!$A$2:$A$65,BE$2,'Outages (event ledger)'!$E$2:$E$65,"&lt;="&amp;$B52,'Outages (event ledger)'!$G$2:$G$65,"&gt;="&amp;$B52)</f>
        <v>0</v>
      </c>
      <c r="BF52" s="26" t="n">
        <f aca="false">SUMIFS('Outages (event ledger)'!$H$2:$H$65,'Outages (event ledger)'!$A$2:$A$65,BF$2,'Outages (event ledger)'!$E$2:$E$65,"&lt;="&amp;$B52,'Outages (event ledger)'!$G$2:$G$65,"&gt;="&amp;$B52)</f>
        <v>0</v>
      </c>
      <c r="BG52" s="26" t="n">
        <f aca="false">SUMIFS('Outages (event ledger)'!$H$2:$H$65,'Outages (event ledger)'!$A$2:$A$65,BG$2,'Outages (event ledger)'!$E$2:$E$65,"&lt;="&amp;$B52,'Outages (event ledger)'!$G$2:$G$65,"&gt;="&amp;$B52)</f>
        <v>0</v>
      </c>
      <c r="BH52" s="26" t="n">
        <f aca="false">SUMIFS('Outages (event ledger)'!$H$2:$H$65,'Outages (event ledger)'!$A$2:$A$65,BH$2,'Outages (event ledger)'!$E$2:$E$65,"&lt;="&amp;$B52,'Outages (event ledger)'!$G$2:$G$65,"&gt;="&amp;$B52)</f>
        <v>0</v>
      </c>
      <c r="BI52" s="26" t="n">
        <f aca="false">SUMIFS('Outages (event ledger)'!$H$2:$H$65,'Outages (event ledger)'!$A$2:$A$65,BI$2,'Outages (event ledger)'!$E$2:$E$65,"&lt;="&amp;$B52,'Outages (event ledger)'!$G$2:$G$65,"&gt;="&amp;$B52)</f>
        <v>0</v>
      </c>
    </row>
    <row r="53" customFormat="false" ht="15" hidden="false" customHeight="false" outlineLevel="0" collapsed="false">
      <c r="A53" s="23" t="n">
        <v>41699</v>
      </c>
      <c r="B53" s="24" t="n">
        <v>201403</v>
      </c>
      <c r="C53" s="25" t="n">
        <f aca="false">SUM(D53:BI53)</f>
        <v>21.5</v>
      </c>
      <c r="D53" s="26" t="n">
        <f aca="false">SUMIFS('Outages (event ledger)'!$H$2:$H$65,'Outages (event ledger)'!$A$2:$A$65,D$2,'Outages (event ledger)'!$E$2:$E$65,"&lt;="&amp;$B53,'Outages (event ledger)'!$G$2:$G$65,"&gt;="&amp;$B53)</f>
        <v>0</v>
      </c>
      <c r="E53" s="26" t="n">
        <f aca="false">SUMIFS('Outages (event ledger)'!$H$2:$H$65,'Outages (event ledger)'!$A$2:$A$65,E$2,'Outages (event ledger)'!$E$2:$E$65,"&lt;="&amp;$B53,'Outages (event ledger)'!$G$2:$G$65,"&gt;="&amp;$B53)</f>
        <v>0</v>
      </c>
      <c r="F53" s="26" t="n">
        <f aca="false">SUMIFS('Outages (event ledger)'!$H$2:$H$65,'Outages (event ledger)'!$A$2:$A$65,F$2,'Outages (event ledger)'!$E$2:$E$65,"&lt;="&amp;$B53,'Outages (event ledger)'!$G$2:$G$65,"&gt;="&amp;$B53)</f>
        <v>0</v>
      </c>
      <c r="G53" s="26" t="n">
        <f aca="false">SUMIFS('Outages (event ledger)'!$H$2:$H$65,'Outages (event ledger)'!$A$2:$A$65,G$2,'Outages (event ledger)'!$E$2:$E$65,"&lt;="&amp;$B53,'Outages (event ledger)'!$G$2:$G$65,"&gt;="&amp;$B53)</f>
        <v>0</v>
      </c>
      <c r="H53" s="26" t="n">
        <f aca="false">SUMIFS('Outages (event ledger)'!$H$2:$H$65,'Outages (event ledger)'!$A$2:$A$65,H$2,'Outages (event ledger)'!$E$2:$E$65,"&lt;="&amp;$B53,'Outages (event ledger)'!$G$2:$G$65,"&gt;="&amp;$B53)</f>
        <v>0</v>
      </c>
      <c r="I53" s="26" t="n">
        <f aca="false">SUMIFS('Outages (event ledger)'!$H$2:$H$65,'Outages (event ledger)'!$A$2:$A$65,I$2,'Outages (event ledger)'!$E$2:$E$65,"&lt;="&amp;$B53,'Outages (event ledger)'!$G$2:$G$65,"&gt;="&amp;$B53)</f>
        <v>0</v>
      </c>
      <c r="J53" s="26" t="n">
        <f aca="false">SUMIFS('Outages (event ledger)'!$H$2:$H$65,'Outages (event ledger)'!$A$2:$A$65,J$2,'Outages (event ledger)'!$E$2:$E$65,"&lt;="&amp;$B53,'Outages (event ledger)'!$G$2:$G$65,"&gt;="&amp;$B53)</f>
        <v>0</v>
      </c>
      <c r="K53" s="26" t="n">
        <f aca="false">SUMIFS('Outages (event ledger)'!$H$2:$H$65,'Outages (event ledger)'!$A$2:$A$65,K$2,'Outages (event ledger)'!$E$2:$E$65,"&lt;="&amp;$B53,'Outages (event ledger)'!$G$2:$G$65,"&gt;="&amp;$B53)</f>
        <v>0</v>
      </c>
      <c r="L53" s="26" t="n">
        <f aca="false">SUMIFS('Outages (event ledger)'!$H$2:$H$65,'Outages (event ledger)'!$A$2:$A$65,L$2,'Outages (event ledger)'!$E$2:$E$65,"&lt;="&amp;$B53,'Outages (event ledger)'!$G$2:$G$65,"&gt;="&amp;$B53)</f>
        <v>0</v>
      </c>
      <c r="M53" s="26" t="n">
        <f aca="false">SUMIFS('Outages (event ledger)'!$H$2:$H$65,'Outages (event ledger)'!$A$2:$A$65,M$2,'Outages (event ledger)'!$E$2:$E$65,"&lt;="&amp;$B53,'Outages (event ledger)'!$G$2:$G$65,"&gt;="&amp;$B53)</f>
        <v>0</v>
      </c>
      <c r="N53" s="26" t="n">
        <f aca="false">SUMIFS('Outages (event ledger)'!$H$2:$H$65,'Outages (event ledger)'!$A$2:$A$65,N$2,'Outages (event ledger)'!$E$2:$E$65,"&lt;="&amp;$B53,'Outages (event ledger)'!$G$2:$G$65,"&gt;="&amp;$B53)</f>
        <v>0</v>
      </c>
      <c r="O53" s="26" t="n">
        <f aca="false">SUMIFS('Outages (event ledger)'!$H$2:$H$65,'Outages (event ledger)'!$A$2:$A$65,O$2,'Outages (event ledger)'!$E$2:$E$65,"&lt;="&amp;$B53,'Outages (event ledger)'!$G$2:$G$65,"&gt;="&amp;$B53)</f>
        <v>0</v>
      </c>
      <c r="P53" s="26" t="n">
        <f aca="false">SUMIFS('Outages (event ledger)'!$H$2:$H$65,'Outages (event ledger)'!$A$2:$A$65,P$2,'Outages (event ledger)'!$E$2:$E$65,"&lt;="&amp;$B53,'Outages (event ledger)'!$G$2:$G$65,"&gt;="&amp;$B53)</f>
        <v>0</v>
      </c>
      <c r="Q53" s="26" t="n">
        <f aca="false">SUMIFS('Outages (event ledger)'!$H$2:$H$65,'Outages (event ledger)'!$A$2:$A$65,Q$2,'Outages (event ledger)'!$E$2:$E$65,"&lt;="&amp;$B53,'Outages (event ledger)'!$G$2:$G$65,"&gt;="&amp;$B53)</f>
        <v>0</v>
      </c>
      <c r="R53" s="26" t="n">
        <f aca="false">SUMIFS('Outages (event ledger)'!$H$2:$H$65,'Outages (event ledger)'!$A$2:$A$65,R$2,'Outages (event ledger)'!$E$2:$E$65,"&lt;="&amp;$B53,'Outages (event ledger)'!$G$2:$G$65,"&gt;="&amp;$B53)</f>
        <v>0</v>
      </c>
      <c r="S53" s="26" t="n">
        <f aca="false">SUMIFS('Outages (event ledger)'!$H$2:$H$65,'Outages (event ledger)'!$A$2:$A$65,S$2,'Outages (event ledger)'!$E$2:$E$65,"&lt;="&amp;$B53,'Outages (event ledger)'!$G$2:$G$65,"&gt;="&amp;$B53)</f>
        <v>0</v>
      </c>
      <c r="T53" s="26" t="n">
        <f aca="false">SUMIFS('Outages (event ledger)'!$H$2:$H$65,'Outages (event ledger)'!$A$2:$A$65,T$2,'Outages (event ledger)'!$E$2:$E$65,"&lt;="&amp;$B53,'Outages (event ledger)'!$G$2:$G$65,"&gt;="&amp;$B53)</f>
        <v>0</v>
      </c>
      <c r="U53" s="26" t="n">
        <f aca="false">SUMIFS('Outages (event ledger)'!$H$2:$H$65,'Outages (event ledger)'!$A$2:$A$65,U$2,'Outages (event ledger)'!$E$2:$E$65,"&lt;="&amp;$B53,'Outages (event ledger)'!$G$2:$G$65,"&gt;="&amp;$B53)</f>
        <v>0</v>
      </c>
      <c r="V53" s="26" t="n">
        <f aca="false">SUMIFS('Outages (event ledger)'!$H$2:$H$65,'Outages (event ledger)'!$A$2:$A$65,V$2,'Outages (event ledger)'!$E$2:$E$65,"&lt;="&amp;$B53,'Outages (event ledger)'!$G$2:$G$65,"&gt;="&amp;$B53)</f>
        <v>0</v>
      </c>
      <c r="W53" s="26" t="n">
        <f aca="false">SUMIFS('Outages (event ledger)'!$H$2:$H$65,'Outages (event ledger)'!$A$2:$A$65,W$2,'Outages (event ledger)'!$E$2:$E$65,"&lt;="&amp;$B53,'Outages (event ledger)'!$G$2:$G$65,"&gt;="&amp;$B53)</f>
        <v>0</v>
      </c>
      <c r="X53" s="26" t="n">
        <f aca="false">SUMIFS('Outages (event ledger)'!$H$2:$H$65,'Outages (event ledger)'!$A$2:$A$65,X$2,'Outages (event ledger)'!$E$2:$E$65,"&lt;="&amp;$B53,'Outages (event ledger)'!$G$2:$G$65,"&gt;="&amp;$B53)</f>
        <v>0</v>
      </c>
      <c r="Y53" s="26" t="n">
        <f aca="false">SUMIFS('Outages (event ledger)'!$H$2:$H$65,'Outages (event ledger)'!$A$2:$A$65,Y$2,'Outages (event ledger)'!$E$2:$E$65,"&lt;="&amp;$B53,'Outages (event ledger)'!$G$2:$G$65,"&gt;="&amp;$B53)</f>
        <v>5</v>
      </c>
      <c r="Z53" s="26" t="n">
        <f aca="false">SUMIFS('Outages (event ledger)'!$H$2:$H$65,'Outages (event ledger)'!$A$2:$A$65,Z$2,'Outages (event ledger)'!$E$2:$E$65,"&lt;="&amp;$B53,'Outages (event ledger)'!$G$2:$G$65,"&gt;="&amp;$B53)</f>
        <v>5</v>
      </c>
      <c r="AA53" s="26" t="n">
        <f aca="false">SUMIFS('Outages (event ledger)'!$H$2:$H$65,'Outages (event ledger)'!$A$2:$A$65,AA$2,'Outages (event ledger)'!$E$2:$E$65,"&lt;="&amp;$B53,'Outages (event ledger)'!$G$2:$G$65,"&gt;="&amp;$B53)</f>
        <v>0</v>
      </c>
      <c r="AB53" s="26" t="n">
        <f aca="false">SUMIFS('Outages (event ledger)'!$H$2:$H$65,'Outages (event ledger)'!$A$2:$A$65,AB$2,'Outages (event ledger)'!$E$2:$E$65,"&lt;="&amp;$B53,'Outages (event ledger)'!$G$2:$G$65,"&gt;="&amp;$B53)</f>
        <v>8</v>
      </c>
      <c r="AC53" s="26" t="n">
        <f aca="false">SUMIFS('Outages (event ledger)'!$H$2:$H$65,'Outages (event ledger)'!$A$2:$A$65,AC$2,'Outages (event ledger)'!$E$2:$E$65,"&lt;="&amp;$B53,'Outages (event ledger)'!$G$2:$G$65,"&gt;="&amp;$B53)</f>
        <v>0</v>
      </c>
      <c r="AD53" s="26" t="n">
        <f aca="false">SUMIFS('Outages (event ledger)'!$H$2:$H$65,'Outages (event ledger)'!$A$2:$A$65,AD$2,'Outages (event ledger)'!$E$2:$E$65,"&lt;="&amp;$B53,'Outages (event ledger)'!$G$2:$G$65,"&gt;="&amp;$B53)</f>
        <v>0</v>
      </c>
      <c r="AE53" s="26" t="n">
        <f aca="false">SUMIFS('Outages (event ledger)'!$H$2:$H$65,'Outages (event ledger)'!$A$2:$A$65,AE$2,'Outages (event ledger)'!$E$2:$E$65,"&lt;="&amp;$B53,'Outages (event ledger)'!$G$2:$G$65,"&gt;="&amp;$B53)</f>
        <v>0</v>
      </c>
      <c r="AF53" s="26" t="n">
        <f aca="false">SUMIFS('Outages (event ledger)'!$H$2:$H$65,'Outages (event ledger)'!$A$2:$A$65,AF$2,'Outages (event ledger)'!$E$2:$E$65,"&lt;="&amp;$B53,'Outages (event ledger)'!$G$2:$G$65,"&gt;="&amp;$B53)</f>
        <v>0</v>
      </c>
      <c r="AG53" s="26" t="n">
        <f aca="false">SUMIFS('Outages (event ledger)'!$H$2:$H$65,'Outages (event ledger)'!$A$2:$A$65,AG$2,'Outages (event ledger)'!$E$2:$E$65,"&lt;="&amp;$B53,'Outages (event ledger)'!$G$2:$G$65,"&gt;="&amp;$B53)</f>
        <v>0</v>
      </c>
      <c r="AH53" s="26" t="n">
        <f aca="false">SUMIFS('Outages (event ledger)'!$H$2:$H$65,'Outages (event ledger)'!$A$2:$A$65,AH$2,'Outages (event ledger)'!$E$2:$E$65,"&lt;="&amp;$B53,'Outages (event ledger)'!$G$2:$G$65,"&gt;="&amp;$B53)</f>
        <v>0</v>
      </c>
      <c r="AI53" s="26" t="n">
        <f aca="false">SUMIFS('Outages (event ledger)'!$H$2:$H$65,'Outages (event ledger)'!$A$2:$A$65,AI$2,'Outages (event ledger)'!$E$2:$E$65,"&lt;="&amp;$B53,'Outages (event ledger)'!$G$2:$G$65,"&gt;="&amp;$B53)</f>
        <v>0</v>
      </c>
      <c r="AJ53" s="26" t="n">
        <f aca="false">SUMIFS('Outages (event ledger)'!$H$2:$H$65,'Outages (event ledger)'!$A$2:$A$65,AJ$2,'Outages (event ledger)'!$E$2:$E$65,"&lt;="&amp;$B53,'Outages (event ledger)'!$G$2:$G$65,"&gt;="&amp;$B53)</f>
        <v>0</v>
      </c>
      <c r="AK53" s="26" t="n">
        <f aca="false">SUMIFS('Outages (event ledger)'!$H$2:$H$65,'Outages (event ledger)'!$A$2:$A$65,AK$2,'Outages (event ledger)'!$E$2:$E$65,"&lt;="&amp;$B53,'Outages (event ledger)'!$G$2:$G$65,"&gt;="&amp;$B53)</f>
        <v>0</v>
      </c>
      <c r="AL53" s="26" t="n">
        <f aca="false">SUMIFS('Outages (event ledger)'!$H$2:$H$65,'Outages (event ledger)'!$A$2:$A$65,AL$2,'Outages (event ledger)'!$E$2:$E$65,"&lt;="&amp;$B53,'Outages (event ledger)'!$G$2:$G$65,"&gt;="&amp;$B53)</f>
        <v>3.5</v>
      </c>
      <c r="AM53" s="26" t="n">
        <f aca="false">SUMIFS('Outages (event ledger)'!$H$2:$H$65,'Outages (event ledger)'!$A$2:$A$65,AM$2,'Outages (event ledger)'!$E$2:$E$65,"&lt;="&amp;$B53,'Outages (event ledger)'!$G$2:$G$65,"&gt;="&amp;$B53)</f>
        <v>0</v>
      </c>
      <c r="AN53" s="26" t="n">
        <f aca="false">SUMIFS('Outages (event ledger)'!$H$2:$H$65,'Outages (event ledger)'!$A$2:$A$65,AN$2,'Outages (event ledger)'!$E$2:$E$65,"&lt;="&amp;$B53,'Outages (event ledger)'!$G$2:$G$65,"&gt;="&amp;$B53)</f>
        <v>0</v>
      </c>
      <c r="AO53" s="26" t="n">
        <f aca="false">SUMIFS('Outages (event ledger)'!$H$2:$H$65,'Outages (event ledger)'!$A$2:$A$65,AO$2,'Outages (event ledger)'!$E$2:$E$65,"&lt;="&amp;$B53,'Outages (event ledger)'!$G$2:$G$65,"&gt;="&amp;$B53)</f>
        <v>0</v>
      </c>
      <c r="AP53" s="26" t="n">
        <f aca="false">SUMIFS('Outages (event ledger)'!$H$2:$H$65,'Outages (event ledger)'!$A$2:$A$65,AP$2,'Outages (event ledger)'!$E$2:$E$65,"&lt;="&amp;$B53,'Outages (event ledger)'!$G$2:$G$65,"&gt;="&amp;$B53)</f>
        <v>0</v>
      </c>
      <c r="AQ53" s="26" t="n">
        <f aca="false">SUMIFS('Outages (event ledger)'!$H$2:$H$65,'Outages (event ledger)'!$A$2:$A$65,AQ$2,'Outages (event ledger)'!$E$2:$E$65,"&lt;="&amp;$B53,'Outages (event ledger)'!$G$2:$G$65,"&gt;="&amp;$B53)</f>
        <v>0</v>
      </c>
      <c r="AR53" s="26" t="n">
        <f aca="false">SUMIFS('Outages (event ledger)'!$H$2:$H$65,'Outages (event ledger)'!$A$2:$A$65,AR$2,'Outages (event ledger)'!$E$2:$E$65,"&lt;="&amp;$B53,'Outages (event ledger)'!$G$2:$G$65,"&gt;="&amp;$B53)</f>
        <v>0</v>
      </c>
      <c r="AS53" s="26" t="n">
        <f aca="false">SUMIFS('Outages (event ledger)'!$H$2:$H$65,'Outages (event ledger)'!$A$2:$A$65,AS$2,'Outages (event ledger)'!$E$2:$E$65,"&lt;="&amp;$B53,'Outages (event ledger)'!$G$2:$G$65,"&gt;="&amp;$B53)</f>
        <v>0</v>
      </c>
      <c r="AT53" s="26" t="n">
        <f aca="false">SUMIFS('Outages (event ledger)'!$H$2:$H$65,'Outages (event ledger)'!$A$2:$A$65,AT$2,'Outages (event ledger)'!$E$2:$E$65,"&lt;="&amp;$B53,'Outages (event ledger)'!$G$2:$G$65,"&gt;="&amp;$B53)</f>
        <v>0</v>
      </c>
      <c r="AU53" s="26" t="n">
        <f aca="false">SUMIFS('Outages (event ledger)'!$H$2:$H$65,'Outages (event ledger)'!$A$2:$A$65,AU$2,'Outages (event ledger)'!$E$2:$E$65,"&lt;="&amp;$B53,'Outages (event ledger)'!$G$2:$G$65,"&gt;="&amp;$B53)</f>
        <v>0</v>
      </c>
      <c r="AV53" s="26" t="n">
        <f aca="false">SUMIFS('Outages (event ledger)'!$H$2:$H$65,'Outages (event ledger)'!$A$2:$A$65,AV$2,'Outages (event ledger)'!$E$2:$E$65,"&lt;="&amp;$B53,'Outages (event ledger)'!$G$2:$G$65,"&gt;="&amp;$B53)</f>
        <v>0</v>
      </c>
      <c r="AW53" s="26" t="n">
        <f aca="false">SUMIFS('Outages (event ledger)'!$H$2:$H$65,'Outages (event ledger)'!$A$2:$A$65,AW$2,'Outages (event ledger)'!$E$2:$E$65,"&lt;="&amp;$B53,'Outages (event ledger)'!$G$2:$G$65,"&gt;="&amp;$B53)</f>
        <v>0</v>
      </c>
      <c r="AX53" s="26" t="n">
        <f aca="false">SUMIFS('Outages (event ledger)'!$H$2:$H$65,'Outages (event ledger)'!$A$2:$A$65,AX$2,'Outages (event ledger)'!$E$2:$E$65,"&lt;="&amp;$B53,'Outages (event ledger)'!$G$2:$G$65,"&gt;="&amp;$B53)</f>
        <v>0</v>
      </c>
      <c r="AY53" s="26" t="n">
        <f aca="false">SUMIFS('Outages (event ledger)'!$H$2:$H$65,'Outages (event ledger)'!$A$2:$A$65,AY$2,'Outages (event ledger)'!$E$2:$E$65,"&lt;="&amp;$B53,'Outages (event ledger)'!$G$2:$G$65,"&gt;="&amp;$B53)</f>
        <v>0</v>
      </c>
      <c r="AZ53" s="26" t="n">
        <f aca="false">SUMIFS('Outages (event ledger)'!$H$2:$H$65,'Outages (event ledger)'!$A$2:$A$65,AZ$2,'Outages (event ledger)'!$E$2:$E$65,"&lt;="&amp;$B53,'Outages (event ledger)'!$G$2:$G$65,"&gt;="&amp;$B53)</f>
        <v>0</v>
      </c>
      <c r="BA53" s="26" t="n">
        <f aca="false">SUMIFS('Outages (event ledger)'!$H$2:$H$65,'Outages (event ledger)'!$A$2:$A$65,BA$2,'Outages (event ledger)'!$E$2:$E$65,"&lt;="&amp;$B53,'Outages (event ledger)'!$G$2:$G$65,"&gt;="&amp;$B53)</f>
        <v>0</v>
      </c>
      <c r="BB53" s="26" t="n">
        <f aca="false">SUMIFS('Outages (event ledger)'!$H$2:$H$65,'Outages (event ledger)'!$A$2:$A$65,BB$2,'Outages (event ledger)'!$E$2:$E$65,"&lt;="&amp;$B53,'Outages (event ledger)'!$G$2:$G$65,"&gt;="&amp;$B53)</f>
        <v>0</v>
      </c>
      <c r="BC53" s="26" t="n">
        <f aca="false">SUMIFS('Outages (event ledger)'!$H$2:$H$65,'Outages (event ledger)'!$A$2:$A$65,BC$2,'Outages (event ledger)'!$E$2:$E$65,"&lt;="&amp;$B53,'Outages (event ledger)'!$G$2:$G$65,"&gt;="&amp;$B53)</f>
        <v>0</v>
      </c>
      <c r="BD53" s="26" t="n">
        <f aca="false">SUMIFS('Outages (event ledger)'!$H$2:$H$65,'Outages (event ledger)'!$A$2:$A$65,BD$2,'Outages (event ledger)'!$E$2:$E$65,"&lt;="&amp;$B53,'Outages (event ledger)'!$G$2:$G$65,"&gt;="&amp;$B53)</f>
        <v>0</v>
      </c>
      <c r="BE53" s="26" t="n">
        <f aca="false">SUMIFS('Outages (event ledger)'!$H$2:$H$65,'Outages (event ledger)'!$A$2:$A$65,BE$2,'Outages (event ledger)'!$E$2:$E$65,"&lt;="&amp;$B53,'Outages (event ledger)'!$G$2:$G$65,"&gt;="&amp;$B53)</f>
        <v>0</v>
      </c>
      <c r="BF53" s="26" t="n">
        <f aca="false">SUMIFS('Outages (event ledger)'!$H$2:$H$65,'Outages (event ledger)'!$A$2:$A$65,BF$2,'Outages (event ledger)'!$E$2:$E$65,"&lt;="&amp;$B53,'Outages (event ledger)'!$G$2:$G$65,"&gt;="&amp;$B53)</f>
        <v>0</v>
      </c>
      <c r="BG53" s="26" t="n">
        <f aca="false">SUMIFS('Outages (event ledger)'!$H$2:$H$65,'Outages (event ledger)'!$A$2:$A$65,BG$2,'Outages (event ledger)'!$E$2:$E$65,"&lt;="&amp;$B53,'Outages (event ledger)'!$G$2:$G$65,"&gt;="&amp;$B53)</f>
        <v>0</v>
      </c>
      <c r="BH53" s="26" t="n">
        <f aca="false">SUMIFS('Outages (event ledger)'!$H$2:$H$65,'Outages (event ledger)'!$A$2:$A$65,BH$2,'Outages (event ledger)'!$E$2:$E$65,"&lt;="&amp;$B53,'Outages (event ledger)'!$G$2:$G$65,"&gt;="&amp;$B53)</f>
        <v>0</v>
      </c>
      <c r="BI53" s="26" t="n">
        <f aca="false">SUMIFS('Outages (event ledger)'!$H$2:$H$65,'Outages (event ledger)'!$A$2:$A$65,BI$2,'Outages (event ledger)'!$E$2:$E$65,"&lt;="&amp;$B53,'Outages (event ledger)'!$G$2:$G$65,"&gt;="&amp;$B53)</f>
        <v>0</v>
      </c>
    </row>
    <row r="54" customFormat="false" ht="15" hidden="false" customHeight="false" outlineLevel="0" collapsed="false">
      <c r="A54" s="23" t="n">
        <v>41730</v>
      </c>
      <c r="B54" s="24" t="n">
        <v>201404</v>
      </c>
      <c r="C54" s="25" t="n">
        <f aca="false">SUM(D54:BI54)</f>
        <v>26.7</v>
      </c>
      <c r="D54" s="26" t="n">
        <f aca="false">SUMIFS('Outages (event ledger)'!$H$2:$H$65,'Outages (event ledger)'!$A$2:$A$65,D$2,'Outages (event ledger)'!$E$2:$E$65,"&lt;="&amp;$B54,'Outages (event ledger)'!$G$2:$G$65,"&gt;="&amp;$B54)</f>
        <v>0</v>
      </c>
      <c r="E54" s="26" t="n">
        <f aca="false">SUMIFS('Outages (event ledger)'!$H$2:$H$65,'Outages (event ledger)'!$A$2:$A$65,E$2,'Outages (event ledger)'!$E$2:$E$65,"&lt;="&amp;$B54,'Outages (event ledger)'!$G$2:$G$65,"&gt;="&amp;$B54)</f>
        <v>0</v>
      </c>
      <c r="F54" s="26" t="n">
        <f aca="false">SUMIFS('Outages (event ledger)'!$H$2:$H$65,'Outages (event ledger)'!$A$2:$A$65,F$2,'Outages (event ledger)'!$E$2:$E$65,"&lt;="&amp;$B54,'Outages (event ledger)'!$G$2:$G$65,"&gt;="&amp;$B54)</f>
        <v>0</v>
      </c>
      <c r="G54" s="26" t="n">
        <f aca="false">SUMIFS('Outages (event ledger)'!$H$2:$H$65,'Outages (event ledger)'!$A$2:$A$65,G$2,'Outages (event ledger)'!$E$2:$E$65,"&lt;="&amp;$B54,'Outages (event ledger)'!$G$2:$G$65,"&gt;="&amp;$B54)</f>
        <v>0</v>
      </c>
      <c r="H54" s="26" t="n">
        <f aca="false">SUMIFS('Outages (event ledger)'!$H$2:$H$65,'Outages (event ledger)'!$A$2:$A$65,H$2,'Outages (event ledger)'!$E$2:$E$65,"&lt;="&amp;$B54,'Outages (event ledger)'!$G$2:$G$65,"&gt;="&amp;$B54)</f>
        <v>5.2</v>
      </c>
      <c r="I54" s="26" t="n">
        <f aca="false">SUMIFS('Outages (event ledger)'!$H$2:$H$65,'Outages (event ledger)'!$A$2:$A$65,I$2,'Outages (event ledger)'!$E$2:$E$65,"&lt;="&amp;$B54,'Outages (event ledger)'!$G$2:$G$65,"&gt;="&amp;$B54)</f>
        <v>0</v>
      </c>
      <c r="J54" s="26" t="n">
        <f aca="false">SUMIFS('Outages (event ledger)'!$H$2:$H$65,'Outages (event ledger)'!$A$2:$A$65,J$2,'Outages (event ledger)'!$E$2:$E$65,"&lt;="&amp;$B54,'Outages (event ledger)'!$G$2:$G$65,"&gt;="&amp;$B54)</f>
        <v>0</v>
      </c>
      <c r="K54" s="26" t="n">
        <f aca="false">SUMIFS('Outages (event ledger)'!$H$2:$H$65,'Outages (event ledger)'!$A$2:$A$65,K$2,'Outages (event ledger)'!$E$2:$E$65,"&lt;="&amp;$B54,'Outages (event ledger)'!$G$2:$G$65,"&gt;="&amp;$B54)</f>
        <v>0</v>
      </c>
      <c r="L54" s="26" t="n">
        <f aca="false">SUMIFS('Outages (event ledger)'!$H$2:$H$65,'Outages (event ledger)'!$A$2:$A$65,L$2,'Outages (event ledger)'!$E$2:$E$65,"&lt;="&amp;$B54,'Outages (event ledger)'!$G$2:$G$65,"&gt;="&amp;$B54)</f>
        <v>0</v>
      </c>
      <c r="M54" s="26" t="n">
        <f aca="false">SUMIFS('Outages (event ledger)'!$H$2:$H$65,'Outages (event ledger)'!$A$2:$A$65,M$2,'Outages (event ledger)'!$E$2:$E$65,"&lt;="&amp;$B54,'Outages (event ledger)'!$G$2:$G$65,"&gt;="&amp;$B54)</f>
        <v>0</v>
      </c>
      <c r="N54" s="26" t="n">
        <f aca="false">SUMIFS('Outages (event ledger)'!$H$2:$H$65,'Outages (event ledger)'!$A$2:$A$65,N$2,'Outages (event ledger)'!$E$2:$E$65,"&lt;="&amp;$B54,'Outages (event ledger)'!$G$2:$G$65,"&gt;="&amp;$B54)</f>
        <v>0</v>
      </c>
      <c r="O54" s="26" t="n">
        <f aca="false">SUMIFS('Outages (event ledger)'!$H$2:$H$65,'Outages (event ledger)'!$A$2:$A$65,O$2,'Outages (event ledger)'!$E$2:$E$65,"&lt;="&amp;$B54,'Outages (event ledger)'!$G$2:$G$65,"&gt;="&amp;$B54)</f>
        <v>0</v>
      </c>
      <c r="P54" s="26" t="n">
        <f aca="false">SUMIFS('Outages (event ledger)'!$H$2:$H$65,'Outages (event ledger)'!$A$2:$A$65,P$2,'Outages (event ledger)'!$E$2:$E$65,"&lt;="&amp;$B54,'Outages (event ledger)'!$G$2:$G$65,"&gt;="&amp;$B54)</f>
        <v>0</v>
      </c>
      <c r="Q54" s="26" t="n">
        <f aca="false">SUMIFS('Outages (event ledger)'!$H$2:$H$65,'Outages (event ledger)'!$A$2:$A$65,Q$2,'Outages (event ledger)'!$E$2:$E$65,"&lt;="&amp;$B54,'Outages (event ledger)'!$G$2:$G$65,"&gt;="&amp;$B54)</f>
        <v>0</v>
      </c>
      <c r="R54" s="26" t="n">
        <f aca="false">SUMIFS('Outages (event ledger)'!$H$2:$H$65,'Outages (event ledger)'!$A$2:$A$65,R$2,'Outages (event ledger)'!$E$2:$E$65,"&lt;="&amp;$B54,'Outages (event ledger)'!$G$2:$G$65,"&gt;="&amp;$B54)</f>
        <v>0</v>
      </c>
      <c r="S54" s="26" t="n">
        <f aca="false">SUMIFS('Outages (event ledger)'!$H$2:$H$65,'Outages (event ledger)'!$A$2:$A$65,S$2,'Outages (event ledger)'!$E$2:$E$65,"&lt;="&amp;$B54,'Outages (event ledger)'!$G$2:$G$65,"&gt;="&amp;$B54)</f>
        <v>0</v>
      </c>
      <c r="T54" s="26" t="n">
        <f aca="false">SUMIFS('Outages (event ledger)'!$H$2:$H$65,'Outages (event ledger)'!$A$2:$A$65,T$2,'Outages (event ledger)'!$E$2:$E$65,"&lt;="&amp;$B54,'Outages (event ledger)'!$G$2:$G$65,"&gt;="&amp;$B54)</f>
        <v>0</v>
      </c>
      <c r="U54" s="26" t="n">
        <f aca="false">SUMIFS('Outages (event ledger)'!$H$2:$H$65,'Outages (event ledger)'!$A$2:$A$65,U$2,'Outages (event ledger)'!$E$2:$E$65,"&lt;="&amp;$B54,'Outages (event ledger)'!$G$2:$G$65,"&gt;="&amp;$B54)</f>
        <v>0</v>
      </c>
      <c r="V54" s="26" t="n">
        <f aca="false">SUMIFS('Outages (event ledger)'!$H$2:$H$65,'Outages (event ledger)'!$A$2:$A$65,V$2,'Outages (event ledger)'!$E$2:$E$65,"&lt;="&amp;$B54,'Outages (event ledger)'!$G$2:$G$65,"&gt;="&amp;$B54)</f>
        <v>0</v>
      </c>
      <c r="W54" s="26" t="n">
        <f aca="false">SUMIFS('Outages (event ledger)'!$H$2:$H$65,'Outages (event ledger)'!$A$2:$A$65,W$2,'Outages (event ledger)'!$E$2:$E$65,"&lt;="&amp;$B54,'Outages (event ledger)'!$G$2:$G$65,"&gt;="&amp;$B54)</f>
        <v>0</v>
      </c>
      <c r="X54" s="26" t="n">
        <f aca="false">SUMIFS('Outages (event ledger)'!$H$2:$H$65,'Outages (event ledger)'!$A$2:$A$65,X$2,'Outages (event ledger)'!$E$2:$E$65,"&lt;="&amp;$B54,'Outages (event ledger)'!$G$2:$G$65,"&gt;="&amp;$B54)</f>
        <v>0</v>
      </c>
      <c r="Y54" s="26" t="n">
        <f aca="false">SUMIFS('Outages (event ledger)'!$H$2:$H$65,'Outages (event ledger)'!$A$2:$A$65,Y$2,'Outages (event ledger)'!$E$2:$E$65,"&lt;="&amp;$B54,'Outages (event ledger)'!$G$2:$G$65,"&gt;="&amp;$B54)</f>
        <v>5</v>
      </c>
      <c r="Z54" s="26" t="n">
        <f aca="false">SUMIFS('Outages (event ledger)'!$H$2:$H$65,'Outages (event ledger)'!$A$2:$A$65,Z$2,'Outages (event ledger)'!$E$2:$E$65,"&lt;="&amp;$B54,'Outages (event ledger)'!$G$2:$G$65,"&gt;="&amp;$B54)</f>
        <v>5</v>
      </c>
      <c r="AA54" s="26" t="n">
        <f aca="false">SUMIFS('Outages (event ledger)'!$H$2:$H$65,'Outages (event ledger)'!$A$2:$A$65,AA$2,'Outages (event ledger)'!$E$2:$E$65,"&lt;="&amp;$B54,'Outages (event ledger)'!$G$2:$G$65,"&gt;="&amp;$B54)</f>
        <v>0</v>
      </c>
      <c r="AB54" s="26" t="n">
        <f aca="false">SUMIFS('Outages (event ledger)'!$H$2:$H$65,'Outages (event ledger)'!$A$2:$A$65,AB$2,'Outages (event ledger)'!$E$2:$E$65,"&lt;="&amp;$B54,'Outages (event ledger)'!$G$2:$G$65,"&gt;="&amp;$B54)</f>
        <v>8</v>
      </c>
      <c r="AC54" s="26" t="n">
        <f aca="false">SUMIFS('Outages (event ledger)'!$H$2:$H$65,'Outages (event ledger)'!$A$2:$A$65,AC$2,'Outages (event ledger)'!$E$2:$E$65,"&lt;="&amp;$B54,'Outages (event ledger)'!$G$2:$G$65,"&gt;="&amp;$B54)</f>
        <v>0</v>
      </c>
      <c r="AD54" s="26" t="n">
        <f aca="false">SUMIFS('Outages (event ledger)'!$H$2:$H$65,'Outages (event ledger)'!$A$2:$A$65,AD$2,'Outages (event ledger)'!$E$2:$E$65,"&lt;="&amp;$B54,'Outages (event ledger)'!$G$2:$G$65,"&gt;="&amp;$B54)</f>
        <v>0</v>
      </c>
      <c r="AE54" s="26" t="n">
        <f aca="false">SUMIFS('Outages (event ledger)'!$H$2:$H$65,'Outages (event ledger)'!$A$2:$A$65,AE$2,'Outages (event ledger)'!$E$2:$E$65,"&lt;="&amp;$B54,'Outages (event ledger)'!$G$2:$G$65,"&gt;="&amp;$B54)</f>
        <v>0</v>
      </c>
      <c r="AF54" s="26" t="n">
        <f aca="false">SUMIFS('Outages (event ledger)'!$H$2:$H$65,'Outages (event ledger)'!$A$2:$A$65,AF$2,'Outages (event ledger)'!$E$2:$E$65,"&lt;="&amp;$B54,'Outages (event ledger)'!$G$2:$G$65,"&gt;="&amp;$B54)</f>
        <v>0</v>
      </c>
      <c r="AG54" s="26" t="n">
        <f aca="false">SUMIFS('Outages (event ledger)'!$H$2:$H$65,'Outages (event ledger)'!$A$2:$A$65,AG$2,'Outages (event ledger)'!$E$2:$E$65,"&lt;="&amp;$B54,'Outages (event ledger)'!$G$2:$G$65,"&gt;="&amp;$B54)</f>
        <v>0</v>
      </c>
      <c r="AH54" s="26" t="n">
        <f aca="false">SUMIFS('Outages (event ledger)'!$H$2:$H$65,'Outages (event ledger)'!$A$2:$A$65,AH$2,'Outages (event ledger)'!$E$2:$E$65,"&lt;="&amp;$B54,'Outages (event ledger)'!$G$2:$G$65,"&gt;="&amp;$B54)</f>
        <v>0</v>
      </c>
      <c r="AI54" s="26" t="n">
        <f aca="false">SUMIFS('Outages (event ledger)'!$H$2:$H$65,'Outages (event ledger)'!$A$2:$A$65,AI$2,'Outages (event ledger)'!$E$2:$E$65,"&lt;="&amp;$B54,'Outages (event ledger)'!$G$2:$G$65,"&gt;="&amp;$B54)</f>
        <v>0</v>
      </c>
      <c r="AJ54" s="26" t="n">
        <f aca="false">SUMIFS('Outages (event ledger)'!$H$2:$H$65,'Outages (event ledger)'!$A$2:$A$65,AJ$2,'Outages (event ledger)'!$E$2:$E$65,"&lt;="&amp;$B54,'Outages (event ledger)'!$G$2:$G$65,"&gt;="&amp;$B54)</f>
        <v>0</v>
      </c>
      <c r="AK54" s="26" t="n">
        <f aca="false">SUMIFS('Outages (event ledger)'!$H$2:$H$65,'Outages (event ledger)'!$A$2:$A$65,AK$2,'Outages (event ledger)'!$E$2:$E$65,"&lt;="&amp;$B54,'Outages (event ledger)'!$G$2:$G$65,"&gt;="&amp;$B54)</f>
        <v>0</v>
      </c>
      <c r="AL54" s="26" t="n">
        <f aca="false">SUMIFS('Outages (event ledger)'!$H$2:$H$65,'Outages (event ledger)'!$A$2:$A$65,AL$2,'Outages (event ledger)'!$E$2:$E$65,"&lt;="&amp;$B54,'Outages (event ledger)'!$G$2:$G$65,"&gt;="&amp;$B54)</f>
        <v>3.5</v>
      </c>
      <c r="AM54" s="26" t="n">
        <f aca="false">SUMIFS('Outages (event ledger)'!$H$2:$H$65,'Outages (event ledger)'!$A$2:$A$65,AM$2,'Outages (event ledger)'!$E$2:$E$65,"&lt;="&amp;$B54,'Outages (event ledger)'!$G$2:$G$65,"&gt;="&amp;$B54)</f>
        <v>0</v>
      </c>
      <c r="AN54" s="26" t="n">
        <f aca="false">SUMIFS('Outages (event ledger)'!$H$2:$H$65,'Outages (event ledger)'!$A$2:$A$65,AN$2,'Outages (event ledger)'!$E$2:$E$65,"&lt;="&amp;$B54,'Outages (event ledger)'!$G$2:$G$65,"&gt;="&amp;$B54)</f>
        <v>0</v>
      </c>
      <c r="AO54" s="26" t="n">
        <f aca="false">SUMIFS('Outages (event ledger)'!$H$2:$H$65,'Outages (event ledger)'!$A$2:$A$65,AO$2,'Outages (event ledger)'!$E$2:$E$65,"&lt;="&amp;$B54,'Outages (event ledger)'!$G$2:$G$65,"&gt;="&amp;$B54)</f>
        <v>0</v>
      </c>
      <c r="AP54" s="26" t="n">
        <f aca="false">SUMIFS('Outages (event ledger)'!$H$2:$H$65,'Outages (event ledger)'!$A$2:$A$65,AP$2,'Outages (event ledger)'!$E$2:$E$65,"&lt;="&amp;$B54,'Outages (event ledger)'!$G$2:$G$65,"&gt;="&amp;$B54)</f>
        <v>0</v>
      </c>
      <c r="AQ54" s="26" t="n">
        <f aca="false">SUMIFS('Outages (event ledger)'!$H$2:$H$65,'Outages (event ledger)'!$A$2:$A$65,AQ$2,'Outages (event ledger)'!$E$2:$E$65,"&lt;="&amp;$B54,'Outages (event ledger)'!$G$2:$G$65,"&gt;="&amp;$B54)</f>
        <v>0</v>
      </c>
      <c r="AR54" s="26" t="n">
        <f aca="false">SUMIFS('Outages (event ledger)'!$H$2:$H$65,'Outages (event ledger)'!$A$2:$A$65,AR$2,'Outages (event ledger)'!$E$2:$E$65,"&lt;="&amp;$B54,'Outages (event ledger)'!$G$2:$G$65,"&gt;="&amp;$B54)</f>
        <v>0</v>
      </c>
      <c r="AS54" s="26" t="n">
        <f aca="false">SUMIFS('Outages (event ledger)'!$H$2:$H$65,'Outages (event ledger)'!$A$2:$A$65,AS$2,'Outages (event ledger)'!$E$2:$E$65,"&lt;="&amp;$B54,'Outages (event ledger)'!$G$2:$G$65,"&gt;="&amp;$B54)</f>
        <v>0</v>
      </c>
      <c r="AT54" s="26" t="n">
        <f aca="false">SUMIFS('Outages (event ledger)'!$H$2:$H$65,'Outages (event ledger)'!$A$2:$A$65,AT$2,'Outages (event ledger)'!$E$2:$E$65,"&lt;="&amp;$B54,'Outages (event ledger)'!$G$2:$G$65,"&gt;="&amp;$B54)</f>
        <v>0</v>
      </c>
      <c r="AU54" s="26" t="n">
        <f aca="false">SUMIFS('Outages (event ledger)'!$H$2:$H$65,'Outages (event ledger)'!$A$2:$A$65,AU$2,'Outages (event ledger)'!$E$2:$E$65,"&lt;="&amp;$B54,'Outages (event ledger)'!$G$2:$G$65,"&gt;="&amp;$B54)</f>
        <v>0</v>
      </c>
      <c r="AV54" s="26" t="n">
        <f aca="false">SUMIFS('Outages (event ledger)'!$H$2:$H$65,'Outages (event ledger)'!$A$2:$A$65,AV$2,'Outages (event ledger)'!$E$2:$E$65,"&lt;="&amp;$B54,'Outages (event ledger)'!$G$2:$G$65,"&gt;="&amp;$B54)</f>
        <v>0</v>
      </c>
      <c r="AW54" s="26" t="n">
        <f aca="false">SUMIFS('Outages (event ledger)'!$H$2:$H$65,'Outages (event ledger)'!$A$2:$A$65,AW$2,'Outages (event ledger)'!$E$2:$E$65,"&lt;="&amp;$B54,'Outages (event ledger)'!$G$2:$G$65,"&gt;="&amp;$B54)</f>
        <v>0</v>
      </c>
      <c r="AX54" s="26" t="n">
        <f aca="false">SUMIFS('Outages (event ledger)'!$H$2:$H$65,'Outages (event ledger)'!$A$2:$A$65,AX$2,'Outages (event ledger)'!$E$2:$E$65,"&lt;="&amp;$B54,'Outages (event ledger)'!$G$2:$G$65,"&gt;="&amp;$B54)</f>
        <v>0</v>
      </c>
      <c r="AY54" s="26" t="n">
        <f aca="false">SUMIFS('Outages (event ledger)'!$H$2:$H$65,'Outages (event ledger)'!$A$2:$A$65,AY$2,'Outages (event ledger)'!$E$2:$E$65,"&lt;="&amp;$B54,'Outages (event ledger)'!$G$2:$G$65,"&gt;="&amp;$B54)</f>
        <v>0</v>
      </c>
      <c r="AZ54" s="26" t="n">
        <f aca="false">SUMIFS('Outages (event ledger)'!$H$2:$H$65,'Outages (event ledger)'!$A$2:$A$65,AZ$2,'Outages (event ledger)'!$E$2:$E$65,"&lt;="&amp;$B54,'Outages (event ledger)'!$G$2:$G$65,"&gt;="&amp;$B54)</f>
        <v>0</v>
      </c>
      <c r="BA54" s="26" t="n">
        <f aca="false">SUMIFS('Outages (event ledger)'!$H$2:$H$65,'Outages (event ledger)'!$A$2:$A$65,BA$2,'Outages (event ledger)'!$E$2:$E$65,"&lt;="&amp;$B54,'Outages (event ledger)'!$G$2:$G$65,"&gt;="&amp;$B54)</f>
        <v>0</v>
      </c>
      <c r="BB54" s="26" t="n">
        <f aca="false">SUMIFS('Outages (event ledger)'!$H$2:$H$65,'Outages (event ledger)'!$A$2:$A$65,BB$2,'Outages (event ledger)'!$E$2:$E$65,"&lt;="&amp;$B54,'Outages (event ledger)'!$G$2:$G$65,"&gt;="&amp;$B54)</f>
        <v>0</v>
      </c>
      <c r="BC54" s="26" t="n">
        <f aca="false">SUMIFS('Outages (event ledger)'!$H$2:$H$65,'Outages (event ledger)'!$A$2:$A$65,BC$2,'Outages (event ledger)'!$E$2:$E$65,"&lt;="&amp;$B54,'Outages (event ledger)'!$G$2:$G$65,"&gt;="&amp;$B54)</f>
        <v>0</v>
      </c>
      <c r="BD54" s="26" t="n">
        <f aca="false">SUMIFS('Outages (event ledger)'!$H$2:$H$65,'Outages (event ledger)'!$A$2:$A$65,BD$2,'Outages (event ledger)'!$E$2:$E$65,"&lt;="&amp;$B54,'Outages (event ledger)'!$G$2:$G$65,"&gt;="&amp;$B54)</f>
        <v>0</v>
      </c>
      <c r="BE54" s="26" t="n">
        <f aca="false">SUMIFS('Outages (event ledger)'!$H$2:$H$65,'Outages (event ledger)'!$A$2:$A$65,BE$2,'Outages (event ledger)'!$E$2:$E$65,"&lt;="&amp;$B54,'Outages (event ledger)'!$G$2:$G$65,"&gt;="&amp;$B54)</f>
        <v>0</v>
      </c>
      <c r="BF54" s="26" t="n">
        <f aca="false">SUMIFS('Outages (event ledger)'!$H$2:$H$65,'Outages (event ledger)'!$A$2:$A$65,BF$2,'Outages (event ledger)'!$E$2:$E$65,"&lt;="&amp;$B54,'Outages (event ledger)'!$G$2:$G$65,"&gt;="&amp;$B54)</f>
        <v>0</v>
      </c>
      <c r="BG54" s="26" t="n">
        <f aca="false">SUMIFS('Outages (event ledger)'!$H$2:$H$65,'Outages (event ledger)'!$A$2:$A$65,BG$2,'Outages (event ledger)'!$E$2:$E$65,"&lt;="&amp;$B54,'Outages (event ledger)'!$G$2:$G$65,"&gt;="&amp;$B54)</f>
        <v>0</v>
      </c>
      <c r="BH54" s="26" t="n">
        <f aca="false">SUMIFS('Outages (event ledger)'!$H$2:$H$65,'Outages (event ledger)'!$A$2:$A$65,BH$2,'Outages (event ledger)'!$E$2:$E$65,"&lt;="&amp;$B54,'Outages (event ledger)'!$G$2:$G$65,"&gt;="&amp;$B54)</f>
        <v>0</v>
      </c>
      <c r="BI54" s="26" t="n">
        <f aca="false">SUMIFS('Outages (event ledger)'!$H$2:$H$65,'Outages (event ledger)'!$A$2:$A$65,BI$2,'Outages (event ledger)'!$E$2:$E$65,"&lt;="&amp;$B54,'Outages (event ledger)'!$G$2:$G$65,"&gt;="&amp;$B54)</f>
        <v>0</v>
      </c>
    </row>
    <row r="55" customFormat="false" ht="15" hidden="false" customHeight="false" outlineLevel="0" collapsed="false">
      <c r="A55" s="23" t="n">
        <v>41760</v>
      </c>
      <c r="B55" s="24" t="n">
        <v>201405</v>
      </c>
      <c r="C55" s="25" t="n">
        <f aca="false">SUM(D55:BI55)</f>
        <v>26.7</v>
      </c>
      <c r="D55" s="26" t="n">
        <f aca="false">SUMIFS('Outages (event ledger)'!$H$2:$H$65,'Outages (event ledger)'!$A$2:$A$65,D$2,'Outages (event ledger)'!$E$2:$E$65,"&lt;="&amp;$B55,'Outages (event ledger)'!$G$2:$G$65,"&gt;="&amp;$B55)</f>
        <v>0</v>
      </c>
      <c r="E55" s="26" t="n">
        <f aca="false">SUMIFS('Outages (event ledger)'!$H$2:$H$65,'Outages (event ledger)'!$A$2:$A$65,E$2,'Outages (event ledger)'!$E$2:$E$65,"&lt;="&amp;$B55,'Outages (event ledger)'!$G$2:$G$65,"&gt;="&amp;$B55)</f>
        <v>0</v>
      </c>
      <c r="F55" s="26" t="n">
        <f aca="false">SUMIFS('Outages (event ledger)'!$H$2:$H$65,'Outages (event ledger)'!$A$2:$A$65,F$2,'Outages (event ledger)'!$E$2:$E$65,"&lt;="&amp;$B55,'Outages (event ledger)'!$G$2:$G$65,"&gt;="&amp;$B55)</f>
        <v>0</v>
      </c>
      <c r="G55" s="26" t="n">
        <f aca="false">SUMIFS('Outages (event ledger)'!$H$2:$H$65,'Outages (event ledger)'!$A$2:$A$65,G$2,'Outages (event ledger)'!$E$2:$E$65,"&lt;="&amp;$B55,'Outages (event ledger)'!$G$2:$G$65,"&gt;="&amp;$B55)</f>
        <v>0</v>
      </c>
      <c r="H55" s="26" t="n">
        <f aca="false">SUMIFS('Outages (event ledger)'!$H$2:$H$65,'Outages (event ledger)'!$A$2:$A$65,H$2,'Outages (event ledger)'!$E$2:$E$65,"&lt;="&amp;$B55,'Outages (event ledger)'!$G$2:$G$65,"&gt;="&amp;$B55)</f>
        <v>5.2</v>
      </c>
      <c r="I55" s="26" t="n">
        <f aca="false">SUMIFS('Outages (event ledger)'!$H$2:$H$65,'Outages (event ledger)'!$A$2:$A$65,I$2,'Outages (event ledger)'!$E$2:$E$65,"&lt;="&amp;$B55,'Outages (event ledger)'!$G$2:$G$65,"&gt;="&amp;$B55)</f>
        <v>0</v>
      </c>
      <c r="J55" s="26" t="n">
        <f aca="false">SUMIFS('Outages (event ledger)'!$H$2:$H$65,'Outages (event ledger)'!$A$2:$A$65,J$2,'Outages (event ledger)'!$E$2:$E$65,"&lt;="&amp;$B55,'Outages (event ledger)'!$G$2:$G$65,"&gt;="&amp;$B55)</f>
        <v>0</v>
      </c>
      <c r="K55" s="26" t="n">
        <f aca="false">SUMIFS('Outages (event ledger)'!$H$2:$H$65,'Outages (event ledger)'!$A$2:$A$65,K$2,'Outages (event ledger)'!$E$2:$E$65,"&lt;="&amp;$B55,'Outages (event ledger)'!$G$2:$G$65,"&gt;="&amp;$B55)</f>
        <v>0</v>
      </c>
      <c r="L55" s="26" t="n">
        <f aca="false">SUMIFS('Outages (event ledger)'!$H$2:$H$65,'Outages (event ledger)'!$A$2:$A$65,L$2,'Outages (event ledger)'!$E$2:$E$65,"&lt;="&amp;$B55,'Outages (event ledger)'!$G$2:$G$65,"&gt;="&amp;$B55)</f>
        <v>0</v>
      </c>
      <c r="M55" s="26" t="n">
        <f aca="false">SUMIFS('Outages (event ledger)'!$H$2:$H$65,'Outages (event ledger)'!$A$2:$A$65,M$2,'Outages (event ledger)'!$E$2:$E$65,"&lt;="&amp;$B55,'Outages (event ledger)'!$G$2:$G$65,"&gt;="&amp;$B55)</f>
        <v>0</v>
      </c>
      <c r="N55" s="26" t="n">
        <f aca="false">SUMIFS('Outages (event ledger)'!$H$2:$H$65,'Outages (event ledger)'!$A$2:$A$65,N$2,'Outages (event ledger)'!$E$2:$E$65,"&lt;="&amp;$B55,'Outages (event ledger)'!$G$2:$G$65,"&gt;="&amp;$B55)</f>
        <v>0</v>
      </c>
      <c r="O55" s="26" t="n">
        <f aca="false">SUMIFS('Outages (event ledger)'!$H$2:$H$65,'Outages (event ledger)'!$A$2:$A$65,O$2,'Outages (event ledger)'!$E$2:$E$65,"&lt;="&amp;$B55,'Outages (event ledger)'!$G$2:$G$65,"&gt;="&amp;$B55)</f>
        <v>0</v>
      </c>
      <c r="P55" s="26" t="n">
        <f aca="false">SUMIFS('Outages (event ledger)'!$H$2:$H$65,'Outages (event ledger)'!$A$2:$A$65,P$2,'Outages (event ledger)'!$E$2:$E$65,"&lt;="&amp;$B55,'Outages (event ledger)'!$G$2:$G$65,"&gt;="&amp;$B55)</f>
        <v>0</v>
      </c>
      <c r="Q55" s="26" t="n">
        <f aca="false">SUMIFS('Outages (event ledger)'!$H$2:$H$65,'Outages (event ledger)'!$A$2:$A$65,Q$2,'Outages (event ledger)'!$E$2:$E$65,"&lt;="&amp;$B55,'Outages (event ledger)'!$G$2:$G$65,"&gt;="&amp;$B55)</f>
        <v>0</v>
      </c>
      <c r="R55" s="26" t="n">
        <f aca="false">SUMIFS('Outages (event ledger)'!$H$2:$H$65,'Outages (event ledger)'!$A$2:$A$65,R$2,'Outages (event ledger)'!$E$2:$E$65,"&lt;="&amp;$B55,'Outages (event ledger)'!$G$2:$G$65,"&gt;="&amp;$B55)</f>
        <v>0</v>
      </c>
      <c r="S55" s="26" t="n">
        <f aca="false">SUMIFS('Outages (event ledger)'!$H$2:$H$65,'Outages (event ledger)'!$A$2:$A$65,S$2,'Outages (event ledger)'!$E$2:$E$65,"&lt;="&amp;$B55,'Outages (event ledger)'!$G$2:$G$65,"&gt;="&amp;$B55)</f>
        <v>0</v>
      </c>
      <c r="T55" s="26" t="n">
        <f aca="false">SUMIFS('Outages (event ledger)'!$H$2:$H$65,'Outages (event ledger)'!$A$2:$A$65,T$2,'Outages (event ledger)'!$E$2:$E$65,"&lt;="&amp;$B55,'Outages (event ledger)'!$G$2:$G$65,"&gt;="&amp;$B55)</f>
        <v>0</v>
      </c>
      <c r="U55" s="26" t="n">
        <f aca="false">SUMIFS('Outages (event ledger)'!$H$2:$H$65,'Outages (event ledger)'!$A$2:$A$65,U$2,'Outages (event ledger)'!$E$2:$E$65,"&lt;="&amp;$B55,'Outages (event ledger)'!$G$2:$G$65,"&gt;="&amp;$B55)</f>
        <v>0</v>
      </c>
      <c r="V55" s="26" t="n">
        <f aca="false">SUMIFS('Outages (event ledger)'!$H$2:$H$65,'Outages (event ledger)'!$A$2:$A$65,V$2,'Outages (event ledger)'!$E$2:$E$65,"&lt;="&amp;$B55,'Outages (event ledger)'!$G$2:$G$65,"&gt;="&amp;$B55)</f>
        <v>0</v>
      </c>
      <c r="W55" s="26" t="n">
        <f aca="false">SUMIFS('Outages (event ledger)'!$H$2:$H$65,'Outages (event ledger)'!$A$2:$A$65,W$2,'Outages (event ledger)'!$E$2:$E$65,"&lt;="&amp;$B55,'Outages (event ledger)'!$G$2:$G$65,"&gt;="&amp;$B55)</f>
        <v>0</v>
      </c>
      <c r="X55" s="26" t="n">
        <f aca="false">SUMIFS('Outages (event ledger)'!$H$2:$H$65,'Outages (event ledger)'!$A$2:$A$65,X$2,'Outages (event ledger)'!$E$2:$E$65,"&lt;="&amp;$B55,'Outages (event ledger)'!$G$2:$G$65,"&gt;="&amp;$B55)</f>
        <v>0</v>
      </c>
      <c r="Y55" s="26" t="n">
        <f aca="false">SUMIFS('Outages (event ledger)'!$H$2:$H$65,'Outages (event ledger)'!$A$2:$A$65,Y$2,'Outages (event ledger)'!$E$2:$E$65,"&lt;="&amp;$B55,'Outages (event ledger)'!$G$2:$G$65,"&gt;="&amp;$B55)</f>
        <v>5</v>
      </c>
      <c r="Z55" s="26" t="n">
        <f aca="false">SUMIFS('Outages (event ledger)'!$H$2:$H$65,'Outages (event ledger)'!$A$2:$A$65,Z$2,'Outages (event ledger)'!$E$2:$E$65,"&lt;="&amp;$B55,'Outages (event ledger)'!$G$2:$G$65,"&gt;="&amp;$B55)</f>
        <v>5</v>
      </c>
      <c r="AA55" s="26" t="n">
        <f aca="false">SUMIFS('Outages (event ledger)'!$H$2:$H$65,'Outages (event ledger)'!$A$2:$A$65,AA$2,'Outages (event ledger)'!$E$2:$E$65,"&lt;="&amp;$B55,'Outages (event ledger)'!$G$2:$G$65,"&gt;="&amp;$B55)</f>
        <v>0</v>
      </c>
      <c r="AB55" s="26" t="n">
        <f aca="false">SUMIFS('Outages (event ledger)'!$H$2:$H$65,'Outages (event ledger)'!$A$2:$A$65,AB$2,'Outages (event ledger)'!$E$2:$E$65,"&lt;="&amp;$B55,'Outages (event ledger)'!$G$2:$G$65,"&gt;="&amp;$B55)</f>
        <v>8</v>
      </c>
      <c r="AC55" s="26" t="n">
        <f aca="false">SUMIFS('Outages (event ledger)'!$H$2:$H$65,'Outages (event ledger)'!$A$2:$A$65,AC$2,'Outages (event ledger)'!$E$2:$E$65,"&lt;="&amp;$B55,'Outages (event ledger)'!$G$2:$G$65,"&gt;="&amp;$B55)</f>
        <v>0</v>
      </c>
      <c r="AD55" s="26" t="n">
        <f aca="false">SUMIFS('Outages (event ledger)'!$H$2:$H$65,'Outages (event ledger)'!$A$2:$A$65,AD$2,'Outages (event ledger)'!$E$2:$E$65,"&lt;="&amp;$B55,'Outages (event ledger)'!$G$2:$G$65,"&gt;="&amp;$B55)</f>
        <v>0</v>
      </c>
      <c r="AE55" s="26" t="n">
        <f aca="false">SUMIFS('Outages (event ledger)'!$H$2:$H$65,'Outages (event ledger)'!$A$2:$A$65,AE$2,'Outages (event ledger)'!$E$2:$E$65,"&lt;="&amp;$B55,'Outages (event ledger)'!$G$2:$G$65,"&gt;="&amp;$B55)</f>
        <v>0</v>
      </c>
      <c r="AF55" s="26" t="n">
        <f aca="false">SUMIFS('Outages (event ledger)'!$H$2:$H$65,'Outages (event ledger)'!$A$2:$A$65,AF$2,'Outages (event ledger)'!$E$2:$E$65,"&lt;="&amp;$B55,'Outages (event ledger)'!$G$2:$G$65,"&gt;="&amp;$B55)</f>
        <v>0</v>
      </c>
      <c r="AG55" s="26" t="n">
        <f aca="false">SUMIFS('Outages (event ledger)'!$H$2:$H$65,'Outages (event ledger)'!$A$2:$A$65,AG$2,'Outages (event ledger)'!$E$2:$E$65,"&lt;="&amp;$B55,'Outages (event ledger)'!$G$2:$G$65,"&gt;="&amp;$B55)</f>
        <v>0</v>
      </c>
      <c r="AH55" s="26" t="n">
        <f aca="false">SUMIFS('Outages (event ledger)'!$H$2:$H$65,'Outages (event ledger)'!$A$2:$A$65,AH$2,'Outages (event ledger)'!$E$2:$E$65,"&lt;="&amp;$B55,'Outages (event ledger)'!$G$2:$G$65,"&gt;="&amp;$B55)</f>
        <v>0</v>
      </c>
      <c r="AI55" s="26" t="n">
        <f aca="false">SUMIFS('Outages (event ledger)'!$H$2:$H$65,'Outages (event ledger)'!$A$2:$A$65,AI$2,'Outages (event ledger)'!$E$2:$E$65,"&lt;="&amp;$B55,'Outages (event ledger)'!$G$2:$G$65,"&gt;="&amp;$B55)</f>
        <v>0</v>
      </c>
      <c r="AJ55" s="26" t="n">
        <f aca="false">SUMIFS('Outages (event ledger)'!$H$2:$H$65,'Outages (event ledger)'!$A$2:$A$65,AJ$2,'Outages (event ledger)'!$E$2:$E$65,"&lt;="&amp;$B55,'Outages (event ledger)'!$G$2:$G$65,"&gt;="&amp;$B55)</f>
        <v>0</v>
      </c>
      <c r="AK55" s="26" t="n">
        <f aca="false">SUMIFS('Outages (event ledger)'!$H$2:$H$65,'Outages (event ledger)'!$A$2:$A$65,AK$2,'Outages (event ledger)'!$E$2:$E$65,"&lt;="&amp;$B55,'Outages (event ledger)'!$G$2:$G$65,"&gt;="&amp;$B55)</f>
        <v>0</v>
      </c>
      <c r="AL55" s="26" t="n">
        <f aca="false">SUMIFS('Outages (event ledger)'!$H$2:$H$65,'Outages (event ledger)'!$A$2:$A$65,AL$2,'Outages (event ledger)'!$E$2:$E$65,"&lt;="&amp;$B55,'Outages (event ledger)'!$G$2:$G$65,"&gt;="&amp;$B55)</f>
        <v>3.5</v>
      </c>
      <c r="AM55" s="26" t="n">
        <f aca="false">SUMIFS('Outages (event ledger)'!$H$2:$H$65,'Outages (event ledger)'!$A$2:$A$65,AM$2,'Outages (event ledger)'!$E$2:$E$65,"&lt;="&amp;$B55,'Outages (event ledger)'!$G$2:$G$65,"&gt;="&amp;$B55)</f>
        <v>0</v>
      </c>
      <c r="AN55" s="26" t="n">
        <f aca="false">SUMIFS('Outages (event ledger)'!$H$2:$H$65,'Outages (event ledger)'!$A$2:$A$65,AN$2,'Outages (event ledger)'!$E$2:$E$65,"&lt;="&amp;$B55,'Outages (event ledger)'!$G$2:$G$65,"&gt;="&amp;$B55)</f>
        <v>0</v>
      </c>
      <c r="AO55" s="26" t="n">
        <f aca="false">SUMIFS('Outages (event ledger)'!$H$2:$H$65,'Outages (event ledger)'!$A$2:$A$65,AO$2,'Outages (event ledger)'!$E$2:$E$65,"&lt;="&amp;$B55,'Outages (event ledger)'!$G$2:$G$65,"&gt;="&amp;$B55)</f>
        <v>0</v>
      </c>
      <c r="AP55" s="26" t="n">
        <f aca="false">SUMIFS('Outages (event ledger)'!$H$2:$H$65,'Outages (event ledger)'!$A$2:$A$65,AP$2,'Outages (event ledger)'!$E$2:$E$65,"&lt;="&amp;$B55,'Outages (event ledger)'!$G$2:$G$65,"&gt;="&amp;$B55)</f>
        <v>0</v>
      </c>
      <c r="AQ55" s="26" t="n">
        <f aca="false">SUMIFS('Outages (event ledger)'!$H$2:$H$65,'Outages (event ledger)'!$A$2:$A$65,AQ$2,'Outages (event ledger)'!$E$2:$E$65,"&lt;="&amp;$B55,'Outages (event ledger)'!$G$2:$G$65,"&gt;="&amp;$B55)</f>
        <v>0</v>
      </c>
      <c r="AR55" s="26" t="n">
        <f aca="false">SUMIFS('Outages (event ledger)'!$H$2:$H$65,'Outages (event ledger)'!$A$2:$A$65,AR$2,'Outages (event ledger)'!$E$2:$E$65,"&lt;="&amp;$B55,'Outages (event ledger)'!$G$2:$G$65,"&gt;="&amp;$B55)</f>
        <v>0</v>
      </c>
      <c r="AS55" s="26" t="n">
        <f aca="false">SUMIFS('Outages (event ledger)'!$H$2:$H$65,'Outages (event ledger)'!$A$2:$A$65,AS$2,'Outages (event ledger)'!$E$2:$E$65,"&lt;="&amp;$B55,'Outages (event ledger)'!$G$2:$G$65,"&gt;="&amp;$B55)</f>
        <v>0</v>
      </c>
      <c r="AT55" s="26" t="n">
        <f aca="false">SUMIFS('Outages (event ledger)'!$H$2:$H$65,'Outages (event ledger)'!$A$2:$A$65,AT$2,'Outages (event ledger)'!$E$2:$E$65,"&lt;="&amp;$B55,'Outages (event ledger)'!$G$2:$G$65,"&gt;="&amp;$B55)</f>
        <v>0</v>
      </c>
      <c r="AU55" s="26" t="n">
        <f aca="false">SUMIFS('Outages (event ledger)'!$H$2:$H$65,'Outages (event ledger)'!$A$2:$A$65,AU$2,'Outages (event ledger)'!$E$2:$E$65,"&lt;="&amp;$B55,'Outages (event ledger)'!$G$2:$G$65,"&gt;="&amp;$B55)</f>
        <v>0</v>
      </c>
      <c r="AV55" s="26" t="n">
        <f aca="false">SUMIFS('Outages (event ledger)'!$H$2:$H$65,'Outages (event ledger)'!$A$2:$A$65,AV$2,'Outages (event ledger)'!$E$2:$E$65,"&lt;="&amp;$B55,'Outages (event ledger)'!$G$2:$G$65,"&gt;="&amp;$B55)</f>
        <v>0</v>
      </c>
      <c r="AW55" s="26" t="n">
        <f aca="false">SUMIFS('Outages (event ledger)'!$H$2:$H$65,'Outages (event ledger)'!$A$2:$A$65,AW$2,'Outages (event ledger)'!$E$2:$E$65,"&lt;="&amp;$B55,'Outages (event ledger)'!$G$2:$G$65,"&gt;="&amp;$B55)</f>
        <v>0</v>
      </c>
      <c r="AX55" s="26" t="n">
        <f aca="false">SUMIFS('Outages (event ledger)'!$H$2:$H$65,'Outages (event ledger)'!$A$2:$A$65,AX$2,'Outages (event ledger)'!$E$2:$E$65,"&lt;="&amp;$B55,'Outages (event ledger)'!$G$2:$G$65,"&gt;="&amp;$B55)</f>
        <v>0</v>
      </c>
      <c r="AY55" s="26" t="n">
        <f aca="false">SUMIFS('Outages (event ledger)'!$H$2:$H$65,'Outages (event ledger)'!$A$2:$A$65,AY$2,'Outages (event ledger)'!$E$2:$E$65,"&lt;="&amp;$B55,'Outages (event ledger)'!$G$2:$G$65,"&gt;="&amp;$B55)</f>
        <v>0</v>
      </c>
      <c r="AZ55" s="26" t="n">
        <f aca="false">SUMIFS('Outages (event ledger)'!$H$2:$H$65,'Outages (event ledger)'!$A$2:$A$65,AZ$2,'Outages (event ledger)'!$E$2:$E$65,"&lt;="&amp;$B55,'Outages (event ledger)'!$G$2:$G$65,"&gt;="&amp;$B55)</f>
        <v>0</v>
      </c>
      <c r="BA55" s="26" t="n">
        <f aca="false">SUMIFS('Outages (event ledger)'!$H$2:$H$65,'Outages (event ledger)'!$A$2:$A$65,BA$2,'Outages (event ledger)'!$E$2:$E$65,"&lt;="&amp;$B55,'Outages (event ledger)'!$G$2:$G$65,"&gt;="&amp;$B55)</f>
        <v>0</v>
      </c>
      <c r="BB55" s="26" t="n">
        <f aca="false">SUMIFS('Outages (event ledger)'!$H$2:$H$65,'Outages (event ledger)'!$A$2:$A$65,BB$2,'Outages (event ledger)'!$E$2:$E$65,"&lt;="&amp;$B55,'Outages (event ledger)'!$G$2:$G$65,"&gt;="&amp;$B55)</f>
        <v>0</v>
      </c>
      <c r="BC55" s="26" t="n">
        <f aca="false">SUMIFS('Outages (event ledger)'!$H$2:$H$65,'Outages (event ledger)'!$A$2:$A$65,BC$2,'Outages (event ledger)'!$E$2:$E$65,"&lt;="&amp;$B55,'Outages (event ledger)'!$G$2:$G$65,"&gt;="&amp;$B55)</f>
        <v>0</v>
      </c>
      <c r="BD55" s="26" t="n">
        <f aca="false">SUMIFS('Outages (event ledger)'!$H$2:$H$65,'Outages (event ledger)'!$A$2:$A$65,BD$2,'Outages (event ledger)'!$E$2:$E$65,"&lt;="&amp;$B55,'Outages (event ledger)'!$G$2:$G$65,"&gt;="&amp;$B55)</f>
        <v>0</v>
      </c>
      <c r="BE55" s="26" t="n">
        <f aca="false">SUMIFS('Outages (event ledger)'!$H$2:$H$65,'Outages (event ledger)'!$A$2:$A$65,BE$2,'Outages (event ledger)'!$E$2:$E$65,"&lt;="&amp;$B55,'Outages (event ledger)'!$G$2:$G$65,"&gt;="&amp;$B55)</f>
        <v>0</v>
      </c>
      <c r="BF55" s="26" t="n">
        <f aca="false">SUMIFS('Outages (event ledger)'!$H$2:$H$65,'Outages (event ledger)'!$A$2:$A$65,BF$2,'Outages (event ledger)'!$E$2:$E$65,"&lt;="&amp;$B55,'Outages (event ledger)'!$G$2:$G$65,"&gt;="&amp;$B55)</f>
        <v>0</v>
      </c>
      <c r="BG55" s="26" t="n">
        <f aca="false">SUMIFS('Outages (event ledger)'!$H$2:$H$65,'Outages (event ledger)'!$A$2:$A$65,BG$2,'Outages (event ledger)'!$E$2:$E$65,"&lt;="&amp;$B55,'Outages (event ledger)'!$G$2:$G$65,"&gt;="&amp;$B55)</f>
        <v>0</v>
      </c>
      <c r="BH55" s="26" t="n">
        <f aca="false">SUMIFS('Outages (event ledger)'!$H$2:$H$65,'Outages (event ledger)'!$A$2:$A$65,BH$2,'Outages (event ledger)'!$E$2:$E$65,"&lt;="&amp;$B55,'Outages (event ledger)'!$G$2:$G$65,"&gt;="&amp;$B55)</f>
        <v>0</v>
      </c>
      <c r="BI55" s="26" t="n">
        <f aca="false">SUMIFS('Outages (event ledger)'!$H$2:$H$65,'Outages (event ledger)'!$A$2:$A$65,BI$2,'Outages (event ledger)'!$E$2:$E$65,"&lt;="&amp;$B55,'Outages (event ledger)'!$G$2:$G$65,"&gt;="&amp;$B55)</f>
        <v>0</v>
      </c>
    </row>
    <row r="56" customFormat="false" ht="15" hidden="false" customHeight="false" outlineLevel="0" collapsed="false">
      <c r="A56" s="23" t="n">
        <v>41791</v>
      </c>
      <c r="B56" s="24" t="n">
        <v>201406</v>
      </c>
      <c r="C56" s="25" t="n">
        <f aca="false">SUM(D56:BI56)</f>
        <v>26.7</v>
      </c>
      <c r="D56" s="26" t="n">
        <f aca="false">SUMIFS('Outages (event ledger)'!$H$2:$H$65,'Outages (event ledger)'!$A$2:$A$65,D$2,'Outages (event ledger)'!$E$2:$E$65,"&lt;="&amp;$B56,'Outages (event ledger)'!$G$2:$G$65,"&gt;="&amp;$B56)</f>
        <v>0</v>
      </c>
      <c r="E56" s="26" t="n">
        <f aca="false">SUMIFS('Outages (event ledger)'!$H$2:$H$65,'Outages (event ledger)'!$A$2:$A$65,E$2,'Outages (event ledger)'!$E$2:$E$65,"&lt;="&amp;$B56,'Outages (event ledger)'!$G$2:$G$65,"&gt;="&amp;$B56)</f>
        <v>0</v>
      </c>
      <c r="F56" s="26" t="n">
        <f aca="false">SUMIFS('Outages (event ledger)'!$H$2:$H$65,'Outages (event ledger)'!$A$2:$A$65,F$2,'Outages (event ledger)'!$E$2:$E$65,"&lt;="&amp;$B56,'Outages (event ledger)'!$G$2:$G$65,"&gt;="&amp;$B56)</f>
        <v>0</v>
      </c>
      <c r="G56" s="26" t="n">
        <f aca="false">SUMIFS('Outages (event ledger)'!$H$2:$H$65,'Outages (event ledger)'!$A$2:$A$65,G$2,'Outages (event ledger)'!$E$2:$E$65,"&lt;="&amp;$B56,'Outages (event ledger)'!$G$2:$G$65,"&gt;="&amp;$B56)</f>
        <v>0</v>
      </c>
      <c r="H56" s="26" t="n">
        <f aca="false">SUMIFS('Outages (event ledger)'!$H$2:$H$65,'Outages (event ledger)'!$A$2:$A$65,H$2,'Outages (event ledger)'!$E$2:$E$65,"&lt;="&amp;$B56,'Outages (event ledger)'!$G$2:$G$65,"&gt;="&amp;$B56)</f>
        <v>5.2</v>
      </c>
      <c r="I56" s="26" t="n">
        <f aca="false">SUMIFS('Outages (event ledger)'!$H$2:$H$65,'Outages (event ledger)'!$A$2:$A$65,I$2,'Outages (event ledger)'!$E$2:$E$65,"&lt;="&amp;$B56,'Outages (event ledger)'!$G$2:$G$65,"&gt;="&amp;$B56)</f>
        <v>0</v>
      </c>
      <c r="J56" s="26" t="n">
        <f aca="false">SUMIFS('Outages (event ledger)'!$H$2:$H$65,'Outages (event ledger)'!$A$2:$A$65,J$2,'Outages (event ledger)'!$E$2:$E$65,"&lt;="&amp;$B56,'Outages (event ledger)'!$G$2:$G$65,"&gt;="&amp;$B56)</f>
        <v>0</v>
      </c>
      <c r="K56" s="26" t="n">
        <f aca="false">SUMIFS('Outages (event ledger)'!$H$2:$H$65,'Outages (event ledger)'!$A$2:$A$65,K$2,'Outages (event ledger)'!$E$2:$E$65,"&lt;="&amp;$B56,'Outages (event ledger)'!$G$2:$G$65,"&gt;="&amp;$B56)</f>
        <v>0</v>
      </c>
      <c r="L56" s="26" t="n">
        <f aca="false">SUMIFS('Outages (event ledger)'!$H$2:$H$65,'Outages (event ledger)'!$A$2:$A$65,L$2,'Outages (event ledger)'!$E$2:$E$65,"&lt;="&amp;$B56,'Outages (event ledger)'!$G$2:$G$65,"&gt;="&amp;$B56)</f>
        <v>0</v>
      </c>
      <c r="M56" s="26" t="n">
        <f aca="false">SUMIFS('Outages (event ledger)'!$H$2:$H$65,'Outages (event ledger)'!$A$2:$A$65,M$2,'Outages (event ledger)'!$E$2:$E$65,"&lt;="&amp;$B56,'Outages (event ledger)'!$G$2:$G$65,"&gt;="&amp;$B56)</f>
        <v>0</v>
      </c>
      <c r="N56" s="26" t="n">
        <f aca="false">SUMIFS('Outages (event ledger)'!$H$2:$H$65,'Outages (event ledger)'!$A$2:$A$65,N$2,'Outages (event ledger)'!$E$2:$E$65,"&lt;="&amp;$B56,'Outages (event ledger)'!$G$2:$G$65,"&gt;="&amp;$B56)</f>
        <v>0</v>
      </c>
      <c r="O56" s="26" t="n">
        <f aca="false">SUMIFS('Outages (event ledger)'!$H$2:$H$65,'Outages (event ledger)'!$A$2:$A$65,O$2,'Outages (event ledger)'!$E$2:$E$65,"&lt;="&amp;$B56,'Outages (event ledger)'!$G$2:$G$65,"&gt;="&amp;$B56)</f>
        <v>0</v>
      </c>
      <c r="P56" s="26" t="n">
        <f aca="false">SUMIFS('Outages (event ledger)'!$H$2:$H$65,'Outages (event ledger)'!$A$2:$A$65,P$2,'Outages (event ledger)'!$E$2:$E$65,"&lt;="&amp;$B56,'Outages (event ledger)'!$G$2:$G$65,"&gt;="&amp;$B56)</f>
        <v>0</v>
      </c>
      <c r="Q56" s="26" t="n">
        <f aca="false">SUMIFS('Outages (event ledger)'!$H$2:$H$65,'Outages (event ledger)'!$A$2:$A$65,Q$2,'Outages (event ledger)'!$E$2:$E$65,"&lt;="&amp;$B56,'Outages (event ledger)'!$G$2:$G$65,"&gt;="&amp;$B56)</f>
        <v>0</v>
      </c>
      <c r="R56" s="26" t="n">
        <f aca="false">SUMIFS('Outages (event ledger)'!$H$2:$H$65,'Outages (event ledger)'!$A$2:$A$65,R$2,'Outages (event ledger)'!$E$2:$E$65,"&lt;="&amp;$B56,'Outages (event ledger)'!$G$2:$G$65,"&gt;="&amp;$B56)</f>
        <v>0</v>
      </c>
      <c r="S56" s="26" t="n">
        <f aca="false">SUMIFS('Outages (event ledger)'!$H$2:$H$65,'Outages (event ledger)'!$A$2:$A$65,S$2,'Outages (event ledger)'!$E$2:$E$65,"&lt;="&amp;$B56,'Outages (event ledger)'!$G$2:$G$65,"&gt;="&amp;$B56)</f>
        <v>0</v>
      </c>
      <c r="T56" s="26" t="n">
        <f aca="false">SUMIFS('Outages (event ledger)'!$H$2:$H$65,'Outages (event ledger)'!$A$2:$A$65,T$2,'Outages (event ledger)'!$E$2:$E$65,"&lt;="&amp;$B56,'Outages (event ledger)'!$G$2:$G$65,"&gt;="&amp;$B56)</f>
        <v>0</v>
      </c>
      <c r="U56" s="26" t="n">
        <f aca="false">SUMIFS('Outages (event ledger)'!$H$2:$H$65,'Outages (event ledger)'!$A$2:$A$65,U$2,'Outages (event ledger)'!$E$2:$E$65,"&lt;="&amp;$B56,'Outages (event ledger)'!$G$2:$G$65,"&gt;="&amp;$B56)</f>
        <v>0</v>
      </c>
      <c r="V56" s="26" t="n">
        <f aca="false">SUMIFS('Outages (event ledger)'!$H$2:$H$65,'Outages (event ledger)'!$A$2:$A$65,V$2,'Outages (event ledger)'!$E$2:$E$65,"&lt;="&amp;$B56,'Outages (event ledger)'!$G$2:$G$65,"&gt;="&amp;$B56)</f>
        <v>0</v>
      </c>
      <c r="W56" s="26" t="n">
        <f aca="false">SUMIFS('Outages (event ledger)'!$H$2:$H$65,'Outages (event ledger)'!$A$2:$A$65,W$2,'Outages (event ledger)'!$E$2:$E$65,"&lt;="&amp;$B56,'Outages (event ledger)'!$G$2:$G$65,"&gt;="&amp;$B56)</f>
        <v>0</v>
      </c>
      <c r="X56" s="26" t="n">
        <f aca="false">SUMIFS('Outages (event ledger)'!$H$2:$H$65,'Outages (event ledger)'!$A$2:$A$65,X$2,'Outages (event ledger)'!$E$2:$E$65,"&lt;="&amp;$B56,'Outages (event ledger)'!$G$2:$G$65,"&gt;="&amp;$B56)</f>
        <v>0</v>
      </c>
      <c r="Y56" s="26" t="n">
        <f aca="false">SUMIFS('Outages (event ledger)'!$H$2:$H$65,'Outages (event ledger)'!$A$2:$A$65,Y$2,'Outages (event ledger)'!$E$2:$E$65,"&lt;="&amp;$B56,'Outages (event ledger)'!$G$2:$G$65,"&gt;="&amp;$B56)</f>
        <v>5</v>
      </c>
      <c r="Z56" s="26" t="n">
        <f aca="false">SUMIFS('Outages (event ledger)'!$H$2:$H$65,'Outages (event ledger)'!$A$2:$A$65,Z$2,'Outages (event ledger)'!$E$2:$E$65,"&lt;="&amp;$B56,'Outages (event ledger)'!$G$2:$G$65,"&gt;="&amp;$B56)</f>
        <v>5</v>
      </c>
      <c r="AA56" s="26" t="n">
        <f aca="false">SUMIFS('Outages (event ledger)'!$H$2:$H$65,'Outages (event ledger)'!$A$2:$A$65,AA$2,'Outages (event ledger)'!$E$2:$E$65,"&lt;="&amp;$B56,'Outages (event ledger)'!$G$2:$G$65,"&gt;="&amp;$B56)</f>
        <v>0</v>
      </c>
      <c r="AB56" s="26" t="n">
        <f aca="false">SUMIFS('Outages (event ledger)'!$H$2:$H$65,'Outages (event ledger)'!$A$2:$A$65,AB$2,'Outages (event ledger)'!$E$2:$E$65,"&lt;="&amp;$B56,'Outages (event ledger)'!$G$2:$G$65,"&gt;="&amp;$B56)</f>
        <v>8</v>
      </c>
      <c r="AC56" s="26" t="n">
        <f aca="false">SUMIFS('Outages (event ledger)'!$H$2:$H$65,'Outages (event ledger)'!$A$2:$A$65,AC$2,'Outages (event ledger)'!$E$2:$E$65,"&lt;="&amp;$B56,'Outages (event ledger)'!$G$2:$G$65,"&gt;="&amp;$B56)</f>
        <v>0</v>
      </c>
      <c r="AD56" s="26" t="n">
        <f aca="false">SUMIFS('Outages (event ledger)'!$H$2:$H$65,'Outages (event ledger)'!$A$2:$A$65,AD$2,'Outages (event ledger)'!$E$2:$E$65,"&lt;="&amp;$B56,'Outages (event ledger)'!$G$2:$G$65,"&gt;="&amp;$B56)</f>
        <v>0</v>
      </c>
      <c r="AE56" s="26" t="n">
        <f aca="false">SUMIFS('Outages (event ledger)'!$H$2:$H$65,'Outages (event ledger)'!$A$2:$A$65,AE$2,'Outages (event ledger)'!$E$2:$E$65,"&lt;="&amp;$B56,'Outages (event ledger)'!$G$2:$G$65,"&gt;="&amp;$B56)</f>
        <v>0</v>
      </c>
      <c r="AF56" s="26" t="n">
        <f aca="false">SUMIFS('Outages (event ledger)'!$H$2:$H$65,'Outages (event ledger)'!$A$2:$A$65,AF$2,'Outages (event ledger)'!$E$2:$E$65,"&lt;="&amp;$B56,'Outages (event ledger)'!$G$2:$G$65,"&gt;="&amp;$B56)</f>
        <v>0</v>
      </c>
      <c r="AG56" s="26" t="n">
        <f aca="false">SUMIFS('Outages (event ledger)'!$H$2:$H$65,'Outages (event ledger)'!$A$2:$A$65,AG$2,'Outages (event ledger)'!$E$2:$E$65,"&lt;="&amp;$B56,'Outages (event ledger)'!$G$2:$G$65,"&gt;="&amp;$B56)</f>
        <v>0</v>
      </c>
      <c r="AH56" s="26" t="n">
        <f aca="false">SUMIFS('Outages (event ledger)'!$H$2:$H$65,'Outages (event ledger)'!$A$2:$A$65,AH$2,'Outages (event ledger)'!$E$2:$E$65,"&lt;="&amp;$B56,'Outages (event ledger)'!$G$2:$G$65,"&gt;="&amp;$B56)</f>
        <v>0</v>
      </c>
      <c r="AI56" s="26" t="n">
        <f aca="false">SUMIFS('Outages (event ledger)'!$H$2:$H$65,'Outages (event ledger)'!$A$2:$A$65,AI$2,'Outages (event ledger)'!$E$2:$E$65,"&lt;="&amp;$B56,'Outages (event ledger)'!$G$2:$G$65,"&gt;="&amp;$B56)</f>
        <v>0</v>
      </c>
      <c r="AJ56" s="26" t="n">
        <f aca="false">SUMIFS('Outages (event ledger)'!$H$2:$H$65,'Outages (event ledger)'!$A$2:$A$65,AJ$2,'Outages (event ledger)'!$E$2:$E$65,"&lt;="&amp;$B56,'Outages (event ledger)'!$G$2:$G$65,"&gt;="&amp;$B56)</f>
        <v>0</v>
      </c>
      <c r="AK56" s="26" t="n">
        <f aca="false">SUMIFS('Outages (event ledger)'!$H$2:$H$65,'Outages (event ledger)'!$A$2:$A$65,AK$2,'Outages (event ledger)'!$E$2:$E$65,"&lt;="&amp;$B56,'Outages (event ledger)'!$G$2:$G$65,"&gt;="&amp;$B56)</f>
        <v>0</v>
      </c>
      <c r="AL56" s="26" t="n">
        <f aca="false">SUMIFS('Outages (event ledger)'!$H$2:$H$65,'Outages (event ledger)'!$A$2:$A$65,AL$2,'Outages (event ledger)'!$E$2:$E$65,"&lt;="&amp;$B56,'Outages (event ledger)'!$G$2:$G$65,"&gt;="&amp;$B56)</f>
        <v>3.5</v>
      </c>
      <c r="AM56" s="26" t="n">
        <f aca="false">SUMIFS('Outages (event ledger)'!$H$2:$H$65,'Outages (event ledger)'!$A$2:$A$65,AM$2,'Outages (event ledger)'!$E$2:$E$65,"&lt;="&amp;$B56,'Outages (event ledger)'!$G$2:$G$65,"&gt;="&amp;$B56)</f>
        <v>0</v>
      </c>
      <c r="AN56" s="26" t="n">
        <f aca="false">SUMIFS('Outages (event ledger)'!$H$2:$H$65,'Outages (event ledger)'!$A$2:$A$65,AN$2,'Outages (event ledger)'!$E$2:$E$65,"&lt;="&amp;$B56,'Outages (event ledger)'!$G$2:$G$65,"&gt;="&amp;$B56)</f>
        <v>0</v>
      </c>
      <c r="AO56" s="26" t="n">
        <f aca="false">SUMIFS('Outages (event ledger)'!$H$2:$H$65,'Outages (event ledger)'!$A$2:$A$65,AO$2,'Outages (event ledger)'!$E$2:$E$65,"&lt;="&amp;$B56,'Outages (event ledger)'!$G$2:$G$65,"&gt;="&amp;$B56)</f>
        <v>0</v>
      </c>
      <c r="AP56" s="26" t="n">
        <f aca="false">SUMIFS('Outages (event ledger)'!$H$2:$H$65,'Outages (event ledger)'!$A$2:$A$65,AP$2,'Outages (event ledger)'!$E$2:$E$65,"&lt;="&amp;$B56,'Outages (event ledger)'!$G$2:$G$65,"&gt;="&amp;$B56)</f>
        <v>0</v>
      </c>
      <c r="AQ56" s="26" t="n">
        <f aca="false">SUMIFS('Outages (event ledger)'!$H$2:$H$65,'Outages (event ledger)'!$A$2:$A$65,AQ$2,'Outages (event ledger)'!$E$2:$E$65,"&lt;="&amp;$B56,'Outages (event ledger)'!$G$2:$G$65,"&gt;="&amp;$B56)</f>
        <v>0</v>
      </c>
      <c r="AR56" s="26" t="n">
        <f aca="false">SUMIFS('Outages (event ledger)'!$H$2:$H$65,'Outages (event ledger)'!$A$2:$A$65,AR$2,'Outages (event ledger)'!$E$2:$E$65,"&lt;="&amp;$B56,'Outages (event ledger)'!$G$2:$G$65,"&gt;="&amp;$B56)</f>
        <v>0</v>
      </c>
      <c r="AS56" s="26" t="n">
        <f aca="false">SUMIFS('Outages (event ledger)'!$H$2:$H$65,'Outages (event ledger)'!$A$2:$A$65,AS$2,'Outages (event ledger)'!$E$2:$E$65,"&lt;="&amp;$B56,'Outages (event ledger)'!$G$2:$G$65,"&gt;="&amp;$B56)</f>
        <v>0</v>
      </c>
      <c r="AT56" s="26" t="n">
        <f aca="false">SUMIFS('Outages (event ledger)'!$H$2:$H$65,'Outages (event ledger)'!$A$2:$A$65,AT$2,'Outages (event ledger)'!$E$2:$E$65,"&lt;="&amp;$B56,'Outages (event ledger)'!$G$2:$G$65,"&gt;="&amp;$B56)</f>
        <v>0</v>
      </c>
      <c r="AU56" s="26" t="n">
        <f aca="false">SUMIFS('Outages (event ledger)'!$H$2:$H$65,'Outages (event ledger)'!$A$2:$A$65,AU$2,'Outages (event ledger)'!$E$2:$E$65,"&lt;="&amp;$B56,'Outages (event ledger)'!$G$2:$G$65,"&gt;="&amp;$B56)</f>
        <v>0</v>
      </c>
      <c r="AV56" s="26" t="n">
        <f aca="false">SUMIFS('Outages (event ledger)'!$H$2:$H$65,'Outages (event ledger)'!$A$2:$A$65,AV$2,'Outages (event ledger)'!$E$2:$E$65,"&lt;="&amp;$B56,'Outages (event ledger)'!$G$2:$G$65,"&gt;="&amp;$B56)</f>
        <v>0</v>
      </c>
      <c r="AW56" s="26" t="n">
        <f aca="false">SUMIFS('Outages (event ledger)'!$H$2:$H$65,'Outages (event ledger)'!$A$2:$A$65,AW$2,'Outages (event ledger)'!$E$2:$E$65,"&lt;="&amp;$B56,'Outages (event ledger)'!$G$2:$G$65,"&gt;="&amp;$B56)</f>
        <v>0</v>
      </c>
      <c r="AX56" s="26" t="n">
        <f aca="false">SUMIFS('Outages (event ledger)'!$H$2:$H$65,'Outages (event ledger)'!$A$2:$A$65,AX$2,'Outages (event ledger)'!$E$2:$E$65,"&lt;="&amp;$B56,'Outages (event ledger)'!$G$2:$G$65,"&gt;="&amp;$B56)</f>
        <v>0</v>
      </c>
      <c r="AY56" s="26" t="n">
        <f aca="false">SUMIFS('Outages (event ledger)'!$H$2:$H$65,'Outages (event ledger)'!$A$2:$A$65,AY$2,'Outages (event ledger)'!$E$2:$E$65,"&lt;="&amp;$B56,'Outages (event ledger)'!$G$2:$G$65,"&gt;="&amp;$B56)</f>
        <v>0</v>
      </c>
      <c r="AZ56" s="26" t="n">
        <f aca="false">SUMIFS('Outages (event ledger)'!$H$2:$H$65,'Outages (event ledger)'!$A$2:$A$65,AZ$2,'Outages (event ledger)'!$E$2:$E$65,"&lt;="&amp;$B56,'Outages (event ledger)'!$G$2:$G$65,"&gt;="&amp;$B56)</f>
        <v>0</v>
      </c>
      <c r="BA56" s="26" t="n">
        <f aca="false">SUMIFS('Outages (event ledger)'!$H$2:$H$65,'Outages (event ledger)'!$A$2:$A$65,BA$2,'Outages (event ledger)'!$E$2:$E$65,"&lt;="&amp;$B56,'Outages (event ledger)'!$G$2:$G$65,"&gt;="&amp;$B56)</f>
        <v>0</v>
      </c>
      <c r="BB56" s="26" t="n">
        <f aca="false">SUMIFS('Outages (event ledger)'!$H$2:$H$65,'Outages (event ledger)'!$A$2:$A$65,BB$2,'Outages (event ledger)'!$E$2:$E$65,"&lt;="&amp;$B56,'Outages (event ledger)'!$G$2:$G$65,"&gt;="&amp;$B56)</f>
        <v>0</v>
      </c>
      <c r="BC56" s="26" t="n">
        <f aca="false">SUMIFS('Outages (event ledger)'!$H$2:$H$65,'Outages (event ledger)'!$A$2:$A$65,BC$2,'Outages (event ledger)'!$E$2:$E$65,"&lt;="&amp;$B56,'Outages (event ledger)'!$G$2:$G$65,"&gt;="&amp;$B56)</f>
        <v>0</v>
      </c>
      <c r="BD56" s="26" t="n">
        <f aca="false">SUMIFS('Outages (event ledger)'!$H$2:$H$65,'Outages (event ledger)'!$A$2:$A$65,BD$2,'Outages (event ledger)'!$E$2:$E$65,"&lt;="&amp;$B56,'Outages (event ledger)'!$G$2:$G$65,"&gt;="&amp;$B56)</f>
        <v>0</v>
      </c>
      <c r="BE56" s="26" t="n">
        <f aca="false">SUMIFS('Outages (event ledger)'!$H$2:$H$65,'Outages (event ledger)'!$A$2:$A$65,BE$2,'Outages (event ledger)'!$E$2:$E$65,"&lt;="&amp;$B56,'Outages (event ledger)'!$G$2:$G$65,"&gt;="&amp;$B56)</f>
        <v>0</v>
      </c>
      <c r="BF56" s="26" t="n">
        <f aca="false">SUMIFS('Outages (event ledger)'!$H$2:$H$65,'Outages (event ledger)'!$A$2:$A$65,BF$2,'Outages (event ledger)'!$E$2:$E$65,"&lt;="&amp;$B56,'Outages (event ledger)'!$G$2:$G$65,"&gt;="&amp;$B56)</f>
        <v>0</v>
      </c>
      <c r="BG56" s="26" t="n">
        <f aca="false">SUMIFS('Outages (event ledger)'!$H$2:$H$65,'Outages (event ledger)'!$A$2:$A$65,BG$2,'Outages (event ledger)'!$E$2:$E$65,"&lt;="&amp;$B56,'Outages (event ledger)'!$G$2:$G$65,"&gt;="&amp;$B56)</f>
        <v>0</v>
      </c>
      <c r="BH56" s="26" t="n">
        <f aca="false">SUMIFS('Outages (event ledger)'!$H$2:$H$65,'Outages (event ledger)'!$A$2:$A$65,BH$2,'Outages (event ledger)'!$E$2:$E$65,"&lt;="&amp;$B56,'Outages (event ledger)'!$G$2:$G$65,"&gt;="&amp;$B56)</f>
        <v>0</v>
      </c>
      <c r="BI56" s="26" t="n">
        <f aca="false">SUMIFS('Outages (event ledger)'!$H$2:$H$65,'Outages (event ledger)'!$A$2:$A$65,BI$2,'Outages (event ledger)'!$E$2:$E$65,"&lt;="&amp;$B56,'Outages (event ledger)'!$G$2:$G$65,"&gt;="&amp;$B56)</f>
        <v>0</v>
      </c>
    </row>
    <row r="57" customFormat="false" ht="15" hidden="false" customHeight="false" outlineLevel="0" collapsed="false">
      <c r="A57" s="23" t="n">
        <v>41821</v>
      </c>
      <c r="B57" s="24" t="n">
        <v>201407</v>
      </c>
      <c r="C57" s="25" t="n">
        <f aca="false">SUM(D57:BI57)</f>
        <v>26.7</v>
      </c>
      <c r="D57" s="26" t="n">
        <f aca="false">SUMIFS('Outages (event ledger)'!$H$2:$H$65,'Outages (event ledger)'!$A$2:$A$65,D$2,'Outages (event ledger)'!$E$2:$E$65,"&lt;="&amp;$B57,'Outages (event ledger)'!$G$2:$G$65,"&gt;="&amp;$B57)</f>
        <v>0</v>
      </c>
      <c r="E57" s="26" t="n">
        <f aca="false">SUMIFS('Outages (event ledger)'!$H$2:$H$65,'Outages (event ledger)'!$A$2:$A$65,E$2,'Outages (event ledger)'!$E$2:$E$65,"&lt;="&amp;$B57,'Outages (event ledger)'!$G$2:$G$65,"&gt;="&amp;$B57)</f>
        <v>0</v>
      </c>
      <c r="F57" s="26" t="n">
        <f aca="false">SUMIFS('Outages (event ledger)'!$H$2:$H$65,'Outages (event ledger)'!$A$2:$A$65,F$2,'Outages (event ledger)'!$E$2:$E$65,"&lt;="&amp;$B57,'Outages (event ledger)'!$G$2:$G$65,"&gt;="&amp;$B57)</f>
        <v>0</v>
      </c>
      <c r="G57" s="26" t="n">
        <f aca="false">SUMIFS('Outages (event ledger)'!$H$2:$H$65,'Outages (event ledger)'!$A$2:$A$65,G$2,'Outages (event ledger)'!$E$2:$E$65,"&lt;="&amp;$B57,'Outages (event ledger)'!$G$2:$G$65,"&gt;="&amp;$B57)</f>
        <v>0</v>
      </c>
      <c r="H57" s="26" t="n">
        <f aca="false">SUMIFS('Outages (event ledger)'!$H$2:$H$65,'Outages (event ledger)'!$A$2:$A$65,H$2,'Outages (event ledger)'!$E$2:$E$65,"&lt;="&amp;$B57,'Outages (event ledger)'!$G$2:$G$65,"&gt;="&amp;$B57)</f>
        <v>5.2</v>
      </c>
      <c r="I57" s="26" t="n">
        <f aca="false">SUMIFS('Outages (event ledger)'!$H$2:$H$65,'Outages (event ledger)'!$A$2:$A$65,I$2,'Outages (event ledger)'!$E$2:$E$65,"&lt;="&amp;$B57,'Outages (event ledger)'!$G$2:$G$65,"&gt;="&amp;$B57)</f>
        <v>0</v>
      </c>
      <c r="J57" s="26" t="n">
        <f aca="false">SUMIFS('Outages (event ledger)'!$H$2:$H$65,'Outages (event ledger)'!$A$2:$A$65,J$2,'Outages (event ledger)'!$E$2:$E$65,"&lt;="&amp;$B57,'Outages (event ledger)'!$G$2:$G$65,"&gt;="&amp;$B57)</f>
        <v>0</v>
      </c>
      <c r="K57" s="26" t="n">
        <f aca="false">SUMIFS('Outages (event ledger)'!$H$2:$H$65,'Outages (event ledger)'!$A$2:$A$65,K$2,'Outages (event ledger)'!$E$2:$E$65,"&lt;="&amp;$B57,'Outages (event ledger)'!$G$2:$G$65,"&gt;="&amp;$B57)</f>
        <v>0</v>
      </c>
      <c r="L57" s="26" t="n">
        <f aca="false">SUMIFS('Outages (event ledger)'!$H$2:$H$65,'Outages (event ledger)'!$A$2:$A$65,L$2,'Outages (event ledger)'!$E$2:$E$65,"&lt;="&amp;$B57,'Outages (event ledger)'!$G$2:$G$65,"&gt;="&amp;$B57)</f>
        <v>0</v>
      </c>
      <c r="M57" s="26" t="n">
        <f aca="false">SUMIFS('Outages (event ledger)'!$H$2:$H$65,'Outages (event ledger)'!$A$2:$A$65,M$2,'Outages (event ledger)'!$E$2:$E$65,"&lt;="&amp;$B57,'Outages (event ledger)'!$G$2:$G$65,"&gt;="&amp;$B57)</f>
        <v>0</v>
      </c>
      <c r="N57" s="26" t="n">
        <f aca="false">SUMIFS('Outages (event ledger)'!$H$2:$H$65,'Outages (event ledger)'!$A$2:$A$65,N$2,'Outages (event ledger)'!$E$2:$E$65,"&lt;="&amp;$B57,'Outages (event ledger)'!$G$2:$G$65,"&gt;="&amp;$B57)</f>
        <v>0</v>
      </c>
      <c r="O57" s="26" t="n">
        <f aca="false">SUMIFS('Outages (event ledger)'!$H$2:$H$65,'Outages (event ledger)'!$A$2:$A$65,O$2,'Outages (event ledger)'!$E$2:$E$65,"&lt;="&amp;$B57,'Outages (event ledger)'!$G$2:$G$65,"&gt;="&amp;$B57)</f>
        <v>0</v>
      </c>
      <c r="P57" s="26" t="n">
        <f aca="false">SUMIFS('Outages (event ledger)'!$H$2:$H$65,'Outages (event ledger)'!$A$2:$A$65,P$2,'Outages (event ledger)'!$E$2:$E$65,"&lt;="&amp;$B57,'Outages (event ledger)'!$G$2:$G$65,"&gt;="&amp;$B57)</f>
        <v>0</v>
      </c>
      <c r="Q57" s="26" t="n">
        <f aca="false">SUMIFS('Outages (event ledger)'!$H$2:$H$65,'Outages (event ledger)'!$A$2:$A$65,Q$2,'Outages (event ledger)'!$E$2:$E$65,"&lt;="&amp;$B57,'Outages (event ledger)'!$G$2:$G$65,"&gt;="&amp;$B57)</f>
        <v>0</v>
      </c>
      <c r="R57" s="26" t="n">
        <f aca="false">SUMIFS('Outages (event ledger)'!$H$2:$H$65,'Outages (event ledger)'!$A$2:$A$65,R$2,'Outages (event ledger)'!$E$2:$E$65,"&lt;="&amp;$B57,'Outages (event ledger)'!$G$2:$G$65,"&gt;="&amp;$B57)</f>
        <v>0</v>
      </c>
      <c r="S57" s="26" t="n">
        <f aca="false">SUMIFS('Outages (event ledger)'!$H$2:$H$65,'Outages (event ledger)'!$A$2:$A$65,S$2,'Outages (event ledger)'!$E$2:$E$65,"&lt;="&amp;$B57,'Outages (event ledger)'!$G$2:$G$65,"&gt;="&amp;$B57)</f>
        <v>0</v>
      </c>
      <c r="T57" s="26" t="n">
        <f aca="false">SUMIFS('Outages (event ledger)'!$H$2:$H$65,'Outages (event ledger)'!$A$2:$A$65,T$2,'Outages (event ledger)'!$E$2:$E$65,"&lt;="&amp;$B57,'Outages (event ledger)'!$G$2:$G$65,"&gt;="&amp;$B57)</f>
        <v>0</v>
      </c>
      <c r="U57" s="26" t="n">
        <f aca="false">SUMIFS('Outages (event ledger)'!$H$2:$H$65,'Outages (event ledger)'!$A$2:$A$65,U$2,'Outages (event ledger)'!$E$2:$E$65,"&lt;="&amp;$B57,'Outages (event ledger)'!$G$2:$G$65,"&gt;="&amp;$B57)</f>
        <v>0</v>
      </c>
      <c r="V57" s="26" t="n">
        <f aca="false">SUMIFS('Outages (event ledger)'!$H$2:$H$65,'Outages (event ledger)'!$A$2:$A$65,V$2,'Outages (event ledger)'!$E$2:$E$65,"&lt;="&amp;$B57,'Outages (event ledger)'!$G$2:$G$65,"&gt;="&amp;$B57)</f>
        <v>0</v>
      </c>
      <c r="W57" s="26" t="n">
        <f aca="false">SUMIFS('Outages (event ledger)'!$H$2:$H$65,'Outages (event ledger)'!$A$2:$A$65,W$2,'Outages (event ledger)'!$E$2:$E$65,"&lt;="&amp;$B57,'Outages (event ledger)'!$G$2:$G$65,"&gt;="&amp;$B57)</f>
        <v>0</v>
      </c>
      <c r="X57" s="26" t="n">
        <f aca="false">SUMIFS('Outages (event ledger)'!$H$2:$H$65,'Outages (event ledger)'!$A$2:$A$65,X$2,'Outages (event ledger)'!$E$2:$E$65,"&lt;="&amp;$B57,'Outages (event ledger)'!$G$2:$G$65,"&gt;="&amp;$B57)</f>
        <v>0</v>
      </c>
      <c r="Y57" s="26" t="n">
        <f aca="false">SUMIFS('Outages (event ledger)'!$H$2:$H$65,'Outages (event ledger)'!$A$2:$A$65,Y$2,'Outages (event ledger)'!$E$2:$E$65,"&lt;="&amp;$B57,'Outages (event ledger)'!$G$2:$G$65,"&gt;="&amp;$B57)</f>
        <v>5</v>
      </c>
      <c r="Z57" s="26" t="n">
        <f aca="false">SUMIFS('Outages (event ledger)'!$H$2:$H$65,'Outages (event ledger)'!$A$2:$A$65,Z$2,'Outages (event ledger)'!$E$2:$E$65,"&lt;="&amp;$B57,'Outages (event ledger)'!$G$2:$G$65,"&gt;="&amp;$B57)</f>
        <v>5</v>
      </c>
      <c r="AA57" s="26" t="n">
        <f aca="false">SUMIFS('Outages (event ledger)'!$H$2:$H$65,'Outages (event ledger)'!$A$2:$A$65,AA$2,'Outages (event ledger)'!$E$2:$E$65,"&lt;="&amp;$B57,'Outages (event ledger)'!$G$2:$G$65,"&gt;="&amp;$B57)</f>
        <v>0</v>
      </c>
      <c r="AB57" s="26" t="n">
        <f aca="false">SUMIFS('Outages (event ledger)'!$H$2:$H$65,'Outages (event ledger)'!$A$2:$A$65,AB$2,'Outages (event ledger)'!$E$2:$E$65,"&lt;="&amp;$B57,'Outages (event ledger)'!$G$2:$G$65,"&gt;="&amp;$B57)</f>
        <v>8</v>
      </c>
      <c r="AC57" s="26" t="n">
        <f aca="false">SUMIFS('Outages (event ledger)'!$H$2:$H$65,'Outages (event ledger)'!$A$2:$A$65,AC$2,'Outages (event ledger)'!$E$2:$E$65,"&lt;="&amp;$B57,'Outages (event ledger)'!$G$2:$G$65,"&gt;="&amp;$B57)</f>
        <v>0</v>
      </c>
      <c r="AD57" s="26" t="n">
        <f aca="false">SUMIFS('Outages (event ledger)'!$H$2:$H$65,'Outages (event ledger)'!$A$2:$A$65,AD$2,'Outages (event ledger)'!$E$2:$E$65,"&lt;="&amp;$B57,'Outages (event ledger)'!$G$2:$G$65,"&gt;="&amp;$B57)</f>
        <v>0</v>
      </c>
      <c r="AE57" s="26" t="n">
        <f aca="false">SUMIFS('Outages (event ledger)'!$H$2:$H$65,'Outages (event ledger)'!$A$2:$A$65,AE$2,'Outages (event ledger)'!$E$2:$E$65,"&lt;="&amp;$B57,'Outages (event ledger)'!$G$2:$G$65,"&gt;="&amp;$B57)</f>
        <v>0</v>
      </c>
      <c r="AF57" s="26" t="n">
        <f aca="false">SUMIFS('Outages (event ledger)'!$H$2:$H$65,'Outages (event ledger)'!$A$2:$A$65,AF$2,'Outages (event ledger)'!$E$2:$E$65,"&lt;="&amp;$B57,'Outages (event ledger)'!$G$2:$G$65,"&gt;="&amp;$B57)</f>
        <v>0</v>
      </c>
      <c r="AG57" s="26" t="n">
        <f aca="false">SUMIFS('Outages (event ledger)'!$H$2:$H$65,'Outages (event ledger)'!$A$2:$A$65,AG$2,'Outages (event ledger)'!$E$2:$E$65,"&lt;="&amp;$B57,'Outages (event ledger)'!$G$2:$G$65,"&gt;="&amp;$B57)</f>
        <v>0</v>
      </c>
      <c r="AH57" s="26" t="n">
        <f aca="false">SUMIFS('Outages (event ledger)'!$H$2:$H$65,'Outages (event ledger)'!$A$2:$A$65,AH$2,'Outages (event ledger)'!$E$2:$E$65,"&lt;="&amp;$B57,'Outages (event ledger)'!$G$2:$G$65,"&gt;="&amp;$B57)</f>
        <v>0</v>
      </c>
      <c r="AI57" s="26" t="n">
        <f aca="false">SUMIFS('Outages (event ledger)'!$H$2:$H$65,'Outages (event ledger)'!$A$2:$A$65,AI$2,'Outages (event ledger)'!$E$2:$E$65,"&lt;="&amp;$B57,'Outages (event ledger)'!$G$2:$G$65,"&gt;="&amp;$B57)</f>
        <v>0</v>
      </c>
      <c r="AJ57" s="26" t="n">
        <f aca="false">SUMIFS('Outages (event ledger)'!$H$2:$H$65,'Outages (event ledger)'!$A$2:$A$65,AJ$2,'Outages (event ledger)'!$E$2:$E$65,"&lt;="&amp;$B57,'Outages (event ledger)'!$G$2:$G$65,"&gt;="&amp;$B57)</f>
        <v>0</v>
      </c>
      <c r="AK57" s="26" t="n">
        <f aca="false">SUMIFS('Outages (event ledger)'!$H$2:$H$65,'Outages (event ledger)'!$A$2:$A$65,AK$2,'Outages (event ledger)'!$E$2:$E$65,"&lt;="&amp;$B57,'Outages (event ledger)'!$G$2:$G$65,"&gt;="&amp;$B57)</f>
        <v>0</v>
      </c>
      <c r="AL57" s="26" t="n">
        <f aca="false">SUMIFS('Outages (event ledger)'!$H$2:$H$65,'Outages (event ledger)'!$A$2:$A$65,AL$2,'Outages (event ledger)'!$E$2:$E$65,"&lt;="&amp;$B57,'Outages (event ledger)'!$G$2:$G$65,"&gt;="&amp;$B57)</f>
        <v>3.5</v>
      </c>
      <c r="AM57" s="26" t="n">
        <f aca="false">SUMIFS('Outages (event ledger)'!$H$2:$H$65,'Outages (event ledger)'!$A$2:$A$65,AM$2,'Outages (event ledger)'!$E$2:$E$65,"&lt;="&amp;$B57,'Outages (event ledger)'!$G$2:$G$65,"&gt;="&amp;$B57)</f>
        <v>0</v>
      </c>
      <c r="AN57" s="26" t="n">
        <f aca="false">SUMIFS('Outages (event ledger)'!$H$2:$H$65,'Outages (event ledger)'!$A$2:$A$65,AN$2,'Outages (event ledger)'!$E$2:$E$65,"&lt;="&amp;$B57,'Outages (event ledger)'!$G$2:$G$65,"&gt;="&amp;$B57)</f>
        <v>0</v>
      </c>
      <c r="AO57" s="26" t="n">
        <f aca="false">SUMIFS('Outages (event ledger)'!$H$2:$H$65,'Outages (event ledger)'!$A$2:$A$65,AO$2,'Outages (event ledger)'!$E$2:$E$65,"&lt;="&amp;$B57,'Outages (event ledger)'!$G$2:$G$65,"&gt;="&amp;$B57)</f>
        <v>0</v>
      </c>
      <c r="AP57" s="26" t="n">
        <f aca="false">SUMIFS('Outages (event ledger)'!$H$2:$H$65,'Outages (event ledger)'!$A$2:$A$65,AP$2,'Outages (event ledger)'!$E$2:$E$65,"&lt;="&amp;$B57,'Outages (event ledger)'!$G$2:$G$65,"&gt;="&amp;$B57)</f>
        <v>0</v>
      </c>
      <c r="AQ57" s="26" t="n">
        <f aca="false">SUMIFS('Outages (event ledger)'!$H$2:$H$65,'Outages (event ledger)'!$A$2:$A$65,AQ$2,'Outages (event ledger)'!$E$2:$E$65,"&lt;="&amp;$B57,'Outages (event ledger)'!$G$2:$G$65,"&gt;="&amp;$B57)</f>
        <v>0</v>
      </c>
      <c r="AR57" s="26" t="n">
        <f aca="false">SUMIFS('Outages (event ledger)'!$H$2:$H$65,'Outages (event ledger)'!$A$2:$A$65,AR$2,'Outages (event ledger)'!$E$2:$E$65,"&lt;="&amp;$B57,'Outages (event ledger)'!$G$2:$G$65,"&gt;="&amp;$B57)</f>
        <v>0</v>
      </c>
      <c r="AS57" s="26" t="n">
        <f aca="false">SUMIFS('Outages (event ledger)'!$H$2:$H$65,'Outages (event ledger)'!$A$2:$A$65,AS$2,'Outages (event ledger)'!$E$2:$E$65,"&lt;="&amp;$B57,'Outages (event ledger)'!$G$2:$G$65,"&gt;="&amp;$B57)</f>
        <v>0</v>
      </c>
      <c r="AT57" s="26" t="n">
        <f aca="false">SUMIFS('Outages (event ledger)'!$H$2:$H$65,'Outages (event ledger)'!$A$2:$A$65,AT$2,'Outages (event ledger)'!$E$2:$E$65,"&lt;="&amp;$B57,'Outages (event ledger)'!$G$2:$G$65,"&gt;="&amp;$B57)</f>
        <v>0</v>
      </c>
      <c r="AU57" s="26" t="n">
        <f aca="false">SUMIFS('Outages (event ledger)'!$H$2:$H$65,'Outages (event ledger)'!$A$2:$A$65,AU$2,'Outages (event ledger)'!$E$2:$E$65,"&lt;="&amp;$B57,'Outages (event ledger)'!$G$2:$G$65,"&gt;="&amp;$B57)</f>
        <v>0</v>
      </c>
      <c r="AV57" s="26" t="n">
        <f aca="false">SUMIFS('Outages (event ledger)'!$H$2:$H$65,'Outages (event ledger)'!$A$2:$A$65,AV$2,'Outages (event ledger)'!$E$2:$E$65,"&lt;="&amp;$B57,'Outages (event ledger)'!$G$2:$G$65,"&gt;="&amp;$B57)</f>
        <v>0</v>
      </c>
      <c r="AW57" s="26" t="n">
        <f aca="false">SUMIFS('Outages (event ledger)'!$H$2:$H$65,'Outages (event ledger)'!$A$2:$A$65,AW$2,'Outages (event ledger)'!$E$2:$E$65,"&lt;="&amp;$B57,'Outages (event ledger)'!$G$2:$G$65,"&gt;="&amp;$B57)</f>
        <v>0</v>
      </c>
      <c r="AX57" s="26" t="n">
        <f aca="false">SUMIFS('Outages (event ledger)'!$H$2:$H$65,'Outages (event ledger)'!$A$2:$A$65,AX$2,'Outages (event ledger)'!$E$2:$E$65,"&lt;="&amp;$B57,'Outages (event ledger)'!$G$2:$G$65,"&gt;="&amp;$B57)</f>
        <v>0</v>
      </c>
      <c r="AY57" s="26" t="n">
        <f aca="false">SUMIFS('Outages (event ledger)'!$H$2:$H$65,'Outages (event ledger)'!$A$2:$A$65,AY$2,'Outages (event ledger)'!$E$2:$E$65,"&lt;="&amp;$B57,'Outages (event ledger)'!$G$2:$G$65,"&gt;="&amp;$B57)</f>
        <v>0</v>
      </c>
      <c r="AZ57" s="26" t="n">
        <f aca="false">SUMIFS('Outages (event ledger)'!$H$2:$H$65,'Outages (event ledger)'!$A$2:$A$65,AZ$2,'Outages (event ledger)'!$E$2:$E$65,"&lt;="&amp;$B57,'Outages (event ledger)'!$G$2:$G$65,"&gt;="&amp;$B57)</f>
        <v>0</v>
      </c>
      <c r="BA57" s="26" t="n">
        <f aca="false">SUMIFS('Outages (event ledger)'!$H$2:$H$65,'Outages (event ledger)'!$A$2:$A$65,BA$2,'Outages (event ledger)'!$E$2:$E$65,"&lt;="&amp;$B57,'Outages (event ledger)'!$G$2:$G$65,"&gt;="&amp;$B57)</f>
        <v>0</v>
      </c>
      <c r="BB57" s="26" t="n">
        <f aca="false">SUMIFS('Outages (event ledger)'!$H$2:$H$65,'Outages (event ledger)'!$A$2:$A$65,BB$2,'Outages (event ledger)'!$E$2:$E$65,"&lt;="&amp;$B57,'Outages (event ledger)'!$G$2:$G$65,"&gt;="&amp;$B57)</f>
        <v>0</v>
      </c>
      <c r="BC57" s="26" t="n">
        <f aca="false">SUMIFS('Outages (event ledger)'!$H$2:$H$65,'Outages (event ledger)'!$A$2:$A$65,BC$2,'Outages (event ledger)'!$E$2:$E$65,"&lt;="&amp;$B57,'Outages (event ledger)'!$G$2:$G$65,"&gt;="&amp;$B57)</f>
        <v>0</v>
      </c>
      <c r="BD57" s="26" t="n">
        <f aca="false">SUMIFS('Outages (event ledger)'!$H$2:$H$65,'Outages (event ledger)'!$A$2:$A$65,BD$2,'Outages (event ledger)'!$E$2:$E$65,"&lt;="&amp;$B57,'Outages (event ledger)'!$G$2:$G$65,"&gt;="&amp;$B57)</f>
        <v>0</v>
      </c>
      <c r="BE57" s="26" t="n">
        <f aca="false">SUMIFS('Outages (event ledger)'!$H$2:$H$65,'Outages (event ledger)'!$A$2:$A$65,BE$2,'Outages (event ledger)'!$E$2:$E$65,"&lt;="&amp;$B57,'Outages (event ledger)'!$G$2:$G$65,"&gt;="&amp;$B57)</f>
        <v>0</v>
      </c>
      <c r="BF57" s="26" t="n">
        <f aca="false">SUMIFS('Outages (event ledger)'!$H$2:$H$65,'Outages (event ledger)'!$A$2:$A$65,BF$2,'Outages (event ledger)'!$E$2:$E$65,"&lt;="&amp;$B57,'Outages (event ledger)'!$G$2:$G$65,"&gt;="&amp;$B57)</f>
        <v>0</v>
      </c>
      <c r="BG57" s="26" t="n">
        <f aca="false">SUMIFS('Outages (event ledger)'!$H$2:$H$65,'Outages (event ledger)'!$A$2:$A$65,BG$2,'Outages (event ledger)'!$E$2:$E$65,"&lt;="&amp;$B57,'Outages (event ledger)'!$G$2:$G$65,"&gt;="&amp;$B57)</f>
        <v>0</v>
      </c>
      <c r="BH57" s="26" t="n">
        <f aca="false">SUMIFS('Outages (event ledger)'!$H$2:$H$65,'Outages (event ledger)'!$A$2:$A$65,BH$2,'Outages (event ledger)'!$E$2:$E$65,"&lt;="&amp;$B57,'Outages (event ledger)'!$G$2:$G$65,"&gt;="&amp;$B57)</f>
        <v>0</v>
      </c>
      <c r="BI57" s="26" t="n">
        <f aca="false">SUMIFS('Outages (event ledger)'!$H$2:$H$65,'Outages (event ledger)'!$A$2:$A$65,BI$2,'Outages (event ledger)'!$E$2:$E$65,"&lt;="&amp;$B57,'Outages (event ledger)'!$G$2:$G$65,"&gt;="&amp;$B57)</f>
        <v>0</v>
      </c>
    </row>
    <row r="58" customFormat="false" ht="15" hidden="false" customHeight="false" outlineLevel="0" collapsed="false">
      <c r="A58" s="23" t="n">
        <v>41852</v>
      </c>
      <c r="B58" s="24" t="n">
        <v>201408</v>
      </c>
      <c r="C58" s="25" t="n">
        <f aca="false">SUM(D58:BI58)</f>
        <v>26.7</v>
      </c>
      <c r="D58" s="26" t="n">
        <f aca="false">SUMIFS('Outages (event ledger)'!$H$2:$H$65,'Outages (event ledger)'!$A$2:$A$65,D$2,'Outages (event ledger)'!$E$2:$E$65,"&lt;="&amp;$B58,'Outages (event ledger)'!$G$2:$G$65,"&gt;="&amp;$B58)</f>
        <v>0</v>
      </c>
      <c r="E58" s="26" t="n">
        <f aca="false">SUMIFS('Outages (event ledger)'!$H$2:$H$65,'Outages (event ledger)'!$A$2:$A$65,E$2,'Outages (event ledger)'!$E$2:$E$65,"&lt;="&amp;$B58,'Outages (event ledger)'!$G$2:$G$65,"&gt;="&amp;$B58)</f>
        <v>0</v>
      </c>
      <c r="F58" s="26" t="n">
        <f aca="false">SUMIFS('Outages (event ledger)'!$H$2:$H$65,'Outages (event ledger)'!$A$2:$A$65,F$2,'Outages (event ledger)'!$E$2:$E$65,"&lt;="&amp;$B58,'Outages (event ledger)'!$G$2:$G$65,"&gt;="&amp;$B58)</f>
        <v>0</v>
      </c>
      <c r="G58" s="26" t="n">
        <f aca="false">SUMIFS('Outages (event ledger)'!$H$2:$H$65,'Outages (event ledger)'!$A$2:$A$65,G$2,'Outages (event ledger)'!$E$2:$E$65,"&lt;="&amp;$B58,'Outages (event ledger)'!$G$2:$G$65,"&gt;="&amp;$B58)</f>
        <v>0</v>
      </c>
      <c r="H58" s="26" t="n">
        <f aca="false">SUMIFS('Outages (event ledger)'!$H$2:$H$65,'Outages (event ledger)'!$A$2:$A$65,H$2,'Outages (event ledger)'!$E$2:$E$65,"&lt;="&amp;$B58,'Outages (event ledger)'!$G$2:$G$65,"&gt;="&amp;$B58)</f>
        <v>5.2</v>
      </c>
      <c r="I58" s="26" t="n">
        <f aca="false">SUMIFS('Outages (event ledger)'!$H$2:$H$65,'Outages (event ledger)'!$A$2:$A$65,I$2,'Outages (event ledger)'!$E$2:$E$65,"&lt;="&amp;$B58,'Outages (event ledger)'!$G$2:$G$65,"&gt;="&amp;$B58)</f>
        <v>0</v>
      </c>
      <c r="J58" s="26" t="n">
        <f aca="false">SUMIFS('Outages (event ledger)'!$H$2:$H$65,'Outages (event ledger)'!$A$2:$A$65,J$2,'Outages (event ledger)'!$E$2:$E$65,"&lt;="&amp;$B58,'Outages (event ledger)'!$G$2:$G$65,"&gt;="&amp;$B58)</f>
        <v>0</v>
      </c>
      <c r="K58" s="26" t="n">
        <f aca="false">SUMIFS('Outages (event ledger)'!$H$2:$H$65,'Outages (event ledger)'!$A$2:$A$65,K$2,'Outages (event ledger)'!$E$2:$E$65,"&lt;="&amp;$B58,'Outages (event ledger)'!$G$2:$G$65,"&gt;="&amp;$B58)</f>
        <v>0</v>
      </c>
      <c r="L58" s="26" t="n">
        <f aca="false">SUMIFS('Outages (event ledger)'!$H$2:$H$65,'Outages (event ledger)'!$A$2:$A$65,L$2,'Outages (event ledger)'!$E$2:$E$65,"&lt;="&amp;$B58,'Outages (event ledger)'!$G$2:$G$65,"&gt;="&amp;$B58)</f>
        <v>0</v>
      </c>
      <c r="M58" s="26" t="n">
        <f aca="false">SUMIFS('Outages (event ledger)'!$H$2:$H$65,'Outages (event ledger)'!$A$2:$A$65,M$2,'Outages (event ledger)'!$E$2:$E$65,"&lt;="&amp;$B58,'Outages (event ledger)'!$G$2:$G$65,"&gt;="&amp;$B58)</f>
        <v>0</v>
      </c>
      <c r="N58" s="26" t="n">
        <f aca="false">SUMIFS('Outages (event ledger)'!$H$2:$H$65,'Outages (event ledger)'!$A$2:$A$65,N$2,'Outages (event ledger)'!$E$2:$E$65,"&lt;="&amp;$B58,'Outages (event ledger)'!$G$2:$G$65,"&gt;="&amp;$B58)</f>
        <v>0</v>
      </c>
      <c r="O58" s="26" t="n">
        <f aca="false">SUMIFS('Outages (event ledger)'!$H$2:$H$65,'Outages (event ledger)'!$A$2:$A$65,O$2,'Outages (event ledger)'!$E$2:$E$65,"&lt;="&amp;$B58,'Outages (event ledger)'!$G$2:$G$65,"&gt;="&amp;$B58)</f>
        <v>0</v>
      </c>
      <c r="P58" s="26" t="n">
        <f aca="false">SUMIFS('Outages (event ledger)'!$H$2:$H$65,'Outages (event ledger)'!$A$2:$A$65,P$2,'Outages (event ledger)'!$E$2:$E$65,"&lt;="&amp;$B58,'Outages (event ledger)'!$G$2:$G$65,"&gt;="&amp;$B58)</f>
        <v>0</v>
      </c>
      <c r="Q58" s="26" t="n">
        <f aca="false">SUMIFS('Outages (event ledger)'!$H$2:$H$65,'Outages (event ledger)'!$A$2:$A$65,Q$2,'Outages (event ledger)'!$E$2:$E$65,"&lt;="&amp;$B58,'Outages (event ledger)'!$G$2:$G$65,"&gt;="&amp;$B58)</f>
        <v>0</v>
      </c>
      <c r="R58" s="26" t="n">
        <f aca="false">SUMIFS('Outages (event ledger)'!$H$2:$H$65,'Outages (event ledger)'!$A$2:$A$65,R$2,'Outages (event ledger)'!$E$2:$E$65,"&lt;="&amp;$B58,'Outages (event ledger)'!$G$2:$G$65,"&gt;="&amp;$B58)</f>
        <v>0</v>
      </c>
      <c r="S58" s="26" t="n">
        <f aca="false">SUMIFS('Outages (event ledger)'!$H$2:$H$65,'Outages (event ledger)'!$A$2:$A$65,S$2,'Outages (event ledger)'!$E$2:$E$65,"&lt;="&amp;$B58,'Outages (event ledger)'!$G$2:$G$65,"&gt;="&amp;$B58)</f>
        <v>0</v>
      </c>
      <c r="T58" s="26" t="n">
        <f aca="false">SUMIFS('Outages (event ledger)'!$H$2:$H$65,'Outages (event ledger)'!$A$2:$A$65,T$2,'Outages (event ledger)'!$E$2:$E$65,"&lt;="&amp;$B58,'Outages (event ledger)'!$G$2:$G$65,"&gt;="&amp;$B58)</f>
        <v>0</v>
      </c>
      <c r="U58" s="26" t="n">
        <f aca="false">SUMIFS('Outages (event ledger)'!$H$2:$H$65,'Outages (event ledger)'!$A$2:$A$65,U$2,'Outages (event ledger)'!$E$2:$E$65,"&lt;="&amp;$B58,'Outages (event ledger)'!$G$2:$G$65,"&gt;="&amp;$B58)</f>
        <v>0</v>
      </c>
      <c r="V58" s="26" t="n">
        <f aca="false">SUMIFS('Outages (event ledger)'!$H$2:$H$65,'Outages (event ledger)'!$A$2:$A$65,V$2,'Outages (event ledger)'!$E$2:$E$65,"&lt;="&amp;$B58,'Outages (event ledger)'!$G$2:$G$65,"&gt;="&amp;$B58)</f>
        <v>0</v>
      </c>
      <c r="W58" s="26" t="n">
        <f aca="false">SUMIFS('Outages (event ledger)'!$H$2:$H$65,'Outages (event ledger)'!$A$2:$A$65,W$2,'Outages (event ledger)'!$E$2:$E$65,"&lt;="&amp;$B58,'Outages (event ledger)'!$G$2:$G$65,"&gt;="&amp;$B58)</f>
        <v>0</v>
      </c>
      <c r="X58" s="26" t="n">
        <f aca="false">SUMIFS('Outages (event ledger)'!$H$2:$H$65,'Outages (event ledger)'!$A$2:$A$65,X$2,'Outages (event ledger)'!$E$2:$E$65,"&lt;="&amp;$B58,'Outages (event ledger)'!$G$2:$G$65,"&gt;="&amp;$B58)</f>
        <v>0</v>
      </c>
      <c r="Y58" s="26" t="n">
        <f aca="false">SUMIFS('Outages (event ledger)'!$H$2:$H$65,'Outages (event ledger)'!$A$2:$A$65,Y$2,'Outages (event ledger)'!$E$2:$E$65,"&lt;="&amp;$B58,'Outages (event ledger)'!$G$2:$G$65,"&gt;="&amp;$B58)</f>
        <v>5</v>
      </c>
      <c r="Z58" s="26" t="n">
        <f aca="false">SUMIFS('Outages (event ledger)'!$H$2:$H$65,'Outages (event ledger)'!$A$2:$A$65,Z$2,'Outages (event ledger)'!$E$2:$E$65,"&lt;="&amp;$B58,'Outages (event ledger)'!$G$2:$G$65,"&gt;="&amp;$B58)</f>
        <v>5</v>
      </c>
      <c r="AA58" s="26" t="n">
        <f aca="false">SUMIFS('Outages (event ledger)'!$H$2:$H$65,'Outages (event ledger)'!$A$2:$A$65,AA$2,'Outages (event ledger)'!$E$2:$E$65,"&lt;="&amp;$B58,'Outages (event ledger)'!$G$2:$G$65,"&gt;="&amp;$B58)</f>
        <v>0</v>
      </c>
      <c r="AB58" s="26" t="n">
        <f aca="false">SUMIFS('Outages (event ledger)'!$H$2:$H$65,'Outages (event ledger)'!$A$2:$A$65,AB$2,'Outages (event ledger)'!$E$2:$E$65,"&lt;="&amp;$B58,'Outages (event ledger)'!$G$2:$G$65,"&gt;="&amp;$B58)</f>
        <v>8</v>
      </c>
      <c r="AC58" s="26" t="n">
        <f aca="false">SUMIFS('Outages (event ledger)'!$H$2:$H$65,'Outages (event ledger)'!$A$2:$A$65,AC$2,'Outages (event ledger)'!$E$2:$E$65,"&lt;="&amp;$B58,'Outages (event ledger)'!$G$2:$G$65,"&gt;="&amp;$B58)</f>
        <v>0</v>
      </c>
      <c r="AD58" s="26" t="n">
        <f aca="false">SUMIFS('Outages (event ledger)'!$H$2:$H$65,'Outages (event ledger)'!$A$2:$A$65,AD$2,'Outages (event ledger)'!$E$2:$E$65,"&lt;="&amp;$B58,'Outages (event ledger)'!$G$2:$G$65,"&gt;="&amp;$B58)</f>
        <v>0</v>
      </c>
      <c r="AE58" s="26" t="n">
        <f aca="false">SUMIFS('Outages (event ledger)'!$H$2:$H$65,'Outages (event ledger)'!$A$2:$A$65,AE$2,'Outages (event ledger)'!$E$2:$E$65,"&lt;="&amp;$B58,'Outages (event ledger)'!$G$2:$G$65,"&gt;="&amp;$B58)</f>
        <v>0</v>
      </c>
      <c r="AF58" s="26" t="n">
        <f aca="false">SUMIFS('Outages (event ledger)'!$H$2:$H$65,'Outages (event ledger)'!$A$2:$A$65,AF$2,'Outages (event ledger)'!$E$2:$E$65,"&lt;="&amp;$B58,'Outages (event ledger)'!$G$2:$G$65,"&gt;="&amp;$B58)</f>
        <v>0</v>
      </c>
      <c r="AG58" s="26" t="n">
        <f aca="false">SUMIFS('Outages (event ledger)'!$H$2:$H$65,'Outages (event ledger)'!$A$2:$A$65,AG$2,'Outages (event ledger)'!$E$2:$E$65,"&lt;="&amp;$B58,'Outages (event ledger)'!$G$2:$G$65,"&gt;="&amp;$B58)</f>
        <v>0</v>
      </c>
      <c r="AH58" s="26" t="n">
        <f aca="false">SUMIFS('Outages (event ledger)'!$H$2:$H$65,'Outages (event ledger)'!$A$2:$A$65,AH$2,'Outages (event ledger)'!$E$2:$E$65,"&lt;="&amp;$B58,'Outages (event ledger)'!$G$2:$G$65,"&gt;="&amp;$B58)</f>
        <v>0</v>
      </c>
      <c r="AI58" s="26" t="n">
        <f aca="false">SUMIFS('Outages (event ledger)'!$H$2:$H$65,'Outages (event ledger)'!$A$2:$A$65,AI$2,'Outages (event ledger)'!$E$2:$E$65,"&lt;="&amp;$B58,'Outages (event ledger)'!$G$2:$G$65,"&gt;="&amp;$B58)</f>
        <v>0</v>
      </c>
      <c r="AJ58" s="26" t="n">
        <f aca="false">SUMIFS('Outages (event ledger)'!$H$2:$H$65,'Outages (event ledger)'!$A$2:$A$65,AJ$2,'Outages (event ledger)'!$E$2:$E$65,"&lt;="&amp;$B58,'Outages (event ledger)'!$G$2:$G$65,"&gt;="&amp;$B58)</f>
        <v>0</v>
      </c>
      <c r="AK58" s="26" t="n">
        <f aca="false">SUMIFS('Outages (event ledger)'!$H$2:$H$65,'Outages (event ledger)'!$A$2:$A$65,AK$2,'Outages (event ledger)'!$E$2:$E$65,"&lt;="&amp;$B58,'Outages (event ledger)'!$G$2:$G$65,"&gt;="&amp;$B58)</f>
        <v>0</v>
      </c>
      <c r="AL58" s="26" t="n">
        <f aca="false">SUMIFS('Outages (event ledger)'!$H$2:$H$65,'Outages (event ledger)'!$A$2:$A$65,AL$2,'Outages (event ledger)'!$E$2:$E$65,"&lt;="&amp;$B58,'Outages (event ledger)'!$G$2:$G$65,"&gt;="&amp;$B58)</f>
        <v>3.5</v>
      </c>
      <c r="AM58" s="26" t="n">
        <f aca="false">SUMIFS('Outages (event ledger)'!$H$2:$H$65,'Outages (event ledger)'!$A$2:$A$65,AM$2,'Outages (event ledger)'!$E$2:$E$65,"&lt;="&amp;$B58,'Outages (event ledger)'!$G$2:$G$65,"&gt;="&amp;$B58)</f>
        <v>0</v>
      </c>
      <c r="AN58" s="26" t="n">
        <f aca="false">SUMIFS('Outages (event ledger)'!$H$2:$H$65,'Outages (event ledger)'!$A$2:$A$65,AN$2,'Outages (event ledger)'!$E$2:$E$65,"&lt;="&amp;$B58,'Outages (event ledger)'!$G$2:$G$65,"&gt;="&amp;$B58)</f>
        <v>0</v>
      </c>
      <c r="AO58" s="26" t="n">
        <f aca="false">SUMIFS('Outages (event ledger)'!$H$2:$H$65,'Outages (event ledger)'!$A$2:$A$65,AO$2,'Outages (event ledger)'!$E$2:$E$65,"&lt;="&amp;$B58,'Outages (event ledger)'!$G$2:$G$65,"&gt;="&amp;$B58)</f>
        <v>0</v>
      </c>
      <c r="AP58" s="26" t="n">
        <f aca="false">SUMIFS('Outages (event ledger)'!$H$2:$H$65,'Outages (event ledger)'!$A$2:$A$65,AP$2,'Outages (event ledger)'!$E$2:$E$65,"&lt;="&amp;$B58,'Outages (event ledger)'!$G$2:$G$65,"&gt;="&amp;$B58)</f>
        <v>0</v>
      </c>
      <c r="AQ58" s="26" t="n">
        <f aca="false">SUMIFS('Outages (event ledger)'!$H$2:$H$65,'Outages (event ledger)'!$A$2:$A$65,AQ$2,'Outages (event ledger)'!$E$2:$E$65,"&lt;="&amp;$B58,'Outages (event ledger)'!$G$2:$G$65,"&gt;="&amp;$B58)</f>
        <v>0</v>
      </c>
      <c r="AR58" s="26" t="n">
        <f aca="false">SUMIFS('Outages (event ledger)'!$H$2:$H$65,'Outages (event ledger)'!$A$2:$A$65,AR$2,'Outages (event ledger)'!$E$2:$E$65,"&lt;="&amp;$B58,'Outages (event ledger)'!$G$2:$G$65,"&gt;="&amp;$B58)</f>
        <v>0</v>
      </c>
      <c r="AS58" s="26" t="n">
        <f aca="false">SUMIFS('Outages (event ledger)'!$H$2:$H$65,'Outages (event ledger)'!$A$2:$A$65,AS$2,'Outages (event ledger)'!$E$2:$E$65,"&lt;="&amp;$B58,'Outages (event ledger)'!$G$2:$G$65,"&gt;="&amp;$B58)</f>
        <v>0</v>
      </c>
      <c r="AT58" s="26" t="n">
        <f aca="false">SUMIFS('Outages (event ledger)'!$H$2:$H$65,'Outages (event ledger)'!$A$2:$A$65,AT$2,'Outages (event ledger)'!$E$2:$E$65,"&lt;="&amp;$B58,'Outages (event ledger)'!$G$2:$G$65,"&gt;="&amp;$B58)</f>
        <v>0</v>
      </c>
      <c r="AU58" s="26" t="n">
        <f aca="false">SUMIFS('Outages (event ledger)'!$H$2:$H$65,'Outages (event ledger)'!$A$2:$A$65,AU$2,'Outages (event ledger)'!$E$2:$E$65,"&lt;="&amp;$B58,'Outages (event ledger)'!$G$2:$G$65,"&gt;="&amp;$B58)</f>
        <v>0</v>
      </c>
      <c r="AV58" s="26" t="n">
        <f aca="false">SUMIFS('Outages (event ledger)'!$H$2:$H$65,'Outages (event ledger)'!$A$2:$A$65,AV$2,'Outages (event ledger)'!$E$2:$E$65,"&lt;="&amp;$B58,'Outages (event ledger)'!$G$2:$G$65,"&gt;="&amp;$B58)</f>
        <v>0</v>
      </c>
      <c r="AW58" s="26" t="n">
        <f aca="false">SUMIFS('Outages (event ledger)'!$H$2:$H$65,'Outages (event ledger)'!$A$2:$A$65,AW$2,'Outages (event ledger)'!$E$2:$E$65,"&lt;="&amp;$B58,'Outages (event ledger)'!$G$2:$G$65,"&gt;="&amp;$B58)</f>
        <v>0</v>
      </c>
      <c r="AX58" s="26" t="n">
        <f aca="false">SUMIFS('Outages (event ledger)'!$H$2:$H$65,'Outages (event ledger)'!$A$2:$A$65,AX$2,'Outages (event ledger)'!$E$2:$E$65,"&lt;="&amp;$B58,'Outages (event ledger)'!$G$2:$G$65,"&gt;="&amp;$B58)</f>
        <v>0</v>
      </c>
      <c r="AY58" s="26" t="n">
        <f aca="false">SUMIFS('Outages (event ledger)'!$H$2:$H$65,'Outages (event ledger)'!$A$2:$A$65,AY$2,'Outages (event ledger)'!$E$2:$E$65,"&lt;="&amp;$B58,'Outages (event ledger)'!$G$2:$G$65,"&gt;="&amp;$B58)</f>
        <v>0</v>
      </c>
      <c r="AZ58" s="26" t="n">
        <f aca="false">SUMIFS('Outages (event ledger)'!$H$2:$H$65,'Outages (event ledger)'!$A$2:$A$65,AZ$2,'Outages (event ledger)'!$E$2:$E$65,"&lt;="&amp;$B58,'Outages (event ledger)'!$G$2:$G$65,"&gt;="&amp;$B58)</f>
        <v>0</v>
      </c>
      <c r="BA58" s="26" t="n">
        <f aca="false">SUMIFS('Outages (event ledger)'!$H$2:$H$65,'Outages (event ledger)'!$A$2:$A$65,BA$2,'Outages (event ledger)'!$E$2:$E$65,"&lt;="&amp;$B58,'Outages (event ledger)'!$G$2:$G$65,"&gt;="&amp;$B58)</f>
        <v>0</v>
      </c>
      <c r="BB58" s="26" t="n">
        <f aca="false">SUMIFS('Outages (event ledger)'!$H$2:$H$65,'Outages (event ledger)'!$A$2:$A$65,BB$2,'Outages (event ledger)'!$E$2:$E$65,"&lt;="&amp;$B58,'Outages (event ledger)'!$G$2:$G$65,"&gt;="&amp;$B58)</f>
        <v>0</v>
      </c>
      <c r="BC58" s="26" t="n">
        <f aca="false">SUMIFS('Outages (event ledger)'!$H$2:$H$65,'Outages (event ledger)'!$A$2:$A$65,BC$2,'Outages (event ledger)'!$E$2:$E$65,"&lt;="&amp;$B58,'Outages (event ledger)'!$G$2:$G$65,"&gt;="&amp;$B58)</f>
        <v>0</v>
      </c>
      <c r="BD58" s="26" t="n">
        <f aca="false">SUMIFS('Outages (event ledger)'!$H$2:$H$65,'Outages (event ledger)'!$A$2:$A$65,BD$2,'Outages (event ledger)'!$E$2:$E$65,"&lt;="&amp;$B58,'Outages (event ledger)'!$G$2:$G$65,"&gt;="&amp;$B58)</f>
        <v>0</v>
      </c>
      <c r="BE58" s="26" t="n">
        <f aca="false">SUMIFS('Outages (event ledger)'!$H$2:$H$65,'Outages (event ledger)'!$A$2:$A$65,BE$2,'Outages (event ledger)'!$E$2:$E$65,"&lt;="&amp;$B58,'Outages (event ledger)'!$G$2:$G$65,"&gt;="&amp;$B58)</f>
        <v>0</v>
      </c>
      <c r="BF58" s="26" t="n">
        <f aca="false">SUMIFS('Outages (event ledger)'!$H$2:$H$65,'Outages (event ledger)'!$A$2:$A$65,BF$2,'Outages (event ledger)'!$E$2:$E$65,"&lt;="&amp;$B58,'Outages (event ledger)'!$G$2:$G$65,"&gt;="&amp;$B58)</f>
        <v>0</v>
      </c>
      <c r="BG58" s="26" t="n">
        <f aca="false">SUMIFS('Outages (event ledger)'!$H$2:$H$65,'Outages (event ledger)'!$A$2:$A$65,BG$2,'Outages (event ledger)'!$E$2:$E$65,"&lt;="&amp;$B58,'Outages (event ledger)'!$G$2:$G$65,"&gt;="&amp;$B58)</f>
        <v>0</v>
      </c>
      <c r="BH58" s="26" t="n">
        <f aca="false">SUMIFS('Outages (event ledger)'!$H$2:$H$65,'Outages (event ledger)'!$A$2:$A$65,BH$2,'Outages (event ledger)'!$E$2:$E$65,"&lt;="&amp;$B58,'Outages (event ledger)'!$G$2:$G$65,"&gt;="&amp;$B58)</f>
        <v>0</v>
      </c>
      <c r="BI58" s="26" t="n">
        <f aca="false">SUMIFS('Outages (event ledger)'!$H$2:$H$65,'Outages (event ledger)'!$A$2:$A$65,BI$2,'Outages (event ledger)'!$E$2:$E$65,"&lt;="&amp;$B58,'Outages (event ledger)'!$G$2:$G$65,"&gt;="&amp;$B58)</f>
        <v>0</v>
      </c>
    </row>
    <row r="59" customFormat="false" ht="15" hidden="false" customHeight="false" outlineLevel="0" collapsed="false">
      <c r="A59" s="23" t="n">
        <v>41883</v>
      </c>
      <c r="B59" s="24" t="n">
        <v>201409</v>
      </c>
      <c r="C59" s="25" t="n">
        <f aca="false">SUM(D59:BI59)</f>
        <v>26.7</v>
      </c>
      <c r="D59" s="26" t="n">
        <f aca="false">SUMIFS('Outages (event ledger)'!$H$2:$H$65,'Outages (event ledger)'!$A$2:$A$65,D$2,'Outages (event ledger)'!$E$2:$E$65,"&lt;="&amp;$B59,'Outages (event ledger)'!$G$2:$G$65,"&gt;="&amp;$B59)</f>
        <v>0</v>
      </c>
      <c r="E59" s="26" t="n">
        <f aca="false">SUMIFS('Outages (event ledger)'!$H$2:$H$65,'Outages (event ledger)'!$A$2:$A$65,E$2,'Outages (event ledger)'!$E$2:$E$65,"&lt;="&amp;$B59,'Outages (event ledger)'!$G$2:$G$65,"&gt;="&amp;$B59)</f>
        <v>0</v>
      </c>
      <c r="F59" s="26" t="n">
        <f aca="false">SUMIFS('Outages (event ledger)'!$H$2:$H$65,'Outages (event ledger)'!$A$2:$A$65,F$2,'Outages (event ledger)'!$E$2:$E$65,"&lt;="&amp;$B59,'Outages (event ledger)'!$G$2:$G$65,"&gt;="&amp;$B59)</f>
        <v>0</v>
      </c>
      <c r="G59" s="26" t="n">
        <f aca="false">SUMIFS('Outages (event ledger)'!$H$2:$H$65,'Outages (event ledger)'!$A$2:$A$65,G$2,'Outages (event ledger)'!$E$2:$E$65,"&lt;="&amp;$B59,'Outages (event ledger)'!$G$2:$G$65,"&gt;="&amp;$B59)</f>
        <v>0</v>
      </c>
      <c r="H59" s="26" t="n">
        <f aca="false">SUMIFS('Outages (event ledger)'!$H$2:$H$65,'Outages (event ledger)'!$A$2:$A$65,H$2,'Outages (event ledger)'!$E$2:$E$65,"&lt;="&amp;$B59,'Outages (event ledger)'!$G$2:$G$65,"&gt;="&amp;$B59)</f>
        <v>5.2</v>
      </c>
      <c r="I59" s="26" t="n">
        <f aca="false">SUMIFS('Outages (event ledger)'!$H$2:$H$65,'Outages (event ledger)'!$A$2:$A$65,I$2,'Outages (event ledger)'!$E$2:$E$65,"&lt;="&amp;$B59,'Outages (event ledger)'!$G$2:$G$65,"&gt;="&amp;$B59)</f>
        <v>0</v>
      </c>
      <c r="J59" s="26" t="n">
        <f aca="false">SUMIFS('Outages (event ledger)'!$H$2:$H$65,'Outages (event ledger)'!$A$2:$A$65,J$2,'Outages (event ledger)'!$E$2:$E$65,"&lt;="&amp;$B59,'Outages (event ledger)'!$G$2:$G$65,"&gt;="&amp;$B59)</f>
        <v>0</v>
      </c>
      <c r="K59" s="26" t="n">
        <f aca="false">SUMIFS('Outages (event ledger)'!$H$2:$H$65,'Outages (event ledger)'!$A$2:$A$65,K$2,'Outages (event ledger)'!$E$2:$E$65,"&lt;="&amp;$B59,'Outages (event ledger)'!$G$2:$G$65,"&gt;="&amp;$B59)</f>
        <v>0</v>
      </c>
      <c r="L59" s="26" t="n">
        <f aca="false">SUMIFS('Outages (event ledger)'!$H$2:$H$65,'Outages (event ledger)'!$A$2:$A$65,L$2,'Outages (event ledger)'!$E$2:$E$65,"&lt;="&amp;$B59,'Outages (event ledger)'!$G$2:$G$65,"&gt;="&amp;$B59)</f>
        <v>0</v>
      </c>
      <c r="M59" s="26" t="n">
        <f aca="false">SUMIFS('Outages (event ledger)'!$H$2:$H$65,'Outages (event ledger)'!$A$2:$A$65,M$2,'Outages (event ledger)'!$E$2:$E$65,"&lt;="&amp;$B59,'Outages (event ledger)'!$G$2:$G$65,"&gt;="&amp;$B59)</f>
        <v>0</v>
      </c>
      <c r="N59" s="26" t="n">
        <f aca="false">SUMIFS('Outages (event ledger)'!$H$2:$H$65,'Outages (event ledger)'!$A$2:$A$65,N$2,'Outages (event ledger)'!$E$2:$E$65,"&lt;="&amp;$B59,'Outages (event ledger)'!$G$2:$G$65,"&gt;="&amp;$B59)</f>
        <v>0</v>
      </c>
      <c r="O59" s="26" t="n">
        <f aca="false">SUMIFS('Outages (event ledger)'!$H$2:$H$65,'Outages (event ledger)'!$A$2:$A$65,O$2,'Outages (event ledger)'!$E$2:$E$65,"&lt;="&amp;$B59,'Outages (event ledger)'!$G$2:$G$65,"&gt;="&amp;$B59)</f>
        <v>0</v>
      </c>
      <c r="P59" s="26" t="n">
        <f aca="false">SUMIFS('Outages (event ledger)'!$H$2:$H$65,'Outages (event ledger)'!$A$2:$A$65,P$2,'Outages (event ledger)'!$E$2:$E$65,"&lt;="&amp;$B59,'Outages (event ledger)'!$G$2:$G$65,"&gt;="&amp;$B59)</f>
        <v>0</v>
      </c>
      <c r="Q59" s="26" t="n">
        <f aca="false">SUMIFS('Outages (event ledger)'!$H$2:$H$65,'Outages (event ledger)'!$A$2:$A$65,Q$2,'Outages (event ledger)'!$E$2:$E$65,"&lt;="&amp;$B59,'Outages (event ledger)'!$G$2:$G$65,"&gt;="&amp;$B59)</f>
        <v>0</v>
      </c>
      <c r="R59" s="26" t="n">
        <f aca="false">SUMIFS('Outages (event ledger)'!$H$2:$H$65,'Outages (event ledger)'!$A$2:$A$65,R$2,'Outages (event ledger)'!$E$2:$E$65,"&lt;="&amp;$B59,'Outages (event ledger)'!$G$2:$G$65,"&gt;="&amp;$B59)</f>
        <v>0</v>
      </c>
      <c r="S59" s="26" t="n">
        <f aca="false">SUMIFS('Outages (event ledger)'!$H$2:$H$65,'Outages (event ledger)'!$A$2:$A$65,S$2,'Outages (event ledger)'!$E$2:$E$65,"&lt;="&amp;$B59,'Outages (event ledger)'!$G$2:$G$65,"&gt;="&amp;$B59)</f>
        <v>0</v>
      </c>
      <c r="T59" s="26" t="n">
        <f aca="false">SUMIFS('Outages (event ledger)'!$H$2:$H$65,'Outages (event ledger)'!$A$2:$A$65,T$2,'Outages (event ledger)'!$E$2:$E$65,"&lt;="&amp;$B59,'Outages (event ledger)'!$G$2:$G$65,"&gt;="&amp;$B59)</f>
        <v>0</v>
      </c>
      <c r="U59" s="26" t="n">
        <f aca="false">SUMIFS('Outages (event ledger)'!$H$2:$H$65,'Outages (event ledger)'!$A$2:$A$65,U$2,'Outages (event ledger)'!$E$2:$E$65,"&lt;="&amp;$B59,'Outages (event ledger)'!$G$2:$G$65,"&gt;="&amp;$B59)</f>
        <v>0</v>
      </c>
      <c r="V59" s="26" t="n">
        <f aca="false">SUMIFS('Outages (event ledger)'!$H$2:$H$65,'Outages (event ledger)'!$A$2:$A$65,V$2,'Outages (event ledger)'!$E$2:$E$65,"&lt;="&amp;$B59,'Outages (event ledger)'!$G$2:$G$65,"&gt;="&amp;$B59)</f>
        <v>0</v>
      </c>
      <c r="W59" s="26" t="n">
        <f aca="false">SUMIFS('Outages (event ledger)'!$H$2:$H$65,'Outages (event ledger)'!$A$2:$A$65,W$2,'Outages (event ledger)'!$E$2:$E$65,"&lt;="&amp;$B59,'Outages (event ledger)'!$G$2:$G$65,"&gt;="&amp;$B59)</f>
        <v>0</v>
      </c>
      <c r="X59" s="26" t="n">
        <f aca="false">SUMIFS('Outages (event ledger)'!$H$2:$H$65,'Outages (event ledger)'!$A$2:$A$65,X$2,'Outages (event ledger)'!$E$2:$E$65,"&lt;="&amp;$B59,'Outages (event ledger)'!$G$2:$G$65,"&gt;="&amp;$B59)</f>
        <v>0</v>
      </c>
      <c r="Y59" s="26" t="n">
        <f aca="false">SUMIFS('Outages (event ledger)'!$H$2:$H$65,'Outages (event ledger)'!$A$2:$A$65,Y$2,'Outages (event ledger)'!$E$2:$E$65,"&lt;="&amp;$B59,'Outages (event ledger)'!$G$2:$G$65,"&gt;="&amp;$B59)</f>
        <v>5</v>
      </c>
      <c r="Z59" s="26" t="n">
        <f aca="false">SUMIFS('Outages (event ledger)'!$H$2:$H$65,'Outages (event ledger)'!$A$2:$A$65,Z$2,'Outages (event ledger)'!$E$2:$E$65,"&lt;="&amp;$B59,'Outages (event ledger)'!$G$2:$G$65,"&gt;="&amp;$B59)</f>
        <v>5</v>
      </c>
      <c r="AA59" s="26" t="n">
        <f aca="false">SUMIFS('Outages (event ledger)'!$H$2:$H$65,'Outages (event ledger)'!$A$2:$A$65,AA$2,'Outages (event ledger)'!$E$2:$E$65,"&lt;="&amp;$B59,'Outages (event ledger)'!$G$2:$G$65,"&gt;="&amp;$B59)</f>
        <v>0</v>
      </c>
      <c r="AB59" s="26" t="n">
        <f aca="false">SUMIFS('Outages (event ledger)'!$H$2:$H$65,'Outages (event ledger)'!$A$2:$A$65,AB$2,'Outages (event ledger)'!$E$2:$E$65,"&lt;="&amp;$B59,'Outages (event ledger)'!$G$2:$G$65,"&gt;="&amp;$B59)</f>
        <v>8</v>
      </c>
      <c r="AC59" s="26" t="n">
        <f aca="false">SUMIFS('Outages (event ledger)'!$H$2:$H$65,'Outages (event ledger)'!$A$2:$A$65,AC$2,'Outages (event ledger)'!$E$2:$E$65,"&lt;="&amp;$B59,'Outages (event ledger)'!$G$2:$G$65,"&gt;="&amp;$B59)</f>
        <v>0</v>
      </c>
      <c r="AD59" s="26" t="n">
        <f aca="false">SUMIFS('Outages (event ledger)'!$H$2:$H$65,'Outages (event ledger)'!$A$2:$A$65,AD$2,'Outages (event ledger)'!$E$2:$E$65,"&lt;="&amp;$B59,'Outages (event ledger)'!$G$2:$G$65,"&gt;="&amp;$B59)</f>
        <v>0</v>
      </c>
      <c r="AE59" s="26" t="n">
        <f aca="false">SUMIFS('Outages (event ledger)'!$H$2:$H$65,'Outages (event ledger)'!$A$2:$A$65,AE$2,'Outages (event ledger)'!$E$2:$E$65,"&lt;="&amp;$B59,'Outages (event ledger)'!$G$2:$G$65,"&gt;="&amp;$B59)</f>
        <v>0</v>
      </c>
      <c r="AF59" s="26" t="n">
        <f aca="false">SUMIFS('Outages (event ledger)'!$H$2:$H$65,'Outages (event ledger)'!$A$2:$A$65,AF$2,'Outages (event ledger)'!$E$2:$E$65,"&lt;="&amp;$B59,'Outages (event ledger)'!$G$2:$G$65,"&gt;="&amp;$B59)</f>
        <v>0</v>
      </c>
      <c r="AG59" s="26" t="n">
        <f aca="false">SUMIFS('Outages (event ledger)'!$H$2:$H$65,'Outages (event ledger)'!$A$2:$A$65,AG$2,'Outages (event ledger)'!$E$2:$E$65,"&lt;="&amp;$B59,'Outages (event ledger)'!$G$2:$G$65,"&gt;="&amp;$B59)</f>
        <v>0</v>
      </c>
      <c r="AH59" s="26" t="n">
        <f aca="false">SUMIFS('Outages (event ledger)'!$H$2:$H$65,'Outages (event ledger)'!$A$2:$A$65,AH$2,'Outages (event ledger)'!$E$2:$E$65,"&lt;="&amp;$B59,'Outages (event ledger)'!$G$2:$G$65,"&gt;="&amp;$B59)</f>
        <v>0</v>
      </c>
      <c r="AI59" s="26" t="n">
        <f aca="false">SUMIFS('Outages (event ledger)'!$H$2:$H$65,'Outages (event ledger)'!$A$2:$A$65,AI$2,'Outages (event ledger)'!$E$2:$E$65,"&lt;="&amp;$B59,'Outages (event ledger)'!$G$2:$G$65,"&gt;="&amp;$B59)</f>
        <v>0</v>
      </c>
      <c r="AJ59" s="26" t="n">
        <f aca="false">SUMIFS('Outages (event ledger)'!$H$2:$H$65,'Outages (event ledger)'!$A$2:$A$65,AJ$2,'Outages (event ledger)'!$E$2:$E$65,"&lt;="&amp;$B59,'Outages (event ledger)'!$G$2:$G$65,"&gt;="&amp;$B59)</f>
        <v>0</v>
      </c>
      <c r="AK59" s="26" t="n">
        <f aca="false">SUMIFS('Outages (event ledger)'!$H$2:$H$65,'Outages (event ledger)'!$A$2:$A$65,AK$2,'Outages (event ledger)'!$E$2:$E$65,"&lt;="&amp;$B59,'Outages (event ledger)'!$G$2:$G$65,"&gt;="&amp;$B59)</f>
        <v>0</v>
      </c>
      <c r="AL59" s="26" t="n">
        <f aca="false">SUMIFS('Outages (event ledger)'!$H$2:$H$65,'Outages (event ledger)'!$A$2:$A$65,AL$2,'Outages (event ledger)'!$E$2:$E$65,"&lt;="&amp;$B59,'Outages (event ledger)'!$G$2:$G$65,"&gt;="&amp;$B59)</f>
        <v>3.5</v>
      </c>
      <c r="AM59" s="26" t="n">
        <f aca="false">SUMIFS('Outages (event ledger)'!$H$2:$H$65,'Outages (event ledger)'!$A$2:$A$65,AM$2,'Outages (event ledger)'!$E$2:$E$65,"&lt;="&amp;$B59,'Outages (event ledger)'!$G$2:$G$65,"&gt;="&amp;$B59)</f>
        <v>0</v>
      </c>
      <c r="AN59" s="26" t="n">
        <f aca="false">SUMIFS('Outages (event ledger)'!$H$2:$H$65,'Outages (event ledger)'!$A$2:$A$65,AN$2,'Outages (event ledger)'!$E$2:$E$65,"&lt;="&amp;$B59,'Outages (event ledger)'!$G$2:$G$65,"&gt;="&amp;$B59)</f>
        <v>0</v>
      </c>
      <c r="AO59" s="26" t="n">
        <f aca="false">SUMIFS('Outages (event ledger)'!$H$2:$H$65,'Outages (event ledger)'!$A$2:$A$65,AO$2,'Outages (event ledger)'!$E$2:$E$65,"&lt;="&amp;$B59,'Outages (event ledger)'!$G$2:$G$65,"&gt;="&amp;$B59)</f>
        <v>0</v>
      </c>
      <c r="AP59" s="26" t="n">
        <f aca="false">SUMIFS('Outages (event ledger)'!$H$2:$H$65,'Outages (event ledger)'!$A$2:$A$65,AP$2,'Outages (event ledger)'!$E$2:$E$65,"&lt;="&amp;$B59,'Outages (event ledger)'!$G$2:$G$65,"&gt;="&amp;$B59)</f>
        <v>0</v>
      </c>
      <c r="AQ59" s="26" t="n">
        <f aca="false">SUMIFS('Outages (event ledger)'!$H$2:$H$65,'Outages (event ledger)'!$A$2:$A$65,AQ$2,'Outages (event ledger)'!$E$2:$E$65,"&lt;="&amp;$B59,'Outages (event ledger)'!$G$2:$G$65,"&gt;="&amp;$B59)</f>
        <v>0</v>
      </c>
      <c r="AR59" s="26" t="n">
        <f aca="false">SUMIFS('Outages (event ledger)'!$H$2:$H$65,'Outages (event ledger)'!$A$2:$A$65,AR$2,'Outages (event ledger)'!$E$2:$E$65,"&lt;="&amp;$B59,'Outages (event ledger)'!$G$2:$G$65,"&gt;="&amp;$B59)</f>
        <v>0</v>
      </c>
      <c r="AS59" s="26" t="n">
        <f aca="false">SUMIFS('Outages (event ledger)'!$H$2:$H$65,'Outages (event ledger)'!$A$2:$A$65,AS$2,'Outages (event ledger)'!$E$2:$E$65,"&lt;="&amp;$B59,'Outages (event ledger)'!$G$2:$G$65,"&gt;="&amp;$B59)</f>
        <v>0</v>
      </c>
      <c r="AT59" s="26" t="n">
        <f aca="false">SUMIFS('Outages (event ledger)'!$H$2:$H$65,'Outages (event ledger)'!$A$2:$A$65,AT$2,'Outages (event ledger)'!$E$2:$E$65,"&lt;="&amp;$B59,'Outages (event ledger)'!$G$2:$G$65,"&gt;="&amp;$B59)</f>
        <v>0</v>
      </c>
      <c r="AU59" s="26" t="n">
        <f aca="false">SUMIFS('Outages (event ledger)'!$H$2:$H$65,'Outages (event ledger)'!$A$2:$A$65,AU$2,'Outages (event ledger)'!$E$2:$E$65,"&lt;="&amp;$B59,'Outages (event ledger)'!$G$2:$G$65,"&gt;="&amp;$B59)</f>
        <v>0</v>
      </c>
      <c r="AV59" s="26" t="n">
        <f aca="false">SUMIFS('Outages (event ledger)'!$H$2:$H$65,'Outages (event ledger)'!$A$2:$A$65,AV$2,'Outages (event ledger)'!$E$2:$E$65,"&lt;="&amp;$B59,'Outages (event ledger)'!$G$2:$G$65,"&gt;="&amp;$B59)</f>
        <v>0</v>
      </c>
      <c r="AW59" s="26" t="n">
        <f aca="false">SUMIFS('Outages (event ledger)'!$H$2:$H$65,'Outages (event ledger)'!$A$2:$A$65,AW$2,'Outages (event ledger)'!$E$2:$E$65,"&lt;="&amp;$B59,'Outages (event ledger)'!$G$2:$G$65,"&gt;="&amp;$B59)</f>
        <v>0</v>
      </c>
      <c r="AX59" s="26" t="n">
        <f aca="false">SUMIFS('Outages (event ledger)'!$H$2:$H$65,'Outages (event ledger)'!$A$2:$A$65,AX$2,'Outages (event ledger)'!$E$2:$E$65,"&lt;="&amp;$B59,'Outages (event ledger)'!$G$2:$G$65,"&gt;="&amp;$B59)</f>
        <v>0</v>
      </c>
      <c r="AY59" s="26" t="n">
        <f aca="false">SUMIFS('Outages (event ledger)'!$H$2:$H$65,'Outages (event ledger)'!$A$2:$A$65,AY$2,'Outages (event ledger)'!$E$2:$E$65,"&lt;="&amp;$B59,'Outages (event ledger)'!$G$2:$G$65,"&gt;="&amp;$B59)</f>
        <v>0</v>
      </c>
      <c r="AZ59" s="26" t="n">
        <f aca="false">SUMIFS('Outages (event ledger)'!$H$2:$H$65,'Outages (event ledger)'!$A$2:$A$65,AZ$2,'Outages (event ledger)'!$E$2:$E$65,"&lt;="&amp;$B59,'Outages (event ledger)'!$G$2:$G$65,"&gt;="&amp;$B59)</f>
        <v>0</v>
      </c>
      <c r="BA59" s="26" t="n">
        <f aca="false">SUMIFS('Outages (event ledger)'!$H$2:$H$65,'Outages (event ledger)'!$A$2:$A$65,BA$2,'Outages (event ledger)'!$E$2:$E$65,"&lt;="&amp;$B59,'Outages (event ledger)'!$G$2:$G$65,"&gt;="&amp;$B59)</f>
        <v>0</v>
      </c>
      <c r="BB59" s="26" t="n">
        <f aca="false">SUMIFS('Outages (event ledger)'!$H$2:$H$65,'Outages (event ledger)'!$A$2:$A$65,BB$2,'Outages (event ledger)'!$E$2:$E$65,"&lt;="&amp;$B59,'Outages (event ledger)'!$G$2:$G$65,"&gt;="&amp;$B59)</f>
        <v>0</v>
      </c>
      <c r="BC59" s="26" t="n">
        <f aca="false">SUMIFS('Outages (event ledger)'!$H$2:$H$65,'Outages (event ledger)'!$A$2:$A$65,BC$2,'Outages (event ledger)'!$E$2:$E$65,"&lt;="&amp;$B59,'Outages (event ledger)'!$G$2:$G$65,"&gt;="&amp;$B59)</f>
        <v>0</v>
      </c>
      <c r="BD59" s="26" t="n">
        <f aca="false">SUMIFS('Outages (event ledger)'!$H$2:$H$65,'Outages (event ledger)'!$A$2:$A$65,BD$2,'Outages (event ledger)'!$E$2:$E$65,"&lt;="&amp;$B59,'Outages (event ledger)'!$G$2:$G$65,"&gt;="&amp;$B59)</f>
        <v>0</v>
      </c>
      <c r="BE59" s="26" t="n">
        <f aca="false">SUMIFS('Outages (event ledger)'!$H$2:$H$65,'Outages (event ledger)'!$A$2:$A$65,BE$2,'Outages (event ledger)'!$E$2:$E$65,"&lt;="&amp;$B59,'Outages (event ledger)'!$G$2:$G$65,"&gt;="&amp;$B59)</f>
        <v>0</v>
      </c>
      <c r="BF59" s="26" t="n">
        <f aca="false">SUMIFS('Outages (event ledger)'!$H$2:$H$65,'Outages (event ledger)'!$A$2:$A$65,BF$2,'Outages (event ledger)'!$E$2:$E$65,"&lt;="&amp;$B59,'Outages (event ledger)'!$G$2:$G$65,"&gt;="&amp;$B59)</f>
        <v>0</v>
      </c>
      <c r="BG59" s="26" t="n">
        <f aca="false">SUMIFS('Outages (event ledger)'!$H$2:$H$65,'Outages (event ledger)'!$A$2:$A$65,BG$2,'Outages (event ledger)'!$E$2:$E$65,"&lt;="&amp;$B59,'Outages (event ledger)'!$G$2:$G$65,"&gt;="&amp;$B59)</f>
        <v>0</v>
      </c>
      <c r="BH59" s="26" t="n">
        <f aca="false">SUMIFS('Outages (event ledger)'!$H$2:$H$65,'Outages (event ledger)'!$A$2:$A$65,BH$2,'Outages (event ledger)'!$E$2:$E$65,"&lt;="&amp;$B59,'Outages (event ledger)'!$G$2:$G$65,"&gt;="&amp;$B59)</f>
        <v>0</v>
      </c>
      <c r="BI59" s="26" t="n">
        <f aca="false">SUMIFS('Outages (event ledger)'!$H$2:$H$65,'Outages (event ledger)'!$A$2:$A$65,BI$2,'Outages (event ledger)'!$E$2:$E$65,"&lt;="&amp;$B59,'Outages (event ledger)'!$G$2:$G$65,"&gt;="&amp;$B59)</f>
        <v>0</v>
      </c>
    </row>
    <row r="60" customFormat="false" ht="15" hidden="false" customHeight="false" outlineLevel="0" collapsed="false">
      <c r="A60" s="23" t="n">
        <v>41913</v>
      </c>
      <c r="B60" s="24" t="n">
        <v>201410</v>
      </c>
      <c r="C60" s="25" t="n">
        <f aca="false">SUM(D60:BI60)</f>
        <v>26.7</v>
      </c>
      <c r="D60" s="26" t="n">
        <f aca="false">SUMIFS('Outages (event ledger)'!$H$2:$H$65,'Outages (event ledger)'!$A$2:$A$65,D$2,'Outages (event ledger)'!$E$2:$E$65,"&lt;="&amp;$B60,'Outages (event ledger)'!$G$2:$G$65,"&gt;="&amp;$B60)</f>
        <v>0</v>
      </c>
      <c r="E60" s="26" t="n">
        <f aca="false">SUMIFS('Outages (event ledger)'!$H$2:$H$65,'Outages (event ledger)'!$A$2:$A$65,E$2,'Outages (event ledger)'!$E$2:$E$65,"&lt;="&amp;$B60,'Outages (event ledger)'!$G$2:$G$65,"&gt;="&amp;$B60)</f>
        <v>0</v>
      </c>
      <c r="F60" s="26" t="n">
        <f aca="false">SUMIFS('Outages (event ledger)'!$H$2:$H$65,'Outages (event ledger)'!$A$2:$A$65,F$2,'Outages (event ledger)'!$E$2:$E$65,"&lt;="&amp;$B60,'Outages (event ledger)'!$G$2:$G$65,"&gt;="&amp;$B60)</f>
        <v>0</v>
      </c>
      <c r="G60" s="26" t="n">
        <f aca="false">SUMIFS('Outages (event ledger)'!$H$2:$H$65,'Outages (event ledger)'!$A$2:$A$65,G$2,'Outages (event ledger)'!$E$2:$E$65,"&lt;="&amp;$B60,'Outages (event ledger)'!$G$2:$G$65,"&gt;="&amp;$B60)</f>
        <v>0</v>
      </c>
      <c r="H60" s="26" t="n">
        <f aca="false">SUMIFS('Outages (event ledger)'!$H$2:$H$65,'Outages (event ledger)'!$A$2:$A$65,H$2,'Outages (event ledger)'!$E$2:$E$65,"&lt;="&amp;$B60,'Outages (event ledger)'!$G$2:$G$65,"&gt;="&amp;$B60)</f>
        <v>5.2</v>
      </c>
      <c r="I60" s="26" t="n">
        <f aca="false">SUMIFS('Outages (event ledger)'!$H$2:$H$65,'Outages (event ledger)'!$A$2:$A$65,I$2,'Outages (event ledger)'!$E$2:$E$65,"&lt;="&amp;$B60,'Outages (event ledger)'!$G$2:$G$65,"&gt;="&amp;$B60)</f>
        <v>0</v>
      </c>
      <c r="J60" s="26" t="n">
        <f aca="false">SUMIFS('Outages (event ledger)'!$H$2:$H$65,'Outages (event ledger)'!$A$2:$A$65,J$2,'Outages (event ledger)'!$E$2:$E$65,"&lt;="&amp;$B60,'Outages (event ledger)'!$G$2:$G$65,"&gt;="&amp;$B60)</f>
        <v>0</v>
      </c>
      <c r="K60" s="26" t="n">
        <f aca="false">SUMIFS('Outages (event ledger)'!$H$2:$H$65,'Outages (event ledger)'!$A$2:$A$65,K$2,'Outages (event ledger)'!$E$2:$E$65,"&lt;="&amp;$B60,'Outages (event ledger)'!$G$2:$G$65,"&gt;="&amp;$B60)</f>
        <v>0</v>
      </c>
      <c r="L60" s="26" t="n">
        <f aca="false">SUMIFS('Outages (event ledger)'!$H$2:$H$65,'Outages (event ledger)'!$A$2:$A$65,L$2,'Outages (event ledger)'!$E$2:$E$65,"&lt;="&amp;$B60,'Outages (event ledger)'!$G$2:$G$65,"&gt;="&amp;$B60)</f>
        <v>0</v>
      </c>
      <c r="M60" s="26" t="n">
        <f aca="false">SUMIFS('Outages (event ledger)'!$H$2:$H$65,'Outages (event ledger)'!$A$2:$A$65,M$2,'Outages (event ledger)'!$E$2:$E$65,"&lt;="&amp;$B60,'Outages (event ledger)'!$G$2:$G$65,"&gt;="&amp;$B60)</f>
        <v>0</v>
      </c>
      <c r="N60" s="26" t="n">
        <f aca="false">SUMIFS('Outages (event ledger)'!$H$2:$H$65,'Outages (event ledger)'!$A$2:$A$65,N$2,'Outages (event ledger)'!$E$2:$E$65,"&lt;="&amp;$B60,'Outages (event ledger)'!$G$2:$G$65,"&gt;="&amp;$B60)</f>
        <v>0</v>
      </c>
      <c r="O60" s="26" t="n">
        <f aca="false">SUMIFS('Outages (event ledger)'!$H$2:$H$65,'Outages (event ledger)'!$A$2:$A$65,O$2,'Outages (event ledger)'!$E$2:$E$65,"&lt;="&amp;$B60,'Outages (event ledger)'!$G$2:$G$65,"&gt;="&amp;$B60)</f>
        <v>0</v>
      </c>
      <c r="P60" s="26" t="n">
        <f aca="false">SUMIFS('Outages (event ledger)'!$H$2:$H$65,'Outages (event ledger)'!$A$2:$A$65,P$2,'Outages (event ledger)'!$E$2:$E$65,"&lt;="&amp;$B60,'Outages (event ledger)'!$G$2:$G$65,"&gt;="&amp;$B60)</f>
        <v>0</v>
      </c>
      <c r="Q60" s="26" t="n">
        <f aca="false">SUMIFS('Outages (event ledger)'!$H$2:$H$65,'Outages (event ledger)'!$A$2:$A$65,Q$2,'Outages (event ledger)'!$E$2:$E$65,"&lt;="&amp;$B60,'Outages (event ledger)'!$G$2:$G$65,"&gt;="&amp;$B60)</f>
        <v>0</v>
      </c>
      <c r="R60" s="26" t="n">
        <f aca="false">SUMIFS('Outages (event ledger)'!$H$2:$H$65,'Outages (event ledger)'!$A$2:$A$65,R$2,'Outages (event ledger)'!$E$2:$E$65,"&lt;="&amp;$B60,'Outages (event ledger)'!$G$2:$G$65,"&gt;="&amp;$B60)</f>
        <v>0</v>
      </c>
      <c r="S60" s="26" t="n">
        <f aca="false">SUMIFS('Outages (event ledger)'!$H$2:$H$65,'Outages (event ledger)'!$A$2:$A$65,S$2,'Outages (event ledger)'!$E$2:$E$65,"&lt;="&amp;$B60,'Outages (event ledger)'!$G$2:$G$65,"&gt;="&amp;$B60)</f>
        <v>0</v>
      </c>
      <c r="T60" s="26" t="n">
        <f aca="false">SUMIFS('Outages (event ledger)'!$H$2:$H$65,'Outages (event ledger)'!$A$2:$A$65,T$2,'Outages (event ledger)'!$E$2:$E$65,"&lt;="&amp;$B60,'Outages (event ledger)'!$G$2:$G$65,"&gt;="&amp;$B60)</f>
        <v>0</v>
      </c>
      <c r="U60" s="26" t="n">
        <f aca="false">SUMIFS('Outages (event ledger)'!$H$2:$H$65,'Outages (event ledger)'!$A$2:$A$65,U$2,'Outages (event ledger)'!$E$2:$E$65,"&lt;="&amp;$B60,'Outages (event ledger)'!$G$2:$G$65,"&gt;="&amp;$B60)</f>
        <v>0</v>
      </c>
      <c r="V60" s="26" t="n">
        <f aca="false">SUMIFS('Outages (event ledger)'!$H$2:$H$65,'Outages (event ledger)'!$A$2:$A$65,V$2,'Outages (event ledger)'!$E$2:$E$65,"&lt;="&amp;$B60,'Outages (event ledger)'!$G$2:$G$65,"&gt;="&amp;$B60)</f>
        <v>0</v>
      </c>
      <c r="W60" s="26" t="n">
        <f aca="false">SUMIFS('Outages (event ledger)'!$H$2:$H$65,'Outages (event ledger)'!$A$2:$A$65,W$2,'Outages (event ledger)'!$E$2:$E$65,"&lt;="&amp;$B60,'Outages (event ledger)'!$G$2:$G$65,"&gt;="&amp;$B60)</f>
        <v>0</v>
      </c>
      <c r="X60" s="26" t="n">
        <f aca="false">SUMIFS('Outages (event ledger)'!$H$2:$H$65,'Outages (event ledger)'!$A$2:$A$65,X$2,'Outages (event ledger)'!$E$2:$E$65,"&lt;="&amp;$B60,'Outages (event ledger)'!$G$2:$G$65,"&gt;="&amp;$B60)</f>
        <v>0</v>
      </c>
      <c r="Y60" s="26" t="n">
        <f aca="false">SUMIFS('Outages (event ledger)'!$H$2:$H$65,'Outages (event ledger)'!$A$2:$A$65,Y$2,'Outages (event ledger)'!$E$2:$E$65,"&lt;="&amp;$B60,'Outages (event ledger)'!$G$2:$G$65,"&gt;="&amp;$B60)</f>
        <v>5</v>
      </c>
      <c r="Z60" s="26" t="n">
        <f aca="false">SUMIFS('Outages (event ledger)'!$H$2:$H$65,'Outages (event ledger)'!$A$2:$A$65,Z$2,'Outages (event ledger)'!$E$2:$E$65,"&lt;="&amp;$B60,'Outages (event ledger)'!$G$2:$G$65,"&gt;="&amp;$B60)</f>
        <v>5</v>
      </c>
      <c r="AA60" s="26" t="n">
        <f aca="false">SUMIFS('Outages (event ledger)'!$H$2:$H$65,'Outages (event ledger)'!$A$2:$A$65,AA$2,'Outages (event ledger)'!$E$2:$E$65,"&lt;="&amp;$B60,'Outages (event ledger)'!$G$2:$G$65,"&gt;="&amp;$B60)</f>
        <v>0</v>
      </c>
      <c r="AB60" s="26" t="n">
        <f aca="false">SUMIFS('Outages (event ledger)'!$H$2:$H$65,'Outages (event ledger)'!$A$2:$A$65,AB$2,'Outages (event ledger)'!$E$2:$E$65,"&lt;="&amp;$B60,'Outages (event ledger)'!$G$2:$G$65,"&gt;="&amp;$B60)</f>
        <v>8</v>
      </c>
      <c r="AC60" s="26" t="n">
        <f aca="false">SUMIFS('Outages (event ledger)'!$H$2:$H$65,'Outages (event ledger)'!$A$2:$A$65,AC$2,'Outages (event ledger)'!$E$2:$E$65,"&lt;="&amp;$B60,'Outages (event ledger)'!$G$2:$G$65,"&gt;="&amp;$B60)</f>
        <v>0</v>
      </c>
      <c r="AD60" s="26" t="n">
        <f aca="false">SUMIFS('Outages (event ledger)'!$H$2:$H$65,'Outages (event ledger)'!$A$2:$A$65,AD$2,'Outages (event ledger)'!$E$2:$E$65,"&lt;="&amp;$B60,'Outages (event ledger)'!$G$2:$G$65,"&gt;="&amp;$B60)</f>
        <v>0</v>
      </c>
      <c r="AE60" s="26" t="n">
        <f aca="false">SUMIFS('Outages (event ledger)'!$H$2:$H$65,'Outages (event ledger)'!$A$2:$A$65,AE$2,'Outages (event ledger)'!$E$2:$E$65,"&lt;="&amp;$B60,'Outages (event ledger)'!$G$2:$G$65,"&gt;="&amp;$B60)</f>
        <v>0</v>
      </c>
      <c r="AF60" s="26" t="n">
        <f aca="false">SUMIFS('Outages (event ledger)'!$H$2:$H$65,'Outages (event ledger)'!$A$2:$A$65,AF$2,'Outages (event ledger)'!$E$2:$E$65,"&lt;="&amp;$B60,'Outages (event ledger)'!$G$2:$G$65,"&gt;="&amp;$B60)</f>
        <v>0</v>
      </c>
      <c r="AG60" s="26" t="n">
        <f aca="false">SUMIFS('Outages (event ledger)'!$H$2:$H$65,'Outages (event ledger)'!$A$2:$A$65,AG$2,'Outages (event ledger)'!$E$2:$E$65,"&lt;="&amp;$B60,'Outages (event ledger)'!$G$2:$G$65,"&gt;="&amp;$B60)</f>
        <v>0</v>
      </c>
      <c r="AH60" s="26" t="n">
        <f aca="false">SUMIFS('Outages (event ledger)'!$H$2:$H$65,'Outages (event ledger)'!$A$2:$A$65,AH$2,'Outages (event ledger)'!$E$2:$E$65,"&lt;="&amp;$B60,'Outages (event ledger)'!$G$2:$G$65,"&gt;="&amp;$B60)</f>
        <v>0</v>
      </c>
      <c r="AI60" s="26" t="n">
        <f aca="false">SUMIFS('Outages (event ledger)'!$H$2:$H$65,'Outages (event ledger)'!$A$2:$A$65,AI$2,'Outages (event ledger)'!$E$2:$E$65,"&lt;="&amp;$B60,'Outages (event ledger)'!$G$2:$G$65,"&gt;="&amp;$B60)</f>
        <v>0</v>
      </c>
      <c r="AJ60" s="26" t="n">
        <f aca="false">SUMIFS('Outages (event ledger)'!$H$2:$H$65,'Outages (event ledger)'!$A$2:$A$65,AJ$2,'Outages (event ledger)'!$E$2:$E$65,"&lt;="&amp;$B60,'Outages (event ledger)'!$G$2:$G$65,"&gt;="&amp;$B60)</f>
        <v>0</v>
      </c>
      <c r="AK60" s="26" t="n">
        <f aca="false">SUMIFS('Outages (event ledger)'!$H$2:$H$65,'Outages (event ledger)'!$A$2:$A$65,AK$2,'Outages (event ledger)'!$E$2:$E$65,"&lt;="&amp;$B60,'Outages (event ledger)'!$G$2:$G$65,"&gt;="&amp;$B60)</f>
        <v>0</v>
      </c>
      <c r="AL60" s="26" t="n">
        <f aca="false">SUMIFS('Outages (event ledger)'!$H$2:$H$65,'Outages (event ledger)'!$A$2:$A$65,AL$2,'Outages (event ledger)'!$E$2:$E$65,"&lt;="&amp;$B60,'Outages (event ledger)'!$G$2:$G$65,"&gt;="&amp;$B60)</f>
        <v>3.5</v>
      </c>
      <c r="AM60" s="26" t="n">
        <f aca="false">SUMIFS('Outages (event ledger)'!$H$2:$H$65,'Outages (event ledger)'!$A$2:$A$65,AM$2,'Outages (event ledger)'!$E$2:$E$65,"&lt;="&amp;$B60,'Outages (event ledger)'!$G$2:$G$65,"&gt;="&amp;$B60)</f>
        <v>0</v>
      </c>
      <c r="AN60" s="26" t="n">
        <f aca="false">SUMIFS('Outages (event ledger)'!$H$2:$H$65,'Outages (event ledger)'!$A$2:$A$65,AN$2,'Outages (event ledger)'!$E$2:$E$65,"&lt;="&amp;$B60,'Outages (event ledger)'!$G$2:$G$65,"&gt;="&amp;$B60)</f>
        <v>0</v>
      </c>
      <c r="AO60" s="26" t="n">
        <f aca="false">SUMIFS('Outages (event ledger)'!$H$2:$H$65,'Outages (event ledger)'!$A$2:$A$65,AO$2,'Outages (event ledger)'!$E$2:$E$65,"&lt;="&amp;$B60,'Outages (event ledger)'!$G$2:$G$65,"&gt;="&amp;$B60)</f>
        <v>0</v>
      </c>
      <c r="AP60" s="26" t="n">
        <f aca="false">SUMIFS('Outages (event ledger)'!$H$2:$H$65,'Outages (event ledger)'!$A$2:$A$65,AP$2,'Outages (event ledger)'!$E$2:$E$65,"&lt;="&amp;$B60,'Outages (event ledger)'!$G$2:$G$65,"&gt;="&amp;$B60)</f>
        <v>0</v>
      </c>
      <c r="AQ60" s="26" t="n">
        <f aca="false">SUMIFS('Outages (event ledger)'!$H$2:$H$65,'Outages (event ledger)'!$A$2:$A$65,AQ$2,'Outages (event ledger)'!$E$2:$E$65,"&lt;="&amp;$B60,'Outages (event ledger)'!$G$2:$G$65,"&gt;="&amp;$B60)</f>
        <v>0</v>
      </c>
      <c r="AR60" s="26" t="n">
        <f aca="false">SUMIFS('Outages (event ledger)'!$H$2:$H$65,'Outages (event ledger)'!$A$2:$A$65,AR$2,'Outages (event ledger)'!$E$2:$E$65,"&lt;="&amp;$B60,'Outages (event ledger)'!$G$2:$G$65,"&gt;="&amp;$B60)</f>
        <v>0</v>
      </c>
      <c r="AS60" s="26" t="n">
        <f aca="false">SUMIFS('Outages (event ledger)'!$H$2:$H$65,'Outages (event ledger)'!$A$2:$A$65,AS$2,'Outages (event ledger)'!$E$2:$E$65,"&lt;="&amp;$B60,'Outages (event ledger)'!$G$2:$G$65,"&gt;="&amp;$B60)</f>
        <v>0</v>
      </c>
      <c r="AT60" s="26" t="n">
        <f aca="false">SUMIFS('Outages (event ledger)'!$H$2:$H$65,'Outages (event ledger)'!$A$2:$A$65,AT$2,'Outages (event ledger)'!$E$2:$E$65,"&lt;="&amp;$B60,'Outages (event ledger)'!$G$2:$G$65,"&gt;="&amp;$B60)</f>
        <v>0</v>
      </c>
      <c r="AU60" s="26" t="n">
        <f aca="false">SUMIFS('Outages (event ledger)'!$H$2:$H$65,'Outages (event ledger)'!$A$2:$A$65,AU$2,'Outages (event ledger)'!$E$2:$E$65,"&lt;="&amp;$B60,'Outages (event ledger)'!$G$2:$G$65,"&gt;="&amp;$B60)</f>
        <v>0</v>
      </c>
      <c r="AV60" s="26" t="n">
        <f aca="false">SUMIFS('Outages (event ledger)'!$H$2:$H$65,'Outages (event ledger)'!$A$2:$A$65,AV$2,'Outages (event ledger)'!$E$2:$E$65,"&lt;="&amp;$B60,'Outages (event ledger)'!$G$2:$G$65,"&gt;="&amp;$B60)</f>
        <v>0</v>
      </c>
      <c r="AW60" s="26" t="n">
        <f aca="false">SUMIFS('Outages (event ledger)'!$H$2:$H$65,'Outages (event ledger)'!$A$2:$A$65,AW$2,'Outages (event ledger)'!$E$2:$E$65,"&lt;="&amp;$B60,'Outages (event ledger)'!$G$2:$G$65,"&gt;="&amp;$B60)</f>
        <v>0</v>
      </c>
      <c r="AX60" s="26" t="n">
        <f aca="false">SUMIFS('Outages (event ledger)'!$H$2:$H$65,'Outages (event ledger)'!$A$2:$A$65,AX$2,'Outages (event ledger)'!$E$2:$E$65,"&lt;="&amp;$B60,'Outages (event ledger)'!$G$2:$G$65,"&gt;="&amp;$B60)</f>
        <v>0</v>
      </c>
      <c r="AY60" s="26" t="n">
        <f aca="false">SUMIFS('Outages (event ledger)'!$H$2:$H$65,'Outages (event ledger)'!$A$2:$A$65,AY$2,'Outages (event ledger)'!$E$2:$E$65,"&lt;="&amp;$B60,'Outages (event ledger)'!$G$2:$G$65,"&gt;="&amp;$B60)</f>
        <v>0</v>
      </c>
      <c r="AZ60" s="26" t="n">
        <f aca="false">SUMIFS('Outages (event ledger)'!$H$2:$H$65,'Outages (event ledger)'!$A$2:$A$65,AZ$2,'Outages (event ledger)'!$E$2:$E$65,"&lt;="&amp;$B60,'Outages (event ledger)'!$G$2:$G$65,"&gt;="&amp;$B60)</f>
        <v>0</v>
      </c>
      <c r="BA60" s="26" t="n">
        <f aca="false">SUMIFS('Outages (event ledger)'!$H$2:$H$65,'Outages (event ledger)'!$A$2:$A$65,BA$2,'Outages (event ledger)'!$E$2:$E$65,"&lt;="&amp;$B60,'Outages (event ledger)'!$G$2:$G$65,"&gt;="&amp;$B60)</f>
        <v>0</v>
      </c>
      <c r="BB60" s="26" t="n">
        <f aca="false">SUMIFS('Outages (event ledger)'!$H$2:$H$65,'Outages (event ledger)'!$A$2:$A$65,BB$2,'Outages (event ledger)'!$E$2:$E$65,"&lt;="&amp;$B60,'Outages (event ledger)'!$G$2:$G$65,"&gt;="&amp;$B60)</f>
        <v>0</v>
      </c>
      <c r="BC60" s="26" t="n">
        <f aca="false">SUMIFS('Outages (event ledger)'!$H$2:$H$65,'Outages (event ledger)'!$A$2:$A$65,BC$2,'Outages (event ledger)'!$E$2:$E$65,"&lt;="&amp;$B60,'Outages (event ledger)'!$G$2:$G$65,"&gt;="&amp;$B60)</f>
        <v>0</v>
      </c>
      <c r="BD60" s="26" t="n">
        <f aca="false">SUMIFS('Outages (event ledger)'!$H$2:$H$65,'Outages (event ledger)'!$A$2:$A$65,BD$2,'Outages (event ledger)'!$E$2:$E$65,"&lt;="&amp;$B60,'Outages (event ledger)'!$G$2:$G$65,"&gt;="&amp;$B60)</f>
        <v>0</v>
      </c>
      <c r="BE60" s="26" t="n">
        <f aca="false">SUMIFS('Outages (event ledger)'!$H$2:$H$65,'Outages (event ledger)'!$A$2:$A$65,BE$2,'Outages (event ledger)'!$E$2:$E$65,"&lt;="&amp;$B60,'Outages (event ledger)'!$G$2:$G$65,"&gt;="&amp;$B60)</f>
        <v>0</v>
      </c>
      <c r="BF60" s="26" t="n">
        <f aca="false">SUMIFS('Outages (event ledger)'!$H$2:$H$65,'Outages (event ledger)'!$A$2:$A$65,BF$2,'Outages (event ledger)'!$E$2:$E$65,"&lt;="&amp;$B60,'Outages (event ledger)'!$G$2:$G$65,"&gt;="&amp;$B60)</f>
        <v>0</v>
      </c>
      <c r="BG60" s="26" t="n">
        <f aca="false">SUMIFS('Outages (event ledger)'!$H$2:$H$65,'Outages (event ledger)'!$A$2:$A$65,BG$2,'Outages (event ledger)'!$E$2:$E$65,"&lt;="&amp;$B60,'Outages (event ledger)'!$G$2:$G$65,"&gt;="&amp;$B60)</f>
        <v>0</v>
      </c>
      <c r="BH60" s="26" t="n">
        <f aca="false">SUMIFS('Outages (event ledger)'!$H$2:$H$65,'Outages (event ledger)'!$A$2:$A$65,BH$2,'Outages (event ledger)'!$E$2:$E$65,"&lt;="&amp;$B60,'Outages (event ledger)'!$G$2:$G$65,"&gt;="&amp;$B60)</f>
        <v>0</v>
      </c>
      <c r="BI60" s="26" t="n">
        <f aca="false">SUMIFS('Outages (event ledger)'!$H$2:$H$65,'Outages (event ledger)'!$A$2:$A$65,BI$2,'Outages (event ledger)'!$E$2:$E$65,"&lt;="&amp;$B60,'Outages (event ledger)'!$G$2:$G$65,"&gt;="&amp;$B60)</f>
        <v>0</v>
      </c>
    </row>
    <row r="61" customFormat="false" ht="15" hidden="false" customHeight="false" outlineLevel="0" collapsed="false">
      <c r="A61" s="23" t="n">
        <v>41944</v>
      </c>
      <c r="B61" s="24" t="n">
        <v>201411</v>
      </c>
      <c r="C61" s="25" t="n">
        <f aca="false">SUM(D61:BI61)</f>
        <v>26.7</v>
      </c>
      <c r="D61" s="26" t="n">
        <f aca="false">SUMIFS('Outages (event ledger)'!$H$2:$H$65,'Outages (event ledger)'!$A$2:$A$65,D$2,'Outages (event ledger)'!$E$2:$E$65,"&lt;="&amp;$B61,'Outages (event ledger)'!$G$2:$G$65,"&gt;="&amp;$B61)</f>
        <v>0</v>
      </c>
      <c r="E61" s="26" t="n">
        <f aca="false">SUMIFS('Outages (event ledger)'!$H$2:$H$65,'Outages (event ledger)'!$A$2:$A$65,E$2,'Outages (event ledger)'!$E$2:$E$65,"&lt;="&amp;$B61,'Outages (event ledger)'!$G$2:$G$65,"&gt;="&amp;$B61)</f>
        <v>0</v>
      </c>
      <c r="F61" s="26" t="n">
        <f aca="false">SUMIFS('Outages (event ledger)'!$H$2:$H$65,'Outages (event ledger)'!$A$2:$A$65,F$2,'Outages (event ledger)'!$E$2:$E$65,"&lt;="&amp;$B61,'Outages (event ledger)'!$G$2:$G$65,"&gt;="&amp;$B61)</f>
        <v>0</v>
      </c>
      <c r="G61" s="26" t="n">
        <f aca="false">SUMIFS('Outages (event ledger)'!$H$2:$H$65,'Outages (event ledger)'!$A$2:$A$65,G$2,'Outages (event ledger)'!$E$2:$E$65,"&lt;="&amp;$B61,'Outages (event ledger)'!$G$2:$G$65,"&gt;="&amp;$B61)</f>
        <v>0</v>
      </c>
      <c r="H61" s="26" t="n">
        <f aca="false">SUMIFS('Outages (event ledger)'!$H$2:$H$65,'Outages (event ledger)'!$A$2:$A$65,H$2,'Outages (event ledger)'!$E$2:$E$65,"&lt;="&amp;$B61,'Outages (event ledger)'!$G$2:$G$65,"&gt;="&amp;$B61)</f>
        <v>5.2</v>
      </c>
      <c r="I61" s="26" t="n">
        <f aca="false">SUMIFS('Outages (event ledger)'!$H$2:$H$65,'Outages (event ledger)'!$A$2:$A$65,I$2,'Outages (event ledger)'!$E$2:$E$65,"&lt;="&amp;$B61,'Outages (event ledger)'!$G$2:$G$65,"&gt;="&amp;$B61)</f>
        <v>0</v>
      </c>
      <c r="J61" s="26" t="n">
        <f aca="false">SUMIFS('Outages (event ledger)'!$H$2:$H$65,'Outages (event ledger)'!$A$2:$A$65,J$2,'Outages (event ledger)'!$E$2:$E$65,"&lt;="&amp;$B61,'Outages (event ledger)'!$G$2:$G$65,"&gt;="&amp;$B61)</f>
        <v>0</v>
      </c>
      <c r="K61" s="26" t="n">
        <f aca="false">SUMIFS('Outages (event ledger)'!$H$2:$H$65,'Outages (event ledger)'!$A$2:$A$65,K$2,'Outages (event ledger)'!$E$2:$E$65,"&lt;="&amp;$B61,'Outages (event ledger)'!$G$2:$G$65,"&gt;="&amp;$B61)</f>
        <v>0</v>
      </c>
      <c r="L61" s="26" t="n">
        <f aca="false">SUMIFS('Outages (event ledger)'!$H$2:$H$65,'Outages (event ledger)'!$A$2:$A$65,L$2,'Outages (event ledger)'!$E$2:$E$65,"&lt;="&amp;$B61,'Outages (event ledger)'!$G$2:$G$65,"&gt;="&amp;$B61)</f>
        <v>0</v>
      </c>
      <c r="M61" s="26" t="n">
        <f aca="false">SUMIFS('Outages (event ledger)'!$H$2:$H$65,'Outages (event ledger)'!$A$2:$A$65,M$2,'Outages (event ledger)'!$E$2:$E$65,"&lt;="&amp;$B61,'Outages (event ledger)'!$G$2:$G$65,"&gt;="&amp;$B61)</f>
        <v>0</v>
      </c>
      <c r="N61" s="26" t="n">
        <f aca="false">SUMIFS('Outages (event ledger)'!$H$2:$H$65,'Outages (event ledger)'!$A$2:$A$65,N$2,'Outages (event ledger)'!$E$2:$E$65,"&lt;="&amp;$B61,'Outages (event ledger)'!$G$2:$G$65,"&gt;="&amp;$B61)</f>
        <v>0</v>
      </c>
      <c r="O61" s="26" t="n">
        <f aca="false">SUMIFS('Outages (event ledger)'!$H$2:$H$65,'Outages (event ledger)'!$A$2:$A$65,O$2,'Outages (event ledger)'!$E$2:$E$65,"&lt;="&amp;$B61,'Outages (event ledger)'!$G$2:$G$65,"&gt;="&amp;$B61)</f>
        <v>0</v>
      </c>
      <c r="P61" s="26" t="n">
        <f aca="false">SUMIFS('Outages (event ledger)'!$H$2:$H$65,'Outages (event ledger)'!$A$2:$A$65,P$2,'Outages (event ledger)'!$E$2:$E$65,"&lt;="&amp;$B61,'Outages (event ledger)'!$G$2:$G$65,"&gt;="&amp;$B61)</f>
        <v>0</v>
      </c>
      <c r="Q61" s="26" t="n">
        <f aca="false">SUMIFS('Outages (event ledger)'!$H$2:$H$65,'Outages (event ledger)'!$A$2:$A$65,Q$2,'Outages (event ledger)'!$E$2:$E$65,"&lt;="&amp;$B61,'Outages (event ledger)'!$G$2:$G$65,"&gt;="&amp;$B61)</f>
        <v>0</v>
      </c>
      <c r="R61" s="26" t="n">
        <f aca="false">SUMIFS('Outages (event ledger)'!$H$2:$H$65,'Outages (event ledger)'!$A$2:$A$65,R$2,'Outages (event ledger)'!$E$2:$E$65,"&lt;="&amp;$B61,'Outages (event ledger)'!$G$2:$G$65,"&gt;="&amp;$B61)</f>
        <v>0</v>
      </c>
      <c r="S61" s="26" t="n">
        <f aca="false">SUMIFS('Outages (event ledger)'!$H$2:$H$65,'Outages (event ledger)'!$A$2:$A$65,S$2,'Outages (event ledger)'!$E$2:$E$65,"&lt;="&amp;$B61,'Outages (event ledger)'!$G$2:$G$65,"&gt;="&amp;$B61)</f>
        <v>0</v>
      </c>
      <c r="T61" s="26" t="n">
        <f aca="false">SUMIFS('Outages (event ledger)'!$H$2:$H$65,'Outages (event ledger)'!$A$2:$A$65,T$2,'Outages (event ledger)'!$E$2:$E$65,"&lt;="&amp;$B61,'Outages (event ledger)'!$G$2:$G$65,"&gt;="&amp;$B61)</f>
        <v>0</v>
      </c>
      <c r="U61" s="26" t="n">
        <f aca="false">SUMIFS('Outages (event ledger)'!$H$2:$H$65,'Outages (event ledger)'!$A$2:$A$65,U$2,'Outages (event ledger)'!$E$2:$E$65,"&lt;="&amp;$B61,'Outages (event ledger)'!$G$2:$G$65,"&gt;="&amp;$B61)</f>
        <v>0</v>
      </c>
      <c r="V61" s="26" t="n">
        <f aca="false">SUMIFS('Outages (event ledger)'!$H$2:$H$65,'Outages (event ledger)'!$A$2:$A$65,V$2,'Outages (event ledger)'!$E$2:$E$65,"&lt;="&amp;$B61,'Outages (event ledger)'!$G$2:$G$65,"&gt;="&amp;$B61)</f>
        <v>0</v>
      </c>
      <c r="W61" s="26" t="n">
        <f aca="false">SUMIFS('Outages (event ledger)'!$H$2:$H$65,'Outages (event ledger)'!$A$2:$A$65,W$2,'Outages (event ledger)'!$E$2:$E$65,"&lt;="&amp;$B61,'Outages (event ledger)'!$G$2:$G$65,"&gt;="&amp;$B61)</f>
        <v>0</v>
      </c>
      <c r="X61" s="26" t="n">
        <f aca="false">SUMIFS('Outages (event ledger)'!$H$2:$H$65,'Outages (event ledger)'!$A$2:$A$65,X$2,'Outages (event ledger)'!$E$2:$E$65,"&lt;="&amp;$B61,'Outages (event ledger)'!$G$2:$G$65,"&gt;="&amp;$B61)</f>
        <v>0</v>
      </c>
      <c r="Y61" s="26" t="n">
        <f aca="false">SUMIFS('Outages (event ledger)'!$H$2:$H$65,'Outages (event ledger)'!$A$2:$A$65,Y$2,'Outages (event ledger)'!$E$2:$E$65,"&lt;="&amp;$B61,'Outages (event ledger)'!$G$2:$G$65,"&gt;="&amp;$B61)</f>
        <v>5</v>
      </c>
      <c r="Z61" s="26" t="n">
        <f aca="false">SUMIFS('Outages (event ledger)'!$H$2:$H$65,'Outages (event ledger)'!$A$2:$A$65,Z$2,'Outages (event ledger)'!$E$2:$E$65,"&lt;="&amp;$B61,'Outages (event ledger)'!$G$2:$G$65,"&gt;="&amp;$B61)</f>
        <v>5</v>
      </c>
      <c r="AA61" s="26" t="n">
        <f aca="false">SUMIFS('Outages (event ledger)'!$H$2:$H$65,'Outages (event ledger)'!$A$2:$A$65,AA$2,'Outages (event ledger)'!$E$2:$E$65,"&lt;="&amp;$B61,'Outages (event ledger)'!$G$2:$G$65,"&gt;="&amp;$B61)</f>
        <v>0</v>
      </c>
      <c r="AB61" s="26" t="n">
        <f aca="false">SUMIFS('Outages (event ledger)'!$H$2:$H$65,'Outages (event ledger)'!$A$2:$A$65,AB$2,'Outages (event ledger)'!$E$2:$E$65,"&lt;="&amp;$B61,'Outages (event ledger)'!$G$2:$G$65,"&gt;="&amp;$B61)</f>
        <v>8</v>
      </c>
      <c r="AC61" s="26" t="n">
        <f aca="false">SUMIFS('Outages (event ledger)'!$H$2:$H$65,'Outages (event ledger)'!$A$2:$A$65,AC$2,'Outages (event ledger)'!$E$2:$E$65,"&lt;="&amp;$B61,'Outages (event ledger)'!$G$2:$G$65,"&gt;="&amp;$B61)</f>
        <v>0</v>
      </c>
      <c r="AD61" s="26" t="n">
        <f aca="false">SUMIFS('Outages (event ledger)'!$H$2:$H$65,'Outages (event ledger)'!$A$2:$A$65,AD$2,'Outages (event ledger)'!$E$2:$E$65,"&lt;="&amp;$B61,'Outages (event ledger)'!$G$2:$G$65,"&gt;="&amp;$B61)</f>
        <v>0</v>
      </c>
      <c r="AE61" s="26" t="n">
        <f aca="false">SUMIFS('Outages (event ledger)'!$H$2:$H$65,'Outages (event ledger)'!$A$2:$A$65,AE$2,'Outages (event ledger)'!$E$2:$E$65,"&lt;="&amp;$B61,'Outages (event ledger)'!$G$2:$G$65,"&gt;="&amp;$B61)</f>
        <v>0</v>
      </c>
      <c r="AF61" s="26" t="n">
        <f aca="false">SUMIFS('Outages (event ledger)'!$H$2:$H$65,'Outages (event ledger)'!$A$2:$A$65,AF$2,'Outages (event ledger)'!$E$2:$E$65,"&lt;="&amp;$B61,'Outages (event ledger)'!$G$2:$G$65,"&gt;="&amp;$B61)</f>
        <v>0</v>
      </c>
      <c r="AG61" s="26" t="n">
        <f aca="false">SUMIFS('Outages (event ledger)'!$H$2:$H$65,'Outages (event ledger)'!$A$2:$A$65,AG$2,'Outages (event ledger)'!$E$2:$E$65,"&lt;="&amp;$B61,'Outages (event ledger)'!$G$2:$G$65,"&gt;="&amp;$B61)</f>
        <v>0</v>
      </c>
      <c r="AH61" s="26" t="n">
        <f aca="false">SUMIFS('Outages (event ledger)'!$H$2:$H$65,'Outages (event ledger)'!$A$2:$A$65,AH$2,'Outages (event ledger)'!$E$2:$E$65,"&lt;="&amp;$B61,'Outages (event ledger)'!$G$2:$G$65,"&gt;="&amp;$B61)</f>
        <v>0</v>
      </c>
      <c r="AI61" s="26" t="n">
        <f aca="false">SUMIFS('Outages (event ledger)'!$H$2:$H$65,'Outages (event ledger)'!$A$2:$A$65,AI$2,'Outages (event ledger)'!$E$2:$E$65,"&lt;="&amp;$B61,'Outages (event ledger)'!$G$2:$G$65,"&gt;="&amp;$B61)</f>
        <v>0</v>
      </c>
      <c r="AJ61" s="26" t="n">
        <f aca="false">SUMIFS('Outages (event ledger)'!$H$2:$H$65,'Outages (event ledger)'!$A$2:$A$65,AJ$2,'Outages (event ledger)'!$E$2:$E$65,"&lt;="&amp;$B61,'Outages (event ledger)'!$G$2:$G$65,"&gt;="&amp;$B61)</f>
        <v>0</v>
      </c>
      <c r="AK61" s="26" t="n">
        <f aca="false">SUMIFS('Outages (event ledger)'!$H$2:$H$65,'Outages (event ledger)'!$A$2:$A$65,AK$2,'Outages (event ledger)'!$E$2:$E$65,"&lt;="&amp;$B61,'Outages (event ledger)'!$G$2:$G$65,"&gt;="&amp;$B61)</f>
        <v>0</v>
      </c>
      <c r="AL61" s="26" t="n">
        <f aca="false">SUMIFS('Outages (event ledger)'!$H$2:$H$65,'Outages (event ledger)'!$A$2:$A$65,AL$2,'Outages (event ledger)'!$E$2:$E$65,"&lt;="&amp;$B61,'Outages (event ledger)'!$G$2:$G$65,"&gt;="&amp;$B61)</f>
        <v>3.5</v>
      </c>
      <c r="AM61" s="26" t="n">
        <f aca="false">SUMIFS('Outages (event ledger)'!$H$2:$H$65,'Outages (event ledger)'!$A$2:$A$65,AM$2,'Outages (event ledger)'!$E$2:$E$65,"&lt;="&amp;$B61,'Outages (event ledger)'!$G$2:$G$65,"&gt;="&amp;$B61)</f>
        <v>0</v>
      </c>
      <c r="AN61" s="26" t="n">
        <f aca="false">SUMIFS('Outages (event ledger)'!$H$2:$H$65,'Outages (event ledger)'!$A$2:$A$65,AN$2,'Outages (event ledger)'!$E$2:$E$65,"&lt;="&amp;$B61,'Outages (event ledger)'!$G$2:$G$65,"&gt;="&amp;$B61)</f>
        <v>0</v>
      </c>
      <c r="AO61" s="26" t="n">
        <f aca="false">SUMIFS('Outages (event ledger)'!$H$2:$H$65,'Outages (event ledger)'!$A$2:$A$65,AO$2,'Outages (event ledger)'!$E$2:$E$65,"&lt;="&amp;$B61,'Outages (event ledger)'!$G$2:$G$65,"&gt;="&amp;$B61)</f>
        <v>0</v>
      </c>
      <c r="AP61" s="26" t="n">
        <f aca="false">SUMIFS('Outages (event ledger)'!$H$2:$H$65,'Outages (event ledger)'!$A$2:$A$65,AP$2,'Outages (event ledger)'!$E$2:$E$65,"&lt;="&amp;$B61,'Outages (event ledger)'!$G$2:$G$65,"&gt;="&amp;$B61)</f>
        <v>0</v>
      </c>
      <c r="AQ61" s="26" t="n">
        <f aca="false">SUMIFS('Outages (event ledger)'!$H$2:$H$65,'Outages (event ledger)'!$A$2:$A$65,AQ$2,'Outages (event ledger)'!$E$2:$E$65,"&lt;="&amp;$B61,'Outages (event ledger)'!$G$2:$G$65,"&gt;="&amp;$B61)</f>
        <v>0</v>
      </c>
      <c r="AR61" s="26" t="n">
        <f aca="false">SUMIFS('Outages (event ledger)'!$H$2:$H$65,'Outages (event ledger)'!$A$2:$A$65,AR$2,'Outages (event ledger)'!$E$2:$E$65,"&lt;="&amp;$B61,'Outages (event ledger)'!$G$2:$G$65,"&gt;="&amp;$B61)</f>
        <v>0</v>
      </c>
      <c r="AS61" s="26" t="n">
        <f aca="false">SUMIFS('Outages (event ledger)'!$H$2:$H$65,'Outages (event ledger)'!$A$2:$A$65,AS$2,'Outages (event ledger)'!$E$2:$E$65,"&lt;="&amp;$B61,'Outages (event ledger)'!$G$2:$G$65,"&gt;="&amp;$B61)</f>
        <v>0</v>
      </c>
      <c r="AT61" s="26" t="n">
        <f aca="false">SUMIFS('Outages (event ledger)'!$H$2:$H$65,'Outages (event ledger)'!$A$2:$A$65,AT$2,'Outages (event ledger)'!$E$2:$E$65,"&lt;="&amp;$B61,'Outages (event ledger)'!$G$2:$G$65,"&gt;="&amp;$B61)</f>
        <v>0</v>
      </c>
      <c r="AU61" s="26" t="n">
        <f aca="false">SUMIFS('Outages (event ledger)'!$H$2:$H$65,'Outages (event ledger)'!$A$2:$A$65,AU$2,'Outages (event ledger)'!$E$2:$E$65,"&lt;="&amp;$B61,'Outages (event ledger)'!$G$2:$G$65,"&gt;="&amp;$B61)</f>
        <v>0</v>
      </c>
      <c r="AV61" s="26" t="n">
        <f aca="false">SUMIFS('Outages (event ledger)'!$H$2:$H$65,'Outages (event ledger)'!$A$2:$A$65,AV$2,'Outages (event ledger)'!$E$2:$E$65,"&lt;="&amp;$B61,'Outages (event ledger)'!$G$2:$G$65,"&gt;="&amp;$B61)</f>
        <v>0</v>
      </c>
      <c r="AW61" s="26" t="n">
        <f aca="false">SUMIFS('Outages (event ledger)'!$H$2:$H$65,'Outages (event ledger)'!$A$2:$A$65,AW$2,'Outages (event ledger)'!$E$2:$E$65,"&lt;="&amp;$B61,'Outages (event ledger)'!$G$2:$G$65,"&gt;="&amp;$B61)</f>
        <v>0</v>
      </c>
      <c r="AX61" s="26" t="n">
        <f aca="false">SUMIFS('Outages (event ledger)'!$H$2:$H$65,'Outages (event ledger)'!$A$2:$A$65,AX$2,'Outages (event ledger)'!$E$2:$E$65,"&lt;="&amp;$B61,'Outages (event ledger)'!$G$2:$G$65,"&gt;="&amp;$B61)</f>
        <v>0</v>
      </c>
      <c r="AY61" s="26" t="n">
        <f aca="false">SUMIFS('Outages (event ledger)'!$H$2:$H$65,'Outages (event ledger)'!$A$2:$A$65,AY$2,'Outages (event ledger)'!$E$2:$E$65,"&lt;="&amp;$B61,'Outages (event ledger)'!$G$2:$G$65,"&gt;="&amp;$B61)</f>
        <v>0</v>
      </c>
      <c r="AZ61" s="26" t="n">
        <f aca="false">SUMIFS('Outages (event ledger)'!$H$2:$H$65,'Outages (event ledger)'!$A$2:$A$65,AZ$2,'Outages (event ledger)'!$E$2:$E$65,"&lt;="&amp;$B61,'Outages (event ledger)'!$G$2:$G$65,"&gt;="&amp;$B61)</f>
        <v>0</v>
      </c>
      <c r="BA61" s="26" t="n">
        <f aca="false">SUMIFS('Outages (event ledger)'!$H$2:$H$65,'Outages (event ledger)'!$A$2:$A$65,BA$2,'Outages (event ledger)'!$E$2:$E$65,"&lt;="&amp;$B61,'Outages (event ledger)'!$G$2:$G$65,"&gt;="&amp;$B61)</f>
        <v>0</v>
      </c>
      <c r="BB61" s="26" t="n">
        <f aca="false">SUMIFS('Outages (event ledger)'!$H$2:$H$65,'Outages (event ledger)'!$A$2:$A$65,BB$2,'Outages (event ledger)'!$E$2:$E$65,"&lt;="&amp;$B61,'Outages (event ledger)'!$G$2:$G$65,"&gt;="&amp;$B61)</f>
        <v>0</v>
      </c>
      <c r="BC61" s="26" t="n">
        <f aca="false">SUMIFS('Outages (event ledger)'!$H$2:$H$65,'Outages (event ledger)'!$A$2:$A$65,BC$2,'Outages (event ledger)'!$E$2:$E$65,"&lt;="&amp;$B61,'Outages (event ledger)'!$G$2:$G$65,"&gt;="&amp;$B61)</f>
        <v>0</v>
      </c>
      <c r="BD61" s="26" t="n">
        <f aca="false">SUMIFS('Outages (event ledger)'!$H$2:$H$65,'Outages (event ledger)'!$A$2:$A$65,BD$2,'Outages (event ledger)'!$E$2:$E$65,"&lt;="&amp;$B61,'Outages (event ledger)'!$G$2:$G$65,"&gt;="&amp;$B61)</f>
        <v>0</v>
      </c>
      <c r="BE61" s="26" t="n">
        <f aca="false">SUMIFS('Outages (event ledger)'!$H$2:$H$65,'Outages (event ledger)'!$A$2:$A$65,BE$2,'Outages (event ledger)'!$E$2:$E$65,"&lt;="&amp;$B61,'Outages (event ledger)'!$G$2:$G$65,"&gt;="&amp;$B61)</f>
        <v>0</v>
      </c>
      <c r="BF61" s="26" t="n">
        <f aca="false">SUMIFS('Outages (event ledger)'!$H$2:$H$65,'Outages (event ledger)'!$A$2:$A$65,BF$2,'Outages (event ledger)'!$E$2:$E$65,"&lt;="&amp;$B61,'Outages (event ledger)'!$G$2:$G$65,"&gt;="&amp;$B61)</f>
        <v>0</v>
      </c>
      <c r="BG61" s="26" t="n">
        <f aca="false">SUMIFS('Outages (event ledger)'!$H$2:$H$65,'Outages (event ledger)'!$A$2:$A$65,BG$2,'Outages (event ledger)'!$E$2:$E$65,"&lt;="&amp;$B61,'Outages (event ledger)'!$G$2:$G$65,"&gt;="&amp;$B61)</f>
        <v>0</v>
      </c>
      <c r="BH61" s="26" t="n">
        <f aca="false">SUMIFS('Outages (event ledger)'!$H$2:$H$65,'Outages (event ledger)'!$A$2:$A$65,BH$2,'Outages (event ledger)'!$E$2:$E$65,"&lt;="&amp;$B61,'Outages (event ledger)'!$G$2:$G$65,"&gt;="&amp;$B61)</f>
        <v>0</v>
      </c>
      <c r="BI61" s="26" t="n">
        <f aca="false">SUMIFS('Outages (event ledger)'!$H$2:$H$65,'Outages (event ledger)'!$A$2:$A$65,BI$2,'Outages (event ledger)'!$E$2:$E$65,"&lt;="&amp;$B61,'Outages (event ledger)'!$G$2:$G$65,"&gt;="&amp;$B61)</f>
        <v>0</v>
      </c>
    </row>
    <row r="62" customFormat="false" ht="15" hidden="false" customHeight="false" outlineLevel="0" collapsed="false">
      <c r="A62" s="23" t="n">
        <v>41974</v>
      </c>
      <c r="B62" s="24" t="n">
        <v>201412</v>
      </c>
      <c r="C62" s="25" t="n">
        <f aca="false">SUM(D62:BI62)</f>
        <v>26.7</v>
      </c>
      <c r="D62" s="26" t="n">
        <f aca="false">SUMIFS('Outages (event ledger)'!$H$2:$H$65,'Outages (event ledger)'!$A$2:$A$65,D$2,'Outages (event ledger)'!$E$2:$E$65,"&lt;="&amp;$B62,'Outages (event ledger)'!$G$2:$G$65,"&gt;="&amp;$B62)</f>
        <v>0</v>
      </c>
      <c r="E62" s="26" t="n">
        <f aca="false">SUMIFS('Outages (event ledger)'!$H$2:$H$65,'Outages (event ledger)'!$A$2:$A$65,E$2,'Outages (event ledger)'!$E$2:$E$65,"&lt;="&amp;$B62,'Outages (event ledger)'!$G$2:$G$65,"&gt;="&amp;$B62)</f>
        <v>0</v>
      </c>
      <c r="F62" s="26" t="n">
        <f aca="false">SUMIFS('Outages (event ledger)'!$H$2:$H$65,'Outages (event ledger)'!$A$2:$A$65,F$2,'Outages (event ledger)'!$E$2:$E$65,"&lt;="&amp;$B62,'Outages (event ledger)'!$G$2:$G$65,"&gt;="&amp;$B62)</f>
        <v>0</v>
      </c>
      <c r="G62" s="26" t="n">
        <f aca="false">SUMIFS('Outages (event ledger)'!$H$2:$H$65,'Outages (event ledger)'!$A$2:$A$65,G$2,'Outages (event ledger)'!$E$2:$E$65,"&lt;="&amp;$B62,'Outages (event ledger)'!$G$2:$G$65,"&gt;="&amp;$B62)</f>
        <v>0</v>
      </c>
      <c r="H62" s="26" t="n">
        <f aca="false">SUMIFS('Outages (event ledger)'!$H$2:$H$65,'Outages (event ledger)'!$A$2:$A$65,H$2,'Outages (event ledger)'!$E$2:$E$65,"&lt;="&amp;$B62,'Outages (event ledger)'!$G$2:$G$65,"&gt;="&amp;$B62)</f>
        <v>5.2</v>
      </c>
      <c r="I62" s="26" t="n">
        <f aca="false">SUMIFS('Outages (event ledger)'!$H$2:$H$65,'Outages (event ledger)'!$A$2:$A$65,I$2,'Outages (event ledger)'!$E$2:$E$65,"&lt;="&amp;$B62,'Outages (event ledger)'!$G$2:$G$65,"&gt;="&amp;$B62)</f>
        <v>0</v>
      </c>
      <c r="J62" s="26" t="n">
        <f aca="false">SUMIFS('Outages (event ledger)'!$H$2:$H$65,'Outages (event ledger)'!$A$2:$A$65,J$2,'Outages (event ledger)'!$E$2:$E$65,"&lt;="&amp;$B62,'Outages (event ledger)'!$G$2:$G$65,"&gt;="&amp;$B62)</f>
        <v>0</v>
      </c>
      <c r="K62" s="26" t="n">
        <f aca="false">SUMIFS('Outages (event ledger)'!$H$2:$H$65,'Outages (event ledger)'!$A$2:$A$65,K$2,'Outages (event ledger)'!$E$2:$E$65,"&lt;="&amp;$B62,'Outages (event ledger)'!$G$2:$G$65,"&gt;="&amp;$B62)</f>
        <v>0</v>
      </c>
      <c r="L62" s="26" t="n">
        <f aca="false">SUMIFS('Outages (event ledger)'!$H$2:$H$65,'Outages (event ledger)'!$A$2:$A$65,L$2,'Outages (event ledger)'!$E$2:$E$65,"&lt;="&amp;$B62,'Outages (event ledger)'!$G$2:$G$65,"&gt;="&amp;$B62)</f>
        <v>0</v>
      </c>
      <c r="M62" s="26" t="n">
        <f aca="false">SUMIFS('Outages (event ledger)'!$H$2:$H$65,'Outages (event ledger)'!$A$2:$A$65,M$2,'Outages (event ledger)'!$E$2:$E$65,"&lt;="&amp;$B62,'Outages (event ledger)'!$G$2:$G$65,"&gt;="&amp;$B62)</f>
        <v>0</v>
      </c>
      <c r="N62" s="26" t="n">
        <f aca="false">SUMIFS('Outages (event ledger)'!$H$2:$H$65,'Outages (event ledger)'!$A$2:$A$65,N$2,'Outages (event ledger)'!$E$2:$E$65,"&lt;="&amp;$B62,'Outages (event ledger)'!$G$2:$G$65,"&gt;="&amp;$B62)</f>
        <v>0</v>
      </c>
      <c r="O62" s="26" t="n">
        <f aca="false">SUMIFS('Outages (event ledger)'!$H$2:$H$65,'Outages (event ledger)'!$A$2:$A$65,O$2,'Outages (event ledger)'!$E$2:$E$65,"&lt;="&amp;$B62,'Outages (event ledger)'!$G$2:$G$65,"&gt;="&amp;$B62)</f>
        <v>0</v>
      </c>
      <c r="P62" s="26" t="n">
        <f aca="false">SUMIFS('Outages (event ledger)'!$H$2:$H$65,'Outages (event ledger)'!$A$2:$A$65,P$2,'Outages (event ledger)'!$E$2:$E$65,"&lt;="&amp;$B62,'Outages (event ledger)'!$G$2:$G$65,"&gt;="&amp;$B62)</f>
        <v>0</v>
      </c>
      <c r="Q62" s="26" t="n">
        <f aca="false">SUMIFS('Outages (event ledger)'!$H$2:$H$65,'Outages (event ledger)'!$A$2:$A$65,Q$2,'Outages (event ledger)'!$E$2:$E$65,"&lt;="&amp;$B62,'Outages (event ledger)'!$G$2:$G$65,"&gt;="&amp;$B62)</f>
        <v>0</v>
      </c>
      <c r="R62" s="26" t="n">
        <f aca="false">SUMIFS('Outages (event ledger)'!$H$2:$H$65,'Outages (event ledger)'!$A$2:$A$65,R$2,'Outages (event ledger)'!$E$2:$E$65,"&lt;="&amp;$B62,'Outages (event ledger)'!$G$2:$G$65,"&gt;="&amp;$B62)</f>
        <v>0</v>
      </c>
      <c r="S62" s="26" t="n">
        <f aca="false">SUMIFS('Outages (event ledger)'!$H$2:$H$65,'Outages (event ledger)'!$A$2:$A$65,S$2,'Outages (event ledger)'!$E$2:$E$65,"&lt;="&amp;$B62,'Outages (event ledger)'!$G$2:$G$65,"&gt;="&amp;$B62)</f>
        <v>0</v>
      </c>
      <c r="T62" s="26" t="n">
        <f aca="false">SUMIFS('Outages (event ledger)'!$H$2:$H$65,'Outages (event ledger)'!$A$2:$A$65,T$2,'Outages (event ledger)'!$E$2:$E$65,"&lt;="&amp;$B62,'Outages (event ledger)'!$G$2:$G$65,"&gt;="&amp;$B62)</f>
        <v>0</v>
      </c>
      <c r="U62" s="26" t="n">
        <f aca="false">SUMIFS('Outages (event ledger)'!$H$2:$H$65,'Outages (event ledger)'!$A$2:$A$65,U$2,'Outages (event ledger)'!$E$2:$E$65,"&lt;="&amp;$B62,'Outages (event ledger)'!$G$2:$G$65,"&gt;="&amp;$B62)</f>
        <v>0</v>
      </c>
      <c r="V62" s="26" t="n">
        <f aca="false">SUMIFS('Outages (event ledger)'!$H$2:$H$65,'Outages (event ledger)'!$A$2:$A$65,V$2,'Outages (event ledger)'!$E$2:$E$65,"&lt;="&amp;$B62,'Outages (event ledger)'!$G$2:$G$65,"&gt;="&amp;$B62)</f>
        <v>0</v>
      </c>
      <c r="W62" s="26" t="n">
        <f aca="false">SUMIFS('Outages (event ledger)'!$H$2:$H$65,'Outages (event ledger)'!$A$2:$A$65,W$2,'Outages (event ledger)'!$E$2:$E$65,"&lt;="&amp;$B62,'Outages (event ledger)'!$G$2:$G$65,"&gt;="&amp;$B62)</f>
        <v>0</v>
      </c>
      <c r="X62" s="26" t="n">
        <f aca="false">SUMIFS('Outages (event ledger)'!$H$2:$H$65,'Outages (event ledger)'!$A$2:$A$65,X$2,'Outages (event ledger)'!$E$2:$E$65,"&lt;="&amp;$B62,'Outages (event ledger)'!$G$2:$G$65,"&gt;="&amp;$B62)</f>
        <v>0</v>
      </c>
      <c r="Y62" s="26" t="n">
        <f aca="false">SUMIFS('Outages (event ledger)'!$H$2:$H$65,'Outages (event ledger)'!$A$2:$A$65,Y$2,'Outages (event ledger)'!$E$2:$E$65,"&lt;="&amp;$B62,'Outages (event ledger)'!$G$2:$G$65,"&gt;="&amp;$B62)</f>
        <v>5</v>
      </c>
      <c r="Z62" s="26" t="n">
        <f aca="false">SUMIFS('Outages (event ledger)'!$H$2:$H$65,'Outages (event ledger)'!$A$2:$A$65,Z$2,'Outages (event ledger)'!$E$2:$E$65,"&lt;="&amp;$B62,'Outages (event ledger)'!$G$2:$G$65,"&gt;="&amp;$B62)</f>
        <v>5</v>
      </c>
      <c r="AA62" s="26" t="n">
        <f aca="false">SUMIFS('Outages (event ledger)'!$H$2:$H$65,'Outages (event ledger)'!$A$2:$A$65,AA$2,'Outages (event ledger)'!$E$2:$E$65,"&lt;="&amp;$B62,'Outages (event ledger)'!$G$2:$G$65,"&gt;="&amp;$B62)</f>
        <v>0</v>
      </c>
      <c r="AB62" s="26" t="n">
        <f aca="false">SUMIFS('Outages (event ledger)'!$H$2:$H$65,'Outages (event ledger)'!$A$2:$A$65,AB$2,'Outages (event ledger)'!$E$2:$E$65,"&lt;="&amp;$B62,'Outages (event ledger)'!$G$2:$G$65,"&gt;="&amp;$B62)</f>
        <v>8</v>
      </c>
      <c r="AC62" s="26" t="n">
        <f aca="false">SUMIFS('Outages (event ledger)'!$H$2:$H$65,'Outages (event ledger)'!$A$2:$A$65,AC$2,'Outages (event ledger)'!$E$2:$E$65,"&lt;="&amp;$B62,'Outages (event ledger)'!$G$2:$G$65,"&gt;="&amp;$B62)</f>
        <v>0</v>
      </c>
      <c r="AD62" s="26" t="n">
        <f aca="false">SUMIFS('Outages (event ledger)'!$H$2:$H$65,'Outages (event ledger)'!$A$2:$A$65,AD$2,'Outages (event ledger)'!$E$2:$E$65,"&lt;="&amp;$B62,'Outages (event ledger)'!$G$2:$G$65,"&gt;="&amp;$B62)</f>
        <v>0</v>
      </c>
      <c r="AE62" s="26" t="n">
        <f aca="false">SUMIFS('Outages (event ledger)'!$H$2:$H$65,'Outages (event ledger)'!$A$2:$A$65,AE$2,'Outages (event ledger)'!$E$2:$E$65,"&lt;="&amp;$B62,'Outages (event ledger)'!$G$2:$G$65,"&gt;="&amp;$B62)</f>
        <v>0</v>
      </c>
      <c r="AF62" s="26" t="n">
        <f aca="false">SUMIFS('Outages (event ledger)'!$H$2:$H$65,'Outages (event ledger)'!$A$2:$A$65,AF$2,'Outages (event ledger)'!$E$2:$E$65,"&lt;="&amp;$B62,'Outages (event ledger)'!$G$2:$G$65,"&gt;="&amp;$B62)</f>
        <v>0</v>
      </c>
      <c r="AG62" s="26" t="n">
        <f aca="false">SUMIFS('Outages (event ledger)'!$H$2:$H$65,'Outages (event ledger)'!$A$2:$A$65,AG$2,'Outages (event ledger)'!$E$2:$E$65,"&lt;="&amp;$B62,'Outages (event ledger)'!$G$2:$G$65,"&gt;="&amp;$B62)</f>
        <v>0</v>
      </c>
      <c r="AH62" s="26" t="n">
        <f aca="false">SUMIFS('Outages (event ledger)'!$H$2:$H$65,'Outages (event ledger)'!$A$2:$A$65,AH$2,'Outages (event ledger)'!$E$2:$E$65,"&lt;="&amp;$B62,'Outages (event ledger)'!$G$2:$G$65,"&gt;="&amp;$B62)</f>
        <v>0</v>
      </c>
      <c r="AI62" s="26" t="n">
        <f aca="false">SUMIFS('Outages (event ledger)'!$H$2:$H$65,'Outages (event ledger)'!$A$2:$A$65,AI$2,'Outages (event ledger)'!$E$2:$E$65,"&lt;="&amp;$B62,'Outages (event ledger)'!$G$2:$G$65,"&gt;="&amp;$B62)</f>
        <v>0</v>
      </c>
      <c r="AJ62" s="26" t="n">
        <f aca="false">SUMIFS('Outages (event ledger)'!$H$2:$H$65,'Outages (event ledger)'!$A$2:$A$65,AJ$2,'Outages (event ledger)'!$E$2:$E$65,"&lt;="&amp;$B62,'Outages (event ledger)'!$G$2:$G$65,"&gt;="&amp;$B62)</f>
        <v>0</v>
      </c>
      <c r="AK62" s="26" t="n">
        <f aca="false">SUMIFS('Outages (event ledger)'!$H$2:$H$65,'Outages (event ledger)'!$A$2:$A$65,AK$2,'Outages (event ledger)'!$E$2:$E$65,"&lt;="&amp;$B62,'Outages (event ledger)'!$G$2:$G$65,"&gt;="&amp;$B62)</f>
        <v>0</v>
      </c>
      <c r="AL62" s="26" t="n">
        <f aca="false">SUMIFS('Outages (event ledger)'!$H$2:$H$65,'Outages (event ledger)'!$A$2:$A$65,AL$2,'Outages (event ledger)'!$E$2:$E$65,"&lt;="&amp;$B62,'Outages (event ledger)'!$G$2:$G$65,"&gt;="&amp;$B62)</f>
        <v>3.5</v>
      </c>
      <c r="AM62" s="26" t="n">
        <f aca="false">SUMIFS('Outages (event ledger)'!$H$2:$H$65,'Outages (event ledger)'!$A$2:$A$65,AM$2,'Outages (event ledger)'!$E$2:$E$65,"&lt;="&amp;$B62,'Outages (event ledger)'!$G$2:$G$65,"&gt;="&amp;$B62)</f>
        <v>0</v>
      </c>
      <c r="AN62" s="26" t="n">
        <f aca="false">SUMIFS('Outages (event ledger)'!$H$2:$H$65,'Outages (event ledger)'!$A$2:$A$65,AN$2,'Outages (event ledger)'!$E$2:$E$65,"&lt;="&amp;$B62,'Outages (event ledger)'!$G$2:$G$65,"&gt;="&amp;$B62)</f>
        <v>0</v>
      </c>
      <c r="AO62" s="26" t="n">
        <f aca="false">SUMIFS('Outages (event ledger)'!$H$2:$H$65,'Outages (event ledger)'!$A$2:$A$65,AO$2,'Outages (event ledger)'!$E$2:$E$65,"&lt;="&amp;$B62,'Outages (event ledger)'!$G$2:$G$65,"&gt;="&amp;$B62)</f>
        <v>0</v>
      </c>
      <c r="AP62" s="26" t="n">
        <f aca="false">SUMIFS('Outages (event ledger)'!$H$2:$H$65,'Outages (event ledger)'!$A$2:$A$65,AP$2,'Outages (event ledger)'!$E$2:$E$65,"&lt;="&amp;$B62,'Outages (event ledger)'!$G$2:$G$65,"&gt;="&amp;$B62)</f>
        <v>0</v>
      </c>
      <c r="AQ62" s="26" t="n">
        <f aca="false">SUMIFS('Outages (event ledger)'!$H$2:$H$65,'Outages (event ledger)'!$A$2:$A$65,AQ$2,'Outages (event ledger)'!$E$2:$E$65,"&lt;="&amp;$B62,'Outages (event ledger)'!$G$2:$G$65,"&gt;="&amp;$B62)</f>
        <v>0</v>
      </c>
      <c r="AR62" s="26" t="n">
        <f aca="false">SUMIFS('Outages (event ledger)'!$H$2:$H$65,'Outages (event ledger)'!$A$2:$A$65,AR$2,'Outages (event ledger)'!$E$2:$E$65,"&lt;="&amp;$B62,'Outages (event ledger)'!$G$2:$G$65,"&gt;="&amp;$B62)</f>
        <v>0</v>
      </c>
      <c r="AS62" s="26" t="n">
        <f aca="false">SUMIFS('Outages (event ledger)'!$H$2:$H$65,'Outages (event ledger)'!$A$2:$A$65,AS$2,'Outages (event ledger)'!$E$2:$E$65,"&lt;="&amp;$B62,'Outages (event ledger)'!$G$2:$G$65,"&gt;="&amp;$B62)</f>
        <v>0</v>
      </c>
      <c r="AT62" s="26" t="n">
        <f aca="false">SUMIFS('Outages (event ledger)'!$H$2:$H$65,'Outages (event ledger)'!$A$2:$A$65,AT$2,'Outages (event ledger)'!$E$2:$E$65,"&lt;="&amp;$B62,'Outages (event ledger)'!$G$2:$G$65,"&gt;="&amp;$B62)</f>
        <v>0</v>
      </c>
      <c r="AU62" s="26" t="n">
        <f aca="false">SUMIFS('Outages (event ledger)'!$H$2:$H$65,'Outages (event ledger)'!$A$2:$A$65,AU$2,'Outages (event ledger)'!$E$2:$E$65,"&lt;="&amp;$B62,'Outages (event ledger)'!$G$2:$G$65,"&gt;="&amp;$B62)</f>
        <v>0</v>
      </c>
      <c r="AV62" s="26" t="n">
        <f aca="false">SUMIFS('Outages (event ledger)'!$H$2:$H$65,'Outages (event ledger)'!$A$2:$A$65,AV$2,'Outages (event ledger)'!$E$2:$E$65,"&lt;="&amp;$B62,'Outages (event ledger)'!$G$2:$G$65,"&gt;="&amp;$B62)</f>
        <v>0</v>
      </c>
      <c r="AW62" s="26" t="n">
        <f aca="false">SUMIFS('Outages (event ledger)'!$H$2:$H$65,'Outages (event ledger)'!$A$2:$A$65,AW$2,'Outages (event ledger)'!$E$2:$E$65,"&lt;="&amp;$B62,'Outages (event ledger)'!$G$2:$G$65,"&gt;="&amp;$B62)</f>
        <v>0</v>
      </c>
      <c r="AX62" s="26" t="n">
        <f aca="false">SUMIFS('Outages (event ledger)'!$H$2:$H$65,'Outages (event ledger)'!$A$2:$A$65,AX$2,'Outages (event ledger)'!$E$2:$E$65,"&lt;="&amp;$B62,'Outages (event ledger)'!$G$2:$G$65,"&gt;="&amp;$B62)</f>
        <v>0</v>
      </c>
      <c r="AY62" s="26" t="n">
        <f aca="false">SUMIFS('Outages (event ledger)'!$H$2:$H$65,'Outages (event ledger)'!$A$2:$A$65,AY$2,'Outages (event ledger)'!$E$2:$E$65,"&lt;="&amp;$B62,'Outages (event ledger)'!$G$2:$G$65,"&gt;="&amp;$B62)</f>
        <v>0</v>
      </c>
      <c r="AZ62" s="26" t="n">
        <f aca="false">SUMIFS('Outages (event ledger)'!$H$2:$H$65,'Outages (event ledger)'!$A$2:$A$65,AZ$2,'Outages (event ledger)'!$E$2:$E$65,"&lt;="&amp;$B62,'Outages (event ledger)'!$G$2:$G$65,"&gt;="&amp;$B62)</f>
        <v>0</v>
      </c>
      <c r="BA62" s="26" t="n">
        <f aca="false">SUMIFS('Outages (event ledger)'!$H$2:$H$65,'Outages (event ledger)'!$A$2:$A$65,BA$2,'Outages (event ledger)'!$E$2:$E$65,"&lt;="&amp;$B62,'Outages (event ledger)'!$G$2:$G$65,"&gt;="&amp;$B62)</f>
        <v>0</v>
      </c>
      <c r="BB62" s="26" t="n">
        <f aca="false">SUMIFS('Outages (event ledger)'!$H$2:$H$65,'Outages (event ledger)'!$A$2:$A$65,BB$2,'Outages (event ledger)'!$E$2:$E$65,"&lt;="&amp;$B62,'Outages (event ledger)'!$G$2:$G$65,"&gt;="&amp;$B62)</f>
        <v>0</v>
      </c>
      <c r="BC62" s="26" t="n">
        <f aca="false">SUMIFS('Outages (event ledger)'!$H$2:$H$65,'Outages (event ledger)'!$A$2:$A$65,BC$2,'Outages (event ledger)'!$E$2:$E$65,"&lt;="&amp;$B62,'Outages (event ledger)'!$G$2:$G$65,"&gt;="&amp;$B62)</f>
        <v>0</v>
      </c>
      <c r="BD62" s="26" t="n">
        <f aca="false">SUMIFS('Outages (event ledger)'!$H$2:$H$65,'Outages (event ledger)'!$A$2:$A$65,BD$2,'Outages (event ledger)'!$E$2:$E$65,"&lt;="&amp;$B62,'Outages (event ledger)'!$G$2:$G$65,"&gt;="&amp;$B62)</f>
        <v>0</v>
      </c>
      <c r="BE62" s="26" t="n">
        <f aca="false">SUMIFS('Outages (event ledger)'!$H$2:$H$65,'Outages (event ledger)'!$A$2:$A$65,BE$2,'Outages (event ledger)'!$E$2:$E$65,"&lt;="&amp;$B62,'Outages (event ledger)'!$G$2:$G$65,"&gt;="&amp;$B62)</f>
        <v>0</v>
      </c>
      <c r="BF62" s="26" t="n">
        <f aca="false">SUMIFS('Outages (event ledger)'!$H$2:$H$65,'Outages (event ledger)'!$A$2:$A$65,BF$2,'Outages (event ledger)'!$E$2:$E$65,"&lt;="&amp;$B62,'Outages (event ledger)'!$G$2:$G$65,"&gt;="&amp;$B62)</f>
        <v>0</v>
      </c>
      <c r="BG62" s="26" t="n">
        <f aca="false">SUMIFS('Outages (event ledger)'!$H$2:$H$65,'Outages (event ledger)'!$A$2:$A$65,BG$2,'Outages (event ledger)'!$E$2:$E$65,"&lt;="&amp;$B62,'Outages (event ledger)'!$G$2:$G$65,"&gt;="&amp;$B62)</f>
        <v>0</v>
      </c>
      <c r="BH62" s="26" t="n">
        <f aca="false">SUMIFS('Outages (event ledger)'!$H$2:$H$65,'Outages (event ledger)'!$A$2:$A$65,BH$2,'Outages (event ledger)'!$E$2:$E$65,"&lt;="&amp;$B62,'Outages (event ledger)'!$G$2:$G$65,"&gt;="&amp;$B62)</f>
        <v>0</v>
      </c>
      <c r="BI62" s="26" t="n">
        <f aca="false">SUMIFS('Outages (event ledger)'!$H$2:$H$65,'Outages (event ledger)'!$A$2:$A$65,BI$2,'Outages (event ledger)'!$E$2:$E$65,"&lt;="&amp;$B62,'Outages (event ledger)'!$G$2:$G$65,"&gt;="&amp;$B62)</f>
        <v>0</v>
      </c>
    </row>
    <row r="63" customFormat="false" ht="15" hidden="false" customHeight="false" outlineLevel="0" collapsed="false">
      <c r="A63" s="27" t="n">
        <v>42005</v>
      </c>
      <c r="B63" s="28" t="n">
        <v>201501</v>
      </c>
      <c r="C63" s="25" t="n">
        <f aca="false">SUM(D63:BI63)</f>
        <v>26.7</v>
      </c>
      <c r="D63" s="29" t="n">
        <f aca="false">SUMIFS('Outages (event ledger)'!$H$2:$H$65,'Outages (event ledger)'!$A$2:$A$65,D$2,'Outages (event ledger)'!$E$2:$E$65,"&lt;="&amp;$B63,'Outages (event ledger)'!$G$2:$G$65,"&gt;="&amp;$B63)</f>
        <v>0</v>
      </c>
      <c r="E63" s="29" t="n">
        <f aca="false">SUMIFS('Outages (event ledger)'!$H$2:$H$65,'Outages (event ledger)'!$A$2:$A$65,E$2,'Outages (event ledger)'!$E$2:$E$65,"&lt;="&amp;$B63,'Outages (event ledger)'!$G$2:$G$65,"&gt;="&amp;$B63)</f>
        <v>0</v>
      </c>
      <c r="F63" s="29" t="n">
        <f aca="false">SUMIFS('Outages (event ledger)'!$H$2:$H$65,'Outages (event ledger)'!$A$2:$A$65,F$2,'Outages (event ledger)'!$E$2:$E$65,"&lt;="&amp;$B63,'Outages (event ledger)'!$G$2:$G$65,"&gt;="&amp;$B63)</f>
        <v>0</v>
      </c>
      <c r="G63" s="29" t="n">
        <f aca="false">SUMIFS('Outages (event ledger)'!$H$2:$H$65,'Outages (event ledger)'!$A$2:$A$65,G$2,'Outages (event ledger)'!$E$2:$E$65,"&lt;="&amp;$B63,'Outages (event ledger)'!$G$2:$G$65,"&gt;="&amp;$B63)</f>
        <v>0</v>
      </c>
      <c r="H63" s="29" t="n">
        <f aca="false">SUMIFS('Outages (event ledger)'!$H$2:$H$65,'Outages (event ledger)'!$A$2:$A$65,H$2,'Outages (event ledger)'!$E$2:$E$65,"&lt;="&amp;$B63,'Outages (event ledger)'!$G$2:$G$65,"&gt;="&amp;$B63)</f>
        <v>5.2</v>
      </c>
      <c r="I63" s="29" t="n">
        <f aca="false">SUMIFS('Outages (event ledger)'!$H$2:$H$65,'Outages (event ledger)'!$A$2:$A$65,I$2,'Outages (event ledger)'!$E$2:$E$65,"&lt;="&amp;$B63,'Outages (event ledger)'!$G$2:$G$65,"&gt;="&amp;$B63)</f>
        <v>0</v>
      </c>
      <c r="J63" s="29" t="n">
        <f aca="false">SUMIFS('Outages (event ledger)'!$H$2:$H$65,'Outages (event ledger)'!$A$2:$A$65,J$2,'Outages (event ledger)'!$E$2:$E$65,"&lt;="&amp;$B63,'Outages (event ledger)'!$G$2:$G$65,"&gt;="&amp;$B63)</f>
        <v>0</v>
      </c>
      <c r="K63" s="29" t="n">
        <f aca="false">SUMIFS('Outages (event ledger)'!$H$2:$H$65,'Outages (event ledger)'!$A$2:$A$65,K$2,'Outages (event ledger)'!$E$2:$E$65,"&lt;="&amp;$B63,'Outages (event ledger)'!$G$2:$G$65,"&gt;="&amp;$B63)</f>
        <v>0</v>
      </c>
      <c r="L63" s="29" t="n">
        <f aca="false">SUMIFS('Outages (event ledger)'!$H$2:$H$65,'Outages (event ledger)'!$A$2:$A$65,L$2,'Outages (event ledger)'!$E$2:$E$65,"&lt;="&amp;$B63,'Outages (event ledger)'!$G$2:$G$65,"&gt;="&amp;$B63)</f>
        <v>0</v>
      </c>
      <c r="M63" s="29" t="n">
        <f aca="false">SUMIFS('Outages (event ledger)'!$H$2:$H$65,'Outages (event ledger)'!$A$2:$A$65,M$2,'Outages (event ledger)'!$E$2:$E$65,"&lt;="&amp;$B63,'Outages (event ledger)'!$G$2:$G$65,"&gt;="&amp;$B63)</f>
        <v>0</v>
      </c>
      <c r="N63" s="29" t="n">
        <f aca="false">SUMIFS('Outages (event ledger)'!$H$2:$H$65,'Outages (event ledger)'!$A$2:$A$65,N$2,'Outages (event ledger)'!$E$2:$E$65,"&lt;="&amp;$B63,'Outages (event ledger)'!$G$2:$G$65,"&gt;="&amp;$B63)</f>
        <v>0</v>
      </c>
      <c r="O63" s="29" t="n">
        <f aca="false">SUMIFS('Outages (event ledger)'!$H$2:$H$65,'Outages (event ledger)'!$A$2:$A$65,O$2,'Outages (event ledger)'!$E$2:$E$65,"&lt;="&amp;$B63,'Outages (event ledger)'!$G$2:$G$65,"&gt;="&amp;$B63)</f>
        <v>0</v>
      </c>
      <c r="P63" s="29" t="n">
        <f aca="false">SUMIFS('Outages (event ledger)'!$H$2:$H$65,'Outages (event ledger)'!$A$2:$A$65,P$2,'Outages (event ledger)'!$E$2:$E$65,"&lt;="&amp;$B63,'Outages (event ledger)'!$G$2:$G$65,"&gt;="&amp;$B63)</f>
        <v>0</v>
      </c>
      <c r="Q63" s="29" t="n">
        <f aca="false">SUMIFS('Outages (event ledger)'!$H$2:$H$65,'Outages (event ledger)'!$A$2:$A$65,Q$2,'Outages (event ledger)'!$E$2:$E$65,"&lt;="&amp;$B63,'Outages (event ledger)'!$G$2:$G$65,"&gt;="&amp;$B63)</f>
        <v>0</v>
      </c>
      <c r="R63" s="29" t="n">
        <f aca="false">SUMIFS('Outages (event ledger)'!$H$2:$H$65,'Outages (event ledger)'!$A$2:$A$65,R$2,'Outages (event ledger)'!$E$2:$E$65,"&lt;="&amp;$B63,'Outages (event ledger)'!$G$2:$G$65,"&gt;="&amp;$B63)</f>
        <v>0</v>
      </c>
      <c r="S63" s="29" t="n">
        <f aca="false">SUMIFS('Outages (event ledger)'!$H$2:$H$65,'Outages (event ledger)'!$A$2:$A$65,S$2,'Outages (event ledger)'!$E$2:$E$65,"&lt;="&amp;$B63,'Outages (event ledger)'!$G$2:$G$65,"&gt;="&amp;$B63)</f>
        <v>0</v>
      </c>
      <c r="T63" s="29" t="n">
        <f aca="false">SUMIFS('Outages (event ledger)'!$H$2:$H$65,'Outages (event ledger)'!$A$2:$A$65,T$2,'Outages (event ledger)'!$E$2:$E$65,"&lt;="&amp;$B63,'Outages (event ledger)'!$G$2:$G$65,"&gt;="&amp;$B63)</f>
        <v>0</v>
      </c>
      <c r="U63" s="29" t="n">
        <f aca="false">SUMIFS('Outages (event ledger)'!$H$2:$H$65,'Outages (event ledger)'!$A$2:$A$65,U$2,'Outages (event ledger)'!$E$2:$E$65,"&lt;="&amp;$B63,'Outages (event ledger)'!$G$2:$G$65,"&gt;="&amp;$B63)</f>
        <v>0</v>
      </c>
      <c r="V63" s="29" t="n">
        <f aca="false">SUMIFS('Outages (event ledger)'!$H$2:$H$65,'Outages (event ledger)'!$A$2:$A$65,V$2,'Outages (event ledger)'!$E$2:$E$65,"&lt;="&amp;$B63,'Outages (event ledger)'!$G$2:$G$65,"&gt;="&amp;$B63)</f>
        <v>0</v>
      </c>
      <c r="W63" s="29" t="n">
        <f aca="false">SUMIFS('Outages (event ledger)'!$H$2:$H$65,'Outages (event ledger)'!$A$2:$A$65,W$2,'Outages (event ledger)'!$E$2:$E$65,"&lt;="&amp;$B63,'Outages (event ledger)'!$G$2:$G$65,"&gt;="&amp;$B63)</f>
        <v>0</v>
      </c>
      <c r="X63" s="29" t="n">
        <f aca="false">SUMIFS('Outages (event ledger)'!$H$2:$H$65,'Outages (event ledger)'!$A$2:$A$65,X$2,'Outages (event ledger)'!$E$2:$E$65,"&lt;="&amp;$B63,'Outages (event ledger)'!$G$2:$G$65,"&gt;="&amp;$B63)</f>
        <v>0</v>
      </c>
      <c r="Y63" s="29" t="n">
        <f aca="false">SUMIFS('Outages (event ledger)'!$H$2:$H$65,'Outages (event ledger)'!$A$2:$A$65,Y$2,'Outages (event ledger)'!$E$2:$E$65,"&lt;="&amp;$B63,'Outages (event ledger)'!$G$2:$G$65,"&gt;="&amp;$B63)</f>
        <v>5</v>
      </c>
      <c r="Z63" s="29" t="n">
        <f aca="false">SUMIFS('Outages (event ledger)'!$H$2:$H$65,'Outages (event ledger)'!$A$2:$A$65,Z$2,'Outages (event ledger)'!$E$2:$E$65,"&lt;="&amp;$B63,'Outages (event ledger)'!$G$2:$G$65,"&gt;="&amp;$B63)</f>
        <v>5</v>
      </c>
      <c r="AA63" s="29" t="n">
        <f aca="false">SUMIFS('Outages (event ledger)'!$H$2:$H$65,'Outages (event ledger)'!$A$2:$A$65,AA$2,'Outages (event ledger)'!$E$2:$E$65,"&lt;="&amp;$B63,'Outages (event ledger)'!$G$2:$G$65,"&gt;="&amp;$B63)</f>
        <v>0</v>
      </c>
      <c r="AB63" s="29" t="n">
        <f aca="false">SUMIFS('Outages (event ledger)'!$H$2:$H$65,'Outages (event ledger)'!$A$2:$A$65,AB$2,'Outages (event ledger)'!$E$2:$E$65,"&lt;="&amp;$B63,'Outages (event ledger)'!$G$2:$G$65,"&gt;="&amp;$B63)</f>
        <v>8</v>
      </c>
      <c r="AC63" s="29" t="n">
        <f aca="false">SUMIFS('Outages (event ledger)'!$H$2:$H$65,'Outages (event ledger)'!$A$2:$A$65,AC$2,'Outages (event ledger)'!$E$2:$E$65,"&lt;="&amp;$B63,'Outages (event ledger)'!$G$2:$G$65,"&gt;="&amp;$B63)</f>
        <v>0</v>
      </c>
      <c r="AD63" s="29" t="n">
        <f aca="false">SUMIFS('Outages (event ledger)'!$H$2:$H$65,'Outages (event ledger)'!$A$2:$A$65,AD$2,'Outages (event ledger)'!$E$2:$E$65,"&lt;="&amp;$B63,'Outages (event ledger)'!$G$2:$G$65,"&gt;="&amp;$B63)</f>
        <v>0</v>
      </c>
      <c r="AE63" s="29" t="n">
        <f aca="false">SUMIFS('Outages (event ledger)'!$H$2:$H$65,'Outages (event ledger)'!$A$2:$A$65,AE$2,'Outages (event ledger)'!$E$2:$E$65,"&lt;="&amp;$B63,'Outages (event ledger)'!$G$2:$G$65,"&gt;="&amp;$B63)</f>
        <v>0</v>
      </c>
      <c r="AF63" s="29" t="n">
        <f aca="false">SUMIFS('Outages (event ledger)'!$H$2:$H$65,'Outages (event ledger)'!$A$2:$A$65,AF$2,'Outages (event ledger)'!$E$2:$E$65,"&lt;="&amp;$B63,'Outages (event ledger)'!$G$2:$G$65,"&gt;="&amp;$B63)</f>
        <v>0</v>
      </c>
      <c r="AG63" s="29" t="n">
        <f aca="false">SUMIFS('Outages (event ledger)'!$H$2:$H$65,'Outages (event ledger)'!$A$2:$A$65,AG$2,'Outages (event ledger)'!$E$2:$E$65,"&lt;="&amp;$B63,'Outages (event ledger)'!$G$2:$G$65,"&gt;="&amp;$B63)</f>
        <v>0</v>
      </c>
      <c r="AH63" s="29" t="n">
        <f aca="false">SUMIFS('Outages (event ledger)'!$H$2:$H$65,'Outages (event ledger)'!$A$2:$A$65,AH$2,'Outages (event ledger)'!$E$2:$E$65,"&lt;="&amp;$B63,'Outages (event ledger)'!$G$2:$G$65,"&gt;="&amp;$B63)</f>
        <v>0</v>
      </c>
      <c r="AI63" s="29" t="n">
        <f aca="false">SUMIFS('Outages (event ledger)'!$H$2:$H$65,'Outages (event ledger)'!$A$2:$A$65,AI$2,'Outages (event ledger)'!$E$2:$E$65,"&lt;="&amp;$B63,'Outages (event ledger)'!$G$2:$G$65,"&gt;="&amp;$B63)</f>
        <v>0</v>
      </c>
      <c r="AJ63" s="29" t="n">
        <f aca="false">SUMIFS('Outages (event ledger)'!$H$2:$H$65,'Outages (event ledger)'!$A$2:$A$65,AJ$2,'Outages (event ledger)'!$E$2:$E$65,"&lt;="&amp;$B63,'Outages (event ledger)'!$G$2:$G$65,"&gt;="&amp;$B63)</f>
        <v>0</v>
      </c>
      <c r="AK63" s="29" t="n">
        <f aca="false">SUMIFS('Outages (event ledger)'!$H$2:$H$65,'Outages (event ledger)'!$A$2:$A$65,AK$2,'Outages (event ledger)'!$E$2:$E$65,"&lt;="&amp;$B63,'Outages (event ledger)'!$G$2:$G$65,"&gt;="&amp;$B63)</f>
        <v>0</v>
      </c>
      <c r="AL63" s="29" t="n">
        <f aca="false">SUMIFS('Outages (event ledger)'!$H$2:$H$65,'Outages (event ledger)'!$A$2:$A$65,AL$2,'Outages (event ledger)'!$E$2:$E$65,"&lt;="&amp;$B63,'Outages (event ledger)'!$G$2:$G$65,"&gt;="&amp;$B63)</f>
        <v>3.5</v>
      </c>
      <c r="AM63" s="29" t="n">
        <f aca="false">SUMIFS('Outages (event ledger)'!$H$2:$H$65,'Outages (event ledger)'!$A$2:$A$65,AM$2,'Outages (event ledger)'!$E$2:$E$65,"&lt;="&amp;$B63,'Outages (event ledger)'!$G$2:$G$65,"&gt;="&amp;$B63)</f>
        <v>0</v>
      </c>
      <c r="AN63" s="29" t="n">
        <f aca="false">SUMIFS('Outages (event ledger)'!$H$2:$H$65,'Outages (event ledger)'!$A$2:$A$65,AN$2,'Outages (event ledger)'!$E$2:$E$65,"&lt;="&amp;$B63,'Outages (event ledger)'!$G$2:$G$65,"&gt;="&amp;$B63)</f>
        <v>0</v>
      </c>
      <c r="AO63" s="29" t="n">
        <f aca="false">SUMIFS('Outages (event ledger)'!$H$2:$H$65,'Outages (event ledger)'!$A$2:$A$65,AO$2,'Outages (event ledger)'!$E$2:$E$65,"&lt;="&amp;$B63,'Outages (event ledger)'!$G$2:$G$65,"&gt;="&amp;$B63)</f>
        <v>0</v>
      </c>
      <c r="AP63" s="29" t="n">
        <f aca="false">SUMIFS('Outages (event ledger)'!$H$2:$H$65,'Outages (event ledger)'!$A$2:$A$65,AP$2,'Outages (event ledger)'!$E$2:$E$65,"&lt;="&amp;$B63,'Outages (event ledger)'!$G$2:$G$65,"&gt;="&amp;$B63)</f>
        <v>0</v>
      </c>
      <c r="AQ63" s="29" t="n">
        <f aca="false">SUMIFS('Outages (event ledger)'!$H$2:$H$65,'Outages (event ledger)'!$A$2:$A$65,AQ$2,'Outages (event ledger)'!$E$2:$E$65,"&lt;="&amp;$B63,'Outages (event ledger)'!$G$2:$G$65,"&gt;="&amp;$B63)</f>
        <v>0</v>
      </c>
      <c r="AR63" s="29" t="n">
        <f aca="false">SUMIFS('Outages (event ledger)'!$H$2:$H$65,'Outages (event ledger)'!$A$2:$A$65,AR$2,'Outages (event ledger)'!$E$2:$E$65,"&lt;="&amp;$B63,'Outages (event ledger)'!$G$2:$G$65,"&gt;="&amp;$B63)</f>
        <v>0</v>
      </c>
      <c r="AS63" s="29" t="n">
        <f aca="false">SUMIFS('Outages (event ledger)'!$H$2:$H$65,'Outages (event ledger)'!$A$2:$A$65,AS$2,'Outages (event ledger)'!$E$2:$E$65,"&lt;="&amp;$B63,'Outages (event ledger)'!$G$2:$G$65,"&gt;="&amp;$B63)</f>
        <v>0</v>
      </c>
      <c r="AT63" s="29" t="n">
        <f aca="false">SUMIFS('Outages (event ledger)'!$H$2:$H$65,'Outages (event ledger)'!$A$2:$A$65,AT$2,'Outages (event ledger)'!$E$2:$E$65,"&lt;="&amp;$B63,'Outages (event ledger)'!$G$2:$G$65,"&gt;="&amp;$B63)</f>
        <v>0</v>
      </c>
      <c r="AU63" s="29" t="n">
        <f aca="false">SUMIFS('Outages (event ledger)'!$H$2:$H$65,'Outages (event ledger)'!$A$2:$A$65,AU$2,'Outages (event ledger)'!$E$2:$E$65,"&lt;="&amp;$B63,'Outages (event ledger)'!$G$2:$G$65,"&gt;="&amp;$B63)</f>
        <v>0</v>
      </c>
      <c r="AV63" s="29" t="n">
        <f aca="false">SUMIFS('Outages (event ledger)'!$H$2:$H$65,'Outages (event ledger)'!$A$2:$A$65,AV$2,'Outages (event ledger)'!$E$2:$E$65,"&lt;="&amp;$B63,'Outages (event ledger)'!$G$2:$G$65,"&gt;="&amp;$B63)</f>
        <v>0</v>
      </c>
      <c r="AW63" s="29" t="n">
        <f aca="false">SUMIFS('Outages (event ledger)'!$H$2:$H$65,'Outages (event ledger)'!$A$2:$A$65,AW$2,'Outages (event ledger)'!$E$2:$E$65,"&lt;="&amp;$B63,'Outages (event ledger)'!$G$2:$G$65,"&gt;="&amp;$B63)</f>
        <v>0</v>
      </c>
      <c r="AX63" s="29" t="n">
        <f aca="false">SUMIFS('Outages (event ledger)'!$H$2:$H$65,'Outages (event ledger)'!$A$2:$A$65,AX$2,'Outages (event ledger)'!$E$2:$E$65,"&lt;="&amp;$B63,'Outages (event ledger)'!$G$2:$G$65,"&gt;="&amp;$B63)</f>
        <v>0</v>
      </c>
      <c r="AY63" s="29" t="n">
        <f aca="false">SUMIFS('Outages (event ledger)'!$H$2:$H$65,'Outages (event ledger)'!$A$2:$A$65,AY$2,'Outages (event ledger)'!$E$2:$E$65,"&lt;="&amp;$B63,'Outages (event ledger)'!$G$2:$G$65,"&gt;="&amp;$B63)</f>
        <v>0</v>
      </c>
      <c r="AZ63" s="29" t="n">
        <f aca="false">SUMIFS('Outages (event ledger)'!$H$2:$H$65,'Outages (event ledger)'!$A$2:$A$65,AZ$2,'Outages (event ledger)'!$E$2:$E$65,"&lt;="&amp;$B63,'Outages (event ledger)'!$G$2:$G$65,"&gt;="&amp;$B63)</f>
        <v>0</v>
      </c>
      <c r="BA63" s="29" t="n">
        <f aca="false">SUMIFS('Outages (event ledger)'!$H$2:$H$65,'Outages (event ledger)'!$A$2:$A$65,BA$2,'Outages (event ledger)'!$E$2:$E$65,"&lt;="&amp;$B63,'Outages (event ledger)'!$G$2:$G$65,"&gt;="&amp;$B63)</f>
        <v>0</v>
      </c>
      <c r="BB63" s="29" t="n">
        <f aca="false">SUMIFS('Outages (event ledger)'!$H$2:$H$65,'Outages (event ledger)'!$A$2:$A$65,BB$2,'Outages (event ledger)'!$E$2:$E$65,"&lt;="&amp;$B63,'Outages (event ledger)'!$G$2:$G$65,"&gt;="&amp;$B63)</f>
        <v>0</v>
      </c>
      <c r="BC63" s="29" t="n">
        <f aca="false">SUMIFS('Outages (event ledger)'!$H$2:$H$65,'Outages (event ledger)'!$A$2:$A$65,BC$2,'Outages (event ledger)'!$E$2:$E$65,"&lt;="&amp;$B63,'Outages (event ledger)'!$G$2:$G$65,"&gt;="&amp;$B63)</f>
        <v>0</v>
      </c>
      <c r="BD63" s="29" t="n">
        <f aca="false">SUMIFS('Outages (event ledger)'!$H$2:$H$65,'Outages (event ledger)'!$A$2:$A$65,BD$2,'Outages (event ledger)'!$E$2:$E$65,"&lt;="&amp;$B63,'Outages (event ledger)'!$G$2:$G$65,"&gt;="&amp;$B63)</f>
        <v>0</v>
      </c>
      <c r="BE63" s="29" t="n">
        <f aca="false">SUMIFS('Outages (event ledger)'!$H$2:$H$65,'Outages (event ledger)'!$A$2:$A$65,BE$2,'Outages (event ledger)'!$E$2:$E$65,"&lt;="&amp;$B63,'Outages (event ledger)'!$G$2:$G$65,"&gt;="&amp;$B63)</f>
        <v>0</v>
      </c>
      <c r="BF63" s="29" t="n">
        <f aca="false">SUMIFS('Outages (event ledger)'!$H$2:$H$65,'Outages (event ledger)'!$A$2:$A$65,BF$2,'Outages (event ledger)'!$E$2:$E$65,"&lt;="&amp;$B63,'Outages (event ledger)'!$G$2:$G$65,"&gt;="&amp;$B63)</f>
        <v>0</v>
      </c>
      <c r="BG63" s="29" t="n">
        <f aca="false">SUMIFS('Outages (event ledger)'!$H$2:$H$65,'Outages (event ledger)'!$A$2:$A$65,BG$2,'Outages (event ledger)'!$E$2:$E$65,"&lt;="&amp;$B63,'Outages (event ledger)'!$G$2:$G$65,"&gt;="&amp;$B63)</f>
        <v>0</v>
      </c>
      <c r="BH63" s="29" t="n">
        <f aca="false">SUMIFS('Outages (event ledger)'!$H$2:$H$65,'Outages (event ledger)'!$A$2:$A$65,BH$2,'Outages (event ledger)'!$E$2:$E$65,"&lt;="&amp;$B63,'Outages (event ledger)'!$G$2:$G$65,"&gt;="&amp;$B63)</f>
        <v>0</v>
      </c>
      <c r="BI63" s="29" t="n">
        <f aca="false">SUMIFS('Outages (event ledger)'!$H$2:$H$65,'Outages (event ledger)'!$A$2:$A$65,BI$2,'Outages (event ledger)'!$E$2:$E$65,"&lt;="&amp;$B63,'Outages (event ledger)'!$G$2:$G$65,"&gt;="&amp;$B63)</f>
        <v>0</v>
      </c>
    </row>
    <row r="64" customFormat="false" ht="15" hidden="false" customHeight="false" outlineLevel="0" collapsed="false">
      <c r="A64" s="27" t="n">
        <v>42036</v>
      </c>
      <c r="B64" s="28" t="n">
        <v>201502</v>
      </c>
      <c r="C64" s="25" t="n">
        <f aca="false">SUM(D64:BI64)</f>
        <v>26.7</v>
      </c>
      <c r="D64" s="29" t="n">
        <f aca="false">SUMIFS('Outages (event ledger)'!$H$2:$H$65,'Outages (event ledger)'!$A$2:$A$65,D$2,'Outages (event ledger)'!$E$2:$E$65,"&lt;="&amp;$B64,'Outages (event ledger)'!$G$2:$G$65,"&gt;="&amp;$B64)</f>
        <v>0</v>
      </c>
      <c r="E64" s="29" t="n">
        <f aca="false">SUMIFS('Outages (event ledger)'!$H$2:$H$65,'Outages (event ledger)'!$A$2:$A$65,E$2,'Outages (event ledger)'!$E$2:$E$65,"&lt;="&amp;$B64,'Outages (event ledger)'!$G$2:$G$65,"&gt;="&amp;$B64)</f>
        <v>0</v>
      </c>
      <c r="F64" s="29" t="n">
        <f aca="false">SUMIFS('Outages (event ledger)'!$H$2:$H$65,'Outages (event ledger)'!$A$2:$A$65,F$2,'Outages (event ledger)'!$E$2:$E$65,"&lt;="&amp;$B64,'Outages (event ledger)'!$G$2:$G$65,"&gt;="&amp;$B64)</f>
        <v>0</v>
      </c>
      <c r="G64" s="29" t="n">
        <f aca="false">SUMIFS('Outages (event ledger)'!$H$2:$H$65,'Outages (event ledger)'!$A$2:$A$65,G$2,'Outages (event ledger)'!$E$2:$E$65,"&lt;="&amp;$B64,'Outages (event ledger)'!$G$2:$G$65,"&gt;="&amp;$B64)</f>
        <v>0</v>
      </c>
      <c r="H64" s="29" t="n">
        <f aca="false">SUMIFS('Outages (event ledger)'!$H$2:$H$65,'Outages (event ledger)'!$A$2:$A$65,H$2,'Outages (event ledger)'!$E$2:$E$65,"&lt;="&amp;$B64,'Outages (event ledger)'!$G$2:$G$65,"&gt;="&amp;$B64)</f>
        <v>5.2</v>
      </c>
      <c r="I64" s="29" t="n">
        <f aca="false">SUMIFS('Outages (event ledger)'!$H$2:$H$65,'Outages (event ledger)'!$A$2:$A$65,I$2,'Outages (event ledger)'!$E$2:$E$65,"&lt;="&amp;$B64,'Outages (event ledger)'!$G$2:$G$65,"&gt;="&amp;$B64)</f>
        <v>0</v>
      </c>
      <c r="J64" s="29" t="n">
        <f aca="false">SUMIFS('Outages (event ledger)'!$H$2:$H$65,'Outages (event ledger)'!$A$2:$A$65,J$2,'Outages (event ledger)'!$E$2:$E$65,"&lt;="&amp;$B64,'Outages (event ledger)'!$G$2:$G$65,"&gt;="&amp;$B64)</f>
        <v>0</v>
      </c>
      <c r="K64" s="29" t="n">
        <f aca="false">SUMIFS('Outages (event ledger)'!$H$2:$H$65,'Outages (event ledger)'!$A$2:$A$65,K$2,'Outages (event ledger)'!$E$2:$E$65,"&lt;="&amp;$B64,'Outages (event ledger)'!$G$2:$G$65,"&gt;="&amp;$B64)</f>
        <v>0</v>
      </c>
      <c r="L64" s="29" t="n">
        <f aca="false">SUMIFS('Outages (event ledger)'!$H$2:$H$65,'Outages (event ledger)'!$A$2:$A$65,L$2,'Outages (event ledger)'!$E$2:$E$65,"&lt;="&amp;$B64,'Outages (event ledger)'!$G$2:$G$65,"&gt;="&amp;$B64)</f>
        <v>0</v>
      </c>
      <c r="M64" s="29" t="n">
        <f aca="false">SUMIFS('Outages (event ledger)'!$H$2:$H$65,'Outages (event ledger)'!$A$2:$A$65,M$2,'Outages (event ledger)'!$E$2:$E$65,"&lt;="&amp;$B64,'Outages (event ledger)'!$G$2:$G$65,"&gt;="&amp;$B64)</f>
        <v>0</v>
      </c>
      <c r="N64" s="29" t="n">
        <f aca="false">SUMIFS('Outages (event ledger)'!$H$2:$H$65,'Outages (event ledger)'!$A$2:$A$65,N$2,'Outages (event ledger)'!$E$2:$E$65,"&lt;="&amp;$B64,'Outages (event ledger)'!$G$2:$G$65,"&gt;="&amp;$B64)</f>
        <v>0</v>
      </c>
      <c r="O64" s="29" t="n">
        <f aca="false">SUMIFS('Outages (event ledger)'!$H$2:$H$65,'Outages (event ledger)'!$A$2:$A$65,O$2,'Outages (event ledger)'!$E$2:$E$65,"&lt;="&amp;$B64,'Outages (event ledger)'!$G$2:$G$65,"&gt;="&amp;$B64)</f>
        <v>0</v>
      </c>
      <c r="P64" s="29" t="n">
        <f aca="false">SUMIFS('Outages (event ledger)'!$H$2:$H$65,'Outages (event ledger)'!$A$2:$A$65,P$2,'Outages (event ledger)'!$E$2:$E$65,"&lt;="&amp;$B64,'Outages (event ledger)'!$G$2:$G$65,"&gt;="&amp;$B64)</f>
        <v>0</v>
      </c>
      <c r="Q64" s="29" t="n">
        <f aca="false">SUMIFS('Outages (event ledger)'!$H$2:$H$65,'Outages (event ledger)'!$A$2:$A$65,Q$2,'Outages (event ledger)'!$E$2:$E$65,"&lt;="&amp;$B64,'Outages (event ledger)'!$G$2:$G$65,"&gt;="&amp;$B64)</f>
        <v>0</v>
      </c>
      <c r="R64" s="29" t="n">
        <f aca="false">SUMIFS('Outages (event ledger)'!$H$2:$H$65,'Outages (event ledger)'!$A$2:$A$65,R$2,'Outages (event ledger)'!$E$2:$E$65,"&lt;="&amp;$B64,'Outages (event ledger)'!$G$2:$G$65,"&gt;="&amp;$B64)</f>
        <v>0</v>
      </c>
      <c r="S64" s="29" t="n">
        <f aca="false">SUMIFS('Outages (event ledger)'!$H$2:$H$65,'Outages (event ledger)'!$A$2:$A$65,S$2,'Outages (event ledger)'!$E$2:$E$65,"&lt;="&amp;$B64,'Outages (event ledger)'!$G$2:$G$65,"&gt;="&amp;$B64)</f>
        <v>0</v>
      </c>
      <c r="T64" s="29" t="n">
        <f aca="false">SUMIFS('Outages (event ledger)'!$H$2:$H$65,'Outages (event ledger)'!$A$2:$A$65,T$2,'Outages (event ledger)'!$E$2:$E$65,"&lt;="&amp;$B64,'Outages (event ledger)'!$G$2:$G$65,"&gt;="&amp;$B64)</f>
        <v>0</v>
      </c>
      <c r="U64" s="29" t="n">
        <f aca="false">SUMIFS('Outages (event ledger)'!$H$2:$H$65,'Outages (event ledger)'!$A$2:$A$65,U$2,'Outages (event ledger)'!$E$2:$E$65,"&lt;="&amp;$B64,'Outages (event ledger)'!$G$2:$G$65,"&gt;="&amp;$B64)</f>
        <v>0</v>
      </c>
      <c r="V64" s="29" t="n">
        <f aca="false">SUMIFS('Outages (event ledger)'!$H$2:$H$65,'Outages (event ledger)'!$A$2:$A$65,V$2,'Outages (event ledger)'!$E$2:$E$65,"&lt;="&amp;$B64,'Outages (event ledger)'!$G$2:$G$65,"&gt;="&amp;$B64)</f>
        <v>0</v>
      </c>
      <c r="W64" s="29" t="n">
        <f aca="false">SUMIFS('Outages (event ledger)'!$H$2:$H$65,'Outages (event ledger)'!$A$2:$A$65,W$2,'Outages (event ledger)'!$E$2:$E$65,"&lt;="&amp;$B64,'Outages (event ledger)'!$G$2:$G$65,"&gt;="&amp;$B64)</f>
        <v>0</v>
      </c>
      <c r="X64" s="29" t="n">
        <f aca="false">SUMIFS('Outages (event ledger)'!$H$2:$H$65,'Outages (event ledger)'!$A$2:$A$65,X$2,'Outages (event ledger)'!$E$2:$E$65,"&lt;="&amp;$B64,'Outages (event ledger)'!$G$2:$G$65,"&gt;="&amp;$B64)</f>
        <v>0</v>
      </c>
      <c r="Y64" s="29" t="n">
        <f aca="false">SUMIFS('Outages (event ledger)'!$H$2:$H$65,'Outages (event ledger)'!$A$2:$A$65,Y$2,'Outages (event ledger)'!$E$2:$E$65,"&lt;="&amp;$B64,'Outages (event ledger)'!$G$2:$G$65,"&gt;="&amp;$B64)</f>
        <v>5</v>
      </c>
      <c r="Z64" s="29" t="n">
        <f aca="false">SUMIFS('Outages (event ledger)'!$H$2:$H$65,'Outages (event ledger)'!$A$2:$A$65,Z$2,'Outages (event ledger)'!$E$2:$E$65,"&lt;="&amp;$B64,'Outages (event ledger)'!$G$2:$G$65,"&gt;="&amp;$B64)</f>
        <v>5</v>
      </c>
      <c r="AA64" s="29" t="n">
        <f aca="false">SUMIFS('Outages (event ledger)'!$H$2:$H$65,'Outages (event ledger)'!$A$2:$A$65,AA$2,'Outages (event ledger)'!$E$2:$E$65,"&lt;="&amp;$B64,'Outages (event ledger)'!$G$2:$G$65,"&gt;="&amp;$B64)</f>
        <v>0</v>
      </c>
      <c r="AB64" s="29" t="n">
        <f aca="false">SUMIFS('Outages (event ledger)'!$H$2:$H$65,'Outages (event ledger)'!$A$2:$A$65,AB$2,'Outages (event ledger)'!$E$2:$E$65,"&lt;="&amp;$B64,'Outages (event ledger)'!$G$2:$G$65,"&gt;="&amp;$B64)</f>
        <v>8</v>
      </c>
      <c r="AC64" s="29" t="n">
        <f aca="false">SUMIFS('Outages (event ledger)'!$H$2:$H$65,'Outages (event ledger)'!$A$2:$A$65,AC$2,'Outages (event ledger)'!$E$2:$E$65,"&lt;="&amp;$B64,'Outages (event ledger)'!$G$2:$G$65,"&gt;="&amp;$B64)</f>
        <v>0</v>
      </c>
      <c r="AD64" s="29" t="n">
        <f aca="false">SUMIFS('Outages (event ledger)'!$H$2:$H$65,'Outages (event ledger)'!$A$2:$A$65,AD$2,'Outages (event ledger)'!$E$2:$E$65,"&lt;="&amp;$B64,'Outages (event ledger)'!$G$2:$G$65,"&gt;="&amp;$B64)</f>
        <v>0</v>
      </c>
      <c r="AE64" s="29" t="n">
        <f aca="false">SUMIFS('Outages (event ledger)'!$H$2:$H$65,'Outages (event ledger)'!$A$2:$A$65,AE$2,'Outages (event ledger)'!$E$2:$E$65,"&lt;="&amp;$B64,'Outages (event ledger)'!$G$2:$G$65,"&gt;="&amp;$B64)</f>
        <v>0</v>
      </c>
      <c r="AF64" s="29" t="n">
        <f aca="false">SUMIFS('Outages (event ledger)'!$H$2:$H$65,'Outages (event ledger)'!$A$2:$A$65,AF$2,'Outages (event ledger)'!$E$2:$E$65,"&lt;="&amp;$B64,'Outages (event ledger)'!$G$2:$G$65,"&gt;="&amp;$B64)</f>
        <v>0</v>
      </c>
      <c r="AG64" s="29" t="n">
        <f aca="false">SUMIFS('Outages (event ledger)'!$H$2:$H$65,'Outages (event ledger)'!$A$2:$A$65,AG$2,'Outages (event ledger)'!$E$2:$E$65,"&lt;="&amp;$B64,'Outages (event ledger)'!$G$2:$G$65,"&gt;="&amp;$B64)</f>
        <v>0</v>
      </c>
      <c r="AH64" s="29" t="n">
        <f aca="false">SUMIFS('Outages (event ledger)'!$H$2:$H$65,'Outages (event ledger)'!$A$2:$A$65,AH$2,'Outages (event ledger)'!$E$2:$E$65,"&lt;="&amp;$B64,'Outages (event ledger)'!$G$2:$G$65,"&gt;="&amp;$B64)</f>
        <v>0</v>
      </c>
      <c r="AI64" s="29" t="n">
        <f aca="false">SUMIFS('Outages (event ledger)'!$H$2:$H$65,'Outages (event ledger)'!$A$2:$A$65,AI$2,'Outages (event ledger)'!$E$2:$E$65,"&lt;="&amp;$B64,'Outages (event ledger)'!$G$2:$G$65,"&gt;="&amp;$B64)</f>
        <v>0</v>
      </c>
      <c r="AJ64" s="29" t="n">
        <f aca="false">SUMIFS('Outages (event ledger)'!$H$2:$H$65,'Outages (event ledger)'!$A$2:$A$65,AJ$2,'Outages (event ledger)'!$E$2:$E$65,"&lt;="&amp;$B64,'Outages (event ledger)'!$G$2:$G$65,"&gt;="&amp;$B64)</f>
        <v>0</v>
      </c>
      <c r="AK64" s="29" t="n">
        <f aca="false">SUMIFS('Outages (event ledger)'!$H$2:$H$65,'Outages (event ledger)'!$A$2:$A$65,AK$2,'Outages (event ledger)'!$E$2:$E$65,"&lt;="&amp;$B64,'Outages (event ledger)'!$G$2:$G$65,"&gt;="&amp;$B64)</f>
        <v>0</v>
      </c>
      <c r="AL64" s="29" t="n">
        <f aca="false">SUMIFS('Outages (event ledger)'!$H$2:$H$65,'Outages (event ledger)'!$A$2:$A$65,AL$2,'Outages (event ledger)'!$E$2:$E$65,"&lt;="&amp;$B64,'Outages (event ledger)'!$G$2:$G$65,"&gt;="&amp;$B64)</f>
        <v>3.5</v>
      </c>
      <c r="AM64" s="29" t="n">
        <f aca="false">SUMIFS('Outages (event ledger)'!$H$2:$H$65,'Outages (event ledger)'!$A$2:$A$65,AM$2,'Outages (event ledger)'!$E$2:$E$65,"&lt;="&amp;$B64,'Outages (event ledger)'!$G$2:$G$65,"&gt;="&amp;$B64)</f>
        <v>0</v>
      </c>
      <c r="AN64" s="29" t="n">
        <f aca="false">SUMIFS('Outages (event ledger)'!$H$2:$H$65,'Outages (event ledger)'!$A$2:$A$65,AN$2,'Outages (event ledger)'!$E$2:$E$65,"&lt;="&amp;$B64,'Outages (event ledger)'!$G$2:$G$65,"&gt;="&amp;$B64)</f>
        <v>0</v>
      </c>
      <c r="AO64" s="29" t="n">
        <f aca="false">SUMIFS('Outages (event ledger)'!$H$2:$H$65,'Outages (event ledger)'!$A$2:$A$65,AO$2,'Outages (event ledger)'!$E$2:$E$65,"&lt;="&amp;$B64,'Outages (event ledger)'!$G$2:$G$65,"&gt;="&amp;$B64)</f>
        <v>0</v>
      </c>
      <c r="AP64" s="29" t="n">
        <f aca="false">SUMIFS('Outages (event ledger)'!$H$2:$H$65,'Outages (event ledger)'!$A$2:$A$65,AP$2,'Outages (event ledger)'!$E$2:$E$65,"&lt;="&amp;$B64,'Outages (event ledger)'!$G$2:$G$65,"&gt;="&amp;$B64)</f>
        <v>0</v>
      </c>
      <c r="AQ64" s="29" t="n">
        <f aca="false">SUMIFS('Outages (event ledger)'!$H$2:$H$65,'Outages (event ledger)'!$A$2:$A$65,AQ$2,'Outages (event ledger)'!$E$2:$E$65,"&lt;="&amp;$B64,'Outages (event ledger)'!$G$2:$G$65,"&gt;="&amp;$B64)</f>
        <v>0</v>
      </c>
      <c r="AR64" s="29" t="n">
        <f aca="false">SUMIFS('Outages (event ledger)'!$H$2:$H$65,'Outages (event ledger)'!$A$2:$A$65,AR$2,'Outages (event ledger)'!$E$2:$E$65,"&lt;="&amp;$B64,'Outages (event ledger)'!$G$2:$G$65,"&gt;="&amp;$B64)</f>
        <v>0</v>
      </c>
      <c r="AS64" s="29" t="n">
        <f aca="false">SUMIFS('Outages (event ledger)'!$H$2:$H$65,'Outages (event ledger)'!$A$2:$A$65,AS$2,'Outages (event ledger)'!$E$2:$E$65,"&lt;="&amp;$B64,'Outages (event ledger)'!$G$2:$G$65,"&gt;="&amp;$B64)</f>
        <v>0</v>
      </c>
      <c r="AT64" s="29" t="n">
        <f aca="false">SUMIFS('Outages (event ledger)'!$H$2:$H$65,'Outages (event ledger)'!$A$2:$A$65,AT$2,'Outages (event ledger)'!$E$2:$E$65,"&lt;="&amp;$B64,'Outages (event ledger)'!$G$2:$G$65,"&gt;="&amp;$B64)</f>
        <v>0</v>
      </c>
      <c r="AU64" s="29" t="n">
        <f aca="false">SUMIFS('Outages (event ledger)'!$H$2:$H$65,'Outages (event ledger)'!$A$2:$A$65,AU$2,'Outages (event ledger)'!$E$2:$E$65,"&lt;="&amp;$B64,'Outages (event ledger)'!$G$2:$G$65,"&gt;="&amp;$B64)</f>
        <v>0</v>
      </c>
      <c r="AV64" s="29" t="n">
        <f aca="false">SUMIFS('Outages (event ledger)'!$H$2:$H$65,'Outages (event ledger)'!$A$2:$A$65,AV$2,'Outages (event ledger)'!$E$2:$E$65,"&lt;="&amp;$B64,'Outages (event ledger)'!$G$2:$G$65,"&gt;="&amp;$B64)</f>
        <v>0</v>
      </c>
      <c r="AW64" s="29" t="n">
        <f aca="false">SUMIFS('Outages (event ledger)'!$H$2:$H$65,'Outages (event ledger)'!$A$2:$A$65,AW$2,'Outages (event ledger)'!$E$2:$E$65,"&lt;="&amp;$B64,'Outages (event ledger)'!$G$2:$G$65,"&gt;="&amp;$B64)</f>
        <v>0</v>
      </c>
      <c r="AX64" s="29" t="n">
        <f aca="false">SUMIFS('Outages (event ledger)'!$H$2:$H$65,'Outages (event ledger)'!$A$2:$A$65,AX$2,'Outages (event ledger)'!$E$2:$E$65,"&lt;="&amp;$B64,'Outages (event ledger)'!$G$2:$G$65,"&gt;="&amp;$B64)</f>
        <v>0</v>
      </c>
      <c r="AY64" s="29" t="n">
        <f aca="false">SUMIFS('Outages (event ledger)'!$H$2:$H$65,'Outages (event ledger)'!$A$2:$A$65,AY$2,'Outages (event ledger)'!$E$2:$E$65,"&lt;="&amp;$B64,'Outages (event ledger)'!$G$2:$G$65,"&gt;="&amp;$B64)</f>
        <v>0</v>
      </c>
      <c r="AZ64" s="29" t="n">
        <f aca="false">SUMIFS('Outages (event ledger)'!$H$2:$H$65,'Outages (event ledger)'!$A$2:$A$65,AZ$2,'Outages (event ledger)'!$E$2:$E$65,"&lt;="&amp;$B64,'Outages (event ledger)'!$G$2:$G$65,"&gt;="&amp;$B64)</f>
        <v>0</v>
      </c>
      <c r="BA64" s="29" t="n">
        <f aca="false">SUMIFS('Outages (event ledger)'!$H$2:$H$65,'Outages (event ledger)'!$A$2:$A$65,BA$2,'Outages (event ledger)'!$E$2:$E$65,"&lt;="&amp;$B64,'Outages (event ledger)'!$G$2:$G$65,"&gt;="&amp;$B64)</f>
        <v>0</v>
      </c>
      <c r="BB64" s="29" t="n">
        <f aca="false">SUMIFS('Outages (event ledger)'!$H$2:$H$65,'Outages (event ledger)'!$A$2:$A$65,BB$2,'Outages (event ledger)'!$E$2:$E$65,"&lt;="&amp;$B64,'Outages (event ledger)'!$G$2:$G$65,"&gt;="&amp;$B64)</f>
        <v>0</v>
      </c>
      <c r="BC64" s="29" t="n">
        <f aca="false">SUMIFS('Outages (event ledger)'!$H$2:$H$65,'Outages (event ledger)'!$A$2:$A$65,BC$2,'Outages (event ledger)'!$E$2:$E$65,"&lt;="&amp;$B64,'Outages (event ledger)'!$G$2:$G$65,"&gt;="&amp;$B64)</f>
        <v>0</v>
      </c>
      <c r="BD64" s="29" t="n">
        <f aca="false">SUMIFS('Outages (event ledger)'!$H$2:$H$65,'Outages (event ledger)'!$A$2:$A$65,BD$2,'Outages (event ledger)'!$E$2:$E$65,"&lt;="&amp;$B64,'Outages (event ledger)'!$G$2:$G$65,"&gt;="&amp;$B64)</f>
        <v>0</v>
      </c>
      <c r="BE64" s="29" t="n">
        <f aca="false">SUMIFS('Outages (event ledger)'!$H$2:$H$65,'Outages (event ledger)'!$A$2:$A$65,BE$2,'Outages (event ledger)'!$E$2:$E$65,"&lt;="&amp;$B64,'Outages (event ledger)'!$G$2:$G$65,"&gt;="&amp;$B64)</f>
        <v>0</v>
      </c>
      <c r="BF64" s="29" t="n">
        <f aca="false">SUMIFS('Outages (event ledger)'!$H$2:$H$65,'Outages (event ledger)'!$A$2:$A$65,BF$2,'Outages (event ledger)'!$E$2:$E$65,"&lt;="&amp;$B64,'Outages (event ledger)'!$G$2:$G$65,"&gt;="&amp;$B64)</f>
        <v>0</v>
      </c>
      <c r="BG64" s="29" t="n">
        <f aca="false">SUMIFS('Outages (event ledger)'!$H$2:$H$65,'Outages (event ledger)'!$A$2:$A$65,BG$2,'Outages (event ledger)'!$E$2:$E$65,"&lt;="&amp;$B64,'Outages (event ledger)'!$G$2:$G$65,"&gt;="&amp;$B64)</f>
        <v>0</v>
      </c>
      <c r="BH64" s="29" t="n">
        <f aca="false">SUMIFS('Outages (event ledger)'!$H$2:$H$65,'Outages (event ledger)'!$A$2:$A$65,BH$2,'Outages (event ledger)'!$E$2:$E$65,"&lt;="&amp;$B64,'Outages (event ledger)'!$G$2:$G$65,"&gt;="&amp;$B64)</f>
        <v>0</v>
      </c>
      <c r="BI64" s="29" t="n">
        <f aca="false">SUMIFS('Outages (event ledger)'!$H$2:$H$65,'Outages (event ledger)'!$A$2:$A$65,BI$2,'Outages (event ledger)'!$E$2:$E$65,"&lt;="&amp;$B64,'Outages (event ledger)'!$G$2:$G$65,"&gt;="&amp;$B64)</f>
        <v>0</v>
      </c>
    </row>
    <row r="65" customFormat="false" ht="15" hidden="false" customHeight="false" outlineLevel="0" collapsed="false">
      <c r="A65" s="27" t="n">
        <v>42064</v>
      </c>
      <c r="B65" s="28" t="n">
        <v>201503</v>
      </c>
      <c r="C65" s="25" t="n">
        <f aca="false">SUM(D65:BI65)</f>
        <v>26.7</v>
      </c>
      <c r="D65" s="29" t="n">
        <f aca="false">SUMIFS('Outages (event ledger)'!$H$2:$H$65,'Outages (event ledger)'!$A$2:$A$65,D$2,'Outages (event ledger)'!$E$2:$E$65,"&lt;="&amp;$B65,'Outages (event ledger)'!$G$2:$G$65,"&gt;="&amp;$B65)</f>
        <v>0</v>
      </c>
      <c r="E65" s="29" t="n">
        <f aca="false">SUMIFS('Outages (event ledger)'!$H$2:$H$65,'Outages (event ledger)'!$A$2:$A$65,E$2,'Outages (event ledger)'!$E$2:$E$65,"&lt;="&amp;$B65,'Outages (event ledger)'!$G$2:$G$65,"&gt;="&amp;$B65)</f>
        <v>0</v>
      </c>
      <c r="F65" s="29" t="n">
        <f aca="false">SUMIFS('Outages (event ledger)'!$H$2:$H$65,'Outages (event ledger)'!$A$2:$A$65,F$2,'Outages (event ledger)'!$E$2:$E$65,"&lt;="&amp;$B65,'Outages (event ledger)'!$G$2:$G$65,"&gt;="&amp;$B65)</f>
        <v>0</v>
      </c>
      <c r="G65" s="29" t="n">
        <f aca="false">SUMIFS('Outages (event ledger)'!$H$2:$H$65,'Outages (event ledger)'!$A$2:$A$65,G$2,'Outages (event ledger)'!$E$2:$E$65,"&lt;="&amp;$B65,'Outages (event ledger)'!$G$2:$G$65,"&gt;="&amp;$B65)</f>
        <v>0</v>
      </c>
      <c r="H65" s="29" t="n">
        <f aca="false">SUMIFS('Outages (event ledger)'!$H$2:$H$65,'Outages (event ledger)'!$A$2:$A$65,H$2,'Outages (event ledger)'!$E$2:$E$65,"&lt;="&amp;$B65,'Outages (event ledger)'!$G$2:$G$65,"&gt;="&amp;$B65)</f>
        <v>5.2</v>
      </c>
      <c r="I65" s="29" t="n">
        <f aca="false">SUMIFS('Outages (event ledger)'!$H$2:$H$65,'Outages (event ledger)'!$A$2:$A$65,I$2,'Outages (event ledger)'!$E$2:$E$65,"&lt;="&amp;$B65,'Outages (event ledger)'!$G$2:$G$65,"&gt;="&amp;$B65)</f>
        <v>0</v>
      </c>
      <c r="J65" s="29" t="n">
        <f aca="false">SUMIFS('Outages (event ledger)'!$H$2:$H$65,'Outages (event ledger)'!$A$2:$A$65,J$2,'Outages (event ledger)'!$E$2:$E$65,"&lt;="&amp;$B65,'Outages (event ledger)'!$G$2:$G$65,"&gt;="&amp;$B65)</f>
        <v>0</v>
      </c>
      <c r="K65" s="29" t="n">
        <f aca="false">SUMIFS('Outages (event ledger)'!$H$2:$H$65,'Outages (event ledger)'!$A$2:$A$65,K$2,'Outages (event ledger)'!$E$2:$E$65,"&lt;="&amp;$B65,'Outages (event ledger)'!$G$2:$G$65,"&gt;="&amp;$B65)</f>
        <v>0</v>
      </c>
      <c r="L65" s="29" t="n">
        <f aca="false">SUMIFS('Outages (event ledger)'!$H$2:$H$65,'Outages (event ledger)'!$A$2:$A$65,L$2,'Outages (event ledger)'!$E$2:$E$65,"&lt;="&amp;$B65,'Outages (event ledger)'!$G$2:$G$65,"&gt;="&amp;$B65)</f>
        <v>0</v>
      </c>
      <c r="M65" s="29" t="n">
        <f aca="false">SUMIFS('Outages (event ledger)'!$H$2:$H$65,'Outages (event ledger)'!$A$2:$A$65,M$2,'Outages (event ledger)'!$E$2:$E$65,"&lt;="&amp;$B65,'Outages (event ledger)'!$G$2:$G$65,"&gt;="&amp;$B65)</f>
        <v>0</v>
      </c>
      <c r="N65" s="29" t="n">
        <f aca="false">SUMIFS('Outages (event ledger)'!$H$2:$H$65,'Outages (event ledger)'!$A$2:$A$65,N$2,'Outages (event ledger)'!$E$2:$E$65,"&lt;="&amp;$B65,'Outages (event ledger)'!$G$2:$G$65,"&gt;="&amp;$B65)</f>
        <v>0</v>
      </c>
      <c r="O65" s="29" t="n">
        <f aca="false">SUMIFS('Outages (event ledger)'!$H$2:$H$65,'Outages (event ledger)'!$A$2:$A$65,O$2,'Outages (event ledger)'!$E$2:$E$65,"&lt;="&amp;$B65,'Outages (event ledger)'!$G$2:$G$65,"&gt;="&amp;$B65)</f>
        <v>0</v>
      </c>
      <c r="P65" s="29" t="n">
        <f aca="false">SUMIFS('Outages (event ledger)'!$H$2:$H$65,'Outages (event ledger)'!$A$2:$A$65,P$2,'Outages (event ledger)'!$E$2:$E$65,"&lt;="&amp;$B65,'Outages (event ledger)'!$G$2:$G$65,"&gt;="&amp;$B65)</f>
        <v>0</v>
      </c>
      <c r="Q65" s="29" t="n">
        <f aca="false">SUMIFS('Outages (event ledger)'!$H$2:$H$65,'Outages (event ledger)'!$A$2:$A$65,Q$2,'Outages (event ledger)'!$E$2:$E$65,"&lt;="&amp;$B65,'Outages (event ledger)'!$G$2:$G$65,"&gt;="&amp;$B65)</f>
        <v>0</v>
      </c>
      <c r="R65" s="29" t="n">
        <f aca="false">SUMIFS('Outages (event ledger)'!$H$2:$H$65,'Outages (event ledger)'!$A$2:$A$65,R$2,'Outages (event ledger)'!$E$2:$E$65,"&lt;="&amp;$B65,'Outages (event ledger)'!$G$2:$G$65,"&gt;="&amp;$B65)</f>
        <v>0</v>
      </c>
      <c r="S65" s="29" t="n">
        <f aca="false">SUMIFS('Outages (event ledger)'!$H$2:$H$65,'Outages (event ledger)'!$A$2:$A$65,S$2,'Outages (event ledger)'!$E$2:$E$65,"&lt;="&amp;$B65,'Outages (event ledger)'!$G$2:$G$65,"&gt;="&amp;$B65)</f>
        <v>0</v>
      </c>
      <c r="T65" s="29" t="n">
        <f aca="false">SUMIFS('Outages (event ledger)'!$H$2:$H$65,'Outages (event ledger)'!$A$2:$A$65,T$2,'Outages (event ledger)'!$E$2:$E$65,"&lt;="&amp;$B65,'Outages (event ledger)'!$G$2:$G$65,"&gt;="&amp;$B65)</f>
        <v>0</v>
      </c>
      <c r="U65" s="29" t="n">
        <f aca="false">SUMIFS('Outages (event ledger)'!$H$2:$H$65,'Outages (event ledger)'!$A$2:$A$65,U$2,'Outages (event ledger)'!$E$2:$E$65,"&lt;="&amp;$B65,'Outages (event ledger)'!$G$2:$G$65,"&gt;="&amp;$B65)</f>
        <v>0</v>
      </c>
      <c r="V65" s="29" t="n">
        <f aca="false">SUMIFS('Outages (event ledger)'!$H$2:$H$65,'Outages (event ledger)'!$A$2:$A$65,V$2,'Outages (event ledger)'!$E$2:$E$65,"&lt;="&amp;$B65,'Outages (event ledger)'!$G$2:$G$65,"&gt;="&amp;$B65)</f>
        <v>0</v>
      </c>
      <c r="W65" s="29" t="n">
        <f aca="false">SUMIFS('Outages (event ledger)'!$H$2:$H$65,'Outages (event ledger)'!$A$2:$A$65,W$2,'Outages (event ledger)'!$E$2:$E$65,"&lt;="&amp;$B65,'Outages (event ledger)'!$G$2:$G$65,"&gt;="&amp;$B65)</f>
        <v>0</v>
      </c>
      <c r="X65" s="29" t="n">
        <f aca="false">SUMIFS('Outages (event ledger)'!$H$2:$H$65,'Outages (event ledger)'!$A$2:$A$65,X$2,'Outages (event ledger)'!$E$2:$E$65,"&lt;="&amp;$B65,'Outages (event ledger)'!$G$2:$G$65,"&gt;="&amp;$B65)</f>
        <v>0</v>
      </c>
      <c r="Y65" s="29" t="n">
        <f aca="false">SUMIFS('Outages (event ledger)'!$H$2:$H$65,'Outages (event ledger)'!$A$2:$A$65,Y$2,'Outages (event ledger)'!$E$2:$E$65,"&lt;="&amp;$B65,'Outages (event ledger)'!$G$2:$G$65,"&gt;="&amp;$B65)</f>
        <v>5</v>
      </c>
      <c r="Z65" s="29" t="n">
        <f aca="false">SUMIFS('Outages (event ledger)'!$H$2:$H$65,'Outages (event ledger)'!$A$2:$A$65,Z$2,'Outages (event ledger)'!$E$2:$E$65,"&lt;="&amp;$B65,'Outages (event ledger)'!$G$2:$G$65,"&gt;="&amp;$B65)</f>
        <v>5</v>
      </c>
      <c r="AA65" s="29" t="n">
        <f aca="false">SUMIFS('Outages (event ledger)'!$H$2:$H$65,'Outages (event ledger)'!$A$2:$A$65,AA$2,'Outages (event ledger)'!$E$2:$E$65,"&lt;="&amp;$B65,'Outages (event ledger)'!$G$2:$G$65,"&gt;="&amp;$B65)</f>
        <v>0</v>
      </c>
      <c r="AB65" s="29" t="n">
        <f aca="false">SUMIFS('Outages (event ledger)'!$H$2:$H$65,'Outages (event ledger)'!$A$2:$A$65,AB$2,'Outages (event ledger)'!$E$2:$E$65,"&lt;="&amp;$B65,'Outages (event ledger)'!$G$2:$G$65,"&gt;="&amp;$B65)</f>
        <v>8</v>
      </c>
      <c r="AC65" s="29" t="n">
        <f aca="false">SUMIFS('Outages (event ledger)'!$H$2:$H$65,'Outages (event ledger)'!$A$2:$A$65,AC$2,'Outages (event ledger)'!$E$2:$E$65,"&lt;="&amp;$B65,'Outages (event ledger)'!$G$2:$G$65,"&gt;="&amp;$B65)</f>
        <v>0</v>
      </c>
      <c r="AD65" s="29" t="n">
        <f aca="false">SUMIFS('Outages (event ledger)'!$H$2:$H$65,'Outages (event ledger)'!$A$2:$A$65,AD$2,'Outages (event ledger)'!$E$2:$E$65,"&lt;="&amp;$B65,'Outages (event ledger)'!$G$2:$G$65,"&gt;="&amp;$B65)</f>
        <v>0</v>
      </c>
      <c r="AE65" s="29" t="n">
        <f aca="false">SUMIFS('Outages (event ledger)'!$H$2:$H$65,'Outages (event ledger)'!$A$2:$A$65,AE$2,'Outages (event ledger)'!$E$2:$E$65,"&lt;="&amp;$B65,'Outages (event ledger)'!$G$2:$G$65,"&gt;="&amp;$B65)</f>
        <v>0</v>
      </c>
      <c r="AF65" s="29" t="n">
        <f aca="false">SUMIFS('Outages (event ledger)'!$H$2:$H$65,'Outages (event ledger)'!$A$2:$A$65,AF$2,'Outages (event ledger)'!$E$2:$E$65,"&lt;="&amp;$B65,'Outages (event ledger)'!$G$2:$G$65,"&gt;="&amp;$B65)</f>
        <v>0</v>
      </c>
      <c r="AG65" s="29" t="n">
        <f aca="false">SUMIFS('Outages (event ledger)'!$H$2:$H$65,'Outages (event ledger)'!$A$2:$A$65,AG$2,'Outages (event ledger)'!$E$2:$E$65,"&lt;="&amp;$B65,'Outages (event ledger)'!$G$2:$G$65,"&gt;="&amp;$B65)</f>
        <v>0</v>
      </c>
      <c r="AH65" s="29" t="n">
        <f aca="false">SUMIFS('Outages (event ledger)'!$H$2:$H$65,'Outages (event ledger)'!$A$2:$A$65,AH$2,'Outages (event ledger)'!$E$2:$E$65,"&lt;="&amp;$B65,'Outages (event ledger)'!$G$2:$G$65,"&gt;="&amp;$B65)</f>
        <v>0</v>
      </c>
      <c r="AI65" s="29" t="n">
        <f aca="false">SUMIFS('Outages (event ledger)'!$H$2:$H$65,'Outages (event ledger)'!$A$2:$A$65,AI$2,'Outages (event ledger)'!$E$2:$E$65,"&lt;="&amp;$B65,'Outages (event ledger)'!$G$2:$G$65,"&gt;="&amp;$B65)</f>
        <v>0</v>
      </c>
      <c r="AJ65" s="29" t="n">
        <f aca="false">SUMIFS('Outages (event ledger)'!$H$2:$H$65,'Outages (event ledger)'!$A$2:$A$65,AJ$2,'Outages (event ledger)'!$E$2:$E$65,"&lt;="&amp;$B65,'Outages (event ledger)'!$G$2:$G$65,"&gt;="&amp;$B65)</f>
        <v>0</v>
      </c>
      <c r="AK65" s="29" t="n">
        <f aca="false">SUMIFS('Outages (event ledger)'!$H$2:$H$65,'Outages (event ledger)'!$A$2:$A$65,AK$2,'Outages (event ledger)'!$E$2:$E$65,"&lt;="&amp;$B65,'Outages (event ledger)'!$G$2:$G$65,"&gt;="&amp;$B65)</f>
        <v>0</v>
      </c>
      <c r="AL65" s="29" t="n">
        <f aca="false">SUMIFS('Outages (event ledger)'!$H$2:$H$65,'Outages (event ledger)'!$A$2:$A$65,AL$2,'Outages (event ledger)'!$E$2:$E$65,"&lt;="&amp;$B65,'Outages (event ledger)'!$G$2:$G$65,"&gt;="&amp;$B65)</f>
        <v>3.5</v>
      </c>
      <c r="AM65" s="29" t="n">
        <f aca="false">SUMIFS('Outages (event ledger)'!$H$2:$H$65,'Outages (event ledger)'!$A$2:$A$65,AM$2,'Outages (event ledger)'!$E$2:$E$65,"&lt;="&amp;$B65,'Outages (event ledger)'!$G$2:$G$65,"&gt;="&amp;$B65)</f>
        <v>0</v>
      </c>
      <c r="AN65" s="29" t="n">
        <f aca="false">SUMIFS('Outages (event ledger)'!$H$2:$H$65,'Outages (event ledger)'!$A$2:$A$65,AN$2,'Outages (event ledger)'!$E$2:$E$65,"&lt;="&amp;$B65,'Outages (event ledger)'!$G$2:$G$65,"&gt;="&amp;$B65)</f>
        <v>0</v>
      </c>
      <c r="AO65" s="29" t="n">
        <f aca="false">SUMIFS('Outages (event ledger)'!$H$2:$H$65,'Outages (event ledger)'!$A$2:$A$65,AO$2,'Outages (event ledger)'!$E$2:$E$65,"&lt;="&amp;$B65,'Outages (event ledger)'!$G$2:$G$65,"&gt;="&amp;$B65)</f>
        <v>0</v>
      </c>
      <c r="AP65" s="29" t="n">
        <f aca="false">SUMIFS('Outages (event ledger)'!$H$2:$H$65,'Outages (event ledger)'!$A$2:$A$65,AP$2,'Outages (event ledger)'!$E$2:$E$65,"&lt;="&amp;$B65,'Outages (event ledger)'!$G$2:$G$65,"&gt;="&amp;$B65)</f>
        <v>0</v>
      </c>
      <c r="AQ65" s="29" t="n">
        <f aca="false">SUMIFS('Outages (event ledger)'!$H$2:$H$65,'Outages (event ledger)'!$A$2:$A$65,AQ$2,'Outages (event ledger)'!$E$2:$E$65,"&lt;="&amp;$B65,'Outages (event ledger)'!$G$2:$G$65,"&gt;="&amp;$B65)</f>
        <v>0</v>
      </c>
      <c r="AR65" s="29" t="n">
        <f aca="false">SUMIFS('Outages (event ledger)'!$H$2:$H$65,'Outages (event ledger)'!$A$2:$A$65,AR$2,'Outages (event ledger)'!$E$2:$E$65,"&lt;="&amp;$B65,'Outages (event ledger)'!$G$2:$G$65,"&gt;="&amp;$B65)</f>
        <v>0</v>
      </c>
      <c r="AS65" s="29" t="n">
        <f aca="false">SUMIFS('Outages (event ledger)'!$H$2:$H$65,'Outages (event ledger)'!$A$2:$A$65,AS$2,'Outages (event ledger)'!$E$2:$E$65,"&lt;="&amp;$B65,'Outages (event ledger)'!$G$2:$G$65,"&gt;="&amp;$B65)</f>
        <v>0</v>
      </c>
      <c r="AT65" s="29" t="n">
        <f aca="false">SUMIFS('Outages (event ledger)'!$H$2:$H$65,'Outages (event ledger)'!$A$2:$A$65,AT$2,'Outages (event ledger)'!$E$2:$E$65,"&lt;="&amp;$B65,'Outages (event ledger)'!$G$2:$G$65,"&gt;="&amp;$B65)</f>
        <v>0</v>
      </c>
      <c r="AU65" s="29" t="n">
        <f aca="false">SUMIFS('Outages (event ledger)'!$H$2:$H$65,'Outages (event ledger)'!$A$2:$A$65,AU$2,'Outages (event ledger)'!$E$2:$E$65,"&lt;="&amp;$B65,'Outages (event ledger)'!$G$2:$G$65,"&gt;="&amp;$B65)</f>
        <v>0</v>
      </c>
      <c r="AV65" s="29" t="n">
        <f aca="false">SUMIFS('Outages (event ledger)'!$H$2:$H$65,'Outages (event ledger)'!$A$2:$A$65,AV$2,'Outages (event ledger)'!$E$2:$E$65,"&lt;="&amp;$B65,'Outages (event ledger)'!$G$2:$G$65,"&gt;="&amp;$B65)</f>
        <v>0</v>
      </c>
      <c r="AW65" s="29" t="n">
        <f aca="false">SUMIFS('Outages (event ledger)'!$H$2:$H$65,'Outages (event ledger)'!$A$2:$A$65,AW$2,'Outages (event ledger)'!$E$2:$E$65,"&lt;="&amp;$B65,'Outages (event ledger)'!$G$2:$G$65,"&gt;="&amp;$B65)</f>
        <v>0</v>
      </c>
      <c r="AX65" s="29" t="n">
        <f aca="false">SUMIFS('Outages (event ledger)'!$H$2:$H$65,'Outages (event ledger)'!$A$2:$A$65,AX$2,'Outages (event ledger)'!$E$2:$E$65,"&lt;="&amp;$B65,'Outages (event ledger)'!$G$2:$G$65,"&gt;="&amp;$B65)</f>
        <v>0</v>
      </c>
      <c r="AY65" s="29" t="n">
        <f aca="false">SUMIFS('Outages (event ledger)'!$H$2:$H$65,'Outages (event ledger)'!$A$2:$A$65,AY$2,'Outages (event ledger)'!$E$2:$E$65,"&lt;="&amp;$B65,'Outages (event ledger)'!$G$2:$G$65,"&gt;="&amp;$B65)</f>
        <v>0</v>
      </c>
      <c r="AZ65" s="29" t="n">
        <f aca="false">SUMIFS('Outages (event ledger)'!$H$2:$H$65,'Outages (event ledger)'!$A$2:$A$65,AZ$2,'Outages (event ledger)'!$E$2:$E$65,"&lt;="&amp;$B65,'Outages (event ledger)'!$G$2:$G$65,"&gt;="&amp;$B65)</f>
        <v>0</v>
      </c>
      <c r="BA65" s="29" t="n">
        <f aca="false">SUMIFS('Outages (event ledger)'!$H$2:$H$65,'Outages (event ledger)'!$A$2:$A$65,BA$2,'Outages (event ledger)'!$E$2:$E$65,"&lt;="&amp;$B65,'Outages (event ledger)'!$G$2:$G$65,"&gt;="&amp;$B65)</f>
        <v>0</v>
      </c>
      <c r="BB65" s="29" t="n">
        <f aca="false">SUMIFS('Outages (event ledger)'!$H$2:$H$65,'Outages (event ledger)'!$A$2:$A$65,BB$2,'Outages (event ledger)'!$E$2:$E$65,"&lt;="&amp;$B65,'Outages (event ledger)'!$G$2:$G$65,"&gt;="&amp;$B65)</f>
        <v>0</v>
      </c>
      <c r="BC65" s="29" t="n">
        <f aca="false">SUMIFS('Outages (event ledger)'!$H$2:$H$65,'Outages (event ledger)'!$A$2:$A$65,BC$2,'Outages (event ledger)'!$E$2:$E$65,"&lt;="&amp;$B65,'Outages (event ledger)'!$G$2:$G$65,"&gt;="&amp;$B65)</f>
        <v>0</v>
      </c>
      <c r="BD65" s="29" t="n">
        <f aca="false">SUMIFS('Outages (event ledger)'!$H$2:$H$65,'Outages (event ledger)'!$A$2:$A$65,BD$2,'Outages (event ledger)'!$E$2:$E$65,"&lt;="&amp;$B65,'Outages (event ledger)'!$G$2:$G$65,"&gt;="&amp;$B65)</f>
        <v>0</v>
      </c>
      <c r="BE65" s="29" t="n">
        <f aca="false">SUMIFS('Outages (event ledger)'!$H$2:$H$65,'Outages (event ledger)'!$A$2:$A$65,BE$2,'Outages (event ledger)'!$E$2:$E$65,"&lt;="&amp;$B65,'Outages (event ledger)'!$G$2:$G$65,"&gt;="&amp;$B65)</f>
        <v>0</v>
      </c>
      <c r="BF65" s="29" t="n">
        <f aca="false">SUMIFS('Outages (event ledger)'!$H$2:$H$65,'Outages (event ledger)'!$A$2:$A$65,BF$2,'Outages (event ledger)'!$E$2:$E$65,"&lt;="&amp;$B65,'Outages (event ledger)'!$G$2:$G$65,"&gt;="&amp;$B65)</f>
        <v>0</v>
      </c>
      <c r="BG65" s="29" t="n">
        <f aca="false">SUMIFS('Outages (event ledger)'!$H$2:$H$65,'Outages (event ledger)'!$A$2:$A$65,BG$2,'Outages (event ledger)'!$E$2:$E$65,"&lt;="&amp;$B65,'Outages (event ledger)'!$G$2:$G$65,"&gt;="&amp;$B65)</f>
        <v>0</v>
      </c>
      <c r="BH65" s="29" t="n">
        <f aca="false">SUMIFS('Outages (event ledger)'!$H$2:$H$65,'Outages (event ledger)'!$A$2:$A$65,BH$2,'Outages (event ledger)'!$E$2:$E$65,"&lt;="&amp;$B65,'Outages (event ledger)'!$G$2:$G$65,"&gt;="&amp;$B65)</f>
        <v>0</v>
      </c>
      <c r="BI65" s="29" t="n">
        <f aca="false">SUMIFS('Outages (event ledger)'!$H$2:$H$65,'Outages (event ledger)'!$A$2:$A$65,BI$2,'Outages (event ledger)'!$E$2:$E$65,"&lt;="&amp;$B65,'Outages (event ledger)'!$G$2:$G$65,"&gt;="&amp;$B65)</f>
        <v>0</v>
      </c>
    </row>
    <row r="66" customFormat="false" ht="15" hidden="false" customHeight="false" outlineLevel="0" collapsed="false">
      <c r="A66" s="27" t="n">
        <v>42095</v>
      </c>
      <c r="B66" s="28" t="n">
        <v>201504</v>
      </c>
      <c r="C66" s="25" t="n">
        <f aca="false">SUM(D66:BI66)</f>
        <v>33.4</v>
      </c>
      <c r="D66" s="29" t="n">
        <f aca="false">SUMIFS('Outages (event ledger)'!$H$2:$H$65,'Outages (event ledger)'!$A$2:$A$65,D$2,'Outages (event ledger)'!$E$2:$E$65,"&lt;="&amp;$B66,'Outages (event ledger)'!$G$2:$G$65,"&gt;="&amp;$B66)</f>
        <v>0</v>
      </c>
      <c r="E66" s="29" t="n">
        <f aca="false">SUMIFS('Outages (event ledger)'!$H$2:$H$65,'Outages (event ledger)'!$A$2:$A$65,E$2,'Outages (event ledger)'!$E$2:$E$65,"&lt;="&amp;$B66,'Outages (event ledger)'!$G$2:$G$65,"&gt;="&amp;$B66)</f>
        <v>0</v>
      </c>
      <c r="F66" s="29" t="n">
        <f aca="false">SUMIFS('Outages (event ledger)'!$H$2:$H$65,'Outages (event ledger)'!$A$2:$A$65,F$2,'Outages (event ledger)'!$E$2:$E$65,"&lt;="&amp;$B66,'Outages (event ledger)'!$G$2:$G$65,"&gt;="&amp;$B66)</f>
        <v>0</v>
      </c>
      <c r="G66" s="29" t="n">
        <f aca="false">SUMIFS('Outages (event ledger)'!$H$2:$H$65,'Outages (event ledger)'!$A$2:$A$65,G$2,'Outages (event ledger)'!$E$2:$E$65,"&lt;="&amp;$B66,'Outages (event ledger)'!$G$2:$G$65,"&gt;="&amp;$B66)</f>
        <v>0</v>
      </c>
      <c r="H66" s="29" t="n">
        <f aca="false">SUMIFS('Outages (event ledger)'!$H$2:$H$65,'Outages (event ledger)'!$A$2:$A$65,H$2,'Outages (event ledger)'!$E$2:$E$65,"&lt;="&amp;$B66,'Outages (event ledger)'!$G$2:$G$65,"&gt;="&amp;$B66)</f>
        <v>5.2</v>
      </c>
      <c r="I66" s="29" t="n">
        <f aca="false">SUMIFS('Outages (event ledger)'!$H$2:$H$65,'Outages (event ledger)'!$A$2:$A$65,I$2,'Outages (event ledger)'!$E$2:$E$65,"&lt;="&amp;$B66,'Outages (event ledger)'!$G$2:$G$65,"&gt;="&amp;$B66)</f>
        <v>0</v>
      </c>
      <c r="J66" s="29" t="n">
        <f aca="false">SUMIFS('Outages (event ledger)'!$H$2:$H$65,'Outages (event ledger)'!$A$2:$A$65,J$2,'Outages (event ledger)'!$E$2:$E$65,"&lt;="&amp;$B66,'Outages (event ledger)'!$G$2:$G$65,"&gt;="&amp;$B66)</f>
        <v>0</v>
      </c>
      <c r="K66" s="29" t="n">
        <f aca="false">SUMIFS('Outages (event ledger)'!$H$2:$H$65,'Outages (event ledger)'!$A$2:$A$65,K$2,'Outages (event ledger)'!$E$2:$E$65,"&lt;="&amp;$B66,'Outages (event ledger)'!$G$2:$G$65,"&gt;="&amp;$B66)</f>
        <v>0</v>
      </c>
      <c r="L66" s="29" t="n">
        <f aca="false">SUMIFS('Outages (event ledger)'!$H$2:$H$65,'Outages (event ledger)'!$A$2:$A$65,L$2,'Outages (event ledger)'!$E$2:$E$65,"&lt;="&amp;$B66,'Outages (event ledger)'!$G$2:$G$65,"&gt;="&amp;$B66)</f>
        <v>0</v>
      </c>
      <c r="M66" s="29" t="n">
        <f aca="false">SUMIFS('Outages (event ledger)'!$H$2:$H$65,'Outages (event ledger)'!$A$2:$A$65,M$2,'Outages (event ledger)'!$E$2:$E$65,"&lt;="&amp;$B66,'Outages (event ledger)'!$G$2:$G$65,"&gt;="&amp;$B66)</f>
        <v>0</v>
      </c>
      <c r="N66" s="29" t="n">
        <f aca="false">SUMIFS('Outages (event ledger)'!$H$2:$H$65,'Outages (event ledger)'!$A$2:$A$65,N$2,'Outages (event ledger)'!$E$2:$E$65,"&lt;="&amp;$B66,'Outages (event ledger)'!$G$2:$G$65,"&gt;="&amp;$B66)</f>
        <v>0</v>
      </c>
      <c r="O66" s="29" t="n">
        <f aca="false">SUMIFS('Outages (event ledger)'!$H$2:$H$65,'Outages (event ledger)'!$A$2:$A$65,O$2,'Outages (event ledger)'!$E$2:$E$65,"&lt;="&amp;$B66,'Outages (event ledger)'!$G$2:$G$65,"&gt;="&amp;$B66)</f>
        <v>0</v>
      </c>
      <c r="P66" s="29" t="n">
        <f aca="false">SUMIFS('Outages (event ledger)'!$H$2:$H$65,'Outages (event ledger)'!$A$2:$A$65,P$2,'Outages (event ledger)'!$E$2:$E$65,"&lt;="&amp;$B66,'Outages (event ledger)'!$G$2:$G$65,"&gt;="&amp;$B66)</f>
        <v>0</v>
      </c>
      <c r="Q66" s="29" t="n">
        <f aca="false">SUMIFS('Outages (event ledger)'!$H$2:$H$65,'Outages (event ledger)'!$A$2:$A$65,Q$2,'Outages (event ledger)'!$E$2:$E$65,"&lt;="&amp;$B66,'Outages (event ledger)'!$G$2:$G$65,"&gt;="&amp;$B66)</f>
        <v>0</v>
      </c>
      <c r="R66" s="29" t="n">
        <f aca="false">SUMIFS('Outages (event ledger)'!$H$2:$H$65,'Outages (event ledger)'!$A$2:$A$65,R$2,'Outages (event ledger)'!$E$2:$E$65,"&lt;="&amp;$B66,'Outages (event ledger)'!$G$2:$G$65,"&gt;="&amp;$B66)</f>
        <v>0</v>
      </c>
      <c r="S66" s="29" t="n">
        <f aca="false">SUMIFS('Outages (event ledger)'!$H$2:$H$65,'Outages (event ledger)'!$A$2:$A$65,S$2,'Outages (event ledger)'!$E$2:$E$65,"&lt;="&amp;$B66,'Outages (event ledger)'!$G$2:$G$65,"&gt;="&amp;$B66)</f>
        <v>0</v>
      </c>
      <c r="T66" s="29" t="n">
        <f aca="false">SUMIFS('Outages (event ledger)'!$H$2:$H$65,'Outages (event ledger)'!$A$2:$A$65,T$2,'Outages (event ledger)'!$E$2:$E$65,"&lt;="&amp;$B66,'Outages (event ledger)'!$G$2:$G$65,"&gt;="&amp;$B66)</f>
        <v>0</v>
      </c>
      <c r="U66" s="29" t="n">
        <f aca="false">SUMIFS('Outages (event ledger)'!$H$2:$H$65,'Outages (event ledger)'!$A$2:$A$65,U$2,'Outages (event ledger)'!$E$2:$E$65,"&lt;="&amp;$B66,'Outages (event ledger)'!$G$2:$G$65,"&gt;="&amp;$B66)</f>
        <v>0</v>
      </c>
      <c r="V66" s="29" t="n">
        <f aca="false">SUMIFS('Outages (event ledger)'!$H$2:$H$65,'Outages (event ledger)'!$A$2:$A$65,V$2,'Outages (event ledger)'!$E$2:$E$65,"&lt;="&amp;$B66,'Outages (event ledger)'!$G$2:$G$65,"&gt;="&amp;$B66)</f>
        <v>0</v>
      </c>
      <c r="W66" s="29" t="n">
        <f aca="false">SUMIFS('Outages (event ledger)'!$H$2:$H$65,'Outages (event ledger)'!$A$2:$A$65,W$2,'Outages (event ledger)'!$E$2:$E$65,"&lt;="&amp;$B66,'Outages (event ledger)'!$G$2:$G$65,"&gt;="&amp;$B66)</f>
        <v>0</v>
      </c>
      <c r="X66" s="29" t="n">
        <f aca="false">SUMIFS('Outages (event ledger)'!$H$2:$H$65,'Outages (event ledger)'!$A$2:$A$65,X$2,'Outages (event ledger)'!$E$2:$E$65,"&lt;="&amp;$B66,'Outages (event ledger)'!$G$2:$G$65,"&gt;="&amp;$B66)</f>
        <v>0</v>
      </c>
      <c r="Y66" s="29" t="n">
        <f aca="false">SUMIFS('Outages (event ledger)'!$H$2:$H$65,'Outages (event ledger)'!$A$2:$A$65,Y$2,'Outages (event ledger)'!$E$2:$E$65,"&lt;="&amp;$B66,'Outages (event ledger)'!$G$2:$G$65,"&gt;="&amp;$B66)</f>
        <v>5</v>
      </c>
      <c r="Z66" s="29" t="n">
        <f aca="false">SUMIFS('Outages (event ledger)'!$H$2:$H$65,'Outages (event ledger)'!$A$2:$A$65,Z$2,'Outages (event ledger)'!$E$2:$E$65,"&lt;="&amp;$B66,'Outages (event ledger)'!$G$2:$G$65,"&gt;="&amp;$B66)</f>
        <v>5</v>
      </c>
      <c r="AA66" s="29" t="n">
        <f aca="false">SUMIFS('Outages (event ledger)'!$H$2:$H$65,'Outages (event ledger)'!$A$2:$A$65,AA$2,'Outages (event ledger)'!$E$2:$E$65,"&lt;="&amp;$B66,'Outages (event ledger)'!$G$2:$G$65,"&gt;="&amp;$B66)</f>
        <v>0</v>
      </c>
      <c r="AB66" s="29" t="n">
        <f aca="false">SUMIFS('Outages (event ledger)'!$H$2:$H$65,'Outages (event ledger)'!$A$2:$A$65,AB$2,'Outages (event ledger)'!$E$2:$E$65,"&lt;="&amp;$B66,'Outages (event ledger)'!$G$2:$G$65,"&gt;="&amp;$B66)</f>
        <v>8</v>
      </c>
      <c r="AC66" s="29" t="n">
        <f aca="false">SUMIFS('Outages (event ledger)'!$H$2:$H$65,'Outages (event ledger)'!$A$2:$A$65,AC$2,'Outages (event ledger)'!$E$2:$E$65,"&lt;="&amp;$B66,'Outages (event ledger)'!$G$2:$G$65,"&gt;="&amp;$B66)</f>
        <v>0</v>
      </c>
      <c r="AD66" s="29" t="n">
        <f aca="false">SUMIFS('Outages (event ledger)'!$H$2:$H$65,'Outages (event ledger)'!$A$2:$A$65,AD$2,'Outages (event ledger)'!$E$2:$E$65,"&lt;="&amp;$B66,'Outages (event ledger)'!$G$2:$G$65,"&gt;="&amp;$B66)</f>
        <v>0</v>
      </c>
      <c r="AE66" s="29" t="n">
        <f aca="false">SUMIFS('Outages (event ledger)'!$H$2:$H$65,'Outages (event ledger)'!$A$2:$A$65,AE$2,'Outages (event ledger)'!$E$2:$E$65,"&lt;="&amp;$B66,'Outages (event ledger)'!$G$2:$G$65,"&gt;="&amp;$B66)</f>
        <v>0</v>
      </c>
      <c r="AF66" s="29" t="n">
        <f aca="false">SUMIFS('Outages (event ledger)'!$H$2:$H$65,'Outages (event ledger)'!$A$2:$A$65,AF$2,'Outages (event ledger)'!$E$2:$E$65,"&lt;="&amp;$B66,'Outages (event ledger)'!$G$2:$G$65,"&gt;="&amp;$B66)</f>
        <v>0</v>
      </c>
      <c r="AG66" s="29" t="n">
        <f aca="false">SUMIFS('Outages (event ledger)'!$H$2:$H$65,'Outages (event ledger)'!$A$2:$A$65,AG$2,'Outages (event ledger)'!$E$2:$E$65,"&lt;="&amp;$B66,'Outages (event ledger)'!$G$2:$G$65,"&gt;="&amp;$B66)</f>
        <v>0</v>
      </c>
      <c r="AH66" s="29" t="n">
        <f aca="false">SUMIFS('Outages (event ledger)'!$H$2:$H$65,'Outages (event ledger)'!$A$2:$A$65,AH$2,'Outages (event ledger)'!$E$2:$E$65,"&lt;="&amp;$B66,'Outages (event ledger)'!$G$2:$G$65,"&gt;="&amp;$B66)</f>
        <v>0</v>
      </c>
      <c r="AI66" s="29" t="n">
        <f aca="false">SUMIFS('Outages (event ledger)'!$H$2:$H$65,'Outages (event ledger)'!$A$2:$A$65,AI$2,'Outages (event ledger)'!$E$2:$E$65,"&lt;="&amp;$B66,'Outages (event ledger)'!$G$2:$G$65,"&gt;="&amp;$B66)</f>
        <v>0</v>
      </c>
      <c r="AJ66" s="29" t="n">
        <f aca="false">SUMIFS('Outages (event ledger)'!$H$2:$H$65,'Outages (event ledger)'!$A$2:$A$65,AJ$2,'Outages (event ledger)'!$E$2:$E$65,"&lt;="&amp;$B66,'Outages (event ledger)'!$G$2:$G$65,"&gt;="&amp;$B66)</f>
        <v>0</v>
      </c>
      <c r="AK66" s="29" t="n">
        <f aca="false">SUMIFS('Outages (event ledger)'!$H$2:$H$65,'Outages (event ledger)'!$A$2:$A$65,AK$2,'Outages (event ledger)'!$E$2:$E$65,"&lt;="&amp;$B66,'Outages (event ledger)'!$G$2:$G$65,"&gt;="&amp;$B66)</f>
        <v>0</v>
      </c>
      <c r="AL66" s="29" t="n">
        <f aca="false">SUMIFS('Outages (event ledger)'!$H$2:$H$65,'Outages (event ledger)'!$A$2:$A$65,AL$2,'Outages (event ledger)'!$E$2:$E$65,"&lt;="&amp;$B66,'Outages (event ledger)'!$G$2:$G$65,"&gt;="&amp;$B66)</f>
        <v>3.5</v>
      </c>
      <c r="AM66" s="29" t="n">
        <f aca="false">SUMIFS('Outages (event ledger)'!$H$2:$H$65,'Outages (event ledger)'!$A$2:$A$65,AM$2,'Outages (event ledger)'!$E$2:$E$65,"&lt;="&amp;$B66,'Outages (event ledger)'!$G$2:$G$65,"&gt;="&amp;$B66)</f>
        <v>0</v>
      </c>
      <c r="AN66" s="29" t="n">
        <f aca="false">SUMIFS('Outages (event ledger)'!$H$2:$H$65,'Outages (event ledger)'!$A$2:$A$65,AN$2,'Outages (event ledger)'!$E$2:$E$65,"&lt;="&amp;$B66,'Outages (event ledger)'!$G$2:$G$65,"&gt;="&amp;$B66)</f>
        <v>0</v>
      </c>
      <c r="AO66" s="29" t="n">
        <f aca="false">SUMIFS('Outages (event ledger)'!$H$2:$H$65,'Outages (event ledger)'!$A$2:$A$65,AO$2,'Outages (event ledger)'!$E$2:$E$65,"&lt;="&amp;$B66,'Outages (event ledger)'!$G$2:$G$65,"&gt;="&amp;$B66)</f>
        <v>0</v>
      </c>
      <c r="AP66" s="29" t="n">
        <f aca="false">SUMIFS('Outages (event ledger)'!$H$2:$H$65,'Outages (event ledger)'!$A$2:$A$65,AP$2,'Outages (event ledger)'!$E$2:$E$65,"&lt;="&amp;$B66,'Outages (event ledger)'!$G$2:$G$65,"&gt;="&amp;$B66)</f>
        <v>0</v>
      </c>
      <c r="AQ66" s="29" t="n">
        <f aca="false">SUMIFS('Outages (event ledger)'!$H$2:$H$65,'Outages (event ledger)'!$A$2:$A$65,AQ$2,'Outages (event ledger)'!$E$2:$E$65,"&lt;="&amp;$B66,'Outages (event ledger)'!$G$2:$G$65,"&gt;="&amp;$B66)</f>
        <v>0</v>
      </c>
      <c r="AR66" s="29" t="n">
        <f aca="false">SUMIFS('Outages (event ledger)'!$H$2:$H$65,'Outages (event ledger)'!$A$2:$A$65,AR$2,'Outages (event ledger)'!$E$2:$E$65,"&lt;="&amp;$B66,'Outages (event ledger)'!$G$2:$G$65,"&gt;="&amp;$B66)</f>
        <v>0</v>
      </c>
      <c r="AS66" s="29" t="n">
        <f aca="false">SUMIFS('Outages (event ledger)'!$H$2:$H$65,'Outages (event ledger)'!$A$2:$A$65,AS$2,'Outages (event ledger)'!$E$2:$E$65,"&lt;="&amp;$B66,'Outages (event ledger)'!$G$2:$G$65,"&gt;="&amp;$B66)</f>
        <v>0</v>
      </c>
      <c r="AT66" s="29" t="n">
        <f aca="false">SUMIFS('Outages (event ledger)'!$H$2:$H$65,'Outages (event ledger)'!$A$2:$A$65,AT$2,'Outages (event ledger)'!$E$2:$E$65,"&lt;="&amp;$B66,'Outages (event ledger)'!$G$2:$G$65,"&gt;="&amp;$B66)</f>
        <v>0</v>
      </c>
      <c r="AU66" s="29" t="n">
        <f aca="false">SUMIFS('Outages (event ledger)'!$H$2:$H$65,'Outages (event ledger)'!$A$2:$A$65,AU$2,'Outages (event ledger)'!$E$2:$E$65,"&lt;="&amp;$B66,'Outages (event ledger)'!$G$2:$G$65,"&gt;="&amp;$B66)</f>
        <v>0</v>
      </c>
      <c r="AV66" s="29" t="n">
        <f aca="false">SUMIFS('Outages (event ledger)'!$H$2:$H$65,'Outages (event ledger)'!$A$2:$A$65,AV$2,'Outages (event ledger)'!$E$2:$E$65,"&lt;="&amp;$B66,'Outages (event ledger)'!$G$2:$G$65,"&gt;="&amp;$B66)</f>
        <v>0</v>
      </c>
      <c r="AW66" s="29" t="n">
        <f aca="false">SUMIFS('Outages (event ledger)'!$H$2:$H$65,'Outages (event ledger)'!$A$2:$A$65,AW$2,'Outages (event ledger)'!$E$2:$E$65,"&lt;="&amp;$B66,'Outages (event ledger)'!$G$2:$G$65,"&gt;="&amp;$B66)</f>
        <v>0</v>
      </c>
      <c r="AX66" s="29" t="n">
        <f aca="false">SUMIFS('Outages (event ledger)'!$H$2:$H$65,'Outages (event ledger)'!$A$2:$A$65,AX$2,'Outages (event ledger)'!$E$2:$E$65,"&lt;="&amp;$B66,'Outages (event ledger)'!$G$2:$G$65,"&gt;="&amp;$B66)</f>
        <v>0</v>
      </c>
      <c r="AY66" s="29" t="n">
        <f aca="false">SUMIFS('Outages (event ledger)'!$H$2:$H$65,'Outages (event ledger)'!$A$2:$A$65,AY$2,'Outages (event ledger)'!$E$2:$E$65,"&lt;="&amp;$B66,'Outages (event ledger)'!$G$2:$G$65,"&gt;="&amp;$B66)</f>
        <v>0</v>
      </c>
      <c r="AZ66" s="29" t="n">
        <f aca="false">SUMIFS('Outages (event ledger)'!$H$2:$H$65,'Outages (event ledger)'!$A$2:$A$65,AZ$2,'Outages (event ledger)'!$E$2:$E$65,"&lt;="&amp;$B66,'Outages (event ledger)'!$G$2:$G$65,"&gt;="&amp;$B66)</f>
        <v>0</v>
      </c>
      <c r="BA66" s="29" t="n">
        <f aca="false">SUMIFS('Outages (event ledger)'!$H$2:$H$65,'Outages (event ledger)'!$A$2:$A$65,BA$2,'Outages (event ledger)'!$E$2:$E$65,"&lt;="&amp;$B66,'Outages (event ledger)'!$G$2:$G$65,"&gt;="&amp;$B66)</f>
        <v>0</v>
      </c>
      <c r="BB66" s="29" t="n">
        <f aca="false">SUMIFS('Outages (event ledger)'!$H$2:$H$65,'Outages (event ledger)'!$A$2:$A$65,BB$2,'Outages (event ledger)'!$E$2:$E$65,"&lt;="&amp;$B66,'Outages (event ledger)'!$G$2:$G$65,"&gt;="&amp;$B66)</f>
        <v>0</v>
      </c>
      <c r="BC66" s="29" t="n">
        <f aca="false">SUMIFS('Outages (event ledger)'!$H$2:$H$65,'Outages (event ledger)'!$A$2:$A$65,BC$2,'Outages (event ledger)'!$E$2:$E$65,"&lt;="&amp;$B66,'Outages (event ledger)'!$G$2:$G$65,"&gt;="&amp;$B66)</f>
        <v>0</v>
      </c>
      <c r="BD66" s="29" t="n">
        <f aca="false">SUMIFS('Outages (event ledger)'!$H$2:$H$65,'Outages (event ledger)'!$A$2:$A$65,BD$2,'Outages (event ledger)'!$E$2:$E$65,"&lt;="&amp;$B66,'Outages (event ledger)'!$G$2:$G$65,"&gt;="&amp;$B66)</f>
        <v>0</v>
      </c>
      <c r="BE66" s="29" t="n">
        <f aca="false">SUMIFS('Outages (event ledger)'!$H$2:$H$65,'Outages (event ledger)'!$A$2:$A$65,BE$2,'Outages (event ledger)'!$E$2:$E$65,"&lt;="&amp;$B66,'Outages (event ledger)'!$G$2:$G$65,"&gt;="&amp;$B66)</f>
        <v>0</v>
      </c>
      <c r="BF66" s="29" t="n">
        <f aca="false">SUMIFS('Outages (event ledger)'!$H$2:$H$65,'Outages (event ledger)'!$A$2:$A$65,BF$2,'Outages (event ledger)'!$E$2:$E$65,"&lt;="&amp;$B66,'Outages (event ledger)'!$G$2:$G$65,"&gt;="&amp;$B66)</f>
        <v>0</v>
      </c>
      <c r="BG66" s="29" t="n">
        <f aca="false">SUMIFS('Outages (event ledger)'!$H$2:$H$65,'Outages (event ledger)'!$A$2:$A$65,BG$2,'Outages (event ledger)'!$E$2:$E$65,"&lt;="&amp;$B66,'Outages (event ledger)'!$G$2:$G$65,"&gt;="&amp;$B66)</f>
        <v>0</v>
      </c>
      <c r="BH66" s="29" t="n">
        <f aca="false">SUMIFS('Outages (event ledger)'!$H$2:$H$65,'Outages (event ledger)'!$A$2:$A$65,BH$2,'Outages (event ledger)'!$E$2:$E$65,"&lt;="&amp;$B66,'Outages (event ledger)'!$G$2:$G$65,"&gt;="&amp;$B66)</f>
        <v>0</v>
      </c>
      <c r="BI66" s="29" t="n">
        <f aca="false">SUMIFS('Outages (event ledger)'!$H$2:$H$65,'Outages (event ledger)'!$A$2:$A$65,BI$2,'Outages (event ledger)'!$E$2:$E$65,"&lt;="&amp;$B66,'Outages (event ledger)'!$G$2:$G$65,"&gt;="&amp;$B66)</f>
        <v>6.7</v>
      </c>
    </row>
    <row r="67" customFormat="false" ht="15" hidden="false" customHeight="false" outlineLevel="0" collapsed="false">
      <c r="A67" s="27" t="n">
        <v>42125</v>
      </c>
      <c r="B67" s="28" t="n">
        <v>201505</v>
      </c>
      <c r="C67" s="25" t="n">
        <f aca="false">SUM(D67:BI67)</f>
        <v>33.4</v>
      </c>
      <c r="D67" s="29" t="n">
        <f aca="false">SUMIFS('Outages (event ledger)'!$H$2:$H$65,'Outages (event ledger)'!$A$2:$A$65,D$2,'Outages (event ledger)'!$E$2:$E$65,"&lt;="&amp;$B67,'Outages (event ledger)'!$G$2:$G$65,"&gt;="&amp;$B67)</f>
        <v>0</v>
      </c>
      <c r="E67" s="29" t="n">
        <f aca="false">SUMIFS('Outages (event ledger)'!$H$2:$H$65,'Outages (event ledger)'!$A$2:$A$65,E$2,'Outages (event ledger)'!$E$2:$E$65,"&lt;="&amp;$B67,'Outages (event ledger)'!$G$2:$G$65,"&gt;="&amp;$B67)</f>
        <v>0</v>
      </c>
      <c r="F67" s="29" t="n">
        <f aca="false">SUMIFS('Outages (event ledger)'!$H$2:$H$65,'Outages (event ledger)'!$A$2:$A$65,F$2,'Outages (event ledger)'!$E$2:$E$65,"&lt;="&amp;$B67,'Outages (event ledger)'!$G$2:$G$65,"&gt;="&amp;$B67)</f>
        <v>0</v>
      </c>
      <c r="G67" s="29" t="n">
        <f aca="false">SUMIFS('Outages (event ledger)'!$H$2:$H$65,'Outages (event ledger)'!$A$2:$A$65,G$2,'Outages (event ledger)'!$E$2:$E$65,"&lt;="&amp;$B67,'Outages (event ledger)'!$G$2:$G$65,"&gt;="&amp;$B67)</f>
        <v>0</v>
      </c>
      <c r="H67" s="29" t="n">
        <f aca="false">SUMIFS('Outages (event ledger)'!$H$2:$H$65,'Outages (event ledger)'!$A$2:$A$65,H$2,'Outages (event ledger)'!$E$2:$E$65,"&lt;="&amp;$B67,'Outages (event ledger)'!$G$2:$G$65,"&gt;="&amp;$B67)</f>
        <v>5.2</v>
      </c>
      <c r="I67" s="29" t="n">
        <f aca="false">SUMIFS('Outages (event ledger)'!$H$2:$H$65,'Outages (event ledger)'!$A$2:$A$65,I$2,'Outages (event ledger)'!$E$2:$E$65,"&lt;="&amp;$B67,'Outages (event ledger)'!$G$2:$G$65,"&gt;="&amp;$B67)</f>
        <v>0</v>
      </c>
      <c r="J67" s="29" t="n">
        <f aca="false">SUMIFS('Outages (event ledger)'!$H$2:$H$65,'Outages (event ledger)'!$A$2:$A$65,J$2,'Outages (event ledger)'!$E$2:$E$65,"&lt;="&amp;$B67,'Outages (event ledger)'!$G$2:$G$65,"&gt;="&amp;$B67)</f>
        <v>0</v>
      </c>
      <c r="K67" s="29" t="n">
        <f aca="false">SUMIFS('Outages (event ledger)'!$H$2:$H$65,'Outages (event ledger)'!$A$2:$A$65,K$2,'Outages (event ledger)'!$E$2:$E$65,"&lt;="&amp;$B67,'Outages (event ledger)'!$G$2:$G$65,"&gt;="&amp;$B67)</f>
        <v>0</v>
      </c>
      <c r="L67" s="29" t="n">
        <f aca="false">SUMIFS('Outages (event ledger)'!$H$2:$H$65,'Outages (event ledger)'!$A$2:$A$65,L$2,'Outages (event ledger)'!$E$2:$E$65,"&lt;="&amp;$B67,'Outages (event ledger)'!$G$2:$G$65,"&gt;="&amp;$B67)</f>
        <v>0</v>
      </c>
      <c r="M67" s="29" t="n">
        <f aca="false">SUMIFS('Outages (event ledger)'!$H$2:$H$65,'Outages (event ledger)'!$A$2:$A$65,M$2,'Outages (event ledger)'!$E$2:$E$65,"&lt;="&amp;$B67,'Outages (event ledger)'!$G$2:$G$65,"&gt;="&amp;$B67)</f>
        <v>0</v>
      </c>
      <c r="N67" s="29" t="n">
        <f aca="false">SUMIFS('Outages (event ledger)'!$H$2:$H$65,'Outages (event ledger)'!$A$2:$A$65,N$2,'Outages (event ledger)'!$E$2:$E$65,"&lt;="&amp;$B67,'Outages (event ledger)'!$G$2:$G$65,"&gt;="&amp;$B67)</f>
        <v>0</v>
      </c>
      <c r="O67" s="29" t="n">
        <f aca="false">SUMIFS('Outages (event ledger)'!$H$2:$H$65,'Outages (event ledger)'!$A$2:$A$65,O$2,'Outages (event ledger)'!$E$2:$E$65,"&lt;="&amp;$B67,'Outages (event ledger)'!$G$2:$G$65,"&gt;="&amp;$B67)</f>
        <v>0</v>
      </c>
      <c r="P67" s="29" t="n">
        <f aca="false">SUMIFS('Outages (event ledger)'!$H$2:$H$65,'Outages (event ledger)'!$A$2:$A$65,P$2,'Outages (event ledger)'!$E$2:$E$65,"&lt;="&amp;$B67,'Outages (event ledger)'!$G$2:$G$65,"&gt;="&amp;$B67)</f>
        <v>0</v>
      </c>
      <c r="Q67" s="29" t="n">
        <f aca="false">SUMIFS('Outages (event ledger)'!$H$2:$H$65,'Outages (event ledger)'!$A$2:$A$65,Q$2,'Outages (event ledger)'!$E$2:$E$65,"&lt;="&amp;$B67,'Outages (event ledger)'!$G$2:$G$65,"&gt;="&amp;$B67)</f>
        <v>0</v>
      </c>
      <c r="R67" s="29" t="n">
        <f aca="false">SUMIFS('Outages (event ledger)'!$H$2:$H$65,'Outages (event ledger)'!$A$2:$A$65,R$2,'Outages (event ledger)'!$E$2:$E$65,"&lt;="&amp;$B67,'Outages (event ledger)'!$G$2:$G$65,"&gt;="&amp;$B67)</f>
        <v>0</v>
      </c>
      <c r="S67" s="29" t="n">
        <f aca="false">SUMIFS('Outages (event ledger)'!$H$2:$H$65,'Outages (event ledger)'!$A$2:$A$65,S$2,'Outages (event ledger)'!$E$2:$E$65,"&lt;="&amp;$B67,'Outages (event ledger)'!$G$2:$G$65,"&gt;="&amp;$B67)</f>
        <v>0</v>
      </c>
      <c r="T67" s="29" t="n">
        <f aca="false">SUMIFS('Outages (event ledger)'!$H$2:$H$65,'Outages (event ledger)'!$A$2:$A$65,T$2,'Outages (event ledger)'!$E$2:$E$65,"&lt;="&amp;$B67,'Outages (event ledger)'!$G$2:$G$65,"&gt;="&amp;$B67)</f>
        <v>0</v>
      </c>
      <c r="U67" s="29" t="n">
        <f aca="false">SUMIFS('Outages (event ledger)'!$H$2:$H$65,'Outages (event ledger)'!$A$2:$A$65,U$2,'Outages (event ledger)'!$E$2:$E$65,"&lt;="&amp;$B67,'Outages (event ledger)'!$G$2:$G$65,"&gt;="&amp;$B67)</f>
        <v>0</v>
      </c>
      <c r="V67" s="29" t="n">
        <f aca="false">SUMIFS('Outages (event ledger)'!$H$2:$H$65,'Outages (event ledger)'!$A$2:$A$65,V$2,'Outages (event ledger)'!$E$2:$E$65,"&lt;="&amp;$B67,'Outages (event ledger)'!$G$2:$G$65,"&gt;="&amp;$B67)</f>
        <v>0</v>
      </c>
      <c r="W67" s="29" t="n">
        <f aca="false">SUMIFS('Outages (event ledger)'!$H$2:$H$65,'Outages (event ledger)'!$A$2:$A$65,W$2,'Outages (event ledger)'!$E$2:$E$65,"&lt;="&amp;$B67,'Outages (event ledger)'!$G$2:$G$65,"&gt;="&amp;$B67)</f>
        <v>0</v>
      </c>
      <c r="X67" s="29" t="n">
        <f aca="false">SUMIFS('Outages (event ledger)'!$H$2:$H$65,'Outages (event ledger)'!$A$2:$A$65,X$2,'Outages (event ledger)'!$E$2:$E$65,"&lt;="&amp;$B67,'Outages (event ledger)'!$G$2:$G$65,"&gt;="&amp;$B67)</f>
        <v>0</v>
      </c>
      <c r="Y67" s="29" t="n">
        <f aca="false">SUMIFS('Outages (event ledger)'!$H$2:$H$65,'Outages (event ledger)'!$A$2:$A$65,Y$2,'Outages (event ledger)'!$E$2:$E$65,"&lt;="&amp;$B67,'Outages (event ledger)'!$G$2:$G$65,"&gt;="&amp;$B67)</f>
        <v>5</v>
      </c>
      <c r="Z67" s="29" t="n">
        <f aca="false">SUMIFS('Outages (event ledger)'!$H$2:$H$65,'Outages (event ledger)'!$A$2:$A$65,Z$2,'Outages (event ledger)'!$E$2:$E$65,"&lt;="&amp;$B67,'Outages (event ledger)'!$G$2:$G$65,"&gt;="&amp;$B67)</f>
        <v>5</v>
      </c>
      <c r="AA67" s="29" t="n">
        <f aca="false">SUMIFS('Outages (event ledger)'!$H$2:$H$65,'Outages (event ledger)'!$A$2:$A$65,AA$2,'Outages (event ledger)'!$E$2:$E$65,"&lt;="&amp;$B67,'Outages (event ledger)'!$G$2:$G$65,"&gt;="&amp;$B67)</f>
        <v>0</v>
      </c>
      <c r="AB67" s="29" t="n">
        <f aca="false">SUMIFS('Outages (event ledger)'!$H$2:$H$65,'Outages (event ledger)'!$A$2:$A$65,AB$2,'Outages (event ledger)'!$E$2:$E$65,"&lt;="&amp;$B67,'Outages (event ledger)'!$G$2:$G$65,"&gt;="&amp;$B67)</f>
        <v>8</v>
      </c>
      <c r="AC67" s="29" t="n">
        <f aca="false">SUMIFS('Outages (event ledger)'!$H$2:$H$65,'Outages (event ledger)'!$A$2:$A$65,AC$2,'Outages (event ledger)'!$E$2:$E$65,"&lt;="&amp;$B67,'Outages (event ledger)'!$G$2:$G$65,"&gt;="&amp;$B67)</f>
        <v>0</v>
      </c>
      <c r="AD67" s="29" t="n">
        <f aca="false">SUMIFS('Outages (event ledger)'!$H$2:$H$65,'Outages (event ledger)'!$A$2:$A$65,AD$2,'Outages (event ledger)'!$E$2:$E$65,"&lt;="&amp;$B67,'Outages (event ledger)'!$G$2:$G$65,"&gt;="&amp;$B67)</f>
        <v>0</v>
      </c>
      <c r="AE67" s="29" t="n">
        <f aca="false">SUMIFS('Outages (event ledger)'!$H$2:$H$65,'Outages (event ledger)'!$A$2:$A$65,AE$2,'Outages (event ledger)'!$E$2:$E$65,"&lt;="&amp;$B67,'Outages (event ledger)'!$G$2:$G$65,"&gt;="&amp;$B67)</f>
        <v>0</v>
      </c>
      <c r="AF67" s="29" t="n">
        <f aca="false">SUMIFS('Outages (event ledger)'!$H$2:$H$65,'Outages (event ledger)'!$A$2:$A$65,AF$2,'Outages (event ledger)'!$E$2:$E$65,"&lt;="&amp;$B67,'Outages (event ledger)'!$G$2:$G$65,"&gt;="&amp;$B67)</f>
        <v>0</v>
      </c>
      <c r="AG67" s="29" t="n">
        <f aca="false">SUMIFS('Outages (event ledger)'!$H$2:$H$65,'Outages (event ledger)'!$A$2:$A$65,AG$2,'Outages (event ledger)'!$E$2:$E$65,"&lt;="&amp;$B67,'Outages (event ledger)'!$G$2:$G$65,"&gt;="&amp;$B67)</f>
        <v>0</v>
      </c>
      <c r="AH67" s="29" t="n">
        <f aca="false">SUMIFS('Outages (event ledger)'!$H$2:$H$65,'Outages (event ledger)'!$A$2:$A$65,AH$2,'Outages (event ledger)'!$E$2:$E$65,"&lt;="&amp;$B67,'Outages (event ledger)'!$G$2:$G$65,"&gt;="&amp;$B67)</f>
        <v>0</v>
      </c>
      <c r="AI67" s="29" t="n">
        <f aca="false">SUMIFS('Outages (event ledger)'!$H$2:$H$65,'Outages (event ledger)'!$A$2:$A$65,AI$2,'Outages (event ledger)'!$E$2:$E$65,"&lt;="&amp;$B67,'Outages (event ledger)'!$G$2:$G$65,"&gt;="&amp;$B67)</f>
        <v>0</v>
      </c>
      <c r="AJ67" s="29" t="n">
        <f aca="false">SUMIFS('Outages (event ledger)'!$H$2:$H$65,'Outages (event ledger)'!$A$2:$A$65,AJ$2,'Outages (event ledger)'!$E$2:$E$65,"&lt;="&amp;$B67,'Outages (event ledger)'!$G$2:$G$65,"&gt;="&amp;$B67)</f>
        <v>0</v>
      </c>
      <c r="AK67" s="29" t="n">
        <f aca="false">SUMIFS('Outages (event ledger)'!$H$2:$H$65,'Outages (event ledger)'!$A$2:$A$65,AK$2,'Outages (event ledger)'!$E$2:$E$65,"&lt;="&amp;$B67,'Outages (event ledger)'!$G$2:$G$65,"&gt;="&amp;$B67)</f>
        <v>0</v>
      </c>
      <c r="AL67" s="29" t="n">
        <f aca="false">SUMIFS('Outages (event ledger)'!$H$2:$H$65,'Outages (event ledger)'!$A$2:$A$65,AL$2,'Outages (event ledger)'!$E$2:$E$65,"&lt;="&amp;$B67,'Outages (event ledger)'!$G$2:$G$65,"&gt;="&amp;$B67)</f>
        <v>3.5</v>
      </c>
      <c r="AM67" s="29" t="n">
        <f aca="false">SUMIFS('Outages (event ledger)'!$H$2:$H$65,'Outages (event ledger)'!$A$2:$A$65,AM$2,'Outages (event ledger)'!$E$2:$E$65,"&lt;="&amp;$B67,'Outages (event ledger)'!$G$2:$G$65,"&gt;="&amp;$B67)</f>
        <v>0</v>
      </c>
      <c r="AN67" s="29" t="n">
        <f aca="false">SUMIFS('Outages (event ledger)'!$H$2:$H$65,'Outages (event ledger)'!$A$2:$A$65,AN$2,'Outages (event ledger)'!$E$2:$E$65,"&lt;="&amp;$B67,'Outages (event ledger)'!$G$2:$G$65,"&gt;="&amp;$B67)</f>
        <v>0</v>
      </c>
      <c r="AO67" s="29" t="n">
        <f aca="false">SUMIFS('Outages (event ledger)'!$H$2:$H$65,'Outages (event ledger)'!$A$2:$A$65,AO$2,'Outages (event ledger)'!$E$2:$E$65,"&lt;="&amp;$B67,'Outages (event ledger)'!$G$2:$G$65,"&gt;="&amp;$B67)</f>
        <v>0</v>
      </c>
      <c r="AP67" s="29" t="n">
        <f aca="false">SUMIFS('Outages (event ledger)'!$H$2:$H$65,'Outages (event ledger)'!$A$2:$A$65,AP$2,'Outages (event ledger)'!$E$2:$E$65,"&lt;="&amp;$B67,'Outages (event ledger)'!$G$2:$G$65,"&gt;="&amp;$B67)</f>
        <v>0</v>
      </c>
      <c r="AQ67" s="29" t="n">
        <f aca="false">SUMIFS('Outages (event ledger)'!$H$2:$H$65,'Outages (event ledger)'!$A$2:$A$65,AQ$2,'Outages (event ledger)'!$E$2:$E$65,"&lt;="&amp;$B67,'Outages (event ledger)'!$G$2:$G$65,"&gt;="&amp;$B67)</f>
        <v>0</v>
      </c>
      <c r="AR67" s="29" t="n">
        <f aca="false">SUMIFS('Outages (event ledger)'!$H$2:$H$65,'Outages (event ledger)'!$A$2:$A$65,AR$2,'Outages (event ledger)'!$E$2:$E$65,"&lt;="&amp;$B67,'Outages (event ledger)'!$G$2:$G$65,"&gt;="&amp;$B67)</f>
        <v>0</v>
      </c>
      <c r="AS67" s="29" t="n">
        <f aca="false">SUMIFS('Outages (event ledger)'!$H$2:$H$65,'Outages (event ledger)'!$A$2:$A$65,AS$2,'Outages (event ledger)'!$E$2:$E$65,"&lt;="&amp;$B67,'Outages (event ledger)'!$G$2:$G$65,"&gt;="&amp;$B67)</f>
        <v>0</v>
      </c>
      <c r="AT67" s="29" t="n">
        <f aca="false">SUMIFS('Outages (event ledger)'!$H$2:$H$65,'Outages (event ledger)'!$A$2:$A$65,AT$2,'Outages (event ledger)'!$E$2:$E$65,"&lt;="&amp;$B67,'Outages (event ledger)'!$G$2:$G$65,"&gt;="&amp;$B67)</f>
        <v>0</v>
      </c>
      <c r="AU67" s="29" t="n">
        <f aca="false">SUMIFS('Outages (event ledger)'!$H$2:$H$65,'Outages (event ledger)'!$A$2:$A$65,AU$2,'Outages (event ledger)'!$E$2:$E$65,"&lt;="&amp;$B67,'Outages (event ledger)'!$G$2:$G$65,"&gt;="&amp;$B67)</f>
        <v>0</v>
      </c>
      <c r="AV67" s="29" t="n">
        <f aca="false">SUMIFS('Outages (event ledger)'!$H$2:$H$65,'Outages (event ledger)'!$A$2:$A$65,AV$2,'Outages (event ledger)'!$E$2:$E$65,"&lt;="&amp;$B67,'Outages (event ledger)'!$G$2:$G$65,"&gt;="&amp;$B67)</f>
        <v>0</v>
      </c>
      <c r="AW67" s="29" t="n">
        <f aca="false">SUMIFS('Outages (event ledger)'!$H$2:$H$65,'Outages (event ledger)'!$A$2:$A$65,AW$2,'Outages (event ledger)'!$E$2:$E$65,"&lt;="&amp;$B67,'Outages (event ledger)'!$G$2:$G$65,"&gt;="&amp;$B67)</f>
        <v>0</v>
      </c>
      <c r="AX67" s="29" t="n">
        <f aca="false">SUMIFS('Outages (event ledger)'!$H$2:$H$65,'Outages (event ledger)'!$A$2:$A$65,AX$2,'Outages (event ledger)'!$E$2:$E$65,"&lt;="&amp;$B67,'Outages (event ledger)'!$G$2:$G$65,"&gt;="&amp;$B67)</f>
        <v>0</v>
      </c>
      <c r="AY67" s="29" t="n">
        <f aca="false">SUMIFS('Outages (event ledger)'!$H$2:$H$65,'Outages (event ledger)'!$A$2:$A$65,AY$2,'Outages (event ledger)'!$E$2:$E$65,"&lt;="&amp;$B67,'Outages (event ledger)'!$G$2:$G$65,"&gt;="&amp;$B67)</f>
        <v>0</v>
      </c>
      <c r="AZ67" s="29" t="n">
        <f aca="false">SUMIFS('Outages (event ledger)'!$H$2:$H$65,'Outages (event ledger)'!$A$2:$A$65,AZ$2,'Outages (event ledger)'!$E$2:$E$65,"&lt;="&amp;$B67,'Outages (event ledger)'!$G$2:$G$65,"&gt;="&amp;$B67)</f>
        <v>0</v>
      </c>
      <c r="BA67" s="29" t="n">
        <f aca="false">SUMIFS('Outages (event ledger)'!$H$2:$H$65,'Outages (event ledger)'!$A$2:$A$65,BA$2,'Outages (event ledger)'!$E$2:$E$65,"&lt;="&amp;$B67,'Outages (event ledger)'!$G$2:$G$65,"&gt;="&amp;$B67)</f>
        <v>0</v>
      </c>
      <c r="BB67" s="29" t="n">
        <f aca="false">SUMIFS('Outages (event ledger)'!$H$2:$H$65,'Outages (event ledger)'!$A$2:$A$65,BB$2,'Outages (event ledger)'!$E$2:$E$65,"&lt;="&amp;$B67,'Outages (event ledger)'!$G$2:$G$65,"&gt;="&amp;$B67)</f>
        <v>0</v>
      </c>
      <c r="BC67" s="29" t="n">
        <f aca="false">SUMIFS('Outages (event ledger)'!$H$2:$H$65,'Outages (event ledger)'!$A$2:$A$65,BC$2,'Outages (event ledger)'!$E$2:$E$65,"&lt;="&amp;$B67,'Outages (event ledger)'!$G$2:$G$65,"&gt;="&amp;$B67)</f>
        <v>0</v>
      </c>
      <c r="BD67" s="29" t="n">
        <f aca="false">SUMIFS('Outages (event ledger)'!$H$2:$H$65,'Outages (event ledger)'!$A$2:$A$65,BD$2,'Outages (event ledger)'!$E$2:$E$65,"&lt;="&amp;$B67,'Outages (event ledger)'!$G$2:$G$65,"&gt;="&amp;$B67)</f>
        <v>0</v>
      </c>
      <c r="BE67" s="29" t="n">
        <f aca="false">SUMIFS('Outages (event ledger)'!$H$2:$H$65,'Outages (event ledger)'!$A$2:$A$65,BE$2,'Outages (event ledger)'!$E$2:$E$65,"&lt;="&amp;$B67,'Outages (event ledger)'!$G$2:$G$65,"&gt;="&amp;$B67)</f>
        <v>0</v>
      </c>
      <c r="BF67" s="29" t="n">
        <f aca="false">SUMIFS('Outages (event ledger)'!$H$2:$H$65,'Outages (event ledger)'!$A$2:$A$65,BF$2,'Outages (event ledger)'!$E$2:$E$65,"&lt;="&amp;$B67,'Outages (event ledger)'!$G$2:$G$65,"&gt;="&amp;$B67)</f>
        <v>0</v>
      </c>
      <c r="BG67" s="29" t="n">
        <f aca="false">SUMIFS('Outages (event ledger)'!$H$2:$H$65,'Outages (event ledger)'!$A$2:$A$65,BG$2,'Outages (event ledger)'!$E$2:$E$65,"&lt;="&amp;$B67,'Outages (event ledger)'!$G$2:$G$65,"&gt;="&amp;$B67)</f>
        <v>0</v>
      </c>
      <c r="BH67" s="29" t="n">
        <f aca="false">SUMIFS('Outages (event ledger)'!$H$2:$H$65,'Outages (event ledger)'!$A$2:$A$65,BH$2,'Outages (event ledger)'!$E$2:$E$65,"&lt;="&amp;$B67,'Outages (event ledger)'!$G$2:$G$65,"&gt;="&amp;$B67)</f>
        <v>0</v>
      </c>
      <c r="BI67" s="29" t="n">
        <f aca="false">SUMIFS('Outages (event ledger)'!$H$2:$H$65,'Outages (event ledger)'!$A$2:$A$65,BI$2,'Outages (event ledger)'!$E$2:$E$65,"&lt;="&amp;$B67,'Outages (event ledger)'!$G$2:$G$65,"&gt;="&amp;$B67)</f>
        <v>6.7</v>
      </c>
    </row>
    <row r="68" customFormat="false" ht="15" hidden="false" customHeight="false" outlineLevel="0" collapsed="false">
      <c r="A68" s="27" t="n">
        <v>42156</v>
      </c>
      <c r="B68" s="28" t="n">
        <v>201506</v>
      </c>
      <c r="C68" s="25" t="n">
        <f aca="false">SUM(D68:BI68)</f>
        <v>33.4</v>
      </c>
      <c r="D68" s="29" t="n">
        <f aca="false">SUMIFS('Outages (event ledger)'!$H$2:$H$65,'Outages (event ledger)'!$A$2:$A$65,D$2,'Outages (event ledger)'!$E$2:$E$65,"&lt;="&amp;$B68,'Outages (event ledger)'!$G$2:$G$65,"&gt;="&amp;$B68)</f>
        <v>0</v>
      </c>
      <c r="E68" s="29" t="n">
        <f aca="false">SUMIFS('Outages (event ledger)'!$H$2:$H$65,'Outages (event ledger)'!$A$2:$A$65,E$2,'Outages (event ledger)'!$E$2:$E$65,"&lt;="&amp;$B68,'Outages (event ledger)'!$G$2:$G$65,"&gt;="&amp;$B68)</f>
        <v>0</v>
      </c>
      <c r="F68" s="29" t="n">
        <f aca="false">SUMIFS('Outages (event ledger)'!$H$2:$H$65,'Outages (event ledger)'!$A$2:$A$65,F$2,'Outages (event ledger)'!$E$2:$E$65,"&lt;="&amp;$B68,'Outages (event ledger)'!$G$2:$G$65,"&gt;="&amp;$B68)</f>
        <v>0</v>
      </c>
      <c r="G68" s="29" t="n">
        <f aca="false">SUMIFS('Outages (event ledger)'!$H$2:$H$65,'Outages (event ledger)'!$A$2:$A$65,G$2,'Outages (event ledger)'!$E$2:$E$65,"&lt;="&amp;$B68,'Outages (event ledger)'!$G$2:$G$65,"&gt;="&amp;$B68)</f>
        <v>0</v>
      </c>
      <c r="H68" s="29" t="n">
        <f aca="false">SUMIFS('Outages (event ledger)'!$H$2:$H$65,'Outages (event ledger)'!$A$2:$A$65,H$2,'Outages (event ledger)'!$E$2:$E$65,"&lt;="&amp;$B68,'Outages (event ledger)'!$G$2:$G$65,"&gt;="&amp;$B68)</f>
        <v>5.2</v>
      </c>
      <c r="I68" s="29" t="n">
        <f aca="false">SUMIFS('Outages (event ledger)'!$H$2:$H$65,'Outages (event ledger)'!$A$2:$A$65,I$2,'Outages (event ledger)'!$E$2:$E$65,"&lt;="&amp;$B68,'Outages (event ledger)'!$G$2:$G$65,"&gt;="&amp;$B68)</f>
        <v>0</v>
      </c>
      <c r="J68" s="29" t="n">
        <f aca="false">SUMIFS('Outages (event ledger)'!$H$2:$H$65,'Outages (event ledger)'!$A$2:$A$65,J$2,'Outages (event ledger)'!$E$2:$E$65,"&lt;="&amp;$B68,'Outages (event ledger)'!$G$2:$G$65,"&gt;="&amp;$B68)</f>
        <v>0</v>
      </c>
      <c r="K68" s="29" t="n">
        <f aca="false">SUMIFS('Outages (event ledger)'!$H$2:$H$65,'Outages (event ledger)'!$A$2:$A$65,K$2,'Outages (event ledger)'!$E$2:$E$65,"&lt;="&amp;$B68,'Outages (event ledger)'!$G$2:$G$65,"&gt;="&amp;$B68)</f>
        <v>0</v>
      </c>
      <c r="L68" s="29" t="n">
        <f aca="false">SUMIFS('Outages (event ledger)'!$H$2:$H$65,'Outages (event ledger)'!$A$2:$A$65,L$2,'Outages (event ledger)'!$E$2:$E$65,"&lt;="&amp;$B68,'Outages (event ledger)'!$G$2:$G$65,"&gt;="&amp;$B68)</f>
        <v>0</v>
      </c>
      <c r="M68" s="29" t="n">
        <f aca="false">SUMIFS('Outages (event ledger)'!$H$2:$H$65,'Outages (event ledger)'!$A$2:$A$65,M$2,'Outages (event ledger)'!$E$2:$E$65,"&lt;="&amp;$B68,'Outages (event ledger)'!$G$2:$G$65,"&gt;="&amp;$B68)</f>
        <v>0</v>
      </c>
      <c r="N68" s="29" t="n">
        <f aca="false">SUMIFS('Outages (event ledger)'!$H$2:$H$65,'Outages (event ledger)'!$A$2:$A$65,N$2,'Outages (event ledger)'!$E$2:$E$65,"&lt;="&amp;$B68,'Outages (event ledger)'!$G$2:$G$65,"&gt;="&amp;$B68)</f>
        <v>0</v>
      </c>
      <c r="O68" s="29" t="n">
        <f aca="false">SUMIFS('Outages (event ledger)'!$H$2:$H$65,'Outages (event ledger)'!$A$2:$A$65,O$2,'Outages (event ledger)'!$E$2:$E$65,"&lt;="&amp;$B68,'Outages (event ledger)'!$G$2:$G$65,"&gt;="&amp;$B68)</f>
        <v>0</v>
      </c>
      <c r="P68" s="29" t="n">
        <f aca="false">SUMIFS('Outages (event ledger)'!$H$2:$H$65,'Outages (event ledger)'!$A$2:$A$65,P$2,'Outages (event ledger)'!$E$2:$E$65,"&lt;="&amp;$B68,'Outages (event ledger)'!$G$2:$G$65,"&gt;="&amp;$B68)</f>
        <v>0</v>
      </c>
      <c r="Q68" s="29" t="n">
        <f aca="false">SUMIFS('Outages (event ledger)'!$H$2:$H$65,'Outages (event ledger)'!$A$2:$A$65,Q$2,'Outages (event ledger)'!$E$2:$E$65,"&lt;="&amp;$B68,'Outages (event ledger)'!$G$2:$G$65,"&gt;="&amp;$B68)</f>
        <v>0</v>
      </c>
      <c r="R68" s="29" t="n">
        <f aca="false">SUMIFS('Outages (event ledger)'!$H$2:$H$65,'Outages (event ledger)'!$A$2:$A$65,R$2,'Outages (event ledger)'!$E$2:$E$65,"&lt;="&amp;$B68,'Outages (event ledger)'!$G$2:$G$65,"&gt;="&amp;$B68)</f>
        <v>0</v>
      </c>
      <c r="S68" s="29" t="n">
        <f aca="false">SUMIFS('Outages (event ledger)'!$H$2:$H$65,'Outages (event ledger)'!$A$2:$A$65,S$2,'Outages (event ledger)'!$E$2:$E$65,"&lt;="&amp;$B68,'Outages (event ledger)'!$G$2:$G$65,"&gt;="&amp;$B68)</f>
        <v>0</v>
      </c>
      <c r="T68" s="29" t="n">
        <f aca="false">SUMIFS('Outages (event ledger)'!$H$2:$H$65,'Outages (event ledger)'!$A$2:$A$65,T$2,'Outages (event ledger)'!$E$2:$E$65,"&lt;="&amp;$B68,'Outages (event ledger)'!$G$2:$G$65,"&gt;="&amp;$B68)</f>
        <v>0</v>
      </c>
      <c r="U68" s="29" t="n">
        <f aca="false">SUMIFS('Outages (event ledger)'!$H$2:$H$65,'Outages (event ledger)'!$A$2:$A$65,U$2,'Outages (event ledger)'!$E$2:$E$65,"&lt;="&amp;$B68,'Outages (event ledger)'!$G$2:$G$65,"&gt;="&amp;$B68)</f>
        <v>0</v>
      </c>
      <c r="V68" s="29" t="n">
        <f aca="false">SUMIFS('Outages (event ledger)'!$H$2:$H$65,'Outages (event ledger)'!$A$2:$A$65,V$2,'Outages (event ledger)'!$E$2:$E$65,"&lt;="&amp;$B68,'Outages (event ledger)'!$G$2:$G$65,"&gt;="&amp;$B68)</f>
        <v>0</v>
      </c>
      <c r="W68" s="29" t="n">
        <f aca="false">SUMIFS('Outages (event ledger)'!$H$2:$H$65,'Outages (event ledger)'!$A$2:$A$65,W$2,'Outages (event ledger)'!$E$2:$E$65,"&lt;="&amp;$B68,'Outages (event ledger)'!$G$2:$G$65,"&gt;="&amp;$B68)</f>
        <v>0</v>
      </c>
      <c r="X68" s="29" t="n">
        <f aca="false">SUMIFS('Outages (event ledger)'!$H$2:$H$65,'Outages (event ledger)'!$A$2:$A$65,X$2,'Outages (event ledger)'!$E$2:$E$65,"&lt;="&amp;$B68,'Outages (event ledger)'!$G$2:$G$65,"&gt;="&amp;$B68)</f>
        <v>0</v>
      </c>
      <c r="Y68" s="29" t="n">
        <f aca="false">SUMIFS('Outages (event ledger)'!$H$2:$H$65,'Outages (event ledger)'!$A$2:$A$65,Y$2,'Outages (event ledger)'!$E$2:$E$65,"&lt;="&amp;$B68,'Outages (event ledger)'!$G$2:$G$65,"&gt;="&amp;$B68)</f>
        <v>5</v>
      </c>
      <c r="Z68" s="29" t="n">
        <f aca="false">SUMIFS('Outages (event ledger)'!$H$2:$H$65,'Outages (event ledger)'!$A$2:$A$65,Z$2,'Outages (event ledger)'!$E$2:$E$65,"&lt;="&amp;$B68,'Outages (event ledger)'!$G$2:$G$65,"&gt;="&amp;$B68)</f>
        <v>5</v>
      </c>
      <c r="AA68" s="29" t="n">
        <f aca="false">SUMIFS('Outages (event ledger)'!$H$2:$H$65,'Outages (event ledger)'!$A$2:$A$65,AA$2,'Outages (event ledger)'!$E$2:$E$65,"&lt;="&amp;$B68,'Outages (event ledger)'!$G$2:$G$65,"&gt;="&amp;$B68)</f>
        <v>0</v>
      </c>
      <c r="AB68" s="29" t="n">
        <f aca="false">SUMIFS('Outages (event ledger)'!$H$2:$H$65,'Outages (event ledger)'!$A$2:$A$65,AB$2,'Outages (event ledger)'!$E$2:$E$65,"&lt;="&amp;$B68,'Outages (event ledger)'!$G$2:$G$65,"&gt;="&amp;$B68)</f>
        <v>8</v>
      </c>
      <c r="AC68" s="29" t="n">
        <f aca="false">SUMIFS('Outages (event ledger)'!$H$2:$H$65,'Outages (event ledger)'!$A$2:$A$65,AC$2,'Outages (event ledger)'!$E$2:$E$65,"&lt;="&amp;$B68,'Outages (event ledger)'!$G$2:$G$65,"&gt;="&amp;$B68)</f>
        <v>0</v>
      </c>
      <c r="AD68" s="29" t="n">
        <f aca="false">SUMIFS('Outages (event ledger)'!$H$2:$H$65,'Outages (event ledger)'!$A$2:$A$65,AD$2,'Outages (event ledger)'!$E$2:$E$65,"&lt;="&amp;$B68,'Outages (event ledger)'!$G$2:$G$65,"&gt;="&amp;$B68)</f>
        <v>0</v>
      </c>
      <c r="AE68" s="29" t="n">
        <f aca="false">SUMIFS('Outages (event ledger)'!$H$2:$H$65,'Outages (event ledger)'!$A$2:$A$65,AE$2,'Outages (event ledger)'!$E$2:$E$65,"&lt;="&amp;$B68,'Outages (event ledger)'!$G$2:$G$65,"&gt;="&amp;$B68)</f>
        <v>0</v>
      </c>
      <c r="AF68" s="29" t="n">
        <f aca="false">SUMIFS('Outages (event ledger)'!$H$2:$H$65,'Outages (event ledger)'!$A$2:$A$65,AF$2,'Outages (event ledger)'!$E$2:$E$65,"&lt;="&amp;$B68,'Outages (event ledger)'!$G$2:$G$65,"&gt;="&amp;$B68)</f>
        <v>0</v>
      </c>
      <c r="AG68" s="29" t="n">
        <f aca="false">SUMIFS('Outages (event ledger)'!$H$2:$H$65,'Outages (event ledger)'!$A$2:$A$65,AG$2,'Outages (event ledger)'!$E$2:$E$65,"&lt;="&amp;$B68,'Outages (event ledger)'!$G$2:$G$65,"&gt;="&amp;$B68)</f>
        <v>0</v>
      </c>
      <c r="AH68" s="29" t="n">
        <f aca="false">SUMIFS('Outages (event ledger)'!$H$2:$H$65,'Outages (event ledger)'!$A$2:$A$65,AH$2,'Outages (event ledger)'!$E$2:$E$65,"&lt;="&amp;$B68,'Outages (event ledger)'!$G$2:$G$65,"&gt;="&amp;$B68)</f>
        <v>0</v>
      </c>
      <c r="AI68" s="29" t="n">
        <f aca="false">SUMIFS('Outages (event ledger)'!$H$2:$H$65,'Outages (event ledger)'!$A$2:$A$65,AI$2,'Outages (event ledger)'!$E$2:$E$65,"&lt;="&amp;$B68,'Outages (event ledger)'!$G$2:$G$65,"&gt;="&amp;$B68)</f>
        <v>0</v>
      </c>
      <c r="AJ68" s="29" t="n">
        <f aca="false">SUMIFS('Outages (event ledger)'!$H$2:$H$65,'Outages (event ledger)'!$A$2:$A$65,AJ$2,'Outages (event ledger)'!$E$2:$E$65,"&lt;="&amp;$B68,'Outages (event ledger)'!$G$2:$G$65,"&gt;="&amp;$B68)</f>
        <v>0</v>
      </c>
      <c r="AK68" s="29" t="n">
        <f aca="false">SUMIFS('Outages (event ledger)'!$H$2:$H$65,'Outages (event ledger)'!$A$2:$A$65,AK$2,'Outages (event ledger)'!$E$2:$E$65,"&lt;="&amp;$B68,'Outages (event ledger)'!$G$2:$G$65,"&gt;="&amp;$B68)</f>
        <v>0</v>
      </c>
      <c r="AL68" s="29" t="n">
        <f aca="false">SUMIFS('Outages (event ledger)'!$H$2:$H$65,'Outages (event ledger)'!$A$2:$A$65,AL$2,'Outages (event ledger)'!$E$2:$E$65,"&lt;="&amp;$B68,'Outages (event ledger)'!$G$2:$G$65,"&gt;="&amp;$B68)</f>
        <v>3.5</v>
      </c>
      <c r="AM68" s="29" t="n">
        <f aca="false">SUMIFS('Outages (event ledger)'!$H$2:$H$65,'Outages (event ledger)'!$A$2:$A$65,AM$2,'Outages (event ledger)'!$E$2:$E$65,"&lt;="&amp;$B68,'Outages (event ledger)'!$G$2:$G$65,"&gt;="&amp;$B68)</f>
        <v>0</v>
      </c>
      <c r="AN68" s="29" t="n">
        <f aca="false">SUMIFS('Outages (event ledger)'!$H$2:$H$65,'Outages (event ledger)'!$A$2:$A$65,AN$2,'Outages (event ledger)'!$E$2:$E$65,"&lt;="&amp;$B68,'Outages (event ledger)'!$G$2:$G$65,"&gt;="&amp;$B68)</f>
        <v>0</v>
      </c>
      <c r="AO68" s="29" t="n">
        <f aca="false">SUMIFS('Outages (event ledger)'!$H$2:$H$65,'Outages (event ledger)'!$A$2:$A$65,AO$2,'Outages (event ledger)'!$E$2:$E$65,"&lt;="&amp;$B68,'Outages (event ledger)'!$G$2:$G$65,"&gt;="&amp;$B68)</f>
        <v>0</v>
      </c>
      <c r="AP68" s="29" t="n">
        <f aca="false">SUMIFS('Outages (event ledger)'!$H$2:$H$65,'Outages (event ledger)'!$A$2:$A$65,AP$2,'Outages (event ledger)'!$E$2:$E$65,"&lt;="&amp;$B68,'Outages (event ledger)'!$G$2:$G$65,"&gt;="&amp;$B68)</f>
        <v>0</v>
      </c>
      <c r="AQ68" s="29" t="n">
        <f aca="false">SUMIFS('Outages (event ledger)'!$H$2:$H$65,'Outages (event ledger)'!$A$2:$A$65,AQ$2,'Outages (event ledger)'!$E$2:$E$65,"&lt;="&amp;$B68,'Outages (event ledger)'!$G$2:$G$65,"&gt;="&amp;$B68)</f>
        <v>0</v>
      </c>
      <c r="AR68" s="29" t="n">
        <f aca="false">SUMIFS('Outages (event ledger)'!$H$2:$H$65,'Outages (event ledger)'!$A$2:$A$65,AR$2,'Outages (event ledger)'!$E$2:$E$65,"&lt;="&amp;$B68,'Outages (event ledger)'!$G$2:$G$65,"&gt;="&amp;$B68)</f>
        <v>0</v>
      </c>
      <c r="AS68" s="29" t="n">
        <f aca="false">SUMIFS('Outages (event ledger)'!$H$2:$H$65,'Outages (event ledger)'!$A$2:$A$65,AS$2,'Outages (event ledger)'!$E$2:$E$65,"&lt;="&amp;$B68,'Outages (event ledger)'!$G$2:$G$65,"&gt;="&amp;$B68)</f>
        <v>0</v>
      </c>
      <c r="AT68" s="29" t="n">
        <f aca="false">SUMIFS('Outages (event ledger)'!$H$2:$H$65,'Outages (event ledger)'!$A$2:$A$65,AT$2,'Outages (event ledger)'!$E$2:$E$65,"&lt;="&amp;$B68,'Outages (event ledger)'!$G$2:$G$65,"&gt;="&amp;$B68)</f>
        <v>0</v>
      </c>
      <c r="AU68" s="29" t="n">
        <f aca="false">SUMIFS('Outages (event ledger)'!$H$2:$H$65,'Outages (event ledger)'!$A$2:$A$65,AU$2,'Outages (event ledger)'!$E$2:$E$65,"&lt;="&amp;$B68,'Outages (event ledger)'!$G$2:$G$65,"&gt;="&amp;$B68)</f>
        <v>0</v>
      </c>
      <c r="AV68" s="29" t="n">
        <f aca="false">SUMIFS('Outages (event ledger)'!$H$2:$H$65,'Outages (event ledger)'!$A$2:$A$65,AV$2,'Outages (event ledger)'!$E$2:$E$65,"&lt;="&amp;$B68,'Outages (event ledger)'!$G$2:$G$65,"&gt;="&amp;$B68)</f>
        <v>0</v>
      </c>
      <c r="AW68" s="29" t="n">
        <f aca="false">SUMIFS('Outages (event ledger)'!$H$2:$H$65,'Outages (event ledger)'!$A$2:$A$65,AW$2,'Outages (event ledger)'!$E$2:$E$65,"&lt;="&amp;$B68,'Outages (event ledger)'!$G$2:$G$65,"&gt;="&amp;$B68)</f>
        <v>0</v>
      </c>
      <c r="AX68" s="29" t="n">
        <f aca="false">SUMIFS('Outages (event ledger)'!$H$2:$H$65,'Outages (event ledger)'!$A$2:$A$65,AX$2,'Outages (event ledger)'!$E$2:$E$65,"&lt;="&amp;$B68,'Outages (event ledger)'!$G$2:$G$65,"&gt;="&amp;$B68)</f>
        <v>0</v>
      </c>
      <c r="AY68" s="29" t="n">
        <f aca="false">SUMIFS('Outages (event ledger)'!$H$2:$H$65,'Outages (event ledger)'!$A$2:$A$65,AY$2,'Outages (event ledger)'!$E$2:$E$65,"&lt;="&amp;$B68,'Outages (event ledger)'!$G$2:$G$65,"&gt;="&amp;$B68)</f>
        <v>0</v>
      </c>
      <c r="AZ68" s="29" t="n">
        <f aca="false">SUMIFS('Outages (event ledger)'!$H$2:$H$65,'Outages (event ledger)'!$A$2:$A$65,AZ$2,'Outages (event ledger)'!$E$2:$E$65,"&lt;="&amp;$B68,'Outages (event ledger)'!$G$2:$G$65,"&gt;="&amp;$B68)</f>
        <v>0</v>
      </c>
      <c r="BA68" s="29" t="n">
        <f aca="false">SUMIFS('Outages (event ledger)'!$H$2:$H$65,'Outages (event ledger)'!$A$2:$A$65,BA$2,'Outages (event ledger)'!$E$2:$E$65,"&lt;="&amp;$B68,'Outages (event ledger)'!$G$2:$G$65,"&gt;="&amp;$B68)</f>
        <v>0</v>
      </c>
      <c r="BB68" s="29" t="n">
        <f aca="false">SUMIFS('Outages (event ledger)'!$H$2:$H$65,'Outages (event ledger)'!$A$2:$A$65,BB$2,'Outages (event ledger)'!$E$2:$E$65,"&lt;="&amp;$B68,'Outages (event ledger)'!$G$2:$G$65,"&gt;="&amp;$B68)</f>
        <v>0</v>
      </c>
      <c r="BC68" s="29" t="n">
        <f aca="false">SUMIFS('Outages (event ledger)'!$H$2:$H$65,'Outages (event ledger)'!$A$2:$A$65,BC$2,'Outages (event ledger)'!$E$2:$E$65,"&lt;="&amp;$B68,'Outages (event ledger)'!$G$2:$G$65,"&gt;="&amp;$B68)</f>
        <v>0</v>
      </c>
      <c r="BD68" s="29" t="n">
        <f aca="false">SUMIFS('Outages (event ledger)'!$H$2:$H$65,'Outages (event ledger)'!$A$2:$A$65,BD$2,'Outages (event ledger)'!$E$2:$E$65,"&lt;="&amp;$B68,'Outages (event ledger)'!$G$2:$G$65,"&gt;="&amp;$B68)</f>
        <v>0</v>
      </c>
      <c r="BE68" s="29" t="n">
        <f aca="false">SUMIFS('Outages (event ledger)'!$H$2:$H$65,'Outages (event ledger)'!$A$2:$A$65,BE$2,'Outages (event ledger)'!$E$2:$E$65,"&lt;="&amp;$B68,'Outages (event ledger)'!$G$2:$G$65,"&gt;="&amp;$B68)</f>
        <v>0</v>
      </c>
      <c r="BF68" s="29" t="n">
        <f aca="false">SUMIFS('Outages (event ledger)'!$H$2:$H$65,'Outages (event ledger)'!$A$2:$A$65,BF$2,'Outages (event ledger)'!$E$2:$E$65,"&lt;="&amp;$B68,'Outages (event ledger)'!$G$2:$G$65,"&gt;="&amp;$B68)</f>
        <v>0</v>
      </c>
      <c r="BG68" s="29" t="n">
        <f aca="false">SUMIFS('Outages (event ledger)'!$H$2:$H$65,'Outages (event ledger)'!$A$2:$A$65,BG$2,'Outages (event ledger)'!$E$2:$E$65,"&lt;="&amp;$B68,'Outages (event ledger)'!$G$2:$G$65,"&gt;="&amp;$B68)</f>
        <v>0</v>
      </c>
      <c r="BH68" s="29" t="n">
        <f aca="false">SUMIFS('Outages (event ledger)'!$H$2:$H$65,'Outages (event ledger)'!$A$2:$A$65,BH$2,'Outages (event ledger)'!$E$2:$E$65,"&lt;="&amp;$B68,'Outages (event ledger)'!$G$2:$G$65,"&gt;="&amp;$B68)</f>
        <v>0</v>
      </c>
      <c r="BI68" s="29" t="n">
        <f aca="false">SUMIFS('Outages (event ledger)'!$H$2:$H$65,'Outages (event ledger)'!$A$2:$A$65,BI$2,'Outages (event ledger)'!$E$2:$E$65,"&lt;="&amp;$B68,'Outages (event ledger)'!$G$2:$G$65,"&gt;="&amp;$B68)</f>
        <v>6.7</v>
      </c>
    </row>
    <row r="69" customFormat="false" ht="15" hidden="false" customHeight="false" outlineLevel="0" collapsed="false">
      <c r="A69" s="27" t="n">
        <v>42186</v>
      </c>
      <c r="B69" s="28" t="n">
        <v>201507</v>
      </c>
      <c r="C69" s="25" t="n">
        <f aca="false">SUM(D69:BI69)</f>
        <v>33.4</v>
      </c>
      <c r="D69" s="29" t="n">
        <f aca="false">SUMIFS('Outages (event ledger)'!$H$2:$H$65,'Outages (event ledger)'!$A$2:$A$65,D$2,'Outages (event ledger)'!$E$2:$E$65,"&lt;="&amp;$B69,'Outages (event ledger)'!$G$2:$G$65,"&gt;="&amp;$B69)</f>
        <v>0</v>
      </c>
      <c r="E69" s="29" t="n">
        <f aca="false">SUMIFS('Outages (event ledger)'!$H$2:$H$65,'Outages (event ledger)'!$A$2:$A$65,E$2,'Outages (event ledger)'!$E$2:$E$65,"&lt;="&amp;$B69,'Outages (event ledger)'!$G$2:$G$65,"&gt;="&amp;$B69)</f>
        <v>0</v>
      </c>
      <c r="F69" s="29" t="n">
        <f aca="false">SUMIFS('Outages (event ledger)'!$H$2:$H$65,'Outages (event ledger)'!$A$2:$A$65,F$2,'Outages (event ledger)'!$E$2:$E$65,"&lt;="&amp;$B69,'Outages (event ledger)'!$G$2:$G$65,"&gt;="&amp;$B69)</f>
        <v>0</v>
      </c>
      <c r="G69" s="29" t="n">
        <f aca="false">SUMIFS('Outages (event ledger)'!$H$2:$H$65,'Outages (event ledger)'!$A$2:$A$65,G$2,'Outages (event ledger)'!$E$2:$E$65,"&lt;="&amp;$B69,'Outages (event ledger)'!$G$2:$G$65,"&gt;="&amp;$B69)</f>
        <v>0</v>
      </c>
      <c r="H69" s="29" t="n">
        <f aca="false">SUMIFS('Outages (event ledger)'!$H$2:$H$65,'Outages (event ledger)'!$A$2:$A$65,H$2,'Outages (event ledger)'!$E$2:$E$65,"&lt;="&amp;$B69,'Outages (event ledger)'!$G$2:$G$65,"&gt;="&amp;$B69)</f>
        <v>5.2</v>
      </c>
      <c r="I69" s="29" t="n">
        <f aca="false">SUMIFS('Outages (event ledger)'!$H$2:$H$65,'Outages (event ledger)'!$A$2:$A$65,I$2,'Outages (event ledger)'!$E$2:$E$65,"&lt;="&amp;$B69,'Outages (event ledger)'!$G$2:$G$65,"&gt;="&amp;$B69)</f>
        <v>0</v>
      </c>
      <c r="J69" s="29" t="n">
        <f aca="false">SUMIFS('Outages (event ledger)'!$H$2:$H$65,'Outages (event ledger)'!$A$2:$A$65,J$2,'Outages (event ledger)'!$E$2:$E$65,"&lt;="&amp;$B69,'Outages (event ledger)'!$G$2:$G$65,"&gt;="&amp;$B69)</f>
        <v>0</v>
      </c>
      <c r="K69" s="29" t="n">
        <f aca="false">SUMIFS('Outages (event ledger)'!$H$2:$H$65,'Outages (event ledger)'!$A$2:$A$65,K$2,'Outages (event ledger)'!$E$2:$E$65,"&lt;="&amp;$B69,'Outages (event ledger)'!$G$2:$G$65,"&gt;="&amp;$B69)</f>
        <v>0</v>
      </c>
      <c r="L69" s="29" t="n">
        <f aca="false">SUMIFS('Outages (event ledger)'!$H$2:$H$65,'Outages (event ledger)'!$A$2:$A$65,L$2,'Outages (event ledger)'!$E$2:$E$65,"&lt;="&amp;$B69,'Outages (event ledger)'!$G$2:$G$65,"&gt;="&amp;$B69)</f>
        <v>0</v>
      </c>
      <c r="M69" s="29" t="n">
        <f aca="false">SUMIFS('Outages (event ledger)'!$H$2:$H$65,'Outages (event ledger)'!$A$2:$A$65,M$2,'Outages (event ledger)'!$E$2:$E$65,"&lt;="&amp;$B69,'Outages (event ledger)'!$G$2:$G$65,"&gt;="&amp;$B69)</f>
        <v>0</v>
      </c>
      <c r="N69" s="29" t="n">
        <f aca="false">SUMIFS('Outages (event ledger)'!$H$2:$H$65,'Outages (event ledger)'!$A$2:$A$65,N$2,'Outages (event ledger)'!$E$2:$E$65,"&lt;="&amp;$B69,'Outages (event ledger)'!$G$2:$G$65,"&gt;="&amp;$B69)</f>
        <v>0</v>
      </c>
      <c r="O69" s="29" t="n">
        <f aca="false">SUMIFS('Outages (event ledger)'!$H$2:$H$65,'Outages (event ledger)'!$A$2:$A$65,O$2,'Outages (event ledger)'!$E$2:$E$65,"&lt;="&amp;$B69,'Outages (event ledger)'!$G$2:$G$65,"&gt;="&amp;$B69)</f>
        <v>0</v>
      </c>
      <c r="P69" s="29" t="n">
        <f aca="false">SUMIFS('Outages (event ledger)'!$H$2:$H$65,'Outages (event ledger)'!$A$2:$A$65,P$2,'Outages (event ledger)'!$E$2:$E$65,"&lt;="&amp;$B69,'Outages (event ledger)'!$G$2:$G$65,"&gt;="&amp;$B69)</f>
        <v>0</v>
      </c>
      <c r="Q69" s="29" t="n">
        <f aca="false">SUMIFS('Outages (event ledger)'!$H$2:$H$65,'Outages (event ledger)'!$A$2:$A$65,Q$2,'Outages (event ledger)'!$E$2:$E$65,"&lt;="&amp;$B69,'Outages (event ledger)'!$G$2:$G$65,"&gt;="&amp;$B69)</f>
        <v>0</v>
      </c>
      <c r="R69" s="29" t="n">
        <f aca="false">SUMIFS('Outages (event ledger)'!$H$2:$H$65,'Outages (event ledger)'!$A$2:$A$65,R$2,'Outages (event ledger)'!$E$2:$E$65,"&lt;="&amp;$B69,'Outages (event ledger)'!$G$2:$G$65,"&gt;="&amp;$B69)</f>
        <v>0</v>
      </c>
      <c r="S69" s="29" t="n">
        <f aca="false">SUMIFS('Outages (event ledger)'!$H$2:$H$65,'Outages (event ledger)'!$A$2:$A$65,S$2,'Outages (event ledger)'!$E$2:$E$65,"&lt;="&amp;$B69,'Outages (event ledger)'!$G$2:$G$65,"&gt;="&amp;$B69)</f>
        <v>0</v>
      </c>
      <c r="T69" s="29" t="n">
        <f aca="false">SUMIFS('Outages (event ledger)'!$H$2:$H$65,'Outages (event ledger)'!$A$2:$A$65,T$2,'Outages (event ledger)'!$E$2:$E$65,"&lt;="&amp;$B69,'Outages (event ledger)'!$G$2:$G$65,"&gt;="&amp;$B69)</f>
        <v>0</v>
      </c>
      <c r="U69" s="29" t="n">
        <f aca="false">SUMIFS('Outages (event ledger)'!$H$2:$H$65,'Outages (event ledger)'!$A$2:$A$65,U$2,'Outages (event ledger)'!$E$2:$E$65,"&lt;="&amp;$B69,'Outages (event ledger)'!$G$2:$G$65,"&gt;="&amp;$B69)</f>
        <v>0</v>
      </c>
      <c r="V69" s="29" t="n">
        <f aca="false">SUMIFS('Outages (event ledger)'!$H$2:$H$65,'Outages (event ledger)'!$A$2:$A$65,V$2,'Outages (event ledger)'!$E$2:$E$65,"&lt;="&amp;$B69,'Outages (event ledger)'!$G$2:$G$65,"&gt;="&amp;$B69)</f>
        <v>0</v>
      </c>
      <c r="W69" s="29" t="n">
        <f aca="false">SUMIFS('Outages (event ledger)'!$H$2:$H$65,'Outages (event ledger)'!$A$2:$A$65,W$2,'Outages (event ledger)'!$E$2:$E$65,"&lt;="&amp;$B69,'Outages (event ledger)'!$G$2:$G$65,"&gt;="&amp;$B69)</f>
        <v>0</v>
      </c>
      <c r="X69" s="29" t="n">
        <f aca="false">SUMIFS('Outages (event ledger)'!$H$2:$H$65,'Outages (event ledger)'!$A$2:$A$65,X$2,'Outages (event ledger)'!$E$2:$E$65,"&lt;="&amp;$B69,'Outages (event ledger)'!$G$2:$G$65,"&gt;="&amp;$B69)</f>
        <v>0</v>
      </c>
      <c r="Y69" s="29" t="n">
        <f aca="false">SUMIFS('Outages (event ledger)'!$H$2:$H$65,'Outages (event ledger)'!$A$2:$A$65,Y$2,'Outages (event ledger)'!$E$2:$E$65,"&lt;="&amp;$B69,'Outages (event ledger)'!$G$2:$G$65,"&gt;="&amp;$B69)</f>
        <v>5</v>
      </c>
      <c r="Z69" s="29" t="n">
        <f aca="false">SUMIFS('Outages (event ledger)'!$H$2:$H$65,'Outages (event ledger)'!$A$2:$A$65,Z$2,'Outages (event ledger)'!$E$2:$E$65,"&lt;="&amp;$B69,'Outages (event ledger)'!$G$2:$G$65,"&gt;="&amp;$B69)</f>
        <v>5</v>
      </c>
      <c r="AA69" s="29" t="n">
        <f aca="false">SUMIFS('Outages (event ledger)'!$H$2:$H$65,'Outages (event ledger)'!$A$2:$A$65,AA$2,'Outages (event ledger)'!$E$2:$E$65,"&lt;="&amp;$B69,'Outages (event ledger)'!$G$2:$G$65,"&gt;="&amp;$B69)</f>
        <v>0</v>
      </c>
      <c r="AB69" s="29" t="n">
        <f aca="false">SUMIFS('Outages (event ledger)'!$H$2:$H$65,'Outages (event ledger)'!$A$2:$A$65,AB$2,'Outages (event ledger)'!$E$2:$E$65,"&lt;="&amp;$B69,'Outages (event ledger)'!$G$2:$G$65,"&gt;="&amp;$B69)</f>
        <v>8</v>
      </c>
      <c r="AC69" s="29" t="n">
        <f aca="false">SUMIFS('Outages (event ledger)'!$H$2:$H$65,'Outages (event ledger)'!$A$2:$A$65,AC$2,'Outages (event ledger)'!$E$2:$E$65,"&lt;="&amp;$B69,'Outages (event ledger)'!$G$2:$G$65,"&gt;="&amp;$B69)</f>
        <v>0</v>
      </c>
      <c r="AD69" s="29" t="n">
        <f aca="false">SUMIFS('Outages (event ledger)'!$H$2:$H$65,'Outages (event ledger)'!$A$2:$A$65,AD$2,'Outages (event ledger)'!$E$2:$E$65,"&lt;="&amp;$B69,'Outages (event ledger)'!$G$2:$G$65,"&gt;="&amp;$B69)</f>
        <v>0</v>
      </c>
      <c r="AE69" s="29" t="n">
        <f aca="false">SUMIFS('Outages (event ledger)'!$H$2:$H$65,'Outages (event ledger)'!$A$2:$A$65,AE$2,'Outages (event ledger)'!$E$2:$E$65,"&lt;="&amp;$B69,'Outages (event ledger)'!$G$2:$G$65,"&gt;="&amp;$B69)</f>
        <v>0</v>
      </c>
      <c r="AF69" s="29" t="n">
        <f aca="false">SUMIFS('Outages (event ledger)'!$H$2:$H$65,'Outages (event ledger)'!$A$2:$A$65,AF$2,'Outages (event ledger)'!$E$2:$E$65,"&lt;="&amp;$B69,'Outages (event ledger)'!$G$2:$G$65,"&gt;="&amp;$B69)</f>
        <v>0</v>
      </c>
      <c r="AG69" s="29" t="n">
        <f aca="false">SUMIFS('Outages (event ledger)'!$H$2:$H$65,'Outages (event ledger)'!$A$2:$A$65,AG$2,'Outages (event ledger)'!$E$2:$E$65,"&lt;="&amp;$B69,'Outages (event ledger)'!$G$2:$G$65,"&gt;="&amp;$B69)</f>
        <v>0</v>
      </c>
      <c r="AH69" s="29" t="n">
        <f aca="false">SUMIFS('Outages (event ledger)'!$H$2:$H$65,'Outages (event ledger)'!$A$2:$A$65,AH$2,'Outages (event ledger)'!$E$2:$E$65,"&lt;="&amp;$B69,'Outages (event ledger)'!$G$2:$G$65,"&gt;="&amp;$B69)</f>
        <v>0</v>
      </c>
      <c r="AI69" s="29" t="n">
        <f aca="false">SUMIFS('Outages (event ledger)'!$H$2:$H$65,'Outages (event ledger)'!$A$2:$A$65,AI$2,'Outages (event ledger)'!$E$2:$E$65,"&lt;="&amp;$B69,'Outages (event ledger)'!$G$2:$G$65,"&gt;="&amp;$B69)</f>
        <v>0</v>
      </c>
      <c r="AJ69" s="29" t="n">
        <f aca="false">SUMIFS('Outages (event ledger)'!$H$2:$H$65,'Outages (event ledger)'!$A$2:$A$65,AJ$2,'Outages (event ledger)'!$E$2:$E$65,"&lt;="&amp;$B69,'Outages (event ledger)'!$G$2:$G$65,"&gt;="&amp;$B69)</f>
        <v>0</v>
      </c>
      <c r="AK69" s="29" t="n">
        <f aca="false">SUMIFS('Outages (event ledger)'!$H$2:$H$65,'Outages (event ledger)'!$A$2:$A$65,AK$2,'Outages (event ledger)'!$E$2:$E$65,"&lt;="&amp;$B69,'Outages (event ledger)'!$G$2:$G$65,"&gt;="&amp;$B69)</f>
        <v>0</v>
      </c>
      <c r="AL69" s="29" t="n">
        <f aca="false">SUMIFS('Outages (event ledger)'!$H$2:$H$65,'Outages (event ledger)'!$A$2:$A$65,AL$2,'Outages (event ledger)'!$E$2:$E$65,"&lt;="&amp;$B69,'Outages (event ledger)'!$G$2:$G$65,"&gt;="&amp;$B69)</f>
        <v>3.5</v>
      </c>
      <c r="AM69" s="29" t="n">
        <f aca="false">SUMIFS('Outages (event ledger)'!$H$2:$H$65,'Outages (event ledger)'!$A$2:$A$65,AM$2,'Outages (event ledger)'!$E$2:$E$65,"&lt;="&amp;$B69,'Outages (event ledger)'!$G$2:$G$65,"&gt;="&amp;$B69)</f>
        <v>0</v>
      </c>
      <c r="AN69" s="29" t="n">
        <f aca="false">SUMIFS('Outages (event ledger)'!$H$2:$H$65,'Outages (event ledger)'!$A$2:$A$65,AN$2,'Outages (event ledger)'!$E$2:$E$65,"&lt;="&amp;$B69,'Outages (event ledger)'!$G$2:$G$65,"&gt;="&amp;$B69)</f>
        <v>0</v>
      </c>
      <c r="AO69" s="29" t="n">
        <f aca="false">SUMIFS('Outages (event ledger)'!$H$2:$H$65,'Outages (event ledger)'!$A$2:$A$65,AO$2,'Outages (event ledger)'!$E$2:$E$65,"&lt;="&amp;$B69,'Outages (event ledger)'!$G$2:$G$65,"&gt;="&amp;$B69)</f>
        <v>0</v>
      </c>
      <c r="AP69" s="29" t="n">
        <f aca="false">SUMIFS('Outages (event ledger)'!$H$2:$H$65,'Outages (event ledger)'!$A$2:$A$65,AP$2,'Outages (event ledger)'!$E$2:$E$65,"&lt;="&amp;$B69,'Outages (event ledger)'!$G$2:$G$65,"&gt;="&amp;$B69)</f>
        <v>0</v>
      </c>
      <c r="AQ69" s="29" t="n">
        <f aca="false">SUMIFS('Outages (event ledger)'!$H$2:$H$65,'Outages (event ledger)'!$A$2:$A$65,AQ$2,'Outages (event ledger)'!$E$2:$E$65,"&lt;="&amp;$B69,'Outages (event ledger)'!$G$2:$G$65,"&gt;="&amp;$B69)</f>
        <v>0</v>
      </c>
      <c r="AR69" s="29" t="n">
        <f aca="false">SUMIFS('Outages (event ledger)'!$H$2:$H$65,'Outages (event ledger)'!$A$2:$A$65,AR$2,'Outages (event ledger)'!$E$2:$E$65,"&lt;="&amp;$B69,'Outages (event ledger)'!$G$2:$G$65,"&gt;="&amp;$B69)</f>
        <v>0</v>
      </c>
      <c r="AS69" s="29" t="n">
        <f aca="false">SUMIFS('Outages (event ledger)'!$H$2:$H$65,'Outages (event ledger)'!$A$2:$A$65,AS$2,'Outages (event ledger)'!$E$2:$E$65,"&lt;="&amp;$B69,'Outages (event ledger)'!$G$2:$G$65,"&gt;="&amp;$B69)</f>
        <v>0</v>
      </c>
      <c r="AT69" s="29" t="n">
        <f aca="false">SUMIFS('Outages (event ledger)'!$H$2:$H$65,'Outages (event ledger)'!$A$2:$A$65,AT$2,'Outages (event ledger)'!$E$2:$E$65,"&lt;="&amp;$B69,'Outages (event ledger)'!$G$2:$G$65,"&gt;="&amp;$B69)</f>
        <v>0</v>
      </c>
      <c r="AU69" s="29" t="n">
        <f aca="false">SUMIFS('Outages (event ledger)'!$H$2:$H$65,'Outages (event ledger)'!$A$2:$A$65,AU$2,'Outages (event ledger)'!$E$2:$E$65,"&lt;="&amp;$B69,'Outages (event ledger)'!$G$2:$G$65,"&gt;="&amp;$B69)</f>
        <v>0</v>
      </c>
      <c r="AV69" s="29" t="n">
        <f aca="false">SUMIFS('Outages (event ledger)'!$H$2:$H$65,'Outages (event ledger)'!$A$2:$A$65,AV$2,'Outages (event ledger)'!$E$2:$E$65,"&lt;="&amp;$B69,'Outages (event ledger)'!$G$2:$G$65,"&gt;="&amp;$B69)</f>
        <v>0</v>
      </c>
      <c r="AW69" s="29" t="n">
        <f aca="false">SUMIFS('Outages (event ledger)'!$H$2:$H$65,'Outages (event ledger)'!$A$2:$A$65,AW$2,'Outages (event ledger)'!$E$2:$E$65,"&lt;="&amp;$B69,'Outages (event ledger)'!$G$2:$G$65,"&gt;="&amp;$B69)</f>
        <v>0</v>
      </c>
      <c r="AX69" s="29" t="n">
        <f aca="false">SUMIFS('Outages (event ledger)'!$H$2:$H$65,'Outages (event ledger)'!$A$2:$A$65,AX$2,'Outages (event ledger)'!$E$2:$E$65,"&lt;="&amp;$B69,'Outages (event ledger)'!$G$2:$G$65,"&gt;="&amp;$B69)</f>
        <v>0</v>
      </c>
      <c r="AY69" s="29" t="n">
        <f aca="false">SUMIFS('Outages (event ledger)'!$H$2:$H$65,'Outages (event ledger)'!$A$2:$A$65,AY$2,'Outages (event ledger)'!$E$2:$E$65,"&lt;="&amp;$B69,'Outages (event ledger)'!$G$2:$G$65,"&gt;="&amp;$B69)</f>
        <v>0</v>
      </c>
      <c r="AZ69" s="29" t="n">
        <f aca="false">SUMIFS('Outages (event ledger)'!$H$2:$H$65,'Outages (event ledger)'!$A$2:$A$65,AZ$2,'Outages (event ledger)'!$E$2:$E$65,"&lt;="&amp;$B69,'Outages (event ledger)'!$G$2:$G$65,"&gt;="&amp;$B69)</f>
        <v>0</v>
      </c>
      <c r="BA69" s="29" t="n">
        <f aca="false">SUMIFS('Outages (event ledger)'!$H$2:$H$65,'Outages (event ledger)'!$A$2:$A$65,BA$2,'Outages (event ledger)'!$E$2:$E$65,"&lt;="&amp;$B69,'Outages (event ledger)'!$G$2:$G$65,"&gt;="&amp;$B69)</f>
        <v>0</v>
      </c>
      <c r="BB69" s="29" t="n">
        <f aca="false">SUMIFS('Outages (event ledger)'!$H$2:$H$65,'Outages (event ledger)'!$A$2:$A$65,BB$2,'Outages (event ledger)'!$E$2:$E$65,"&lt;="&amp;$B69,'Outages (event ledger)'!$G$2:$G$65,"&gt;="&amp;$B69)</f>
        <v>0</v>
      </c>
      <c r="BC69" s="29" t="n">
        <f aca="false">SUMIFS('Outages (event ledger)'!$H$2:$H$65,'Outages (event ledger)'!$A$2:$A$65,BC$2,'Outages (event ledger)'!$E$2:$E$65,"&lt;="&amp;$B69,'Outages (event ledger)'!$G$2:$G$65,"&gt;="&amp;$B69)</f>
        <v>0</v>
      </c>
      <c r="BD69" s="29" t="n">
        <f aca="false">SUMIFS('Outages (event ledger)'!$H$2:$H$65,'Outages (event ledger)'!$A$2:$A$65,BD$2,'Outages (event ledger)'!$E$2:$E$65,"&lt;="&amp;$B69,'Outages (event ledger)'!$G$2:$G$65,"&gt;="&amp;$B69)</f>
        <v>0</v>
      </c>
      <c r="BE69" s="29" t="n">
        <f aca="false">SUMIFS('Outages (event ledger)'!$H$2:$H$65,'Outages (event ledger)'!$A$2:$A$65,BE$2,'Outages (event ledger)'!$E$2:$E$65,"&lt;="&amp;$B69,'Outages (event ledger)'!$G$2:$G$65,"&gt;="&amp;$B69)</f>
        <v>0</v>
      </c>
      <c r="BF69" s="29" t="n">
        <f aca="false">SUMIFS('Outages (event ledger)'!$H$2:$H$65,'Outages (event ledger)'!$A$2:$A$65,BF$2,'Outages (event ledger)'!$E$2:$E$65,"&lt;="&amp;$B69,'Outages (event ledger)'!$G$2:$G$65,"&gt;="&amp;$B69)</f>
        <v>0</v>
      </c>
      <c r="BG69" s="29" t="n">
        <f aca="false">SUMIFS('Outages (event ledger)'!$H$2:$H$65,'Outages (event ledger)'!$A$2:$A$65,BG$2,'Outages (event ledger)'!$E$2:$E$65,"&lt;="&amp;$B69,'Outages (event ledger)'!$G$2:$G$65,"&gt;="&amp;$B69)</f>
        <v>0</v>
      </c>
      <c r="BH69" s="29" t="n">
        <f aca="false">SUMIFS('Outages (event ledger)'!$H$2:$H$65,'Outages (event ledger)'!$A$2:$A$65,BH$2,'Outages (event ledger)'!$E$2:$E$65,"&lt;="&amp;$B69,'Outages (event ledger)'!$G$2:$G$65,"&gt;="&amp;$B69)</f>
        <v>0</v>
      </c>
      <c r="BI69" s="29" t="n">
        <f aca="false">SUMIFS('Outages (event ledger)'!$H$2:$H$65,'Outages (event ledger)'!$A$2:$A$65,BI$2,'Outages (event ledger)'!$E$2:$E$65,"&lt;="&amp;$B69,'Outages (event ledger)'!$G$2:$G$65,"&gt;="&amp;$B69)</f>
        <v>6.7</v>
      </c>
    </row>
    <row r="70" customFormat="false" ht="15" hidden="false" customHeight="false" outlineLevel="0" collapsed="false">
      <c r="A70" s="27" t="n">
        <v>42217</v>
      </c>
      <c r="B70" s="28" t="n">
        <v>201508</v>
      </c>
      <c r="C70" s="25" t="n">
        <f aca="false">SUM(D70:BI70)</f>
        <v>33.4</v>
      </c>
      <c r="D70" s="29" t="n">
        <f aca="false">SUMIFS('Outages (event ledger)'!$H$2:$H$65,'Outages (event ledger)'!$A$2:$A$65,D$2,'Outages (event ledger)'!$E$2:$E$65,"&lt;="&amp;$B70,'Outages (event ledger)'!$G$2:$G$65,"&gt;="&amp;$B70)</f>
        <v>0</v>
      </c>
      <c r="E70" s="29" t="n">
        <f aca="false">SUMIFS('Outages (event ledger)'!$H$2:$H$65,'Outages (event ledger)'!$A$2:$A$65,E$2,'Outages (event ledger)'!$E$2:$E$65,"&lt;="&amp;$B70,'Outages (event ledger)'!$G$2:$G$65,"&gt;="&amp;$B70)</f>
        <v>0</v>
      </c>
      <c r="F70" s="29" t="n">
        <f aca="false">SUMIFS('Outages (event ledger)'!$H$2:$H$65,'Outages (event ledger)'!$A$2:$A$65,F$2,'Outages (event ledger)'!$E$2:$E$65,"&lt;="&amp;$B70,'Outages (event ledger)'!$G$2:$G$65,"&gt;="&amp;$B70)</f>
        <v>0</v>
      </c>
      <c r="G70" s="29" t="n">
        <f aca="false">SUMIFS('Outages (event ledger)'!$H$2:$H$65,'Outages (event ledger)'!$A$2:$A$65,G$2,'Outages (event ledger)'!$E$2:$E$65,"&lt;="&amp;$B70,'Outages (event ledger)'!$G$2:$G$65,"&gt;="&amp;$B70)</f>
        <v>0</v>
      </c>
      <c r="H70" s="29" t="n">
        <f aca="false">SUMIFS('Outages (event ledger)'!$H$2:$H$65,'Outages (event ledger)'!$A$2:$A$65,H$2,'Outages (event ledger)'!$E$2:$E$65,"&lt;="&amp;$B70,'Outages (event ledger)'!$G$2:$G$65,"&gt;="&amp;$B70)</f>
        <v>5.2</v>
      </c>
      <c r="I70" s="29" t="n">
        <f aca="false">SUMIFS('Outages (event ledger)'!$H$2:$H$65,'Outages (event ledger)'!$A$2:$A$65,I$2,'Outages (event ledger)'!$E$2:$E$65,"&lt;="&amp;$B70,'Outages (event ledger)'!$G$2:$G$65,"&gt;="&amp;$B70)</f>
        <v>0</v>
      </c>
      <c r="J70" s="29" t="n">
        <f aca="false">SUMIFS('Outages (event ledger)'!$H$2:$H$65,'Outages (event ledger)'!$A$2:$A$65,J$2,'Outages (event ledger)'!$E$2:$E$65,"&lt;="&amp;$B70,'Outages (event ledger)'!$G$2:$G$65,"&gt;="&amp;$B70)</f>
        <v>0</v>
      </c>
      <c r="K70" s="29" t="n">
        <f aca="false">SUMIFS('Outages (event ledger)'!$H$2:$H$65,'Outages (event ledger)'!$A$2:$A$65,K$2,'Outages (event ledger)'!$E$2:$E$65,"&lt;="&amp;$B70,'Outages (event ledger)'!$G$2:$G$65,"&gt;="&amp;$B70)</f>
        <v>0</v>
      </c>
      <c r="L70" s="29" t="n">
        <f aca="false">SUMIFS('Outages (event ledger)'!$H$2:$H$65,'Outages (event ledger)'!$A$2:$A$65,L$2,'Outages (event ledger)'!$E$2:$E$65,"&lt;="&amp;$B70,'Outages (event ledger)'!$G$2:$G$65,"&gt;="&amp;$B70)</f>
        <v>0</v>
      </c>
      <c r="M70" s="29" t="n">
        <f aca="false">SUMIFS('Outages (event ledger)'!$H$2:$H$65,'Outages (event ledger)'!$A$2:$A$65,M$2,'Outages (event ledger)'!$E$2:$E$65,"&lt;="&amp;$B70,'Outages (event ledger)'!$G$2:$G$65,"&gt;="&amp;$B70)</f>
        <v>0</v>
      </c>
      <c r="N70" s="29" t="n">
        <f aca="false">SUMIFS('Outages (event ledger)'!$H$2:$H$65,'Outages (event ledger)'!$A$2:$A$65,N$2,'Outages (event ledger)'!$E$2:$E$65,"&lt;="&amp;$B70,'Outages (event ledger)'!$G$2:$G$65,"&gt;="&amp;$B70)</f>
        <v>0</v>
      </c>
      <c r="O70" s="29" t="n">
        <f aca="false">SUMIFS('Outages (event ledger)'!$H$2:$H$65,'Outages (event ledger)'!$A$2:$A$65,O$2,'Outages (event ledger)'!$E$2:$E$65,"&lt;="&amp;$B70,'Outages (event ledger)'!$G$2:$G$65,"&gt;="&amp;$B70)</f>
        <v>0</v>
      </c>
      <c r="P70" s="29" t="n">
        <f aca="false">SUMIFS('Outages (event ledger)'!$H$2:$H$65,'Outages (event ledger)'!$A$2:$A$65,P$2,'Outages (event ledger)'!$E$2:$E$65,"&lt;="&amp;$B70,'Outages (event ledger)'!$G$2:$G$65,"&gt;="&amp;$B70)</f>
        <v>0</v>
      </c>
      <c r="Q70" s="29" t="n">
        <f aca="false">SUMIFS('Outages (event ledger)'!$H$2:$H$65,'Outages (event ledger)'!$A$2:$A$65,Q$2,'Outages (event ledger)'!$E$2:$E$65,"&lt;="&amp;$B70,'Outages (event ledger)'!$G$2:$G$65,"&gt;="&amp;$B70)</f>
        <v>0</v>
      </c>
      <c r="R70" s="29" t="n">
        <f aca="false">SUMIFS('Outages (event ledger)'!$H$2:$H$65,'Outages (event ledger)'!$A$2:$A$65,R$2,'Outages (event ledger)'!$E$2:$E$65,"&lt;="&amp;$B70,'Outages (event ledger)'!$G$2:$G$65,"&gt;="&amp;$B70)</f>
        <v>0</v>
      </c>
      <c r="S70" s="29" t="n">
        <f aca="false">SUMIFS('Outages (event ledger)'!$H$2:$H$65,'Outages (event ledger)'!$A$2:$A$65,S$2,'Outages (event ledger)'!$E$2:$E$65,"&lt;="&amp;$B70,'Outages (event ledger)'!$G$2:$G$65,"&gt;="&amp;$B70)</f>
        <v>0</v>
      </c>
      <c r="T70" s="29" t="n">
        <f aca="false">SUMIFS('Outages (event ledger)'!$H$2:$H$65,'Outages (event ledger)'!$A$2:$A$65,T$2,'Outages (event ledger)'!$E$2:$E$65,"&lt;="&amp;$B70,'Outages (event ledger)'!$G$2:$G$65,"&gt;="&amp;$B70)</f>
        <v>0</v>
      </c>
      <c r="U70" s="29" t="n">
        <f aca="false">SUMIFS('Outages (event ledger)'!$H$2:$H$65,'Outages (event ledger)'!$A$2:$A$65,U$2,'Outages (event ledger)'!$E$2:$E$65,"&lt;="&amp;$B70,'Outages (event ledger)'!$G$2:$G$65,"&gt;="&amp;$B70)</f>
        <v>0</v>
      </c>
      <c r="V70" s="29" t="n">
        <f aca="false">SUMIFS('Outages (event ledger)'!$H$2:$H$65,'Outages (event ledger)'!$A$2:$A$65,V$2,'Outages (event ledger)'!$E$2:$E$65,"&lt;="&amp;$B70,'Outages (event ledger)'!$G$2:$G$65,"&gt;="&amp;$B70)</f>
        <v>0</v>
      </c>
      <c r="W70" s="29" t="n">
        <f aca="false">SUMIFS('Outages (event ledger)'!$H$2:$H$65,'Outages (event ledger)'!$A$2:$A$65,W$2,'Outages (event ledger)'!$E$2:$E$65,"&lt;="&amp;$B70,'Outages (event ledger)'!$G$2:$G$65,"&gt;="&amp;$B70)</f>
        <v>0</v>
      </c>
      <c r="X70" s="29" t="n">
        <f aca="false">SUMIFS('Outages (event ledger)'!$H$2:$H$65,'Outages (event ledger)'!$A$2:$A$65,X$2,'Outages (event ledger)'!$E$2:$E$65,"&lt;="&amp;$B70,'Outages (event ledger)'!$G$2:$G$65,"&gt;="&amp;$B70)</f>
        <v>0</v>
      </c>
      <c r="Y70" s="29" t="n">
        <f aca="false">SUMIFS('Outages (event ledger)'!$H$2:$H$65,'Outages (event ledger)'!$A$2:$A$65,Y$2,'Outages (event ledger)'!$E$2:$E$65,"&lt;="&amp;$B70,'Outages (event ledger)'!$G$2:$G$65,"&gt;="&amp;$B70)</f>
        <v>5</v>
      </c>
      <c r="Z70" s="29" t="n">
        <f aca="false">SUMIFS('Outages (event ledger)'!$H$2:$H$65,'Outages (event ledger)'!$A$2:$A$65,Z$2,'Outages (event ledger)'!$E$2:$E$65,"&lt;="&amp;$B70,'Outages (event ledger)'!$G$2:$G$65,"&gt;="&amp;$B70)</f>
        <v>5</v>
      </c>
      <c r="AA70" s="29" t="n">
        <f aca="false">SUMIFS('Outages (event ledger)'!$H$2:$H$65,'Outages (event ledger)'!$A$2:$A$65,AA$2,'Outages (event ledger)'!$E$2:$E$65,"&lt;="&amp;$B70,'Outages (event ledger)'!$G$2:$G$65,"&gt;="&amp;$B70)</f>
        <v>0</v>
      </c>
      <c r="AB70" s="29" t="n">
        <f aca="false">SUMIFS('Outages (event ledger)'!$H$2:$H$65,'Outages (event ledger)'!$A$2:$A$65,AB$2,'Outages (event ledger)'!$E$2:$E$65,"&lt;="&amp;$B70,'Outages (event ledger)'!$G$2:$G$65,"&gt;="&amp;$B70)</f>
        <v>8</v>
      </c>
      <c r="AC70" s="29" t="n">
        <f aca="false">SUMIFS('Outages (event ledger)'!$H$2:$H$65,'Outages (event ledger)'!$A$2:$A$65,AC$2,'Outages (event ledger)'!$E$2:$E$65,"&lt;="&amp;$B70,'Outages (event ledger)'!$G$2:$G$65,"&gt;="&amp;$B70)</f>
        <v>0</v>
      </c>
      <c r="AD70" s="29" t="n">
        <f aca="false">SUMIFS('Outages (event ledger)'!$H$2:$H$65,'Outages (event ledger)'!$A$2:$A$65,AD$2,'Outages (event ledger)'!$E$2:$E$65,"&lt;="&amp;$B70,'Outages (event ledger)'!$G$2:$G$65,"&gt;="&amp;$B70)</f>
        <v>0</v>
      </c>
      <c r="AE70" s="29" t="n">
        <f aca="false">SUMIFS('Outages (event ledger)'!$H$2:$H$65,'Outages (event ledger)'!$A$2:$A$65,AE$2,'Outages (event ledger)'!$E$2:$E$65,"&lt;="&amp;$B70,'Outages (event ledger)'!$G$2:$G$65,"&gt;="&amp;$B70)</f>
        <v>0</v>
      </c>
      <c r="AF70" s="29" t="n">
        <f aca="false">SUMIFS('Outages (event ledger)'!$H$2:$H$65,'Outages (event ledger)'!$A$2:$A$65,AF$2,'Outages (event ledger)'!$E$2:$E$65,"&lt;="&amp;$B70,'Outages (event ledger)'!$G$2:$G$65,"&gt;="&amp;$B70)</f>
        <v>0</v>
      </c>
      <c r="AG70" s="29" t="n">
        <f aca="false">SUMIFS('Outages (event ledger)'!$H$2:$H$65,'Outages (event ledger)'!$A$2:$A$65,AG$2,'Outages (event ledger)'!$E$2:$E$65,"&lt;="&amp;$B70,'Outages (event ledger)'!$G$2:$G$65,"&gt;="&amp;$B70)</f>
        <v>0</v>
      </c>
      <c r="AH70" s="29" t="n">
        <f aca="false">SUMIFS('Outages (event ledger)'!$H$2:$H$65,'Outages (event ledger)'!$A$2:$A$65,AH$2,'Outages (event ledger)'!$E$2:$E$65,"&lt;="&amp;$B70,'Outages (event ledger)'!$G$2:$G$65,"&gt;="&amp;$B70)</f>
        <v>0</v>
      </c>
      <c r="AI70" s="29" t="n">
        <f aca="false">SUMIFS('Outages (event ledger)'!$H$2:$H$65,'Outages (event ledger)'!$A$2:$A$65,AI$2,'Outages (event ledger)'!$E$2:$E$65,"&lt;="&amp;$B70,'Outages (event ledger)'!$G$2:$G$65,"&gt;="&amp;$B70)</f>
        <v>0</v>
      </c>
      <c r="AJ70" s="29" t="n">
        <f aca="false">SUMIFS('Outages (event ledger)'!$H$2:$H$65,'Outages (event ledger)'!$A$2:$A$65,AJ$2,'Outages (event ledger)'!$E$2:$E$65,"&lt;="&amp;$B70,'Outages (event ledger)'!$G$2:$G$65,"&gt;="&amp;$B70)</f>
        <v>0</v>
      </c>
      <c r="AK70" s="29" t="n">
        <f aca="false">SUMIFS('Outages (event ledger)'!$H$2:$H$65,'Outages (event ledger)'!$A$2:$A$65,AK$2,'Outages (event ledger)'!$E$2:$E$65,"&lt;="&amp;$B70,'Outages (event ledger)'!$G$2:$G$65,"&gt;="&amp;$B70)</f>
        <v>0</v>
      </c>
      <c r="AL70" s="29" t="n">
        <f aca="false">SUMIFS('Outages (event ledger)'!$H$2:$H$65,'Outages (event ledger)'!$A$2:$A$65,AL$2,'Outages (event ledger)'!$E$2:$E$65,"&lt;="&amp;$B70,'Outages (event ledger)'!$G$2:$G$65,"&gt;="&amp;$B70)</f>
        <v>3.5</v>
      </c>
      <c r="AM70" s="29" t="n">
        <f aca="false">SUMIFS('Outages (event ledger)'!$H$2:$H$65,'Outages (event ledger)'!$A$2:$A$65,AM$2,'Outages (event ledger)'!$E$2:$E$65,"&lt;="&amp;$B70,'Outages (event ledger)'!$G$2:$G$65,"&gt;="&amp;$B70)</f>
        <v>0</v>
      </c>
      <c r="AN70" s="29" t="n">
        <f aca="false">SUMIFS('Outages (event ledger)'!$H$2:$H$65,'Outages (event ledger)'!$A$2:$A$65,AN$2,'Outages (event ledger)'!$E$2:$E$65,"&lt;="&amp;$B70,'Outages (event ledger)'!$G$2:$G$65,"&gt;="&amp;$B70)</f>
        <v>0</v>
      </c>
      <c r="AO70" s="29" t="n">
        <f aca="false">SUMIFS('Outages (event ledger)'!$H$2:$H$65,'Outages (event ledger)'!$A$2:$A$65,AO$2,'Outages (event ledger)'!$E$2:$E$65,"&lt;="&amp;$B70,'Outages (event ledger)'!$G$2:$G$65,"&gt;="&amp;$B70)</f>
        <v>0</v>
      </c>
      <c r="AP70" s="29" t="n">
        <f aca="false">SUMIFS('Outages (event ledger)'!$H$2:$H$65,'Outages (event ledger)'!$A$2:$A$65,AP$2,'Outages (event ledger)'!$E$2:$E$65,"&lt;="&amp;$B70,'Outages (event ledger)'!$G$2:$G$65,"&gt;="&amp;$B70)</f>
        <v>0</v>
      </c>
      <c r="AQ70" s="29" t="n">
        <f aca="false">SUMIFS('Outages (event ledger)'!$H$2:$H$65,'Outages (event ledger)'!$A$2:$A$65,AQ$2,'Outages (event ledger)'!$E$2:$E$65,"&lt;="&amp;$B70,'Outages (event ledger)'!$G$2:$G$65,"&gt;="&amp;$B70)</f>
        <v>0</v>
      </c>
      <c r="AR70" s="29" t="n">
        <f aca="false">SUMIFS('Outages (event ledger)'!$H$2:$H$65,'Outages (event ledger)'!$A$2:$A$65,AR$2,'Outages (event ledger)'!$E$2:$E$65,"&lt;="&amp;$B70,'Outages (event ledger)'!$G$2:$G$65,"&gt;="&amp;$B70)</f>
        <v>0</v>
      </c>
      <c r="AS70" s="29" t="n">
        <f aca="false">SUMIFS('Outages (event ledger)'!$H$2:$H$65,'Outages (event ledger)'!$A$2:$A$65,AS$2,'Outages (event ledger)'!$E$2:$E$65,"&lt;="&amp;$B70,'Outages (event ledger)'!$G$2:$G$65,"&gt;="&amp;$B70)</f>
        <v>0</v>
      </c>
      <c r="AT70" s="29" t="n">
        <f aca="false">SUMIFS('Outages (event ledger)'!$H$2:$H$65,'Outages (event ledger)'!$A$2:$A$65,AT$2,'Outages (event ledger)'!$E$2:$E$65,"&lt;="&amp;$B70,'Outages (event ledger)'!$G$2:$G$65,"&gt;="&amp;$B70)</f>
        <v>0</v>
      </c>
      <c r="AU70" s="29" t="n">
        <f aca="false">SUMIFS('Outages (event ledger)'!$H$2:$H$65,'Outages (event ledger)'!$A$2:$A$65,AU$2,'Outages (event ledger)'!$E$2:$E$65,"&lt;="&amp;$B70,'Outages (event ledger)'!$G$2:$G$65,"&gt;="&amp;$B70)</f>
        <v>0</v>
      </c>
      <c r="AV70" s="29" t="n">
        <f aca="false">SUMIFS('Outages (event ledger)'!$H$2:$H$65,'Outages (event ledger)'!$A$2:$A$65,AV$2,'Outages (event ledger)'!$E$2:$E$65,"&lt;="&amp;$B70,'Outages (event ledger)'!$G$2:$G$65,"&gt;="&amp;$B70)</f>
        <v>0</v>
      </c>
      <c r="AW70" s="29" t="n">
        <f aca="false">SUMIFS('Outages (event ledger)'!$H$2:$H$65,'Outages (event ledger)'!$A$2:$A$65,AW$2,'Outages (event ledger)'!$E$2:$E$65,"&lt;="&amp;$B70,'Outages (event ledger)'!$G$2:$G$65,"&gt;="&amp;$B70)</f>
        <v>0</v>
      </c>
      <c r="AX70" s="29" t="n">
        <f aca="false">SUMIFS('Outages (event ledger)'!$H$2:$H$65,'Outages (event ledger)'!$A$2:$A$65,AX$2,'Outages (event ledger)'!$E$2:$E$65,"&lt;="&amp;$B70,'Outages (event ledger)'!$G$2:$G$65,"&gt;="&amp;$B70)</f>
        <v>0</v>
      </c>
      <c r="AY70" s="29" t="n">
        <f aca="false">SUMIFS('Outages (event ledger)'!$H$2:$H$65,'Outages (event ledger)'!$A$2:$A$65,AY$2,'Outages (event ledger)'!$E$2:$E$65,"&lt;="&amp;$B70,'Outages (event ledger)'!$G$2:$G$65,"&gt;="&amp;$B70)</f>
        <v>0</v>
      </c>
      <c r="AZ70" s="29" t="n">
        <f aca="false">SUMIFS('Outages (event ledger)'!$H$2:$H$65,'Outages (event ledger)'!$A$2:$A$65,AZ$2,'Outages (event ledger)'!$E$2:$E$65,"&lt;="&amp;$B70,'Outages (event ledger)'!$G$2:$G$65,"&gt;="&amp;$B70)</f>
        <v>0</v>
      </c>
      <c r="BA70" s="29" t="n">
        <f aca="false">SUMIFS('Outages (event ledger)'!$H$2:$H$65,'Outages (event ledger)'!$A$2:$A$65,BA$2,'Outages (event ledger)'!$E$2:$E$65,"&lt;="&amp;$B70,'Outages (event ledger)'!$G$2:$G$65,"&gt;="&amp;$B70)</f>
        <v>0</v>
      </c>
      <c r="BB70" s="29" t="n">
        <f aca="false">SUMIFS('Outages (event ledger)'!$H$2:$H$65,'Outages (event ledger)'!$A$2:$A$65,BB$2,'Outages (event ledger)'!$E$2:$E$65,"&lt;="&amp;$B70,'Outages (event ledger)'!$G$2:$G$65,"&gt;="&amp;$B70)</f>
        <v>0</v>
      </c>
      <c r="BC70" s="29" t="n">
        <f aca="false">SUMIFS('Outages (event ledger)'!$H$2:$H$65,'Outages (event ledger)'!$A$2:$A$65,BC$2,'Outages (event ledger)'!$E$2:$E$65,"&lt;="&amp;$B70,'Outages (event ledger)'!$G$2:$G$65,"&gt;="&amp;$B70)</f>
        <v>0</v>
      </c>
      <c r="BD70" s="29" t="n">
        <f aca="false">SUMIFS('Outages (event ledger)'!$H$2:$H$65,'Outages (event ledger)'!$A$2:$A$65,BD$2,'Outages (event ledger)'!$E$2:$E$65,"&lt;="&amp;$B70,'Outages (event ledger)'!$G$2:$G$65,"&gt;="&amp;$B70)</f>
        <v>0</v>
      </c>
      <c r="BE70" s="29" t="n">
        <f aca="false">SUMIFS('Outages (event ledger)'!$H$2:$H$65,'Outages (event ledger)'!$A$2:$A$65,BE$2,'Outages (event ledger)'!$E$2:$E$65,"&lt;="&amp;$B70,'Outages (event ledger)'!$G$2:$G$65,"&gt;="&amp;$B70)</f>
        <v>0</v>
      </c>
      <c r="BF70" s="29" t="n">
        <f aca="false">SUMIFS('Outages (event ledger)'!$H$2:$H$65,'Outages (event ledger)'!$A$2:$A$65,BF$2,'Outages (event ledger)'!$E$2:$E$65,"&lt;="&amp;$B70,'Outages (event ledger)'!$G$2:$G$65,"&gt;="&amp;$B70)</f>
        <v>0</v>
      </c>
      <c r="BG70" s="29" t="n">
        <f aca="false">SUMIFS('Outages (event ledger)'!$H$2:$H$65,'Outages (event ledger)'!$A$2:$A$65,BG$2,'Outages (event ledger)'!$E$2:$E$65,"&lt;="&amp;$B70,'Outages (event ledger)'!$G$2:$G$65,"&gt;="&amp;$B70)</f>
        <v>0</v>
      </c>
      <c r="BH70" s="29" t="n">
        <f aca="false">SUMIFS('Outages (event ledger)'!$H$2:$H$65,'Outages (event ledger)'!$A$2:$A$65,BH$2,'Outages (event ledger)'!$E$2:$E$65,"&lt;="&amp;$B70,'Outages (event ledger)'!$G$2:$G$65,"&gt;="&amp;$B70)</f>
        <v>0</v>
      </c>
      <c r="BI70" s="29" t="n">
        <f aca="false">SUMIFS('Outages (event ledger)'!$H$2:$H$65,'Outages (event ledger)'!$A$2:$A$65,BI$2,'Outages (event ledger)'!$E$2:$E$65,"&lt;="&amp;$B70,'Outages (event ledger)'!$G$2:$G$65,"&gt;="&amp;$B70)</f>
        <v>6.7</v>
      </c>
    </row>
    <row r="71" customFormat="false" ht="15" hidden="false" customHeight="false" outlineLevel="0" collapsed="false">
      <c r="A71" s="27" t="n">
        <v>42248</v>
      </c>
      <c r="B71" s="28" t="n">
        <v>201509</v>
      </c>
      <c r="C71" s="25" t="n">
        <f aca="false">SUM(D71:BI71)</f>
        <v>33.4</v>
      </c>
      <c r="D71" s="29" t="n">
        <f aca="false">SUMIFS('Outages (event ledger)'!$H$2:$H$65,'Outages (event ledger)'!$A$2:$A$65,D$2,'Outages (event ledger)'!$E$2:$E$65,"&lt;="&amp;$B71,'Outages (event ledger)'!$G$2:$G$65,"&gt;="&amp;$B71)</f>
        <v>0</v>
      </c>
      <c r="E71" s="29" t="n">
        <f aca="false">SUMIFS('Outages (event ledger)'!$H$2:$H$65,'Outages (event ledger)'!$A$2:$A$65,E$2,'Outages (event ledger)'!$E$2:$E$65,"&lt;="&amp;$B71,'Outages (event ledger)'!$G$2:$G$65,"&gt;="&amp;$B71)</f>
        <v>0</v>
      </c>
      <c r="F71" s="29" t="n">
        <f aca="false">SUMIFS('Outages (event ledger)'!$H$2:$H$65,'Outages (event ledger)'!$A$2:$A$65,F$2,'Outages (event ledger)'!$E$2:$E$65,"&lt;="&amp;$B71,'Outages (event ledger)'!$G$2:$G$65,"&gt;="&amp;$B71)</f>
        <v>0</v>
      </c>
      <c r="G71" s="29" t="n">
        <f aca="false">SUMIFS('Outages (event ledger)'!$H$2:$H$65,'Outages (event ledger)'!$A$2:$A$65,G$2,'Outages (event ledger)'!$E$2:$E$65,"&lt;="&amp;$B71,'Outages (event ledger)'!$G$2:$G$65,"&gt;="&amp;$B71)</f>
        <v>0</v>
      </c>
      <c r="H71" s="29" t="n">
        <f aca="false">SUMIFS('Outages (event ledger)'!$H$2:$H$65,'Outages (event ledger)'!$A$2:$A$65,H$2,'Outages (event ledger)'!$E$2:$E$65,"&lt;="&amp;$B71,'Outages (event ledger)'!$G$2:$G$65,"&gt;="&amp;$B71)</f>
        <v>5.2</v>
      </c>
      <c r="I71" s="29" t="n">
        <f aca="false">SUMIFS('Outages (event ledger)'!$H$2:$H$65,'Outages (event ledger)'!$A$2:$A$65,I$2,'Outages (event ledger)'!$E$2:$E$65,"&lt;="&amp;$B71,'Outages (event ledger)'!$G$2:$G$65,"&gt;="&amp;$B71)</f>
        <v>0</v>
      </c>
      <c r="J71" s="29" t="n">
        <f aca="false">SUMIFS('Outages (event ledger)'!$H$2:$H$65,'Outages (event ledger)'!$A$2:$A$65,J$2,'Outages (event ledger)'!$E$2:$E$65,"&lt;="&amp;$B71,'Outages (event ledger)'!$G$2:$G$65,"&gt;="&amp;$B71)</f>
        <v>0</v>
      </c>
      <c r="K71" s="29" t="n">
        <f aca="false">SUMIFS('Outages (event ledger)'!$H$2:$H$65,'Outages (event ledger)'!$A$2:$A$65,K$2,'Outages (event ledger)'!$E$2:$E$65,"&lt;="&amp;$B71,'Outages (event ledger)'!$G$2:$G$65,"&gt;="&amp;$B71)</f>
        <v>0</v>
      </c>
      <c r="L71" s="29" t="n">
        <f aca="false">SUMIFS('Outages (event ledger)'!$H$2:$H$65,'Outages (event ledger)'!$A$2:$A$65,L$2,'Outages (event ledger)'!$E$2:$E$65,"&lt;="&amp;$B71,'Outages (event ledger)'!$G$2:$G$65,"&gt;="&amp;$B71)</f>
        <v>0</v>
      </c>
      <c r="M71" s="29" t="n">
        <f aca="false">SUMIFS('Outages (event ledger)'!$H$2:$H$65,'Outages (event ledger)'!$A$2:$A$65,M$2,'Outages (event ledger)'!$E$2:$E$65,"&lt;="&amp;$B71,'Outages (event ledger)'!$G$2:$G$65,"&gt;="&amp;$B71)</f>
        <v>0</v>
      </c>
      <c r="N71" s="29" t="n">
        <f aca="false">SUMIFS('Outages (event ledger)'!$H$2:$H$65,'Outages (event ledger)'!$A$2:$A$65,N$2,'Outages (event ledger)'!$E$2:$E$65,"&lt;="&amp;$B71,'Outages (event ledger)'!$G$2:$G$65,"&gt;="&amp;$B71)</f>
        <v>0</v>
      </c>
      <c r="O71" s="29" t="n">
        <f aca="false">SUMIFS('Outages (event ledger)'!$H$2:$H$65,'Outages (event ledger)'!$A$2:$A$65,O$2,'Outages (event ledger)'!$E$2:$E$65,"&lt;="&amp;$B71,'Outages (event ledger)'!$G$2:$G$65,"&gt;="&amp;$B71)</f>
        <v>0</v>
      </c>
      <c r="P71" s="29" t="n">
        <f aca="false">SUMIFS('Outages (event ledger)'!$H$2:$H$65,'Outages (event ledger)'!$A$2:$A$65,P$2,'Outages (event ledger)'!$E$2:$E$65,"&lt;="&amp;$B71,'Outages (event ledger)'!$G$2:$G$65,"&gt;="&amp;$B71)</f>
        <v>0</v>
      </c>
      <c r="Q71" s="29" t="n">
        <f aca="false">SUMIFS('Outages (event ledger)'!$H$2:$H$65,'Outages (event ledger)'!$A$2:$A$65,Q$2,'Outages (event ledger)'!$E$2:$E$65,"&lt;="&amp;$B71,'Outages (event ledger)'!$G$2:$G$65,"&gt;="&amp;$B71)</f>
        <v>0</v>
      </c>
      <c r="R71" s="29" t="n">
        <f aca="false">SUMIFS('Outages (event ledger)'!$H$2:$H$65,'Outages (event ledger)'!$A$2:$A$65,R$2,'Outages (event ledger)'!$E$2:$E$65,"&lt;="&amp;$B71,'Outages (event ledger)'!$G$2:$G$65,"&gt;="&amp;$B71)</f>
        <v>0</v>
      </c>
      <c r="S71" s="29" t="n">
        <f aca="false">SUMIFS('Outages (event ledger)'!$H$2:$H$65,'Outages (event ledger)'!$A$2:$A$65,S$2,'Outages (event ledger)'!$E$2:$E$65,"&lt;="&amp;$B71,'Outages (event ledger)'!$G$2:$G$65,"&gt;="&amp;$B71)</f>
        <v>0</v>
      </c>
      <c r="T71" s="29" t="n">
        <f aca="false">SUMIFS('Outages (event ledger)'!$H$2:$H$65,'Outages (event ledger)'!$A$2:$A$65,T$2,'Outages (event ledger)'!$E$2:$E$65,"&lt;="&amp;$B71,'Outages (event ledger)'!$G$2:$G$65,"&gt;="&amp;$B71)</f>
        <v>0</v>
      </c>
      <c r="U71" s="29" t="n">
        <f aca="false">SUMIFS('Outages (event ledger)'!$H$2:$H$65,'Outages (event ledger)'!$A$2:$A$65,U$2,'Outages (event ledger)'!$E$2:$E$65,"&lt;="&amp;$B71,'Outages (event ledger)'!$G$2:$G$65,"&gt;="&amp;$B71)</f>
        <v>0</v>
      </c>
      <c r="V71" s="29" t="n">
        <f aca="false">SUMIFS('Outages (event ledger)'!$H$2:$H$65,'Outages (event ledger)'!$A$2:$A$65,V$2,'Outages (event ledger)'!$E$2:$E$65,"&lt;="&amp;$B71,'Outages (event ledger)'!$G$2:$G$65,"&gt;="&amp;$B71)</f>
        <v>0</v>
      </c>
      <c r="W71" s="29" t="n">
        <f aca="false">SUMIFS('Outages (event ledger)'!$H$2:$H$65,'Outages (event ledger)'!$A$2:$A$65,W$2,'Outages (event ledger)'!$E$2:$E$65,"&lt;="&amp;$B71,'Outages (event ledger)'!$G$2:$G$65,"&gt;="&amp;$B71)</f>
        <v>0</v>
      </c>
      <c r="X71" s="29" t="n">
        <f aca="false">SUMIFS('Outages (event ledger)'!$H$2:$H$65,'Outages (event ledger)'!$A$2:$A$65,X$2,'Outages (event ledger)'!$E$2:$E$65,"&lt;="&amp;$B71,'Outages (event ledger)'!$G$2:$G$65,"&gt;="&amp;$B71)</f>
        <v>0</v>
      </c>
      <c r="Y71" s="29" t="n">
        <f aca="false">SUMIFS('Outages (event ledger)'!$H$2:$H$65,'Outages (event ledger)'!$A$2:$A$65,Y$2,'Outages (event ledger)'!$E$2:$E$65,"&lt;="&amp;$B71,'Outages (event ledger)'!$G$2:$G$65,"&gt;="&amp;$B71)</f>
        <v>5</v>
      </c>
      <c r="Z71" s="29" t="n">
        <f aca="false">SUMIFS('Outages (event ledger)'!$H$2:$H$65,'Outages (event ledger)'!$A$2:$A$65,Z$2,'Outages (event ledger)'!$E$2:$E$65,"&lt;="&amp;$B71,'Outages (event ledger)'!$G$2:$G$65,"&gt;="&amp;$B71)</f>
        <v>5</v>
      </c>
      <c r="AA71" s="29" t="n">
        <f aca="false">SUMIFS('Outages (event ledger)'!$H$2:$H$65,'Outages (event ledger)'!$A$2:$A$65,AA$2,'Outages (event ledger)'!$E$2:$E$65,"&lt;="&amp;$B71,'Outages (event ledger)'!$G$2:$G$65,"&gt;="&amp;$B71)</f>
        <v>0</v>
      </c>
      <c r="AB71" s="29" t="n">
        <f aca="false">SUMIFS('Outages (event ledger)'!$H$2:$H$65,'Outages (event ledger)'!$A$2:$A$65,AB$2,'Outages (event ledger)'!$E$2:$E$65,"&lt;="&amp;$B71,'Outages (event ledger)'!$G$2:$G$65,"&gt;="&amp;$B71)</f>
        <v>8</v>
      </c>
      <c r="AC71" s="29" t="n">
        <f aca="false">SUMIFS('Outages (event ledger)'!$H$2:$H$65,'Outages (event ledger)'!$A$2:$A$65,AC$2,'Outages (event ledger)'!$E$2:$E$65,"&lt;="&amp;$B71,'Outages (event ledger)'!$G$2:$G$65,"&gt;="&amp;$B71)</f>
        <v>0</v>
      </c>
      <c r="AD71" s="29" t="n">
        <f aca="false">SUMIFS('Outages (event ledger)'!$H$2:$H$65,'Outages (event ledger)'!$A$2:$A$65,AD$2,'Outages (event ledger)'!$E$2:$E$65,"&lt;="&amp;$B71,'Outages (event ledger)'!$G$2:$G$65,"&gt;="&amp;$B71)</f>
        <v>0</v>
      </c>
      <c r="AE71" s="29" t="n">
        <f aca="false">SUMIFS('Outages (event ledger)'!$H$2:$H$65,'Outages (event ledger)'!$A$2:$A$65,AE$2,'Outages (event ledger)'!$E$2:$E$65,"&lt;="&amp;$B71,'Outages (event ledger)'!$G$2:$G$65,"&gt;="&amp;$B71)</f>
        <v>0</v>
      </c>
      <c r="AF71" s="29" t="n">
        <f aca="false">SUMIFS('Outages (event ledger)'!$H$2:$H$65,'Outages (event ledger)'!$A$2:$A$65,AF$2,'Outages (event ledger)'!$E$2:$E$65,"&lt;="&amp;$B71,'Outages (event ledger)'!$G$2:$G$65,"&gt;="&amp;$B71)</f>
        <v>0</v>
      </c>
      <c r="AG71" s="29" t="n">
        <f aca="false">SUMIFS('Outages (event ledger)'!$H$2:$H$65,'Outages (event ledger)'!$A$2:$A$65,AG$2,'Outages (event ledger)'!$E$2:$E$65,"&lt;="&amp;$B71,'Outages (event ledger)'!$G$2:$G$65,"&gt;="&amp;$B71)</f>
        <v>0</v>
      </c>
      <c r="AH71" s="29" t="n">
        <f aca="false">SUMIFS('Outages (event ledger)'!$H$2:$H$65,'Outages (event ledger)'!$A$2:$A$65,AH$2,'Outages (event ledger)'!$E$2:$E$65,"&lt;="&amp;$B71,'Outages (event ledger)'!$G$2:$G$65,"&gt;="&amp;$B71)</f>
        <v>0</v>
      </c>
      <c r="AI71" s="29" t="n">
        <f aca="false">SUMIFS('Outages (event ledger)'!$H$2:$H$65,'Outages (event ledger)'!$A$2:$A$65,AI$2,'Outages (event ledger)'!$E$2:$E$65,"&lt;="&amp;$B71,'Outages (event ledger)'!$G$2:$G$65,"&gt;="&amp;$B71)</f>
        <v>0</v>
      </c>
      <c r="AJ71" s="29" t="n">
        <f aca="false">SUMIFS('Outages (event ledger)'!$H$2:$H$65,'Outages (event ledger)'!$A$2:$A$65,AJ$2,'Outages (event ledger)'!$E$2:$E$65,"&lt;="&amp;$B71,'Outages (event ledger)'!$G$2:$G$65,"&gt;="&amp;$B71)</f>
        <v>0</v>
      </c>
      <c r="AK71" s="29" t="n">
        <f aca="false">SUMIFS('Outages (event ledger)'!$H$2:$H$65,'Outages (event ledger)'!$A$2:$A$65,AK$2,'Outages (event ledger)'!$E$2:$E$65,"&lt;="&amp;$B71,'Outages (event ledger)'!$G$2:$G$65,"&gt;="&amp;$B71)</f>
        <v>0</v>
      </c>
      <c r="AL71" s="29" t="n">
        <f aca="false">SUMIFS('Outages (event ledger)'!$H$2:$H$65,'Outages (event ledger)'!$A$2:$A$65,AL$2,'Outages (event ledger)'!$E$2:$E$65,"&lt;="&amp;$B71,'Outages (event ledger)'!$G$2:$G$65,"&gt;="&amp;$B71)</f>
        <v>3.5</v>
      </c>
      <c r="AM71" s="29" t="n">
        <f aca="false">SUMIFS('Outages (event ledger)'!$H$2:$H$65,'Outages (event ledger)'!$A$2:$A$65,AM$2,'Outages (event ledger)'!$E$2:$E$65,"&lt;="&amp;$B71,'Outages (event ledger)'!$G$2:$G$65,"&gt;="&amp;$B71)</f>
        <v>0</v>
      </c>
      <c r="AN71" s="29" t="n">
        <f aca="false">SUMIFS('Outages (event ledger)'!$H$2:$H$65,'Outages (event ledger)'!$A$2:$A$65,AN$2,'Outages (event ledger)'!$E$2:$E$65,"&lt;="&amp;$B71,'Outages (event ledger)'!$G$2:$G$65,"&gt;="&amp;$B71)</f>
        <v>0</v>
      </c>
      <c r="AO71" s="29" t="n">
        <f aca="false">SUMIFS('Outages (event ledger)'!$H$2:$H$65,'Outages (event ledger)'!$A$2:$A$65,AO$2,'Outages (event ledger)'!$E$2:$E$65,"&lt;="&amp;$B71,'Outages (event ledger)'!$G$2:$G$65,"&gt;="&amp;$B71)</f>
        <v>0</v>
      </c>
      <c r="AP71" s="29" t="n">
        <f aca="false">SUMIFS('Outages (event ledger)'!$H$2:$H$65,'Outages (event ledger)'!$A$2:$A$65,AP$2,'Outages (event ledger)'!$E$2:$E$65,"&lt;="&amp;$B71,'Outages (event ledger)'!$G$2:$G$65,"&gt;="&amp;$B71)</f>
        <v>0</v>
      </c>
      <c r="AQ71" s="29" t="n">
        <f aca="false">SUMIFS('Outages (event ledger)'!$H$2:$H$65,'Outages (event ledger)'!$A$2:$A$65,AQ$2,'Outages (event ledger)'!$E$2:$E$65,"&lt;="&amp;$B71,'Outages (event ledger)'!$G$2:$G$65,"&gt;="&amp;$B71)</f>
        <v>0</v>
      </c>
      <c r="AR71" s="29" t="n">
        <f aca="false">SUMIFS('Outages (event ledger)'!$H$2:$H$65,'Outages (event ledger)'!$A$2:$A$65,AR$2,'Outages (event ledger)'!$E$2:$E$65,"&lt;="&amp;$B71,'Outages (event ledger)'!$G$2:$G$65,"&gt;="&amp;$B71)</f>
        <v>0</v>
      </c>
      <c r="AS71" s="29" t="n">
        <f aca="false">SUMIFS('Outages (event ledger)'!$H$2:$H$65,'Outages (event ledger)'!$A$2:$A$65,AS$2,'Outages (event ledger)'!$E$2:$E$65,"&lt;="&amp;$B71,'Outages (event ledger)'!$G$2:$G$65,"&gt;="&amp;$B71)</f>
        <v>0</v>
      </c>
      <c r="AT71" s="29" t="n">
        <f aca="false">SUMIFS('Outages (event ledger)'!$H$2:$H$65,'Outages (event ledger)'!$A$2:$A$65,AT$2,'Outages (event ledger)'!$E$2:$E$65,"&lt;="&amp;$B71,'Outages (event ledger)'!$G$2:$G$65,"&gt;="&amp;$B71)</f>
        <v>0</v>
      </c>
      <c r="AU71" s="29" t="n">
        <f aca="false">SUMIFS('Outages (event ledger)'!$H$2:$H$65,'Outages (event ledger)'!$A$2:$A$65,AU$2,'Outages (event ledger)'!$E$2:$E$65,"&lt;="&amp;$B71,'Outages (event ledger)'!$G$2:$G$65,"&gt;="&amp;$B71)</f>
        <v>0</v>
      </c>
      <c r="AV71" s="29" t="n">
        <f aca="false">SUMIFS('Outages (event ledger)'!$H$2:$H$65,'Outages (event ledger)'!$A$2:$A$65,AV$2,'Outages (event ledger)'!$E$2:$E$65,"&lt;="&amp;$B71,'Outages (event ledger)'!$G$2:$G$65,"&gt;="&amp;$B71)</f>
        <v>0</v>
      </c>
      <c r="AW71" s="29" t="n">
        <f aca="false">SUMIFS('Outages (event ledger)'!$H$2:$H$65,'Outages (event ledger)'!$A$2:$A$65,AW$2,'Outages (event ledger)'!$E$2:$E$65,"&lt;="&amp;$B71,'Outages (event ledger)'!$G$2:$G$65,"&gt;="&amp;$B71)</f>
        <v>0</v>
      </c>
      <c r="AX71" s="29" t="n">
        <f aca="false">SUMIFS('Outages (event ledger)'!$H$2:$H$65,'Outages (event ledger)'!$A$2:$A$65,AX$2,'Outages (event ledger)'!$E$2:$E$65,"&lt;="&amp;$B71,'Outages (event ledger)'!$G$2:$G$65,"&gt;="&amp;$B71)</f>
        <v>0</v>
      </c>
      <c r="AY71" s="29" t="n">
        <f aca="false">SUMIFS('Outages (event ledger)'!$H$2:$H$65,'Outages (event ledger)'!$A$2:$A$65,AY$2,'Outages (event ledger)'!$E$2:$E$65,"&lt;="&amp;$B71,'Outages (event ledger)'!$G$2:$G$65,"&gt;="&amp;$B71)</f>
        <v>0</v>
      </c>
      <c r="AZ71" s="29" t="n">
        <f aca="false">SUMIFS('Outages (event ledger)'!$H$2:$H$65,'Outages (event ledger)'!$A$2:$A$65,AZ$2,'Outages (event ledger)'!$E$2:$E$65,"&lt;="&amp;$B71,'Outages (event ledger)'!$G$2:$G$65,"&gt;="&amp;$B71)</f>
        <v>0</v>
      </c>
      <c r="BA71" s="29" t="n">
        <f aca="false">SUMIFS('Outages (event ledger)'!$H$2:$H$65,'Outages (event ledger)'!$A$2:$A$65,BA$2,'Outages (event ledger)'!$E$2:$E$65,"&lt;="&amp;$B71,'Outages (event ledger)'!$G$2:$G$65,"&gt;="&amp;$B71)</f>
        <v>0</v>
      </c>
      <c r="BB71" s="29" t="n">
        <f aca="false">SUMIFS('Outages (event ledger)'!$H$2:$H$65,'Outages (event ledger)'!$A$2:$A$65,BB$2,'Outages (event ledger)'!$E$2:$E$65,"&lt;="&amp;$B71,'Outages (event ledger)'!$G$2:$G$65,"&gt;="&amp;$B71)</f>
        <v>0</v>
      </c>
      <c r="BC71" s="29" t="n">
        <f aca="false">SUMIFS('Outages (event ledger)'!$H$2:$H$65,'Outages (event ledger)'!$A$2:$A$65,BC$2,'Outages (event ledger)'!$E$2:$E$65,"&lt;="&amp;$B71,'Outages (event ledger)'!$G$2:$G$65,"&gt;="&amp;$B71)</f>
        <v>0</v>
      </c>
      <c r="BD71" s="29" t="n">
        <f aca="false">SUMIFS('Outages (event ledger)'!$H$2:$H$65,'Outages (event ledger)'!$A$2:$A$65,BD$2,'Outages (event ledger)'!$E$2:$E$65,"&lt;="&amp;$B71,'Outages (event ledger)'!$G$2:$G$65,"&gt;="&amp;$B71)</f>
        <v>0</v>
      </c>
      <c r="BE71" s="29" t="n">
        <f aca="false">SUMIFS('Outages (event ledger)'!$H$2:$H$65,'Outages (event ledger)'!$A$2:$A$65,BE$2,'Outages (event ledger)'!$E$2:$E$65,"&lt;="&amp;$B71,'Outages (event ledger)'!$G$2:$G$65,"&gt;="&amp;$B71)</f>
        <v>0</v>
      </c>
      <c r="BF71" s="29" t="n">
        <f aca="false">SUMIFS('Outages (event ledger)'!$H$2:$H$65,'Outages (event ledger)'!$A$2:$A$65,BF$2,'Outages (event ledger)'!$E$2:$E$65,"&lt;="&amp;$B71,'Outages (event ledger)'!$G$2:$G$65,"&gt;="&amp;$B71)</f>
        <v>0</v>
      </c>
      <c r="BG71" s="29" t="n">
        <f aca="false">SUMIFS('Outages (event ledger)'!$H$2:$H$65,'Outages (event ledger)'!$A$2:$A$65,BG$2,'Outages (event ledger)'!$E$2:$E$65,"&lt;="&amp;$B71,'Outages (event ledger)'!$G$2:$G$65,"&gt;="&amp;$B71)</f>
        <v>0</v>
      </c>
      <c r="BH71" s="29" t="n">
        <f aca="false">SUMIFS('Outages (event ledger)'!$H$2:$H$65,'Outages (event ledger)'!$A$2:$A$65,BH$2,'Outages (event ledger)'!$E$2:$E$65,"&lt;="&amp;$B71,'Outages (event ledger)'!$G$2:$G$65,"&gt;="&amp;$B71)</f>
        <v>0</v>
      </c>
      <c r="BI71" s="29" t="n">
        <f aca="false">SUMIFS('Outages (event ledger)'!$H$2:$H$65,'Outages (event ledger)'!$A$2:$A$65,BI$2,'Outages (event ledger)'!$E$2:$E$65,"&lt;="&amp;$B71,'Outages (event ledger)'!$G$2:$G$65,"&gt;="&amp;$B71)</f>
        <v>6.7</v>
      </c>
    </row>
    <row r="72" customFormat="false" ht="15" hidden="false" customHeight="false" outlineLevel="0" collapsed="false">
      <c r="A72" s="27" t="n">
        <v>42278</v>
      </c>
      <c r="B72" s="28" t="n">
        <v>201510</v>
      </c>
      <c r="C72" s="25" t="n">
        <f aca="false">SUM(D72:BI72)</f>
        <v>33.4</v>
      </c>
      <c r="D72" s="29" t="n">
        <f aca="false">SUMIFS('Outages (event ledger)'!$H$2:$H$65,'Outages (event ledger)'!$A$2:$A$65,D$2,'Outages (event ledger)'!$E$2:$E$65,"&lt;="&amp;$B72,'Outages (event ledger)'!$G$2:$G$65,"&gt;="&amp;$B72)</f>
        <v>0</v>
      </c>
      <c r="E72" s="29" t="n">
        <f aca="false">SUMIFS('Outages (event ledger)'!$H$2:$H$65,'Outages (event ledger)'!$A$2:$A$65,E$2,'Outages (event ledger)'!$E$2:$E$65,"&lt;="&amp;$B72,'Outages (event ledger)'!$G$2:$G$65,"&gt;="&amp;$B72)</f>
        <v>0</v>
      </c>
      <c r="F72" s="29" t="n">
        <f aca="false">SUMIFS('Outages (event ledger)'!$H$2:$H$65,'Outages (event ledger)'!$A$2:$A$65,F$2,'Outages (event ledger)'!$E$2:$E$65,"&lt;="&amp;$B72,'Outages (event ledger)'!$G$2:$G$65,"&gt;="&amp;$B72)</f>
        <v>0</v>
      </c>
      <c r="G72" s="29" t="n">
        <f aca="false">SUMIFS('Outages (event ledger)'!$H$2:$H$65,'Outages (event ledger)'!$A$2:$A$65,G$2,'Outages (event ledger)'!$E$2:$E$65,"&lt;="&amp;$B72,'Outages (event ledger)'!$G$2:$G$65,"&gt;="&amp;$B72)</f>
        <v>0</v>
      </c>
      <c r="H72" s="29" t="n">
        <f aca="false">SUMIFS('Outages (event ledger)'!$H$2:$H$65,'Outages (event ledger)'!$A$2:$A$65,H$2,'Outages (event ledger)'!$E$2:$E$65,"&lt;="&amp;$B72,'Outages (event ledger)'!$G$2:$G$65,"&gt;="&amp;$B72)</f>
        <v>5.2</v>
      </c>
      <c r="I72" s="29" t="n">
        <f aca="false">SUMIFS('Outages (event ledger)'!$H$2:$H$65,'Outages (event ledger)'!$A$2:$A$65,I$2,'Outages (event ledger)'!$E$2:$E$65,"&lt;="&amp;$B72,'Outages (event ledger)'!$G$2:$G$65,"&gt;="&amp;$B72)</f>
        <v>0</v>
      </c>
      <c r="J72" s="29" t="n">
        <f aca="false">SUMIFS('Outages (event ledger)'!$H$2:$H$65,'Outages (event ledger)'!$A$2:$A$65,J$2,'Outages (event ledger)'!$E$2:$E$65,"&lt;="&amp;$B72,'Outages (event ledger)'!$G$2:$G$65,"&gt;="&amp;$B72)</f>
        <v>0</v>
      </c>
      <c r="K72" s="29" t="n">
        <f aca="false">SUMIFS('Outages (event ledger)'!$H$2:$H$65,'Outages (event ledger)'!$A$2:$A$65,K$2,'Outages (event ledger)'!$E$2:$E$65,"&lt;="&amp;$B72,'Outages (event ledger)'!$G$2:$G$65,"&gt;="&amp;$B72)</f>
        <v>0</v>
      </c>
      <c r="L72" s="29" t="n">
        <f aca="false">SUMIFS('Outages (event ledger)'!$H$2:$H$65,'Outages (event ledger)'!$A$2:$A$65,L$2,'Outages (event ledger)'!$E$2:$E$65,"&lt;="&amp;$B72,'Outages (event ledger)'!$G$2:$G$65,"&gt;="&amp;$B72)</f>
        <v>0</v>
      </c>
      <c r="M72" s="29" t="n">
        <f aca="false">SUMIFS('Outages (event ledger)'!$H$2:$H$65,'Outages (event ledger)'!$A$2:$A$65,M$2,'Outages (event ledger)'!$E$2:$E$65,"&lt;="&amp;$B72,'Outages (event ledger)'!$G$2:$G$65,"&gt;="&amp;$B72)</f>
        <v>0</v>
      </c>
      <c r="N72" s="29" t="n">
        <f aca="false">SUMIFS('Outages (event ledger)'!$H$2:$H$65,'Outages (event ledger)'!$A$2:$A$65,N$2,'Outages (event ledger)'!$E$2:$E$65,"&lt;="&amp;$B72,'Outages (event ledger)'!$G$2:$G$65,"&gt;="&amp;$B72)</f>
        <v>0</v>
      </c>
      <c r="O72" s="29" t="n">
        <f aca="false">SUMIFS('Outages (event ledger)'!$H$2:$H$65,'Outages (event ledger)'!$A$2:$A$65,O$2,'Outages (event ledger)'!$E$2:$E$65,"&lt;="&amp;$B72,'Outages (event ledger)'!$G$2:$G$65,"&gt;="&amp;$B72)</f>
        <v>0</v>
      </c>
      <c r="P72" s="29" t="n">
        <f aca="false">SUMIFS('Outages (event ledger)'!$H$2:$H$65,'Outages (event ledger)'!$A$2:$A$65,P$2,'Outages (event ledger)'!$E$2:$E$65,"&lt;="&amp;$B72,'Outages (event ledger)'!$G$2:$G$65,"&gt;="&amp;$B72)</f>
        <v>0</v>
      </c>
      <c r="Q72" s="29" t="n">
        <f aca="false">SUMIFS('Outages (event ledger)'!$H$2:$H$65,'Outages (event ledger)'!$A$2:$A$65,Q$2,'Outages (event ledger)'!$E$2:$E$65,"&lt;="&amp;$B72,'Outages (event ledger)'!$G$2:$G$65,"&gt;="&amp;$B72)</f>
        <v>0</v>
      </c>
      <c r="R72" s="29" t="n">
        <f aca="false">SUMIFS('Outages (event ledger)'!$H$2:$H$65,'Outages (event ledger)'!$A$2:$A$65,R$2,'Outages (event ledger)'!$E$2:$E$65,"&lt;="&amp;$B72,'Outages (event ledger)'!$G$2:$G$65,"&gt;="&amp;$B72)</f>
        <v>0</v>
      </c>
      <c r="S72" s="29" t="n">
        <f aca="false">SUMIFS('Outages (event ledger)'!$H$2:$H$65,'Outages (event ledger)'!$A$2:$A$65,S$2,'Outages (event ledger)'!$E$2:$E$65,"&lt;="&amp;$B72,'Outages (event ledger)'!$G$2:$G$65,"&gt;="&amp;$B72)</f>
        <v>0</v>
      </c>
      <c r="T72" s="29" t="n">
        <f aca="false">SUMIFS('Outages (event ledger)'!$H$2:$H$65,'Outages (event ledger)'!$A$2:$A$65,T$2,'Outages (event ledger)'!$E$2:$E$65,"&lt;="&amp;$B72,'Outages (event ledger)'!$G$2:$G$65,"&gt;="&amp;$B72)</f>
        <v>0</v>
      </c>
      <c r="U72" s="29" t="n">
        <f aca="false">SUMIFS('Outages (event ledger)'!$H$2:$H$65,'Outages (event ledger)'!$A$2:$A$65,U$2,'Outages (event ledger)'!$E$2:$E$65,"&lt;="&amp;$B72,'Outages (event ledger)'!$G$2:$G$65,"&gt;="&amp;$B72)</f>
        <v>0</v>
      </c>
      <c r="V72" s="29" t="n">
        <f aca="false">SUMIFS('Outages (event ledger)'!$H$2:$H$65,'Outages (event ledger)'!$A$2:$A$65,V$2,'Outages (event ledger)'!$E$2:$E$65,"&lt;="&amp;$B72,'Outages (event ledger)'!$G$2:$G$65,"&gt;="&amp;$B72)</f>
        <v>0</v>
      </c>
      <c r="W72" s="29" t="n">
        <f aca="false">SUMIFS('Outages (event ledger)'!$H$2:$H$65,'Outages (event ledger)'!$A$2:$A$65,W$2,'Outages (event ledger)'!$E$2:$E$65,"&lt;="&amp;$B72,'Outages (event ledger)'!$G$2:$G$65,"&gt;="&amp;$B72)</f>
        <v>0</v>
      </c>
      <c r="X72" s="29" t="n">
        <f aca="false">SUMIFS('Outages (event ledger)'!$H$2:$H$65,'Outages (event ledger)'!$A$2:$A$65,X$2,'Outages (event ledger)'!$E$2:$E$65,"&lt;="&amp;$B72,'Outages (event ledger)'!$G$2:$G$65,"&gt;="&amp;$B72)</f>
        <v>0</v>
      </c>
      <c r="Y72" s="29" t="n">
        <f aca="false">SUMIFS('Outages (event ledger)'!$H$2:$H$65,'Outages (event ledger)'!$A$2:$A$65,Y$2,'Outages (event ledger)'!$E$2:$E$65,"&lt;="&amp;$B72,'Outages (event ledger)'!$G$2:$G$65,"&gt;="&amp;$B72)</f>
        <v>5</v>
      </c>
      <c r="Z72" s="29" t="n">
        <f aca="false">SUMIFS('Outages (event ledger)'!$H$2:$H$65,'Outages (event ledger)'!$A$2:$A$65,Z$2,'Outages (event ledger)'!$E$2:$E$65,"&lt;="&amp;$B72,'Outages (event ledger)'!$G$2:$G$65,"&gt;="&amp;$B72)</f>
        <v>5</v>
      </c>
      <c r="AA72" s="29" t="n">
        <f aca="false">SUMIFS('Outages (event ledger)'!$H$2:$H$65,'Outages (event ledger)'!$A$2:$A$65,AA$2,'Outages (event ledger)'!$E$2:$E$65,"&lt;="&amp;$B72,'Outages (event ledger)'!$G$2:$G$65,"&gt;="&amp;$B72)</f>
        <v>0</v>
      </c>
      <c r="AB72" s="29" t="n">
        <f aca="false">SUMIFS('Outages (event ledger)'!$H$2:$H$65,'Outages (event ledger)'!$A$2:$A$65,AB$2,'Outages (event ledger)'!$E$2:$E$65,"&lt;="&amp;$B72,'Outages (event ledger)'!$G$2:$G$65,"&gt;="&amp;$B72)</f>
        <v>8</v>
      </c>
      <c r="AC72" s="29" t="n">
        <f aca="false">SUMIFS('Outages (event ledger)'!$H$2:$H$65,'Outages (event ledger)'!$A$2:$A$65,AC$2,'Outages (event ledger)'!$E$2:$E$65,"&lt;="&amp;$B72,'Outages (event ledger)'!$G$2:$G$65,"&gt;="&amp;$B72)</f>
        <v>0</v>
      </c>
      <c r="AD72" s="29" t="n">
        <f aca="false">SUMIFS('Outages (event ledger)'!$H$2:$H$65,'Outages (event ledger)'!$A$2:$A$65,AD$2,'Outages (event ledger)'!$E$2:$E$65,"&lt;="&amp;$B72,'Outages (event ledger)'!$G$2:$G$65,"&gt;="&amp;$B72)</f>
        <v>0</v>
      </c>
      <c r="AE72" s="29" t="n">
        <f aca="false">SUMIFS('Outages (event ledger)'!$H$2:$H$65,'Outages (event ledger)'!$A$2:$A$65,AE$2,'Outages (event ledger)'!$E$2:$E$65,"&lt;="&amp;$B72,'Outages (event ledger)'!$G$2:$G$65,"&gt;="&amp;$B72)</f>
        <v>0</v>
      </c>
      <c r="AF72" s="29" t="n">
        <f aca="false">SUMIFS('Outages (event ledger)'!$H$2:$H$65,'Outages (event ledger)'!$A$2:$A$65,AF$2,'Outages (event ledger)'!$E$2:$E$65,"&lt;="&amp;$B72,'Outages (event ledger)'!$G$2:$G$65,"&gt;="&amp;$B72)</f>
        <v>0</v>
      </c>
      <c r="AG72" s="29" t="n">
        <f aca="false">SUMIFS('Outages (event ledger)'!$H$2:$H$65,'Outages (event ledger)'!$A$2:$A$65,AG$2,'Outages (event ledger)'!$E$2:$E$65,"&lt;="&amp;$B72,'Outages (event ledger)'!$G$2:$G$65,"&gt;="&amp;$B72)</f>
        <v>0</v>
      </c>
      <c r="AH72" s="29" t="n">
        <f aca="false">SUMIFS('Outages (event ledger)'!$H$2:$H$65,'Outages (event ledger)'!$A$2:$A$65,AH$2,'Outages (event ledger)'!$E$2:$E$65,"&lt;="&amp;$B72,'Outages (event ledger)'!$G$2:$G$65,"&gt;="&amp;$B72)</f>
        <v>0</v>
      </c>
      <c r="AI72" s="29" t="n">
        <f aca="false">SUMIFS('Outages (event ledger)'!$H$2:$H$65,'Outages (event ledger)'!$A$2:$A$65,AI$2,'Outages (event ledger)'!$E$2:$E$65,"&lt;="&amp;$B72,'Outages (event ledger)'!$G$2:$G$65,"&gt;="&amp;$B72)</f>
        <v>0</v>
      </c>
      <c r="AJ72" s="29" t="n">
        <f aca="false">SUMIFS('Outages (event ledger)'!$H$2:$H$65,'Outages (event ledger)'!$A$2:$A$65,AJ$2,'Outages (event ledger)'!$E$2:$E$65,"&lt;="&amp;$B72,'Outages (event ledger)'!$G$2:$G$65,"&gt;="&amp;$B72)</f>
        <v>0</v>
      </c>
      <c r="AK72" s="29" t="n">
        <f aca="false">SUMIFS('Outages (event ledger)'!$H$2:$H$65,'Outages (event ledger)'!$A$2:$A$65,AK$2,'Outages (event ledger)'!$E$2:$E$65,"&lt;="&amp;$B72,'Outages (event ledger)'!$G$2:$G$65,"&gt;="&amp;$B72)</f>
        <v>0</v>
      </c>
      <c r="AL72" s="29" t="n">
        <f aca="false">SUMIFS('Outages (event ledger)'!$H$2:$H$65,'Outages (event ledger)'!$A$2:$A$65,AL$2,'Outages (event ledger)'!$E$2:$E$65,"&lt;="&amp;$B72,'Outages (event ledger)'!$G$2:$G$65,"&gt;="&amp;$B72)</f>
        <v>3.5</v>
      </c>
      <c r="AM72" s="29" t="n">
        <f aca="false">SUMIFS('Outages (event ledger)'!$H$2:$H$65,'Outages (event ledger)'!$A$2:$A$65,AM$2,'Outages (event ledger)'!$E$2:$E$65,"&lt;="&amp;$B72,'Outages (event ledger)'!$G$2:$G$65,"&gt;="&amp;$B72)</f>
        <v>0</v>
      </c>
      <c r="AN72" s="29" t="n">
        <f aca="false">SUMIFS('Outages (event ledger)'!$H$2:$H$65,'Outages (event ledger)'!$A$2:$A$65,AN$2,'Outages (event ledger)'!$E$2:$E$65,"&lt;="&amp;$B72,'Outages (event ledger)'!$G$2:$G$65,"&gt;="&amp;$B72)</f>
        <v>0</v>
      </c>
      <c r="AO72" s="29" t="n">
        <f aca="false">SUMIFS('Outages (event ledger)'!$H$2:$H$65,'Outages (event ledger)'!$A$2:$A$65,AO$2,'Outages (event ledger)'!$E$2:$E$65,"&lt;="&amp;$B72,'Outages (event ledger)'!$G$2:$G$65,"&gt;="&amp;$B72)</f>
        <v>0</v>
      </c>
      <c r="AP72" s="29" t="n">
        <f aca="false">SUMIFS('Outages (event ledger)'!$H$2:$H$65,'Outages (event ledger)'!$A$2:$A$65,AP$2,'Outages (event ledger)'!$E$2:$E$65,"&lt;="&amp;$B72,'Outages (event ledger)'!$G$2:$G$65,"&gt;="&amp;$B72)</f>
        <v>0</v>
      </c>
      <c r="AQ72" s="29" t="n">
        <f aca="false">SUMIFS('Outages (event ledger)'!$H$2:$H$65,'Outages (event ledger)'!$A$2:$A$65,AQ$2,'Outages (event ledger)'!$E$2:$E$65,"&lt;="&amp;$B72,'Outages (event ledger)'!$G$2:$G$65,"&gt;="&amp;$B72)</f>
        <v>0</v>
      </c>
      <c r="AR72" s="29" t="n">
        <f aca="false">SUMIFS('Outages (event ledger)'!$H$2:$H$65,'Outages (event ledger)'!$A$2:$A$65,AR$2,'Outages (event ledger)'!$E$2:$E$65,"&lt;="&amp;$B72,'Outages (event ledger)'!$G$2:$G$65,"&gt;="&amp;$B72)</f>
        <v>0</v>
      </c>
      <c r="AS72" s="29" t="n">
        <f aca="false">SUMIFS('Outages (event ledger)'!$H$2:$H$65,'Outages (event ledger)'!$A$2:$A$65,AS$2,'Outages (event ledger)'!$E$2:$E$65,"&lt;="&amp;$B72,'Outages (event ledger)'!$G$2:$G$65,"&gt;="&amp;$B72)</f>
        <v>0</v>
      </c>
      <c r="AT72" s="29" t="n">
        <f aca="false">SUMIFS('Outages (event ledger)'!$H$2:$H$65,'Outages (event ledger)'!$A$2:$A$65,AT$2,'Outages (event ledger)'!$E$2:$E$65,"&lt;="&amp;$B72,'Outages (event ledger)'!$G$2:$G$65,"&gt;="&amp;$B72)</f>
        <v>0</v>
      </c>
      <c r="AU72" s="29" t="n">
        <f aca="false">SUMIFS('Outages (event ledger)'!$H$2:$H$65,'Outages (event ledger)'!$A$2:$A$65,AU$2,'Outages (event ledger)'!$E$2:$E$65,"&lt;="&amp;$B72,'Outages (event ledger)'!$G$2:$G$65,"&gt;="&amp;$B72)</f>
        <v>0</v>
      </c>
      <c r="AV72" s="29" t="n">
        <f aca="false">SUMIFS('Outages (event ledger)'!$H$2:$H$65,'Outages (event ledger)'!$A$2:$A$65,AV$2,'Outages (event ledger)'!$E$2:$E$65,"&lt;="&amp;$B72,'Outages (event ledger)'!$G$2:$G$65,"&gt;="&amp;$B72)</f>
        <v>0</v>
      </c>
      <c r="AW72" s="29" t="n">
        <f aca="false">SUMIFS('Outages (event ledger)'!$H$2:$H$65,'Outages (event ledger)'!$A$2:$A$65,AW$2,'Outages (event ledger)'!$E$2:$E$65,"&lt;="&amp;$B72,'Outages (event ledger)'!$G$2:$G$65,"&gt;="&amp;$B72)</f>
        <v>0</v>
      </c>
      <c r="AX72" s="29" t="n">
        <f aca="false">SUMIFS('Outages (event ledger)'!$H$2:$H$65,'Outages (event ledger)'!$A$2:$A$65,AX$2,'Outages (event ledger)'!$E$2:$E$65,"&lt;="&amp;$B72,'Outages (event ledger)'!$G$2:$G$65,"&gt;="&amp;$B72)</f>
        <v>0</v>
      </c>
      <c r="AY72" s="29" t="n">
        <f aca="false">SUMIFS('Outages (event ledger)'!$H$2:$H$65,'Outages (event ledger)'!$A$2:$A$65,AY$2,'Outages (event ledger)'!$E$2:$E$65,"&lt;="&amp;$B72,'Outages (event ledger)'!$G$2:$G$65,"&gt;="&amp;$B72)</f>
        <v>0</v>
      </c>
      <c r="AZ72" s="29" t="n">
        <f aca="false">SUMIFS('Outages (event ledger)'!$H$2:$H$65,'Outages (event ledger)'!$A$2:$A$65,AZ$2,'Outages (event ledger)'!$E$2:$E$65,"&lt;="&amp;$B72,'Outages (event ledger)'!$G$2:$G$65,"&gt;="&amp;$B72)</f>
        <v>0</v>
      </c>
      <c r="BA72" s="29" t="n">
        <f aca="false">SUMIFS('Outages (event ledger)'!$H$2:$H$65,'Outages (event ledger)'!$A$2:$A$65,BA$2,'Outages (event ledger)'!$E$2:$E$65,"&lt;="&amp;$B72,'Outages (event ledger)'!$G$2:$G$65,"&gt;="&amp;$B72)</f>
        <v>0</v>
      </c>
      <c r="BB72" s="29" t="n">
        <f aca="false">SUMIFS('Outages (event ledger)'!$H$2:$H$65,'Outages (event ledger)'!$A$2:$A$65,BB$2,'Outages (event ledger)'!$E$2:$E$65,"&lt;="&amp;$B72,'Outages (event ledger)'!$G$2:$G$65,"&gt;="&amp;$B72)</f>
        <v>0</v>
      </c>
      <c r="BC72" s="29" t="n">
        <f aca="false">SUMIFS('Outages (event ledger)'!$H$2:$H$65,'Outages (event ledger)'!$A$2:$A$65,BC$2,'Outages (event ledger)'!$E$2:$E$65,"&lt;="&amp;$B72,'Outages (event ledger)'!$G$2:$G$65,"&gt;="&amp;$B72)</f>
        <v>0</v>
      </c>
      <c r="BD72" s="29" t="n">
        <f aca="false">SUMIFS('Outages (event ledger)'!$H$2:$H$65,'Outages (event ledger)'!$A$2:$A$65,BD$2,'Outages (event ledger)'!$E$2:$E$65,"&lt;="&amp;$B72,'Outages (event ledger)'!$G$2:$G$65,"&gt;="&amp;$B72)</f>
        <v>0</v>
      </c>
      <c r="BE72" s="29" t="n">
        <f aca="false">SUMIFS('Outages (event ledger)'!$H$2:$H$65,'Outages (event ledger)'!$A$2:$A$65,BE$2,'Outages (event ledger)'!$E$2:$E$65,"&lt;="&amp;$B72,'Outages (event ledger)'!$G$2:$G$65,"&gt;="&amp;$B72)</f>
        <v>0</v>
      </c>
      <c r="BF72" s="29" t="n">
        <f aca="false">SUMIFS('Outages (event ledger)'!$H$2:$H$65,'Outages (event ledger)'!$A$2:$A$65,BF$2,'Outages (event ledger)'!$E$2:$E$65,"&lt;="&amp;$B72,'Outages (event ledger)'!$G$2:$G$65,"&gt;="&amp;$B72)</f>
        <v>0</v>
      </c>
      <c r="BG72" s="29" t="n">
        <f aca="false">SUMIFS('Outages (event ledger)'!$H$2:$H$65,'Outages (event ledger)'!$A$2:$A$65,BG$2,'Outages (event ledger)'!$E$2:$E$65,"&lt;="&amp;$B72,'Outages (event ledger)'!$G$2:$G$65,"&gt;="&amp;$B72)</f>
        <v>0</v>
      </c>
      <c r="BH72" s="29" t="n">
        <f aca="false">SUMIFS('Outages (event ledger)'!$H$2:$H$65,'Outages (event ledger)'!$A$2:$A$65,BH$2,'Outages (event ledger)'!$E$2:$E$65,"&lt;="&amp;$B72,'Outages (event ledger)'!$G$2:$G$65,"&gt;="&amp;$B72)</f>
        <v>0</v>
      </c>
      <c r="BI72" s="29" t="n">
        <f aca="false">SUMIFS('Outages (event ledger)'!$H$2:$H$65,'Outages (event ledger)'!$A$2:$A$65,BI$2,'Outages (event ledger)'!$E$2:$E$65,"&lt;="&amp;$B72,'Outages (event ledger)'!$G$2:$G$65,"&gt;="&amp;$B72)</f>
        <v>6.7</v>
      </c>
    </row>
    <row r="73" customFormat="false" ht="15" hidden="false" customHeight="false" outlineLevel="0" collapsed="false">
      <c r="A73" s="27" t="n">
        <v>42309</v>
      </c>
      <c r="B73" s="28" t="n">
        <v>201511</v>
      </c>
      <c r="C73" s="25" t="n">
        <f aca="false">SUM(D73:BI73)</f>
        <v>33.4</v>
      </c>
      <c r="D73" s="29" t="n">
        <f aca="false">SUMIFS('Outages (event ledger)'!$H$2:$H$65,'Outages (event ledger)'!$A$2:$A$65,D$2,'Outages (event ledger)'!$E$2:$E$65,"&lt;="&amp;$B73,'Outages (event ledger)'!$G$2:$G$65,"&gt;="&amp;$B73)</f>
        <v>0</v>
      </c>
      <c r="E73" s="29" t="n">
        <f aca="false">SUMIFS('Outages (event ledger)'!$H$2:$H$65,'Outages (event ledger)'!$A$2:$A$65,E$2,'Outages (event ledger)'!$E$2:$E$65,"&lt;="&amp;$B73,'Outages (event ledger)'!$G$2:$G$65,"&gt;="&amp;$B73)</f>
        <v>0</v>
      </c>
      <c r="F73" s="29" t="n">
        <f aca="false">SUMIFS('Outages (event ledger)'!$H$2:$H$65,'Outages (event ledger)'!$A$2:$A$65,F$2,'Outages (event ledger)'!$E$2:$E$65,"&lt;="&amp;$B73,'Outages (event ledger)'!$G$2:$G$65,"&gt;="&amp;$B73)</f>
        <v>0</v>
      </c>
      <c r="G73" s="29" t="n">
        <f aca="false">SUMIFS('Outages (event ledger)'!$H$2:$H$65,'Outages (event ledger)'!$A$2:$A$65,G$2,'Outages (event ledger)'!$E$2:$E$65,"&lt;="&amp;$B73,'Outages (event ledger)'!$G$2:$G$65,"&gt;="&amp;$B73)</f>
        <v>0</v>
      </c>
      <c r="H73" s="29" t="n">
        <f aca="false">SUMIFS('Outages (event ledger)'!$H$2:$H$65,'Outages (event ledger)'!$A$2:$A$65,H$2,'Outages (event ledger)'!$E$2:$E$65,"&lt;="&amp;$B73,'Outages (event ledger)'!$G$2:$G$65,"&gt;="&amp;$B73)</f>
        <v>5.2</v>
      </c>
      <c r="I73" s="29" t="n">
        <f aca="false">SUMIFS('Outages (event ledger)'!$H$2:$H$65,'Outages (event ledger)'!$A$2:$A$65,I$2,'Outages (event ledger)'!$E$2:$E$65,"&lt;="&amp;$B73,'Outages (event ledger)'!$G$2:$G$65,"&gt;="&amp;$B73)</f>
        <v>0</v>
      </c>
      <c r="J73" s="29" t="n">
        <f aca="false">SUMIFS('Outages (event ledger)'!$H$2:$H$65,'Outages (event ledger)'!$A$2:$A$65,J$2,'Outages (event ledger)'!$E$2:$E$65,"&lt;="&amp;$B73,'Outages (event ledger)'!$G$2:$G$65,"&gt;="&amp;$B73)</f>
        <v>0</v>
      </c>
      <c r="K73" s="29" t="n">
        <f aca="false">SUMIFS('Outages (event ledger)'!$H$2:$H$65,'Outages (event ledger)'!$A$2:$A$65,K$2,'Outages (event ledger)'!$E$2:$E$65,"&lt;="&amp;$B73,'Outages (event ledger)'!$G$2:$G$65,"&gt;="&amp;$B73)</f>
        <v>0</v>
      </c>
      <c r="L73" s="29" t="n">
        <f aca="false">SUMIFS('Outages (event ledger)'!$H$2:$H$65,'Outages (event ledger)'!$A$2:$A$65,L$2,'Outages (event ledger)'!$E$2:$E$65,"&lt;="&amp;$B73,'Outages (event ledger)'!$G$2:$G$65,"&gt;="&amp;$B73)</f>
        <v>0</v>
      </c>
      <c r="M73" s="29" t="n">
        <f aca="false">SUMIFS('Outages (event ledger)'!$H$2:$H$65,'Outages (event ledger)'!$A$2:$A$65,M$2,'Outages (event ledger)'!$E$2:$E$65,"&lt;="&amp;$B73,'Outages (event ledger)'!$G$2:$G$65,"&gt;="&amp;$B73)</f>
        <v>0</v>
      </c>
      <c r="N73" s="29" t="n">
        <f aca="false">SUMIFS('Outages (event ledger)'!$H$2:$H$65,'Outages (event ledger)'!$A$2:$A$65,N$2,'Outages (event ledger)'!$E$2:$E$65,"&lt;="&amp;$B73,'Outages (event ledger)'!$G$2:$G$65,"&gt;="&amp;$B73)</f>
        <v>0</v>
      </c>
      <c r="O73" s="29" t="n">
        <f aca="false">SUMIFS('Outages (event ledger)'!$H$2:$H$65,'Outages (event ledger)'!$A$2:$A$65,O$2,'Outages (event ledger)'!$E$2:$E$65,"&lt;="&amp;$B73,'Outages (event ledger)'!$G$2:$G$65,"&gt;="&amp;$B73)</f>
        <v>0</v>
      </c>
      <c r="P73" s="29" t="n">
        <f aca="false">SUMIFS('Outages (event ledger)'!$H$2:$H$65,'Outages (event ledger)'!$A$2:$A$65,P$2,'Outages (event ledger)'!$E$2:$E$65,"&lt;="&amp;$B73,'Outages (event ledger)'!$G$2:$G$65,"&gt;="&amp;$B73)</f>
        <v>0</v>
      </c>
      <c r="Q73" s="29" t="n">
        <f aca="false">SUMIFS('Outages (event ledger)'!$H$2:$H$65,'Outages (event ledger)'!$A$2:$A$65,Q$2,'Outages (event ledger)'!$E$2:$E$65,"&lt;="&amp;$B73,'Outages (event ledger)'!$G$2:$G$65,"&gt;="&amp;$B73)</f>
        <v>0</v>
      </c>
      <c r="R73" s="29" t="n">
        <f aca="false">SUMIFS('Outages (event ledger)'!$H$2:$H$65,'Outages (event ledger)'!$A$2:$A$65,R$2,'Outages (event ledger)'!$E$2:$E$65,"&lt;="&amp;$B73,'Outages (event ledger)'!$G$2:$G$65,"&gt;="&amp;$B73)</f>
        <v>0</v>
      </c>
      <c r="S73" s="29" t="n">
        <f aca="false">SUMIFS('Outages (event ledger)'!$H$2:$H$65,'Outages (event ledger)'!$A$2:$A$65,S$2,'Outages (event ledger)'!$E$2:$E$65,"&lt;="&amp;$B73,'Outages (event ledger)'!$G$2:$G$65,"&gt;="&amp;$B73)</f>
        <v>0</v>
      </c>
      <c r="T73" s="29" t="n">
        <f aca="false">SUMIFS('Outages (event ledger)'!$H$2:$H$65,'Outages (event ledger)'!$A$2:$A$65,T$2,'Outages (event ledger)'!$E$2:$E$65,"&lt;="&amp;$B73,'Outages (event ledger)'!$G$2:$G$65,"&gt;="&amp;$B73)</f>
        <v>0</v>
      </c>
      <c r="U73" s="29" t="n">
        <f aca="false">SUMIFS('Outages (event ledger)'!$H$2:$H$65,'Outages (event ledger)'!$A$2:$A$65,U$2,'Outages (event ledger)'!$E$2:$E$65,"&lt;="&amp;$B73,'Outages (event ledger)'!$G$2:$G$65,"&gt;="&amp;$B73)</f>
        <v>0</v>
      </c>
      <c r="V73" s="29" t="n">
        <f aca="false">SUMIFS('Outages (event ledger)'!$H$2:$H$65,'Outages (event ledger)'!$A$2:$A$65,V$2,'Outages (event ledger)'!$E$2:$E$65,"&lt;="&amp;$B73,'Outages (event ledger)'!$G$2:$G$65,"&gt;="&amp;$B73)</f>
        <v>0</v>
      </c>
      <c r="W73" s="29" t="n">
        <f aca="false">SUMIFS('Outages (event ledger)'!$H$2:$H$65,'Outages (event ledger)'!$A$2:$A$65,W$2,'Outages (event ledger)'!$E$2:$E$65,"&lt;="&amp;$B73,'Outages (event ledger)'!$G$2:$G$65,"&gt;="&amp;$B73)</f>
        <v>0</v>
      </c>
      <c r="X73" s="29" t="n">
        <f aca="false">SUMIFS('Outages (event ledger)'!$H$2:$H$65,'Outages (event ledger)'!$A$2:$A$65,X$2,'Outages (event ledger)'!$E$2:$E$65,"&lt;="&amp;$B73,'Outages (event ledger)'!$G$2:$G$65,"&gt;="&amp;$B73)</f>
        <v>0</v>
      </c>
      <c r="Y73" s="29" t="n">
        <f aca="false">SUMIFS('Outages (event ledger)'!$H$2:$H$65,'Outages (event ledger)'!$A$2:$A$65,Y$2,'Outages (event ledger)'!$E$2:$E$65,"&lt;="&amp;$B73,'Outages (event ledger)'!$G$2:$G$65,"&gt;="&amp;$B73)</f>
        <v>5</v>
      </c>
      <c r="Z73" s="29" t="n">
        <f aca="false">SUMIFS('Outages (event ledger)'!$H$2:$H$65,'Outages (event ledger)'!$A$2:$A$65,Z$2,'Outages (event ledger)'!$E$2:$E$65,"&lt;="&amp;$B73,'Outages (event ledger)'!$G$2:$G$65,"&gt;="&amp;$B73)</f>
        <v>5</v>
      </c>
      <c r="AA73" s="29" t="n">
        <f aca="false">SUMIFS('Outages (event ledger)'!$H$2:$H$65,'Outages (event ledger)'!$A$2:$A$65,AA$2,'Outages (event ledger)'!$E$2:$E$65,"&lt;="&amp;$B73,'Outages (event ledger)'!$G$2:$G$65,"&gt;="&amp;$B73)</f>
        <v>0</v>
      </c>
      <c r="AB73" s="29" t="n">
        <f aca="false">SUMIFS('Outages (event ledger)'!$H$2:$H$65,'Outages (event ledger)'!$A$2:$A$65,AB$2,'Outages (event ledger)'!$E$2:$E$65,"&lt;="&amp;$B73,'Outages (event ledger)'!$G$2:$G$65,"&gt;="&amp;$B73)</f>
        <v>8</v>
      </c>
      <c r="AC73" s="29" t="n">
        <f aca="false">SUMIFS('Outages (event ledger)'!$H$2:$H$65,'Outages (event ledger)'!$A$2:$A$65,AC$2,'Outages (event ledger)'!$E$2:$E$65,"&lt;="&amp;$B73,'Outages (event ledger)'!$G$2:$G$65,"&gt;="&amp;$B73)</f>
        <v>0</v>
      </c>
      <c r="AD73" s="29" t="n">
        <f aca="false">SUMIFS('Outages (event ledger)'!$H$2:$H$65,'Outages (event ledger)'!$A$2:$A$65,AD$2,'Outages (event ledger)'!$E$2:$E$65,"&lt;="&amp;$B73,'Outages (event ledger)'!$G$2:$G$65,"&gt;="&amp;$B73)</f>
        <v>0</v>
      </c>
      <c r="AE73" s="29" t="n">
        <f aca="false">SUMIFS('Outages (event ledger)'!$H$2:$H$65,'Outages (event ledger)'!$A$2:$A$65,AE$2,'Outages (event ledger)'!$E$2:$E$65,"&lt;="&amp;$B73,'Outages (event ledger)'!$G$2:$G$65,"&gt;="&amp;$B73)</f>
        <v>0</v>
      </c>
      <c r="AF73" s="29" t="n">
        <f aca="false">SUMIFS('Outages (event ledger)'!$H$2:$H$65,'Outages (event ledger)'!$A$2:$A$65,AF$2,'Outages (event ledger)'!$E$2:$E$65,"&lt;="&amp;$B73,'Outages (event ledger)'!$G$2:$G$65,"&gt;="&amp;$B73)</f>
        <v>0</v>
      </c>
      <c r="AG73" s="29" t="n">
        <f aca="false">SUMIFS('Outages (event ledger)'!$H$2:$H$65,'Outages (event ledger)'!$A$2:$A$65,AG$2,'Outages (event ledger)'!$E$2:$E$65,"&lt;="&amp;$B73,'Outages (event ledger)'!$G$2:$G$65,"&gt;="&amp;$B73)</f>
        <v>0</v>
      </c>
      <c r="AH73" s="29" t="n">
        <f aca="false">SUMIFS('Outages (event ledger)'!$H$2:$H$65,'Outages (event ledger)'!$A$2:$A$65,AH$2,'Outages (event ledger)'!$E$2:$E$65,"&lt;="&amp;$B73,'Outages (event ledger)'!$G$2:$G$65,"&gt;="&amp;$B73)</f>
        <v>0</v>
      </c>
      <c r="AI73" s="29" t="n">
        <f aca="false">SUMIFS('Outages (event ledger)'!$H$2:$H$65,'Outages (event ledger)'!$A$2:$A$65,AI$2,'Outages (event ledger)'!$E$2:$E$65,"&lt;="&amp;$B73,'Outages (event ledger)'!$G$2:$G$65,"&gt;="&amp;$B73)</f>
        <v>0</v>
      </c>
      <c r="AJ73" s="29" t="n">
        <f aca="false">SUMIFS('Outages (event ledger)'!$H$2:$H$65,'Outages (event ledger)'!$A$2:$A$65,AJ$2,'Outages (event ledger)'!$E$2:$E$65,"&lt;="&amp;$B73,'Outages (event ledger)'!$G$2:$G$65,"&gt;="&amp;$B73)</f>
        <v>0</v>
      </c>
      <c r="AK73" s="29" t="n">
        <f aca="false">SUMIFS('Outages (event ledger)'!$H$2:$H$65,'Outages (event ledger)'!$A$2:$A$65,AK$2,'Outages (event ledger)'!$E$2:$E$65,"&lt;="&amp;$B73,'Outages (event ledger)'!$G$2:$G$65,"&gt;="&amp;$B73)</f>
        <v>0</v>
      </c>
      <c r="AL73" s="29" t="n">
        <f aca="false">SUMIFS('Outages (event ledger)'!$H$2:$H$65,'Outages (event ledger)'!$A$2:$A$65,AL$2,'Outages (event ledger)'!$E$2:$E$65,"&lt;="&amp;$B73,'Outages (event ledger)'!$G$2:$G$65,"&gt;="&amp;$B73)</f>
        <v>3.5</v>
      </c>
      <c r="AM73" s="29" t="n">
        <f aca="false">SUMIFS('Outages (event ledger)'!$H$2:$H$65,'Outages (event ledger)'!$A$2:$A$65,AM$2,'Outages (event ledger)'!$E$2:$E$65,"&lt;="&amp;$B73,'Outages (event ledger)'!$G$2:$G$65,"&gt;="&amp;$B73)</f>
        <v>0</v>
      </c>
      <c r="AN73" s="29" t="n">
        <f aca="false">SUMIFS('Outages (event ledger)'!$H$2:$H$65,'Outages (event ledger)'!$A$2:$A$65,AN$2,'Outages (event ledger)'!$E$2:$E$65,"&lt;="&amp;$B73,'Outages (event ledger)'!$G$2:$G$65,"&gt;="&amp;$B73)</f>
        <v>0</v>
      </c>
      <c r="AO73" s="29" t="n">
        <f aca="false">SUMIFS('Outages (event ledger)'!$H$2:$H$65,'Outages (event ledger)'!$A$2:$A$65,AO$2,'Outages (event ledger)'!$E$2:$E$65,"&lt;="&amp;$B73,'Outages (event ledger)'!$G$2:$G$65,"&gt;="&amp;$B73)</f>
        <v>0</v>
      </c>
      <c r="AP73" s="29" t="n">
        <f aca="false">SUMIFS('Outages (event ledger)'!$H$2:$H$65,'Outages (event ledger)'!$A$2:$A$65,AP$2,'Outages (event ledger)'!$E$2:$E$65,"&lt;="&amp;$B73,'Outages (event ledger)'!$G$2:$G$65,"&gt;="&amp;$B73)</f>
        <v>0</v>
      </c>
      <c r="AQ73" s="29" t="n">
        <f aca="false">SUMIFS('Outages (event ledger)'!$H$2:$H$65,'Outages (event ledger)'!$A$2:$A$65,AQ$2,'Outages (event ledger)'!$E$2:$E$65,"&lt;="&amp;$B73,'Outages (event ledger)'!$G$2:$G$65,"&gt;="&amp;$B73)</f>
        <v>0</v>
      </c>
      <c r="AR73" s="29" t="n">
        <f aca="false">SUMIFS('Outages (event ledger)'!$H$2:$H$65,'Outages (event ledger)'!$A$2:$A$65,AR$2,'Outages (event ledger)'!$E$2:$E$65,"&lt;="&amp;$B73,'Outages (event ledger)'!$G$2:$G$65,"&gt;="&amp;$B73)</f>
        <v>0</v>
      </c>
      <c r="AS73" s="29" t="n">
        <f aca="false">SUMIFS('Outages (event ledger)'!$H$2:$H$65,'Outages (event ledger)'!$A$2:$A$65,AS$2,'Outages (event ledger)'!$E$2:$E$65,"&lt;="&amp;$B73,'Outages (event ledger)'!$G$2:$G$65,"&gt;="&amp;$B73)</f>
        <v>0</v>
      </c>
      <c r="AT73" s="29" t="n">
        <f aca="false">SUMIFS('Outages (event ledger)'!$H$2:$H$65,'Outages (event ledger)'!$A$2:$A$65,AT$2,'Outages (event ledger)'!$E$2:$E$65,"&lt;="&amp;$B73,'Outages (event ledger)'!$G$2:$G$65,"&gt;="&amp;$B73)</f>
        <v>0</v>
      </c>
      <c r="AU73" s="29" t="n">
        <f aca="false">SUMIFS('Outages (event ledger)'!$H$2:$H$65,'Outages (event ledger)'!$A$2:$A$65,AU$2,'Outages (event ledger)'!$E$2:$E$65,"&lt;="&amp;$B73,'Outages (event ledger)'!$G$2:$G$65,"&gt;="&amp;$B73)</f>
        <v>0</v>
      </c>
      <c r="AV73" s="29" t="n">
        <f aca="false">SUMIFS('Outages (event ledger)'!$H$2:$H$65,'Outages (event ledger)'!$A$2:$A$65,AV$2,'Outages (event ledger)'!$E$2:$E$65,"&lt;="&amp;$B73,'Outages (event ledger)'!$G$2:$G$65,"&gt;="&amp;$B73)</f>
        <v>0</v>
      </c>
      <c r="AW73" s="29" t="n">
        <f aca="false">SUMIFS('Outages (event ledger)'!$H$2:$H$65,'Outages (event ledger)'!$A$2:$A$65,AW$2,'Outages (event ledger)'!$E$2:$E$65,"&lt;="&amp;$B73,'Outages (event ledger)'!$G$2:$G$65,"&gt;="&amp;$B73)</f>
        <v>0</v>
      </c>
      <c r="AX73" s="29" t="n">
        <f aca="false">SUMIFS('Outages (event ledger)'!$H$2:$H$65,'Outages (event ledger)'!$A$2:$A$65,AX$2,'Outages (event ledger)'!$E$2:$E$65,"&lt;="&amp;$B73,'Outages (event ledger)'!$G$2:$G$65,"&gt;="&amp;$B73)</f>
        <v>0</v>
      </c>
      <c r="AY73" s="29" t="n">
        <f aca="false">SUMIFS('Outages (event ledger)'!$H$2:$H$65,'Outages (event ledger)'!$A$2:$A$65,AY$2,'Outages (event ledger)'!$E$2:$E$65,"&lt;="&amp;$B73,'Outages (event ledger)'!$G$2:$G$65,"&gt;="&amp;$B73)</f>
        <v>0</v>
      </c>
      <c r="AZ73" s="29" t="n">
        <f aca="false">SUMIFS('Outages (event ledger)'!$H$2:$H$65,'Outages (event ledger)'!$A$2:$A$65,AZ$2,'Outages (event ledger)'!$E$2:$E$65,"&lt;="&amp;$B73,'Outages (event ledger)'!$G$2:$G$65,"&gt;="&amp;$B73)</f>
        <v>0</v>
      </c>
      <c r="BA73" s="29" t="n">
        <f aca="false">SUMIFS('Outages (event ledger)'!$H$2:$H$65,'Outages (event ledger)'!$A$2:$A$65,BA$2,'Outages (event ledger)'!$E$2:$E$65,"&lt;="&amp;$B73,'Outages (event ledger)'!$G$2:$G$65,"&gt;="&amp;$B73)</f>
        <v>0</v>
      </c>
      <c r="BB73" s="29" t="n">
        <f aca="false">SUMIFS('Outages (event ledger)'!$H$2:$H$65,'Outages (event ledger)'!$A$2:$A$65,BB$2,'Outages (event ledger)'!$E$2:$E$65,"&lt;="&amp;$B73,'Outages (event ledger)'!$G$2:$G$65,"&gt;="&amp;$B73)</f>
        <v>0</v>
      </c>
      <c r="BC73" s="29" t="n">
        <f aca="false">SUMIFS('Outages (event ledger)'!$H$2:$H$65,'Outages (event ledger)'!$A$2:$A$65,BC$2,'Outages (event ledger)'!$E$2:$E$65,"&lt;="&amp;$B73,'Outages (event ledger)'!$G$2:$G$65,"&gt;="&amp;$B73)</f>
        <v>0</v>
      </c>
      <c r="BD73" s="29" t="n">
        <f aca="false">SUMIFS('Outages (event ledger)'!$H$2:$H$65,'Outages (event ledger)'!$A$2:$A$65,BD$2,'Outages (event ledger)'!$E$2:$E$65,"&lt;="&amp;$B73,'Outages (event ledger)'!$G$2:$G$65,"&gt;="&amp;$B73)</f>
        <v>0</v>
      </c>
      <c r="BE73" s="29" t="n">
        <f aca="false">SUMIFS('Outages (event ledger)'!$H$2:$H$65,'Outages (event ledger)'!$A$2:$A$65,BE$2,'Outages (event ledger)'!$E$2:$E$65,"&lt;="&amp;$B73,'Outages (event ledger)'!$G$2:$G$65,"&gt;="&amp;$B73)</f>
        <v>0</v>
      </c>
      <c r="BF73" s="29" t="n">
        <f aca="false">SUMIFS('Outages (event ledger)'!$H$2:$H$65,'Outages (event ledger)'!$A$2:$A$65,BF$2,'Outages (event ledger)'!$E$2:$E$65,"&lt;="&amp;$B73,'Outages (event ledger)'!$G$2:$G$65,"&gt;="&amp;$B73)</f>
        <v>0</v>
      </c>
      <c r="BG73" s="29" t="n">
        <f aca="false">SUMIFS('Outages (event ledger)'!$H$2:$H$65,'Outages (event ledger)'!$A$2:$A$65,BG$2,'Outages (event ledger)'!$E$2:$E$65,"&lt;="&amp;$B73,'Outages (event ledger)'!$G$2:$G$65,"&gt;="&amp;$B73)</f>
        <v>0</v>
      </c>
      <c r="BH73" s="29" t="n">
        <f aca="false">SUMIFS('Outages (event ledger)'!$H$2:$H$65,'Outages (event ledger)'!$A$2:$A$65,BH$2,'Outages (event ledger)'!$E$2:$E$65,"&lt;="&amp;$B73,'Outages (event ledger)'!$G$2:$G$65,"&gt;="&amp;$B73)</f>
        <v>0</v>
      </c>
      <c r="BI73" s="29" t="n">
        <f aca="false">SUMIFS('Outages (event ledger)'!$H$2:$H$65,'Outages (event ledger)'!$A$2:$A$65,BI$2,'Outages (event ledger)'!$E$2:$E$65,"&lt;="&amp;$B73,'Outages (event ledger)'!$G$2:$G$65,"&gt;="&amp;$B73)</f>
        <v>6.7</v>
      </c>
    </row>
    <row r="74" customFormat="false" ht="15" hidden="false" customHeight="false" outlineLevel="0" collapsed="false">
      <c r="A74" s="27" t="n">
        <v>42339</v>
      </c>
      <c r="B74" s="28" t="n">
        <v>201512</v>
      </c>
      <c r="C74" s="25" t="n">
        <f aca="false">SUM(D74:BI74)</f>
        <v>33.4</v>
      </c>
      <c r="D74" s="29" t="n">
        <f aca="false">SUMIFS('Outages (event ledger)'!$H$2:$H$65,'Outages (event ledger)'!$A$2:$A$65,D$2,'Outages (event ledger)'!$E$2:$E$65,"&lt;="&amp;$B74,'Outages (event ledger)'!$G$2:$G$65,"&gt;="&amp;$B74)</f>
        <v>0</v>
      </c>
      <c r="E74" s="29" t="n">
        <f aca="false">SUMIFS('Outages (event ledger)'!$H$2:$H$65,'Outages (event ledger)'!$A$2:$A$65,E$2,'Outages (event ledger)'!$E$2:$E$65,"&lt;="&amp;$B74,'Outages (event ledger)'!$G$2:$G$65,"&gt;="&amp;$B74)</f>
        <v>0</v>
      </c>
      <c r="F74" s="29" t="n">
        <f aca="false">SUMIFS('Outages (event ledger)'!$H$2:$H$65,'Outages (event ledger)'!$A$2:$A$65,F$2,'Outages (event ledger)'!$E$2:$E$65,"&lt;="&amp;$B74,'Outages (event ledger)'!$G$2:$G$65,"&gt;="&amp;$B74)</f>
        <v>0</v>
      </c>
      <c r="G74" s="29" t="n">
        <f aca="false">SUMIFS('Outages (event ledger)'!$H$2:$H$65,'Outages (event ledger)'!$A$2:$A$65,G$2,'Outages (event ledger)'!$E$2:$E$65,"&lt;="&amp;$B74,'Outages (event ledger)'!$G$2:$G$65,"&gt;="&amp;$B74)</f>
        <v>0</v>
      </c>
      <c r="H74" s="29" t="n">
        <f aca="false">SUMIFS('Outages (event ledger)'!$H$2:$H$65,'Outages (event ledger)'!$A$2:$A$65,H$2,'Outages (event ledger)'!$E$2:$E$65,"&lt;="&amp;$B74,'Outages (event ledger)'!$G$2:$G$65,"&gt;="&amp;$B74)</f>
        <v>5.2</v>
      </c>
      <c r="I74" s="29" t="n">
        <f aca="false">SUMIFS('Outages (event ledger)'!$H$2:$H$65,'Outages (event ledger)'!$A$2:$A$65,I$2,'Outages (event ledger)'!$E$2:$E$65,"&lt;="&amp;$B74,'Outages (event ledger)'!$G$2:$G$65,"&gt;="&amp;$B74)</f>
        <v>0</v>
      </c>
      <c r="J74" s="29" t="n">
        <f aca="false">SUMIFS('Outages (event ledger)'!$H$2:$H$65,'Outages (event ledger)'!$A$2:$A$65,J$2,'Outages (event ledger)'!$E$2:$E$65,"&lt;="&amp;$B74,'Outages (event ledger)'!$G$2:$G$65,"&gt;="&amp;$B74)</f>
        <v>0</v>
      </c>
      <c r="K74" s="29" t="n">
        <f aca="false">SUMIFS('Outages (event ledger)'!$H$2:$H$65,'Outages (event ledger)'!$A$2:$A$65,K$2,'Outages (event ledger)'!$E$2:$E$65,"&lt;="&amp;$B74,'Outages (event ledger)'!$G$2:$G$65,"&gt;="&amp;$B74)</f>
        <v>0</v>
      </c>
      <c r="L74" s="29" t="n">
        <f aca="false">SUMIFS('Outages (event ledger)'!$H$2:$H$65,'Outages (event ledger)'!$A$2:$A$65,L$2,'Outages (event ledger)'!$E$2:$E$65,"&lt;="&amp;$B74,'Outages (event ledger)'!$G$2:$G$65,"&gt;="&amp;$B74)</f>
        <v>0</v>
      </c>
      <c r="M74" s="29" t="n">
        <f aca="false">SUMIFS('Outages (event ledger)'!$H$2:$H$65,'Outages (event ledger)'!$A$2:$A$65,M$2,'Outages (event ledger)'!$E$2:$E$65,"&lt;="&amp;$B74,'Outages (event ledger)'!$G$2:$G$65,"&gt;="&amp;$B74)</f>
        <v>0</v>
      </c>
      <c r="N74" s="29" t="n">
        <f aca="false">SUMIFS('Outages (event ledger)'!$H$2:$H$65,'Outages (event ledger)'!$A$2:$A$65,N$2,'Outages (event ledger)'!$E$2:$E$65,"&lt;="&amp;$B74,'Outages (event ledger)'!$G$2:$G$65,"&gt;="&amp;$B74)</f>
        <v>0</v>
      </c>
      <c r="O74" s="29" t="n">
        <f aca="false">SUMIFS('Outages (event ledger)'!$H$2:$H$65,'Outages (event ledger)'!$A$2:$A$65,O$2,'Outages (event ledger)'!$E$2:$E$65,"&lt;="&amp;$B74,'Outages (event ledger)'!$G$2:$G$65,"&gt;="&amp;$B74)</f>
        <v>0</v>
      </c>
      <c r="P74" s="29" t="n">
        <f aca="false">SUMIFS('Outages (event ledger)'!$H$2:$H$65,'Outages (event ledger)'!$A$2:$A$65,P$2,'Outages (event ledger)'!$E$2:$E$65,"&lt;="&amp;$B74,'Outages (event ledger)'!$G$2:$G$65,"&gt;="&amp;$B74)</f>
        <v>0</v>
      </c>
      <c r="Q74" s="29" t="n">
        <f aca="false">SUMIFS('Outages (event ledger)'!$H$2:$H$65,'Outages (event ledger)'!$A$2:$A$65,Q$2,'Outages (event ledger)'!$E$2:$E$65,"&lt;="&amp;$B74,'Outages (event ledger)'!$G$2:$G$65,"&gt;="&amp;$B74)</f>
        <v>0</v>
      </c>
      <c r="R74" s="29" t="n">
        <f aca="false">SUMIFS('Outages (event ledger)'!$H$2:$H$65,'Outages (event ledger)'!$A$2:$A$65,R$2,'Outages (event ledger)'!$E$2:$E$65,"&lt;="&amp;$B74,'Outages (event ledger)'!$G$2:$G$65,"&gt;="&amp;$B74)</f>
        <v>0</v>
      </c>
      <c r="S74" s="29" t="n">
        <f aca="false">SUMIFS('Outages (event ledger)'!$H$2:$H$65,'Outages (event ledger)'!$A$2:$A$65,S$2,'Outages (event ledger)'!$E$2:$E$65,"&lt;="&amp;$B74,'Outages (event ledger)'!$G$2:$G$65,"&gt;="&amp;$B74)</f>
        <v>0</v>
      </c>
      <c r="T74" s="29" t="n">
        <f aca="false">SUMIFS('Outages (event ledger)'!$H$2:$H$65,'Outages (event ledger)'!$A$2:$A$65,T$2,'Outages (event ledger)'!$E$2:$E$65,"&lt;="&amp;$B74,'Outages (event ledger)'!$G$2:$G$65,"&gt;="&amp;$B74)</f>
        <v>0</v>
      </c>
      <c r="U74" s="29" t="n">
        <f aca="false">SUMIFS('Outages (event ledger)'!$H$2:$H$65,'Outages (event ledger)'!$A$2:$A$65,U$2,'Outages (event ledger)'!$E$2:$E$65,"&lt;="&amp;$B74,'Outages (event ledger)'!$G$2:$G$65,"&gt;="&amp;$B74)</f>
        <v>0</v>
      </c>
      <c r="V74" s="29" t="n">
        <f aca="false">SUMIFS('Outages (event ledger)'!$H$2:$H$65,'Outages (event ledger)'!$A$2:$A$65,V$2,'Outages (event ledger)'!$E$2:$E$65,"&lt;="&amp;$B74,'Outages (event ledger)'!$G$2:$G$65,"&gt;="&amp;$B74)</f>
        <v>0</v>
      </c>
      <c r="W74" s="29" t="n">
        <f aca="false">SUMIFS('Outages (event ledger)'!$H$2:$H$65,'Outages (event ledger)'!$A$2:$A$65,W$2,'Outages (event ledger)'!$E$2:$E$65,"&lt;="&amp;$B74,'Outages (event ledger)'!$G$2:$G$65,"&gt;="&amp;$B74)</f>
        <v>0</v>
      </c>
      <c r="X74" s="29" t="n">
        <f aca="false">SUMIFS('Outages (event ledger)'!$H$2:$H$65,'Outages (event ledger)'!$A$2:$A$65,X$2,'Outages (event ledger)'!$E$2:$E$65,"&lt;="&amp;$B74,'Outages (event ledger)'!$G$2:$G$65,"&gt;="&amp;$B74)</f>
        <v>0</v>
      </c>
      <c r="Y74" s="29" t="n">
        <f aca="false">SUMIFS('Outages (event ledger)'!$H$2:$H$65,'Outages (event ledger)'!$A$2:$A$65,Y$2,'Outages (event ledger)'!$E$2:$E$65,"&lt;="&amp;$B74,'Outages (event ledger)'!$G$2:$G$65,"&gt;="&amp;$B74)</f>
        <v>5</v>
      </c>
      <c r="Z74" s="29" t="n">
        <f aca="false">SUMIFS('Outages (event ledger)'!$H$2:$H$65,'Outages (event ledger)'!$A$2:$A$65,Z$2,'Outages (event ledger)'!$E$2:$E$65,"&lt;="&amp;$B74,'Outages (event ledger)'!$G$2:$G$65,"&gt;="&amp;$B74)</f>
        <v>5</v>
      </c>
      <c r="AA74" s="29" t="n">
        <f aca="false">SUMIFS('Outages (event ledger)'!$H$2:$H$65,'Outages (event ledger)'!$A$2:$A$65,AA$2,'Outages (event ledger)'!$E$2:$E$65,"&lt;="&amp;$B74,'Outages (event ledger)'!$G$2:$G$65,"&gt;="&amp;$B74)</f>
        <v>0</v>
      </c>
      <c r="AB74" s="29" t="n">
        <f aca="false">SUMIFS('Outages (event ledger)'!$H$2:$H$65,'Outages (event ledger)'!$A$2:$A$65,AB$2,'Outages (event ledger)'!$E$2:$E$65,"&lt;="&amp;$B74,'Outages (event ledger)'!$G$2:$G$65,"&gt;="&amp;$B74)</f>
        <v>8</v>
      </c>
      <c r="AC74" s="29" t="n">
        <f aca="false">SUMIFS('Outages (event ledger)'!$H$2:$H$65,'Outages (event ledger)'!$A$2:$A$65,AC$2,'Outages (event ledger)'!$E$2:$E$65,"&lt;="&amp;$B74,'Outages (event ledger)'!$G$2:$G$65,"&gt;="&amp;$B74)</f>
        <v>0</v>
      </c>
      <c r="AD74" s="29" t="n">
        <f aca="false">SUMIFS('Outages (event ledger)'!$H$2:$H$65,'Outages (event ledger)'!$A$2:$A$65,AD$2,'Outages (event ledger)'!$E$2:$E$65,"&lt;="&amp;$B74,'Outages (event ledger)'!$G$2:$G$65,"&gt;="&amp;$B74)</f>
        <v>0</v>
      </c>
      <c r="AE74" s="29" t="n">
        <f aca="false">SUMIFS('Outages (event ledger)'!$H$2:$H$65,'Outages (event ledger)'!$A$2:$A$65,AE$2,'Outages (event ledger)'!$E$2:$E$65,"&lt;="&amp;$B74,'Outages (event ledger)'!$G$2:$G$65,"&gt;="&amp;$B74)</f>
        <v>0</v>
      </c>
      <c r="AF74" s="29" t="n">
        <f aca="false">SUMIFS('Outages (event ledger)'!$H$2:$H$65,'Outages (event ledger)'!$A$2:$A$65,AF$2,'Outages (event ledger)'!$E$2:$E$65,"&lt;="&amp;$B74,'Outages (event ledger)'!$G$2:$G$65,"&gt;="&amp;$B74)</f>
        <v>0</v>
      </c>
      <c r="AG74" s="29" t="n">
        <f aca="false">SUMIFS('Outages (event ledger)'!$H$2:$H$65,'Outages (event ledger)'!$A$2:$A$65,AG$2,'Outages (event ledger)'!$E$2:$E$65,"&lt;="&amp;$B74,'Outages (event ledger)'!$G$2:$G$65,"&gt;="&amp;$B74)</f>
        <v>0</v>
      </c>
      <c r="AH74" s="29" t="n">
        <f aca="false">SUMIFS('Outages (event ledger)'!$H$2:$H$65,'Outages (event ledger)'!$A$2:$A$65,AH$2,'Outages (event ledger)'!$E$2:$E$65,"&lt;="&amp;$B74,'Outages (event ledger)'!$G$2:$G$65,"&gt;="&amp;$B74)</f>
        <v>0</v>
      </c>
      <c r="AI74" s="29" t="n">
        <f aca="false">SUMIFS('Outages (event ledger)'!$H$2:$H$65,'Outages (event ledger)'!$A$2:$A$65,AI$2,'Outages (event ledger)'!$E$2:$E$65,"&lt;="&amp;$B74,'Outages (event ledger)'!$G$2:$G$65,"&gt;="&amp;$B74)</f>
        <v>0</v>
      </c>
      <c r="AJ74" s="29" t="n">
        <f aca="false">SUMIFS('Outages (event ledger)'!$H$2:$H$65,'Outages (event ledger)'!$A$2:$A$65,AJ$2,'Outages (event ledger)'!$E$2:$E$65,"&lt;="&amp;$B74,'Outages (event ledger)'!$G$2:$G$65,"&gt;="&amp;$B74)</f>
        <v>0</v>
      </c>
      <c r="AK74" s="29" t="n">
        <f aca="false">SUMIFS('Outages (event ledger)'!$H$2:$H$65,'Outages (event ledger)'!$A$2:$A$65,AK$2,'Outages (event ledger)'!$E$2:$E$65,"&lt;="&amp;$B74,'Outages (event ledger)'!$G$2:$G$65,"&gt;="&amp;$B74)</f>
        <v>0</v>
      </c>
      <c r="AL74" s="29" t="n">
        <f aca="false">SUMIFS('Outages (event ledger)'!$H$2:$H$65,'Outages (event ledger)'!$A$2:$A$65,AL$2,'Outages (event ledger)'!$E$2:$E$65,"&lt;="&amp;$B74,'Outages (event ledger)'!$G$2:$G$65,"&gt;="&amp;$B74)</f>
        <v>3.5</v>
      </c>
      <c r="AM74" s="29" t="n">
        <f aca="false">SUMIFS('Outages (event ledger)'!$H$2:$H$65,'Outages (event ledger)'!$A$2:$A$65,AM$2,'Outages (event ledger)'!$E$2:$E$65,"&lt;="&amp;$B74,'Outages (event ledger)'!$G$2:$G$65,"&gt;="&amp;$B74)</f>
        <v>0</v>
      </c>
      <c r="AN74" s="29" t="n">
        <f aca="false">SUMIFS('Outages (event ledger)'!$H$2:$H$65,'Outages (event ledger)'!$A$2:$A$65,AN$2,'Outages (event ledger)'!$E$2:$E$65,"&lt;="&amp;$B74,'Outages (event ledger)'!$G$2:$G$65,"&gt;="&amp;$B74)</f>
        <v>0</v>
      </c>
      <c r="AO74" s="29" t="n">
        <f aca="false">SUMIFS('Outages (event ledger)'!$H$2:$H$65,'Outages (event ledger)'!$A$2:$A$65,AO$2,'Outages (event ledger)'!$E$2:$E$65,"&lt;="&amp;$B74,'Outages (event ledger)'!$G$2:$G$65,"&gt;="&amp;$B74)</f>
        <v>0</v>
      </c>
      <c r="AP74" s="29" t="n">
        <f aca="false">SUMIFS('Outages (event ledger)'!$H$2:$H$65,'Outages (event ledger)'!$A$2:$A$65,AP$2,'Outages (event ledger)'!$E$2:$E$65,"&lt;="&amp;$B74,'Outages (event ledger)'!$G$2:$G$65,"&gt;="&amp;$B74)</f>
        <v>0</v>
      </c>
      <c r="AQ74" s="29" t="n">
        <f aca="false">SUMIFS('Outages (event ledger)'!$H$2:$H$65,'Outages (event ledger)'!$A$2:$A$65,AQ$2,'Outages (event ledger)'!$E$2:$E$65,"&lt;="&amp;$B74,'Outages (event ledger)'!$G$2:$G$65,"&gt;="&amp;$B74)</f>
        <v>0</v>
      </c>
      <c r="AR74" s="29" t="n">
        <f aca="false">SUMIFS('Outages (event ledger)'!$H$2:$H$65,'Outages (event ledger)'!$A$2:$A$65,AR$2,'Outages (event ledger)'!$E$2:$E$65,"&lt;="&amp;$B74,'Outages (event ledger)'!$G$2:$G$65,"&gt;="&amp;$B74)</f>
        <v>0</v>
      </c>
      <c r="AS74" s="29" t="n">
        <f aca="false">SUMIFS('Outages (event ledger)'!$H$2:$H$65,'Outages (event ledger)'!$A$2:$A$65,AS$2,'Outages (event ledger)'!$E$2:$E$65,"&lt;="&amp;$B74,'Outages (event ledger)'!$G$2:$G$65,"&gt;="&amp;$B74)</f>
        <v>0</v>
      </c>
      <c r="AT74" s="29" t="n">
        <f aca="false">SUMIFS('Outages (event ledger)'!$H$2:$H$65,'Outages (event ledger)'!$A$2:$A$65,AT$2,'Outages (event ledger)'!$E$2:$E$65,"&lt;="&amp;$B74,'Outages (event ledger)'!$G$2:$G$65,"&gt;="&amp;$B74)</f>
        <v>0</v>
      </c>
      <c r="AU74" s="29" t="n">
        <f aca="false">SUMIFS('Outages (event ledger)'!$H$2:$H$65,'Outages (event ledger)'!$A$2:$A$65,AU$2,'Outages (event ledger)'!$E$2:$E$65,"&lt;="&amp;$B74,'Outages (event ledger)'!$G$2:$G$65,"&gt;="&amp;$B74)</f>
        <v>0</v>
      </c>
      <c r="AV74" s="29" t="n">
        <f aca="false">SUMIFS('Outages (event ledger)'!$H$2:$H$65,'Outages (event ledger)'!$A$2:$A$65,AV$2,'Outages (event ledger)'!$E$2:$E$65,"&lt;="&amp;$B74,'Outages (event ledger)'!$G$2:$G$65,"&gt;="&amp;$B74)</f>
        <v>0</v>
      </c>
      <c r="AW74" s="29" t="n">
        <f aca="false">SUMIFS('Outages (event ledger)'!$H$2:$H$65,'Outages (event ledger)'!$A$2:$A$65,AW$2,'Outages (event ledger)'!$E$2:$E$65,"&lt;="&amp;$B74,'Outages (event ledger)'!$G$2:$G$65,"&gt;="&amp;$B74)</f>
        <v>0</v>
      </c>
      <c r="AX74" s="29" t="n">
        <f aca="false">SUMIFS('Outages (event ledger)'!$H$2:$H$65,'Outages (event ledger)'!$A$2:$A$65,AX$2,'Outages (event ledger)'!$E$2:$E$65,"&lt;="&amp;$B74,'Outages (event ledger)'!$G$2:$G$65,"&gt;="&amp;$B74)</f>
        <v>0</v>
      </c>
      <c r="AY74" s="29" t="n">
        <f aca="false">SUMIFS('Outages (event ledger)'!$H$2:$H$65,'Outages (event ledger)'!$A$2:$A$65,AY$2,'Outages (event ledger)'!$E$2:$E$65,"&lt;="&amp;$B74,'Outages (event ledger)'!$G$2:$G$65,"&gt;="&amp;$B74)</f>
        <v>0</v>
      </c>
      <c r="AZ74" s="29" t="n">
        <f aca="false">SUMIFS('Outages (event ledger)'!$H$2:$H$65,'Outages (event ledger)'!$A$2:$A$65,AZ$2,'Outages (event ledger)'!$E$2:$E$65,"&lt;="&amp;$B74,'Outages (event ledger)'!$G$2:$G$65,"&gt;="&amp;$B74)</f>
        <v>0</v>
      </c>
      <c r="BA74" s="29" t="n">
        <f aca="false">SUMIFS('Outages (event ledger)'!$H$2:$H$65,'Outages (event ledger)'!$A$2:$A$65,BA$2,'Outages (event ledger)'!$E$2:$E$65,"&lt;="&amp;$B74,'Outages (event ledger)'!$G$2:$G$65,"&gt;="&amp;$B74)</f>
        <v>0</v>
      </c>
      <c r="BB74" s="29" t="n">
        <f aca="false">SUMIFS('Outages (event ledger)'!$H$2:$H$65,'Outages (event ledger)'!$A$2:$A$65,BB$2,'Outages (event ledger)'!$E$2:$E$65,"&lt;="&amp;$B74,'Outages (event ledger)'!$G$2:$G$65,"&gt;="&amp;$B74)</f>
        <v>0</v>
      </c>
      <c r="BC74" s="29" t="n">
        <f aca="false">SUMIFS('Outages (event ledger)'!$H$2:$H$65,'Outages (event ledger)'!$A$2:$A$65,BC$2,'Outages (event ledger)'!$E$2:$E$65,"&lt;="&amp;$B74,'Outages (event ledger)'!$G$2:$G$65,"&gt;="&amp;$B74)</f>
        <v>0</v>
      </c>
      <c r="BD74" s="29" t="n">
        <f aca="false">SUMIFS('Outages (event ledger)'!$H$2:$H$65,'Outages (event ledger)'!$A$2:$A$65,BD$2,'Outages (event ledger)'!$E$2:$E$65,"&lt;="&amp;$B74,'Outages (event ledger)'!$G$2:$G$65,"&gt;="&amp;$B74)</f>
        <v>0</v>
      </c>
      <c r="BE74" s="29" t="n">
        <f aca="false">SUMIFS('Outages (event ledger)'!$H$2:$H$65,'Outages (event ledger)'!$A$2:$A$65,BE$2,'Outages (event ledger)'!$E$2:$E$65,"&lt;="&amp;$B74,'Outages (event ledger)'!$G$2:$G$65,"&gt;="&amp;$B74)</f>
        <v>0</v>
      </c>
      <c r="BF74" s="29" t="n">
        <f aca="false">SUMIFS('Outages (event ledger)'!$H$2:$H$65,'Outages (event ledger)'!$A$2:$A$65,BF$2,'Outages (event ledger)'!$E$2:$E$65,"&lt;="&amp;$B74,'Outages (event ledger)'!$G$2:$G$65,"&gt;="&amp;$B74)</f>
        <v>0</v>
      </c>
      <c r="BG74" s="29" t="n">
        <f aca="false">SUMIFS('Outages (event ledger)'!$H$2:$H$65,'Outages (event ledger)'!$A$2:$A$65,BG$2,'Outages (event ledger)'!$E$2:$E$65,"&lt;="&amp;$B74,'Outages (event ledger)'!$G$2:$G$65,"&gt;="&amp;$B74)</f>
        <v>0</v>
      </c>
      <c r="BH74" s="29" t="n">
        <f aca="false">SUMIFS('Outages (event ledger)'!$H$2:$H$65,'Outages (event ledger)'!$A$2:$A$65,BH$2,'Outages (event ledger)'!$E$2:$E$65,"&lt;="&amp;$B74,'Outages (event ledger)'!$G$2:$G$65,"&gt;="&amp;$B74)</f>
        <v>0</v>
      </c>
      <c r="BI74" s="29" t="n">
        <f aca="false">SUMIFS('Outages (event ledger)'!$H$2:$H$65,'Outages (event ledger)'!$A$2:$A$65,BI$2,'Outages (event ledger)'!$E$2:$E$65,"&lt;="&amp;$B74,'Outages (event ledger)'!$G$2:$G$65,"&gt;="&amp;$B74)</f>
        <v>6.7</v>
      </c>
    </row>
    <row r="75" customFormat="false" ht="15" hidden="false" customHeight="false" outlineLevel="0" collapsed="false">
      <c r="A75" s="23" t="n">
        <v>42370</v>
      </c>
      <c r="B75" s="24" t="n">
        <v>201601</v>
      </c>
      <c r="C75" s="25" t="n">
        <f aca="false">SUM(D75:BI75)</f>
        <v>33.4</v>
      </c>
      <c r="D75" s="26" t="n">
        <f aca="false">SUMIFS('Outages (event ledger)'!$H$2:$H$65,'Outages (event ledger)'!$A$2:$A$65,D$2,'Outages (event ledger)'!$E$2:$E$65,"&lt;="&amp;$B75,'Outages (event ledger)'!$G$2:$G$65,"&gt;="&amp;$B75)</f>
        <v>0</v>
      </c>
      <c r="E75" s="26" t="n">
        <f aca="false">SUMIFS('Outages (event ledger)'!$H$2:$H$65,'Outages (event ledger)'!$A$2:$A$65,E$2,'Outages (event ledger)'!$E$2:$E$65,"&lt;="&amp;$B75,'Outages (event ledger)'!$G$2:$G$65,"&gt;="&amp;$B75)</f>
        <v>0</v>
      </c>
      <c r="F75" s="26" t="n">
        <f aca="false">SUMIFS('Outages (event ledger)'!$H$2:$H$65,'Outages (event ledger)'!$A$2:$A$65,F$2,'Outages (event ledger)'!$E$2:$E$65,"&lt;="&amp;$B75,'Outages (event ledger)'!$G$2:$G$65,"&gt;="&amp;$B75)</f>
        <v>0</v>
      </c>
      <c r="G75" s="26" t="n">
        <f aca="false">SUMIFS('Outages (event ledger)'!$H$2:$H$65,'Outages (event ledger)'!$A$2:$A$65,G$2,'Outages (event ledger)'!$E$2:$E$65,"&lt;="&amp;$B75,'Outages (event ledger)'!$G$2:$G$65,"&gt;="&amp;$B75)</f>
        <v>0</v>
      </c>
      <c r="H75" s="26" t="n">
        <f aca="false">SUMIFS('Outages (event ledger)'!$H$2:$H$65,'Outages (event ledger)'!$A$2:$A$65,H$2,'Outages (event ledger)'!$E$2:$E$65,"&lt;="&amp;$B75,'Outages (event ledger)'!$G$2:$G$65,"&gt;="&amp;$B75)</f>
        <v>5.2</v>
      </c>
      <c r="I75" s="26" t="n">
        <f aca="false">SUMIFS('Outages (event ledger)'!$H$2:$H$65,'Outages (event ledger)'!$A$2:$A$65,I$2,'Outages (event ledger)'!$E$2:$E$65,"&lt;="&amp;$B75,'Outages (event ledger)'!$G$2:$G$65,"&gt;="&amp;$B75)</f>
        <v>0</v>
      </c>
      <c r="J75" s="26" t="n">
        <f aca="false">SUMIFS('Outages (event ledger)'!$H$2:$H$65,'Outages (event ledger)'!$A$2:$A$65,J$2,'Outages (event ledger)'!$E$2:$E$65,"&lt;="&amp;$B75,'Outages (event ledger)'!$G$2:$G$65,"&gt;="&amp;$B75)</f>
        <v>0</v>
      </c>
      <c r="K75" s="26" t="n">
        <f aca="false">SUMIFS('Outages (event ledger)'!$H$2:$H$65,'Outages (event ledger)'!$A$2:$A$65,K$2,'Outages (event ledger)'!$E$2:$E$65,"&lt;="&amp;$B75,'Outages (event ledger)'!$G$2:$G$65,"&gt;="&amp;$B75)</f>
        <v>0</v>
      </c>
      <c r="L75" s="26" t="n">
        <f aca="false">SUMIFS('Outages (event ledger)'!$H$2:$H$65,'Outages (event ledger)'!$A$2:$A$65,L$2,'Outages (event ledger)'!$E$2:$E$65,"&lt;="&amp;$B75,'Outages (event ledger)'!$G$2:$G$65,"&gt;="&amp;$B75)</f>
        <v>0</v>
      </c>
      <c r="M75" s="26" t="n">
        <f aca="false">SUMIFS('Outages (event ledger)'!$H$2:$H$65,'Outages (event ledger)'!$A$2:$A$65,M$2,'Outages (event ledger)'!$E$2:$E$65,"&lt;="&amp;$B75,'Outages (event ledger)'!$G$2:$G$65,"&gt;="&amp;$B75)</f>
        <v>0</v>
      </c>
      <c r="N75" s="26" t="n">
        <f aca="false">SUMIFS('Outages (event ledger)'!$H$2:$H$65,'Outages (event ledger)'!$A$2:$A$65,N$2,'Outages (event ledger)'!$E$2:$E$65,"&lt;="&amp;$B75,'Outages (event ledger)'!$G$2:$G$65,"&gt;="&amp;$B75)</f>
        <v>0</v>
      </c>
      <c r="O75" s="26" t="n">
        <f aca="false">SUMIFS('Outages (event ledger)'!$H$2:$H$65,'Outages (event ledger)'!$A$2:$A$65,O$2,'Outages (event ledger)'!$E$2:$E$65,"&lt;="&amp;$B75,'Outages (event ledger)'!$G$2:$G$65,"&gt;="&amp;$B75)</f>
        <v>0</v>
      </c>
      <c r="P75" s="26" t="n">
        <f aca="false">SUMIFS('Outages (event ledger)'!$H$2:$H$65,'Outages (event ledger)'!$A$2:$A$65,P$2,'Outages (event ledger)'!$E$2:$E$65,"&lt;="&amp;$B75,'Outages (event ledger)'!$G$2:$G$65,"&gt;="&amp;$B75)</f>
        <v>0</v>
      </c>
      <c r="Q75" s="26" t="n">
        <f aca="false">SUMIFS('Outages (event ledger)'!$H$2:$H$65,'Outages (event ledger)'!$A$2:$A$65,Q$2,'Outages (event ledger)'!$E$2:$E$65,"&lt;="&amp;$B75,'Outages (event ledger)'!$G$2:$G$65,"&gt;="&amp;$B75)</f>
        <v>0</v>
      </c>
      <c r="R75" s="26" t="n">
        <f aca="false">SUMIFS('Outages (event ledger)'!$H$2:$H$65,'Outages (event ledger)'!$A$2:$A$65,R$2,'Outages (event ledger)'!$E$2:$E$65,"&lt;="&amp;$B75,'Outages (event ledger)'!$G$2:$G$65,"&gt;="&amp;$B75)</f>
        <v>0</v>
      </c>
      <c r="S75" s="26" t="n">
        <f aca="false">SUMIFS('Outages (event ledger)'!$H$2:$H$65,'Outages (event ledger)'!$A$2:$A$65,S$2,'Outages (event ledger)'!$E$2:$E$65,"&lt;="&amp;$B75,'Outages (event ledger)'!$G$2:$G$65,"&gt;="&amp;$B75)</f>
        <v>0</v>
      </c>
      <c r="T75" s="26" t="n">
        <f aca="false">SUMIFS('Outages (event ledger)'!$H$2:$H$65,'Outages (event ledger)'!$A$2:$A$65,T$2,'Outages (event ledger)'!$E$2:$E$65,"&lt;="&amp;$B75,'Outages (event ledger)'!$G$2:$G$65,"&gt;="&amp;$B75)</f>
        <v>0</v>
      </c>
      <c r="U75" s="26" t="n">
        <f aca="false">SUMIFS('Outages (event ledger)'!$H$2:$H$65,'Outages (event ledger)'!$A$2:$A$65,U$2,'Outages (event ledger)'!$E$2:$E$65,"&lt;="&amp;$B75,'Outages (event ledger)'!$G$2:$G$65,"&gt;="&amp;$B75)</f>
        <v>0</v>
      </c>
      <c r="V75" s="26" t="n">
        <f aca="false">SUMIFS('Outages (event ledger)'!$H$2:$H$65,'Outages (event ledger)'!$A$2:$A$65,V$2,'Outages (event ledger)'!$E$2:$E$65,"&lt;="&amp;$B75,'Outages (event ledger)'!$G$2:$G$65,"&gt;="&amp;$B75)</f>
        <v>0</v>
      </c>
      <c r="W75" s="26" t="n">
        <f aca="false">SUMIFS('Outages (event ledger)'!$H$2:$H$65,'Outages (event ledger)'!$A$2:$A$65,W$2,'Outages (event ledger)'!$E$2:$E$65,"&lt;="&amp;$B75,'Outages (event ledger)'!$G$2:$G$65,"&gt;="&amp;$B75)</f>
        <v>0</v>
      </c>
      <c r="X75" s="26" t="n">
        <f aca="false">SUMIFS('Outages (event ledger)'!$H$2:$H$65,'Outages (event ledger)'!$A$2:$A$65,X$2,'Outages (event ledger)'!$E$2:$E$65,"&lt;="&amp;$B75,'Outages (event ledger)'!$G$2:$G$65,"&gt;="&amp;$B75)</f>
        <v>0</v>
      </c>
      <c r="Y75" s="26" t="n">
        <f aca="false">SUMIFS('Outages (event ledger)'!$H$2:$H$65,'Outages (event ledger)'!$A$2:$A$65,Y$2,'Outages (event ledger)'!$E$2:$E$65,"&lt;="&amp;$B75,'Outages (event ledger)'!$G$2:$G$65,"&gt;="&amp;$B75)</f>
        <v>5</v>
      </c>
      <c r="Z75" s="26" t="n">
        <f aca="false">SUMIFS('Outages (event ledger)'!$H$2:$H$65,'Outages (event ledger)'!$A$2:$A$65,Z$2,'Outages (event ledger)'!$E$2:$E$65,"&lt;="&amp;$B75,'Outages (event ledger)'!$G$2:$G$65,"&gt;="&amp;$B75)</f>
        <v>5</v>
      </c>
      <c r="AA75" s="26" t="n">
        <f aca="false">SUMIFS('Outages (event ledger)'!$H$2:$H$65,'Outages (event ledger)'!$A$2:$A$65,AA$2,'Outages (event ledger)'!$E$2:$E$65,"&lt;="&amp;$B75,'Outages (event ledger)'!$G$2:$G$65,"&gt;="&amp;$B75)</f>
        <v>0</v>
      </c>
      <c r="AB75" s="26" t="n">
        <f aca="false">SUMIFS('Outages (event ledger)'!$H$2:$H$65,'Outages (event ledger)'!$A$2:$A$65,AB$2,'Outages (event ledger)'!$E$2:$E$65,"&lt;="&amp;$B75,'Outages (event ledger)'!$G$2:$G$65,"&gt;="&amp;$B75)</f>
        <v>8</v>
      </c>
      <c r="AC75" s="26" t="n">
        <f aca="false">SUMIFS('Outages (event ledger)'!$H$2:$H$65,'Outages (event ledger)'!$A$2:$A$65,AC$2,'Outages (event ledger)'!$E$2:$E$65,"&lt;="&amp;$B75,'Outages (event ledger)'!$G$2:$G$65,"&gt;="&amp;$B75)</f>
        <v>0</v>
      </c>
      <c r="AD75" s="26" t="n">
        <f aca="false">SUMIFS('Outages (event ledger)'!$H$2:$H$65,'Outages (event ledger)'!$A$2:$A$65,AD$2,'Outages (event ledger)'!$E$2:$E$65,"&lt;="&amp;$B75,'Outages (event ledger)'!$G$2:$G$65,"&gt;="&amp;$B75)</f>
        <v>0</v>
      </c>
      <c r="AE75" s="26" t="n">
        <f aca="false">SUMIFS('Outages (event ledger)'!$H$2:$H$65,'Outages (event ledger)'!$A$2:$A$65,AE$2,'Outages (event ledger)'!$E$2:$E$65,"&lt;="&amp;$B75,'Outages (event ledger)'!$G$2:$G$65,"&gt;="&amp;$B75)</f>
        <v>0</v>
      </c>
      <c r="AF75" s="26" t="n">
        <f aca="false">SUMIFS('Outages (event ledger)'!$H$2:$H$65,'Outages (event ledger)'!$A$2:$A$65,AF$2,'Outages (event ledger)'!$E$2:$E$65,"&lt;="&amp;$B75,'Outages (event ledger)'!$G$2:$G$65,"&gt;="&amp;$B75)</f>
        <v>0</v>
      </c>
      <c r="AG75" s="26" t="n">
        <f aca="false">SUMIFS('Outages (event ledger)'!$H$2:$H$65,'Outages (event ledger)'!$A$2:$A$65,AG$2,'Outages (event ledger)'!$E$2:$E$65,"&lt;="&amp;$B75,'Outages (event ledger)'!$G$2:$G$65,"&gt;="&amp;$B75)</f>
        <v>0</v>
      </c>
      <c r="AH75" s="26" t="n">
        <f aca="false">SUMIFS('Outages (event ledger)'!$H$2:$H$65,'Outages (event ledger)'!$A$2:$A$65,AH$2,'Outages (event ledger)'!$E$2:$E$65,"&lt;="&amp;$B75,'Outages (event ledger)'!$G$2:$G$65,"&gt;="&amp;$B75)</f>
        <v>0</v>
      </c>
      <c r="AI75" s="26" t="n">
        <f aca="false">SUMIFS('Outages (event ledger)'!$H$2:$H$65,'Outages (event ledger)'!$A$2:$A$65,AI$2,'Outages (event ledger)'!$E$2:$E$65,"&lt;="&amp;$B75,'Outages (event ledger)'!$G$2:$G$65,"&gt;="&amp;$B75)</f>
        <v>0</v>
      </c>
      <c r="AJ75" s="26" t="n">
        <f aca="false">SUMIFS('Outages (event ledger)'!$H$2:$H$65,'Outages (event ledger)'!$A$2:$A$65,AJ$2,'Outages (event ledger)'!$E$2:$E$65,"&lt;="&amp;$B75,'Outages (event ledger)'!$G$2:$G$65,"&gt;="&amp;$B75)</f>
        <v>0</v>
      </c>
      <c r="AK75" s="26" t="n">
        <f aca="false">SUMIFS('Outages (event ledger)'!$H$2:$H$65,'Outages (event ledger)'!$A$2:$A$65,AK$2,'Outages (event ledger)'!$E$2:$E$65,"&lt;="&amp;$B75,'Outages (event ledger)'!$G$2:$G$65,"&gt;="&amp;$B75)</f>
        <v>0</v>
      </c>
      <c r="AL75" s="26" t="n">
        <f aca="false">SUMIFS('Outages (event ledger)'!$H$2:$H$65,'Outages (event ledger)'!$A$2:$A$65,AL$2,'Outages (event ledger)'!$E$2:$E$65,"&lt;="&amp;$B75,'Outages (event ledger)'!$G$2:$G$65,"&gt;="&amp;$B75)</f>
        <v>3.5</v>
      </c>
      <c r="AM75" s="26" t="n">
        <f aca="false">SUMIFS('Outages (event ledger)'!$H$2:$H$65,'Outages (event ledger)'!$A$2:$A$65,AM$2,'Outages (event ledger)'!$E$2:$E$65,"&lt;="&amp;$B75,'Outages (event ledger)'!$G$2:$G$65,"&gt;="&amp;$B75)</f>
        <v>0</v>
      </c>
      <c r="AN75" s="26" t="n">
        <f aca="false">SUMIFS('Outages (event ledger)'!$H$2:$H$65,'Outages (event ledger)'!$A$2:$A$65,AN$2,'Outages (event ledger)'!$E$2:$E$65,"&lt;="&amp;$B75,'Outages (event ledger)'!$G$2:$G$65,"&gt;="&amp;$B75)</f>
        <v>0</v>
      </c>
      <c r="AO75" s="26" t="n">
        <f aca="false">SUMIFS('Outages (event ledger)'!$H$2:$H$65,'Outages (event ledger)'!$A$2:$A$65,AO$2,'Outages (event ledger)'!$E$2:$E$65,"&lt;="&amp;$B75,'Outages (event ledger)'!$G$2:$G$65,"&gt;="&amp;$B75)</f>
        <v>0</v>
      </c>
      <c r="AP75" s="26" t="n">
        <f aca="false">SUMIFS('Outages (event ledger)'!$H$2:$H$65,'Outages (event ledger)'!$A$2:$A$65,AP$2,'Outages (event ledger)'!$E$2:$E$65,"&lt;="&amp;$B75,'Outages (event ledger)'!$G$2:$G$65,"&gt;="&amp;$B75)</f>
        <v>0</v>
      </c>
      <c r="AQ75" s="26" t="n">
        <f aca="false">SUMIFS('Outages (event ledger)'!$H$2:$H$65,'Outages (event ledger)'!$A$2:$A$65,AQ$2,'Outages (event ledger)'!$E$2:$E$65,"&lt;="&amp;$B75,'Outages (event ledger)'!$G$2:$G$65,"&gt;="&amp;$B75)</f>
        <v>0</v>
      </c>
      <c r="AR75" s="26" t="n">
        <f aca="false">SUMIFS('Outages (event ledger)'!$H$2:$H$65,'Outages (event ledger)'!$A$2:$A$65,AR$2,'Outages (event ledger)'!$E$2:$E$65,"&lt;="&amp;$B75,'Outages (event ledger)'!$G$2:$G$65,"&gt;="&amp;$B75)</f>
        <v>0</v>
      </c>
      <c r="AS75" s="26" t="n">
        <f aca="false">SUMIFS('Outages (event ledger)'!$H$2:$H$65,'Outages (event ledger)'!$A$2:$A$65,AS$2,'Outages (event ledger)'!$E$2:$E$65,"&lt;="&amp;$B75,'Outages (event ledger)'!$G$2:$G$65,"&gt;="&amp;$B75)</f>
        <v>0</v>
      </c>
      <c r="AT75" s="26" t="n">
        <f aca="false">SUMIFS('Outages (event ledger)'!$H$2:$H$65,'Outages (event ledger)'!$A$2:$A$65,AT$2,'Outages (event ledger)'!$E$2:$E$65,"&lt;="&amp;$B75,'Outages (event ledger)'!$G$2:$G$65,"&gt;="&amp;$B75)</f>
        <v>0</v>
      </c>
      <c r="AU75" s="26" t="n">
        <f aca="false">SUMIFS('Outages (event ledger)'!$H$2:$H$65,'Outages (event ledger)'!$A$2:$A$65,AU$2,'Outages (event ledger)'!$E$2:$E$65,"&lt;="&amp;$B75,'Outages (event ledger)'!$G$2:$G$65,"&gt;="&amp;$B75)</f>
        <v>0</v>
      </c>
      <c r="AV75" s="26" t="n">
        <f aca="false">SUMIFS('Outages (event ledger)'!$H$2:$H$65,'Outages (event ledger)'!$A$2:$A$65,AV$2,'Outages (event ledger)'!$E$2:$E$65,"&lt;="&amp;$B75,'Outages (event ledger)'!$G$2:$G$65,"&gt;="&amp;$B75)</f>
        <v>0</v>
      </c>
      <c r="AW75" s="26" t="n">
        <f aca="false">SUMIFS('Outages (event ledger)'!$H$2:$H$65,'Outages (event ledger)'!$A$2:$A$65,AW$2,'Outages (event ledger)'!$E$2:$E$65,"&lt;="&amp;$B75,'Outages (event ledger)'!$G$2:$G$65,"&gt;="&amp;$B75)</f>
        <v>0</v>
      </c>
      <c r="AX75" s="26" t="n">
        <f aca="false">SUMIFS('Outages (event ledger)'!$H$2:$H$65,'Outages (event ledger)'!$A$2:$A$65,AX$2,'Outages (event ledger)'!$E$2:$E$65,"&lt;="&amp;$B75,'Outages (event ledger)'!$G$2:$G$65,"&gt;="&amp;$B75)</f>
        <v>0</v>
      </c>
      <c r="AY75" s="26" t="n">
        <f aca="false">SUMIFS('Outages (event ledger)'!$H$2:$H$65,'Outages (event ledger)'!$A$2:$A$65,AY$2,'Outages (event ledger)'!$E$2:$E$65,"&lt;="&amp;$B75,'Outages (event ledger)'!$G$2:$G$65,"&gt;="&amp;$B75)</f>
        <v>0</v>
      </c>
      <c r="AZ75" s="26" t="n">
        <f aca="false">SUMIFS('Outages (event ledger)'!$H$2:$H$65,'Outages (event ledger)'!$A$2:$A$65,AZ$2,'Outages (event ledger)'!$E$2:$E$65,"&lt;="&amp;$B75,'Outages (event ledger)'!$G$2:$G$65,"&gt;="&amp;$B75)</f>
        <v>0</v>
      </c>
      <c r="BA75" s="26" t="n">
        <f aca="false">SUMIFS('Outages (event ledger)'!$H$2:$H$65,'Outages (event ledger)'!$A$2:$A$65,BA$2,'Outages (event ledger)'!$E$2:$E$65,"&lt;="&amp;$B75,'Outages (event ledger)'!$G$2:$G$65,"&gt;="&amp;$B75)</f>
        <v>0</v>
      </c>
      <c r="BB75" s="26" t="n">
        <f aca="false">SUMIFS('Outages (event ledger)'!$H$2:$H$65,'Outages (event ledger)'!$A$2:$A$65,BB$2,'Outages (event ledger)'!$E$2:$E$65,"&lt;="&amp;$B75,'Outages (event ledger)'!$G$2:$G$65,"&gt;="&amp;$B75)</f>
        <v>0</v>
      </c>
      <c r="BC75" s="26" t="n">
        <f aca="false">SUMIFS('Outages (event ledger)'!$H$2:$H$65,'Outages (event ledger)'!$A$2:$A$65,BC$2,'Outages (event ledger)'!$E$2:$E$65,"&lt;="&amp;$B75,'Outages (event ledger)'!$G$2:$G$65,"&gt;="&amp;$B75)</f>
        <v>0</v>
      </c>
      <c r="BD75" s="26" t="n">
        <f aca="false">SUMIFS('Outages (event ledger)'!$H$2:$H$65,'Outages (event ledger)'!$A$2:$A$65,BD$2,'Outages (event ledger)'!$E$2:$E$65,"&lt;="&amp;$B75,'Outages (event ledger)'!$G$2:$G$65,"&gt;="&amp;$B75)</f>
        <v>0</v>
      </c>
      <c r="BE75" s="26" t="n">
        <f aca="false">SUMIFS('Outages (event ledger)'!$H$2:$H$65,'Outages (event ledger)'!$A$2:$A$65,BE$2,'Outages (event ledger)'!$E$2:$E$65,"&lt;="&amp;$B75,'Outages (event ledger)'!$G$2:$G$65,"&gt;="&amp;$B75)</f>
        <v>0</v>
      </c>
      <c r="BF75" s="26" t="n">
        <f aca="false">SUMIFS('Outages (event ledger)'!$H$2:$H$65,'Outages (event ledger)'!$A$2:$A$65,BF$2,'Outages (event ledger)'!$E$2:$E$65,"&lt;="&amp;$B75,'Outages (event ledger)'!$G$2:$G$65,"&gt;="&amp;$B75)</f>
        <v>0</v>
      </c>
      <c r="BG75" s="26" t="n">
        <f aca="false">SUMIFS('Outages (event ledger)'!$H$2:$H$65,'Outages (event ledger)'!$A$2:$A$65,BG$2,'Outages (event ledger)'!$E$2:$E$65,"&lt;="&amp;$B75,'Outages (event ledger)'!$G$2:$G$65,"&gt;="&amp;$B75)</f>
        <v>0</v>
      </c>
      <c r="BH75" s="26" t="n">
        <f aca="false">SUMIFS('Outages (event ledger)'!$H$2:$H$65,'Outages (event ledger)'!$A$2:$A$65,BH$2,'Outages (event ledger)'!$E$2:$E$65,"&lt;="&amp;$B75,'Outages (event ledger)'!$G$2:$G$65,"&gt;="&amp;$B75)</f>
        <v>0</v>
      </c>
      <c r="BI75" s="26" t="n">
        <f aca="false">SUMIFS('Outages (event ledger)'!$H$2:$H$65,'Outages (event ledger)'!$A$2:$A$65,BI$2,'Outages (event ledger)'!$E$2:$E$65,"&lt;="&amp;$B75,'Outages (event ledger)'!$G$2:$G$65,"&gt;="&amp;$B75)</f>
        <v>6.7</v>
      </c>
    </row>
    <row r="76" customFormat="false" ht="15" hidden="false" customHeight="false" outlineLevel="0" collapsed="false">
      <c r="A76" s="23" t="n">
        <v>42401</v>
      </c>
      <c r="B76" s="24" t="n">
        <v>201602</v>
      </c>
      <c r="C76" s="25" t="n">
        <f aca="false">SUM(D76:BI76)</f>
        <v>33.4</v>
      </c>
      <c r="D76" s="26" t="n">
        <f aca="false">SUMIFS('Outages (event ledger)'!$H$2:$H$65,'Outages (event ledger)'!$A$2:$A$65,D$2,'Outages (event ledger)'!$E$2:$E$65,"&lt;="&amp;$B76,'Outages (event ledger)'!$G$2:$G$65,"&gt;="&amp;$B76)</f>
        <v>0</v>
      </c>
      <c r="E76" s="26" t="n">
        <f aca="false">SUMIFS('Outages (event ledger)'!$H$2:$H$65,'Outages (event ledger)'!$A$2:$A$65,E$2,'Outages (event ledger)'!$E$2:$E$65,"&lt;="&amp;$B76,'Outages (event ledger)'!$G$2:$G$65,"&gt;="&amp;$B76)</f>
        <v>0</v>
      </c>
      <c r="F76" s="26" t="n">
        <f aca="false">SUMIFS('Outages (event ledger)'!$H$2:$H$65,'Outages (event ledger)'!$A$2:$A$65,F$2,'Outages (event ledger)'!$E$2:$E$65,"&lt;="&amp;$B76,'Outages (event ledger)'!$G$2:$G$65,"&gt;="&amp;$B76)</f>
        <v>0</v>
      </c>
      <c r="G76" s="26" t="n">
        <f aca="false">SUMIFS('Outages (event ledger)'!$H$2:$H$65,'Outages (event ledger)'!$A$2:$A$65,G$2,'Outages (event ledger)'!$E$2:$E$65,"&lt;="&amp;$B76,'Outages (event ledger)'!$G$2:$G$65,"&gt;="&amp;$B76)</f>
        <v>0</v>
      </c>
      <c r="H76" s="26" t="n">
        <f aca="false">SUMIFS('Outages (event ledger)'!$H$2:$H$65,'Outages (event ledger)'!$A$2:$A$65,H$2,'Outages (event ledger)'!$E$2:$E$65,"&lt;="&amp;$B76,'Outages (event ledger)'!$G$2:$G$65,"&gt;="&amp;$B76)</f>
        <v>5.2</v>
      </c>
      <c r="I76" s="26" t="n">
        <f aca="false">SUMIFS('Outages (event ledger)'!$H$2:$H$65,'Outages (event ledger)'!$A$2:$A$65,I$2,'Outages (event ledger)'!$E$2:$E$65,"&lt;="&amp;$B76,'Outages (event ledger)'!$G$2:$G$65,"&gt;="&amp;$B76)</f>
        <v>0</v>
      </c>
      <c r="J76" s="26" t="n">
        <f aca="false">SUMIFS('Outages (event ledger)'!$H$2:$H$65,'Outages (event ledger)'!$A$2:$A$65,J$2,'Outages (event ledger)'!$E$2:$E$65,"&lt;="&amp;$B76,'Outages (event ledger)'!$G$2:$G$65,"&gt;="&amp;$B76)</f>
        <v>0</v>
      </c>
      <c r="K76" s="26" t="n">
        <f aca="false">SUMIFS('Outages (event ledger)'!$H$2:$H$65,'Outages (event ledger)'!$A$2:$A$65,K$2,'Outages (event ledger)'!$E$2:$E$65,"&lt;="&amp;$B76,'Outages (event ledger)'!$G$2:$G$65,"&gt;="&amp;$B76)</f>
        <v>0</v>
      </c>
      <c r="L76" s="26" t="n">
        <f aca="false">SUMIFS('Outages (event ledger)'!$H$2:$H$65,'Outages (event ledger)'!$A$2:$A$65,L$2,'Outages (event ledger)'!$E$2:$E$65,"&lt;="&amp;$B76,'Outages (event ledger)'!$G$2:$G$65,"&gt;="&amp;$B76)</f>
        <v>0</v>
      </c>
      <c r="M76" s="26" t="n">
        <f aca="false">SUMIFS('Outages (event ledger)'!$H$2:$H$65,'Outages (event ledger)'!$A$2:$A$65,M$2,'Outages (event ledger)'!$E$2:$E$65,"&lt;="&amp;$B76,'Outages (event ledger)'!$G$2:$G$65,"&gt;="&amp;$B76)</f>
        <v>0</v>
      </c>
      <c r="N76" s="26" t="n">
        <f aca="false">SUMIFS('Outages (event ledger)'!$H$2:$H$65,'Outages (event ledger)'!$A$2:$A$65,N$2,'Outages (event ledger)'!$E$2:$E$65,"&lt;="&amp;$B76,'Outages (event ledger)'!$G$2:$G$65,"&gt;="&amp;$B76)</f>
        <v>0</v>
      </c>
      <c r="O76" s="26" t="n">
        <f aca="false">SUMIFS('Outages (event ledger)'!$H$2:$H$65,'Outages (event ledger)'!$A$2:$A$65,O$2,'Outages (event ledger)'!$E$2:$E$65,"&lt;="&amp;$B76,'Outages (event ledger)'!$G$2:$G$65,"&gt;="&amp;$B76)</f>
        <v>0</v>
      </c>
      <c r="P76" s="26" t="n">
        <f aca="false">SUMIFS('Outages (event ledger)'!$H$2:$H$65,'Outages (event ledger)'!$A$2:$A$65,P$2,'Outages (event ledger)'!$E$2:$E$65,"&lt;="&amp;$B76,'Outages (event ledger)'!$G$2:$G$65,"&gt;="&amp;$B76)</f>
        <v>0</v>
      </c>
      <c r="Q76" s="26" t="n">
        <f aca="false">SUMIFS('Outages (event ledger)'!$H$2:$H$65,'Outages (event ledger)'!$A$2:$A$65,Q$2,'Outages (event ledger)'!$E$2:$E$65,"&lt;="&amp;$B76,'Outages (event ledger)'!$G$2:$G$65,"&gt;="&amp;$B76)</f>
        <v>0</v>
      </c>
      <c r="R76" s="26" t="n">
        <f aca="false">SUMIFS('Outages (event ledger)'!$H$2:$H$65,'Outages (event ledger)'!$A$2:$A$65,R$2,'Outages (event ledger)'!$E$2:$E$65,"&lt;="&amp;$B76,'Outages (event ledger)'!$G$2:$G$65,"&gt;="&amp;$B76)</f>
        <v>0</v>
      </c>
      <c r="S76" s="26" t="n">
        <f aca="false">SUMIFS('Outages (event ledger)'!$H$2:$H$65,'Outages (event ledger)'!$A$2:$A$65,S$2,'Outages (event ledger)'!$E$2:$E$65,"&lt;="&amp;$B76,'Outages (event ledger)'!$G$2:$G$65,"&gt;="&amp;$B76)</f>
        <v>0</v>
      </c>
      <c r="T76" s="26" t="n">
        <f aca="false">SUMIFS('Outages (event ledger)'!$H$2:$H$65,'Outages (event ledger)'!$A$2:$A$65,T$2,'Outages (event ledger)'!$E$2:$E$65,"&lt;="&amp;$B76,'Outages (event ledger)'!$G$2:$G$65,"&gt;="&amp;$B76)</f>
        <v>0</v>
      </c>
      <c r="U76" s="26" t="n">
        <f aca="false">SUMIFS('Outages (event ledger)'!$H$2:$H$65,'Outages (event ledger)'!$A$2:$A$65,U$2,'Outages (event ledger)'!$E$2:$E$65,"&lt;="&amp;$B76,'Outages (event ledger)'!$G$2:$G$65,"&gt;="&amp;$B76)</f>
        <v>0</v>
      </c>
      <c r="V76" s="26" t="n">
        <f aca="false">SUMIFS('Outages (event ledger)'!$H$2:$H$65,'Outages (event ledger)'!$A$2:$A$65,V$2,'Outages (event ledger)'!$E$2:$E$65,"&lt;="&amp;$B76,'Outages (event ledger)'!$G$2:$G$65,"&gt;="&amp;$B76)</f>
        <v>0</v>
      </c>
      <c r="W76" s="26" t="n">
        <f aca="false">SUMIFS('Outages (event ledger)'!$H$2:$H$65,'Outages (event ledger)'!$A$2:$A$65,W$2,'Outages (event ledger)'!$E$2:$E$65,"&lt;="&amp;$B76,'Outages (event ledger)'!$G$2:$G$65,"&gt;="&amp;$B76)</f>
        <v>0</v>
      </c>
      <c r="X76" s="26" t="n">
        <f aca="false">SUMIFS('Outages (event ledger)'!$H$2:$H$65,'Outages (event ledger)'!$A$2:$A$65,X$2,'Outages (event ledger)'!$E$2:$E$65,"&lt;="&amp;$B76,'Outages (event ledger)'!$G$2:$G$65,"&gt;="&amp;$B76)</f>
        <v>0</v>
      </c>
      <c r="Y76" s="26" t="n">
        <f aca="false">SUMIFS('Outages (event ledger)'!$H$2:$H$65,'Outages (event ledger)'!$A$2:$A$65,Y$2,'Outages (event ledger)'!$E$2:$E$65,"&lt;="&amp;$B76,'Outages (event ledger)'!$G$2:$G$65,"&gt;="&amp;$B76)</f>
        <v>5</v>
      </c>
      <c r="Z76" s="26" t="n">
        <f aca="false">SUMIFS('Outages (event ledger)'!$H$2:$H$65,'Outages (event ledger)'!$A$2:$A$65,Z$2,'Outages (event ledger)'!$E$2:$E$65,"&lt;="&amp;$B76,'Outages (event ledger)'!$G$2:$G$65,"&gt;="&amp;$B76)</f>
        <v>5</v>
      </c>
      <c r="AA76" s="26" t="n">
        <f aca="false">SUMIFS('Outages (event ledger)'!$H$2:$H$65,'Outages (event ledger)'!$A$2:$A$65,AA$2,'Outages (event ledger)'!$E$2:$E$65,"&lt;="&amp;$B76,'Outages (event ledger)'!$G$2:$G$65,"&gt;="&amp;$B76)</f>
        <v>0</v>
      </c>
      <c r="AB76" s="26" t="n">
        <f aca="false">SUMIFS('Outages (event ledger)'!$H$2:$H$65,'Outages (event ledger)'!$A$2:$A$65,AB$2,'Outages (event ledger)'!$E$2:$E$65,"&lt;="&amp;$B76,'Outages (event ledger)'!$G$2:$G$65,"&gt;="&amp;$B76)</f>
        <v>8</v>
      </c>
      <c r="AC76" s="26" t="n">
        <f aca="false">SUMIFS('Outages (event ledger)'!$H$2:$H$65,'Outages (event ledger)'!$A$2:$A$65,AC$2,'Outages (event ledger)'!$E$2:$E$65,"&lt;="&amp;$B76,'Outages (event ledger)'!$G$2:$G$65,"&gt;="&amp;$B76)</f>
        <v>0</v>
      </c>
      <c r="AD76" s="26" t="n">
        <f aca="false">SUMIFS('Outages (event ledger)'!$H$2:$H$65,'Outages (event ledger)'!$A$2:$A$65,AD$2,'Outages (event ledger)'!$E$2:$E$65,"&lt;="&amp;$B76,'Outages (event ledger)'!$G$2:$G$65,"&gt;="&amp;$B76)</f>
        <v>0</v>
      </c>
      <c r="AE76" s="26" t="n">
        <f aca="false">SUMIFS('Outages (event ledger)'!$H$2:$H$65,'Outages (event ledger)'!$A$2:$A$65,AE$2,'Outages (event ledger)'!$E$2:$E$65,"&lt;="&amp;$B76,'Outages (event ledger)'!$G$2:$G$65,"&gt;="&amp;$B76)</f>
        <v>0</v>
      </c>
      <c r="AF76" s="26" t="n">
        <f aca="false">SUMIFS('Outages (event ledger)'!$H$2:$H$65,'Outages (event ledger)'!$A$2:$A$65,AF$2,'Outages (event ledger)'!$E$2:$E$65,"&lt;="&amp;$B76,'Outages (event ledger)'!$G$2:$G$65,"&gt;="&amp;$B76)</f>
        <v>0</v>
      </c>
      <c r="AG76" s="26" t="n">
        <f aca="false">SUMIFS('Outages (event ledger)'!$H$2:$H$65,'Outages (event ledger)'!$A$2:$A$65,AG$2,'Outages (event ledger)'!$E$2:$E$65,"&lt;="&amp;$B76,'Outages (event ledger)'!$G$2:$G$65,"&gt;="&amp;$B76)</f>
        <v>0</v>
      </c>
      <c r="AH76" s="26" t="n">
        <f aca="false">SUMIFS('Outages (event ledger)'!$H$2:$H$65,'Outages (event ledger)'!$A$2:$A$65,AH$2,'Outages (event ledger)'!$E$2:$E$65,"&lt;="&amp;$B76,'Outages (event ledger)'!$G$2:$G$65,"&gt;="&amp;$B76)</f>
        <v>0</v>
      </c>
      <c r="AI76" s="26" t="n">
        <f aca="false">SUMIFS('Outages (event ledger)'!$H$2:$H$65,'Outages (event ledger)'!$A$2:$A$65,AI$2,'Outages (event ledger)'!$E$2:$E$65,"&lt;="&amp;$B76,'Outages (event ledger)'!$G$2:$G$65,"&gt;="&amp;$B76)</f>
        <v>0</v>
      </c>
      <c r="AJ76" s="26" t="n">
        <f aca="false">SUMIFS('Outages (event ledger)'!$H$2:$H$65,'Outages (event ledger)'!$A$2:$A$65,AJ$2,'Outages (event ledger)'!$E$2:$E$65,"&lt;="&amp;$B76,'Outages (event ledger)'!$G$2:$G$65,"&gt;="&amp;$B76)</f>
        <v>0</v>
      </c>
      <c r="AK76" s="26" t="n">
        <f aca="false">SUMIFS('Outages (event ledger)'!$H$2:$H$65,'Outages (event ledger)'!$A$2:$A$65,AK$2,'Outages (event ledger)'!$E$2:$E$65,"&lt;="&amp;$B76,'Outages (event ledger)'!$G$2:$G$65,"&gt;="&amp;$B76)</f>
        <v>0</v>
      </c>
      <c r="AL76" s="26" t="n">
        <f aca="false">SUMIFS('Outages (event ledger)'!$H$2:$H$65,'Outages (event ledger)'!$A$2:$A$65,AL$2,'Outages (event ledger)'!$E$2:$E$65,"&lt;="&amp;$B76,'Outages (event ledger)'!$G$2:$G$65,"&gt;="&amp;$B76)</f>
        <v>3.5</v>
      </c>
      <c r="AM76" s="26" t="n">
        <f aca="false">SUMIFS('Outages (event ledger)'!$H$2:$H$65,'Outages (event ledger)'!$A$2:$A$65,AM$2,'Outages (event ledger)'!$E$2:$E$65,"&lt;="&amp;$B76,'Outages (event ledger)'!$G$2:$G$65,"&gt;="&amp;$B76)</f>
        <v>0</v>
      </c>
      <c r="AN76" s="26" t="n">
        <f aca="false">SUMIFS('Outages (event ledger)'!$H$2:$H$65,'Outages (event ledger)'!$A$2:$A$65,AN$2,'Outages (event ledger)'!$E$2:$E$65,"&lt;="&amp;$B76,'Outages (event ledger)'!$G$2:$G$65,"&gt;="&amp;$B76)</f>
        <v>0</v>
      </c>
      <c r="AO76" s="26" t="n">
        <f aca="false">SUMIFS('Outages (event ledger)'!$H$2:$H$65,'Outages (event ledger)'!$A$2:$A$65,AO$2,'Outages (event ledger)'!$E$2:$E$65,"&lt;="&amp;$B76,'Outages (event ledger)'!$G$2:$G$65,"&gt;="&amp;$B76)</f>
        <v>0</v>
      </c>
      <c r="AP76" s="26" t="n">
        <f aca="false">SUMIFS('Outages (event ledger)'!$H$2:$H$65,'Outages (event ledger)'!$A$2:$A$65,AP$2,'Outages (event ledger)'!$E$2:$E$65,"&lt;="&amp;$B76,'Outages (event ledger)'!$G$2:$G$65,"&gt;="&amp;$B76)</f>
        <v>0</v>
      </c>
      <c r="AQ76" s="26" t="n">
        <f aca="false">SUMIFS('Outages (event ledger)'!$H$2:$H$65,'Outages (event ledger)'!$A$2:$A$65,AQ$2,'Outages (event ledger)'!$E$2:$E$65,"&lt;="&amp;$B76,'Outages (event ledger)'!$G$2:$G$65,"&gt;="&amp;$B76)</f>
        <v>0</v>
      </c>
      <c r="AR76" s="26" t="n">
        <f aca="false">SUMIFS('Outages (event ledger)'!$H$2:$H$65,'Outages (event ledger)'!$A$2:$A$65,AR$2,'Outages (event ledger)'!$E$2:$E$65,"&lt;="&amp;$B76,'Outages (event ledger)'!$G$2:$G$65,"&gt;="&amp;$B76)</f>
        <v>0</v>
      </c>
      <c r="AS76" s="26" t="n">
        <f aca="false">SUMIFS('Outages (event ledger)'!$H$2:$H$65,'Outages (event ledger)'!$A$2:$A$65,AS$2,'Outages (event ledger)'!$E$2:$E$65,"&lt;="&amp;$B76,'Outages (event ledger)'!$G$2:$G$65,"&gt;="&amp;$B76)</f>
        <v>0</v>
      </c>
      <c r="AT76" s="26" t="n">
        <f aca="false">SUMIFS('Outages (event ledger)'!$H$2:$H$65,'Outages (event ledger)'!$A$2:$A$65,AT$2,'Outages (event ledger)'!$E$2:$E$65,"&lt;="&amp;$B76,'Outages (event ledger)'!$G$2:$G$65,"&gt;="&amp;$B76)</f>
        <v>0</v>
      </c>
      <c r="AU76" s="26" t="n">
        <f aca="false">SUMIFS('Outages (event ledger)'!$H$2:$H$65,'Outages (event ledger)'!$A$2:$A$65,AU$2,'Outages (event ledger)'!$E$2:$E$65,"&lt;="&amp;$B76,'Outages (event ledger)'!$G$2:$G$65,"&gt;="&amp;$B76)</f>
        <v>0</v>
      </c>
      <c r="AV76" s="26" t="n">
        <f aca="false">SUMIFS('Outages (event ledger)'!$H$2:$H$65,'Outages (event ledger)'!$A$2:$A$65,AV$2,'Outages (event ledger)'!$E$2:$E$65,"&lt;="&amp;$B76,'Outages (event ledger)'!$G$2:$G$65,"&gt;="&amp;$B76)</f>
        <v>0</v>
      </c>
      <c r="AW76" s="26" t="n">
        <f aca="false">SUMIFS('Outages (event ledger)'!$H$2:$H$65,'Outages (event ledger)'!$A$2:$A$65,AW$2,'Outages (event ledger)'!$E$2:$E$65,"&lt;="&amp;$B76,'Outages (event ledger)'!$G$2:$G$65,"&gt;="&amp;$B76)</f>
        <v>0</v>
      </c>
      <c r="AX76" s="26" t="n">
        <f aca="false">SUMIFS('Outages (event ledger)'!$H$2:$H$65,'Outages (event ledger)'!$A$2:$A$65,AX$2,'Outages (event ledger)'!$E$2:$E$65,"&lt;="&amp;$B76,'Outages (event ledger)'!$G$2:$G$65,"&gt;="&amp;$B76)</f>
        <v>0</v>
      </c>
      <c r="AY76" s="26" t="n">
        <f aca="false">SUMIFS('Outages (event ledger)'!$H$2:$H$65,'Outages (event ledger)'!$A$2:$A$65,AY$2,'Outages (event ledger)'!$E$2:$E$65,"&lt;="&amp;$B76,'Outages (event ledger)'!$G$2:$G$65,"&gt;="&amp;$B76)</f>
        <v>0</v>
      </c>
      <c r="AZ76" s="26" t="n">
        <f aca="false">SUMIFS('Outages (event ledger)'!$H$2:$H$65,'Outages (event ledger)'!$A$2:$A$65,AZ$2,'Outages (event ledger)'!$E$2:$E$65,"&lt;="&amp;$B76,'Outages (event ledger)'!$G$2:$G$65,"&gt;="&amp;$B76)</f>
        <v>0</v>
      </c>
      <c r="BA76" s="26" t="n">
        <f aca="false">SUMIFS('Outages (event ledger)'!$H$2:$H$65,'Outages (event ledger)'!$A$2:$A$65,BA$2,'Outages (event ledger)'!$E$2:$E$65,"&lt;="&amp;$B76,'Outages (event ledger)'!$G$2:$G$65,"&gt;="&amp;$B76)</f>
        <v>0</v>
      </c>
      <c r="BB76" s="26" t="n">
        <f aca="false">SUMIFS('Outages (event ledger)'!$H$2:$H$65,'Outages (event ledger)'!$A$2:$A$65,BB$2,'Outages (event ledger)'!$E$2:$E$65,"&lt;="&amp;$B76,'Outages (event ledger)'!$G$2:$G$65,"&gt;="&amp;$B76)</f>
        <v>0</v>
      </c>
      <c r="BC76" s="26" t="n">
        <f aca="false">SUMIFS('Outages (event ledger)'!$H$2:$H$65,'Outages (event ledger)'!$A$2:$A$65,BC$2,'Outages (event ledger)'!$E$2:$E$65,"&lt;="&amp;$B76,'Outages (event ledger)'!$G$2:$G$65,"&gt;="&amp;$B76)</f>
        <v>0</v>
      </c>
      <c r="BD76" s="26" t="n">
        <f aca="false">SUMIFS('Outages (event ledger)'!$H$2:$H$65,'Outages (event ledger)'!$A$2:$A$65,BD$2,'Outages (event ledger)'!$E$2:$E$65,"&lt;="&amp;$B76,'Outages (event ledger)'!$G$2:$G$65,"&gt;="&amp;$B76)</f>
        <v>0</v>
      </c>
      <c r="BE76" s="26" t="n">
        <f aca="false">SUMIFS('Outages (event ledger)'!$H$2:$H$65,'Outages (event ledger)'!$A$2:$A$65,BE$2,'Outages (event ledger)'!$E$2:$E$65,"&lt;="&amp;$B76,'Outages (event ledger)'!$G$2:$G$65,"&gt;="&amp;$B76)</f>
        <v>0</v>
      </c>
      <c r="BF76" s="26" t="n">
        <f aca="false">SUMIFS('Outages (event ledger)'!$H$2:$H$65,'Outages (event ledger)'!$A$2:$A$65,BF$2,'Outages (event ledger)'!$E$2:$E$65,"&lt;="&amp;$B76,'Outages (event ledger)'!$G$2:$G$65,"&gt;="&amp;$B76)</f>
        <v>0</v>
      </c>
      <c r="BG76" s="26" t="n">
        <f aca="false">SUMIFS('Outages (event ledger)'!$H$2:$H$65,'Outages (event ledger)'!$A$2:$A$65,BG$2,'Outages (event ledger)'!$E$2:$E$65,"&lt;="&amp;$B76,'Outages (event ledger)'!$G$2:$G$65,"&gt;="&amp;$B76)</f>
        <v>0</v>
      </c>
      <c r="BH76" s="26" t="n">
        <f aca="false">SUMIFS('Outages (event ledger)'!$H$2:$H$65,'Outages (event ledger)'!$A$2:$A$65,BH$2,'Outages (event ledger)'!$E$2:$E$65,"&lt;="&amp;$B76,'Outages (event ledger)'!$G$2:$G$65,"&gt;="&amp;$B76)</f>
        <v>0</v>
      </c>
      <c r="BI76" s="26" t="n">
        <f aca="false">SUMIFS('Outages (event ledger)'!$H$2:$H$65,'Outages (event ledger)'!$A$2:$A$65,BI$2,'Outages (event ledger)'!$E$2:$E$65,"&lt;="&amp;$B76,'Outages (event ledger)'!$G$2:$G$65,"&gt;="&amp;$B76)</f>
        <v>6.7</v>
      </c>
    </row>
    <row r="77" customFormat="false" ht="15" hidden="false" customHeight="false" outlineLevel="0" collapsed="false">
      <c r="A77" s="23" t="n">
        <v>42430</v>
      </c>
      <c r="B77" s="24" t="n">
        <v>201603</v>
      </c>
      <c r="C77" s="25" t="n">
        <f aca="false">SUM(D77:BI77)</f>
        <v>38.6</v>
      </c>
      <c r="D77" s="26" t="n">
        <f aca="false">SUMIFS('Outages (event ledger)'!$H$2:$H$65,'Outages (event ledger)'!$A$2:$A$65,D$2,'Outages (event ledger)'!$E$2:$E$65,"&lt;="&amp;$B77,'Outages (event ledger)'!$G$2:$G$65,"&gt;="&amp;$B77)</f>
        <v>0</v>
      </c>
      <c r="E77" s="26" t="n">
        <f aca="false">SUMIFS('Outages (event ledger)'!$H$2:$H$65,'Outages (event ledger)'!$A$2:$A$65,E$2,'Outages (event ledger)'!$E$2:$E$65,"&lt;="&amp;$B77,'Outages (event ledger)'!$G$2:$G$65,"&gt;="&amp;$B77)</f>
        <v>0</v>
      </c>
      <c r="F77" s="26" t="n">
        <f aca="false">SUMIFS('Outages (event ledger)'!$H$2:$H$65,'Outages (event ledger)'!$A$2:$A$65,F$2,'Outages (event ledger)'!$E$2:$E$65,"&lt;="&amp;$B77,'Outages (event ledger)'!$G$2:$G$65,"&gt;="&amp;$B77)</f>
        <v>0</v>
      </c>
      <c r="G77" s="26" t="n">
        <f aca="false">SUMIFS('Outages (event ledger)'!$H$2:$H$65,'Outages (event ledger)'!$A$2:$A$65,G$2,'Outages (event ledger)'!$E$2:$E$65,"&lt;="&amp;$B77,'Outages (event ledger)'!$G$2:$G$65,"&gt;="&amp;$B77)</f>
        <v>0</v>
      </c>
      <c r="H77" s="26" t="n">
        <f aca="false">SUMIFS('Outages (event ledger)'!$H$2:$H$65,'Outages (event ledger)'!$A$2:$A$65,H$2,'Outages (event ledger)'!$E$2:$E$65,"&lt;="&amp;$B77,'Outages (event ledger)'!$G$2:$G$65,"&gt;="&amp;$B77)</f>
        <v>5.2</v>
      </c>
      <c r="I77" s="26" t="n">
        <f aca="false">SUMIFS('Outages (event ledger)'!$H$2:$H$65,'Outages (event ledger)'!$A$2:$A$65,I$2,'Outages (event ledger)'!$E$2:$E$65,"&lt;="&amp;$B77,'Outages (event ledger)'!$G$2:$G$65,"&gt;="&amp;$B77)</f>
        <v>0</v>
      </c>
      <c r="J77" s="26" t="n">
        <f aca="false">SUMIFS('Outages (event ledger)'!$H$2:$H$65,'Outages (event ledger)'!$A$2:$A$65,J$2,'Outages (event ledger)'!$E$2:$E$65,"&lt;="&amp;$B77,'Outages (event ledger)'!$G$2:$G$65,"&gt;="&amp;$B77)</f>
        <v>0</v>
      </c>
      <c r="K77" s="26" t="n">
        <f aca="false">SUMIFS('Outages (event ledger)'!$H$2:$H$65,'Outages (event ledger)'!$A$2:$A$65,K$2,'Outages (event ledger)'!$E$2:$E$65,"&lt;="&amp;$B77,'Outages (event ledger)'!$G$2:$G$65,"&gt;="&amp;$B77)</f>
        <v>0</v>
      </c>
      <c r="L77" s="26" t="n">
        <f aca="false">SUMIFS('Outages (event ledger)'!$H$2:$H$65,'Outages (event ledger)'!$A$2:$A$65,L$2,'Outages (event ledger)'!$E$2:$E$65,"&lt;="&amp;$B77,'Outages (event ledger)'!$G$2:$G$65,"&gt;="&amp;$B77)</f>
        <v>5.2</v>
      </c>
      <c r="M77" s="26" t="n">
        <f aca="false">SUMIFS('Outages (event ledger)'!$H$2:$H$65,'Outages (event ledger)'!$A$2:$A$65,M$2,'Outages (event ledger)'!$E$2:$E$65,"&lt;="&amp;$B77,'Outages (event ledger)'!$G$2:$G$65,"&gt;="&amp;$B77)</f>
        <v>0</v>
      </c>
      <c r="N77" s="26" t="n">
        <f aca="false">SUMIFS('Outages (event ledger)'!$H$2:$H$65,'Outages (event ledger)'!$A$2:$A$65,N$2,'Outages (event ledger)'!$E$2:$E$65,"&lt;="&amp;$B77,'Outages (event ledger)'!$G$2:$G$65,"&gt;="&amp;$B77)</f>
        <v>0</v>
      </c>
      <c r="O77" s="26" t="n">
        <f aca="false">SUMIFS('Outages (event ledger)'!$H$2:$H$65,'Outages (event ledger)'!$A$2:$A$65,O$2,'Outages (event ledger)'!$E$2:$E$65,"&lt;="&amp;$B77,'Outages (event ledger)'!$G$2:$G$65,"&gt;="&amp;$B77)</f>
        <v>0</v>
      </c>
      <c r="P77" s="26" t="n">
        <f aca="false">SUMIFS('Outages (event ledger)'!$H$2:$H$65,'Outages (event ledger)'!$A$2:$A$65,P$2,'Outages (event ledger)'!$E$2:$E$65,"&lt;="&amp;$B77,'Outages (event ledger)'!$G$2:$G$65,"&gt;="&amp;$B77)</f>
        <v>0</v>
      </c>
      <c r="Q77" s="26" t="n">
        <f aca="false">SUMIFS('Outages (event ledger)'!$H$2:$H$65,'Outages (event ledger)'!$A$2:$A$65,Q$2,'Outages (event ledger)'!$E$2:$E$65,"&lt;="&amp;$B77,'Outages (event ledger)'!$G$2:$G$65,"&gt;="&amp;$B77)</f>
        <v>0</v>
      </c>
      <c r="R77" s="26" t="n">
        <f aca="false">SUMIFS('Outages (event ledger)'!$H$2:$H$65,'Outages (event ledger)'!$A$2:$A$65,R$2,'Outages (event ledger)'!$E$2:$E$65,"&lt;="&amp;$B77,'Outages (event ledger)'!$G$2:$G$65,"&gt;="&amp;$B77)</f>
        <v>0</v>
      </c>
      <c r="S77" s="26" t="n">
        <f aca="false">SUMIFS('Outages (event ledger)'!$H$2:$H$65,'Outages (event ledger)'!$A$2:$A$65,S$2,'Outages (event ledger)'!$E$2:$E$65,"&lt;="&amp;$B77,'Outages (event ledger)'!$G$2:$G$65,"&gt;="&amp;$B77)</f>
        <v>0</v>
      </c>
      <c r="T77" s="26" t="n">
        <f aca="false">SUMIFS('Outages (event ledger)'!$H$2:$H$65,'Outages (event ledger)'!$A$2:$A$65,T$2,'Outages (event ledger)'!$E$2:$E$65,"&lt;="&amp;$B77,'Outages (event ledger)'!$G$2:$G$65,"&gt;="&amp;$B77)</f>
        <v>0</v>
      </c>
      <c r="U77" s="26" t="n">
        <f aca="false">SUMIFS('Outages (event ledger)'!$H$2:$H$65,'Outages (event ledger)'!$A$2:$A$65,U$2,'Outages (event ledger)'!$E$2:$E$65,"&lt;="&amp;$B77,'Outages (event ledger)'!$G$2:$G$65,"&gt;="&amp;$B77)</f>
        <v>0</v>
      </c>
      <c r="V77" s="26" t="n">
        <f aca="false">SUMIFS('Outages (event ledger)'!$H$2:$H$65,'Outages (event ledger)'!$A$2:$A$65,V$2,'Outages (event ledger)'!$E$2:$E$65,"&lt;="&amp;$B77,'Outages (event ledger)'!$G$2:$G$65,"&gt;="&amp;$B77)</f>
        <v>0</v>
      </c>
      <c r="W77" s="26" t="n">
        <f aca="false">SUMIFS('Outages (event ledger)'!$H$2:$H$65,'Outages (event ledger)'!$A$2:$A$65,W$2,'Outages (event ledger)'!$E$2:$E$65,"&lt;="&amp;$B77,'Outages (event ledger)'!$G$2:$G$65,"&gt;="&amp;$B77)</f>
        <v>0</v>
      </c>
      <c r="X77" s="26" t="n">
        <f aca="false">SUMIFS('Outages (event ledger)'!$H$2:$H$65,'Outages (event ledger)'!$A$2:$A$65,X$2,'Outages (event ledger)'!$E$2:$E$65,"&lt;="&amp;$B77,'Outages (event ledger)'!$G$2:$G$65,"&gt;="&amp;$B77)</f>
        <v>0</v>
      </c>
      <c r="Y77" s="26" t="n">
        <f aca="false">SUMIFS('Outages (event ledger)'!$H$2:$H$65,'Outages (event ledger)'!$A$2:$A$65,Y$2,'Outages (event ledger)'!$E$2:$E$65,"&lt;="&amp;$B77,'Outages (event ledger)'!$G$2:$G$65,"&gt;="&amp;$B77)</f>
        <v>5</v>
      </c>
      <c r="Z77" s="26" t="n">
        <f aca="false">SUMIFS('Outages (event ledger)'!$H$2:$H$65,'Outages (event ledger)'!$A$2:$A$65,Z$2,'Outages (event ledger)'!$E$2:$E$65,"&lt;="&amp;$B77,'Outages (event ledger)'!$G$2:$G$65,"&gt;="&amp;$B77)</f>
        <v>5</v>
      </c>
      <c r="AA77" s="26" t="n">
        <f aca="false">SUMIFS('Outages (event ledger)'!$H$2:$H$65,'Outages (event ledger)'!$A$2:$A$65,AA$2,'Outages (event ledger)'!$E$2:$E$65,"&lt;="&amp;$B77,'Outages (event ledger)'!$G$2:$G$65,"&gt;="&amp;$B77)</f>
        <v>0</v>
      </c>
      <c r="AB77" s="26" t="n">
        <f aca="false">SUMIFS('Outages (event ledger)'!$H$2:$H$65,'Outages (event ledger)'!$A$2:$A$65,AB$2,'Outages (event ledger)'!$E$2:$E$65,"&lt;="&amp;$B77,'Outages (event ledger)'!$G$2:$G$65,"&gt;="&amp;$B77)</f>
        <v>8</v>
      </c>
      <c r="AC77" s="26" t="n">
        <f aca="false">SUMIFS('Outages (event ledger)'!$H$2:$H$65,'Outages (event ledger)'!$A$2:$A$65,AC$2,'Outages (event ledger)'!$E$2:$E$65,"&lt;="&amp;$B77,'Outages (event ledger)'!$G$2:$G$65,"&gt;="&amp;$B77)</f>
        <v>0</v>
      </c>
      <c r="AD77" s="26" t="n">
        <f aca="false">SUMIFS('Outages (event ledger)'!$H$2:$H$65,'Outages (event ledger)'!$A$2:$A$65,AD$2,'Outages (event ledger)'!$E$2:$E$65,"&lt;="&amp;$B77,'Outages (event ledger)'!$G$2:$G$65,"&gt;="&amp;$B77)</f>
        <v>0</v>
      </c>
      <c r="AE77" s="26" t="n">
        <f aca="false">SUMIFS('Outages (event ledger)'!$H$2:$H$65,'Outages (event ledger)'!$A$2:$A$65,AE$2,'Outages (event ledger)'!$E$2:$E$65,"&lt;="&amp;$B77,'Outages (event ledger)'!$G$2:$G$65,"&gt;="&amp;$B77)</f>
        <v>0</v>
      </c>
      <c r="AF77" s="26" t="n">
        <f aca="false">SUMIFS('Outages (event ledger)'!$H$2:$H$65,'Outages (event ledger)'!$A$2:$A$65,AF$2,'Outages (event ledger)'!$E$2:$E$65,"&lt;="&amp;$B77,'Outages (event ledger)'!$G$2:$G$65,"&gt;="&amp;$B77)</f>
        <v>0</v>
      </c>
      <c r="AG77" s="26" t="n">
        <f aca="false">SUMIFS('Outages (event ledger)'!$H$2:$H$65,'Outages (event ledger)'!$A$2:$A$65,AG$2,'Outages (event ledger)'!$E$2:$E$65,"&lt;="&amp;$B77,'Outages (event ledger)'!$G$2:$G$65,"&gt;="&amp;$B77)</f>
        <v>0</v>
      </c>
      <c r="AH77" s="26" t="n">
        <f aca="false">SUMIFS('Outages (event ledger)'!$H$2:$H$65,'Outages (event ledger)'!$A$2:$A$65,AH$2,'Outages (event ledger)'!$E$2:$E$65,"&lt;="&amp;$B77,'Outages (event ledger)'!$G$2:$G$65,"&gt;="&amp;$B77)</f>
        <v>0</v>
      </c>
      <c r="AI77" s="26" t="n">
        <f aca="false">SUMIFS('Outages (event ledger)'!$H$2:$H$65,'Outages (event ledger)'!$A$2:$A$65,AI$2,'Outages (event ledger)'!$E$2:$E$65,"&lt;="&amp;$B77,'Outages (event ledger)'!$G$2:$G$65,"&gt;="&amp;$B77)</f>
        <v>0</v>
      </c>
      <c r="AJ77" s="26" t="n">
        <f aca="false">SUMIFS('Outages (event ledger)'!$H$2:$H$65,'Outages (event ledger)'!$A$2:$A$65,AJ$2,'Outages (event ledger)'!$E$2:$E$65,"&lt;="&amp;$B77,'Outages (event ledger)'!$G$2:$G$65,"&gt;="&amp;$B77)</f>
        <v>0</v>
      </c>
      <c r="AK77" s="26" t="n">
        <f aca="false">SUMIFS('Outages (event ledger)'!$H$2:$H$65,'Outages (event ledger)'!$A$2:$A$65,AK$2,'Outages (event ledger)'!$E$2:$E$65,"&lt;="&amp;$B77,'Outages (event ledger)'!$G$2:$G$65,"&gt;="&amp;$B77)</f>
        <v>0</v>
      </c>
      <c r="AL77" s="26" t="n">
        <f aca="false">SUMIFS('Outages (event ledger)'!$H$2:$H$65,'Outages (event ledger)'!$A$2:$A$65,AL$2,'Outages (event ledger)'!$E$2:$E$65,"&lt;="&amp;$B77,'Outages (event ledger)'!$G$2:$G$65,"&gt;="&amp;$B77)</f>
        <v>3.5</v>
      </c>
      <c r="AM77" s="26" t="n">
        <f aca="false">SUMIFS('Outages (event ledger)'!$H$2:$H$65,'Outages (event ledger)'!$A$2:$A$65,AM$2,'Outages (event ledger)'!$E$2:$E$65,"&lt;="&amp;$B77,'Outages (event ledger)'!$G$2:$G$65,"&gt;="&amp;$B77)</f>
        <v>0</v>
      </c>
      <c r="AN77" s="26" t="n">
        <f aca="false">SUMIFS('Outages (event ledger)'!$H$2:$H$65,'Outages (event ledger)'!$A$2:$A$65,AN$2,'Outages (event ledger)'!$E$2:$E$65,"&lt;="&amp;$B77,'Outages (event ledger)'!$G$2:$G$65,"&gt;="&amp;$B77)</f>
        <v>0</v>
      </c>
      <c r="AO77" s="26" t="n">
        <f aca="false">SUMIFS('Outages (event ledger)'!$H$2:$H$65,'Outages (event ledger)'!$A$2:$A$65,AO$2,'Outages (event ledger)'!$E$2:$E$65,"&lt;="&amp;$B77,'Outages (event ledger)'!$G$2:$G$65,"&gt;="&amp;$B77)</f>
        <v>0</v>
      </c>
      <c r="AP77" s="26" t="n">
        <f aca="false">SUMIFS('Outages (event ledger)'!$H$2:$H$65,'Outages (event ledger)'!$A$2:$A$65,AP$2,'Outages (event ledger)'!$E$2:$E$65,"&lt;="&amp;$B77,'Outages (event ledger)'!$G$2:$G$65,"&gt;="&amp;$B77)</f>
        <v>0</v>
      </c>
      <c r="AQ77" s="26" t="n">
        <f aca="false">SUMIFS('Outages (event ledger)'!$H$2:$H$65,'Outages (event ledger)'!$A$2:$A$65,AQ$2,'Outages (event ledger)'!$E$2:$E$65,"&lt;="&amp;$B77,'Outages (event ledger)'!$G$2:$G$65,"&gt;="&amp;$B77)</f>
        <v>0</v>
      </c>
      <c r="AR77" s="26" t="n">
        <f aca="false">SUMIFS('Outages (event ledger)'!$H$2:$H$65,'Outages (event ledger)'!$A$2:$A$65,AR$2,'Outages (event ledger)'!$E$2:$E$65,"&lt;="&amp;$B77,'Outages (event ledger)'!$G$2:$G$65,"&gt;="&amp;$B77)</f>
        <v>0</v>
      </c>
      <c r="AS77" s="26" t="n">
        <f aca="false">SUMIFS('Outages (event ledger)'!$H$2:$H$65,'Outages (event ledger)'!$A$2:$A$65,AS$2,'Outages (event ledger)'!$E$2:$E$65,"&lt;="&amp;$B77,'Outages (event ledger)'!$G$2:$G$65,"&gt;="&amp;$B77)</f>
        <v>0</v>
      </c>
      <c r="AT77" s="26" t="n">
        <f aca="false">SUMIFS('Outages (event ledger)'!$H$2:$H$65,'Outages (event ledger)'!$A$2:$A$65,AT$2,'Outages (event ledger)'!$E$2:$E$65,"&lt;="&amp;$B77,'Outages (event ledger)'!$G$2:$G$65,"&gt;="&amp;$B77)</f>
        <v>0</v>
      </c>
      <c r="AU77" s="26" t="n">
        <f aca="false">SUMIFS('Outages (event ledger)'!$H$2:$H$65,'Outages (event ledger)'!$A$2:$A$65,AU$2,'Outages (event ledger)'!$E$2:$E$65,"&lt;="&amp;$B77,'Outages (event ledger)'!$G$2:$G$65,"&gt;="&amp;$B77)</f>
        <v>0</v>
      </c>
      <c r="AV77" s="26" t="n">
        <f aca="false">SUMIFS('Outages (event ledger)'!$H$2:$H$65,'Outages (event ledger)'!$A$2:$A$65,AV$2,'Outages (event ledger)'!$E$2:$E$65,"&lt;="&amp;$B77,'Outages (event ledger)'!$G$2:$G$65,"&gt;="&amp;$B77)</f>
        <v>0</v>
      </c>
      <c r="AW77" s="26" t="n">
        <f aca="false">SUMIFS('Outages (event ledger)'!$H$2:$H$65,'Outages (event ledger)'!$A$2:$A$65,AW$2,'Outages (event ledger)'!$E$2:$E$65,"&lt;="&amp;$B77,'Outages (event ledger)'!$G$2:$G$65,"&gt;="&amp;$B77)</f>
        <v>0</v>
      </c>
      <c r="AX77" s="26" t="n">
        <f aca="false">SUMIFS('Outages (event ledger)'!$H$2:$H$65,'Outages (event ledger)'!$A$2:$A$65,AX$2,'Outages (event ledger)'!$E$2:$E$65,"&lt;="&amp;$B77,'Outages (event ledger)'!$G$2:$G$65,"&gt;="&amp;$B77)</f>
        <v>0</v>
      </c>
      <c r="AY77" s="26" t="n">
        <f aca="false">SUMIFS('Outages (event ledger)'!$H$2:$H$65,'Outages (event ledger)'!$A$2:$A$65,AY$2,'Outages (event ledger)'!$E$2:$E$65,"&lt;="&amp;$B77,'Outages (event ledger)'!$G$2:$G$65,"&gt;="&amp;$B77)</f>
        <v>0</v>
      </c>
      <c r="AZ77" s="26" t="n">
        <f aca="false">SUMIFS('Outages (event ledger)'!$H$2:$H$65,'Outages (event ledger)'!$A$2:$A$65,AZ$2,'Outages (event ledger)'!$E$2:$E$65,"&lt;="&amp;$B77,'Outages (event ledger)'!$G$2:$G$65,"&gt;="&amp;$B77)</f>
        <v>0</v>
      </c>
      <c r="BA77" s="26" t="n">
        <f aca="false">SUMIFS('Outages (event ledger)'!$H$2:$H$65,'Outages (event ledger)'!$A$2:$A$65,BA$2,'Outages (event ledger)'!$E$2:$E$65,"&lt;="&amp;$B77,'Outages (event ledger)'!$G$2:$G$65,"&gt;="&amp;$B77)</f>
        <v>0</v>
      </c>
      <c r="BB77" s="26" t="n">
        <f aca="false">SUMIFS('Outages (event ledger)'!$H$2:$H$65,'Outages (event ledger)'!$A$2:$A$65,BB$2,'Outages (event ledger)'!$E$2:$E$65,"&lt;="&amp;$B77,'Outages (event ledger)'!$G$2:$G$65,"&gt;="&amp;$B77)</f>
        <v>0</v>
      </c>
      <c r="BC77" s="26" t="n">
        <f aca="false">SUMIFS('Outages (event ledger)'!$H$2:$H$65,'Outages (event ledger)'!$A$2:$A$65,BC$2,'Outages (event ledger)'!$E$2:$E$65,"&lt;="&amp;$B77,'Outages (event ledger)'!$G$2:$G$65,"&gt;="&amp;$B77)</f>
        <v>0</v>
      </c>
      <c r="BD77" s="26" t="n">
        <f aca="false">SUMIFS('Outages (event ledger)'!$H$2:$H$65,'Outages (event ledger)'!$A$2:$A$65,BD$2,'Outages (event ledger)'!$E$2:$E$65,"&lt;="&amp;$B77,'Outages (event ledger)'!$G$2:$G$65,"&gt;="&amp;$B77)</f>
        <v>0</v>
      </c>
      <c r="BE77" s="26" t="n">
        <f aca="false">SUMIFS('Outages (event ledger)'!$H$2:$H$65,'Outages (event ledger)'!$A$2:$A$65,BE$2,'Outages (event ledger)'!$E$2:$E$65,"&lt;="&amp;$B77,'Outages (event ledger)'!$G$2:$G$65,"&gt;="&amp;$B77)</f>
        <v>0</v>
      </c>
      <c r="BF77" s="26" t="n">
        <f aca="false">SUMIFS('Outages (event ledger)'!$H$2:$H$65,'Outages (event ledger)'!$A$2:$A$65,BF$2,'Outages (event ledger)'!$E$2:$E$65,"&lt;="&amp;$B77,'Outages (event ledger)'!$G$2:$G$65,"&gt;="&amp;$B77)</f>
        <v>0</v>
      </c>
      <c r="BG77" s="26" t="n">
        <f aca="false">SUMIFS('Outages (event ledger)'!$H$2:$H$65,'Outages (event ledger)'!$A$2:$A$65,BG$2,'Outages (event ledger)'!$E$2:$E$65,"&lt;="&amp;$B77,'Outages (event ledger)'!$G$2:$G$65,"&gt;="&amp;$B77)</f>
        <v>0</v>
      </c>
      <c r="BH77" s="26" t="n">
        <f aca="false">SUMIFS('Outages (event ledger)'!$H$2:$H$65,'Outages (event ledger)'!$A$2:$A$65,BH$2,'Outages (event ledger)'!$E$2:$E$65,"&lt;="&amp;$B77,'Outages (event ledger)'!$G$2:$G$65,"&gt;="&amp;$B77)</f>
        <v>0</v>
      </c>
      <c r="BI77" s="26" t="n">
        <f aca="false">SUMIFS('Outages (event ledger)'!$H$2:$H$65,'Outages (event ledger)'!$A$2:$A$65,BI$2,'Outages (event ledger)'!$E$2:$E$65,"&lt;="&amp;$B77,'Outages (event ledger)'!$G$2:$G$65,"&gt;="&amp;$B77)</f>
        <v>6.7</v>
      </c>
    </row>
    <row r="78" customFormat="false" ht="15" hidden="false" customHeight="false" outlineLevel="0" collapsed="false">
      <c r="A78" s="23" t="n">
        <v>42461</v>
      </c>
      <c r="B78" s="24" t="n">
        <v>201604</v>
      </c>
      <c r="C78" s="25" t="n">
        <f aca="false">SUM(D78:BI78)</f>
        <v>38.6</v>
      </c>
      <c r="D78" s="26" t="n">
        <f aca="false">SUMIFS('Outages (event ledger)'!$H$2:$H$65,'Outages (event ledger)'!$A$2:$A$65,D$2,'Outages (event ledger)'!$E$2:$E$65,"&lt;="&amp;$B78,'Outages (event ledger)'!$G$2:$G$65,"&gt;="&amp;$B78)</f>
        <v>0</v>
      </c>
      <c r="E78" s="26" t="n">
        <f aca="false">SUMIFS('Outages (event ledger)'!$H$2:$H$65,'Outages (event ledger)'!$A$2:$A$65,E$2,'Outages (event ledger)'!$E$2:$E$65,"&lt;="&amp;$B78,'Outages (event ledger)'!$G$2:$G$65,"&gt;="&amp;$B78)</f>
        <v>0</v>
      </c>
      <c r="F78" s="26" t="n">
        <f aca="false">SUMIFS('Outages (event ledger)'!$H$2:$H$65,'Outages (event ledger)'!$A$2:$A$65,F$2,'Outages (event ledger)'!$E$2:$E$65,"&lt;="&amp;$B78,'Outages (event ledger)'!$G$2:$G$65,"&gt;="&amp;$B78)</f>
        <v>0</v>
      </c>
      <c r="G78" s="26" t="n">
        <f aca="false">SUMIFS('Outages (event ledger)'!$H$2:$H$65,'Outages (event ledger)'!$A$2:$A$65,G$2,'Outages (event ledger)'!$E$2:$E$65,"&lt;="&amp;$B78,'Outages (event ledger)'!$G$2:$G$65,"&gt;="&amp;$B78)</f>
        <v>0</v>
      </c>
      <c r="H78" s="26" t="n">
        <f aca="false">SUMIFS('Outages (event ledger)'!$H$2:$H$65,'Outages (event ledger)'!$A$2:$A$65,H$2,'Outages (event ledger)'!$E$2:$E$65,"&lt;="&amp;$B78,'Outages (event ledger)'!$G$2:$G$65,"&gt;="&amp;$B78)</f>
        <v>5.2</v>
      </c>
      <c r="I78" s="26" t="n">
        <f aca="false">SUMIFS('Outages (event ledger)'!$H$2:$H$65,'Outages (event ledger)'!$A$2:$A$65,I$2,'Outages (event ledger)'!$E$2:$E$65,"&lt;="&amp;$B78,'Outages (event ledger)'!$G$2:$G$65,"&gt;="&amp;$B78)</f>
        <v>0</v>
      </c>
      <c r="J78" s="26" t="n">
        <f aca="false">SUMIFS('Outages (event ledger)'!$H$2:$H$65,'Outages (event ledger)'!$A$2:$A$65,J$2,'Outages (event ledger)'!$E$2:$E$65,"&lt;="&amp;$B78,'Outages (event ledger)'!$G$2:$G$65,"&gt;="&amp;$B78)</f>
        <v>0</v>
      </c>
      <c r="K78" s="26" t="n">
        <f aca="false">SUMIFS('Outages (event ledger)'!$H$2:$H$65,'Outages (event ledger)'!$A$2:$A$65,K$2,'Outages (event ledger)'!$E$2:$E$65,"&lt;="&amp;$B78,'Outages (event ledger)'!$G$2:$G$65,"&gt;="&amp;$B78)</f>
        <v>0</v>
      </c>
      <c r="L78" s="26" t="n">
        <f aca="false">SUMIFS('Outages (event ledger)'!$H$2:$H$65,'Outages (event ledger)'!$A$2:$A$65,L$2,'Outages (event ledger)'!$E$2:$E$65,"&lt;="&amp;$B78,'Outages (event ledger)'!$G$2:$G$65,"&gt;="&amp;$B78)</f>
        <v>5.2</v>
      </c>
      <c r="M78" s="26" t="n">
        <f aca="false">SUMIFS('Outages (event ledger)'!$H$2:$H$65,'Outages (event ledger)'!$A$2:$A$65,M$2,'Outages (event ledger)'!$E$2:$E$65,"&lt;="&amp;$B78,'Outages (event ledger)'!$G$2:$G$65,"&gt;="&amp;$B78)</f>
        <v>0</v>
      </c>
      <c r="N78" s="26" t="n">
        <f aca="false">SUMIFS('Outages (event ledger)'!$H$2:$H$65,'Outages (event ledger)'!$A$2:$A$65,N$2,'Outages (event ledger)'!$E$2:$E$65,"&lt;="&amp;$B78,'Outages (event ledger)'!$G$2:$G$65,"&gt;="&amp;$B78)</f>
        <v>0</v>
      </c>
      <c r="O78" s="26" t="n">
        <f aca="false">SUMIFS('Outages (event ledger)'!$H$2:$H$65,'Outages (event ledger)'!$A$2:$A$65,O$2,'Outages (event ledger)'!$E$2:$E$65,"&lt;="&amp;$B78,'Outages (event ledger)'!$G$2:$G$65,"&gt;="&amp;$B78)</f>
        <v>0</v>
      </c>
      <c r="P78" s="26" t="n">
        <f aca="false">SUMIFS('Outages (event ledger)'!$H$2:$H$65,'Outages (event ledger)'!$A$2:$A$65,P$2,'Outages (event ledger)'!$E$2:$E$65,"&lt;="&amp;$B78,'Outages (event ledger)'!$G$2:$G$65,"&gt;="&amp;$B78)</f>
        <v>0</v>
      </c>
      <c r="Q78" s="26" t="n">
        <f aca="false">SUMIFS('Outages (event ledger)'!$H$2:$H$65,'Outages (event ledger)'!$A$2:$A$65,Q$2,'Outages (event ledger)'!$E$2:$E$65,"&lt;="&amp;$B78,'Outages (event ledger)'!$G$2:$G$65,"&gt;="&amp;$B78)</f>
        <v>0</v>
      </c>
      <c r="R78" s="26" t="n">
        <f aca="false">SUMIFS('Outages (event ledger)'!$H$2:$H$65,'Outages (event ledger)'!$A$2:$A$65,R$2,'Outages (event ledger)'!$E$2:$E$65,"&lt;="&amp;$B78,'Outages (event ledger)'!$G$2:$G$65,"&gt;="&amp;$B78)</f>
        <v>0</v>
      </c>
      <c r="S78" s="26" t="n">
        <f aca="false">SUMIFS('Outages (event ledger)'!$H$2:$H$65,'Outages (event ledger)'!$A$2:$A$65,S$2,'Outages (event ledger)'!$E$2:$E$65,"&lt;="&amp;$B78,'Outages (event ledger)'!$G$2:$G$65,"&gt;="&amp;$B78)</f>
        <v>0</v>
      </c>
      <c r="T78" s="26" t="n">
        <f aca="false">SUMIFS('Outages (event ledger)'!$H$2:$H$65,'Outages (event ledger)'!$A$2:$A$65,T$2,'Outages (event ledger)'!$E$2:$E$65,"&lt;="&amp;$B78,'Outages (event ledger)'!$G$2:$G$65,"&gt;="&amp;$B78)</f>
        <v>0</v>
      </c>
      <c r="U78" s="26" t="n">
        <f aca="false">SUMIFS('Outages (event ledger)'!$H$2:$H$65,'Outages (event ledger)'!$A$2:$A$65,U$2,'Outages (event ledger)'!$E$2:$E$65,"&lt;="&amp;$B78,'Outages (event ledger)'!$G$2:$G$65,"&gt;="&amp;$B78)</f>
        <v>0</v>
      </c>
      <c r="V78" s="26" t="n">
        <f aca="false">SUMIFS('Outages (event ledger)'!$H$2:$H$65,'Outages (event ledger)'!$A$2:$A$65,V$2,'Outages (event ledger)'!$E$2:$E$65,"&lt;="&amp;$B78,'Outages (event ledger)'!$G$2:$G$65,"&gt;="&amp;$B78)</f>
        <v>0</v>
      </c>
      <c r="W78" s="26" t="n">
        <f aca="false">SUMIFS('Outages (event ledger)'!$H$2:$H$65,'Outages (event ledger)'!$A$2:$A$65,W$2,'Outages (event ledger)'!$E$2:$E$65,"&lt;="&amp;$B78,'Outages (event ledger)'!$G$2:$G$65,"&gt;="&amp;$B78)</f>
        <v>0</v>
      </c>
      <c r="X78" s="26" t="n">
        <f aca="false">SUMIFS('Outages (event ledger)'!$H$2:$H$65,'Outages (event ledger)'!$A$2:$A$65,X$2,'Outages (event ledger)'!$E$2:$E$65,"&lt;="&amp;$B78,'Outages (event ledger)'!$G$2:$G$65,"&gt;="&amp;$B78)</f>
        <v>0</v>
      </c>
      <c r="Y78" s="26" t="n">
        <f aca="false">SUMIFS('Outages (event ledger)'!$H$2:$H$65,'Outages (event ledger)'!$A$2:$A$65,Y$2,'Outages (event ledger)'!$E$2:$E$65,"&lt;="&amp;$B78,'Outages (event ledger)'!$G$2:$G$65,"&gt;="&amp;$B78)</f>
        <v>5</v>
      </c>
      <c r="Z78" s="26" t="n">
        <f aca="false">SUMIFS('Outages (event ledger)'!$H$2:$H$65,'Outages (event ledger)'!$A$2:$A$65,Z$2,'Outages (event ledger)'!$E$2:$E$65,"&lt;="&amp;$B78,'Outages (event ledger)'!$G$2:$G$65,"&gt;="&amp;$B78)</f>
        <v>5</v>
      </c>
      <c r="AA78" s="26" t="n">
        <f aca="false">SUMIFS('Outages (event ledger)'!$H$2:$H$65,'Outages (event ledger)'!$A$2:$A$65,AA$2,'Outages (event ledger)'!$E$2:$E$65,"&lt;="&amp;$B78,'Outages (event ledger)'!$G$2:$G$65,"&gt;="&amp;$B78)</f>
        <v>0</v>
      </c>
      <c r="AB78" s="26" t="n">
        <f aca="false">SUMIFS('Outages (event ledger)'!$H$2:$H$65,'Outages (event ledger)'!$A$2:$A$65,AB$2,'Outages (event ledger)'!$E$2:$E$65,"&lt;="&amp;$B78,'Outages (event ledger)'!$G$2:$G$65,"&gt;="&amp;$B78)</f>
        <v>8</v>
      </c>
      <c r="AC78" s="26" t="n">
        <f aca="false">SUMIFS('Outages (event ledger)'!$H$2:$H$65,'Outages (event ledger)'!$A$2:$A$65,AC$2,'Outages (event ledger)'!$E$2:$E$65,"&lt;="&amp;$B78,'Outages (event ledger)'!$G$2:$G$65,"&gt;="&amp;$B78)</f>
        <v>0</v>
      </c>
      <c r="AD78" s="26" t="n">
        <f aca="false">SUMIFS('Outages (event ledger)'!$H$2:$H$65,'Outages (event ledger)'!$A$2:$A$65,AD$2,'Outages (event ledger)'!$E$2:$E$65,"&lt;="&amp;$B78,'Outages (event ledger)'!$G$2:$G$65,"&gt;="&amp;$B78)</f>
        <v>0</v>
      </c>
      <c r="AE78" s="26" t="n">
        <f aca="false">SUMIFS('Outages (event ledger)'!$H$2:$H$65,'Outages (event ledger)'!$A$2:$A$65,AE$2,'Outages (event ledger)'!$E$2:$E$65,"&lt;="&amp;$B78,'Outages (event ledger)'!$G$2:$G$65,"&gt;="&amp;$B78)</f>
        <v>0</v>
      </c>
      <c r="AF78" s="26" t="n">
        <f aca="false">SUMIFS('Outages (event ledger)'!$H$2:$H$65,'Outages (event ledger)'!$A$2:$A$65,AF$2,'Outages (event ledger)'!$E$2:$E$65,"&lt;="&amp;$B78,'Outages (event ledger)'!$G$2:$G$65,"&gt;="&amp;$B78)</f>
        <v>0</v>
      </c>
      <c r="AG78" s="26" t="n">
        <f aca="false">SUMIFS('Outages (event ledger)'!$H$2:$H$65,'Outages (event ledger)'!$A$2:$A$65,AG$2,'Outages (event ledger)'!$E$2:$E$65,"&lt;="&amp;$B78,'Outages (event ledger)'!$G$2:$G$65,"&gt;="&amp;$B78)</f>
        <v>0</v>
      </c>
      <c r="AH78" s="26" t="n">
        <f aca="false">SUMIFS('Outages (event ledger)'!$H$2:$H$65,'Outages (event ledger)'!$A$2:$A$65,AH$2,'Outages (event ledger)'!$E$2:$E$65,"&lt;="&amp;$B78,'Outages (event ledger)'!$G$2:$G$65,"&gt;="&amp;$B78)</f>
        <v>0</v>
      </c>
      <c r="AI78" s="26" t="n">
        <f aca="false">SUMIFS('Outages (event ledger)'!$H$2:$H$65,'Outages (event ledger)'!$A$2:$A$65,AI$2,'Outages (event ledger)'!$E$2:$E$65,"&lt;="&amp;$B78,'Outages (event ledger)'!$G$2:$G$65,"&gt;="&amp;$B78)</f>
        <v>0</v>
      </c>
      <c r="AJ78" s="26" t="n">
        <f aca="false">SUMIFS('Outages (event ledger)'!$H$2:$H$65,'Outages (event ledger)'!$A$2:$A$65,AJ$2,'Outages (event ledger)'!$E$2:$E$65,"&lt;="&amp;$B78,'Outages (event ledger)'!$G$2:$G$65,"&gt;="&amp;$B78)</f>
        <v>0</v>
      </c>
      <c r="AK78" s="26" t="n">
        <f aca="false">SUMIFS('Outages (event ledger)'!$H$2:$H$65,'Outages (event ledger)'!$A$2:$A$65,AK$2,'Outages (event ledger)'!$E$2:$E$65,"&lt;="&amp;$B78,'Outages (event ledger)'!$G$2:$G$65,"&gt;="&amp;$B78)</f>
        <v>0</v>
      </c>
      <c r="AL78" s="26" t="n">
        <f aca="false">SUMIFS('Outages (event ledger)'!$H$2:$H$65,'Outages (event ledger)'!$A$2:$A$65,AL$2,'Outages (event ledger)'!$E$2:$E$65,"&lt;="&amp;$B78,'Outages (event ledger)'!$G$2:$G$65,"&gt;="&amp;$B78)</f>
        <v>3.5</v>
      </c>
      <c r="AM78" s="26" t="n">
        <f aca="false">SUMIFS('Outages (event ledger)'!$H$2:$H$65,'Outages (event ledger)'!$A$2:$A$65,AM$2,'Outages (event ledger)'!$E$2:$E$65,"&lt;="&amp;$B78,'Outages (event ledger)'!$G$2:$G$65,"&gt;="&amp;$B78)</f>
        <v>0</v>
      </c>
      <c r="AN78" s="26" t="n">
        <f aca="false">SUMIFS('Outages (event ledger)'!$H$2:$H$65,'Outages (event ledger)'!$A$2:$A$65,AN$2,'Outages (event ledger)'!$E$2:$E$65,"&lt;="&amp;$B78,'Outages (event ledger)'!$G$2:$G$65,"&gt;="&amp;$B78)</f>
        <v>0</v>
      </c>
      <c r="AO78" s="26" t="n">
        <f aca="false">SUMIFS('Outages (event ledger)'!$H$2:$H$65,'Outages (event ledger)'!$A$2:$A$65,AO$2,'Outages (event ledger)'!$E$2:$E$65,"&lt;="&amp;$B78,'Outages (event ledger)'!$G$2:$G$65,"&gt;="&amp;$B78)</f>
        <v>0</v>
      </c>
      <c r="AP78" s="26" t="n">
        <f aca="false">SUMIFS('Outages (event ledger)'!$H$2:$H$65,'Outages (event ledger)'!$A$2:$A$65,AP$2,'Outages (event ledger)'!$E$2:$E$65,"&lt;="&amp;$B78,'Outages (event ledger)'!$G$2:$G$65,"&gt;="&amp;$B78)</f>
        <v>0</v>
      </c>
      <c r="AQ78" s="26" t="n">
        <f aca="false">SUMIFS('Outages (event ledger)'!$H$2:$H$65,'Outages (event ledger)'!$A$2:$A$65,AQ$2,'Outages (event ledger)'!$E$2:$E$65,"&lt;="&amp;$B78,'Outages (event ledger)'!$G$2:$G$65,"&gt;="&amp;$B78)</f>
        <v>0</v>
      </c>
      <c r="AR78" s="26" t="n">
        <f aca="false">SUMIFS('Outages (event ledger)'!$H$2:$H$65,'Outages (event ledger)'!$A$2:$A$65,AR$2,'Outages (event ledger)'!$E$2:$E$65,"&lt;="&amp;$B78,'Outages (event ledger)'!$G$2:$G$65,"&gt;="&amp;$B78)</f>
        <v>0</v>
      </c>
      <c r="AS78" s="26" t="n">
        <f aca="false">SUMIFS('Outages (event ledger)'!$H$2:$H$65,'Outages (event ledger)'!$A$2:$A$65,AS$2,'Outages (event ledger)'!$E$2:$E$65,"&lt;="&amp;$B78,'Outages (event ledger)'!$G$2:$G$65,"&gt;="&amp;$B78)</f>
        <v>0</v>
      </c>
      <c r="AT78" s="26" t="n">
        <f aca="false">SUMIFS('Outages (event ledger)'!$H$2:$H$65,'Outages (event ledger)'!$A$2:$A$65,AT$2,'Outages (event ledger)'!$E$2:$E$65,"&lt;="&amp;$B78,'Outages (event ledger)'!$G$2:$G$65,"&gt;="&amp;$B78)</f>
        <v>0</v>
      </c>
      <c r="AU78" s="26" t="n">
        <f aca="false">SUMIFS('Outages (event ledger)'!$H$2:$H$65,'Outages (event ledger)'!$A$2:$A$65,AU$2,'Outages (event ledger)'!$E$2:$E$65,"&lt;="&amp;$B78,'Outages (event ledger)'!$G$2:$G$65,"&gt;="&amp;$B78)</f>
        <v>0</v>
      </c>
      <c r="AV78" s="26" t="n">
        <f aca="false">SUMIFS('Outages (event ledger)'!$H$2:$H$65,'Outages (event ledger)'!$A$2:$A$65,AV$2,'Outages (event ledger)'!$E$2:$E$65,"&lt;="&amp;$B78,'Outages (event ledger)'!$G$2:$G$65,"&gt;="&amp;$B78)</f>
        <v>0</v>
      </c>
      <c r="AW78" s="26" t="n">
        <f aca="false">SUMIFS('Outages (event ledger)'!$H$2:$H$65,'Outages (event ledger)'!$A$2:$A$65,AW$2,'Outages (event ledger)'!$E$2:$E$65,"&lt;="&amp;$B78,'Outages (event ledger)'!$G$2:$G$65,"&gt;="&amp;$B78)</f>
        <v>0</v>
      </c>
      <c r="AX78" s="26" t="n">
        <f aca="false">SUMIFS('Outages (event ledger)'!$H$2:$H$65,'Outages (event ledger)'!$A$2:$A$65,AX$2,'Outages (event ledger)'!$E$2:$E$65,"&lt;="&amp;$B78,'Outages (event ledger)'!$G$2:$G$65,"&gt;="&amp;$B78)</f>
        <v>0</v>
      </c>
      <c r="AY78" s="26" t="n">
        <f aca="false">SUMIFS('Outages (event ledger)'!$H$2:$H$65,'Outages (event ledger)'!$A$2:$A$65,AY$2,'Outages (event ledger)'!$E$2:$E$65,"&lt;="&amp;$B78,'Outages (event ledger)'!$G$2:$G$65,"&gt;="&amp;$B78)</f>
        <v>0</v>
      </c>
      <c r="AZ78" s="26" t="n">
        <f aca="false">SUMIFS('Outages (event ledger)'!$H$2:$H$65,'Outages (event ledger)'!$A$2:$A$65,AZ$2,'Outages (event ledger)'!$E$2:$E$65,"&lt;="&amp;$B78,'Outages (event ledger)'!$G$2:$G$65,"&gt;="&amp;$B78)</f>
        <v>0</v>
      </c>
      <c r="BA78" s="26" t="n">
        <f aca="false">SUMIFS('Outages (event ledger)'!$H$2:$H$65,'Outages (event ledger)'!$A$2:$A$65,BA$2,'Outages (event ledger)'!$E$2:$E$65,"&lt;="&amp;$B78,'Outages (event ledger)'!$G$2:$G$65,"&gt;="&amp;$B78)</f>
        <v>0</v>
      </c>
      <c r="BB78" s="26" t="n">
        <f aca="false">SUMIFS('Outages (event ledger)'!$H$2:$H$65,'Outages (event ledger)'!$A$2:$A$65,BB$2,'Outages (event ledger)'!$E$2:$E$65,"&lt;="&amp;$B78,'Outages (event ledger)'!$G$2:$G$65,"&gt;="&amp;$B78)</f>
        <v>0</v>
      </c>
      <c r="BC78" s="26" t="n">
        <f aca="false">SUMIFS('Outages (event ledger)'!$H$2:$H$65,'Outages (event ledger)'!$A$2:$A$65,BC$2,'Outages (event ledger)'!$E$2:$E$65,"&lt;="&amp;$B78,'Outages (event ledger)'!$G$2:$G$65,"&gt;="&amp;$B78)</f>
        <v>0</v>
      </c>
      <c r="BD78" s="26" t="n">
        <f aca="false">SUMIFS('Outages (event ledger)'!$H$2:$H$65,'Outages (event ledger)'!$A$2:$A$65,BD$2,'Outages (event ledger)'!$E$2:$E$65,"&lt;="&amp;$B78,'Outages (event ledger)'!$G$2:$G$65,"&gt;="&amp;$B78)</f>
        <v>0</v>
      </c>
      <c r="BE78" s="26" t="n">
        <f aca="false">SUMIFS('Outages (event ledger)'!$H$2:$H$65,'Outages (event ledger)'!$A$2:$A$65,BE$2,'Outages (event ledger)'!$E$2:$E$65,"&lt;="&amp;$B78,'Outages (event ledger)'!$G$2:$G$65,"&gt;="&amp;$B78)</f>
        <v>0</v>
      </c>
      <c r="BF78" s="26" t="n">
        <f aca="false">SUMIFS('Outages (event ledger)'!$H$2:$H$65,'Outages (event ledger)'!$A$2:$A$65,BF$2,'Outages (event ledger)'!$E$2:$E$65,"&lt;="&amp;$B78,'Outages (event ledger)'!$G$2:$G$65,"&gt;="&amp;$B78)</f>
        <v>0</v>
      </c>
      <c r="BG78" s="26" t="n">
        <f aca="false">SUMIFS('Outages (event ledger)'!$H$2:$H$65,'Outages (event ledger)'!$A$2:$A$65,BG$2,'Outages (event ledger)'!$E$2:$E$65,"&lt;="&amp;$B78,'Outages (event ledger)'!$G$2:$G$65,"&gt;="&amp;$B78)</f>
        <v>0</v>
      </c>
      <c r="BH78" s="26" t="n">
        <f aca="false">SUMIFS('Outages (event ledger)'!$H$2:$H$65,'Outages (event ledger)'!$A$2:$A$65,BH$2,'Outages (event ledger)'!$E$2:$E$65,"&lt;="&amp;$B78,'Outages (event ledger)'!$G$2:$G$65,"&gt;="&amp;$B78)</f>
        <v>0</v>
      </c>
      <c r="BI78" s="26" t="n">
        <f aca="false">SUMIFS('Outages (event ledger)'!$H$2:$H$65,'Outages (event ledger)'!$A$2:$A$65,BI$2,'Outages (event ledger)'!$E$2:$E$65,"&lt;="&amp;$B78,'Outages (event ledger)'!$G$2:$G$65,"&gt;="&amp;$B78)</f>
        <v>6.7</v>
      </c>
    </row>
    <row r="79" customFormat="false" ht="15" hidden="false" customHeight="false" outlineLevel="0" collapsed="false">
      <c r="A79" s="23" t="n">
        <v>42491</v>
      </c>
      <c r="B79" s="24" t="n">
        <v>201605</v>
      </c>
      <c r="C79" s="25" t="n">
        <f aca="false">SUM(D79:BI79)</f>
        <v>38.6</v>
      </c>
      <c r="D79" s="26" t="n">
        <f aca="false">SUMIFS('Outages (event ledger)'!$H$2:$H$65,'Outages (event ledger)'!$A$2:$A$65,D$2,'Outages (event ledger)'!$E$2:$E$65,"&lt;="&amp;$B79,'Outages (event ledger)'!$G$2:$G$65,"&gt;="&amp;$B79)</f>
        <v>0</v>
      </c>
      <c r="E79" s="26" t="n">
        <f aca="false">SUMIFS('Outages (event ledger)'!$H$2:$H$65,'Outages (event ledger)'!$A$2:$A$65,E$2,'Outages (event ledger)'!$E$2:$E$65,"&lt;="&amp;$B79,'Outages (event ledger)'!$G$2:$G$65,"&gt;="&amp;$B79)</f>
        <v>0</v>
      </c>
      <c r="F79" s="26" t="n">
        <f aca="false">SUMIFS('Outages (event ledger)'!$H$2:$H$65,'Outages (event ledger)'!$A$2:$A$65,F$2,'Outages (event ledger)'!$E$2:$E$65,"&lt;="&amp;$B79,'Outages (event ledger)'!$G$2:$G$65,"&gt;="&amp;$B79)</f>
        <v>0</v>
      </c>
      <c r="G79" s="26" t="n">
        <f aca="false">SUMIFS('Outages (event ledger)'!$H$2:$H$65,'Outages (event ledger)'!$A$2:$A$65,G$2,'Outages (event ledger)'!$E$2:$E$65,"&lt;="&amp;$B79,'Outages (event ledger)'!$G$2:$G$65,"&gt;="&amp;$B79)</f>
        <v>0</v>
      </c>
      <c r="H79" s="26" t="n">
        <f aca="false">SUMIFS('Outages (event ledger)'!$H$2:$H$65,'Outages (event ledger)'!$A$2:$A$65,H$2,'Outages (event ledger)'!$E$2:$E$65,"&lt;="&amp;$B79,'Outages (event ledger)'!$G$2:$G$65,"&gt;="&amp;$B79)</f>
        <v>5.2</v>
      </c>
      <c r="I79" s="26" t="n">
        <f aca="false">SUMIFS('Outages (event ledger)'!$H$2:$H$65,'Outages (event ledger)'!$A$2:$A$65,I$2,'Outages (event ledger)'!$E$2:$E$65,"&lt;="&amp;$B79,'Outages (event ledger)'!$G$2:$G$65,"&gt;="&amp;$B79)</f>
        <v>0</v>
      </c>
      <c r="J79" s="26" t="n">
        <f aca="false">SUMIFS('Outages (event ledger)'!$H$2:$H$65,'Outages (event ledger)'!$A$2:$A$65,J$2,'Outages (event ledger)'!$E$2:$E$65,"&lt;="&amp;$B79,'Outages (event ledger)'!$G$2:$G$65,"&gt;="&amp;$B79)</f>
        <v>0</v>
      </c>
      <c r="K79" s="26" t="n">
        <f aca="false">SUMIFS('Outages (event ledger)'!$H$2:$H$65,'Outages (event ledger)'!$A$2:$A$65,K$2,'Outages (event ledger)'!$E$2:$E$65,"&lt;="&amp;$B79,'Outages (event ledger)'!$G$2:$G$65,"&gt;="&amp;$B79)</f>
        <v>0</v>
      </c>
      <c r="L79" s="26" t="n">
        <f aca="false">SUMIFS('Outages (event ledger)'!$H$2:$H$65,'Outages (event ledger)'!$A$2:$A$65,L$2,'Outages (event ledger)'!$E$2:$E$65,"&lt;="&amp;$B79,'Outages (event ledger)'!$G$2:$G$65,"&gt;="&amp;$B79)</f>
        <v>5.2</v>
      </c>
      <c r="M79" s="26" t="n">
        <f aca="false">SUMIFS('Outages (event ledger)'!$H$2:$H$65,'Outages (event ledger)'!$A$2:$A$65,M$2,'Outages (event ledger)'!$E$2:$E$65,"&lt;="&amp;$B79,'Outages (event ledger)'!$G$2:$G$65,"&gt;="&amp;$B79)</f>
        <v>0</v>
      </c>
      <c r="N79" s="26" t="n">
        <f aca="false">SUMIFS('Outages (event ledger)'!$H$2:$H$65,'Outages (event ledger)'!$A$2:$A$65,N$2,'Outages (event ledger)'!$E$2:$E$65,"&lt;="&amp;$B79,'Outages (event ledger)'!$G$2:$G$65,"&gt;="&amp;$B79)</f>
        <v>0</v>
      </c>
      <c r="O79" s="26" t="n">
        <f aca="false">SUMIFS('Outages (event ledger)'!$H$2:$H$65,'Outages (event ledger)'!$A$2:$A$65,O$2,'Outages (event ledger)'!$E$2:$E$65,"&lt;="&amp;$B79,'Outages (event ledger)'!$G$2:$G$65,"&gt;="&amp;$B79)</f>
        <v>0</v>
      </c>
      <c r="P79" s="26" t="n">
        <f aca="false">SUMIFS('Outages (event ledger)'!$H$2:$H$65,'Outages (event ledger)'!$A$2:$A$65,P$2,'Outages (event ledger)'!$E$2:$E$65,"&lt;="&amp;$B79,'Outages (event ledger)'!$G$2:$G$65,"&gt;="&amp;$B79)</f>
        <v>0</v>
      </c>
      <c r="Q79" s="26" t="n">
        <f aca="false">SUMIFS('Outages (event ledger)'!$H$2:$H$65,'Outages (event ledger)'!$A$2:$A$65,Q$2,'Outages (event ledger)'!$E$2:$E$65,"&lt;="&amp;$B79,'Outages (event ledger)'!$G$2:$G$65,"&gt;="&amp;$B79)</f>
        <v>0</v>
      </c>
      <c r="R79" s="26" t="n">
        <f aca="false">SUMIFS('Outages (event ledger)'!$H$2:$H$65,'Outages (event ledger)'!$A$2:$A$65,R$2,'Outages (event ledger)'!$E$2:$E$65,"&lt;="&amp;$B79,'Outages (event ledger)'!$G$2:$G$65,"&gt;="&amp;$B79)</f>
        <v>0</v>
      </c>
      <c r="S79" s="26" t="n">
        <f aca="false">SUMIFS('Outages (event ledger)'!$H$2:$H$65,'Outages (event ledger)'!$A$2:$A$65,S$2,'Outages (event ledger)'!$E$2:$E$65,"&lt;="&amp;$B79,'Outages (event ledger)'!$G$2:$G$65,"&gt;="&amp;$B79)</f>
        <v>0</v>
      </c>
      <c r="T79" s="26" t="n">
        <f aca="false">SUMIFS('Outages (event ledger)'!$H$2:$H$65,'Outages (event ledger)'!$A$2:$A$65,T$2,'Outages (event ledger)'!$E$2:$E$65,"&lt;="&amp;$B79,'Outages (event ledger)'!$G$2:$G$65,"&gt;="&amp;$B79)</f>
        <v>0</v>
      </c>
      <c r="U79" s="26" t="n">
        <f aca="false">SUMIFS('Outages (event ledger)'!$H$2:$H$65,'Outages (event ledger)'!$A$2:$A$65,U$2,'Outages (event ledger)'!$E$2:$E$65,"&lt;="&amp;$B79,'Outages (event ledger)'!$G$2:$G$65,"&gt;="&amp;$B79)</f>
        <v>0</v>
      </c>
      <c r="V79" s="26" t="n">
        <f aca="false">SUMIFS('Outages (event ledger)'!$H$2:$H$65,'Outages (event ledger)'!$A$2:$A$65,V$2,'Outages (event ledger)'!$E$2:$E$65,"&lt;="&amp;$B79,'Outages (event ledger)'!$G$2:$G$65,"&gt;="&amp;$B79)</f>
        <v>0</v>
      </c>
      <c r="W79" s="26" t="n">
        <f aca="false">SUMIFS('Outages (event ledger)'!$H$2:$H$65,'Outages (event ledger)'!$A$2:$A$65,W$2,'Outages (event ledger)'!$E$2:$E$65,"&lt;="&amp;$B79,'Outages (event ledger)'!$G$2:$G$65,"&gt;="&amp;$B79)</f>
        <v>0</v>
      </c>
      <c r="X79" s="26" t="n">
        <f aca="false">SUMIFS('Outages (event ledger)'!$H$2:$H$65,'Outages (event ledger)'!$A$2:$A$65,X$2,'Outages (event ledger)'!$E$2:$E$65,"&lt;="&amp;$B79,'Outages (event ledger)'!$G$2:$G$65,"&gt;="&amp;$B79)</f>
        <v>0</v>
      </c>
      <c r="Y79" s="26" t="n">
        <f aca="false">SUMIFS('Outages (event ledger)'!$H$2:$H$65,'Outages (event ledger)'!$A$2:$A$65,Y$2,'Outages (event ledger)'!$E$2:$E$65,"&lt;="&amp;$B79,'Outages (event ledger)'!$G$2:$G$65,"&gt;="&amp;$B79)</f>
        <v>5</v>
      </c>
      <c r="Z79" s="26" t="n">
        <f aca="false">SUMIFS('Outages (event ledger)'!$H$2:$H$65,'Outages (event ledger)'!$A$2:$A$65,Z$2,'Outages (event ledger)'!$E$2:$E$65,"&lt;="&amp;$B79,'Outages (event ledger)'!$G$2:$G$65,"&gt;="&amp;$B79)</f>
        <v>5</v>
      </c>
      <c r="AA79" s="26" t="n">
        <f aca="false">SUMIFS('Outages (event ledger)'!$H$2:$H$65,'Outages (event ledger)'!$A$2:$A$65,AA$2,'Outages (event ledger)'!$E$2:$E$65,"&lt;="&amp;$B79,'Outages (event ledger)'!$G$2:$G$65,"&gt;="&amp;$B79)</f>
        <v>0</v>
      </c>
      <c r="AB79" s="26" t="n">
        <f aca="false">SUMIFS('Outages (event ledger)'!$H$2:$H$65,'Outages (event ledger)'!$A$2:$A$65,AB$2,'Outages (event ledger)'!$E$2:$E$65,"&lt;="&amp;$B79,'Outages (event ledger)'!$G$2:$G$65,"&gt;="&amp;$B79)</f>
        <v>8</v>
      </c>
      <c r="AC79" s="26" t="n">
        <f aca="false">SUMIFS('Outages (event ledger)'!$H$2:$H$65,'Outages (event ledger)'!$A$2:$A$65,AC$2,'Outages (event ledger)'!$E$2:$E$65,"&lt;="&amp;$B79,'Outages (event ledger)'!$G$2:$G$65,"&gt;="&amp;$B79)</f>
        <v>0</v>
      </c>
      <c r="AD79" s="26" t="n">
        <f aca="false">SUMIFS('Outages (event ledger)'!$H$2:$H$65,'Outages (event ledger)'!$A$2:$A$65,AD$2,'Outages (event ledger)'!$E$2:$E$65,"&lt;="&amp;$B79,'Outages (event ledger)'!$G$2:$G$65,"&gt;="&amp;$B79)</f>
        <v>0</v>
      </c>
      <c r="AE79" s="26" t="n">
        <f aca="false">SUMIFS('Outages (event ledger)'!$H$2:$H$65,'Outages (event ledger)'!$A$2:$A$65,AE$2,'Outages (event ledger)'!$E$2:$E$65,"&lt;="&amp;$B79,'Outages (event ledger)'!$G$2:$G$65,"&gt;="&amp;$B79)</f>
        <v>0</v>
      </c>
      <c r="AF79" s="26" t="n">
        <f aca="false">SUMIFS('Outages (event ledger)'!$H$2:$H$65,'Outages (event ledger)'!$A$2:$A$65,AF$2,'Outages (event ledger)'!$E$2:$E$65,"&lt;="&amp;$B79,'Outages (event ledger)'!$G$2:$G$65,"&gt;="&amp;$B79)</f>
        <v>0</v>
      </c>
      <c r="AG79" s="26" t="n">
        <f aca="false">SUMIFS('Outages (event ledger)'!$H$2:$H$65,'Outages (event ledger)'!$A$2:$A$65,AG$2,'Outages (event ledger)'!$E$2:$E$65,"&lt;="&amp;$B79,'Outages (event ledger)'!$G$2:$G$65,"&gt;="&amp;$B79)</f>
        <v>0</v>
      </c>
      <c r="AH79" s="26" t="n">
        <f aca="false">SUMIFS('Outages (event ledger)'!$H$2:$H$65,'Outages (event ledger)'!$A$2:$A$65,AH$2,'Outages (event ledger)'!$E$2:$E$65,"&lt;="&amp;$B79,'Outages (event ledger)'!$G$2:$G$65,"&gt;="&amp;$B79)</f>
        <v>0</v>
      </c>
      <c r="AI79" s="26" t="n">
        <f aca="false">SUMIFS('Outages (event ledger)'!$H$2:$H$65,'Outages (event ledger)'!$A$2:$A$65,AI$2,'Outages (event ledger)'!$E$2:$E$65,"&lt;="&amp;$B79,'Outages (event ledger)'!$G$2:$G$65,"&gt;="&amp;$B79)</f>
        <v>0</v>
      </c>
      <c r="AJ79" s="26" t="n">
        <f aca="false">SUMIFS('Outages (event ledger)'!$H$2:$H$65,'Outages (event ledger)'!$A$2:$A$65,AJ$2,'Outages (event ledger)'!$E$2:$E$65,"&lt;="&amp;$B79,'Outages (event ledger)'!$G$2:$G$65,"&gt;="&amp;$B79)</f>
        <v>0</v>
      </c>
      <c r="AK79" s="26" t="n">
        <f aca="false">SUMIFS('Outages (event ledger)'!$H$2:$H$65,'Outages (event ledger)'!$A$2:$A$65,AK$2,'Outages (event ledger)'!$E$2:$E$65,"&lt;="&amp;$B79,'Outages (event ledger)'!$G$2:$G$65,"&gt;="&amp;$B79)</f>
        <v>0</v>
      </c>
      <c r="AL79" s="26" t="n">
        <f aca="false">SUMIFS('Outages (event ledger)'!$H$2:$H$65,'Outages (event ledger)'!$A$2:$A$65,AL$2,'Outages (event ledger)'!$E$2:$E$65,"&lt;="&amp;$B79,'Outages (event ledger)'!$G$2:$G$65,"&gt;="&amp;$B79)</f>
        <v>3.5</v>
      </c>
      <c r="AM79" s="26" t="n">
        <f aca="false">SUMIFS('Outages (event ledger)'!$H$2:$H$65,'Outages (event ledger)'!$A$2:$A$65,AM$2,'Outages (event ledger)'!$E$2:$E$65,"&lt;="&amp;$B79,'Outages (event ledger)'!$G$2:$G$65,"&gt;="&amp;$B79)</f>
        <v>0</v>
      </c>
      <c r="AN79" s="26" t="n">
        <f aca="false">SUMIFS('Outages (event ledger)'!$H$2:$H$65,'Outages (event ledger)'!$A$2:$A$65,AN$2,'Outages (event ledger)'!$E$2:$E$65,"&lt;="&amp;$B79,'Outages (event ledger)'!$G$2:$G$65,"&gt;="&amp;$B79)</f>
        <v>0</v>
      </c>
      <c r="AO79" s="26" t="n">
        <f aca="false">SUMIFS('Outages (event ledger)'!$H$2:$H$65,'Outages (event ledger)'!$A$2:$A$65,AO$2,'Outages (event ledger)'!$E$2:$E$65,"&lt;="&amp;$B79,'Outages (event ledger)'!$G$2:$G$65,"&gt;="&amp;$B79)</f>
        <v>0</v>
      </c>
      <c r="AP79" s="26" t="n">
        <f aca="false">SUMIFS('Outages (event ledger)'!$H$2:$H$65,'Outages (event ledger)'!$A$2:$A$65,AP$2,'Outages (event ledger)'!$E$2:$E$65,"&lt;="&amp;$B79,'Outages (event ledger)'!$G$2:$G$65,"&gt;="&amp;$B79)</f>
        <v>0</v>
      </c>
      <c r="AQ79" s="26" t="n">
        <f aca="false">SUMIFS('Outages (event ledger)'!$H$2:$H$65,'Outages (event ledger)'!$A$2:$A$65,AQ$2,'Outages (event ledger)'!$E$2:$E$65,"&lt;="&amp;$B79,'Outages (event ledger)'!$G$2:$G$65,"&gt;="&amp;$B79)</f>
        <v>0</v>
      </c>
      <c r="AR79" s="26" t="n">
        <f aca="false">SUMIFS('Outages (event ledger)'!$H$2:$H$65,'Outages (event ledger)'!$A$2:$A$65,AR$2,'Outages (event ledger)'!$E$2:$E$65,"&lt;="&amp;$B79,'Outages (event ledger)'!$G$2:$G$65,"&gt;="&amp;$B79)</f>
        <v>0</v>
      </c>
      <c r="AS79" s="26" t="n">
        <f aca="false">SUMIFS('Outages (event ledger)'!$H$2:$H$65,'Outages (event ledger)'!$A$2:$A$65,AS$2,'Outages (event ledger)'!$E$2:$E$65,"&lt;="&amp;$B79,'Outages (event ledger)'!$G$2:$G$65,"&gt;="&amp;$B79)</f>
        <v>0</v>
      </c>
      <c r="AT79" s="26" t="n">
        <f aca="false">SUMIFS('Outages (event ledger)'!$H$2:$H$65,'Outages (event ledger)'!$A$2:$A$65,AT$2,'Outages (event ledger)'!$E$2:$E$65,"&lt;="&amp;$B79,'Outages (event ledger)'!$G$2:$G$65,"&gt;="&amp;$B79)</f>
        <v>0</v>
      </c>
      <c r="AU79" s="26" t="n">
        <f aca="false">SUMIFS('Outages (event ledger)'!$H$2:$H$65,'Outages (event ledger)'!$A$2:$A$65,AU$2,'Outages (event ledger)'!$E$2:$E$65,"&lt;="&amp;$B79,'Outages (event ledger)'!$G$2:$G$65,"&gt;="&amp;$B79)</f>
        <v>0</v>
      </c>
      <c r="AV79" s="26" t="n">
        <f aca="false">SUMIFS('Outages (event ledger)'!$H$2:$H$65,'Outages (event ledger)'!$A$2:$A$65,AV$2,'Outages (event ledger)'!$E$2:$E$65,"&lt;="&amp;$B79,'Outages (event ledger)'!$G$2:$G$65,"&gt;="&amp;$B79)</f>
        <v>0</v>
      </c>
      <c r="AW79" s="26" t="n">
        <f aca="false">SUMIFS('Outages (event ledger)'!$H$2:$H$65,'Outages (event ledger)'!$A$2:$A$65,AW$2,'Outages (event ledger)'!$E$2:$E$65,"&lt;="&amp;$B79,'Outages (event ledger)'!$G$2:$G$65,"&gt;="&amp;$B79)</f>
        <v>0</v>
      </c>
      <c r="AX79" s="26" t="n">
        <f aca="false">SUMIFS('Outages (event ledger)'!$H$2:$H$65,'Outages (event ledger)'!$A$2:$A$65,AX$2,'Outages (event ledger)'!$E$2:$E$65,"&lt;="&amp;$B79,'Outages (event ledger)'!$G$2:$G$65,"&gt;="&amp;$B79)</f>
        <v>0</v>
      </c>
      <c r="AY79" s="26" t="n">
        <f aca="false">SUMIFS('Outages (event ledger)'!$H$2:$H$65,'Outages (event ledger)'!$A$2:$A$65,AY$2,'Outages (event ledger)'!$E$2:$E$65,"&lt;="&amp;$B79,'Outages (event ledger)'!$G$2:$G$65,"&gt;="&amp;$B79)</f>
        <v>0</v>
      </c>
      <c r="AZ79" s="26" t="n">
        <f aca="false">SUMIFS('Outages (event ledger)'!$H$2:$H$65,'Outages (event ledger)'!$A$2:$A$65,AZ$2,'Outages (event ledger)'!$E$2:$E$65,"&lt;="&amp;$B79,'Outages (event ledger)'!$G$2:$G$65,"&gt;="&amp;$B79)</f>
        <v>0</v>
      </c>
      <c r="BA79" s="26" t="n">
        <f aca="false">SUMIFS('Outages (event ledger)'!$H$2:$H$65,'Outages (event ledger)'!$A$2:$A$65,BA$2,'Outages (event ledger)'!$E$2:$E$65,"&lt;="&amp;$B79,'Outages (event ledger)'!$G$2:$G$65,"&gt;="&amp;$B79)</f>
        <v>0</v>
      </c>
      <c r="BB79" s="26" t="n">
        <f aca="false">SUMIFS('Outages (event ledger)'!$H$2:$H$65,'Outages (event ledger)'!$A$2:$A$65,BB$2,'Outages (event ledger)'!$E$2:$E$65,"&lt;="&amp;$B79,'Outages (event ledger)'!$G$2:$G$65,"&gt;="&amp;$B79)</f>
        <v>0</v>
      </c>
      <c r="BC79" s="26" t="n">
        <f aca="false">SUMIFS('Outages (event ledger)'!$H$2:$H$65,'Outages (event ledger)'!$A$2:$A$65,BC$2,'Outages (event ledger)'!$E$2:$E$65,"&lt;="&amp;$B79,'Outages (event ledger)'!$G$2:$G$65,"&gt;="&amp;$B79)</f>
        <v>0</v>
      </c>
      <c r="BD79" s="26" t="n">
        <f aca="false">SUMIFS('Outages (event ledger)'!$H$2:$H$65,'Outages (event ledger)'!$A$2:$A$65,BD$2,'Outages (event ledger)'!$E$2:$E$65,"&lt;="&amp;$B79,'Outages (event ledger)'!$G$2:$G$65,"&gt;="&amp;$B79)</f>
        <v>0</v>
      </c>
      <c r="BE79" s="26" t="n">
        <f aca="false">SUMIFS('Outages (event ledger)'!$H$2:$H$65,'Outages (event ledger)'!$A$2:$A$65,BE$2,'Outages (event ledger)'!$E$2:$E$65,"&lt;="&amp;$B79,'Outages (event ledger)'!$G$2:$G$65,"&gt;="&amp;$B79)</f>
        <v>0</v>
      </c>
      <c r="BF79" s="26" t="n">
        <f aca="false">SUMIFS('Outages (event ledger)'!$H$2:$H$65,'Outages (event ledger)'!$A$2:$A$65,BF$2,'Outages (event ledger)'!$E$2:$E$65,"&lt;="&amp;$B79,'Outages (event ledger)'!$G$2:$G$65,"&gt;="&amp;$B79)</f>
        <v>0</v>
      </c>
      <c r="BG79" s="26" t="n">
        <f aca="false">SUMIFS('Outages (event ledger)'!$H$2:$H$65,'Outages (event ledger)'!$A$2:$A$65,BG$2,'Outages (event ledger)'!$E$2:$E$65,"&lt;="&amp;$B79,'Outages (event ledger)'!$G$2:$G$65,"&gt;="&amp;$B79)</f>
        <v>0</v>
      </c>
      <c r="BH79" s="26" t="n">
        <f aca="false">SUMIFS('Outages (event ledger)'!$H$2:$H$65,'Outages (event ledger)'!$A$2:$A$65,BH$2,'Outages (event ledger)'!$E$2:$E$65,"&lt;="&amp;$B79,'Outages (event ledger)'!$G$2:$G$65,"&gt;="&amp;$B79)</f>
        <v>0</v>
      </c>
      <c r="BI79" s="26" t="n">
        <f aca="false">SUMIFS('Outages (event ledger)'!$H$2:$H$65,'Outages (event ledger)'!$A$2:$A$65,BI$2,'Outages (event ledger)'!$E$2:$E$65,"&lt;="&amp;$B79,'Outages (event ledger)'!$G$2:$G$65,"&gt;="&amp;$B79)</f>
        <v>6.7</v>
      </c>
    </row>
    <row r="80" customFormat="false" ht="15" hidden="false" customHeight="false" outlineLevel="0" collapsed="false">
      <c r="A80" s="23" t="n">
        <v>42522</v>
      </c>
      <c r="B80" s="24" t="n">
        <v>201606</v>
      </c>
      <c r="C80" s="25" t="n">
        <f aca="false">SUM(D80:BI80)</f>
        <v>33.4</v>
      </c>
      <c r="D80" s="26" t="n">
        <f aca="false">SUMIFS('Outages (event ledger)'!$H$2:$H$65,'Outages (event ledger)'!$A$2:$A$65,D$2,'Outages (event ledger)'!$E$2:$E$65,"&lt;="&amp;$B80,'Outages (event ledger)'!$G$2:$G$65,"&gt;="&amp;$B80)</f>
        <v>0</v>
      </c>
      <c r="E80" s="26" t="n">
        <f aca="false">SUMIFS('Outages (event ledger)'!$H$2:$H$65,'Outages (event ledger)'!$A$2:$A$65,E$2,'Outages (event ledger)'!$E$2:$E$65,"&lt;="&amp;$B80,'Outages (event ledger)'!$G$2:$G$65,"&gt;="&amp;$B80)</f>
        <v>0</v>
      </c>
      <c r="F80" s="26" t="n">
        <f aca="false">SUMIFS('Outages (event ledger)'!$H$2:$H$65,'Outages (event ledger)'!$A$2:$A$65,F$2,'Outages (event ledger)'!$E$2:$E$65,"&lt;="&amp;$B80,'Outages (event ledger)'!$G$2:$G$65,"&gt;="&amp;$B80)</f>
        <v>0</v>
      </c>
      <c r="G80" s="26" t="n">
        <f aca="false">SUMIFS('Outages (event ledger)'!$H$2:$H$65,'Outages (event ledger)'!$A$2:$A$65,G$2,'Outages (event ledger)'!$E$2:$E$65,"&lt;="&amp;$B80,'Outages (event ledger)'!$G$2:$G$65,"&gt;="&amp;$B80)</f>
        <v>0</v>
      </c>
      <c r="H80" s="26" t="n">
        <f aca="false">SUMIFS('Outages (event ledger)'!$H$2:$H$65,'Outages (event ledger)'!$A$2:$A$65,H$2,'Outages (event ledger)'!$E$2:$E$65,"&lt;="&amp;$B80,'Outages (event ledger)'!$G$2:$G$65,"&gt;="&amp;$B80)</f>
        <v>0</v>
      </c>
      <c r="I80" s="26" t="n">
        <f aca="false">SUMIFS('Outages (event ledger)'!$H$2:$H$65,'Outages (event ledger)'!$A$2:$A$65,I$2,'Outages (event ledger)'!$E$2:$E$65,"&lt;="&amp;$B80,'Outages (event ledger)'!$G$2:$G$65,"&gt;="&amp;$B80)</f>
        <v>0</v>
      </c>
      <c r="J80" s="26" t="n">
        <f aca="false">SUMIFS('Outages (event ledger)'!$H$2:$H$65,'Outages (event ledger)'!$A$2:$A$65,J$2,'Outages (event ledger)'!$E$2:$E$65,"&lt;="&amp;$B80,'Outages (event ledger)'!$G$2:$G$65,"&gt;="&amp;$B80)</f>
        <v>0</v>
      </c>
      <c r="K80" s="26" t="n">
        <f aca="false">SUMIFS('Outages (event ledger)'!$H$2:$H$65,'Outages (event ledger)'!$A$2:$A$65,K$2,'Outages (event ledger)'!$E$2:$E$65,"&lt;="&amp;$B80,'Outages (event ledger)'!$G$2:$G$65,"&gt;="&amp;$B80)</f>
        <v>0</v>
      </c>
      <c r="L80" s="26" t="n">
        <f aca="false">SUMIFS('Outages (event ledger)'!$H$2:$H$65,'Outages (event ledger)'!$A$2:$A$65,L$2,'Outages (event ledger)'!$E$2:$E$65,"&lt;="&amp;$B80,'Outages (event ledger)'!$G$2:$G$65,"&gt;="&amp;$B80)</f>
        <v>5.2</v>
      </c>
      <c r="M80" s="26" t="n">
        <f aca="false">SUMIFS('Outages (event ledger)'!$H$2:$H$65,'Outages (event ledger)'!$A$2:$A$65,M$2,'Outages (event ledger)'!$E$2:$E$65,"&lt;="&amp;$B80,'Outages (event ledger)'!$G$2:$G$65,"&gt;="&amp;$B80)</f>
        <v>0</v>
      </c>
      <c r="N80" s="26" t="n">
        <f aca="false">SUMIFS('Outages (event ledger)'!$H$2:$H$65,'Outages (event ledger)'!$A$2:$A$65,N$2,'Outages (event ledger)'!$E$2:$E$65,"&lt;="&amp;$B80,'Outages (event ledger)'!$G$2:$G$65,"&gt;="&amp;$B80)</f>
        <v>0</v>
      </c>
      <c r="O80" s="26" t="n">
        <f aca="false">SUMIFS('Outages (event ledger)'!$H$2:$H$65,'Outages (event ledger)'!$A$2:$A$65,O$2,'Outages (event ledger)'!$E$2:$E$65,"&lt;="&amp;$B80,'Outages (event ledger)'!$G$2:$G$65,"&gt;="&amp;$B80)</f>
        <v>0</v>
      </c>
      <c r="P80" s="26" t="n">
        <f aca="false">SUMIFS('Outages (event ledger)'!$H$2:$H$65,'Outages (event ledger)'!$A$2:$A$65,P$2,'Outages (event ledger)'!$E$2:$E$65,"&lt;="&amp;$B80,'Outages (event ledger)'!$G$2:$G$65,"&gt;="&amp;$B80)</f>
        <v>0</v>
      </c>
      <c r="Q80" s="26" t="n">
        <f aca="false">SUMIFS('Outages (event ledger)'!$H$2:$H$65,'Outages (event ledger)'!$A$2:$A$65,Q$2,'Outages (event ledger)'!$E$2:$E$65,"&lt;="&amp;$B80,'Outages (event ledger)'!$G$2:$G$65,"&gt;="&amp;$B80)</f>
        <v>0</v>
      </c>
      <c r="R80" s="26" t="n">
        <f aca="false">SUMIFS('Outages (event ledger)'!$H$2:$H$65,'Outages (event ledger)'!$A$2:$A$65,R$2,'Outages (event ledger)'!$E$2:$E$65,"&lt;="&amp;$B80,'Outages (event ledger)'!$G$2:$G$65,"&gt;="&amp;$B80)</f>
        <v>0</v>
      </c>
      <c r="S80" s="26" t="n">
        <f aca="false">SUMIFS('Outages (event ledger)'!$H$2:$H$65,'Outages (event ledger)'!$A$2:$A$65,S$2,'Outages (event ledger)'!$E$2:$E$65,"&lt;="&amp;$B80,'Outages (event ledger)'!$G$2:$G$65,"&gt;="&amp;$B80)</f>
        <v>0</v>
      </c>
      <c r="T80" s="26" t="n">
        <f aca="false">SUMIFS('Outages (event ledger)'!$H$2:$H$65,'Outages (event ledger)'!$A$2:$A$65,T$2,'Outages (event ledger)'!$E$2:$E$65,"&lt;="&amp;$B80,'Outages (event ledger)'!$G$2:$G$65,"&gt;="&amp;$B80)</f>
        <v>0</v>
      </c>
      <c r="U80" s="26" t="n">
        <f aca="false">SUMIFS('Outages (event ledger)'!$H$2:$H$65,'Outages (event ledger)'!$A$2:$A$65,U$2,'Outages (event ledger)'!$E$2:$E$65,"&lt;="&amp;$B80,'Outages (event ledger)'!$G$2:$G$65,"&gt;="&amp;$B80)</f>
        <v>0</v>
      </c>
      <c r="V80" s="26" t="n">
        <f aca="false">SUMIFS('Outages (event ledger)'!$H$2:$H$65,'Outages (event ledger)'!$A$2:$A$65,V$2,'Outages (event ledger)'!$E$2:$E$65,"&lt;="&amp;$B80,'Outages (event ledger)'!$G$2:$G$65,"&gt;="&amp;$B80)</f>
        <v>0</v>
      </c>
      <c r="W80" s="26" t="n">
        <f aca="false">SUMIFS('Outages (event ledger)'!$H$2:$H$65,'Outages (event ledger)'!$A$2:$A$65,W$2,'Outages (event ledger)'!$E$2:$E$65,"&lt;="&amp;$B80,'Outages (event ledger)'!$G$2:$G$65,"&gt;="&amp;$B80)</f>
        <v>0</v>
      </c>
      <c r="X80" s="26" t="n">
        <f aca="false">SUMIFS('Outages (event ledger)'!$H$2:$H$65,'Outages (event ledger)'!$A$2:$A$65,X$2,'Outages (event ledger)'!$E$2:$E$65,"&lt;="&amp;$B80,'Outages (event ledger)'!$G$2:$G$65,"&gt;="&amp;$B80)</f>
        <v>0</v>
      </c>
      <c r="Y80" s="26" t="n">
        <f aca="false">SUMIFS('Outages (event ledger)'!$H$2:$H$65,'Outages (event ledger)'!$A$2:$A$65,Y$2,'Outages (event ledger)'!$E$2:$E$65,"&lt;="&amp;$B80,'Outages (event ledger)'!$G$2:$G$65,"&gt;="&amp;$B80)</f>
        <v>5</v>
      </c>
      <c r="Z80" s="26" t="n">
        <f aca="false">SUMIFS('Outages (event ledger)'!$H$2:$H$65,'Outages (event ledger)'!$A$2:$A$65,Z$2,'Outages (event ledger)'!$E$2:$E$65,"&lt;="&amp;$B80,'Outages (event ledger)'!$G$2:$G$65,"&gt;="&amp;$B80)</f>
        <v>5</v>
      </c>
      <c r="AA80" s="26" t="n">
        <f aca="false">SUMIFS('Outages (event ledger)'!$H$2:$H$65,'Outages (event ledger)'!$A$2:$A$65,AA$2,'Outages (event ledger)'!$E$2:$E$65,"&lt;="&amp;$B80,'Outages (event ledger)'!$G$2:$G$65,"&gt;="&amp;$B80)</f>
        <v>0</v>
      </c>
      <c r="AB80" s="26" t="n">
        <f aca="false">SUMIFS('Outages (event ledger)'!$H$2:$H$65,'Outages (event ledger)'!$A$2:$A$65,AB$2,'Outages (event ledger)'!$E$2:$E$65,"&lt;="&amp;$B80,'Outages (event ledger)'!$G$2:$G$65,"&gt;="&amp;$B80)</f>
        <v>8</v>
      </c>
      <c r="AC80" s="26" t="n">
        <f aca="false">SUMIFS('Outages (event ledger)'!$H$2:$H$65,'Outages (event ledger)'!$A$2:$A$65,AC$2,'Outages (event ledger)'!$E$2:$E$65,"&lt;="&amp;$B80,'Outages (event ledger)'!$G$2:$G$65,"&gt;="&amp;$B80)</f>
        <v>0</v>
      </c>
      <c r="AD80" s="26" t="n">
        <f aca="false">SUMIFS('Outages (event ledger)'!$H$2:$H$65,'Outages (event ledger)'!$A$2:$A$65,AD$2,'Outages (event ledger)'!$E$2:$E$65,"&lt;="&amp;$B80,'Outages (event ledger)'!$G$2:$G$65,"&gt;="&amp;$B80)</f>
        <v>0</v>
      </c>
      <c r="AE80" s="26" t="n">
        <f aca="false">SUMIFS('Outages (event ledger)'!$H$2:$H$65,'Outages (event ledger)'!$A$2:$A$65,AE$2,'Outages (event ledger)'!$E$2:$E$65,"&lt;="&amp;$B80,'Outages (event ledger)'!$G$2:$G$65,"&gt;="&amp;$B80)</f>
        <v>0</v>
      </c>
      <c r="AF80" s="26" t="n">
        <f aca="false">SUMIFS('Outages (event ledger)'!$H$2:$H$65,'Outages (event ledger)'!$A$2:$A$65,AF$2,'Outages (event ledger)'!$E$2:$E$65,"&lt;="&amp;$B80,'Outages (event ledger)'!$G$2:$G$65,"&gt;="&amp;$B80)</f>
        <v>0</v>
      </c>
      <c r="AG80" s="26" t="n">
        <f aca="false">SUMIFS('Outages (event ledger)'!$H$2:$H$65,'Outages (event ledger)'!$A$2:$A$65,AG$2,'Outages (event ledger)'!$E$2:$E$65,"&lt;="&amp;$B80,'Outages (event ledger)'!$G$2:$G$65,"&gt;="&amp;$B80)</f>
        <v>0</v>
      </c>
      <c r="AH80" s="26" t="n">
        <f aca="false">SUMIFS('Outages (event ledger)'!$H$2:$H$65,'Outages (event ledger)'!$A$2:$A$65,AH$2,'Outages (event ledger)'!$E$2:$E$65,"&lt;="&amp;$B80,'Outages (event ledger)'!$G$2:$G$65,"&gt;="&amp;$B80)</f>
        <v>0</v>
      </c>
      <c r="AI80" s="26" t="n">
        <f aca="false">SUMIFS('Outages (event ledger)'!$H$2:$H$65,'Outages (event ledger)'!$A$2:$A$65,AI$2,'Outages (event ledger)'!$E$2:$E$65,"&lt;="&amp;$B80,'Outages (event ledger)'!$G$2:$G$65,"&gt;="&amp;$B80)</f>
        <v>0</v>
      </c>
      <c r="AJ80" s="26" t="n">
        <f aca="false">SUMIFS('Outages (event ledger)'!$H$2:$H$65,'Outages (event ledger)'!$A$2:$A$65,AJ$2,'Outages (event ledger)'!$E$2:$E$65,"&lt;="&amp;$B80,'Outages (event ledger)'!$G$2:$G$65,"&gt;="&amp;$B80)</f>
        <v>0</v>
      </c>
      <c r="AK80" s="26" t="n">
        <f aca="false">SUMIFS('Outages (event ledger)'!$H$2:$H$65,'Outages (event ledger)'!$A$2:$A$65,AK$2,'Outages (event ledger)'!$E$2:$E$65,"&lt;="&amp;$B80,'Outages (event ledger)'!$G$2:$G$65,"&gt;="&amp;$B80)</f>
        <v>0</v>
      </c>
      <c r="AL80" s="26" t="n">
        <f aca="false">SUMIFS('Outages (event ledger)'!$H$2:$H$65,'Outages (event ledger)'!$A$2:$A$65,AL$2,'Outages (event ledger)'!$E$2:$E$65,"&lt;="&amp;$B80,'Outages (event ledger)'!$G$2:$G$65,"&gt;="&amp;$B80)</f>
        <v>3.5</v>
      </c>
      <c r="AM80" s="26" t="n">
        <f aca="false">SUMIFS('Outages (event ledger)'!$H$2:$H$65,'Outages (event ledger)'!$A$2:$A$65,AM$2,'Outages (event ledger)'!$E$2:$E$65,"&lt;="&amp;$B80,'Outages (event ledger)'!$G$2:$G$65,"&gt;="&amp;$B80)</f>
        <v>0</v>
      </c>
      <c r="AN80" s="26" t="n">
        <f aca="false">SUMIFS('Outages (event ledger)'!$H$2:$H$65,'Outages (event ledger)'!$A$2:$A$65,AN$2,'Outages (event ledger)'!$E$2:$E$65,"&lt;="&amp;$B80,'Outages (event ledger)'!$G$2:$G$65,"&gt;="&amp;$B80)</f>
        <v>0</v>
      </c>
      <c r="AO80" s="26" t="n">
        <f aca="false">SUMIFS('Outages (event ledger)'!$H$2:$H$65,'Outages (event ledger)'!$A$2:$A$65,AO$2,'Outages (event ledger)'!$E$2:$E$65,"&lt;="&amp;$B80,'Outages (event ledger)'!$G$2:$G$65,"&gt;="&amp;$B80)</f>
        <v>0</v>
      </c>
      <c r="AP80" s="26" t="n">
        <f aca="false">SUMIFS('Outages (event ledger)'!$H$2:$H$65,'Outages (event ledger)'!$A$2:$A$65,AP$2,'Outages (event ledger)'!$E$2:$E$65,"&lt;="&amp;$B80,'Outages (event ledger)'!$G$2:$G$65,"&gt;="&amp;$B80)</f>
        <v>0</v>
      </c>
      <c r="AQ80" s="26" t="n">
        <f aca="false">SUMIFS('Outages (event ledger)'!$H$2:$H$65,'Outages (event ledger)'!$A$2:$A$65,AQ$2,'Outages (event ledger)'!$E$2:$E$65,"&lt;="&amp;$B80,'Outages (event ledger)'!$G$2:$G$65,"&gt;="&amp;$B80)</f>
        <v>0</v>
      </c>
      <c r="AR80" s="26" t="n">
        <f aca="false">SUMIFS('Outages (event ledger)'!$H$2:$H$65,'Outages (event ledger)'!$A$2:$A$65,AR$2,'Outages (event ledger)'!$E$2:$E$65,"&lt;="&amp;$B80,'Outages (event ledger)'!$G$2:$G$65,"&gt;="&amp;$B80)</f>
        <v>0</v>
      </c>
      <c r="AS80" s="26" t="n">
        <f aca="false">SUMIFS('Outages (event ledger)'!$H$2:$H$65,'Outages (event ledger)'!$A$2:$A$65,AS$2,'Outages (event ledger)'!$E$2:$E$65,"&lt;="&amp;$B80,'Outages (event ledger)'!$G$2:$G$65,"&gt;="&amp;$B80)</f>
        <v>0</v>
      </c>
      <c r="AT80" s="26" t="n">
        <f aca="false">SUMIFS('Outages (event ledger)'!$H$2:$H$65,'Outages (event ledger)'!$A$2:$A$65,AT$2,'Outages (event ledger)'!$E$2:$E$65,"&lt;="&amp;$B80,'Outages (event ledger)'!$G$2:$G$65,"&gt;="&amp;$B80)</f>
        <v>0</v>
      </c>
      <c r="AU80" s="26" t="n">
        <f aca="false">SUMIFS('Outages (event ledger)'!$H$2:$H$65,'Outages (event ledger)'!$A$2:$A$65,AU$2,'Outages (event ledger)'!$E$2:$E$65,"&lt;="&amp;$B80,'Outages (event ledger)'!$G$2:$G$65,"&gt;="&amp;$B80)</f>
        <v>0</v>
      </c>
      <c r="AV80" s="26" t="n">
        <f aca="false">SUMIFS('Outages (event ledger)'!$H$2:$H$65,'Outages (event ledger)'!$A$2:$A$65,AV$2,'Outages (event ledger)'!$E$2:$E$65,"&lt;="&amp;$B80,'Outages (event ledger)'!$G$2:$G$65,"&gt;="&amp;$B80)</f>
        <v>0</v>
      </c>
      <c r="AW80" s="26" t="n">
        <f aca="false">SUMIFS('Outages (event ledger)'!$H$2:$H$65,'Outages (event ledger)'!$A$2:$A$65,AW$2,'Outages (event ledger)'!$E$2:$E$65,"&lt;="&amp;$B80,'Outages (event ledger)'!$G$2:$G$65,"&gt;="&amp;$B80)</f>
        <v>0</v>
      </c>
      <c r="AX80" s="26" t="n">
        <f aca="false">SUMIFS('Outages (event ledger)'!$H$2:$H$65,'Outages (event ledger)'!$A$2:$A$65,AX$2,'Outages (event ledger)'!$E$2:$E$65,"&lt;="&amp;$B80,'Outages (event ledger)'!$G$2:$G$65,"&gt;="&amp;$B80)</f>
        <v>0</v>
      </c>
      <c r="AY80" s="26" t="n">
        <f aca="false">SUMIFS('Outages (event ledger)'!$H$2:$H$65,'Outages (event ledger)'!$A$2:$A$65,AY$2,'Outages (event ledger)'!$E$2:$E$65,"&lt;="&amp;$B80,'Outages (event ledger)'!$G$2:$G$65,"&gt;="&amp;$B80)</f>
        <v>0</v>
      </c>
      <c r="AZ80" s="26" t="n">
        <f aca="false">SUMIFS('Outages (event ledger)'!$H$2:$H$65,'Outages (event ledger)'!$A$2:$A$65,AZ$2,'Outages (event ledger)'!$E$2:$E$65,"&lt;="&amp;$B80,'Outages (event ledger)'!$G$2:$G$65,"&gt;="&amp;$B80)</f>
        <v>0</v>
      </c>
      <c r="BA80" s="26" t="n">
        <f aca="false">SUMIFS('Outages (event ledger)'!$H$2:$H$65,'Outages (event ledger)'!$A$2:$A$65,BA$2,'Outages (event ledger)'!$E$2:$E$65,"&lt;="&amp;$B80,'Outages (event ledger)'!$G$2:$G$65,"&gt;="&amp;$B80)</f>
        <v>0</v>
      </c>
      <c r="BB80" s="26" t="n">
        <f aca="false">SUMIFS('Outages (event ledger)'!$H$2:$H$65,'Outages (event ledger)'!$A$2:$A$65,BB$2,'Outages (event ledger)'!$E$2:$E$65,"&lt;="&amp;$B80,'Outages (event ledger)'!$G$2:$G$65,"&gt;="&amp;$B80)</f>
        <v>0</v>
      </c>
      <c r="BC80" s="26" t="n">
        <f aca="false">SUMIFS('Outages (event ledger)'!$H$2:$H$65,'Outages (event ledger)'!$A$2:$A$65,BC$2,'Outages (event ledger)'!$E$2:$E$65,"&lt;="&amp;$B80,'Outages (event ledger)'!$G$2:$G$65,"&gt;="&amp;$B80)</f>
        <v>0</v>
      </c>
      <c r="BD80" s="26" t="n">
        <f aca="false">SUMIFS('Outages (event ledger)'!$H$2:$H$65,'Outages (event ledger)'!$A$2:$A$65,BD$2,'Outages (event ledger)'!$E$2:$E$65,"&lt;="&amp;$B80,'Outages (event ledger)'!$G$2:$G$65,"&gt;="&amp;$B80)</f>
        <v>0</v>
      </c>
      <c r="BE80" s="26" t="n">
        <f aca="false">SUMIFS('Outages (event ledger)'!$H$2:$H$65,'Outages (event ledger)'!$A$2:$A$65,BE$2,'Outages (event ledger)'!$E$2:$E$65,"&lt;="&amp;$B80,'Outages (event ledger)'!$G$2:$G$65,"&gt;="&amp;$B80)</f>
        <v>0</v>
      </c>
      <c r="BF80" s="26" t="n">
        <f aca="false">SUMIFS('Outages (event ledger)'!$H$2:$H$65,'Outages (event ledger)'!$A$2:$A$65,BF$2,'Outages (event ledger)'!$E$2:$E$65,"&lt;="&amp;$B80,'Outages (event ledger)'!$G$2:$G$65,"&gt;="&amp;$B80)</f>
        <v>0</v>
      </c>
      <c r="BG80" s="26" t="n">
        <f aca="false">SUMIFS('Outages (event ledger)'!$H$2:$H$65,'Outages (event ledger)'!$A$2:$A$65,BG$2,'Outages (event ledger)'!$E$2:$E$65,"&lt;="&amp;$B80,'Outages (event ledger)'!$G$2:$G$65,"&gt;="&amp;$B80)</f>
        <v>0</v>
      </c>
      <c r="BH80" s="26" t="n">
        <f aca="false">SUMIFS('Outages (event ledger)'!$H$2:$H$65,'Outages (event ledger)'!$A$2:$A$65,BH$2,'Outages (event ledger)'!$E$2:$E$65,"&lt;="&amp;$B80,'Outages (event ledger)'!$G$2:$G$65,"&gt;="&amp;$B80)</f>
        <v>0</v>
      </c>
      <c r="BI80" s="26" t="n">
        <f aca="false">SUMIFS('Outages (event ledger)'!$H$2:$H$65,'Outages (event ledger)'!$A$2:$A$65,BI$2,'Outages (event ledger)'!$E$2:$E$65,"&lt;="&amp;$B80,'Outages (event ledger)'!$G$2:$G$65,"&gt;="&amp;$B80)</f>
        <v>6.7</v>
      </c>
    </row>
    <row r="81" customFormat="false" ht="15" hidden="false" customHeight="false" outlineLevel="0" collapsed="false">
      <c r="A81" s="23" t="n">
        <v>42552</v>
      </c>
      <c r="B81" s="24" t="n">
        <v>201607</v>
      </c>
      <c r="C81" s="25" t="n">
        <f aca="false">SUM(D81:BI81)</f>
        <v>33.4</v>
      </c>
      <c r="D81" s="26" t="n">
        <f aca="false">SUMIFS('Outages (event ledger)'!$H$2:$H$65,'Outages (event ledger)'!$A$2:$A$65,D$2,'Outages (event ledger)'!$E$2:$E$65,"&lt;="&amp;$B81,'Outages (event ledger)'!$G$2:$G$65,"&gt;="&amp;$B81)</f>
        <v>0</v>
      </c>
      <c r="E81" s="26" t="n">
        <f aca="false">SUMIFS('Outages (event ledger)'!$H$2:$H$65,'Outages (event ledger)'!$A$2:$A$65,E$2,'Outages (event ledger)'!$E$2:$E$65,"&lt;="&amp;$B81,'Outages (event ledger)'!$G$2:$G$65,"&gt;="&amp;$B81)</f>
        <v>0</v>
      </c>
      <c r="F81" s="26" t="n">
        <f aca="false">SUMIFS('Outages (event ledger)'!$H$2:$H$65,'Outages (event ledger)'!$A$2:$A$65,F$2,'Outages (event ledger)'!$E$2:$E$65,"&lt;="&amp;$B81,'Outages (event ledger)'!$G$2:$G$65,"&gt;="&amp;$B81)</f>
        <v>0</v>
      </c>
      <c r="G81" s="26" t="n">
        <f aca="false">SUMIFS('Outages (event ledger)'!$H$2:$H$65,'Outages (event ledger)'!$A$2:$A$65,G$2,'Outages (event ledger)'!$E$2:$E$65,"&lt;="&amp;$B81,'Outages (event ledger)'!$G$2:$G$65,"&gt;="&amp;$B81)</f>
        <v>0</v>
      </c>
      <c r="H81" s="26" t="n">
        <f aca="false">SUMIFS('Outages (event ledger)'!$H$2:$H$65,'Outages (event ledger)'!$A$2:$A$65,H$2,'Outages (event ledger)'!$E$2:$E$65,"&lt;="&amp;$B81,'Outages (event ledger)'!$G$2:$G$65,"&gt;="&amp;$B81)</f>
        <v>0</v>
      </c>
      <c r="I81" s="26" t="n">
        <f aca="false">SUMIFS('Outages (event ledger)'!$H$2:$H$65,'Outages (event ledger)'!$A$2:$A$65,I$2,'Outages (event ledger)'!$E$2:$E$65,"&lt;="&amp;$B81,'Outages (event ledger)'!$G$2:$G$65,"&gt;="&amp;$B81)</f>
        <v>0</v>
      </c>
      <c r="J81" s="26" t="n">
        <f aca="false">SUMIFS('Outages (event ledger)'!$H$2:$H$65,'Outages (event ledger)'!$A$2:$A$65,J$2,'Outages (event ledger)'!$E$2:$E$65,"&lt;="&amp;$B81,'Outages (event ledger)'!$G$2:$G$65,"&gt;="&amp;$B81)</f>
        <v>0</v>
      </c>
      <c r="K81" s="26" t="n">
        <f aca="false">SUMIFS('Outages (event ledger)'!$H$2:$H$65,'Outages (event ledger)'!$A$2:$A$65,K$2,'Outages (event ledger)'!$E$2:$E$65,"&lt;="&amp;$B81,'Outages (event ledger)'!$G$2:$G$65,"&gt;="&amp;$B81)</f>
        <v>0</v>
      </c>
      <c r="L81" s="26" t="n">
        <f aca="false">SUMIFS('Outages (event ledger)'!$H$2:$H$65,'Outages (event ledger)'!$A$2:$A$65,L$2,'Outages (event ledger)'!$E$2:$E$65,"&lt;="&amp;$B81,'Outages (event ledger)'!$G$2:$G$65,"&gt;="&amp;$B81)</f>
        <v>5.2</v>
      </c>
      <c r="M81" s="26" t="n">
        <f aca="false">SUMIFS('Outages (event ledger)'!$H$2:$H$65,'Outages (event ledger)'!$A$2:$A$65,M$2,'Outages (event ledger)'!$E$2:$E$65,"&lt;="&amp;$B81,'Outages (event ledger)'!$G$2:$G$65,"&gt;="&amp;$B81)</f>
        <v>0</v>
      </c>
      <c r="N81" s="26" t="n">
        <f aca="false">SUMIFS('Outages (event ledger)'!$H$2:$H$65,'Outages (event ledger)'!$A$2:$A$65,N$2,'Outages (event ledger)'!$E$2:$E$65,"&lt;="&amp;$B81,'Outages (event ledger)'!$G$2:$G$65,"&gt;="&amp;$B81)</f>
        <v>0</v>
      </c>
      <c r="O81" s="26" t="n">
        <f aca="false">SUMIFS('Outages (event ledger)'!$H$2:$H$65,'Outages (event ledger)'!$A$2:$A$65,O$2,'Outages (event ledger)'!$E$2:$E$65,"&lt;="&amp;$B81,'Outages (event ledger)'!$G$2:$G$65,"&gt;="&amp;$B81)</f>
        <v>0</v>
      </c>
      <c r="P81" s="26" t="n">
        <f aca="false">SUMIFS('Outages (event ledger)'!$H$2:$H$65,'Outages (event ledger)'!$A$2:$A$65,P$2,'Outages (event ledger)'!$E$2:$E$65,"&lt;="&amp;$B81,'Outages (event ledger)'!$G$2:$G$65,"&gt;="&amp;$B81)</f>
        <v>0</v>
      </c>
      <c r="Q81" s="26" t="n">
        <f aca="false">SUMIFS('Outages (event ledger)'!$H$2:$H$65,'Outages (event ledger)'!$A$2:$A$65,Q$2,'Outages (event ledger)'!$E$2:$E$65,"&lt;="&amp;$B81,'Outages (event ledger)'!$G$2:$G$65,"&gt;="&amp;$B81)</f>
        <v>0</v>
      </c>
      <c r="R81" s="26" t="n">
        <f aca="false">SUMIFS('Outages (event ledger)'!$H$2:$H$65,'Outages (event ledger)'!$A$2:$A$65,R$2,'Outages (event ledger)'!$E$2:$E$65,"&lt;="&amp;$B81,'Outages (event ledger)'!$G$2:$G$65,"&gt;="&amp;$B81)</f>
        <v>0</v>
      </c>
      <c r="S81" s="26" t="n">
        <f aca="false">SUMIFS('Outages (event ledger)'!$H$2:$H$65,'Outages (event ledger)'!$A$2:$A$65,S$2,'Outages (event ledger)'!$E$2:$E$65,"&lt;="&amp;$B81,'Outages (event ledger)'!$G$2:$G$65,"&gt;="&amp;$B81)</f>
        <v>0</v>
      </c>
      <c r="T81" s="26" t="n">
        <f aca="false">SUMIFS('Outages (event ledger)'!$H$2:$H$65,'Outages (event ledger)'!$A$2:$A$65,T$2,'Outages (event ledger)'!$E$2:$E$65,"&lt;="&amp;$B81,'Outages (event ledger)'!$G$2:$G$65,"&gt;="&amp;$B81)</f>
        <v>0</v>
      </c>
      <c r="U81" s="26" t="n">
        <f aca="false">SUMIFS('Outages (event ledger)'!$H$2:$H$65,'Outages (event ledger)'!$A$2:$A$65,U$2,'Outages (event ledger)'!$E$2:$E$65,"&lt;="&amp;$B81,'Outages (event ledger)'!$G$2:$G$65,"&gt;="&amp;$B81)</f>
        <v>0</v>
      </c>
      <c r="V81" s="26" t="n">
        <f aca="false">SUMIFS('Outages (event ledger)'!$H$2:$H$65,'Outages (event ledger)'!$A$2:$A$65,V$2,'Outages (event ledger)'!$E$2:$E$65,"&lt;="&amp;$B81,'Outages (event ledger)'!$G$2:$G$65,"&gt;="&amp;$B81)</f>
        <v>0</v>
      </c>
      <c r="W81" s="26" t="n">
        <f aca="false">SUMIFS('Outages (event ledger)'!$H$2:$H$65,'Outages (event ledger)'!$A$2:$A$65,W$2,'Outages (event ledger)'!$E$2:$E$65,"&lt;="&amp;$B81,'Outages (event ledger)'!$G$2:$G$65,"&gt;="&amp;$B81)</f>
        <v>0</v>
      </c>
      <c r="X81" s="26" t="n">
        <f aca="false">SUMIFS('Outages (event ledger)'!$H$2:$H$65,'Outages (event ledger)'!$A$2:$A$65,X$2,'Outages (event ledger)'!$E$2:$E$65,"&lt;="&amp;$B81,'Outages (event ledger)'!$G$2:$G$65,"&gt;="&amp;$B81)</f>
        <v>0</v>
      </c>
      <c r="Y81" s="26" t="n">
        <f aca="false">SUMIFS('Outages (event ledger)'!$H$2:$H$65,'Outages (event ledger)'!$A$2:$A$65,Y$2,'Outages (event ledger)'!$E$2:$E$65,"&lt;="&amp;$B81,'Outages (event ledger)'!$G$2:$G$65,"&gt;="&amp;$B81)</f>
        <v>5</v>
      </c>
      <c r="Z81" s="26" t="n">
        <f aca="false">SUMIFS('Outages (event ledger)'!$H$2:$H$65,'Outages (event ledger)'!$A$2:$A$65,Z$2,'Outages (event ledger)'!$E$2:$E$65,"&lt;="&amp;$B81,'Outages (event ledger)'!$G$2:$G$65,"&gt;="&amp;$B81)</f>
        <v>5</v>
      </c>
      <c r="AA81" s="26" t="n">
        <f aca="false">SUMIFS('Outages (event ledger)'!$H$2:$H$65,'Outages (event ledger)'!$A$2:$A$65,AA$2,'Outages (event ledger)'!$E$2:$E$65,"&lt;="&amp;$B81,'Outages (event ledger)'!$G$2:$G$65,"&gt;="&amp;$B81)</f>
        <v>0</v>
      </c>
      <c r="AB81" s="26" t="n">
        <f aca="false">SUMIFS('Outages (event ledger)'!$H$2:$H$65,'Outages (event ledger)'!$A$2:$A$65,AB$2,'Outages (event ledger)'!$E$2:$E$65,"&lt;="&amp;$B81,'Outages (event ledger)'!$G$2:$G$65,"&gt;="&amp;$B81)</f>
        <v>8</v>
      </c>
      <c r="AC81" s="26" t="n">
        <f aca="false">SUMIFS('Outages (event ledger)'!$H$2:$H$65,'Outages (event ledger)'!$A$2:$A$65,AC$2,'Outages (event ledger)'!$E$2:$E$65,"&lt;="&amp;$B81,'Outages (event ledger)'!$G$2:$G$65,"&gt;="&amp;$B81)</f>
        <v>0</v>
      </c>
      <c r="AD81" s="26" t="n">
        <f aca="false">SUMIFS('Outages (event ledger)'!$H$2:$H$65,'Outages (event ledger)'!$A$2:$A$65,AD$2,'Outages (event ledger)'!$E$2:$E$65,"&lt;="&amp;$B81,'Outages (event ledger)'!$G$2:$G$65,"&gt;="&amp;$B81)</f>
        <v>0</v>
      </c>
      <c r="AE81" s="26" t="n">
        <f aca="false">SUMIFS('Outages (event ledger)'!$H$2:$H$65,'Outages (event ledger)'!$A$2:$A$65,AE$2,'Outages (event ledger)'!$E$2:$E$65,"&lt;="&amp;$B81,'Outages (event ledger)'!$G$2:$G$65,"&gt;="&amp;$B81)</f>
        <v>0</v>
      </c>
      <c r="AF81" s="26" t="n">
        <f aca="false">SUMIFS('Outages (event ledger)'!$H$2:$H$65,'Outages (event ledger)'!$A$2:$A$65,AF$2,'Outages (event ledger)'!$E$2:$E$65,"&lt;="&amp;$B81,'Outages (event ledger)'!$G$2:$G$65,"&gt;="&amp;$B81)</f>
        <v>0</v>
      </c>
      <c r="AG81" s="26" t="n">
        <f aca="false">SUMIFS('Outages (event ledger)'!$H$2:$H$65,'Outages (event ledger)'!$A$2:$A$65,AG$2,'Outages (event ledger)'!$E$2:$E$65,"&lt;="&amp;$B81,'Outages (event ledger)'!$G$2:$G$65,"&gt;="&amp;$B81)</f>
        <v>0</v>
      </c>
      <c r="AH81" s="26" t="n">
        <f aca="false">SUMIFS('Outages (event ledger)'!$H$2:$H$65,'Outages (event ledger)'!$A$2:$A$65,AH$2,'Outages (event ledger)'!$E$2:$E$65,"&lt;="&amp;$B81,'Outages (event ledger)'!$G$2:$G$65,"&gt;="&amp;$B81)</f>
        <v>0</v>
      </c>
      <c r="AI81" s="26" t="n">
        <f aca="false">SUMIFS('Outages (event ledger)'!$H$2:$H$65,'Outages (event ledger)'!$A$2:$A$65,AI$2,'Outages (event ledger)'!$E$2:$E$65,"&lt;="&amp;$B81,'Outages (event ledger)'!$G$2:$G$65,"&gt;="&amp;$B81)</f>
        <v>0</v>
      </c>
      <c r="AJ81" s="26" t="n">
        <f aca="false">SUMIFS('Outages (event ledger)'!$H$2:$H$65,'Outages (event ledger)'!$A$2:$A$65,AJ$2,'Outages (event ledger)'!$E$2:$E$65,"&lt;="&amp;$B81,'Outages (event ledger)'!$G$2:$G$65,"&gt;="&amp;$B81)</f>
        <v>0</v>
      </c>
      <c r="AK81" s="26" t="n">
        <f aca="false">SUMIFS('Outages (event ledger)'!$H$2:$H$65,'Outages (event ledger)'!$A$2:$A$65,AK$2,'Outages (event ledger)'!$E$2:$E$65,"&lt;="&amp;$B81,'Outages (event ledger)'!$G$2:$G$65,"&gt;="&amp;$B81)</f>
        <v>0</v>
      </c>
      <c r="AL81" s="26" t="n">
        <f aca="false">SUMIFS('Outages (event ledger)'!$H$2:$H$65,'Outages (event ledger)'!$A$2:$A$65,AL$2,'Outages (event ledger)'!$E$2:$E$65,"&lt;="&amp;$B81,'Outages (event ledger)'!$G$2:$G$65,"&gt;="&amp;$B81)</f>
        <v>3.5</v>
      </c>
      <c r="AM81" s="26" t="n">
        <f aca="false">SUMIFS('Outages (event ledger)'!$H$2:$H$65,'Outages (event ledger)'!$A$2:$A$65,AM$2,'Outages (event ledger)'!$E$2:$E$65,"&lt;="&amp;$B81,'Outages (event ledger)'!$G$2:$G$65,"&gt;="&amp;$B81)</f>
        <v>0</v>
      </c>
      <c r="AN81" s="26" t="n">
        <f aca="false">SUMIFS('Outages (event ledger)'!$H$2:$H$65,'Outages (event ledger)'!$A$2:$A$65,AN$2,'Outages (event ledger)'!$E$2:$E$65,"&lt;="&amp;$B81,'Outages (event ledger)'!$G$2:$G$65,"&gt;="&amp;$B81)</f>
        <v>0</v>
      </c>
      <c r="AO81" s="26" t="n">
        <f aca="false">SUMIFS('Outages (event ledger)'!$H$2:$H$65,'Outages (event ledger)'!$A$2:$A$65,AO$2,'Outages (event ledger)'!$E$2:$E$65,"&lt;="&amp;$B81,'Outages (event ledger)'!$G$2:$G$65,"&gt;="&amp;$B81)</f>
        <v>0</v>
      </c>
      <c r="AP81" s="26" t="n">
        <f aca="false">SUMIFS('Outages (event ledger)'!$H$2:$H$65,'Outages (event ledger)'!$A$2:$A$65,AP$2,'Outages (event ledger)'!$E$2:$E$65,"&lt;="&amp;$B81,'Outages (event ledger)'!$G$2:$G$65,"&gt;="&amp;$B81)</f>
        <v>0</v>
      </c>
      <c r="AQ81" s="26" t="n">
        <f aca="false">SUMIFS('Outages (event ledger)'!$H$2:$H$65,'Outages (event ledger)'!$A$2:$A$65,AQ$2,'Outages (event ledger)'!$E$2:$E$65,"&lt;="&amp;$B81,'Outages (event ledger)'!$G$2:$G$65,"&gt;="&amp;$B81)</f>
        <v>0</v>
      </c>
      <c r="AR81" s="26" t="n">
        <f aca="false">SUMIFS('Outages (event ledger)'!$H$2:$H$65,'Outages (event ledger)'!$A$2:$A$65,AR$2,'Outages (event ledger)'!$E$2:$E$65,"&lt;="&amp;$B81,'Outages (event ledger)'!$G$2:$G$65,"&gt;="&amp;$B81)</f>
        <v>0</v>
      </c>
      <c r="AS81" s="26" t="n">
        <f aca="false">SUMIFS('Outages (event ledger)'!$H$2:$H$65,'Outages (event ledger)'!$A$2:$A$65,AS$2,'Outages (event ledger)'!$E$2:$E$65,"&lt;="&amp;$B81,'Outages (event ledger)'!$G$2:$G$65,"&gt;="&amp;$B81)</f>
        <v>0</v>
      </c>
      <c r="AT81" s="26" t="n">
        <f aca="false">SUMIFS('Outages (event ledger)'!$H$2:$H$65,'Outages (event ledger)'!$A$2:$A$65,AT$2,'Outages (event ledger)'!$E$2:$E$65,"&lt;="&amp;$B81,'Outages (event ledger)'!$G$2:$G$65,"&gt;="&amp;$B81)</f>
        <v>0</v>
      </c>
      <c r="AU81" s="26" t="n">
        <f aca="false">SUMIFS('Outages (event ledger)'!$H$2:$H$65,'Outages (event ledger)'!$A$2:$A$65,AU$2,'Outages (event ledger)'!$E$2:$E$65,"&lt;="&amp;$B81,'Outages (event ledger)'!$G$2:$G$65,"&gt;="&amp;$B81)</f>
        <v>0</v>
      </c>
      <c r="AV81" s="26" t="n">
        <f aca="false">SUMIFS('Outages (event ledger)'!$H$2:$H$65,'Outages (event ledger)'!$A$2:$A$65,AV$2,'Outages (event ledger)'!$E$2:$E$65,"&lt;="&amp;$B81,'Outages (event ledger)'!$G$2:$G$65,"&gt;="&amp;$B81)</f>
        <v>0</v>
      </c>
      <c r="AW81" s="26" t="n">
        <f aca="false">SUMIFS('Outages (event ledger)'!$H$2:$H$65,'Outages (event ledger)'!$A$2:$A$65,AW$2,'Outages (event ledger)'!$E$2:$E$65,"&lt;="&amp;$B81,'Outages (event ledger)'!$G$2:$G$65,"&gt;="&amp;$B81)</f>
        <v>0</v>
      </c>
      <c r="AX81" s="26" t="n">
        <f aca="false">SUMIFS('Outages (event ledger)'!$H$2:$H$65,'Outages (event ledger)'!$A$2:$A$65,AX$2,'Outages (event ledger)'!$E$2:$E$65,"&lt;="&amp;$B81,'Outages (event ledger)'!$G$2:$G$65,"&gt;="&amp;$B81)</f>
        <v>0</v>
      </c>
      <c r="AY81" s="26" t="n">
        <f aca="false">SUMIFS('Outages (event ledger)'!$H$2:$H$65,'Outages (event ledger)'!$A$2:$A$65,AY$2,'Outages (event ledger)'!$E$2:$E$65,"&lt;="&amp;$B81,'Outages (event ledger)'!$G$2:$G$65,"&gt;="&amp;$B81)</f>
        <v>0</v>
      </c>
      <c r="AZ81" s="26" t="n">
        <f aca="false">SUMIFS('Outages (event ledger)'!$H$2:$H$65,'Outages (event ledger)'!$A$2:$A$65,AZ$2,'Outages (event ledger)'!$E$2:$E$65,"&lt;="&amp;$B81,'Outages (event ledger)'!$G$2:$G$65,"&gt;="&amp;$B81)</f>
        <v>0</v>
      </c>
      <c r="BA81" s="26" t="n">
        <f aca="false">SUMIFS('Outages (event ledger)'!$H$2:$H$65,'Outages (event ledger)'!$A$2:$A$65,BA$2,'Outages (event ledger)'!$E$2:$E$65,"&lt;="&amp;$B81,'Outages (event ledger)'!$G$2:$G$65,"&gt;="&amp;$B81)</f>
        <v>0</v>
      </c>
      <c r="BB81" s="26" t="n">
        <f aca="false">SUMIFS('Outages (event ledger)'!$H$2:$H$65,'Outages (event ledger)'!$A$2:$A$65,BB$2,'Outages (event ledger)'!$E$2:$E$65,"&lt;="&amp;$B81,'Outages (event ledger)'!$G$2:$G$65,"&gt;="&amp;$B81)</f>
        <v>0</v>
      </c>
      <c r="BC81" s="26" t="n">
        <f aca="false">SUMIFS('Outages (event ledger)'!$H$2:$H$65,'Outages (event ledger)'!$A$2:$A$65,BC$2,'Outages (event ledger)'!$E$2:$E$65,"&lt;="&amp;$B81,'Outages (event ledger)'!$G$2:$G$65,"&gt;="&amp;$B81)</f>
        <v>0</v>
      </c>
      <c r="BD81" s="26" t="n">
        <f aca="false">SUMIFS('Outages (event ledger)'!$H$2:$H$65,'Outages (event ledger)'!$A$2:$A$65,BD$2,'Outages (event ledger)'!$E$2:$E$65,"&lt;="&amp;$B81,'Outages (event ledger)'!$G$2:$G$65,"&gt;="&amp;$B81)</f>
        <v>0</v>
      </c>
      <c r="BE81" s="26" t="n">
        <f aca="false">SUMIFS('Outages (event ledger)'!$H$2:$H$65,'Outages (event ledger)'!$A$2:$A$65,BE$2,'Outages (event ledger)'!$E$2:$E$65,"&lt;="&amp;$B81,'Outages (event ledger)'!$G$2:$G$65,"&gt;="&amp;$B81)</f>
        <v>0</v>
      </c>
      <c r="BF81" s="26" t="n">
        <f aca="false">SUMIFS('Outages (event ledger)'!$H$2:$H$65,'Outages (event ledger)'!$A$2:$A$65,BF$2,'Outages (event ledger)'!$E$2:$E$65,"&lt;="&amp;$B81,'Outages (event ledger)'!$G$2:$G$65,"&gt;="&amp;$B81)</f>
        <v>0</v>
      </c>
      <c r="BG81" s="26" t="n">
        <f aca="false">SUMIFS('Outages (event ledger)'!$H$2:$H$65,'Outages (event ledger)'!$A$2:$A$65,BG$2,'Outages (event ledger)'!$E$2:$E$65,"&lt;="&amp;$B81,'Outages (event ledger)'!$G$2:$G$65,"&gt;="&amp;$B81)</f>
        <v>0</v>
      </c>
      <c r="BH81" s="26" t="n">
        <f aca="false">SUMIFS('Outages (event ledger)'!$H$2:$H$65,'Outages (event ledger)'!$A$2:$A$65,BH$2,'Outages (event ledger)'!$E$2:$E$65,"&lt;="&amp;$B81,'Outages (event ledger)'!$G$2:$G$65,"&gt;="&amp;$B81)</f>
        <v>0</v>
      </c>
      <c r="BI81" s="26" t="n">
        <f aca="false">SUMIFS('Outages (event ledger)'!$H$2:$H$65,'Outages (event ledger)'!$A$2:$A$65,BI$2,'Outages (event ledger)'!$E$2:$E$65,"&lt;="&amp;$B81,'Outages (event ledger)'!$G$2:$G$65,"&gt;="&amp;$B81)</f>
        <v>6.7</v>
      </c>
    </row>
    <row r="82" customFormat="false" ht="15" hidden="false" customHeight="false" outlineLevel="0" collapsed="false">
      <c r="A82" s="23" t="n">
        <v>42583</v>
      </c>
      <c r="B82" s="24" t="n">
        <v>201608</v>
      </c>
      <c r="C82" s="25" t="n">
        <f aca="false">SUM(D82:BI82)</f>
        <v>28.2</v>
      </c>
      <c r="D82" s="26" t="n">
        <f aca="false">SUMIFS('Outages (event ledger)'!$H$2:$H$65,'Outages (event ledger)'!$A$2:$A$65,D$2,'Outages (event ledger)'!$E$2:$E$65,"&lt;="&amp;$B82,'Outages (event ledger)'!$G$2:$G$65,"&gt;="&amp;$B82)</f>
        <v>0</v>
      </c>
      <c r="E82" s="26" t="n">
        <f aca="false">SUMIFS('Outages (event ledger)'!$H$2:$H$65,'Outages (event ledger)'!$A$2:$A$65,E$2,'Outages (event ledger)'!$E$2:$E$65,"&lt;="&amp;$B82,'Outages (event ledger)'!$G$2:$G$65,"&gt;="&amp;$B82)</f>
        <v>0</v>
      </c>
      <c r="F82" s="26" t="n">
        <f aca="false">SUMIFS('Outages (event ledger)'!$H$2:$H$65,'Outages (event ledger)'!$A$2:$A$65,F$2,'Outages (event ledger)'!$E$2:$E$65,"&lt;="&amp;$B82,'Outages (event ledger)'!$G$2:$G$65,"&gt;="&amp;$B82)</f>
        <v>0</v>
      </c>
      <c r="G82" s="26" t="n">
        <f aca="false">SUMIFS('Outages (event ledger)'!$H$2:$H$65,'Outages (event ledger)'!$A$2:$A$65,G$2,'Outages (event ledger)'!$E$2:$E$65,"&lt;="&amp;$B82,'Outages (event ledger)'!$G$2:$G$65,"&gt;="&amp;$B82)</f>
        <v>0</v>
      </c>
      <c r="H82" s="26" t="n">
        <f aca="false">SUMIFS('Outages (event ledger)'!$H$2:$H$65,'Outages (event ledger)'!$A$2:$A$65,H$2,'Outages (event ledger)'!$E$2:$E$65,"&lt;="&amp;$B82,'Outages (event ledger)'!$G$2:$G$65,"&gt;="&amp;$B82)</f>
        <v>0</v>
      </c>
      <c r="I82" s="26" t="n">
        <f aca="false">SUMIFS('Outages (event ledger)'!$H$2:$H$65,'Outages (event ledger)'!$A$2:$A$65,I$2,'Outages (event ledger)'!$E$2:$E$65,"&lt;="&amp;$B82,'Outages (event ledger)'!$G$2:$G$65,"&gt;="&amp;$B82)</f>
        <v>0</v>
      </c>
      <c r="J82" s="26" t="n">
        <f aca="false">SUMIFS('Outages (event ledger)'!$H$2:$H$65,'Outages (event ledger)'!$A$2:$A$65,J$2,'Outages (event ledger)'!$E$2:$E$65,"&lt;="&amp;$B82,'Outages (event ledger)'!$G$2:$G$65,"&gt;="&amp;$B82)</f>
        <v>0</v>
      </c>
      <c r="K82" s="26" t="n">
        <f aca="false">SUMIFS('Outages (event ledger)'!$H$2:$H$65,'Outages (event ledger)'!$A$2:$A$65,K$2,'Outages (event ledger)'!$E$2:$E$65,"&lt;="&amp;$B82,'Outages (event ledger)'!$G$2:$G$65,"&gt;="&amp;$B82)</f>
        <v>0</v>
      </c>
      <c r="L82" s="26" t="n">
        <f aca="false">SUMIFS('Outages (event ledger)'!$H$2:$H$65,'Outages (event ledger)'!$A$2:$A$65,L$2,'Outages (event ledger)'!$E$2:$E$65,"&lt;="&amp;$B82,'Outages (event ledger)'!$G$2:$G$65,"&gt;="&amp;$B82)</f>
        <v>0</v>
      </c>
      <c r="M82" s="26" t="n">
        <f aca="false">SUMIFS('Outages (event ledger)'!$H$2:$H$65,'Outages (event ledger)'!$A$2:$A$65,M$2,'Outages (event ledger)'!$E$2:$E$65,"&lt;="&amp;$B82,'Outages (event ledger)'!$G$2:$G$65,"&gt;="&amp;$B82)</f>
        <v>0</v>
      </c>
      <c r="N82" s="26" t="n">
        <f aca="false">SUMIFS('Outages (event ledger)'!$H$2:$H$65,'Outages (event ledger)'!$A$2:$A$65,N$2,'Outages (event ledger)'!$E$2:$E$65,"&lt;="&amp;$B82,'Outages (event ledger)'!$G$2:$G$65,"&gt;="&amp;$B82)</f>
        <v>0</v>
      </c>
      <c r="O82" s="26" t="n">
        <f aca="false">SUMIFS('Outages (event ledger)'!$H$2:$H$65,'Outages (event ledger)'!$A$2:$A$65,O$2,'Outages (event ledger)'!$E$2:$E$65,"&lt;="&amp;$B82,'Outages (event ledger)'!$G$2:$G$65,"&gt;="&amp;$B82)</f>
        <v>0</v>
      </c>
      <c r="P82" s="26" t="n">
        <f aca="false">SUMIFS('Outages (event ledger)'!$H$2:$H$65,'Outages (event ledger)'!$A$2:$A$65,P$2,'Outages (event ledger)'!$E$2:$E$65,"&lt;="&amp;$B82,'Outages (event ledger)'!$G$2:$G$65,"&gt;="&amp;$B82)</f>
        <v>0</v>
      </c>
      <c r="Q82" s="26" t="n">
        <f aca="false">SUMIFS('Outages (event ledger)'!$H$2:$H$65,'Outages (event ledger)'!$A$2:$A$65,Q$2,'Outages (event ledger)'!$E$2:$E$65,"&lt;="&amp;$B82,'Outages (event ledger)'!$G$2:$G$65,"&gt;="&amp;$B82)</f>
        <v>0</v>
      </c>
      <c r="R82" s="26" t="n">
        <f aca="false">SUMIFS('Outages (event ledger)'!$H$2:$H$65,'Outages (event ledger)'!$A$2:$A$65,R$2,'Outages (event ledger)'!$E$2:$E$65,"&lt;="&amp;$B82,'Outages (event ledger)'!$G$2:$G$65,"&gt;="&amp;$B82)</f>
        <v>0</v>
      </c>
      <c r="S82" s="26" t="n">
        <f aca="false">SUMIFS('Outages (event ledger)'!$H$2:$H$65,'Outages (event ledger)'!$A$2:$A$65,S$2,'Outages (event ledger)'!$E$2:$E$65,"&lt;="&amp;$B82,'Outages (event ledger)'!$G$2:$G$65,"&gt;="&amp;$B82)</f>
        <v>0</v>
      </c>
      <c r="T82" s="26" t="n">
        <f aca="false">SUMIFS('Outages (event ledger)'!$H$2:$H$65,'Outages (event ledger)'!$A$2:$A$65,T$2,'Outages (event ledger)'!$E$2:$E$65,"&lt;="&amp;$B82,'Outages (event ledger)'!$G$2:$G$65,"&gt;="&amp;$B82)</f>
        <v>0</v>
      </c>
      <c r="U82" s="26" t="n">
        <f aca="false">SUMIFS('Outages (event ledger)'!$H$2:$H$65,'Outages (event ledger)'!$A$2:$A$65,U$2,'Outages (event ledger)'!$E$2:$E$65,"&lt;="&amp;$B82,'Outages (event ledger)'!$G$2:$G$65,"&gt;="&amp;$B82)</f>
        <v>0</v>
      </c>
      <c r="V82" s="26" t="n">
        <f aca="false">SUMIFS('Outages (event ledger)'!$H$2:$H$65,'Outages (event ledger)'!$A$2:$A$65,V$2,'Outages (event ledger)'!$E$2:$E$65,"&lt;="&amp;$B82,'Outages (event ledger)'!$G$2:$G$65,"&gt;="&amp;$B82)</f>
        <v>0</v>
      </c>
      <c r="W82" s="26" t="n">
        <f aca="false">SUMIFS('Outages (event ledger)'!$H$2:$H$65,'Outages (event ledger)'!$A$2:$A$65,W$2,'Outages (event ledger)'!$E$2:$E$65,"&lt;="&amp;$B82,'Outages (event ledger)'!$G$2:$G$65,"&gt;="&amp;$B82)</f>
        <v>0</v>
      </c>
      <c r="X82" s="26" t="n">
        <f aca="false">SUMIFS('Outages (event ledger)'!$H$2:$H$65,'Outages (event ledger)'!$A$2:$A$65,X$2,'Outages (event ledger)'!$E$2:$E$65,"&lt;="&amp;$B82,'Outages (event ledger)'!$G$2:$G$65,"&gt;="&amp;$B82)</f>
        <v>0</v>
      </c>
      <c r="Y82" s="26" t="n">
        <f aca="false">SUMIFS('Outages (event ledger)'!$H$2:$H$65,'Outages (event ledger)'!$A$2:$A$65,Y$2,'Outages (event ledger)'!$E$2:$E$65,"&lt;="&amp;$B82,'Outages (event ledger)'!$G$2:$G$65,"&gt;="&amp;$B82)</f>
        <v>5</v>
      </c>
      <c r="Z82" s="26" t="n">
        <f aca="false">SUMIFS('Outages (event ledger)'!$H$2:$H$65,'Outages (event ledger)'!$A$2:$A$65,Z$2,'Outages (event ledger)'!$E$2:$E$65,"&lt;="&amp;$B82,'Outages (event ledger)'!$G$2:$G$65,"&gt;="&amp;$B82)</f>
        <v>5</v>
      </c>
      <c r="AA82" s="26" t="n">
        <f aca="false">SUMIFS('Outages (event ledger)'!$H$2:$H$65,'Outages (event ledger)'!$A$2:$A$65,AA$2,'Outages (event ledger)'!$E$2:$E$65,"&lt;="&amp;$B82,'Outages (event ledger)'!$G$2:$G$65,"&gt;="&amp;$B82)</f>
        <v>0</v>
      </c>
      <c r="AB82" s="26" t="n">
        <f aca="false">SUMIFS('Outages (event ledger)'!$H$2:$H$65,'Outages (event ledger)'!$A$2:$A$65,AB$2,'Outages (event ledger)'!$E$2:$E$65,"&lt;="&amp;$B82,'Outages (event ledger)'!$G$2:$G$65,"&gt;="&amp;$B82)</f>
        <v>8</v>
      </c>
      <c r="AC82" s="26" t="n">
        <f aca="false">SUMIFS('Outages (event ledger)'!$H$2:$H$65,'Outages (event ledger)'!$A$2:$A$65,AC$2,'Outages (event ledger)'!$E$2:$E$65,"&lt;="&amp;$B82,'Outages (event ledger)'!$G$2:$G$65,"&gt;="&amp;$B82)</f>
        <v>0</v>
      </c>
      <c r="AD82" s="26" t="n">
        <f aca="false">SUMIFS('Outages (event ledger)'!$H$2:$H$65,'Outages (event ledger)'!$A$2:$A$65,AD$2,'Outages (event ledger)'!$E$2:$E$65,"&lt;="&amp;$B82,'Outages (event ledger)'!$G$2:$G$65,"&gt;="&amp;$B82)</f>
        <v>0</v>
      </c>
      <c r="AE82" s="26" t="n">
        <f aca="false">SUMIFS('Outages (event ledger)'!$H$2:$H$65,'Outages (event ledger)'!$A$2:$A$65,AE$2,'Outages (event ledger)'!$E$2:$E$65,"&lt;="&amp;$B82,'Outages (event ledger)'!$G$2:$G$65,"&gt;="&amp;$B82)</f>
        <v>0</v>
      </c>
      <c r="AF82" s="26" t="n">
        <f aca="false">SUMIFS('Outages (event ledger)'!$H$2:$H$65,'Outages (event ledger)'!$A$2:$A$65,AF$2,'Outages (event ledger)'!$E$2:$E$65,"&lt;="&amp;$B82,'Outages (event ledger)'!$G$2:$G$65,"&gt;="&amp;$B82)</f>
        <v>0</v>
      </c>
      <c r="AG82" s="26" t="n">
        <f aca="false">SUMIFS('Outages (event ledger)'!$H$2:$H$65,'Outages (event ledger)'!$A$2:$A$65,AG$2,'Outages (event ledger)'!$E$2:$E$65,"&lt;="&amp;$B82,'Outages (event ledger)'!$G$2:$G$65,"&gt;="&amp;$B82)</f>
        <v>0</v>
      </c>
      <c r="AH82" s="26" t="n">
        <f aca="false">SUMIFS('Outages (event ledger)'!$H$2:$H$65,'Outages (event ledger)'!$A$2:$A$65,AH$2,'Outages (event ledger)'!$E$2:$E$65,"&lt;="&amp;$B82,'Outages (event ledger)'!$G$2:$G$65,"&gt;="&amp;$B82)</f>
        <v>0</v>
      </c>
      <c r="AI82" s="26" t="n">
        <f aca="false">SUMIFS('Outages (event ledger)'!$H$2:$H$65,'Outages (event ledger)'!$A$2:$A$65,AI$2,'Outages (event ledger)'!$E$2:$E$65,"&lt;="&amp;$B82,'Outages (event ledger)'!$G$2:$G$65,"&gt;="&amp;$B82)</f>
        <v>0</v>
      </c>
      <c r="AJ82" s="26" t="n">
        <f aca="false">SUMIFS('Outages (event ledger)'!$H$2:$H$65,'Outages (event ledger)'!$A$2:$A$65,AJ$2,'Outages (event ledger)'!$E$2:$E$65,"&lt;="&amp;$B82,'Outages (event ledger)'!$G$2:$G$65,"&gt;="&amp;$B82)</f>
        <v>0</v>
      </c>
      <c r="AK82" s="26" t="n">
        <f aca="false">SUMIFS('Outages (event ledger)'!$H$2:$H$65,'Outages (event ledger)'!$A$2:$A$65,AK$2,'Outages (event ledger)'!$E$2:$E$65,"&lt;="&amp;$B82,'Outages (event ledger)'!$G$2:$G$65,"&gt;="&amp;$B82)</f>
        <v>0</v>
      </c>
      <c r="AL82" s="26" t="n">
        <f aca="false">SUMIFS('Outages (event ledger)'!$H$2:$H$65,'Outages (event ledger)'!$A$2:$A$65,AL$2,'Outages (event ledger)'!$E$2:$E$65,"&lt;="&amp;$B82,'Outages (event ledger)'!$G$2:$G$65,"&gt;="&amp;$B82)</f>
        <v>3.5</v>
      </c>
      <c r="AM82" s="26" t="n">
        <f aca="false">SUMIFS('Outages (event ledger)'!$H$2:$H$65,'Outages (event ledger)'!$A$2:$A$65,AM$2,'Outages (event ledger)'!$E$2:$E$65,"&lt;="&amp;$B82,'Outages (event ledger)'!$G$2:$G$65,"&gt;="&amp;$B82)</f>
        <v>0</v>
      </c>
      <c r="AN82" s="26" t="n">
        <f aca="false">SUMIFS('Outages (event ledger)'!$H$2:$H$65,'Outages (event ledger)'!$A$2:$A$65,AN$2,'Outages (event ledger)'!$E$2:$E$65,"&lt;="&amp;$B82,'Outages (event ledger)'!$G$2:$G$65,"&gt;="&amp;$B82)</f>
        <v>0</v>
      </c>
      <c r="AO82" s="26" t="n">
        <f aca="false">SUMIFS('Outages (event ledger)'!$H$2:$H$65,'Outages (event ledger)'!$A$2:$A$65,AO$2,'Outages (event ledger)'!$E$2:$E$65,"&lt;="&amp;$B82,'Outages (event ledger)'!$G$2:$G$65,"&gt;="&amp;$B82)</f>
        <v>0</v>
      </c>
      <c r="AP82" s="26" t="n">
        <f aca="false">SUMIFS('Outages (event ledger)'!$H$2:$H$65,'Outages (event ledger)'!$A$2:$A$65,AP$2,'Outages (event ledger)'!$E$2:$E$65,"&lt;="&amp;$B82,'Outages (event ledger)'!$G$2:$G$65,"&gt;="&amp;$B82)</f>
        <v>0</v>
      </c>
      <c r="AQ82" s="26" t="n">
        <f aca="false">SUMIFS('Outages (event ledger)'!$H$2:$H$65,'Outages (event ledger)'!$A$2:$A$65,AQ$2,'Outages (event ledger)'!$E$2:$E$65,"&lt;="&amp;$B82,'Outages (event ledger)'!$G$2:$G$65,"&gt;="&amp;$B82)</f>
        <v>0</v>
      </c>
      <c r="AR82" s="26" t="n">
        <f aca="false">SUMIFS('Outages (event ledger)'!$H$2:$H$65,'Outages (event ledger)'!$A$2:$A$65,AR$2,'Outages (event ledger)'!$E$2:$E$65,"&lt;="&amp;$B82,'Outages (event ledger)'!$G$2:$G$65,"&gt;="&amp;$B82)</f>
        <v>0</v>
      </c>
      <c r="AS82" s="26" t="n">
        <f aca="false">SUMIFS('Outages (event ledger)'!$H$2:$H$65,'Outages (event ledger)'!$A$2:$A$65,AS$2,'Outages (event ledger)'!$E$2:$E$65,"&lt;="&amp;$B82,'Outages (event ledger)'!$G$2:$G$65,"&gt;="&amp;$B82)</f>
        <v>0</v>
      </c>
      <c r="AT82" s="26" t="n">
        <f aca="false">SUMIFS('Outages (event ledger)'!$H$2:$H$65,'Outages (event ledger)'!$A$2:$A$65,AT$2,'Outages (event ledger)'!$E$2:$E$65,"&lt;="&amp;$B82,'Outages (event ledger)'!$G$2:$G$65,"&gt;="&amp;$B82)</f>
        <v>0</v>
      </c>
      <c r="AU82" s="26" t="n">
        <f aca="false">SUMIFS('Outages (event ledger)'!$H$2:$H$65,'Outages (event ledger)'!$A$2:$A$65,AU$2,'Outages (event ledger)'!$E$2:$E$65,"&lt;="&amp;$B82,'Outages (event ledger)'!$G$2:$G$65,"&gt;="&amp;$B82)</f>
        <v>0</v>
      </c>
      <c r="AV82" s="26" t="n">
        <f aca="false">SUMIFS('Outages (event ledger)'!$H$2:$H$65,'Outages (event ledger)'!$A$2:$A$65,AV$2,'Outages (event ledger)'!$E$2:$E$65,"&lt;="&amp;$B82,'Outages (event ledger)'!$G$2:$G$65,"&gt;="&amp;$B82)</f>
        <v>0</v>
      </c>
      <c r="AW82" s="26" t="n">
        <f aca="false">SUMIFS('Outages (event ledger)'!$H$2:$H$65,'Outages (event ledger)'!$A$2:$A$65,AW$2,'Outages (event ledger)'!$E$2:$E$65,"&lt;="&amp;$B82,'Outages (event ledger)'!$G$2:$G$65,"&gt;="&amp;$B82)</f>
        <v>0</v>
      </c>
      <c r="AX82" s="26" t="n">
        <f aca="false">SUMIFS('Outages (event ledger)'!$H$2:$H$65,'Outages (event ledger)'!$A$2:$A$65,AX$2,'Outages (event ledger)'!$E$2:$E$65,"&lt;="&amp;$B82,'Outages (event ledger)'!$G$2:$G$65,"&gt;="&amp;$B82)</f>
        <v>0</v>
      </c>
      <c r="AY82" s="26" t="n">
        <f aca="false">SUMIFS('Outages (event ledger)'!$H$2:$H$65,'Outages (event ledger)'!$A$2:$A$65,AY$2,'Outages (event ledger)'!$E$2:$E$65,"&lt;="&amp;$B82,'Outages (event ledger)'!$G$2:$G$65,"&gt;="&amp;$B82)</f>
        <v>0</v>
      </c>
      <c r="AZ82" s="26" t="n">
        <f aca="false">SUMIFS('Outages (event ledger)'!$H$2:$H$65,'Outages (event ledger)'!$A$2:$A$65,AZ$2,'Outages (event ledger)'!$E$2:$E$65,"&lt;="&amp;$B82,'Outages (event ledger)'!$G$2:$G$65,"&gt;="&amp;$B82)</f>
        <v>0</v>
      </c>
      <c r="BA82" s="26" t="n">
        <f aca="false">SUMIFS('Outages (event ledger)'!$H$2:$H$65,'Outages (event ledger)'!$A$2:$A$65,BA$2,'Outages (event ledger)'!$E$2:$E$65,"&lt;="&amp;$B82,'Outages (event ledger)'!$G$2:$G$65,"&gt;="&amp;$B82)</f>
        <v>0</v>
      </c>
      <c r="BB82" s="26" t="n">
        <f aca="false">SUMIFS('Outages (event ledger)'!$H$2:$H$65,'Outages (event ledger)'!$A$2:$A$65,BB$2,'Outages (event ledger)'!$E$2:$E$65,"&lt;="&amp;$B82,'Outages (event ledger)'!$G$2:$G$65,"&gt;="&amp;$B82)</f>
        <v>0</v>
      </c>
      <c r="BC82" s="26" t="n">
        <f aca="false">SUMIFS('Outages (event ledger)'!$H$2:$H$65,'Outages (event ledger)'!$A$2:$A$65,BC$2,'Outages (event ledger)'!$E$2:$E$65,"&lt;="&amp;$B82,'Outages (event ledger)'!$G$2:$G$65,"&gt;="&amp;$B82)</f>
        <v>0</v>
      </c>
      <c r="BD82" s="26" t="n">
        <f aca="false">SUMIFS('Outages (event ledger)'!$H$2:$H$65,'Outages (event ledger)'!$A$2:$A$65,BD$2,'Outages (event ledger)'!$E$2:$E$65,"&lt;="&amp;$B82,'Outages (event ledger)'!$G$2:$G$65,"&gt;="&amp;$B82)</f>
        <v>0</v>
      </c>
      <c r="BE82" s="26" t="n">
        <f aca="false">SUMIFS('Outages (event ledger)'!$H$2:$H$65,'Outages (event ledger)'!$A$2:$A$65,BE$2,'Outages (event ledger)'!$E$2:$E$65,"&lt;="&amp;$B82,'Outages (event ledger)'!$G$2:$G$65,"&gt;="&amp;$B82)</f>
        <v>0</v>
      </c>
      <c r="BF82" s="26" t="n">
        <f aca="false">SUMIFS('Outages (event ledger)'!$H$2:$H$65,'Outages (event ledger)'!$A$2:$A$65,BF$2,'Outages (event ledger)'!$E$2:$E$65,"&lt;="&amp;$B82,'Outages (event ledger)'!$G$2:$G$65,"&gt;="&amp;$B82)</f>
        <v>0</v>
      </c>
      <c r="BG82" s="26" t="n">
        <f aca="false">SUMIFS('Outages (event ledger)'!$H$2:$H$65,'Outages (event ledger)'!$A$2:$A$65,BG$2,'Outages (event ledger)'!$E$2:$E$65,"&lt;="&amp;$B82,'Outages (event ledger)'!$G$2:$G$65,"&gt;="&amp;$B82)</f>
        <v>0</v>
      </c>
      <c r="BH82" s="26" t="n">
        <f aca="false">SUMIFS('Outages (event ledger)'!$H$2:$H$65,'Outages (event ledger)'!$A$2:$A$65,BH$2,'Outages (event ledger)'!$E$2:$E$65,"&lt;="&amp;$B82,'Outages (event ledger)'!$G$2:$G$65,"&gt;="&amp;$B82)</f>
        <v>0</v>
      </c>
      <c r="BI82" s="26" t="n">
        <f aca="false">SUMIFS('Outages (event ledger)'!$H$2:$H$65,'Outages (event ledger)'!$A$2:$A$65,BI$2,'Outages (event ledger)'!$E$2:$E$65,"&lt;="&amp;$B82,'Outages (event ledger)'!$G$2:$G$65,"&gt;="&amp;$B82)</f>
        <v>6.7</v>
      </c>
    </row>
    <row r="83" customFormat="false" ht="15" hidden="false" customHeight="false" outlineLevel="0" collapsed="false">
      <c r="A83" s="23" t="n">
        <v>42614</v>
      </c>
      <c r="B83" s="24" t="n">
        <v>201609</v>
      </c>
      <c r="C83" s="25" t="n">
        <f aca="false">SUM(D83:BI83)</f>
        <v>28.2</v>
      </c>
      <c r="D83" s="26" t="n">
        <f aca="false">SUMIFS('Outages (event ledger)'!$H$2:$H$65,'Outages (event ledger)'!$A$2:$A$65,D$2,'Outages (event ledger)'!$E$2:$E$65,"&lt;="&amp;$B83,'Outages (event ledger)'!$G$2:$G$65,"&gt;="&amp;$B83)</f>
        <v>0</v>
      </c>
      <c r="E83" s="26" t="n">
        <f aca="false">SUMIFS('Outages (event ledger)'!$H$2:$H$65,'Outages (event ledger)'!$A$2:$A$65,E$2,'Outages (event ledger)'!$E$2:$E$65,"&lt;="&amp;$B83,'Outages (event ledger)'!$G$2:$G$65,"&gt;="&amp;$B83)</f>
        <v>0</v>
      </c>
      <c r="F83" s="26" t="n">
        <f aca="false">SUMIFS('Outages (event ledger)'!$H$2:$H$65,'Outages (event ledger)'!$A$2:$A$65,F$2,'Outages (event ledger)'!$E$2:$E$65,"&lt;="&amp;$B83,'Outages (event ledger)'!$G$2:$G$65,"&gt;="&amp;$B83)</f>
        <v>0</v>
      </c>
      <c r="G83" s="26" t="n">
        <f aca="false">SUMIFS('Outages (event ledger)'!$H$2:$H$65,'Outages (event ledger)'!$A$2:$A$65,G$2,'Outages (event ledger)'!$E$2:$E$65,"&lt;="&amp;$B83,'Outages (event ledger)'!$G$2:$G$65,"&gt;="&amp;$B83)</f>
        <v>0</v>
      </c>
      <c r="H83" s="26" t="n">
        <f aca="false">SUMIFS('Outages (event ledger)'!$H$2:$H$65,'Outages (event ledger)'!$A$2:$A$65,H$2,'Outages (event ledger)'!$E$2:$E$65,"&lt;="&amp;$B83,'Outages (event ledger)'!$G$2:$G$65,"&gt;="&amp;$B83)</f>
        <v>0</v>
      </c>
      <c r="I83" s="26" t="n">
        <f aca="false">SUMIFS('Outages (event ledger)'!$H$2:$H$65,'Outages (event ledger)'!$A$2:$A$65,I$2,'Outages (event ledger)'!$E$2:$E$65,"&lt;="&amp;$B83,'Outages (event ledger)'!$G$2:$G$65,"&gt;="&amp;$B83)</f>
        <v>0</v>
      </c>
      <c r="J83" s="26" t="n">
        <f aca="false">SUMIFS('Outages (event ledger)'!$H$2:$H$65,'Outages (event ledger)'!$A$2:$A$65,J$2,'Outages (event ledger)'!$E$2:$E$65,"&lt;="&amp;$B83,'Outages (event ledger)'!$G$2:$G$65,"&gt;="&amp;$B83)</f>
        <v>0</v>
      </c>
      <c r="K83" s="26" t="n">
        <f aca="false">SUMIFS('Outages (event ledger)'!$H$2:$H$65,'Outages (event ledger)'!$A$2:$A$65,K$2,'Outages (event ledger)'!$E$2:$E$65,"&lt;="&amp;$B83,'Outages (event ledger)'!$G$2:$G$65,"&gt;="&amp;$B83)</f>
        <v>0</v>
      </c>
      <c r="L83" s="26" t="n">
        <f aca="false">SUMIFS('Outages (event ledger)'!$H$2:$H$65,'Outages (event ledger)'!$A$2:$A$65,L$2,'Outages (event ledger)'!$E$2:$E$65,"&lt;="&amp;$B83,'Outages (event ledger)'!$G$2:$G$65,"&gt;="&amp;$B83)</f>
        <v>0</v>
      </c>
      <c r="M83" s="26" t="n">
        <f aca="false">SUMIFS('Outages (event ledger)'!$H$2:$H$65,'Outages (event ledger)'!$A$2:$A$65,M$2,'Outages (event ledger)'!$E$2:$E$65,"&lt;="&amp;$B83,'Outages (event ledger)'!$G$2:$G$65,"&gt;="&amp;$B83)</f>
        <v>0</v>
      </c>
      <c r="N83" s="26" t="n">
        <f aca="false">SUMIFS('Outages (event ledger)'!$H$2:$H$65,'Outages (event ledger)'!$A$2:$A$65,N$2,'Outages (event ledger)'!$E$2:$E$65,"&lt;="&amp;$B83,'Outages (event ledger)'!$G$2:$G$65,"&gt;="&amp;$B83)</f>
        <v>0</v>
      </c>
      <c r="O83" s="26" t="n">
        <f aca="false">SUMIFS('Outages (event ledger)'!$H$2:$H$65,'Outages (event ledger)'!$A$2:$A$65,O$2,'Outages (event ledger)'!$E$2:$E$65,"&lt;="&amp;$B83,'Outages (event ledger)'!$G$2:$G$65,"&gt;="&amp;$B83)</f>
        <v>0</v>
      </c>
      <c r="P83" s="26" t="n">
        <f aca="false">SUMIFS('Outages (event ledger)'!$H$2:$H$65,'Outages (event ledger)'!$A$2:$A$65,P$2,'Outages (event ledger)'!$E$2:$E$65,"&lt;="&amp;$B83,'Outages (event ledger)'!$G$2:$G$65,"&gt;="&amp;$B83)</f>
        <v>0</v>
      </c>
      <c r="Q83" s="26" t="n">
        <f aca="false">SUMIFS('Outages (event ledger)'!$H$2:$H$65,'Outages (event ledger)'!$A$2:$A$65,Q$2,'Outages (event ledger)'!$E$2:$E$65,"&lt;="&amp;$B83,'Outages (event ledger)'!$G$2:$G$65,"&gt;="&amp;$B83)</f>
        <v>0</v>
      </c>
      <c r="R83" s="26" t="n">
        <f aca="false">SUMIFS('Outages (event ledger)'!$H$2:$H$65,'Outages (event ledger)'!$A$2:$A$65,R$2,'Outages (event ledger)'!$E$2:$E$65,"&lt;="&amp;$B83,'Outages (event ledger)'!$G$2:$G$65,"&gt;="&amp;$B83)</f>
        <v>0</v>
      </c>
      <c r="S83" s="26" t="n">
        <f aca="false">SUMIFS('Outages (event ledger)'!$H$2:$H$65,'Outages (event ledger)'!$A$2:$A$65,S$2,'Outages (event ledger)'!$E$2:$E$65,"&lt;="&amp;$B83,'Outages (event ledger)'!$G$2:$G$65,"&gt;="&amp;$B83)</f>
        <v>0</v>
      </c>
      <c r="T83" s="26" t="n">
        <f aca="false">SUMIFS('Outages (event ledger)'!$H$2:$H$65,'Outages (event ledger)'!$A$2:$A$65,T$2,'Outages (event ledger)'!$E$2:$E$65,"&lt;="&amp;$B83,'Outages (event ledger)'!$G$2:$G$65,"&gt;="&amp;$B83)</f>
        <v>0</v>
      </c>
      <c r="U83" s="26" t="n">
        <f aca="false">SUMIFS('Outages (event ledger)'!$H$2:$H$65,'Outages (event ledger)'!$A$2:$A$65,U$2,'Outages (event ledger)'!$E$2:$E$65,"&lt;="&amp;$B83,'Outages (event ledger)'!$G$2:$G$65,"&gt;="&amp;$B83)</f>
        <v>0</v>
      </c>
      <c r="V83" s="26" t="n">
        <f aca="false">SUMIFS('Outages (event ledger)'!$H$2:$H$65,'Outages (event ledger)'!$A$2:$A$65,V$2,'Outages (event ledger)'!$E$2:$E$65,"&lt;="&amp;$B83,'Outages (event ledger)'!$G$2:$G$65,"&gt;="&amp;$B83)</f>
        <v>0</v>
      </c>
      <c r="W83" s="26" t="n">
        <f aca="false">SUMIFS('Outages (event ledger)'!$H$2:$H$65,'Outages (event ledger)'!$A$2:$A$65,W$2,'Outages (event ledger)'!$E$2:$E$65,"&lt;="&amp;$B83,'Outages (event ledger)'!$G$2:$G$65,"&gt;="&amp;$B83)</f>
        <v>0</v>
      </c>
      <c r="X83" s="26" t="n">
        <f aca="false">SUMIFS('Outages (event ledger)'!$H$2:$H$65,'Outages (event ledger)'!$A$2:$A$65,X$2,'Outages (event ledger)'!$E$2:$E$65,"&lt;="&amp;$B83,'Outages (event ledger)'!$G$2:$G$65,"&gt;="&amp;$B83)</f>
        <v>0</v>
      </c>
      <c r="Y83" s="26" t="n">
        <f aca="false">SUMIFS('Outages (event ledger)'!$H$2:$H$65,'Outages (event ledger)'!$A$2:$A$65,Y$2,'Outages (event ledger)'!$E$2:$E$65,"&lt;="&amp;$B83,'Outages (event ledger)'!$G$2:$G$65,"&gt;="&amp;$B83)</f>
        <v>5</v>
      </c>
      <c r="Z83" s="26" t="n">
        <f aca="false">SUMIFS('Outages (event ledger)'!$H$2:$H$65,'Outages (event ledger)'!$A$2:$A$65,Z$2,'Outages (event ledger)'!$E$2:$E$65,"&lt;="&amp;$B83,'Outages (event ledger)'!$G$2:$G$65,"&gt;="&amp;$B83)</f>
        <v>5</v>
      </c>
      <c r="AA83" s="26" t="n">
        <f aca="false">SUMIFS('Outages (event ledger)'!$H$2:$H$65,'Outages (event ledger)'!$A$2:$A$65,AA$2,'Outages (event ledger)'!$E$2:$E$65,"&lt;="&amp;$B83,'Outages (event ledger)'!$G$2:$G$65,"&gt;="&amp;$B83)</f>
        <v>0</v>
      </c>
      <c r="AB83" s="26" t="n">
        <f aca="false">SUMIFS('Outages (event ledger)'!$H$2:$H$65,'Outages (event ledger)'!$A$2:$A$65,AB$2,'Outages (event ledger)'!$E$2:$E$65,"&lt;="&amp;$B83,'Outages (event ledger)'!$G$2:$G$65,"&gt;="&amp;$B83)</f>
        <v>8</v>
      </c>
      <c r="AC83" s="26" t="n">
        <f aca="false">SUMIFS('Outages (event ledger)'!$H$2:$H$65,'Outages (event ledger)'!$A$2:$A$65,AC$2,'Outages (event ledger)'!$E$2:$E$65,"&lt;="&amp;$B83,'Outages (event ledger)'!$G$2:$G$65,"&gt;="&amp;$B83)</f>
        <v>0</v>
      </c>
      <c r="AD83" s="26" t="n">
        <f aca="false">SUMIFS('Outages (event ledger)'!$H$2:$H$65,'Outages (event ledger)'!$A$2:$A$65,AD$2,'Outages (event ledger)'!$E$2:$E$65,"&lt;="&amp;$B83,'Outages (event ledger)'!$G$2:$G$65,"&gt;="&amp;$B83)</f>
        <v>0</v>
      </c>
      <c r="AE83" s="26" t="n">
        <f aca="false">SUMIFS('Outages (event ledger)'!$H$2:$H$65,'Outages (event ledger)'!$A$2:$A$65,AE$2,'Outages (event ledger)'!$E$2:$E$65,"&lt;="&amp;$B83,'Outages (event ledger)'!$G$2:$G$65,"&gt;="&amp;$B83)</f>
        <v>0</v>
      </c>
      <c r="AF83" s="26" t="n">
        <f aca="false">SUMIFS('Outages (event ledger)'!$H$2:$H$65,'Outages (event ledger)'!$A$2:$A$65,AF$2,'Outages (event ledger)'!$E$2:$E$65,"&lt;="&amp;$B83,'Outages (event ledger)'!$G$2:$G$65,"&gt;="&amp;$B83)</f>
        <v>0</v>
      </c>
      <c r="AG83" s="26" t="n">
        <f aca="false">SUMIFS('Outages (event ledger)'!$H$2:$H$65,'Outages (event ledger)'!$A$2:$A$65,AG$2,'Outages (event ledger)'!$E$2:$E$65,"&lt;="&amp;$B83,'Outages (event ledger)'!$G$2:$G$65,"&gt;="&amp;$B83)</f>
        <v>0</v>
      </c>
      <c r="AH83" s="26" t="n">
        <f aca="false">SUMIFS('Outages (event ledger)'!$H$2:$H$65,'Outages (event ledger)'!$A$2:$A$65,AH$2,'Outages (event ledger)'!$E$2:$E$65,"&lt;="&amp;$B83,'Outages (event ledger)'!$G$2:$G$65,"&gt;="&amp;$B83)</f>
        <v>0</v>
      </c>
      <c r="AI83" s="26" t="n">
        <f aca="false">SUMIFS('Outages (event ledger)'!$H$2:$H$65,'Outages (event ledger)'!$A$2:$A$65,AI$2,'Outages (event ledger)'!$E$2:$E$65,"&lt;="&amp;$B83,'Outages (event ledger)'!$G$2:$G$65,"&gt;="&amp;$B83)</f>
        <v>0</v>
      </c>
      <c r="AJ83" s="26" t="n">
        <f aca="false">SUMIFS('Outages (event ledger)'!$H$2:$H$65,'Outages (event ledger)'!$A$2:$A$65,AJ$2,'Outages (event ledger)'!$E$2:$E$65,"&lt;="&amp;$B83,'Outages (event ledger)'!$G$2:$G$65,"&gt;="&amp;$B83)</f>
        <v>0</v>
      </c>
      <c r="AK83" s="26" t="n">
        <f aca="false">SUMIFS('Outages (event ledger)'!$H$2:$H$65,'Outages (event ledger)'!$A$2:$A$65,AK$2,'Outages (event ledger)'!$E$2:$E$65,"&lt;="&amp;$B83,'Outages (event ledger)'!$G$2:$G$65,"&gt;="&amp;$B83)</f>
        <v>0</v>
      </c>
      <c r="AL83" s="26" t="n">
        <f aca="false">SUMIFS('Outages (event ledger)'!$H$2:$H$65,'Outages (event ledger)'!$A$2:$A$65,AL$2,'Outages (event ledger)'!$E$2:$E$65,"&lt;="&amp;$B83,'Outages (event ledger)'!$G$2:$G$65,"&gt;="&amp;$B83)</f>
        <v>3.5</v>
      </c>
      <c r="AM83" s="26" t="n">
        <f aca="false">SUMIFS('Outages (event ledger)'!$H$2:$H$65,'Outages (event ledger)'!$A$2:$A$65,AM$2,'Outages (event ledger)'!$E$2:$E$65,"&lt;="&amp;$B83,'Outages (event ledger)'!$G$2:$G$65,"&gt;="&amp;$B83)</f>
        <v>0</v>
      </c>
      <c r="AN83" s="26" t="n">
        <f aca="false">SUMIFS('Outages (event ledger)'!$H$2:$H$65,'Outages (event ledger)'!$A$2:$A$65,AN$2,'Outages (event ledger)'!$E$2:$E$65,"&lt;="&amp;$B83,'Outages (event ledger)'!$G$2:$G$65,"&gt;="&amp;$B83)</f>
        <v>0</v>
      </c>
      <c r="AO83" s="26" t="n">
        <f aca="false">SUMIFS('Outages (event ledger)'!$H$2:$H$65,'Outages (event ledger)'!$A$2:$A$65,AO$2,'Outages (event ledger)'!$E$2:$E$65,"&lt;="&amp;$B83,'Outages (event ledger)'!$G$2:$G$65,"&gt;="&amp;$B83)</f>
        <v>0</v>
      </c>
      <c r="AP83" s="26" t="n">
        <f aca="false">SUMIFS('Outages (event ledger)'!$H$2:$H$65,'Outages (event ledger)'!$A$2:$A$65,AP$2,'Outages (event ledger)'!$E$2:$E$65,"&lt;="&amp;$B83,'Outages (event ledger)'!$G$2:$G$65,"&gt;="&amp;$B83)</f>
        <v>0</v>
      </c>
      <c r="AQ83" s="26" t="n">
        <f aca="false">SUMIFS('Outages (event ledger)'!$H$2:$H$65,'Outages (event ledger)'!$A$2:$A$65,AQ$2,'Outages (event ledger)'!$E$2:$E$65,"&lt;="&amp;$B83,'Outages (event ledger)'!$G$2:$G$65,"&gt;="&amp;$B83)</f>
        <v>0</v>
      </c>
      <c r="AR83" s="26" t="n">
        <f aca="false">SUMIFS('Outages (event ledger)'!$H$2:$H$65,'Outages (event ledger)'!$A$2:$A$65,AR$2,'Outages (event ledger)'!$E$2:$E$65,"&lt;="&amp;$B83,'Outages (event ledger)'!$G$2:$G$65,"&gt;="&amp;$B83)</f>
        <v>0</v>
      </c>
      <c r="AS83" s="26" t="n">
        <f aca="false">SUMIFS('Outages (event ledger)'!$H$2:$H$65,'Outages (event ledger)'!$A$2:$A$65,AS$2,'Outages (event ledger)'!$E$2:$E$65,"&lt;="&amp;$B83,'Outages (event ledger)'!$G$2:$G$65,"&gt;="&amp;$B83)</f>
        <v>0</v>
      </c>
      <c r="AT83" s="26" t="n">
        <f aca="false">SUMIFS('Outages (event ledger)'!$H$2:$H$65,'Outages (event ledger)'!$A$2:$A$65,AT$2,'Outages (event ledger)'!$E$2:$E$65,"&lt;="&amp;$B83,'Outages (event ledger)'!$G$2:$G$65,"&gt;="&amp;$B83)</f>
        <v>0</v>
      </c>
      <c r="AU83" s="26" t="n">
        <f aca="false">SUMIFS('Outages (event ledger)'!$H$2:$H$65,'Outages (event ledger)'!$A$2:$A$65,AU$2,'Outages (event ledger)'!$E$2:$E$65,"&lt;="&amp;$B83,'Outages (event ledger)'!$G$2:$G$65,"&gt;="&amp;$B83)</f>
        <v>0</v>
      </c>
      <c r="AV83" s="26" t="n">
        <f aca="false">SUMIFS('Outages (event ledger)'!$H$2:$H$65,'Outages (event ledger)'!$A$2:$A$65,AV$2,'Outages (event ledger)'!$E$2:$E$65,"&lt;="&amp;$B83,'Outages (event ledger)'!$G$2:$G$65,"&gt;="&amp;$B83)</f>
        <v>0</v>
      </c>
      <c r="AW83" s="26" t="n">
        <f aca="false">SUMIFS('Outages (event ledger)'!$H$2:$H$65,'Outages (event ledger)'!$A$2:$A$65,AW$2,'Outages (event ledger)'!$E$2:$E$65,"&lt;="&amp;$B83,'Outages (event ledger)'!$G$2:$G$65,"&gt;="&amp;$B83)</f>
        <v>0</v>
      </c>
      <c r="AX83" s="26" t="n">
        <f aca="false">SUMIFS('Outages (event ledger)'!$H$2:$H$65,'Outages (event ledger)'!$A$2:$A$65,AX$2,'Outages (event ledger)'!$E$2:$E$65,"&lt;="&amp;$B83,'Outages (event ledger)'!$G$2:$G$65,"&gt;="&amp;$B83)</f>
        <v>0</v>
      </c>
      <c r="AY83" s="26" t="n">
        <f aca="false">SUMIFS('Outages (event ledger)'!$H$2:$H$65,'Outages (event ledger)'!$A$2:$A$65,AY$2,'Outages (event ledger)'!$E$2:$E$65,"&lt;="&amp;$B83,'Outages (event ledger)'!$G$2:$G$65,"&gt;="&amp;$B83)</f>
        <v>0</v>
      </c>
      <c r="AZ83" s="26" t="n">
        <f aca="false">SUMIFS('Outages (event ledger)'!$H$2:$H$65,'Outages (event ledger)'!$A$2:$A$65,AZ$2,'Outages (event ledger)'!$E$2:$E$65,"&lt;="&amp;$B83,'Outages (event ledger)'!$G$2:$G$65,"&gt;="&amp;$B83)</f>
        <v>0</v>
      </c>
      <c r="BA83" s="26" t="n">
        <f aca="false">SUMIFS('Outages (event ledger)'!$H$2:$H$65,'Outages (event ledger)'!$A$2:$A$65,BA$2,'Outages (event ledger)'!$E$2:$E$65,"&lt;="&amp;$B83,'Outages (event ledger)'!$G$2:$G$65,"&gt;="&amp;$B83)</f>
        <v>0</v>
      </c>
      <c r="BB83" s="26" t="n">
        <f aca="false">SUMIFS('Outages (event ledger)'!$H$2:$H$65,'Outages (event ledger)'!$A$2:$A$65,BB$2,'Outages (event ledger)'!$E$2:$E$65,"&lt;="&amp;$B83,'Outages (event ledger)'!$G$2:$G$65,"&gt;="&amp;$B83)</f>
        <v>0</v>
      </c>
      <c r="BC83" s="26" t="n">
        <f aca="false">SUMIFS('Outages (event ledger)'!$H$2:$H$65,'Outages (event ledger)'!$A$2:$A$65,BC$2,'Outages (event ledger)'!$E$2:$E$65,"&lt;="&amp;$B83,'Outages (event ledger)'!$G$2:$G$65,"&gt;="&amp;$B83)</f>
        <v>0</v>
      </c>
      <c r="BD83" s="26" t="n">
        <f aca="false">SUMIFS('Outages (event ledger)'!$H$2:$H$65,'Outages (event ledger)'!$A$2:$A$65,BD$2,'Outages (event ledger)'!$E$2:$E$65,"&lt;="&amp;$B83,'Outages (event ledger)'!$G$2:$G$65,"&gt;="&amp;$B83)</f>
        <v>0</v>
      </c>
      <c r="BE83" s="26" t="n">
        <f aca="false">SUMIFS('Outages (event ledger)'!$H$2:$H$65,'Outages (event ledger)'!$A$2:$A$65,BE$2,'Outages (event ledger)'!$E$2:$E$65,"&lt;="&amp;$B83,'Outages (event ledger)'!$G$2:$G$65,"&gt;="&amp;$B83)</f>
        <v>0</v>
      </c>
      <c r="BF83" s="26" t="n">
        <f aca="false">SUMIFS('Outages (event ledger)'!$H$2:$H$65,'Outages (event ledger)'!$A$2:$A$65,BF$2,'Outages (event ledger)'!$E$2:$E$65,"&lt;="&amp;$B83,'Outages (event ledger)'!$G$2:$G$65,"&gt;="&amp;$B83)</f>
        <v>0</v>
      </c>
      <c r="BG83" s="26" t="n">
        <f aca="false">SUMIFS('Outages (event ledger)'!$H$2:$H$65,'Outages (event ledger)'!$A$2:$A$65,BG$2,'Outages (event ledger)'!$E$2:$E$65,"&lt;="&amp;$B83,'Outages (event ledger)'!$G$2:$G$65,"&gt;="&amp;$B83)</f>
        <v>0</v>
      </c>
      <c r="BH83" s="26" t="n">
        <f aca="false">SUMIFS('Outages (event ledger)'!$H$2:$H$65,'Outages (event ledger)'!$A$2:$A$65,BH$2,'Outages (event ledger)'!$E$2:$E$65,"&lt;="&amp;$B83,'Outages (event ledger)'!$G$2:$G$65,"&gt;="&amp;$B83)</f>
        <v>0</v>
      </c>
      <c r="BI83" s="26" t="n">
        <f aca="false">SUMIFS('Outages (event ledger)'!$H$2:$H$65,'Outages (event ledger)'!$A$2:$A$65,BI$2,'Outages (event ledger)'!$E$2:$E$65,"&lt;="&amp;$B83,'Outages (event ledger)'!$G$2:$G$65,"&gt;="&amp;$B83)</f>
        <v>6.7</v>
      </c>
    </row>
    <row r="84" customFormat="false" ht="15" hidden="false" customHeight="false" outlineLevel="0" collapsed="false">
      <c r="A84" s="23" t="n">
        <v>42644</v>
      </c>
      <c r="B84" s="24" t="n">
        <v>201610</v>
      </c>
      <c r="C84" s="25" t="n">
        <f aca="false">SUM(D84:BI84)</f>
        <v>28.2</v>
      </c>
      <c r="D84" s="26" t="n">
        <f aca="false">SUMIFS('Outages (event ledger)'!$H$2:$H$65,'Outages (event ledger)'!$A$2:$A$65,D$2,'Outages (event ledger)'!$E$2:$E$65,"&lt;="&amp;$B84,'Outages (event ledger)'!$G$2:$G$65,"&gt;="&amp;$B84)</f>
        <v>0</v>
      </c>
      <c r="E84" s="26" t="n">
        <f aca="false">SUMIFS('Outages (event ledger)'!$H$2:$H$65,'Outages (event ledger)'!$A$2:$A$65,E$2,'Outages (event ledger)'!$E$2:$E$65,"&lt;="&amp;$B84,'Outages (event ledger)'!$G$2:$G$65,"&gt;="&amp;$B84)</f>
        <v>0</v>
      </c>
      <c r="F84" s="26" t="n">
        <f aca="false">SUMIFS('Outages (event ledger)'!$H$2:$H$65,'Outages (event ledger)'!$A$2:$A$65,F$2,'Outages (event ledger)'!$E$2:$E$65,"&lt;="&amp;$B84,'Outages (event ledger)'!$G$2:$G$65,"&gt;="&amp;$B84)</f>
        <v>0</v>
      </c>
      <c r="G84" s="26" t="n">
        <f aca="false">SUMIFS('Outages (event ledger)'!$H$2:$H$65,'Outages (event ledger)'!$A$2:$A$65,G$2,'Outages (event ledger)'!$E$2:$E$65,"&lt;="&amp;$B84,'Outages (event ledger)'!$G$2:$G$65,"&gt;="&amp;$B84)</f>
        <v>0</v>
      </c>
      <c r="H84" s="26" t="n">
        <f aca="false">SUMIFS('Outages (event ledger)'!$H$2:$H$65,'Outages (event ledger)'!$A$2:$A$65,H$2,'Outages (event ledger)'!$E$2:$E$65,"&lt;="&amp;$B84,'Outages (event ledger)'!$G$2:$G$65,"&gt;="&amp;$B84)</f>
        <v>0</v>
      </c>
      <c r="I84" s="26" t="n">
        <f aca="false">SUMIFS('Outages (event ledger)'!$H$2:$H$65,'Outages (event ledger)'!$A$2:$A$65,I$2,'Outages (event ledger)'!$E$2:$E$65,"&lt;="&amp;$B84,'Outages (event ledger)'!$G$2:$G$65,"&gt;="&amp;$B84)</f>
        <v>0</v>
      </c>
      <c r="J84" s="26" t="n">
        <f aca="false">SUMIFS('Outages (event ledger)'!$H$2:$H$65,'Outages (event ledger)'!$A$2:$A$65,J$2,'Outages (event ledger)'!$E$2:$E$65,"&lt;="&amp;$B84,'Outages (event ledger)'!$G$2:$G$65,"&gt;="&amp;$B84)</f>
        <v>0</v>
      </c>
      <c r="K84" s="26" t="n">
        <f aca="false">SUMIFS('Outages (event ledger)'!$H$2:$H$65,'Outages (event ledger)'!$A$2:$A$65,K$2,'Outages (event ledger)'!$E$2:$E$65,"&lt;="&amp;$B84,'Outages (event ledger)'!$G$2:$G$65,"&gt;="&amp;$B84)</f>
        <v>0</v>
      </c>
      <c r="L84" s="26" t="n">
        <f aca="false">SUMIFS('Outages (event ledger)'!$H$2:$H$65,'Outages (event ledger)'!$A$2:$A$65,L$2,'Outages (event ledger)'!$E$2:$E$65,"&lt;="&amp;$B84,'Outages (event ledger)'!$G$2:$G$65,"&gt;="&amp;$B84)</f>
        <v>0</v>
      </c>
      <c r="M84" s="26" t="n">
        <f aca="false">SUMIFS('Outages (event ledger)'!$H$2:$H$65,'Outages (event ledger)'!$A$2:$A$65,M$2,'Outages (event ledger)'!$E$2:$E$65,"&lt;="&amp;$B84,'Outages (event ledger)'!$G$2:$G$65,"&gt;="&amp;$B84)</f>
        <v>0</v>
      </c>
      <c r="N84" s="26" t="n">
        <f aca="false">SUMIFS('Outages (event ledger)'!$H$2:$H$65,'Outages (event ledger)'!$A$2:$A$65,N$2,'Outages (event ledger)'!$E$2:$E$65,"&lt;="&amp;$B84,'Outages (event ledger)'!$G$2:$G$65,"&gt;="&amp;$B84)</f>
        <v>0</v>
      </c>
      <c r="O84" s="26" t="n">
        <f aca="false">SUMIFS('Outages (event ledger)'!$H$2:$H$65,'Outages (event ledger)'!$A$2:$A$65,O$2,'Outages (event ledger)'!$E$2:$E$65,"&lt;="&amp;$B84,'Outages (event ledger)'!$G$2:$G$65,"&gt;="&amp;$B84)</f>
        <v>0</v>
      </c>
      <c r="P84" s="26" t="n">
        <f aca="false">SUMIFS('Outages (event ledger)'!$H$2:$H$65,'Outages (event ledger)'!$A$2:$A$65,P$2,'Outages (event ledger)'!$E$2:$E$65,"&lt;="&amp;$B84,'Outages (event ledger)'!$G$2:$G$65,"&gt;="&amp;$B84)</f>
        <v>0</v>
      </c>
      <c r="Q84" s="26" t="n">
        <f aca="false">SUMIFS('Outages (event ledger)'!$H$2:$H$65,'Outages (event ledger)'!$A$2:$A$65,Q$2,'Outages (event ledger)'!$E$2:$E$65,"&lt;="&amp;$B84,'Outages (event ledger)'!$G$2:$G$65,"&gt;="&amp;$B84)</f>
        <v>0</v>
      </c>
      <c r="R84" s="26" t="n">
        <f aca="false">SUMIFS('Outages (event ledger)'!$H$2:$H$65,'Outages (event ledger)'!$A$2:$A$65,R$2,'Outages (event ledger)'!$E$2:$E$65,"&lt;="&amp;$B84,'Outages (event ledger)'!$G$2:$G$65,"&gt;="&amp;$B84)</f>
        <v>0</v>
      </c>
      <c r="S84" s="26" t="n">
        <f aca="false">SUMIFS('Outages (event ledger)'!$H$2:$H$65,'Outages (event ledger)'!$A$2:$A$65,S$2,'Outages (event ledger)'!$E$2:$E$65,"&lt;="&amp;$B84,'Outages (event ledger)'!$G$2:$G$65,"&gt;="&amp;$B84)</f>
        <v>0</v>
      </c>
      <c r="T84" s="26" t="n">
        <f aca="false">SUMIFS('Outages (event ledger)'!$H$2:$H$65,'Outages (event ledger)'!$A$2:$A$65,T$2,'Outages (event ledger)'!$E$2:$E$65,"&lt;="&amp;$B84,'Outages (event ledger)'!$G$2:$G$65,"&gt;="&amp;$B84)</f>
        <v>0</v>
      </c>
      <c r="U84" s="26" t="n">
        <f aca="false">SUMIFS('Outages (event ledger)'!$H$2:$H$65,'Outages (event ledger)'!$A$2:$A$65,U$2,'Outages (event ledger)'!$E$2:$E$65,"&lt;="&amp;$B84,'Outages (event ledger)'!$G$2:$G$65,"&gt;="&amp;$B84)</f>
        <v>0</v>
      </c>
      <c r="V84" s="26" t="n">
        <f aca="false">SUMIFS('Outages (event ledger)'!$H$2:$H$65,'Outages (event ledger)'!$A$2:$A$65,V$2,'Outages (event ledger)'!$E$2:$E$65,"&lt;="&amp;$B84,'Outages (event ledger)'!$G$2:$G$65,"&gt;="&amp;$B84)</f>
        <v>0</v>
      </c>
      <c r="W84" s="26" t="n">
        <f aca="false">SUMIFS('Outages (event ledger)'!$H$2:$H$65,'Outages (event ledger)'!$A$2:$A$65,W$2,'Outages (event ledger)'!$E$2:$E$65,"&lt;="&amp;$B84,'Outages (event ledger)'!$G$2:$G$65,"&gt;="&amp;$B84)</f>
        <v>0</v>
      </c>
      <c r="X84" s="26" t="n">
        <f aca="false">SUMIFS('Outages (event ledger)'!$H$2:$H$65,'Outages (event ledger)'!$A$2:$A$65,X$2,'Outages (event ledger)'!$E$2:$E$65,"&lt;="&amp;$B84,'Outages (event ledger)'!$G$2:$G$65,"&gt;="&amp;$B84)</f>
        <v>0</v>
      </c>
      <c r="Y84" s="26" t="n">
        <f aca="false">SUMIFS('Outages (event ledger)'!$H$2:$H$65,'Outages (event ledger)'!$A$2:$A$65,Y$2,'Outages (event ledger)'!$E$2:$E$65,"&lt;="&amp;$B84,'Outages (event ledger)'!$G$2:$G$65,"&gt;="&amp;$B84)</f>
        <v>5</v>
      </c>
      <c r="Z84" s="26" t="n">
        <f aca="false">SUMIFS('Outages (event ledger)'!$H$2:$H$65,'Outages (event ledger)'!$A$2:$A$65,Z$2,'Outages (event ledger)'!$E$2:$E$65,"&lt;="&amp;$B84,'Outages (event ledger)'!$G$2:$G$65,"&gt;="&amp;$B84)</f>
        <v>5</v>
      </c>
      <c r="AA84" s="26" t="n">
        <f aca="false">SUMIFS('Outages (event ledger)'!$H$2:$H$65,'Outages (event ledger)'!$A$2:$A$65,AA$2,'Outages (event ledger)'!$E$2:$E$65,"&lt;="&amp;$B84,'Outages (event ledger)'!$G$2:$G$65,"&gt;="&amp;$B84)</f>
        <v>0</v>
      </c>
      <c r="AB84" s="26" t="n">
        <f aca="false">SUMIFS('Outages (event ledger)'!$H$2:$H$65,'Outages (event ledger)'!$A$2:$A$65,AB$2,'Outages (event ledger)'!$E$2:$E$65,"&lt;="&amp;$B84,'Outages (event ledger)'!$G$2:$G$65,"&gt;="&amp;$B84)</f>
        <v>8</v>
      </c>
      <c r="AC84" s="26" t="n">
        <f aca="false">SUMIFS('Outages (event ledger)'!$H$2:$H$65,'Outages (event ledger)'!$A$2:$A$65,AC$2,'Outages (event ledger)'!$E$2:$E$65,"&lt;="&amp;$B84,'Outages (event ledger)'!$G$2:$G$65,"&gt;="&amp;$B84)</f>
        <v>0</v>
      </c>
      <c r="AD84" s="26" t="n">
        <f aca="false">SUMIFS('Outages (event ledger)'!$H$2:$H$65,'Outages (event ledger)'!$A$2:$A$65,AD$2,'Outages (event ledger)'!$E$2:$E$65,"&lt;="&amp;$B84,'Outages (event ledger)'!$G$2:$G$65,"&gt;="&amp;$B84)</f>
        <v>0</v>
      </c>
      <c r="AE84" s="26" t="n">
        <f aca="false">SUMIFS('Outages (event ledger)'!$H$2:$H$65,'Outages (event ledger)'!$A$2:$A$65,AE$2,'Outages (event ledger)'!$E$2:$E$65,"&lt;="&amp;$B84,'Outages (event ledger)'!$G$2:$G$65,"&gt;="&amp;$B84)</f>
        <v>0</v>
      </c>
      <c r="AF84" s="26" t="n">
        <f aca="false">SUMIFS('Outages (event ledger)'!$H$2:$H$65,'Outages (event ledger)'!$A$2:$A$65,AF$2,'Outages (event ledger)'!$E$2:$E$65,"&lt;="&amp;$B84,'Outages (event ledger)'!$G$2:$G$65,"&gt;="&amp;$B84)</f>
        <v>0</v>
      </c>
      <c r="AG84" s="26" t="n">
        <f aca="false">SUMIFS('Outages (event ledger)'!$H$2:$H$65,'Outages (event ledger)'!$A$2:$A$65,AG$2,'Outages (event ledger)'!$E$2:$E$65,"&lt;="&amp;$B84,'Outages (event ledger)'!$G$2:$G$65,"&gt;="&amp;$B84)</f>
        <v>0</v>
      </c>
      <c r="AH84" s="26" t="n">
        <f aca="false">SUMIFS('Outages (event ledger)'!$H$2:$H$65,'Outages (event ledger)'!$A$2:$A$65,AH$2,'Outages (event ledger)'!$E$2:$E$65,"&lt;="&amp;$B84,'Outages (event ledger)'!$G$2:$G$65,"&gt;="&amp;$B84)</f>
        <v>0</v>
      </c>
      <c r="AI84" s="26" t="n">
        <f aca="false">SUMIFS('Outages (event ledger)'!$H$2:$H$65,'Outages (event ledger)'!$A$2:$A$65,AI$2,'Outages (event ledger)'!$E$2:$E$65,"&lt;="&amp;$B84,'Outages (event ledger)'!$G$2:$G$65,"&gt;="&amp;$B84)</f>
        <v>0</v>
      </c>
      <c r="AJ84" s="26" t="n">
        <f aca="false">SUMIFS('Outages (event ledger)'!$H$2:$H$65,'Outages (event ledger)'!$A$2:$A$65,AJ$2,'Outages (event ledger)'!$E$2:$E$65,"&lt;="&amp;$B84,'Outages (event ledger)'!$G$2:$G$65,"&gt;="&amp;$B84)</f>
        <v>0</v>
      </c>
      <c r="AK84" s="26" t="n">
        <f aca="false">SUMIFS('Outages (event ledger)'!$H$2:$H$65,'Outages (event ledger)'!$A$2:$A$65,AK$2,'Outages (event ledger)'!$E$2:$E$65,"&lt;="&amp;$B84,'Outages (event ledger)'!$G$2:$G$65,"&gt;="&amp;$B84)</f>
        <v>0</v>
      </c>
      <c r="AL84" s="26" t="n">
        <f aca="false">SUMIFS('Outages (event ledger)'!$H$2:$H$65,'Outages (event ledger)'!$A$2:$A$65,AL$2,'Outages (event ledger)'!$E$2:$E$65,"&lt;="&amp;$B84,'Outages (event ledger)'!$G$2:$G$65,"&gt;="&amp;$B84)</f>
        <v>3.5</v>
      </c>
      <c r="AM84" s="26" t="n">
        <f aca="false">SUMIFS('Outages (event ledger)'!$H$2:$H$65,'Outages (event ledger)'!$A$2:$A$65,AM$2,'Outages (event ledger)'!$E$2:$E$65,"&lt;="&amp;$B84,'Outages (event ledger)'!$G$2:$G$65,"&gt;="&amp;$B84)</f>
        <v>0</v>
      </c>
      <c r="AN84" s="26" t="n">
        <f aca="false">SUMIFS('Outages (event ledger)'!$H$2:$H$65,'Outages (event ledger)'!$A$2:$A$65,AN$2,'Outages (event ledger)'!$E$2:$E$65,"&lt;="&amp;$B84,'Outages (event ledger)'!$G$2:$G$65,"&gt;="&amp;$B84)</f>
        <v>0</v>
      </c>
      <c r="AO84" s="26" t="n">
        <f aca="false">SUMIFS('Outages (event ledger)'!$H$2:$H$65,'Outages (event ledger)'!$A$2:$A$65,AO$2,'Outages (event ledger)'!$E$2:$E$65,"&lt;="&amp;$B84,'Outages (event ledger)'!$G$2:$G$65,"&gt;="&amp;$B84)</f>
        <v>0</v>
      </c>
      <c r="AP84" s="26" t="n">
        <f aca="false">SUMIFS('Outages (event ledger)'!$H$2:$H$65,'Outages (event ledger)'!$A$2:$A$65,AP$2,'Outages (event ledger)'!$E$2:$E$65,"&lt;="&amp;$B84,'Outages (event ledger)'!$G$2:$G$65,"&gt;="&amp;$B84)</f>
        <v>0</v>
      </c>
      <c r="AQ84" s="26" t="n">
        <f aca="false">SUMIFS('Outages (event ledger)'!$H$2:$H$65,'Outages (event ledger)'!$A$2:$A$65,AQ$2,'Outages (event ledger)'!$E$2:$E$65,"&lt;="&amp;$B84,'Outages (event ledger)'!$G$2:$G$65,"&gt;="&amp;$B84)</f>
        <v>0</v>
      </c>
      <c r="AR84" s="26" t="n">
        <f aca="false">SUMIFS('Outages (event ledger)'!$H$2:$H$65,'Outages (event ledger)'!$A$2:$A$65,AR$2,'Outages (event ledger)'!$E$2:$E$65,"&lt;="&amp;$B84,'Outages (event ledger)'!$G$2:$G$65,"&gt;="&amp;$B84)</f>
        <v>0</v>
      </c>
      <c r="AS84" s="26" t="n">
        <f aca="false">SUMIFS('Outages (event ledger)'!$H$2:$H$65,'Outages (event ledger)'!$A$2:$A$65,AS$2,'Outages (event ledger)'!$E$2:$E$65,"&lt;="&amp;$B84,'Outages (event ledger)'!$G$2:$G$65,"&gt;="&amp;$B84)</f>
        <v>0</v>
      </c>
      <c r="AT84" s="26" t="n">
        <f aca="false">SUMIFS('Outages (event ledger)'!$H$2:$H$65,'Outages (event ledger)'!$A$2:$A$65,AT$2,'Outages (event ledger)'!$E$2:$E$65,"&lt;="&amp;$B84,'Outages (event ledger)'!$G$2:$G$65,"&gt;="&amp;$B84)</f>
        <v>0</v>
      </c>
      <c r="AU84" s="26" t="n">
        <f aca="false">SUMIFS('Outages (event ledger)'!$H$2:$H$65,'Outages (event ledger)'!$A$2:$A$65,AU$2,'Outages (event ledger)'!$E$2:$E$65,"&lt;="&amp;$B84,'Outages (event ledger)'!$G$2:$G$65,"&gt;="&amp;$B84)</f>
        <v>0</v>
      </c>
      <c r="AV84" s="26" t="n">
        <f aca="false">SUMIFS('Outages (event ledger)'!$H$2:$H$65,'Outages (event ledger)'!$A$2:$A$65,AV$2,'Outages (event ledger)'!$E$2:$E$65,"&lt;="&amp;$B84,'Outages (event ledger)'!$G$2:$G$65,"&gt;="&amp;$B84)</f>
        <v>0</v>
      </c>
      <c r="AW84" s="26" t="n">
        <f aca="false">SUMIFS('Outages (event ledger)'!$H$2:$H$65,'Outages (event ledger)'!$A$2:$A$65,AW$2,'Outages (event ledger)'!$E$2:$E$65,"&lt;="&amp;$B84,'Outages (event ledger)'!$G$2:$G$65,"&gt;="&amp;$B84)</f>
        <v>0</v>
      </c>
      <c r="AX84" s="26" t="n">
        <f aca="false">SUMIFS('Outages (event ledger)'!$H$2:$H$65,'Outages (event ledger)'!$A$2:$A$65,AX$2,'Outages (event ledger)'!$E$2:$E$65,"&lt;="&amp;$B84,'Outages (event ledger)'!$G$2:$G$65,"&gt;="&amp;$B84)</f>
        <v>0</v>
      </c>
      <c r="AY84" s="26" t="n">
        <f aca="false">SUMIFS('Outages (event ledger)'!$H$2:$H$65,'Outages (event ledger)'!$A$2:$A$65,AY$2,'Outages (event ledger)'!$E$2:$E$65,"&lt;="&amp;$B84,'Outages (event ledger)'!$G$2:$G$65,"&gt;="&amp;$B84)</f>
        <v>0</v>
      </c>
      <c r="AZ84" s="26" t="n">
        <f aca="false">SUMIFS('Outages (event ledger)'!$H$2:$H$65,'Outages (event ledger)'!$A$2:$A$65,AZ$2,'Outages (event ledger)'!$E$2:$E$65,"&lt;="&amp;$B84,'Outages (event ledger)'!$G$2:$G$65,"&gt;="&amp;$B84)</f>
        <v>0</v>
      </c>
      <c r="BA84" s="26" t="n">
        <f aca="false">SUMIFS('Outages (event ledger)'!$H$2:$H$65,'Outages (event ledger)'!$A$2:$A$65,BA$2,'Outages (event ledger)'!$E$2:$E$65,"&lt;="&amp;$B84,'Outages (event ledger)'!$G$2:$G$65,"&gt;="&amp;$B84)</f>
        <v>0</v>
      </c>
      <c r="BB84" s="26" t="n">
        <f aca="false">SUMIFS('Outages (event ledger)'!$H$2:$H$65,'Outages (event ledger)'!$A$2:$A$65,BB$2,'Outages (event ledger)'!$E$2:$E$65,"&lt;="&amp;$B84,'Outages (event ledger)'!$G$2:$G$65,"&gt;="&amp;$B84)</f>
        <v>0</v>
      </c>
      <c r="BC84" s="26" t="n">
        <f aca="false">SUMIFS('Outages (event ledger)'!$H$2:$H$65,'Outages (event ledger)'!$A$2:$A$65,BC$2,'Outages (event ledger)'!$E$2:$E$65,"&lt;="&amp;$B84,'Outages (event ledger)'!$G$2:$G$65,"&gt;="&amp;$B84)</f>
        <v>0</v>
      </c>
      <c r="BD84" s="26" t="n">
        <f aca="false">SUMIFS('Outages (event ledger)'!$H$2:$H$65,'Outages (event ledger)'!$A$2:$A$65,BD$2,'Outages (event ledger)'!$E$2:$E$65,"&lt;="&amp;$B84,'Outages (event ledger)'!$G$2:$G$65,"&gt;="&amp;$B84)</f>
        <v>0</v>
      </c>
      <c r="BE84" s="26" t="n">
        <f aca="false">SUMIFS('Outages (event ledger)'!$H$2:$H$65,'Outages (event ledger)'!$A$2:$A$65,BE$2,'Outages (event ledger)'!$E$2:$E$65,"&lt;="&amp;$B84,'Outages (event ledger)'!$G$2:$G$65,"&gt;="&amp;$B84)</f>
        <v>0</v>
      </c>
      <c r="BF84" s="26" t="n">
        <f aca="false">SUMIFS('Outages (event ledger)'!$H$2:$H$65,'Outages (event ledger)'!$A$2:$A$65,BF$2,'Outages (event ledger)'!$E$2:$E$65,"&lt;="&amp;$B84,'Outages (event ledger)'!$G$2:$G$65,"&gt;="&amp;$B84)</f>
        <v>0</v>
      </c>
      <c r="BG84" s="26" t="n">
        <f aca="false">SUMIFS('Outages (event ledger)'!$H$2:$H$65,'Outages (event ledger)'!$A$2:$A$65,BG$2,'Outages (event ledger)'!$E$2:$E$65,"&lt;="&amp;$B84,'Outages (event ledger)'!$G$2:$G$65,"&gt;="&amp;$B84)</f>
        <v>0</v>
      </c>
      <c r="BH84" s="26" t="n">
        <f aca="false">SUMIFS('Outages (event ledger)'!$H$2:$H$65,'Outages (event ledger)'!$A$2:$A$65,BH$2,'Outages (event ledger)'!$E$2:$E$65,"&lt;="&amp;$B84,'Outages (event ledger)'!$G$2:$G$65,"&gt;="&amp;$B84)</f>
        <v>0</v>
      </c>
      <c r="BI84" s="26" t="n">
        <f aca="false">SUMIFS('Outages (event ledger)'!$H$2:$H$65,'Outages (event ledger)'!$A$2:$A$65,BI$2,'Outages (event ledger)'!$E$2:$E$65,"&lt;="&amp;$B84,'Outages (event ledger)'!$G$2:$G$65,"&gt;="&amp;$B84)</f>
        <v>6.7</v>
      </c>
    </row>
    <row r="85" customFormat="false" ht="15" hidden="false" customHeight="false" outlineLevel="0" collapsed="false">
      <c r="A85" s="23" t="n">
        <v>42675</v>
      </c>
      <c r="B85" s="24" t="n">
        <v>201611</v>
      </c>
      <c r="C85" s="25" t="n">
        <f aca="false">SUM(D85:BI85)</f>
        <v>28.2</v>
      </c>
      <c r="D85" s="26" t="n">
        <f aca="false">SUMIFS('Outages (event ledger)'!$H$2:$H$65,'Outages (event ledger)'!$A$2:$A$65,D$2,'Outages (event ledger)'!$E$2:$E$65,"&lt;="&amp;$B85,'Outages (event ledger)'!$G$2:$G$65,"&gt;="&amp;$B85)</f>
        <v>0</v>
      </c>
      <c r="E85" s="26" t="n">
        <f aca="false">SUMIFS('Outages (event ledger)'!$H$2:$H$65,'Outages (event ledger)'!$A$2:$A$65,E$2,'Outages (event ledger)'!$E$2:$E$65,"&lt;="&amp;$B85,'Outages (event ledger)'!$G$2:$G$65,"&gt;="&amp;$B85)</f>
        <v>0</v>
      </c>
      <c r="F85" s="26" t="n">
        <f aca="false">SUMIFS('Outages (event ledger)'!$H$2:$H$65,'Outages (event ledger)'!$A$2:$A$65,F$2,'Outages (event ledger)'!$E$2:$E$65,"&lt;="&amp;$B85,'Outages (event ledger)'!$G$2:$G$65,"&gt;="&amp;$B85)</f>
        <v>0</v>
      </c>
      <c r="G85" s="26" t="n">
        <f aca="false">SUMIFS('Outages (event ledger)'!$H$2:$H$65,'Outages (event ledger)'!$A$2:$A$65,G$2,'Outages (event ledger)'!$E$2:$E$65,"&lt;="&amp;$B85,'Outages (event ledger)'!$G$2:$G$65,"&gt;="&amp;$B85)</f>
        <v>0</v>
      </c>
      <c r="H85" s="26" t="n">
        <f aca="false">SUMIFS('Outages (event ledger)'!$H$2:$H$65,'Outages (event ledger)'!$A$2:$A$65,H$2,'Outages (event ledger)'!$E$2:$E$65,"&lt;="&amp;$B85,'Outages (event ledger)'!$G$2:$G$65,"&gt;="&amp;$B85)</f>
        <v>0</v>
      </c>
      <c r="I85" s="26" t="n">
        <f aca="false">SUMIFS('Outages (event ledger)'!$H$2:$H$65,'Outages (event ledger)'!$A$2:$A$65,I$2,'Outages (event ledger)'!$E$2:$E$65,"&lt;="&amp;$B85,'Outages (event ledger)'!$G$2:$G$65,"&gt;="&amp;$B85)</f>
        <v>0</v>
      </c>
      <c r="J85" s="26" t="n">
        <f aca="false">SUMIFS('Outages (event ledger)'!$H$2:$H$65,'Outages (event ledger)'!$A$2:$A$65,J$2,'Outages (event ledger)'!$E$2:$E$65,"&lt;="&amp;$B85,'Outages (event ledger)'!$G$2:$G$65,"&gt;="&amp;$B85)</f>
        <v>0</v>
      </c>
      <c r="K85" s="26" t="n">
        <f aca="false">SUMIFS('Outages (event ledger)'!$H$2:$H$65,'Outages (event ledger)'!$A$2:$A$65,K$2,'Outages (event ledger)'!$E$2:$E$65,"&lt;="&amp;$B85,'Outages (event ledger)'!$G$2:$G$65,"&gt;="&amp;$B85)</f>
        <v>0</v>
      </c>
      <c r="L85" s="26" t="n">
        <f aca="false">SUMIFS('Outages (event ledger)'!$H$2:$H$65,'Outages (event ledger)'!$A$2:$A$65,L$2,'Outages (event ledger)'!$E$2:$E$65,"&lt;="&amp;$B85,'Outages (event ledger)'!$G$2:$G$65,"&gt;="&amp;$B85)</f>
        <v>0</v>
      </c>
      <c r="M85" s="26" t="n">
        <f aca="false">SUMIFS('Outages (event ledger)'!$H$2:$H$65,'Outages (event ledger)'!$A$2:$A$65,M$2,'Outages (event ledger)'!$E$2:$E$65,"&lt;="&amp;$B85,'Outages (event ledger)'!$G$2:$G$65,"&gt;="&amp;$B85)</f>
        <v>0</v>
      </c>
      <c r="N85" s="26" t="n">
        <f aca="false">SUMIFS('Outages (event ledger)'!$H$2:$H$65,'Outages (event ledger)'!$A$2:$A$65,N$2,'Outages (event ledger)'!$E$2:$E$65,"&lt;="&amp;$B85,'Outages (event ledger)'!$G$2:$G$65,"&gt;="&amp;$B85)</f>
        <v>0</v>
      </c>
      <c r="O85" s="26" t="n">
        <f aca="false">SUMIFS('Outages (event ledger)'!$H$2:$H$65,'Outages (event ledger)'!$A$2:$A$65,O$2,'Outages (event ledger)'!$E$2:$E$65,"&lt;="&amp;$B85,'Outages (event ledger)'!$G$2:$G$65,"&gt;="&amp;$B85)</f>
        <v>0</v>
      </c>
      <c r="P85" s="26" t="n">
        <f aca="false">SUMIFS('Outages (event ledger)'!$H$2:$H$65,'Outages (event ledger)'!$A$2:$A$65,P$2,'Outages (event ledger)'!$E$2:$E$65,"&lt;="&amp;$B85,'Outages (event ledger)'!$G$2:$G$65,"&gt;="&amp;$B85)</f>
        <v>0</v>
      </c>
      <c r="Q85" s="26" t="n">
        <f aca="false">SUMIFS('Outages (event ledger)'!$H$2:$H$65,'Outages (event ledger)'!$A$2:$A$65,Q$2,'Outages (event ledger)'!$E$2:$E$65,"&lt;="&amp;$B85,'Outages (event ledger)'!$G$2:$G$65,"&gt;="&amp;$B85)</f>
        <v>0</v>
      </c>
      <c r="R85" s="26" t="n">
        <f aca="false">SUMIFS('Outages (event ledger)'!$H$2:$H$65,'Outages (event ledger)'!$A$2:$A$65,R$2,'Outages (event ledger)'!$E$2:$E$65,"&lt;="&amp;$B85,'Outages (event ledger)'!$G$2:$G$65,"&gt;="&amp;$B85)</f>
        <v>0</v>
      </c>
      <c r="S85" s="26" t="n">
        <f aca="false">SUMIFS('Outages (event ledger)'!$H$2:$H$65,'Outages (event ledger)'!$A$2:$A$65,S$2,'Outages (event ledger)'!$E$2:$E$65,"&lt;="&amp;$B85,'Outages (event ledger)'!$G$2:$G$65,"&gt;="&amp;$B85)</f>
        <v>0</v>
      </c>
      <c r="T85" s="26" t="n">
        <f aca="false">SUMIFS('Outages (event ledger)'!$H$2:$H$65,'Outages (event ledger)'!$A$2:$A$65,T$2,'Outages (event ledger)'!$E$2:$E$65,"&lt;="&amp;$B85,'Outages (event ledger)'!$G$2:$G$65,"&gt;="&amp;$B85)</f>
        <v>0</v>
      </c>
      <c r="U85" s="26" t="n">
        <f aca="false">SUMIFS('Outages (event ledger)'!$H$2:$H$65,'Outages (event ledger)'!$A$2:$A$65,U$2,'Outages (event ledger)'!$E$2:$E$65,"&lt;="&amp;$B85,'Outages (event ledger)'!$G$2:$G$65,"&gt;="&amp;$B85)</f>
        <v>0</v>
      </c>
      <c r="V85" s="26" t="n">
        <f aca="false">SUMIFS('Outages (event ledger)'!$H$2:$H$65,'Outages (event ledger)'!$A$2:$A$65,V$2,'Outages (event ledger)'!$E$2:$E$65,"&lt;="&amp;$B85,'Outages (event ledger)'!$G$2:$G$65,"&gt;="&amp;$B85)</f>
        <v>0</v>
      </c>
      <c r="W85" s="26" t="n">
        <f aca="false">SUMIFS('Outages (event ledger)'!$H$2:$H$65,'Outages (event ledger)'!$A$2:$A$65,W$2,'Outages (event ledger)'!$E$2:$E$65,"&lt;="&amp;$B85,'Outages (event ledger)'!$G$2:$G$65,"&gt;="&amp;$B85)</f>
        <v>0</v>
      </c>
      <c r="X85" s="26" t="n">
        <f aca="false">SUMIFS('Outages (event ledger)'!$H$2:$H$65,'Outages (event ledger)'!$A$2:$A$65,X$2,'Outages (event ledger)'!$E$2:$E$65,"&lt;="&amp;$B85,'Outages (event ledger)'!$G$2:$G$65,"&gt;="&amp;$B85)</f>
        <v>0</v>
      </c>
      <c r="Y85" s="26" t="n">
        <f aca="false">SUMIFS('Outages (event ledger)'!$H$2:$H$65,'Outages (event ledger)'!$A$2:$A$65,Y$2,'Outages (event ledger)'!$E$2:$E$65,"&lt;="&amp;$B85,'Outages (event ledger)'!$G$2:$G$65,"&gt;="&amp;$B85)</f>
        <v>5</v>
      </c>
      <c r="Z85" s="26" t="n">
        <f aca="false">SUMIFS('Outages (event ledger)'!$H$2:$H$65,'Outages (event ledger)'!$A$2:$A$65,Z$2,'Outages (event ledger)'!$E$2:$E$65,"&lt;="&amp;$B85,'Outages (event ledger)'!$G$2:$G$65,"&gt;="&amp;$B85)</f>
        <v>5</v>
      </c>
      <c r="AA85" s="26" t="n">
        <f aca="false">SUMIFS('Outages (event ledger)'!$H$2:$H$65,'Outages (event ledger)'!$A$2:$A$65,AA$2,'Outages (event ledger)'!$E$2:$E$65,"&lt;="&amp;$B85,'Outages (event ledger)'!$G$2:$G$65,"&gt;="&amp;$B85)</f>
        <v>0</v>
      </c>
      <c r="AB85" s="26" t="n">
        <f aca="false">SUMIFS('Outages (event ledger)'!$H$2:$H$65,'Outages (event ledger)'!$A$2:$A$65,AB$2,'Outages (event ledger)'!$E$2:$E$65,"&lt;="&amp;$B85,'Outages (event ledger)'!$G$2:$G$65,"&gt;="&amp;$B85)</f>
        <v>8</v>
      </c>
      <c r="AC85" s="26" t="n">
        <f aca="false">SUMIFS('Outages (event ledger)'!$H$2:$H$65,'Outages (event ledger)'!$A$2:$A$65,AC$2,'Outages (event ledger)'!$E$2:$E$65,"&lt;="&amp;$B85,'Outages (event ledger)'!$G$2:$G$65,"&gt;="&amp;$B85)</f>
        <v>0</v>
      </c>
      <c r="AD85" s="26" t="n">
        <f aca="false">SUMIFS('Outages (event ledger)'!$H$2:$H$65,'Outages (event ledger)'!$A$2:$A$65,AD$2,'Outages (event ledger)'!$E$2:$E$65,"&lt;="&amp;$B85,'Outages (event ledger)'!$G$2:$G$65,"&gt;="&amp;$B85)</f>
        <v>0</v>
      </c>
      <c r="AE85" s="26" t="n">
        <f aca="false">SUMIFS('Outages (event ledger)'!$H$2:$H$65,'Outages (event ledger)'!$A$2:$A$65,AE$2,'Outages (event ledger)'!$E$2:$E$65,"&lt;="&amp;$B85,'Outages (event ledger)'!$G$2:$G$65,"&gt;="&amp;$B85)</f>
        <v>0</v>
      </c>
      <c r="AF85" s="26" t="n">
        <f aca="false">SUMIFS('Outages (event ledger)'!$H$2:$H$65,'Outages (event ledger)'!$A$2:$A$65,AF$2,'Outages (event ledger)'!$E$2:$E$65,"&lt;="&amp;$B85,'Outages (event ledger)'!$G$2:$G$65,"&gt;="&amp;$B85)</f>
        <v>0</v>
      </c>
      <c r="AG85" s="26" t="n">
        <f aca="false">SUMIFS('Outages (event ledger)'!$H$2:$H$65,'Outages (event ledger)'!$A$2:$A$65,AG$2,'Outages (event ledger)'!$E$2:$E$65,"&lt;="&amp;$B85,'Outages (event ledger)'!$G$2:$G$65,"&gt;="&amp;$B85)</f>
        <v>0</v>
      </c>
      <c r="AH85" s="26" t="n">
        <f aca="false">SUMIFS('Outages (event ledger)'!$H$2:$H$65,'Outages (event ledger)'!$A$2:$A$65,AH$2,'Outages (event ledger)'!$E$2:$E$65,"&lt;="&amp;$B85,'Outages (event ledger)'!$G$2:$G$65,"&gt;="&amp;$B85)</f>
        <v>0</v>
      </c>
      <c r="AI85" s="26" t="n">
        <f aca="false">SUMIFS('Outages (event ledger)'!$H$2:$H$65,'Outages (event ledger)'!$A$2:$A$65,AI$2,'Outages (event ledger)'!$E$2:$E$65,"&lt;="&amp;$B85,'Outages (event ledger)'!$G$2:$G$65,"&gt;="&amp;$B85)</f>
        <v>0</v>
      </c>
      <c r="AJ85" s="26" t="n">
        <f aca="false">SUMIFS('Outages (event ledger)'!$H$2:$H$65,'Outages (event ledger)'!$A$2:$A$65,AJ$2,'Outages (event ledger)'!$E$2:$E$65,"&lt;="&amp;$B85,'Outages (event ledger)'!$G$2:$G$65,"&gt;="&amp;$B85)</f>
        <v>0</v>
      </c>
      <c r="AK85" s="26" t="n">
        <f aca="false">SUMIFS('Outages (event ledger)'!$H$2:$H$65,'Outages (event ledger)'!$A$2:$A$65,AK$2,'Outages (event ledger)'!$E$2:$E$65,"&lt;="&amp;$B85,'Outages (event ledger)'!$G$2:$G$65,"&gt;="&amp;$B85)</f>
        <v>0</v>
      </c>
      <c r="AL85" s="26" t="n">
        <f aca="false">SUMIFS('Outages (event ledger)'!$H$2:$H$65,'Outages (event ledger)'!$A$2:$A$65,AL$2,'Outages (event ledger)'!$E$2:$E$65,"&lt;="&amp;$B85,'Outages (event ledger)'!$G$2:$G$65,"&gt;="&amp;$B85)</f>
        <v>3.5</v>
      </c>
      <c r="AM85" s="26" t="n">
        <f aca="false">SUMIFS('Outages (event ledger)'!$H$2:$H$65,'Outages (event ledger)'!$A$2:$A$65,AM$2,'Outages (event ledger)'!$E$2:$E$65,"&lt;="&amp;$B85,'Outages (event ledger)'!$G$2:$G$65,"&gt;="&amp;$B85)</f>
        <v>0</v>
      </c>
      <c r="AN85" s="26" t="n">
        <f aca="false">SUMIFS('Outages (event ledger)'!$H$2:$H$65,'Outages (event ledger)'!$A$2:$A$65,AN$2,'Outages (event ledger)'!$E$2:$E$65,"&lt;="&amp;$B85,'Outages (event ledger)'!$G$2:$G$65,"&gt;="&amp;$B85)</f>
        <v>0</v>
      </c>
      <c r="AO85" s="26" t="n">
        <f aca="false">SUMIFS('Outages (event ledger)'!$H$2:$H$65,'Outages (event ledger)'!$A$2:$A$65,AO$2,'Outages (event ledger)'!$E$2:$E$65,"&lt;="&amp;$B85,'Outages (event ledger)'!$G$2:$G$65,"&gt;="&amp;$B85)</f>
        <v>0</v>
      </c>
      <c r="AP85" s="26" t="n">
        <f aca="false">SUMIFS('Outages (event ledger)'!$H$2:$H$65,'Outages (event ledger)'!$A$2:$A$65,AP$2,'Outages (event ledger)'!$E$2:$E$65,"&lt;="&amp;$B85,'Outages (event ledger)'!$G$2:$G$65,"&gt;="&amp;$B85)</f>
        <v>0</v>
      </c>
      <c r="AQ85" s="26" t="n">
        <f aca="false">SUMIFS('Outages (event ledger)'!$H$2:$H$65,'Outages (event ledger)'!$A$2:$A$65,AQ$2,'Outages (event ledger)'!$E$2:$E$65,"&lt;="&amp;$B85,'Outages (event ledger)'!$G$2:$G$65,"&gt;="&amp;$B85)</f>
        <v>0</v>
      </c>
      <c r="AR85" s="26" t="n">
        <f aca="false">SUMIFS('Outages (event ledger)'!$H$2:$H$65,'Outages (event ledger)'!$A$2:$A$65,AR$2,'Outages (event ledger)'!$E$2:$E$65,"&lt;="&amp;$B85,'Outages (event ledger)'!$G$2:$G$65,"&gt;="&amp;$B85)</f>
        <v>0</v>
      </c>
      <c r="AS85" s="26" t="n">
        <f aca="false">SUMIFS('Outages (event ledger)'!$H$2:$H$65,'Outages (event ledger)'!$A$2:$A$65,AS$2,'Outages (event ledger)'!$E$2:$E$65,"&lt;="&amp;$B85,'Outages (event ledger)'!$G$2:$G$65,"&gt;="&amp;$B85)</f>
        <v>0</v>
      </c>
      <c r="AT85" s="26" t="n">
        <f aca="false">SUMIFS('Outages (event ledger)'!$H$2:$H$65,'Outages (event ledger)'!$A$2:$A$65,AT$2,'Outages (event ledger)'!$E$2:$E$65,"&lt;="&amp;$B85,'Outages (event ledger)'!$G$2:$G$65,"&gt;="&amp;$B85)</f>
        <v>0</v>
      </c>
      <c r="AU85" s="26" t="n">
        <f aca="false">SUMIFS('Outages (event ledger)'!$H$2:$H$65,'Outages (event ledger)'!$A$2:$A$65,AU$2,'Outages (event ledger)'!$E$2:$E$65,"&lt;="&amp;$B85,'Outages (event ledger)'!$G$2:$G$65,"&gt;="&amp;$B85)</f>
        <v>0</v>
      </c>
      <c r="AV85" s="26" t="n">
        <f aca="false">SUMIFS('Outages (event ledger)'!$H$2:$H$65,'Outages (event ledger)'!$A$2:$A$65,AV$2,'Outages (event ledger)'!$E$2:$E$65,"&lt;="&amp;$B85,'Outages (event ledger)'!$G$2:$G$65,"&gt;="&amp;$B85)</f>
        <v>0</v>
      </c>
      <c r="AW85" s="26" t="n">
        <f aca="false">SUMIFS('Outages (event ledger)'!$H$2:$H$65,'Outages (event ledger)'!$A$2:$A$65,AW$2,'Outages (event ledger)'!$E$2:$E$65,"&lt;="&amp;$B85,'Outages (event ledger)'!$G$2:$G$65,"&gt;="&amp;$B85)</f>
        <v>0</v>
      </c>
      <c r="AX85" s="26" t="n">
        <f aca="false">SUMIFS('Outages (event ledger)'!$H$2:$H$65,'Outages (event ledger)'!$A$2:$A$65,AX$2,'Outages (event ledger)'!$E$2:$E$65,"&lt;="&amp;$B85,'Outages (event ledger)'!$G$2:$G$65,"&gt;="&amp;$B85)</f>
        <v>0</v>
      </c>
      <c r="AY85" s="26" t="n">
        <f aca="false">SUMIFS('Outages (event ledger)'!$H$2:$H$65,'Outages (event ledger)'!$A$2:$A$65,AY$2,'Outages (event ledger)'!$E$2:$E$65,"&lt;="&amp;$B85,'Outages (event ledger)'!$G$2:$G$65,"&gt;="&amp;$B85)</f>
        <v>0</v>
      </c>
      <c r="AZ85" s="26" t="n">
        <f aca="false">SUMIFS('Outages (event ledger)'!$H$2:$H$65,'Outages (event ledger)'!$A$2:$A$65,AZ$2,'Outages (event ledger)'!$E$2:$E$65,"&lt;="&amp;$B85,'Outages (event ledger)'!$G$2:$G$65,"&gt;="&amp;$B85)</f>
        <v>0</v>
      </c>
      <c r="BA85" s="26" t="n">
        <f aca="false">SUMIFS('Outages (event ledger)'!$H$2:$H$65,'Outages (event ledger)'!$A$2:$A$65,BA$2,'Outages (event ledger)'!$E$2:$E$65,"&lt;="&amp;$B85,'Outages (event ledger)'!$G$2:$G$65,"&gt;="&amp;$B85)</f>
        <v>0</v>
      </c>
      <c r="BB85" s="26" t="n">
        <f aca="false">SUMIFS('Outages (event ledger)'!$H$2:$H$65,'Outages (event ledger)'!$A$2:$A$65,BB$2,'Outages (event ledger)'!$E$2:$E$65,"&lt;="&amp;$B85,'Outages (event ledger)'!$G$2:$G$65,"&gt;="&amp;$B85)</f>
        <v>0</v>
      </c>
      <c r="BC85" s="26" t="n">
        <f aca="false">SUMIFS('Outages (event ledger)'!$H$2:$H$65,'Outages (event ledger)'!$A$2:$A$65,BC$2,'Outages (event ledger)'!$E$2:$E$65,"&lt;="&amp;$B85,'Outages (event ledger)'!$G$2:$G$65,"&gt;="&amp;$B85)</f>
        <v>0</v>
      </c>
      <c r="BD85" s="26" t="n">
        <f aca="false">SUMIFS('Outages (event ledger)'!$H$2:$H$65,'Outages (event ledger)'!$A$2:$A$65,BD$2,'Outages (event ledger)'!$E$2:$E$65,"&lt;="&amp;$B85,'Outages (event ledger)'!$G$2:$G$65,"&gt;="&amp;$B85)</f>
        <v>0</v>
      </c>
      <c r="BE85" s="26" t="n">
        <f aca="false">SUMIFS('Outages (event ledger)'!$H$2:$H$65,'Outages (event ledger)'!$A$2:$A$65,BE$2,'Outages (event ledger)'!$E$2:$E$65,"&lt;="&amp;$B85,'Outages (event ledger)'!$G$2:$G$65,"&gt;="&amp;$B85)</f>
        <v>0</v>
      </c>
      <c r="BF85" s="26" t="n">
        <f aca="false">SUMIFS('Outages (event ledger)'!$H$2:$H$65,'Outages (event ledger)'!$A$2:$A$65,BF$2,'Outages (event ledger)'!$E$2:$E$65,"&lt;="&amp;$B85,'Outages (event ledger)'!$G$2:$G$65,"&gt;="&amp;$B85)</f>
        <v>0</v>
      </c>
      <c r="BG85" s="26" t="n">
        <f aca="false">SUMIFS('Outages (event ledger)'!$H$2:$H$65,'Outages (event ledger)'!$A$2:$A$65,BG$2,'Outages (event ledger)'!$E$2:$E$65,"&lt;="&amp;$B85,'Outages (event ledger)'!$G$2:$G$65,"&gt;="&amp;$B85)</f>
        <v>0</v>
      </c>
      <c r="BH85" s="26" t="n">
        <f aca="false">SUMIFS('Outages (event ledger)'!$H$2:$H$65,'Outages (event ledger)'!$A$2:$A$65,BH$2,'Outages (event ledger)'!$E$2:$E$65,"&lt;="&amp;$B85,'Outages (event ledger)'!$G$2:$G$65,"&gt;="&amp;$B85)</f>
        <v>0</v>
      </c>
      <c r="BI85" s="26" t="n">
        <f aca="false">SUMIFS('Outages (event ledger)'!$H$2:$H$65,'Outages (event ledger)'!$A$2:$A$65,BI$2,'Outages (event ledger)'!$E$2:$E$65,"&lt;="&amp;$B85,'Outages (event ledger)'!$G$2:$G$65,"&gt;="&amp;$B85)</f>
        <v>6.7</v>
      </c>
    </row>
    <row r="86" customFormat="false" ht="15" hidden="false" customHeight="false" outlineLevel="0" collapsed="false">
      <c r="A86" s="23" t="n">
        <v>42705</v>
      </c>
      <c r="B86" s="24" t="n">
        <v>201612</v>
      </c>
      <c r="C86" s="25" t="n">
        <f aca="false">SUM(D86:BI86)</f>
        <v>28.2</v>
      </c>
      <c r="D86" s="26" t="n">
        <f aca="false">SUMIFS('Outages (event ledger)'!$H$2:$H$65,'Outages (event ledger)'!$A$2:$A$65,D$2,'Outages (event ledger)'!$E$2:$E$65,"&lt;="&amp;$B86,'Outages (event ledger)'!$G$2:$G$65,"&gt;="&amp;$B86)</f>
        <v>0</v>
      </c>
      <c r="E86" s="26" t="n">
        <f aca="false">SUMIFS('Outages (event ledger)'!$H$2:$H$65,'Outages (event ledger)'!$A$2:$A$65,E$2,'Outages (event ledger)'!$E$2:$E$65,"&lt;="&amp;$B86,'Outages (event ledger)'!$G$2:$G$65,"&gt;="&amp;$B86)</f>
        <v>0</v>
      </c>
      <c r="F86" s="26" t="n">
        <f aca="false">SUMIFS('Outages (event ledger)'!$H$2:$H$65,'Outages (event ledger)'!$A$2:$A$65,F$2,'Outages (event ledger)'!$E$2:$E$65,"&lt;="&amp;$B86,'Outages (event ledger)'!$G$2:$G$65,"&gt;="&amp;$B86)</f>
        <v>0</v>
      </c>
      <c r="G86" s="26" t="n">
        <f aca="false">SUMIFS('Outages (event ledger)'!$H$2:$H$65,'Outages (event ledger)'!$A$2:$A$65,G$2,'Outages (event ledger)'!$E$2:$E$65,"&lt;="&amp;$B86,'Outages (event ledger)'!$G$2:$G$65,"&gt;="&amp;$B86)</f>
        <v>0</v>
      </c>
      <c r="H86" s="26" t="n">
        <f aca="false">SUMIFS('Outages (event ledger)'!$H$2:$H$65,'Outages (event ledger)'!$A$2:$A$65,H$2,'Outages (event ledger)'!$E$2:$E$65,"&lt;="&amp;$B86,'Outages (event ledger)'!$G$2:$G$65,"&gt;="&amp;$B86)</f>
        <v>0</v>
      </c>
      <c r="I86" s="26" t="n">
        <f aca="false">SUMIFS('Outages (event ledger)'!$H$2:$H$65,'Outages (event ledger)'!$A$2:$A$65,I$2,'Outages (event ledger)'!$E$2:$E$65,"&lt;="&amp;$B86,'Outages (event ledger)'!$G$2:$G$65,"&gt;="&amp;$B86)</f>
        <v>0</v>
      </c>
      <c r="J86" s="26" t="n">
        <f aca="false">SUMIFS('Outages (event ledger)'!$H$2:$H$65,'Outages (event ledger)'!$A$2:$A$65,J$2,'Outages (event ledger)'!$E$2:$E$65,"&lt;="&amp;$B86,'Outages (event ledger)'!$G$2:$G$65,"&gt;="&amp;$B86)</f>
        <v>0</v>
      </c>
      <c r="K86" s="26" t="n">
        <f aca="false">SUMIFS('Outages (event ledger)'!$H$2:$H$65,'Outages (event ledger)'!$A$2:$A$65,K$2,'Outages (event ledger)'!$E$2:$E$65,"&lt;="&amp;$B86,'Outages (event ledger)'!$G$2:$G$65,"&gt;="&amp;$B86)</f>
        <v>0</v>
      </c>
      <c r="L86" s="26" t="n">
        <f aca="false">SUMIFS('Outages (event ledger)'!$H$2:$H$65,'Outages (event ledger)'!$A$2:$A$65,L$2,'Outages (event ledger)'!$E$2:$E$65,"&lt;="&amp;$B86,'Outages (event ledger)'!$G$2:$G$65,"&gt;="&amp;$B86)</f>
        <v>0</v>
      </c>
      <c r="M86" s="26" t="n">
        <f aca="false">SUMIFS('Outages (event ledger)'!$H$2:$H$65,'Outages (event ledger)'!$A$2:$A$65,M$2,'Outages (event ledger)'!$E$2:$E$65,"&lt;="&amp;$B86,'Outages (event ledger)'!$G$2:$G$65,"&gt;="&amp;$B86)</f>
        <v>0</v>
      </c>
      <c r="N86" s="26" t="n">
        <f aca="false">SUMIFS('Outages (event ledger)'!$H$2:$H$65,'Outages (event ledger)'!$A$2:$A$65,N$2,'Outages (event ledger)'!$E$2:$E$65,"&lt;="&amp;$B86,'Outages (event ledger)'!$G$2:$G$65,"&gt;="&amp;$B86)</f>
        <v>0</v>
      </c>
      <c r="O86" s="26" t="n">
        <f aca="false">SUMIFS('Outages (event ledger)'!$H$2:$H$65,'Outages (event ledger)'!$A$2:$A$65,O$2,'Outages (event ledger)'!$E$2:$E$65,"&lt;="&amp;$B86,'Outages (event ledger)'!$G$2:$G$65,"&gt;="&amp;$B86)</f>
        <v>0</v>
      </c>
      <c r="P86" s="26" t="n">
        <f aca="false">SUMIFS('Outages (event ledger)'!$H$2:$H$65,'Outages (event ledger)'!$A$2:$A$65,P$2,'Outages (event ledger)'!$E$2:$E$65,"&lt;="&amp;$B86,'Outages (event ledger)'!$G$2:$G$65,"&gt;="&amp;$B86)</f>
        <v>0</v>
      </c>
      <c r="Q86" s="26" t="n">
        <f aca="false">SUMIFS('Outages (event ledger)'!$H$2:$H$65,'Outages (event ledger)'!$A$2:$A$65,Q$2,'Outages (event ledger)'!$E$2:$E$65,"&lt;="&amp;$B86,'Outages (event ledger)'!$G$2:$G$65,"&gt;="&amp;$B86)</f>
        <v>0</v>
      </c>
      <c r="R86" s="26" t="n">
        <f aca="false">SUMIFS('Outages (event ledger)'!$H$2:$H$65,'Outages (event ledger)'!$A$2:$A$65,R$2,'Outages (event ledger)'!$E$2:$E$65,"&lt;="&amp;$B86,'Outages (event ledger)'!$G$2:$G$65,"&gt;="&amp;$B86)</f>
        <v>0</v>
      </c>
      <c r="S86" s="26" t="n">
        <f aca="false">SUMIFS('Outages (event ledger)'!$H$2:$H$65,'Outages (event ledger)'!$A$2:$A$65,S$2,'Outages (event ledger)'!$E$2:$E$65,"&lt;="&amp;$B86,'Outages (event ledger)'!$G$2:$G$65,"&gt;="&amp;$B86)</f>
        <v>0</v>
      </c>
      <c r="T86" s="26" t="n">
        <f aca="false">SUMIFS('Outages (event ledger)'!$H$2:$H$65,'Outages (event ledger)'!$A$2:$A$65,T$2,'Outages (event ledger)'!$E$2:$E$65,"&lt;="&amp;$B86,'Outages (event ledger)'!$G$2:$G$65,"&gt;="&amp;$B86)</f>
        <v>0</v>
      </c>
      <c r="U86" s="26" t="n">
        <f aca="false">SUMIFS('Outages (event ledger)'!$H$2:$H$65,'Outages (event ledger)'!$A$2:$A$65,U$2,'Outages (event ledger)'!$E$2:$E$65,"&lt;="&amp;$B86,'Outages (event ledger)'!$G$2:$G$65,"&gt;="&amp;$B86)</f>
        <v>0</v>
      </c>
      <c r="V86" s="26" t="n">
        <f aca="false">SUMIFS('Outages (event ledger)'!$H$2:$H$65,'Outages (event ledger)'!$A$2:$A$65,V$2,'Outages (event ledger)'!$E$2:$E$65,"&lt;="&amp;$B86,'Outages (event ledger)'!$G$2:$G$65,"&gt;="&amp;$B86)</f>
        <v>0</v>
      </c>
      <c r="W86" s="26" t="n">
        <f aca="false">SUMIFS('Outages (event ledger)'!$H$2:$H$65,'Outages (event ledger)'!$A$2:$A$65,W$2,'Outages (event ledger)'!$E$2:$E$65,"&lt;="&amp;$B86,'Outages (event ledger)'!$G$2:$G$65,"&gt;="&amp;$B86)</f>
        <v>0</v>
      </c>
      <c r="X86" s="26" t="n">
        <f aca="false">SUMIFS('Outages (event ledger)'!$H$2:$H$65,'Outages (event ledger)'!$A$2:$A$65,X$2,'Outages (event ledger)'!$E$2:$E$65,"&lt;="&amp;$B86,'Outages (event ledger)'!$G$2:$G$65,"&gt;="&amp;$B86)</f>
        <v>0</v>
      </c>
      <c r="Y86" s="26" t="n">
        <f aca="false">SUMIFS('Outages (event ledger)'!$H$2:$H$65,'Outages (event ledger)'!$A$2:$A$65,Y$2,'Outages (event ledger)'!$E$2:$E$65,"&lt;="&amp;$B86,'Outages (event ledger)'!$G$2:$G$65,"&gt;="&amp;$B86)</f>
        <v>5</v>
      </c>
      <c r="Z86" s="26" t="n">
        <f aca="false">SUMIFS('Outages (event ledger)'!$H$2:$H$65,'Outages (event ledger)'!$A$2:$A$65,Z$2,'Outages (event ledger)'!$E$2:$E$65,"&lt;="&amp;$B86,'Outages (event ledger)'!$G$2:$G$65,"&gt;="&amp;$B86)</f>
        <v>5</v>
      </c>
      <c r="AA86" s="26" t="n">
        <f aca="false">SUMIFS('Outages (event ledger)'!$H$2:$H$65,'Outages (event ledger)'!$A$2:$A$65,AA$2,'Outages (event ledger)'!$E$2:$E$65,"&lt;="&amp;$B86,'Outages (event ledger)'!$G$2:$G$65,"&gt;="&amp;$B86)</f>
        <v>0</v>
      </c>
      <c r="AB86" s="26" t="n">
        <f aca="false">SUMIFS('Outages (event ledger)'!$H$2:$H$65,'Outages (event ledger)'!$A$2:$A$65,AB$2,'Outages (event ledger)'!$E$2:$E$65,"&lt;="&amp;$B86,'Outages (event ledger)'!$G$2:$G$65,"&gt;="&amp;$B86)</f>
        <v>8</v>
      </c>
      <c r="AC86" s="26" t="n">
        <f aca="false">SUMIFS('Outages (event ledger)'!$H$2:$H$65,'Outages (event ledger)'!$A$2:$A$65,AC$2,'Outages (event ledger)'!$E$2:$E$65,"&lt;="&amp;$B86,'Outages (event ledger)'!$G$2:$G$65,"&gt;="&amp;$B86)</f>
        <v>0</v>
      </c>
      <c r="AD86" s="26" t="n">
        <f aca="false">SUMIFS('Outages (event ledger)'!$H$2:$H$65,'Outages (event ledger)'!$A$2:$A$65,AD$2,'Outages (event ledger)'!$E$2:$E$65,"&lt;="&amp;$B86,'Outages (event ledger)'!$G$2:$G$65,"&gt;="&amp;$B86)</f>
        <v>0</v>
      </c>
      <c r="AE86" s="26" t="n">
        <f aca="false">SUMIFS('Outages (event ledger)'!$H$2:$H$65,'Outages (event ledger)'!$A$2:$A$65,AE$2,'Outages (event ledger)'!$E$2:$E$65,"&lt;="&amp;$B86,'Outages (event ledger)'!$G$2:$G$65,"&gt;="&amp;$B86)</f>
        <v>0</v>
      </c>
      <c r="AF86" s="26" t="n">
        <f aca="false">SUMIFS('Outages (event ledger)'!$H$2:$H$65,'Outages (event ledger)'!$A$2:$A$65,AF$2,'Outages (event ledger)'!$E$2:$E$65,"&lt;="&amp;$B86,'Outages (event ledger)'!$G$2:$G$65,"&gt;="&amp;$B86)</f>
        <v>0</v>
      </c>
      <c r="AG86" s="26" t="n">
        <f aca="false">SUMIFS('Outages (event ledger)'!$H$2:$H$65,'Outages (event ledger)'!$A$2:$A$65,AG$2,'Outages (event ledger)'!$E$2:$E$65,"&lt;="&amp;$B86,'Outages (event ledger)'!$G$2:$G$65,"&gt;="&amp;$B86)</f>
        <v>0</v>
      </c>
      <c r="AH86" s="26" t="n">
        <f aca="false">SUMIFS('Outages (event ledger)'!$H$2:$H$65,'Outages (event ledger)'!$A$2:$A$65,AH$2,'Outages (event ledger)'!$E$2:$E$65,"&lt;="&amp;$B86,'Outages (event ledger)'!$G$2:$G$65,"&gt;="&amp;$B86)</f>
        <v>0</v>
      </c>
      <c r="AI86" s="26" t="n">
        <f aca="false">SUMIFS('Outages (event ledger)'!$H$2:$H$65,'Outages (event ledger)'!$A$2:$A$65,AI$2,'Outages (event ledger)'!$E$2:$E$65,"&lt;="&amp;$B86,'Outages (event ledger)'!$G$2:$G$65,"&gt;="&amp;$B86)</f>
        <v>0</v>
      </c>
      <c r="AJ86" s="26" t="n">
        <f aca="false">SUMIFS('Outages (event ledger)'!$H$2:$H$65,'Outages (event ledger)'!$A$2:$A$65,AJ$2,'Outages (event ledger)'!$E$2:$E$65,"&lt;="&amp;$B86,'Outages (event ledger)'!$G$2:$G$65,"&gt;="&amp;$B86)</f>
        <v>0</v>
      </c>
      <c r="AK86" s="26" t="n">
        <f aca="false">SUMIFS('Outages (event ledger)'!$H$2:$H$65,'Outages (event ledger)'!$A$2:$A$65,AK$2,'Outages (event ledger)'!$E$2:$E$65,"&lt;="&amp;$B86,'Outages (event ledger)'!$G$2:$G$65,"&gt;="&amp;$B86)</f>
        <v>0</v>
      </c>
      <c r="AL86" s="26" t="n">
        <f aca="false">SUMIFS('Outages (event ledger)'!$H$2:$H$65,'Outages (event ledger)'!$A$2:$A$65,AL$2,'Outages (event ledger)'!$E$2:$E$65,"&lt;="&amp;$B86,'Outages (event ledger)'!$G$2:$G$65,"&gt;="&amp;$B86)</f>
        <v>3.5</v>
      </c>
      <c r="AM86" s="26" t="n">
        <f aca="false">SUMIFS('Outages (event ledger)'!$H$2:$H$65,'Outages (event ledger)'!$A$2:$A$65,AM$2,'Outages (event ledger)'!$E$2:$E$65,"&lt;="&amp;$B86,'Outages (event ledger)'!$G$2:$G$65,"&gt;="&amp;$B86)</f>
        <v>0</v>
      </c>
      <c r="AN86" s="26" t="n">
        <f aca="false">SUMIFS('Outages (event ledger)'!$H$2:$H$65,'Outages (event ledger)'!$A$2:$A$65,AN$2,'Outages (event ledger)'!$E$2:$E$65,"&lt;="&amp;$B86,'Outages (event ledger)'!$G$2:$G$65,"&gt;="&amp;$B86)</f>
        <v>0</v>
      </c>
      <c r="AO86" s="26" t="n">
        <f aca="false">SUMIFS('Outages (event ledger)'!$H$2:$H$65,'Outages (event ledger)'!$A$2:$A$65,AO$2,'Outages (event ledger)'!$E$2:$E$65,"&lt;="&amp;$B86,'Outages (event ledger)'!$G$2:$G$65,"&gt;="&amp;$B86)</f>
        <v>0</v>
      </c>
      <c r="AP86" s="26" t="n">
        <f aca="false">SUMIFS('Outages (event ledger)'!$H$2:$H$65,'Outages (event ledger)'!$A$2:$A$65,AP$2,'Outages (event ledger)'!$E$2:$E$65,"&lt;="&amp;$B86,'Outages (event ledger)'!$G$2:$G$65,"&gt;="&amp;$B86)</f>
        <v>0</v>
      </c>
      <c r="AQ86" s="26" t="n">
        <f aca="false">SUMIFS('Outages (event ledger)'!$H$2:$H$65,'Outages (event ledger)'!$A$2:$A$65,AQ$2,'Outages (event ledger)'!$E$2:$E$65,"&lt;="&amp;$B86,'Outages (event ledger)'!$G$2:$G$65,"&gt;="&amp;$B86)</f>
        <v>0</v>
      </c>
      <c r="AR86" s="26" t="n">
        <f aca="false">SUMIFS('Outages (event ledger)'!$H$2:$H$65,'Outages (event ledger)'!$A$2:$A$65,AR$2,'Outages (event ledger)'!$E$2:$E$65,"&lt;="&amp;$B86,'Outages (event ledger)'!$G$2:$G$65,"&gt;="&amp;$B86)</f>
        <v>0</v>
      </c>
      <c r="AS86" s="26" t="n">
        <f aca="false">SUMIFS('Outages (event ledger)'!$H$2:$H$65,'Outages (event ledger)'!$A$2:$A$65,AS$2,'Outages (event ledger)'!$E$2:$E$65,"&lt;="&amp;$B86,'Outages (event ledger)'!$G$2:$G$65,"&gt;="&amp;$B86)</f>
        <v>0</v>
      </c>
      <c r="AT86" s="26" t="n">
        <f aca="false">SUMIFS('Outages (event ledger)'!$H$2:$H$65,'Outages (event ledger)'!$A$2:$A$65,AT$2,'Outages (event ledger)'!$E$2:$E$65,"&lt;="&amp;$B86,'Outages (event ledger)'!$G$2:$G$65,"&gt;="&amp;$B86)</f>
        <v>0</v>
      </c>
      <c r="AU86" s="26" t="n">
        <f aca="false">SUMIFS('Outages (event ledger)'!$H$2:$H$65,'Outages (event ledger)'!$A$2:$A$65,AU$2,'Outages (event ledger)'!$E$2:$E$65,"&lt;="&amp;$B86,'Outages (event ledger)'!$G$2:$G$65,"&gt;="&amp;$B86)</f>
        <v>0</v>
      </c>
      <c r="AV86" s="26" t="n">
        <f aca="false">SUMIFS('Outages (event ledger)'!$H$2:$H$65,'Outages (event ledger)'!$A$2:$A$65,AV$2,'Outages (event ledger)'!$E$2:$E$65,"&lt;="&amp;$B86,'Outages (event ledger)'!$G$2:$G$65,"&gt;="&amp;$B86)</f>
        <v>0</v>
      </c>
      <c r="AW86" s="26" t="n">
        <f aca="false">SUMIFS('Outages (event ledger)'!$H$2:$H$65,'Outages (event ledger)'!$A$2:$A$65,AW$2,'Outages (event ledger)'!$E$2:$E$65,"&lt;="&amp;$B86,'Outages (event ledger)'!$G$2:$G$65,"&gt;="&amp;$B86)</f>
        <v>0</v>
      </c>
      <c r="AX86" s="26" t="n">
        <f aca="false">SUMIFS('Outages (event ledger)'!$H$2:$H$65,'Outages (event ledger)'!$A$2:$A$65,AX$2,'Outages (event ledger)'!$E$2:$E$65,"&lt;="&amp;$B86,'Outages (event ledger)'!$G$2:$G$65,"&gt;="&amp;$B86)</f>
        <v>0</v>
      </c>
      <c r="AY86" s="26" t="n">
        <f aca="false">SUMIFS('Outages (event ledger)'!$H$2:$H$65,'Outages (event ledger)'!$A$2:$A$65,AY$2,'Outages (event ledger)'!$E$2:$E$65,"&lt;="&amp;$B86,'Outages (event ledger)'!$G$2:$G$65,"&gt;="&amp;$B86)</f>
        <v>0</v>
      </c>
      <c r="AZ86" s="26" t="n">
        <f aca="false">SUMIFS('Outages (event ledger)'!$H$2:$H$65,'Outages (event ledger)'!$A$2:$A$65,AZ$2,'Outages (event ledger)'!$E$2:$E$65,"&lt;="&amp;$B86,'Outages (event ledger)'!$G$2:$G$65,"&gt;="&amp;$B86)</f>
        <v>0</v>
      </c>
      <c r="BA86" s="26" t="n">
        <f aca="false">SUMIFS('Outages (event ledger)'!$H$2:$H$65,'Outages (event ledger)'!$A$2:$A$65,BA$2,'Outages (event ledger)'!$E$2:$E$65,"&lt;="&amp;$B86,'Outages (event ledger)'!$G$2:$G$65,"&gt;="&amp;$B86)</f>
        <v>0</v>
      </c>
      <c r="BB86" s="26" t="n">
        <f aca="false">SUMIFS('Outages (event ledger)'!$H$2:$H$65,'Outages (event ledger)'!$A$2:$A$65,BB$2,'Outages (event ledger)'!$E$2:$E$65,"&lt;="&amp;$B86,'Outages (event ledger)'!$G$2:$G$65,"&gt;="&amp;$B86)</f>
        <v>0</v>
      </c>
      <c r="BC86" s="26" t="n">
        <f aca="false">SUMIFS('Outages (event ledger)'!$H$2:$H$65,'Outages (event ledger)'!$A$2:$A$65,BC$2,'Outages (event ledger)'!$E$2:$E$65,"&lt;="&amp;$B86,'Outages (event ledger)'!$G$2:$G$65,"&gt;="&amp;$B86)</f>
        <v>0</v>
      </c>
      <c r="BD86" s="26" t="n">
        <f aca="false">SUMIFS('Outages (event ledger)'!$H$2:$H$65,'Outages (event ledger)'!$A$2:$A$65,BD$2,'Outages (event ledger)'!$E$2:$E$65,"&lt;="&amp;$B86,'Outages (event ledger)'!$G$2:$G$65,"&gt;="&amp;$B86)</f>
        <v>0</v>
      </c>
      <c r="BE86" s="26" t="n">
        <f aca="false">SUMIFS('Outages (event ledger)'!$H$2:$H$65,'Outages (event ledger)'!$A$2:$A$65,BE$2,'Outages (event ledger)'!$E$2:$E$65,"&lt;="&amp;$B86,'Outages (event ledger)'!$G$2:$G$65,"&gt;="&amp;$B86)</f>
        <v>0</v>
      </c>
      <c r="BF86" s="26" t="n">
        <f aca="false">SUMIFS('Outages (event ledger)'!$H$2:$H$65,'Outages (event ledger)'!$A$2:$A$65,BF$2,'Outages (event ledger)'!$E$2:$E$65,"&lt;="&amp;$B86,'Outages (event ledger)'!$G$2:$G$65,"&gt;="&amp;$B86)</f>
        <v>0</v>
      </c>
      <c r="BG86" s="26" t="n">
        <f aca="false">SUMIFS('Outages (event ledger)'!$H$2:$H$65,'Outages (event ledger)'!$A$2:$A$65,BG$2,'Outages (event ledger)'!$E$2:$E$65,"&lt;="&amp;$B86,'Outages (event ledger)'!$G$2:$G$65,"&gt;="&amp;$B86)</f>
        <v>0</v>
      </c>
      <c r="BH86" s="26" t="n">
        <f aca="false">SUMIFS('Outages (event ledger)'!$H$2:$H$65,'Outages (event ledger)'!$A$2:$A$65,BH$2,'Outages (event ledger)'!$E$2:$E$65,"&lt;="&amp;$B86,'Outages (event ledger)'!$G$2:$G$65,"&gt;="&amp;$B86)</f>
        <v>0</v>
      </c>
      <c r="BI86" s="26" t="n">
        <f aca="false">SUMIFS('Outages (event ledger)'!$H$2:$H$65,'Outages (event ledger)'!$A$2:$A$65,BI$2,'Outages (event ledger)'!$E$2:$E$65,"&lt;="&amp;$B86,'Outages (event ledger)'!$G$2:$G$65,"&gt;="&amp;$B86)</f>
        <v>6.7</v>
      </c>
    </row>
    <row r="87" customFormat="false" ht="15" hidden="false" customHeight="false" outlineLevel="0" collapsed="false">
      <c r="A87" s="27" t="n">
        <v>42736</v>
      </c>
      <c r="B87" s="28" t="n">
        <v>201701</v>
      </c>
      <c r="C87" s="25" t="n">
        <f aca="false">SUM(D87:BI87)</f>
        <v>24.7</v>
      </c>
      <c r="D87" s="29" t="n">
        <f aca="false">SUMIFS('Outages (event ledger)'!$H$2:$H$65,'Outages (event ledger)'!$A$2:$A$65,D$2,'Outages (event ledger)'!$E$2:$E$65,"&lt;="&amp;$B87,'Outages (event ledger)'!$G$2:$G$65,"&gt;="&amp;$B87)</f>
        <v>0</v>
      </c>
      <c r="E87" s="29" t="n">
        <f aca="false">SUMIFS('Outages (event ledger)'!$H$2:$H$65,'Outages (event ledger)'!$A$2:$A$65,E$2,'Outages (event ledger)'!$E$2:$E$65,"&lt;="&amp;$B87,'Outages (event ledger)'!$G$2:$G$65,"&gt;="&amp;$B87)</f>
        <v>0</v>
      </c>
      <c r="F87" s="29" t="n">
        <f aca="false">SUMIFS('Outages (event ledger)'!$H$2:$H$65,'Outages (event ledger)'!$A$2:$A$65,F$2,'Outages (event ledger)'!$E$2:$E$65,"&lt;="&amp;$B87,'Outages (event ledger)'!$G$2:$G$65,"&gt;="&amp;$B87)</f>
        <v>0</v>
      </c>
      <c r="G87" s="29" t="n">
        <f aca="false">SUMIFS('Outages (event ledger)'!$H$2:$H$65,'Outages (event ledger)'!$A$2:$A$65,G$2,'Outages (event ledger)'!$E$2:$E$65,"&lt;="&amp;$B87,'Outages (event ledger)'!$G$2:$G$65,"&gt;="&amp;$B87)</f>
        <v>0</v>
      </c>
      <c r="H87" s="29" t="n">
        <f aca="false">SUMIFS('Outages (event ledger)'!$H$2:$H$65,'Outages (event ledger)'!$A$2:$A$65,H$2,'Outages (event ledger)'!$E$2:$E$65,"&lt;="&amp;$B87,'Outages (event ledger)'!$G$2:$G$65,"&gt;="&amp;$B87)</f>
        <v>0</v>
      </c>
      <c r="I87" s="29" t="n">
        <f aca="false">SUMIFS('Outages (event ledger)'!$H$2:$H$65,'Outages (event ledger)'!$A$2:$A$65,I$2,'Outages (event ledger)'!$E$2:$E$65,"&lt;="&amp;$B87,'Outages (event ledger)'!$G$2:$G$65,"&gt;="&amp;$B87)</f>
        <v>0</v>
      </c>
      <c r="J87" s="29" t="n">
        <f aca="false">SUMIFS('Outages (event ledger)'!$H$2:$H$65,'Outages (event ledger)'!$A$2:$A$65,J$2,'Outages (event ledger)'!$E$2:$E$65,"&lt;="&amp;$B87,'Outages (event ledger)'!$G$2:$G$65,"&gt;="&amp;$B87)</f>
        <v>0</v>
      </c>
      <c r="K87" s="29" t="n">
        <f aca="false">SUMIFS('Outages (event ledger)'!$H$2:$H$65,'Outages (event ledger)'!$A$2:$A$65,K$2,'Outages (event ledger)'!$E$2:$E$65,"&lt;="&amp;$B87,'Outages (event ledger)'!$G$2:$G$65,"&gt;="&amp;$B87)</f>
        <v>0</v>
      </c>
      <c r="L87" s="29" t="n">
        <f aca="false">SUMIFS('Outages (event ledger)'!$H$2:$H$65,'Outages (event ledger)'!$A$2:$A$65,L$2,'Outages (event ledger)'!$E$2:$E$65,"&lt;="&amp;$B87,'Outages (event ledger)'!$G$2:$G$65,"&gt;="&amp;$B87)</f>
        <v>0</v>
      </c>
      <c r="M87" s="29" t="n">
        <f aca="false">SUMIFS('Outages (event ledger)'!$H$2:$H$65,'Outages (event ledger)'!$A$2:$A$65,M$2,'Outages (event ledger)'!$E$2:$E$65,"&lt;="&amp;$B87,'Outages (event ledger)'!$G$2:$G$65,"&gt;="&amp;$B87)</f>
        <v>0</v>
      </c>
      <c r="N87" s="29" t="n">
        <f aca="false">SUMIFS('Outages (event ledger)'!$H$2:$H$65,'Outages (event ledger)'!$A$2:$A$65,N$2,'Outages (event ledger)'!$E$2:$E$65,"&lt;="&amp;$B87,'Outages (event ledger)'!$G$2:$G$65,"&gt;="&amp;$B87)</f>
        <v>0</v>
      </c>
      <c r="O87" s="29" t="n">
        <f aca="false">SUMIFS('Outages (event ledger)'!$H$2:$H$65,'Outages (event ledger)'!$A$2:$A$65,O$2,'Outages (event ledger)'!$E$2:$E$65,"&lt;="&amp;$B87,'Outages (event ledger)'!$G$2:$G$65,"&gt;="&amp;$B87)</f>
        <v>0</v>
      </c>
      <c r="P87" s="29" t="n">
        <f aca="false">SUMIFS('Outages (event ledger)'!$H$2:$H$65,'Outages (event ledger)'!$A$2:$A$65,P$2,'Outages (event ledger)'!$E$2:$E$65,"&lt;="&amp;$B87,'Outages (event ledger)'!$G$2:$G$65,"&gt;="&amp;$B87)</f>
        <v>0</v>
      </c>
      <c r="Q87" s="29" t="n">
        <f aca="false">SUMIFS('Outages (event ledger)'!$H$2:$H$65,'Outages (event ledger)'!$A$2:$A$65,Q$2,'Outages (event ledger)'!$E$2:$E$65,"&lt;="&amp;$B87,'Outages (event ledger)'!$G$2:$G$65,"&gt;="&amp;$B87)</f>
        <v>0</v>
      </c>
      <c r="R87" s="29" t="n">
        <f aca="false">SUMIFS('Outages (event ledger)'!$H$2:$H$65,'Outages (event ledger)'!$A$2:$A$65,R$2,'Outages (event ledger)'!$E$2:$E$65,"&lt;="&amp;$B87,'Outages (event ledger)'!$G$2:$G$65,"&gt;="&amp;$B87)</f>
        <v>0</v>
      </c>
      <c r="S87" s="29" t="n">
        <f aca="false">SUMIFS('Outages (event ledger)'!$H$2:$H$65,'Outages (event ledger)'!$A$2:$A$65,S$2,'Outages (event ledger)'!$E$2:$E$65,"&lt;="&amp;$B87,'Outages (event ledger)'!$G$2:$G$65,"&gt;="&amp;$B87)</f>
        <v>0</v>
      </c>
      <c r="T87" s="29" t="n">
        <f aca="false">SUMIFS('Outages (event ledger)'!$H$2:$H$65,'Outages (event ledger)'!$A$2:$A$65,T$2,'Outages (event ledger)'!$E$2:$E$65,"&lt;="&amp;$B87,'Outages (event ledger)'!$G$2:$G$65,"&gt;="&amp;$B87)</f>
        <v>0</v>
      </c>
      <c r="U87" s="29" t="n">
        <f aca="false">SUMIFS('Outages (event ledger)'!$H$2:$H$65,'Outages (event ledger)'!$A$2:$A$65,U$2,'Outages (event ledger)'!$E$2:$E$65,"&lt;="&amp;$B87,'Outages (event ledger)'!$G$2:$G$65,"&gt;="&amp;$B87)</f>
        <v>0</v>
      </c>
      <c r="V87" s="29" t="n">
        <f aca="false">SUMIFS('Outages (event ledger)'!$H$2:$H$65,'Outages (event ledger)'!$A$2:$A$65,V$2,'Outages (event ledger)'!$E$2:$E$65,"&lt;="&amp;$B87,'Outages (event ledger)'!$G$2:$G$65,"&gt;="&amp;$B87)</f>
        <v>0</v>
      </c>
      <c r="W87" s="29" t="n">
        <f aca="false">SUMIFS('Outages (event ledger)'!$H$2:$H$65,'Outages (event ledger)'!$A$2:$A$65,W$2,'Outages (event ledger)'!$E$2:$E$65,"&lt;="&amp;$B87,'Outages (event ledger)'!$G$2:$G$65,"&gt;="&amp;$B87)</f>
        <v>0</v>
      </c>
      <c r="X87" s="29" t="n">
        <f aca="false">SUMIFS('Outages (event ledger)'!$H$2:$H$65,'Outages (event ledger)'!$A$2:$A$65,X$2,'Outages (event ledger)'!$E$2:$E$65,"&lt;="&amp;$B87,'Outages (event ledger)'!$G$2:$G$65,"&gt;="&amp;$B87)</f>
        <v>0</v>
      </c>
      <c r="Y87" s="29" t="n">
        <f aca="false">SUMIFS('Outages (event ledger)'!$H$2:$H$65,'Outages (event ledger)'!$A$2:$A$65,Y$2,'Outages (event ledger)'!$E$2:$E$65,"&lt;="&amp;$B87,'Outages (event ledger)'!$G$2:$G$65,"&gt;="&amp;$B87)</f>
        <v>5</v>
      </c>
      <c r="Z87" s="29" t="n">
        <f aca="false">SUMIFS('Outages (event ledger)'!$H$2:$H$65,'Outages (event ledger)'!$A$2:$A$65,Z$2,'Outages (event ledger)'!$E$2:$E$65,"&lt;="&amp;$B87,'Outages (event ledger)'!$G$2:$G$65,"&gt;="&amp;$B87)</f>
        <v>5</v>
      </c>
      <c r="AA87" s="29" t="n">
        <f aca="false">SUMIFS('Outages (event ledger)'!$H$2:$H$65,'Outages (event ledger)'!$A$2:$A$65,AA$2,'Outages (event ledger)'!$E$2:$E$65,"&lt;="&amp;$B87,'Outages (event ledger)'!$G$2:$G$65,"&gt;="&amp;$B87)</f>
        <v>0</v>
      </c>
      <c r="AB87" s="29" t="n">
        <f aca="false">SUMIFS('Outages (event ledger)'!$H$2:$H$65,'Outages (event ledger)'!$A$2:$A$65,AB$2,'Outages (event ledger)'!$E$2:$E$65,"&lt;="&amp;$B87,'Outages (event ledger)'!$G$2:$G$65,"&gt;="&amp;$B87)</f>
        <v>8</v>
      </c>
      <c r="AC87" s="29" t="n">
        <f aca="false">SUMIFS('Outages (event ledger)'!$H$2:$H$65,'Outages (event ledger)'!$A$2:$A$65,AC$2,'Outages (event ledger)'!$E$2:$E$65,"&lt;="&amp;$B87,'Outages (event ledger)'!$G$2:$G$65,"&gt;="&amp;$B87)</f>
        <v>0</v>
      </c>
      <c r="AD87" s="29" t="n">
        <f aca="false">SUMIFS('Outages (event ledger)'!$H$2:$H$65,'Outages (event ledger)'!$A$2:$A$65,AD$2,'Outages (event ledger)'!$E$2:$E$65,"&lt;="&amp;$B87,'Outages (event ledger)'!$G$2:$G$65,"&gt;="&amp;$B87)</f>
        <v>0</v>
      </c>
      <c r="AE87" s="29" t="n">
        <f aca="false">SUMIFS('Outages (event ledger)'!$H$2:$H$65,'Outages (event ledger)'!$A$2:$A$65,AE$2,'Outages (event ledger)'!$E$2:$E$65,"&lt;="&amp;$B87,'Outages (event ledger)'!$G$2:$G$65,"&gt;="&amp;$B87)</f>
        <v>0</v>
      </c>
      <c r="AF87" s="29" t="n">
        <f aca="false">SUMIFS('Outages (event ledger)'!$H$2:$H$65,'Outages (event ledger)'!$A$2:$A$65,AF$2,'Outages (event ledger)'!$E$2:$E$65,"&lt;="&amp;$B87,'Outages (event ledger)'!$G$2:$G$65,"&gt;="&amp;$B87)</f>
        <v>0</v>
      </c>
      <c r="AG87" s="29" t="n">
        <f aca="false">SUMIFS('Outages (event ledger)'!$H$2:$H$65,'Outages (event ledger)'!$A$2:$A$65,AG$2,'Outages (event ledger)'!$E$2:$E$65,"&lt;="&amp;$B87,'Outages (event ledger)'!$G$2:$G$65,"&gt;="&amp;$B87)</f>
        <v>0</v>
      </c>
      <c r="AH87" s="29" t="n">
        <f aca="false">SUMIFS('Outages (event ledger)'!$H$2:$H$65,'Outages (event ledger)'!$A$2:$A$65,AH$2,'Outages (event ledger)'!$E$2:$E$65,"&lt;="&amp;$B87,'Outages (event ledger)'!$G$2:$G$65,"&gt;="&amp;$B87)</f>
        <v>0</v>
      </c>
      <c r="AI87" s="29" t="n">
        <f aca="false">SUMIFS('Outages (event ledger)'!$H$2:$H$65,'Outages (event ledger)'!$A$2:$A$65,AI$2,'Outages (event ledger)'!$E$2:$E$65,"&lt;="&amp;$B87,'Outages (event ledger)'!$G$2:$G$65,"&gt;="&amp;$B87)</f>
        <v>0</v>
      </c>
      <c r="AJ87" s="29" t="n">
        <f aca="false">SUMIFS('Outages (event ledger)'!$H$2:$H$65,'Outages (event ledger)'!$A$2:$A$65,AJ$2,'Outages (event ledger)'!$E$2:$E$65,"&lt;="&amp;$B87,'Outages (event ledger)'!$G$2:$G$65,"&gt;="&amp;$B87)</f>
        <v>0</v>
      </c>
      <c r="AK87" s="29" t="n">
        <f aca="false">SUMIFS('Outages (event ledger)'!$H$2:$H$65,'Outages (event ledger)'!$A$2:$A$65,AK$2,'Outages (event ledger)'!$E$2:$E$65,"&lt;="&amp;$B87,'Outages (event ledger)'!$G$2:$G$65,"&gt;="&amp;$B87)</f>
        <v>0</v>
      </c>
      <c r="AL87" s="29" t="n">
        <f aca="false">SUMIFS('Outages (event ledger)'!$H$2:$H$65,'Outages (event ledger)'!$A$2:$A$65,AL$2,'Outages (event ledger)'!$E$2:$E$65,"&lt;="&amp;$B87,'Outages (event ledger)'!$G$2:$G$65,"&gt;="&amp;$B87)</f>
        <v>0</v>
      </c>
      <c r="AM87" s="29" t="n">
        <f aca="false">SUMIFS('Outages (event ledger)'!$H$2:$H$65,'Outages (event ledger)'!$A$2:$A$65,AM$2,'Outages (event ledger)'!$E$2:$E$65,"&lt;="&amp;$B87,'Outages (event ledger)'!$G$2:$G$65,"&gt;="&amp;$B87)</f>
        <v>0</v>
      </c>
      <c r="AN87" s="29" t="n">
        <f aca="false">SUMIFS('Outages (event ledger)'!$H$2:$H$65,'Outages (event ledger)'!$A$2:$A$65,AN$2,'Outages (event ledger)'!$E$2:$E$65,"&lt;="&amp;$B87,'Outages (event ledger)'!$G$2:$G$65,"&gt;="&amp;$B87)</f>
        <v>0</v>
      </c>
      <c r="AO87" s="29" t="n">
        <f aca="false">SUMIFS('Outages (event ledger)'!$H$2:$H$65,'Outages (event ledger)'!$A$2:$A$65,AO$2,'Outages (event ledger)'!$E$2:$E$65,"&lt;="&amp;$B87,'Outages (event ledger)'!$G$2:$G$65,"&gt;="&amp;$B87)</f>
        <v>0</v>
      </c>
      <c r="AP87" s="29" t="n">
        <f aca="false">SUMIFS('Outages (event ledger)'!$H$2:$H$65,'Outages (event ledger)'!$A$2:$A$65,AP$2,'Outages (event ledger)'!$E$2:$E$65,"&lt;="&amp;$B87,'Outages (event ledger)'!$G$2:$G$65,"&gt;="&amp;$B87)</f>
        <v>0</v>
      </c>
      <c r="AQ87" s="29" t="n">
        <f aca="false">SUMIFS('Outages (event ledger)'!$H$2:$H$65,'Outages (event ledger)'!$A$2:$A$65,AQ$2,'Outages (event ledger)'!$E$2:$E$65,"&lt;="&amp;$B87,'Outages (event ledger)'!$G$2:$G$65,"&gt;="&amp;$B87)</f>
        <v>0</v>
      </c>
      <c r="AR87" s="29" t="n">
        <f aca="false">SUMIFS('Outages (event ledger)'!$H$2:$H$65,'Outages (event ledger)'!$A$2:$A$65,AR$2,'Outages (event ledger)'!$E$2:$E$65,"&lt;="&amp;$B87,'Outages (event ledger)'!$G$2:$G$65,"&gt;="&amp;$B87)</f>
        <v>0</v>
      </c>
      <c r="AS87" s="29" t="n">
        <f aca="false">SUMIFS('Outages (event ledger)'!$H$2:$H$65,'Outages (event ledger)'!$A$2:$A$65,AS$2,'Outages (event ledger)'!$E$2:$E$65,"&lt;="&amp;$B87,'Outages (event ledger)'!$G$2:$G$65,"&gt;="&amp;$B87)</f>
        <v>0</v>
      </c>
      <c r="AT87" s="29" t="n">
        <f aca="false">SUMIFS('Outages (event ledger)'!$H$2:$H$65,'Outages (event ledger)'!$A$2:$A$65,AT$2,'Outages (event ledger)'!$E$2:$E$65,"&lt;="&amp;$B87,'Outages (event ledger)'!$G$2:$G$65,"&gt;="&amp;$B87)</f>
        <v>0</v>
      </c>
      <c r="AU87" s="29" t="n">
        <f aca="false">SUMIFS('Outages (event ledger)'!$H$2:$H$65,'Outages (event ledger)'!$A$2:$A$65,AU$2,'Outages (event ledger)'!$E$2:$E$65,"&lt;="&amp;$B87,'Outages (event ledger)'!$G$2:$G$65,"&gt;="&amp;$B87)</f>
        <v>0</v>
      </c>
      <c r="AV87" s="29" t="n">
        <f aca="false">SUMIFS('Outages (event ledger)'!$H$2:$H$65,'Outages (event ledger)'!$A$2:$A$65,AV$2,'Outages (event ledger)'!$E$2:$E$65,"&lt;="&amp;$B87,'Outages (event ledger)'!$G$2:$G$65,"&gt;="&amp;$B87)</f>
        <v>0</v>
      </c>
      <c r="AW87" s="29" t="n">
        <f aca="false">SUMIFS('Outages (event ledger)'!$H$2:$H$65,'Outages (event ledger)'!$A$2:$A$65,AW$2,'Outages (event ledger)'!$E$2:$E$65,"&lt;="&amp;$B87,'Outages (event ledger)'!$G$2:$G$65,"&gt;="&amp;$B87)</f>
        <v>0</v>
      </c>
      <c r="AX87" s="29" t="n">
        <f aca="false">SUMIFS('Outages (event ledger)'!$H$2:$H$65,'Outages (event ledger)'!$A$2:$A$65,AX$2,'Outages (event ledger)'!$E$2:$E$65,"&lt;="&amp;$B87,'Outages (event ledger)'!$G$2:$G$65,"&gt;="&amp;$B87)</f>
        <v>0</v>
      </c>
      <c r="AY87" s="29" t="n">
        <f aca="false">SUMIFS('Outages (event ledger)'!$H$2:$H$65,'Outages (event ledger)'!$A$2:$A$65,AY$2,'Outages (event ledger)'!$E$2:$E$65,"&lt;="&amp;$B87,'Outages (event ledger)'!$G$2:$G$65,"&gt;="&amp;$B87)</f>
        <v>0</v>
      </c>
      <c r="AZ87" s="29" t="n">
        <f aca="false">SUMIFS('Outages (event ledger)'!$H$2:$H$65,'Outages (event ledger)'!$A$2:$A$65,AZ$2,'Outages (event ledger)'!$E$2:$E$65,"&lt;="&amp;$B87,'Outages (event ledger)'!$G$2:$G$65,"&gt;="&amp;$B87)</f>
        <v>0</v>
      </c>
      <c r="BA87" s="29" t="n">
        <f aca="false">SUMIFS('Outages (event ledger)'!$H$2:$H$65,'Outages (event ledger)'!$A$2:$A$65,BA$2,'Outages (event ledger)'!$E$2:$E$65,"&lt;="&amp;$B87,'Outages (event ledger)'!$G$2:$G$65,"&gt;="&amp;$B87)</f>
        <v>0</v>
      </c>
      <c r="BB87" s="29" t="n">
        <f aca="false">SUMIFS('Outages (event ledger)'!$H$2:$H$65,'Outages (event ledger)'!$A$2:$A$65,BB$2,'Outages (event ledger)'!$E$2:$E$65,"&lt;="&amp;$B87,'Outages (event ledger)'!$G$2:$G$65,"&gt;="&amp;$B87)</f>
        <v>0</v>
      </c>
      <c r="BC87" s="29" t="n">
        <f aca="false">SUMIFS('Outages (event ledger)'!$H$2:$H$65,'Outages (event ledger)'!$A$2:$A$65,BC$2,'Outages (event ledger)'!$E$2:$E$65,"&lt;="&amp;$B87,'Outages (event ledger)'!$G$2:$G$65,"&gt;="&amp;$B87)</f>
        <v>0</v>
      </c>
      <c r="BD87" s="29" t="n">
        <f aca="false">SUMIFS('Outages (event ledger)'!$H$2:$H$65,'Outages (event ledger)'!$A$2:$A$65,BD$2,'Outages (event ledger)'!$E$2:$E$65,"&lt;="&amp;$B87,'Outages (event ledger)'!$G$2:$G$65,"&gt;="&amp;$B87)</f>
        <v>0</v>
      </c>
      <c r="BE87" s="29" t="n">
        <f aca="false">SUMIFS('Outages (event ledger)'!$H$2:$H$65,'Outages (event ledger)'!$A$2:$A$65,BE$2,'Outages (event ledger)'!$E$2:$E$65,"&lt;="&amp;$B87,'Outages (event ledger)'!$G$2:$G$65,"&gt;="&amp;$B87)</f>
        <v>0</v>
      </c>
      <c r="BF87" s="29" t="n">
        <f aca="false">SUMIFS('Outages (event ledger)'!$H$2:$H$65,'Outages (event ledger)'!$A$2:$A$65,BF$2,'Outages (event ledger)'!$E$2:$E$65,"&lt;="&amp;$B87,'Outages (event ledger)'!$G$2:$G$65,"&gt;="&amp;$B87)</f>
        <v>0</v>
      </c>
      <c r="BG87" s="29" t="n">
        <f aca="false">SUMIFS('Outages (event ledger)'!$H$2:$H$65,'Outages (event ledger)'!$A$2:$A$65,BG$2,'Outages (event ledger)'!$E$2:$E$65,"&lt;="&amp;$B87,'Outages (event ledger)'!$G$2:$G$65,"&gt;="&amp;$B87)</f>
        <v>0</v>
      </c>
      <c r="BH87" s="29" t="n">
        <f aca="false">SUMIFS('Outages (event ledger)'!$H$2:$H$65,'Outages (event ledger)'!$A$2:$A$65,BH$2,'Outages (event ledger)'!$E$2:$E$65,"&lt;="&amp;$B87,'Outages (event ledger)'!$G$2:$G$65,"&gt;="&amp;$B87)</f>
        <v>0</v>
      </c>
      <c r="BI87" s="29" t="n">
        <f aca="false">SUMIFS('Outages (event ledger)'!$H$2:$H$65,'Outages (event ledger)'!$A$2:$A$65,BI$2,'Outages (event ledger)'!$E$2:$E$65,"&lt;="&amp;$B87,'Outages (event ledger)'!$G$2:$G$65,"&gt;="&amp;$B87)</f>
        <v>6.7</v>
      </c>
    </row>
    <row r="88" customFormat="false" ht="15" hidden="false" customHeight="false" outlineLevel="0" collapsed="false">
      <c r="A88" s="27" t="n">
        <v>42767</v>
      </c>
      <c r="B88" s="28" t="n">
        <v>201702</v>
      </c>
      <c r="C88" s="25" t="n">
        <f aca="false">SUM(D88:BI88)</f>
        <v>24.7</v>
      </c>
      <c r="D88" s="29" t="n">
        <f aca="false">SUMIFS('Outages (event ledger)'!$H$2:$H$65,'Outages (event ledger)'!$A$2:$A$65,D$2,'Outages (event ledger)'!$E$2:$E$65,"&lt;="&amp;$B88,'Outages (event ledger)'!$G$2:$G$65,"&gt;="&amp;$B88)</f>
        <v>0</v>
      </c>
      <c r="E88" s="29" t="n">
        <f aca="false">SUMIFS('Outages (event ledger)'!$H$2:$H$65,'Outages (event ledger)'!$A$2:$A$65,E$2,'Outages (event ledger)'!$E$2:$E$65,"&lt;="&amp;$B88,'Outages (event ledger)'!$G$2:$G$65,"&gt;="&amp;$B88)</f>
        <v>0</v>
      </c>
      <c r="F88" s="29" t="n">
        <f aca="false">SUMIFS('Outages (event ledger)'!$H$2:$H$65,'Outages (event ledger)'!$A$2:$A$65,F$2,'Outages (event ledger)'!$E$2:$E$65,"&lt;="&amp;$B88,'Outages (event ledger)'!$G$2:$G$65,"&gt;="&amp;$B88)</f>
        <v>0</v>
      </c>
      <c r="G88" s="29" t="n">
        <f aca="false">SUMIFS('Outages (event ledger)'!$H$2:$H$65,'Outages (event ledger)'!$A$2:$A$65,G$2,'Outages (event ledger)'!$E$2:$E$65,"&lt;="&amp;$B88,'Outages (event ledger)'!$G$2:$G$65,"&gt;="&amp;$B88)</f>
        <v>0</v>
      </c>
      <c r="H88" s="29" t="n">
        <f aca="false">SUMIFS('Outages (event ledger)'!$H$2:$H$65,'Outages (event ledger)'!$A$2:$A$65,H$2,'Outages (event ledger)'!$E$2:$E$65,"&lt;="&amp;$B88,'Outages (event ledger)'!$G$2:$G$65,"&gt;="&amp;$B88)</f>
        <v>0</v>
      </c>
      <c r="I88" s="29" t="n">
        <f aca="false">SUMIFS('Outages (event ledger)'!$H$2:$H$65,'Outages (event ledger)'!$A$2:$A$65,I$2,'Outages (event ledger)'!$E$2:$E$65,"&lt;="&amp;$B88,'Outages (event ledger)'!$G$2:$G$65,"&gt;="&amp;$B88)</f>
        <v>0</v>
      </c>
      <c r="J88" s="29" t="n">
        <f aca="false">SUMIFS('Outages (event ledger)'!$H$2:$H$65,'Outages (event ledger)'!$A$2:$A$65,J$2,'Outages (event ledger)'!$E$2:$E$65,"&lt;="&amp;$B88,'Outages (event ledger)'!$G$2:$G$65,"&gt;="&amp;$B88)</f>
        <v>0</v>
      </c>
      <c r="K88" s="29" t="n">
        <f aca="false">SUMIFS('Outages (event ledger)'!$H$2:$H$65,'Outages (event ledger)'!$A$2:$A$65,K$2,'Outages (event ledger)'!$E$2:$E$65,"&lt;="&amp;$B88,'Outages (event ledger)'!$G$2:$G$65,"&gt;="&amp;$B88)</f>
        <v>0</v>
      </c>
      <c r="L88" s="29" t="n">
        <f aca="false">SUMIFS('Outages (event ledger)'!$H$2:$H$65,'Outages (event ledger)'!$A$2:$A$65,L$2,'Outages (event ledger)'!$E$2:$E$65,"&lt;="&amp;$B88,'Outages (event ledger)'!$G$2:$G$65,"&gt;="&amp;$B88)</f>
        <v>0</v>
      </c>
      <c r="M88" s="29" t="n">
        <f aca="false">SUMIFS('Outages (event ledger)'!$H$2:$H$65,'Outages (event ledger)'!$A$2:$A$65,M$2,'Outages (event ledger)'!$E$2:$E$65,"&lt;="&amp;$B88,'Outages (event ledger)'!$G$2:$G$65,"&gt;="&amp;$B88)</f>
        <v>0</v>
      </c>
      <c r="N88" s="29" t="n">
        <f aca="false">SUMIFS('Outages (event ledger)'!$H$2:$H$65,'Outages (event ledger)'!$A$2:$A$65,N$2,'Outages (event ledger)'!$E$2:$E$65,"&lt;="&amp;$B88,'Outages (event ledger)'!$G$2:$G$65,"&gt;="&amp;$B88)</f>
        <v>0</v>
      </c>
      <c r="O88" s="29" t="n">
        <f aca="false">SUMIFS('Outages (event ledger)'!$H$2:$H$65,'Outages (event ledger)'!$A$2:$A$65,O$2,'Outages (event ledger)'!$E$2:$E$65,"&lt;="&amp;$B88,'Outages (event ledger)'!$G$2:$G$65,"&gt;="&amp;$B88)</f>
        <v>0</v>
      </c>
      <c r="P88" s="29" t="n">
        <f aca="false">SUMIFS('Outages (event ledger)'!$H$2:$H$65,'Outages (event ledger)'!$A$2:$A$65,P$2,'Outages (event ledger)'!$E$2:$E$65,"&lt;="&amp;$B88,'Outages (event ledger)'!$G$2:$G$65,"&gt;="&amp;$B88)</f>
        <v>0</v>
      </c>
      <c r="Q88" s="29" t="n">
        <f aca="false">SUMIFS('Outages (event ledger)'!$H$2:$H$65,'Outages (event ledger)'!$A$2:$A$65,Q$2,'Outages (event ledger)'!$E$2:$E$65,"&lt;="&amp;$B88,'Outages (event ledger)'!$G$2:$G$65,"&gt;="&amp;$B88)</f>
        <v>0</v>
      </c>
      <c r="R88" s="29" t="n">
        <f aca="false">SUMIFS('Outages (event ledger)'!$H$2:$H$65,'Outages (event ledger)'!$A$2:$A$65,R$2,'Outages (event ledger)'!$E$2:$E$65,"&lt;="&amp;$B88,'Outages (event ledger)'!$G$2:$G$65,"&gt;="&amp;$B88)</f>
        <v>0</v>
      </c>
      <c r="S88" s="29" t="n">
        <f aca="false">SUMIFS('Outages (event ledger)'!$H$2:$H$65,'Outages (event ledger)'!$A$2:$A$65,S$2,'Outages (event ledger)'!$E$2:$E$65,"&lt;="&amp;$B88,'Outages (event ledger)'!$G$2:$G$65,"&gt;="&amp;$B88)</f>
        <v>0</v>
      </c>
      <c r="T88" s="29" t="n">
        <f aca="false">SUMIFS('Outages (event ledger)'!$H$2:$H$65,'Outages (event ledger)'!$A$2:$A$65,T$2,'Outages (event ledger)'!$E$2:$E$65,"&lt;="&amp;$B88,'Outages (event ledger)'!$G$2:$G$65,"&gt;="&amp;$B88)</f>
        <v>0</v>
      </c>
      <c r="U88" s="29" t="n">
        <f aca="false">SUMIFS('Outages (event ledger)'!$H$2:$H$65,'Outages (event ledger)'!$A$2:$A$65,U$2,'Outages (event ledger)'!$E$2:$E$65,"&lt;="&amp;$B88,'Outages (event ledger)'!$G$2:$G$65,"&gt;="&amp;$B88)</f>
        <v>0</v>
      </c>
      <c r="V88" s="29" t="n">
        <f aca="false">SUMIFS('Outages (event ledger)'!$H$2:$H$65,'Outages (event ledger)'!$A$2:$A$65,V$2,'Outages (event ledger)'!$E$2:$E$65,"&lt;="&amp;$B88,'Outages (event ledger)'!$G$2:$G$65,"&gt;="&amp;$B88)</f>
        <v>0</v>
      </c>
      <c r="W88" s="29" t="n">
        <f aca="false">SUMIFS('Outages (event ledger)'!$H$2:$H$65,'Outages (event ledger)'!$A$2:$A$65,W$2,'Outages (event ledger)'!$E$2:$E$65,"&lt;="&amp;$B88,'Outages (event ledger)'!$G$2:$G$65,"&gt;="&amp;$B88)</f>
        <v>0</v>
      </c>
      <c r="X88" s="29" t="n">
        <f aca="false">SUMIFS('Outages (event ledger)'!$H$2:$H$65,'Outages (event ledger)'!$A$2:$A$65,X$2,'Outages (event ledger)'!$E$2:$E$65,"&lt;="&amp;$B88,'Outages (event ledger)'!$G$2:$G$65,"&gt;="&amp;$B88)</f>
        <v>0</v>
      </c>
      <c r="Y88" s="29" t="n">
        <f aca="false">SUMIFS('Outages (event ledger)'!$H$2:$H$65,'Outages (event ledger)'!$A$2:$A$65,Y$2,'Outages (event ledger)'!$E$2:$E$65,"&lt;="&amp;$B88,'Outages (event ledger)'!$G$2:$G$65,"&gt;="&amp;$B88)</f>
        <v>5</v>
      </c>
      <c r="Z88" s="29" t="n">
        <f aca="false">SUMIFS('Outages (event ledger)'!$H$2:$H$65,'Outages (event ledger)'!$A$2:$A$65,Z$2,'Outages (event ledger)'!$E$2:$E$65,"&lt;="&amp;$B88,'Outages (event ledger)'!$G$2:$G$65,"&gt;="&amp;$B88)</f>
        <v>5</v>
      </c>
      <c r="AA88" s="29" t="n">
        <f aca="false">SUMIFS('Outages (event ledger)'!$H$2:$H$65,'Outages (event ledger)'!$A$2:$A$65,AA$2,'Outages (event ledger)'!$E$2:$E$65,"&lt;="&amp;$B88,'Outages (event ledger)'!$G$2:$G$65,"&gt;="&amp;$B88)</f>
        <v>0</v>
      </c>
      <c r="AB88" s="29" t="n">
        <f aca="false">SUMIFS('Outages (event ledger)'!$H$2:$H$65,'Outages (event ledger)'!$A$2:$A$65,AB$2,'Outages (event ledger)'!$E$2:$E$65,"&lt;="&amp;$B88,'Outages (event ledger)'!$G$2:$G$65,"&gt;="&amp;$B88)</f>
        <v>8</v>
      </c>
      <c r="AC88" s="29" t="n">
        <f aca="false">SUMIFS('Outages (event ledger)'!$H$2:$H$65,'Outages (event ledger)'!$A$2:$A$65,AC$2,'Outages (event ledger)'!$E$2:$E$65,"&lt;="&amp;$B88,'Outages (event ledger)'!$G$2:$G$65,"&gt;="&amp;$B88)</f>
        <v>0</v>
      </c>
      <c r="AD88" s="29" t="n">
        <f aca="false">SUMIFS('Outages (event ledger)'!$H$2:$H$65,'Outages (event ledger)'!$A$2:$A$65,AD$2,'Outages (event ledger)'!$E$2:$E$65,"&lt;="&amp;$B88,'Outages (event ledger)'!$G$2:$G$65,"&gt;="&amp;$B88)</f>
        <v>0</v>
      </c>
      <c r="AE88" s="29" t="n">
        <f aca="false">SUMIFS('Outages (event ledger)'!$H$2:$H$65,'Outages (event ledger)'!$A$2:$A$65,AE$2,'Outages (event ledger)'!$E$2:$E$65,"&lt;="&amp;$B88,'Outages (event ledger)'!$G$2:$G$65,"&gt;="&amp;$B88)</f>
        <v>0</v>
      </c>
      <c r="AF88" s="29" t="n">
        <f aca="false">SUMIFS('Outages (event ledger)'!$H$2:$H$65,'Outages (event ledger)'!$A$2:$A$65,AF$2,'Outages (event ledger)'!$E$2:$E$65,"&lt;="&amp;$B88,'Outages (event ledger)'!$G$2:$G$65,"&gt;="&amp;$B88)</f>
        <v>0</v>
      </c>
      <c r="AG88" s="29" t="n">
        <f aca="false">SUMIFS('Outages (event ledger)'!$H$2:$H$65,'Outages (event ledger)'!$A$2:$A$65,AG$2,'Outages (event ledger)'!$E$2:$E$65,"&lt;="&amp;$B88,'Outages (event ledger)'!$G$2:$G$65,"&gt;="&amp;$B88)</f>
        <v>0</v>
      </c>
      <c r="AH88" s="29" t="n">
        <f aca="false">SUMIFS('Outages (event ledger)'!$H$2:$H$65,'Outages (event ledger)'!$A$2:$A$65,AH$2,'Outages (event ledger)'!$E$2:$E$65,"&lt;="&amp;$B88,'Outages (event ledger)'!$G$2:$G$65,"&gt;="&amp;$B88)</f>
        <v>0</v>
      </c>
      <c r="AI88" s="29" t="n">
        <f aca="false">SUMIFS('Outages (event ledger)'!$H$2:$H$65,'Outages (event ledger)'!$A$2:$A$65,AI$2,'Outages (event ledger)'!$E$2:$E$65,"&lt;="&amp;$B88,'Outages (event ledger)'!$G$2:$G$65,"&gt;="&amp;$B88)</f>
        <v>0</v>
      </c>
      <c r="AJ88" s="29" t="n">
        <f aca="false">SUMIFS('Outages (event ledger)'!$H$2:$H$65,'Outages (event ledger)'!$A$2:$A$65,AJ$2,'Outages (event ledger)'!$E$2:$E$65,"&lt;="&amp;$B88,'Outages (event ledger)'!$G$2:$G$65,"&gt;="&amp;$B88)</f>
        <v>0</v>
      </c>
      <c r="AK88" s="29" t="n">
        <f aca="false">SUMIFS('Outages (event ledger)'!$H$2:$H$65,'Outages (event ledger)'!$A$2:$A$65,AK$2,'Outages (event ledger)'!$E$2:$E$65,"&lt;="&amp;$B88,'Outages (event ledger)'!$G$2:$G$65,"&gt;="&amp;$B88)</f>
        <v>0</v>
      </c>
      <c r="AL88" s="29" t="n">
        <f aca="false">SUMIFS('Outages (event ledger)'!$H$2:$H$65,'Outages (event ledger)'!$A$2:$A$65,AL$2,'Outages (event ledger)'!$E$2:$E$65,"&lt;="&amp;$B88,'Outages (event ledger)'!$G$2:$G$65,"&gt;="&amp;$B88)</f>
        <v>0</v>
      </c>
      <c r="AM88" s="29" t="n">
        <f aca="false">SUMIFS('Outages (event ledger)'!$H$2:$H$65,'Outages (event ledger)'!$A$2:$A$65,AM$2,'Outages (event ledger)'!$E$2:$E$65,"&lt;="&amp;$B88,'Outages (event ledger)'!$G$2:$G$65,"&gt;="&amp;$B88)</f>
        <v>0</v>
      </c>
      <c r="AN88" s="29" t="n">
        <f aca="false">SUMIFS('Outages (event ledger)'!$H$2:$H$65,'Outages (event ledger)'!$A$2:$A$65,AN$2,'Outages (event ledger)'!$E$2:$E$65,"&lt;="&amp;$B88,'Outages (event ledger)'!$G$2:$G$65,"&gt;="&amp;$B88)</f>
        <v>0</v>
      </c>
      <c r="AO88" s="29" t="n">
        <f aca="false">SUMIFS('Outages (event ledger)'!$H$2:$H$65,'Outages (event ledger)'!$A$2:$A$65,AO$2,'Outages (event ledger)'!$E$2:$E$65,"&lt;="&amp;$B88,'Outages (event ledger)'!$G$2:$G$65,"&gt;="&amp;$B88)</f>
        <v>0</v>
      </c>
      <c r="AP88" s="29" t="n">
        <f aca="false">SUMIFS('Outages (event ledger)'!$H$2:$H$65,'Outages (event ledger)'!$A$2:$A$65,AP$2,'Outages (event ledger)'!$E$2:$E$65,"&lt;="&amp;$B88,'Outages (event ledger)'!$G$2:$G$65,"&gt;="&amp;$B88)</f>
        <v>0</v>
      </c>
      <c r="AQ88" s="29" t="n">
        <f aca="false">SUMIFS('Outages (event ledger)'!$H$2:$H$65,'Outages (event ledger)'!$A$2:$A$65,AQ$2,'Outages (event ledger)'!$E$2:$E$65,"&lt;="&amp;$B88,'Outages (event ledger)'!$G$2:$G$65,"&gt;="&amp;$B88)</f>
        <v>0</v>
      </c>
      <c r="AR88" s="29" t="n">
        <f aca="false">SUMIFS('Outages (event ledger)'!$H$2:$H$65,'Outages (event ledger)'!$A$2:$A$65,AR$2,'Outages (event ledger)'!$E$2:$E$65,"&lt;="&amp;$B88,'Outages (event ledger)'!$G$2:$G$65,"&gt;="&amp;$B88)</f>
        <v>0</v>
      </c>
      <c r="AS88" s="29" t="n">
        <f aca="false">SUMIFS('Outages (event ledger)'!$H$2:$H$65,'Outages (event ledger)'!$A$2:$A$65,AS$2,'Outages (event ledger)'!$E$2:$E$65,"&lt;="&amp;$B88,'Outages (event ledger)'!$G$2:$G$65,"&gt;="&amp;$B88)</f>
        <v>0</v>
      </c>
      <c r="AT88" s="29" t="n">
        <f aca="false">SUMIFS('Outages (event ledger)'!$H$2:$H$65,'Outages (event ledger)'!$A$2:$A$65,AT$2,'Outages (event ledger)'!$E$2:$E$65,"&lt;="&amp;$B88,'Outages (event ledger)'!$G$2:$G$65,"&gt;="&amp;$B88)</f>
        <v>0</v>
      </c>
      <c r="AU88" s="29" t="n">
        <f aca="false">SUMIFS('Outages (event ledger)'!$H$2:$H$65,'Outages (event ledger)'!$A$2:$A$65,AU$2,'Outages (event ledger)'!$E$2:$E$65,"&lt;="&amp;$B88,'Outages (event ledger)'!$G$2:$G$65,"&gt;="&amp;$B88)</f>
        <v>0</v>
      </c>
      <c r="AV88" s="29" t="n">
        <f aca="false">SUMIFS('Outages (event ledger)'!$H$2:$H$65,'Outages (event ledger)'!$A$2:$A$65,AV$2,'Outages (event ledger)'!$E$2:$E$65,"&lt;="&amp;$B88,'Outages (event ledger)'!$G$2:$G$65,"&gt;="&amp;$B88)</f>
        <v>0</v>
      </c>
      <c r="AW88" s="29" t="n">
        <f aca="false">SUMIFS('Outages (event ledger)'!$H$2:$H$65,'Outages (event ledger)'!$A$2:$A$65,AW$2,'Outages (event ledger)'!$E$2:$E$65,"&lt;="&amp;$B88,'Outages (event ledger)'!$G$2:$G$65,"&gt;="&amp;$B88)</f>
        <v>0</v>
      </c>
      <c r="AX88" s="29" t="n">
        <f aca="false">SUMIFS('Outages (event ledger)'!$H$2:$H$65,'Outages (event ledger)'!$A$2:$A$65,AX$2,'Outages (event ledger)'!$E$2:$E$65,"&lt;="&amp;$B88,'Outages (event ledger)'!$G$2:$G$65,"&gt;="&amp;$B88)</f>
        <v>0</v>
      </c>
      <c r="AY88" s="29" t="n">
        <f aca="false">SUMIFS('Outages (event ledger)'!$H$2:$H$65,'Outages (event ledger)'!$A$2:$A$65,AY$2,'Outages (event ledger)'!$E$2:$E$65,"&lt;="&amp;$B88,'Outages (event ledger)'!$G$2:$G$65,"&gt;="&amp;$B88)</f>
        <v>0</v>
      </c>
      <c r="AZ88" s="29" t="n">
        <f aca="false">SUMIFS('Outages (event ledger)'!$H$2:$H$65,'Outages (event ledger)'!$A$2:$A$65,AZ$2,'Outages (event ledger)'!$E$2:$E$65,"&lt;="&amp;$B88,'Outages (event ledger)'!$G$2:$G$65,"&gt;="&amp;$B88)</f>
        <v>0</v>
      </c>
      <c r="BA88" s="29" t="n">
        <f aca="false">SUMIFS('Outages (event ledger)'!$H$2:$H$65,'Outages (event ledger)'!$A$2:$A$65,BA$2,'Outages (event ledger)'!$E$2:$E$65,"&lt;="&amp;$B88,'Outages (event ledger)'!$G$2:$G$65,"&gt;="&amp;$B88)</f>
        <v>0</v>
      </c>
      <c r="BB88" s="29" t="n">
        <f aca="false">SUMIFS('Outages (event ledger)'!$H$2:$H$65,'Outages (event ledger)'!$A$2:$A$65,BB$2,'Outages (event ledger)'!$E$2:$E$65,"&lt;="&amp;$B88,'Outages (event ledger)'!$G$2:$G$65,"&gt;="&amp;$B88)</f>
        <v>0</v>
      </c>
      <c r="BC88" s="29" t="n">
        <f aca="false">SUMIFS('Outages (event ledger)'!$H$2:$H$65,'Outages (event ledger)'!$A$2:$A$65,BC$2,'Outages (event ledger)'!$E$2:$E$65,"&lt;="&amp;$B88,'Outages (event ledger)'!$G$2:$G$65,"&gt;="&amp;$B88)</f>
        <v>0</v>
      </c>
      <c r="BD88" s="29" t="n">
        <f aca="false">SUMIFS('Outages (event ledger)'!$H$2:$H$65,'Outages (event ledger)'!$A$2:$A$65,BD$2,'Outages (event ledger)'!$E$2:$E$65,"&lt;="&amp;$B88,'Outages (event ledger)'!$G$2:$G$65,"&gt;="&amp;$B88)</f>
        <v>0</v>
      </c>
      <c r="BE88" s="29" t="n">
        <f aca="false">SUMIFS('Outages (event ledger)'!$H$2:$H$65,'Outages (event ledger)'!$A$2:$A$65,BE$2,'Outages (event ledger)'!$E$2:$E$65,"&lt;="&amp;$B88,'Outages (event ledger)'!$G$2:$G$65,"&gt;="&amp;$B88)</f>
        <v>0</v>
      </c>
      <c r="BF88" s="29" t="n">
        <f aca="false">SUMIFS('Outages (event ledger)'!$H$2:$H$65,'Outages (event ledger)'!$A$2:$A$65,BF$2,'Outages (event ledger)'!$E$2:$E$65,"&lt;="&amp;$B88,'Outages (event ledger)'!$G$2:$G$65,"&gt;="&amp;$B88)</f>
        <v>0</v>
      </c>
      <c r="BG88" s="29" t="n">
        <f aca="false">SUMIFS('Outages (event ledger)'!$H$2:$H$65,'Outages (event ledger)'!$A$2:$A$65,BG$2,'Outages (event ledger)'!$E$2:$E$65,"&lt;="&amp;$B88,'Outages (event ledger)'!$G$2:$G$65,"&gt;="&amp;$B88)</f>
        <v>0</v>
      </c>
      <c r="BH88" s="29" t="n">
        <f aca="false">SUMIFS('Outages (event ledger)'!$H$2:$H$65,'Outages (event ledger)'!$A$2:$A$65,BH$2,'Outages (event ledger)'!$E$2:$E$65,"&lt;="&amp;$B88,'Outages (event ledger)'!$G$2:$G$65,"&gt;="&amp;$B88)</f>
        <v>0</v>
      </c>
      <c r="BI88" s="29" t="n">
        <f aca="false">SUMIFS('Outages (event ledger)'!$H$2:$H$65,'Outages (event ledger)'!$A$2:$A$65,BI$2,'Outages (event ledger)'!$E$2:$E$65,"&lt;="&amp;$B88,'Outages (event ledger)'!$G$2:$G$65,"&gt;="&amp;$B88)</f>
        <v>6.7</v>
      </c>
    </row>
    <row r="89" customFormat="false" ht="15" hidden="false" customHeight="false" outlineLevel="0" collapsed="false">
      <c r="A89" s="27" t="n">
        <v>42795</v>
      </c>
      <c r="B89" s="28" t="n">
        <v>201703</v>
      </c>
      <c r="C89" s="25" t="n">
        <f aca="false">SUM(D89:BI89)</f>
        <v>24.7</v>
      </c>
      <c r="D89" s="29" t="n">
        <f aca="false">SUMIFS('Outages (event ledger)'!$H$2:$H$65,'Outages (event ledger)'!$A$2:$A$65,D$2,'Outages (event ledger)'!$E$2:$E$65,"&lt;="&amp;$B89,'Outages (event ledger)'!$G$2:$G$65,"&gt;="&amp;$B89)</f>
        <v>0</v>
      </c>
      <c r="E89" s="29" t="n">
        <f aca="false">SUMIFS('Outages (event ledger)'!$H$2:$H$65,'Outages (event ledger)'!$A$2:$A$65,E$2,'Outages (event ledger)'!$E$2:$E$65,"&lt;="&amp;$B89,'Outages (event ledger)'!$G$2:$G$65,"&gt;="&amp;$B89)</f>
        <v>0</v>
      </c>
      <c r="F89" s="29" t="n">
        <f aca="false">SUMIFS('Outages (event ledger)'!$H$2:$H$65,'Outages (event ledger)'!$A$2:$A$65,F$2,'Outages (event ledger)'!$E$2:$E$65,"&lt;="&amp;$B89,'Outages (event ledger)'!$G$2:$G$65,"&gt;="&amp;$B89)</f>
        <v>0</v>
      </c>
      <c r="G89" s="29" t="n">
        <f aca="false">SUMIFS('Outages (event ledger)'!$H$2:$H$65,'Outages (event ledger)'!$A$2:$A$65,G$2,'Outages (event ledger)'!$E$2:$E$65,"&lt;="&amp;$B89,'Outages (event ledger)'!$G$2:$G$65,"&gt;="&amp;$B89)</f>
        <v>0</v>
      </c>
      <c r="H89" s="29" t="n">
        <f aca="false">SUMIFS('Outages (event ledger)'!$H$2:$H$65,'Outages (event ledger)'!$A$2:$A$65,H$2,'Outages (event ledger)'!$E$2:$E$65,"&lt;="&amp;$B89,'Outages (event ledger)'!$G$2:$G$65,"&gt;="&amp;$B89)</f>
        <v>0</v>
      </c>
      <c r="I89" s="29" t="n">
        <f aca="false">SUMIFS('Outages (event ledger)'!$H$2:$H$65,'Outages (event ledger)'!$A$2:$A$65,I$2,'Outages (event ledger)'!$E$2:$E$65,"&lt;="&amp;$B89,'Outages (event ledger)'!$G$2:$G$65,"&gt;="&amp;$B89)</f>
        <v>0</v>
      </c>
      <c r="J89" s="29" t="n">
        <f aca="false">SUMIFS('Outages (event ledger)'!$H$2:$H$65,'Outages (event ledger)'!$A$2:$A$65,J$2,'Outages (event ledger)'!$E$2:$E$65,"&lt;="&amp;$B89,'Outages (event ledger)'!$G$2:$G$65,"&gt;="&amp;$B89)</f>
        <v>0</v>
      </c>
      <c r="K89" s="29" t="n">
        <f aca="false">SUMIFS('Outages (event ledger)'!$H$2:$H$65,'Outages (event ledger)'!$A$2:$A$65,K$2,'Outages (event ledger)'!$E$2:$E$65,"&lt;="&amp;$B89,'Outages (event ledger)'!$G$2:$G$65,"&gt;="&amp;$B89)</f>
        <v>0</v>
      </c>
      <c r="L89" s="29" t="n">
        <f aca="false">SUMIFS('Outages (event ledger)'!$H$2:$H$65,'Outages (event ledger)'!$A$2:$A$65,L$2,'Outages (event ledger)'!$E$2:$E$65,"&lt;="&amp;$B89,'Outages (event ledger)'!$G$2:$G$65,"&gt;="&amp;$B89)</f>
        <v>0</v>
      </c>
      <c r="M89" s="29" t="n">
        <f aca="false">SUMIFS('Outages (event ledger)'!$H$2:$H$65,'Outages (event ledger)'!$A$2:$A$65,M$2,'Outages (event ledger)'!$E$2:$E$65,"&lt;="&amp;$B89,'Outages (event ledger)'!$G$2:$G$65,"&gt;="&amp;$B89)</f>
        <v>0</v>
      </c>
      <c r="N89" s="29" t="n">
        <f aca="false">SUMIFS('Outages (event ledger)'!$H$2:$H$65,'Outages (event ledger)'!$A$2:$A$65,N$2,'Outages (event ledger)'!$E$2:$E$65,"&lt;="&amp;$B89,'Outages (event ledger)'!$G$2:$G$65,"&gt;="&amp;$B89)</f>
        <v>0</v>
      </c>
      <c r="O89" s="29" t="n">
        <f aca="false">SUMIFS('Outages (event ledger)'!$H$2:$H$65,'Outages (event ledger)'!$A$2:$A$65,O$2,'Outages (event ledger)'!$E$2:$E$65,"&lt;="&amp;$B89,'Outages (event ledger)'!$G$2:$G$65,"&gt;="&amp;$B89)</f>
        <v>0</v>
      </c>
      <c r="P89" s="29" t="n">
        <f aca="false">SUMIFS('Outages (event ledger)'!$H$2:$H$65,'Outages (event ledger)'!$A$2:$A$65,P$2,'Outages (event ledger)'!$E$2:$E$65,"&lt;="&amp;$B89,'Outages (event ledger)'!$G$2:$G$65,"&gt;="&amp;$B89)</f>
        <v>0</v>
      </c>
      <c r="Q89" s="29" t="n">
        <f aca="false">SUMIFS('Outages (event ledger)'!$H$2:$H$65,'Outages (event ledger)'!$A$2:$A$65,Q$2,'Outages (event ledger)'!$E$2:$E$65,"&lt;="&amp;$B89,'Outages (event ledger)'!$G$2:$G$65,"&gt;="&amp;$B89)</f>
        <v>0</v>
      </c>
      <c r="R89" s="29" t="n">
        <f aca="false">SUMIFS('Outages (event ledger)'!$H$2:$H$65,'Outages (event ledger)'!$A$2:$A$65,R$2,'Outages (event ledger)'!$E$2:$E$65,"&lt;="&amp;$B89,'Outages (event ledger)'!$G$2:$G$65,"&gt;="&amp;$B89)</f>
        <v>0</v>
      </c>
      <c r="S89" s="29" t="n">
        <f aca="false">SUMIFS('Outages (event ledger)'!$H$2:$H$65,'Outages (event ledger)'!$A$2:$A$65,S$2,'Outages (event ledger)'!$E$2:$E$65,"&lt;="&amp;$B89,'Outages (event ledger)'!$G$2:$G$65,"&gt;="&amp;$B89)</f>
        <v>0</v>
      </c>
      <c r="T89" s="29" t="n">
        <f aca="false">SUMIFS('Outages (event ledger)'!$H$2:$H$65,'Outages (event ledger)'!$A$2:$A$65,T$2,'Outages (event ledger)'!$E$2:$E$65,"&lt;="&amp;$B89,'Outages (event ledger)'!$G$2:$G$65,"&gt;="&amp;$B89)</f>
        <v>0</v>
      </c>
      <c r="U89" s="29" t="n">
        <f aca="false">SUMIFS('Outages (event ledger)'!$H$2:$H$65,'Outages (event ledger)'!$A$2:$A$65,U$2,'Outages (event ledger)'!$E$2:$E$65,"&lt;="&amp;$B89,'Outages (event ledger)'!$G$2:$G$65,"&gt;="&amp;$B89)</f>
        <v>0</v>
      </c>
      <c r="V89" s="29" t="n">
        <f aca="false">SUMIFS('Outages (event ledger)'!$H$2:$H$65,'Outages (event ledger)'!$A$2:$A$65,V$2,'Outages (event ledger)'!$E$2:$E$65,"&lt;="&amp;$B89,'Outages (event ledger)'!$G$2:$G$65,"&gt;="&amp;$B89)</f>
        <v>0</v>
      </c>
      <c r="W89" s="29" t="n">
        <f aca="false">SUMIFS('Outages (event ledger)'!$H$2:$H$65,'Outages (event ledger)'!$A$2:$A$65,W$2,'Outages (event ledger)'!$E$2:$E$65,"&lt;="&amp;$B89,'Outages (event ledger)'!$G$2:$G$65,"&gt;="&amp;$B89)</f>
        <v>0</v>
      </c>
      <c r="X89" s="29" t="n">
        <f aca="false">SUMIFS('Outages (event ledger)'!$H$2:$H$65,'Outages (event ledger)'!$A$2:$A$65,X$2,'Outages (event ledger)'!$E$2:$E$65,"&lt;="&amp;$B89,'Outages (event ledger)'!$G$2:$G$65,"&gt;="&amp;$B89)</f>
        <v>0</v>
      </c>
      <c r="Y89" s="29" t="n">
        <f aca="false">SUMIFS('Outages (event ledger)'!$H$2:$H$65,'Outages (event ledger)'!$A$2:$A$65,Y$2,'Outages (event ledger)'!$E$2:$E$65,"&lt;="&amp;$B89,'Outages (event ledger)'!$G$2:$G$65,"&gt;="&amp;$B89)</f>
        <v>5</v>
      </c>
      <c r="Z89" s="29" t="n">
        <f aca="false">SUMIFS('Outages (event ledger)'!$H$2:$H$65,'Outages (event ledger)'!$A$2:$A$65,Z$2,'Outages (event ledger)'!$E$2:$E$65,"&lt;="&amp;$B89,'Outages (event ledger)'!$G$2:$G$65,"&gt;="&amp;$B89)</f>
        <v>5</v>
      </c>
      <c r="AA89" s="29" t="n">
        <f aca="false">SUMIFS('Outages (event ledger)'!$H$2:$H$65,'Outages (event ledger)'!$A$2:$A$65,AA$2,'Outages (event ledger)'!$E$2:$E$65,"&lt;="&amp;$B89,'Outages (event ledger)'!$G$2:$G$65,"&gt;="&amp;$B89)</f>
        <v>0</v>
      </c>
      <c r="AB89" s="29" t="n">
        <f aca="false">SUMIFS('Outages (event ledger)'!$H$2:$H$65,'Outages (event ledger)'!$A$2:$A$65,AB$2,'Outages (event ledger)'!$E$2:$E$65,"&lt;="&amp;$B89,'Outages (event ledger)'!$G$2:$G$65,"&gt;="&amp;$B89)</f>
        <v>8</v>
      </c>
      <c r="AC89" s="29" t="n">
        <f aca="false">SUMIFS('Outages (event ledger)'!$H$2:$H$65,'Outages (event ledger)'!$A$2:$A$65,AC$2,'Outages (event ledger)'!$E$2:$E$65,"&lt;="&amp;$B89,'Outages (event ledger)'!$G$2:$G$65,"&gt;="&amp;$B89)</f>
        <v>0</v>
      </c>
      <c r="AD89" s="29" t="n">
        <f aca="false">SUMIFS('Outages (event ledger)'!$H$2:$H$65,'Outages (event ledger)'!$A$2:$A$65,AD$2,'Outages (event ledger)'!$E$2:$E$65,"&lt;="&amp;$B89,'Outages (event ledger)'!$G$2:$G$65,"&gt;="&amp;$B89)</f>
        <v>0</v>
      </c>
      <c r="AE89" s="29" t="n">
        <f aca="false">SUMIFS('Outages (event ledger)'!$H$2:$H$65,'Outages (event ledger)'!$A$2:$A$65,AE$2,'Outages (event ledger)'!$E$2:$E$65,"&lt;="&amp;$B89,'Outages (event ledger)'!$G$2:$G$65,"&gt;="&amp;$B89)</f>
        <v>0</v>
      </c>
      <c r="AF89" s="29" t="n">
        <f aca="false">SUMIFS('Outages (event ledger)'!$H$2:$H$65,'Outages (event ledger)'!$A$2:$A$65,AF$2,'Outages (event ledger)'!$E$2:$E$65,"&lt;="&amp;$B89,'Outages (event ledger)'!$G$2:$G$65,"&gt;="&amp;$B89)</f>
        <v>0</v>
      </c>
      <c r="AG89" s="29" t="n">
        <f aca="false">SUMIFS('Outages (event ledger)'!$H$2:$H$65,'Outages (event ledger)'!$A$2:$A$65,AG$2,'Outages (event ledger)'!$E$2:$E$65,"&lt;="&amp;$B89,'Outages (event ledger)'!$G$2:$G$65,"&gt;="&amp;$B89)</f>
        <v>0</v>
      </c>
      <c r="AH89" s="29" t="n">
        <f aca="false">SUMIFS('Outages (event ledger)'!$H$2:$H$65,'Outages (event ledger)'!$A$2:$A$65,AH$2,'Outages (event ledger)'!$E$2:$E$65,"&lt;="&amp;$B89,'Outages (event ledger)'!$G$2:$G$65,"&gt;="&amp;$B89)</f>
        <v>0</v>
      </c>
      <c r="AI89" s="29" t="n">
        <f aca="false">SUMIFS('Outages (event ledger)'!$H$2:$H$65,'Outages (event ledger)'!$A$2:$A$65,AI$2,'Outages (event ledger)'!$E$2:$E$65,"&lt;="&amp;$B89,'Outages (event ledger)'!$G$2:$G$65,"&gt;="&amp;$B89)</f>
        <v>0</v>
      </c>
      <c r="AJ89" s="29" t="n">
        <f aca="false">SUMIFS('Outages (event ledger)'!$H$2:$H$65,'Outages (event ledger)'!$A$2:$A$65,AJ$2,'Outages (event ledger)'!$E$2:$E$65,"&lt;="&amp;$B89,'Outages (event ledger)'!$G$2:$G$65,"&gt;="&amp;$B89)</f>
        <v>0</v>
      </c>
      <c r="AK89" s="29" t="n">
        <f aca="false">SUMIFS('Outages (event ledger)'!$H$2:$H$65,'Outages (event ledger)'!$A$2:$A$65,AK$2,'Outages (event ledger)'!$E$2:$E$65,"&lt;="&amp;$B89,'Outages (event ledger)'!$G$2:$G$65,"&gt;="&amp;$B89)</f>
        <v>0</v>
      </c>
      <c r="AL89" s="29" t="n">
        <f aca="false">SUMIFS('Outages (event ledger)'!$H$2:$H$65,'Outages (event ledger)'!$A$2:$A$65,AL$2,'Outages (event ledger)'!$E$2:$E$65,"&lt;="&amp;$B89,'Outages (event ledger)'!$G$2:$G$65,"&gt;="&amp;$B89)</f>
        <v>0</v>
      </c>
      <c r="AM89" s="29" t="n">
        <f aca="false">SUMIFS('Outages (event ledger)'!$H$2:$H$65,'Outages (event ledger)'!$A$2:$A$65,AM$2,'Outages (event ledger)'!$E$2:$E$65,"&lt;="&amp;$B89,'Outages (event ledger)'!$G$2:$G$65,"&gt;="&amp;$B89)</f>
        <v>0</v>
      </c>
      <c r="AN89" s="29" t="n">
        <f aca="false">SUMIFS('Outages (event ledger)'!$H$2:$H$65,'Outages (event ledger)'!$A$2:$A$65,AN$2,'Outages (event ledger)'!$E$2:$E$65,"&lt;="&amp;$B89,'Outages (event ledger)'!$G$2:$G$65,"&gt;="&amp;$B89)</f>
        <v>0</v>
      </c>
      <c r="AO89" s="29" t="n">
        <f aca="false">SUMIFS('Outages (event ledger)'!$H$2:$H$65,'Outages (event ledger)'!$A$2:$A$65,AO$2,'Outages (event ledger)'!$E$2:$E$65,"&lt;="&amp;$B89,'Outages (event ledger)'!$G$2:$G$65,"&gt;="&amp;$B89)</f>
        <v>0</v>
      </c>
      <c r="AP89" s="29" t="n">
        <f aca="false">SUMIFS('Outages (event ledger)'!$H$2:$H$65,'Outages (event ledger)'!$A$2:$A$65,AP$2,'Outages (event ledger)'!$E$2:$E$65,"&lt;="&amp;$B89,'Outages (event ledger)'!$G$2:$G$65,"&gt;="&amp;$B89)</f>
        <v>0</v>
      </c>
      <c r="AQ89" s="29" t="n">
        <f aca="false">SUMIFS('Outages (event ledger)'!$H$2:$H$65,'Outages (event ledger)'!$A$2:$A$65,AQ$2,'Outages (event ledger)'!$E$2:$E$65,"&lt;="&amp;$B89,'Outages (event ledger)'!$G$2:$G$65,"&gt;="&amp;$B89)</f>
        <v>0</v>
      </c>
      <c r="AR89" s="29" t="n">
        <f aca="false">SUMIFS('Outages (event ledger)'!$H$2:$H$65,'Outages (event ledger)'!$A$2:$A$65,AR$2,'Outages (event ledger)'!$E$2:$E$65,"&lt;="&amp;$B89,'Outages (event ledger)'!$G$2:$G$65,"&gt;="&amp;$B89)</f>
        <v>0</v>
      </c>
      <c r="AS89" s="29" t="n">
        <f aca="false">SUMIFS('Outages (event ledger)'!$H$2:$H$65,'Outages (event ledger)'!$A$2:$A$65,AS$2,'Outages (event ledger)'!$E$2:$E$65,"&lt;="&amp;$B89,'Outages (event ledger)'!$G$2:$G$65,"&gt;="&amp;$B89)</f>
        <v>0</v>
      </c>
      <c r="AT89" s="29" t="n">
        <f aca="false">SUMIFS('Outages (event ledger)'!$H$2:$H$65,'Outages (event ledger)'!$A$2:$A$65,AT$2,'Outages (event ledger)'!$E$2:$E$65,"&lt;="&amp;$B89,'Outages (event ledger)'!$G$2:$G$65,"&gt;="&amp;$B89)</f>
        <v>0</v>
      </c>
      <c r="AU89" s="29" t="n">
        <f aca="false">SUMIFS('Outages (event ledger)'!$H$2:$H$65,'Outages (event ledger)'!$A$2:$A$65,AU$2,'Outages (event ledger)'!$E$2:$E$65,"&lt;="&amp;$B89,'Outages (event ledger)'!$G$2:$G$65,"&gt;="&amp;$B89)</f>
        <v>0</v>
      </c>
      <c r="AV89" s="29" t="n">
        <f aca="false">SUMIFS('Outages (event ledger)'!$H$2:$H$65,'Outages (event ledger)'!$A$2:$A$65,AV$2,'Outages (event ledger)'!$E$2:$E$65,"&lt;="&amp;$B89,'Outages (event ledger)'!$G$2:$G$65,"&gt;="&amp;$B89)</f>
        <v>0</v>
      </c>
      <c r="AW89" s="29" t="n">
        <f aca="false">SUMIFS('Outages (event ledger)'!$H$2:$H$65,'Outages (event ledger)'!$A$2:$A$65,AW$2,'Outages (event ledger)'!$E$2:$E$65,"&lt;="&amp;$B89,'Outages (event ledger)'!$G$2:$G$65,"&gt;="&amp;$B89)</f>
        <v>0</v>
      </c>
      <c r="AX89" s="29" t="n">
        <f aca="false">SUMIFS('Outages (event ledger)'!$H$2:$H$65,'Outages (event ledger)'!$A$2:$A$65,AX$2,'Outages (event ledger)'!$E$2:$E$65,"&lt;="&amp;$B89,'Outages (event ledger)'!$G$2:$G$65,"&gt;="&amp;$B89)</f>
        <v>0</v>
      </c>
      <c r="AY89" s="29" t="n">
        <f aca="false">SUMIFS('Outages (event ledger)'!$H$2:$H$65,'Outages (event ledger)'!$A$2:$A$65,AY$2,'Outages (event ledger)'!$E$2:$E$65,"&lt;="&amp;$B89,'Outages (event ledger)'!$G$2:$G$65,"&gt;="&amp;$B89)</f>
        <v>0</v>
      </c>
      <c r="AZ89" s="29" t="n">
        <f aca="false">SUMIFS('Outages (event ledger)'!$H$2:$H$65,'Outages (event ledger)'!$A$2:$A$65,AZ$2,'Outages (event ledger)'!$E$2:$E$65,"&lt;="&amp;$B89,'Outages (event ledger)'!$G$2:$G$65,"&gt;="&amp;$B89)</f>
        <v>0</v>
      </c>
      <c r="BA89" s="29" t="n">
        <f aca="false">SUMIFS('Outages (event ledger)'!$H$2:$H$65,'Outages (event ledger)'!$A$2:$A$65,BA$2,'Outages (event ledger)'!$E$2:$E$65,"&lt;="&amp;$B89,'Outages (event ledger)'!$G$2:$G$65,"&gt;="&amp;$B89)</f>
        <v>0</v>
      </c>
      <c r="BB89" s="29" t="n">
        <f aca="false">SUMIFS('Outages (event ledger)'!$H$2:$H$65,'Outages (event ledger)'!$A$2:$A$65,BB$2,'Outages (event ledger)'!$E$2:$E$65,"&lt;="&amp;$B89,'Outages (event ledger)'!$G$2:$G$65,"&gt;="&amp;$B89)</f>
        <v>0</v>
      </c>
      <c r="BC89" s="29" t="n">
        <f aca="false">SUMIFS('Outages (event ledger)'!$H$2:$H$65,'Outages (event ledger)'!$A$2:$A$65,BC$2,'Outages (event ledger)'!$E$2:$E$65,"&lt;="&amp;$B89,'Outages (event ledger)'!$G$2:$G$65,"&gt;="&amp;$B89)</f>
        <v>0</v>
      </c>
      <c r="BD89" s="29" t="n">
        <f aca="false">SUMIFS('Outages (event ledger)'!$H$2:$H$65,'Outages (event ledger)'!$A$2:$A$65,BD$2,'Outages (event ledger)'!$E$2:$E$65,"&lt;="&amp;$B89,'Outages (event ledger)'!$G$2:$G$65,"&gt;="&amp;$B89)</f>
        <v>0</v>
      </c>
      <c r="BE89" s="29" t="n">
        <f aca="false">SUMIFS('Outages (event ledger)'!$H$2:$H$65,'Outages (event ledger)'!$A$2:$A$65,BE$2,'Outages (event ledger)'!$E$2:$E$65,"&lt;="&amp;$B89,'Outages (event ledger)'!$G$2:$G$65,"&gt;="&amp;$B89)</f>
        <v>0</v>
      </c>
      <c r="BF89" s="29" t="n">
        <f aca="false">SUMIFS('Outages (event ledger)'!$H$2:$H$65,'Outages (event ledger)'!$A$2:$A$65,BF$2,'Outages (event ledger)'!$E$2:$E$65,"&lt;="&amp;$B89,'Outages (event ledger)'!$G$2:$G$65,"&gt;="&amp;$B89)</f>
        <v>0</v>
      </c>
      <c r="BG89" s="29" t="n">
        <f aca="false">SUMIFS('Outages (event ledger)'!$H$2:$H$65,'Outages (event ledger)'!$A$2:$A$65,BG$2,'Outages (event ledger)'!$E$2:$E$65,"&lt;="&amp;$B89,'Outages (event ledger)'!$G$2:$G$65,"&gt;="&amp;$B89)</f>
        <v>0</v>
      </c>
      <c r="BH89" s="29" t="n">
        <f aca="false">SUMIFS('Outages (event ledger)'!$H$2:$H$65,'Outages (event ledger)'!$A$2:$A$65,BH$2,'Outages (event ledger)'!$E$2:$E$65,"&lt;="&amp;$B89,'Outages (event ledger)'!$G$2:$G$65,"&gt;="&amp;$B89)</f>
        <v>0</v>
      </c>
      <c r="BI89" s="29" t="n">
        <f aca="false">SUMIFS('Outages (event ledger)'!$H$2:$H$65,'Outages (event ledger)'!$A$2:$A$65,BI$2,'Outages (event ledger)'!$E$2:$E$65,"&lt;="&amp;$B89,'Outages (event ledger)'!$G$2:$G$65,"&gt;="&amp;$B89)</f>
        <v>6.7</v>
      </c>
    </row>
    <row r="90" customFormat="false" ht="15" hidden="false" customHeight="false" outlineLevel="0" collapsed="false">
      <c r="A90" s="27" t="n">
        <v>42826</v>
      </c>
      <c r="B90" s="28" t="n">
        <v>201704</v>
      </c>
      <c r="C90" s="25" t="n">
        <f aca="false">SUM(D90:BI90)</f>
        <v>24.7</v>
      </c>
      <c r="D90" s="29" t="n">
        <f aca="false">SUMIFS('Outages (event ledger)'!$H$2:$H$65,'Outages (event ledger)'!$A$2:$A$65,D$2,'Outages (event ledger)'!$E$2:$E$65,"&lt;="&amp;$B90,'Outages (event ledger)'!$G$2:$G$65,"&gt;="&amp;$B90)</f>
        <v>0</v>
      </c>
      <c r="E90" s="29" t="n">
        <f aca="false">SUMIFS('Outages (event ledger)'!$H$2:$H$65,'Outages (event ledger)'!$A$2:$A$65,E$2,'Outages (event ledger)'!$E$2:$E$65,"&lt;="&amp;$B90,'Outages (event ledger)'!$G$2:$G$65,"&gt;="&amp;$B90)</f>
        <v>0</v>
      </c>
      <c r="F90" s="29" t="n">
        <f aca="false">SUMIFS('Outages (event ledger)'!$H$2:$H$65,'Outages (event ledger)'!$A$2:$A$65,F$2,'Outages (event ledger)'!$E$2:$E$65,"&lt;="&amp;$B90,'Outages (event ledger)'!$G$2:$G$65,"&gt;="&amp;$B90)</f>
        <v>0</v>
      </c>
      <c r="G90" s="29" t="n">
        <f aca="false">SUMIFS('Outages (event ledger)'!$H$2:$H$65,'Outages (event ledger)'!$A$2:$A$65,G$2,'Outages (event ledger)'!$E$2:$E$65,"&lt;="&amp;$B90,'Outages (event ledger)'!$G$2:$G$65,"&gt;="&amp;$B90)</f>
        <v>0</v>
      </c>
      <c r="H90" s="29" t="n">
        <f aca="false">SUMIFS('Outages (event ledger)'!$H$2:$H$65,'Outages (event ledger)'!$A$2:$A$65,H$2,'Outages (event ledger)'!$E$2:$E$65,"&lt;="&amp;$B90,'Outages (event ledger)'!$G$2:$G$65,"&gt;="&amp;$B90)</f>
        <v>0</v>
      </c>
      <c r="I90" s="29" t="n">
        <f aca="false">SUMIFS('Outages (event ledger)'!$H$2:$H$65,'Outages (event ledger)'!$A$2:$A$65,I$2,'Outages (event ledger)'!$E$2:$E$65,"&lt;="&amp;$B90,'Outages (event ledger)'!$G$2:$G$65,"&gt;="&amp;$B90)</f>
        <v>0</v>
      </c>
      <c r="J90" s="29" t="n">
        <f aca="false">SUMIFS('Outages (event ledger)'!$H$2:$H$65,'Outages (event ledger)'!$A$2:$A$65,J$2,'Outages (event ledger)'!$E$2:$E$65,"&lt;="&amp;$B90,'Outages (event ledger)'!$G$2:$G$65,"&gt;="&amp;$B90)</f>
        <v>0</v>
      </c>
      <c r="K90" s="29" t="n">
        <f aca="false">SUMIFS('Outages (event ledger)'!$H$2:$H$65,'Outages (event ledger)'!$A$2:$A$65,K$2,'Outages (event ledger)'!$E$2:$E$65,"&lt;="&amp;$B90,'Outages (event ledger)'!$G$2:$G$65,"&gt;="&amp;$B90)</f>
        <v>0</v>
      </c>
      <c r="L90" s="29" t="n">
        <f aca="false">SUMIFS('Outages (event ledger)'!$H$2:$H$65,'Outages (event ledger)'!$A$2:$A$65,L$2,'Outages (event ledger)'!$E$2:$E$65,"&lt;="&amp;$B90,'Outages (event ledger)'!$G$2:$G$65,"&gt;="&amp;$B90)</f>
        <v>0</v>
      </c>
      <c r="M90" s="29" t="n">
        <f aca="false">SUMIFS('Outages (event ledger)'!$H$2:$H$65,'Outages (event ledger)'!$A$2:$A$65,M$2,'Outages (event ledger)'!$E$2:$E$65,"&lt;="&amp;$B90,'Outages (event ledger)'!$G$2:$G$65,"&gt;="&amp;$B90)</f>
        <v>0</v>
      </c>
      <c r="N90" s="29" t="n">
        <f aca="false">SUMIFS('Outages (event ledger)'!$H$2:$H$65,'Outages (event ledger)'!$A$2:$A$65,N$2,'Outages (event ledger)'!$E$2:$E$65,"&lt;="&amp;$B90,'Outages (event ledger)'!$G$2:$G$65,"&gt;="&amp;$B90)</f>
        <v>0</v>
      </c>
      <c r="O90" s="29" t="n">
        <f aca="false">SUMIFS('Outages (event ledger)'!$H$2:$H$65,'Outages (event ledger)'!$A$2:$A$65,O$2,'Outages (event ledger)'!$E$2:$E$65,"&lt;="&amp;$B90,'Outages (event ledger)'!$G$2:$G$65,"&gt;="&amp;$B90)</f>
        <v>0</v>
      </c>
      <c r="P90" s="29" t="n">
        <f aca="false">SUMIFS('Outages (event ledger)'!$H$2:$H$65,'Outages (event ledger)'!$A$2:$A$65,P$2,'Outages (event ledger)'!$E$2:$E$65,"&lt;="&amp;$B90,'Outages (event ledger)'!$G$2:$G$65,"&gt;="&amp;$B90)</f>
        <v>0</v>
      </c>
      <c r="Q90" s="29" t="n">
        <f aca="false">SUMIFS('Outages (event ledger)'!$H$2:$H$65,'Outages (event ledger)'!$A$2:$A$65,Q$2,'Outages (event ledger)'!$E$2:$E$65,"&lt;="&amp;$B90,'Outages (event ledger)'!$G$2:$G$65,"&gt;="&amp;$B90)</f>
        <v>0</v>
      </c>
      <c r="R90" s="29" t="n">
        <f aca="false">SUMIFS('Outages (event ledger)'!$H$2:$H$65,'Outages (event ledger)'!$A$2:$A$65,R$2,'Outages (event ledger)'!$E$2:$E$65,"&lt;="&amp;$B90,'Outages (event ledger)'!$G$2:$G$65,"&gt;="&amp;$B90)</f>
        <v>0</v>
      </c>
      <c r="S90" s="29" t="n">
        <f aca="false">SUMIFS('Outages (event ledger)'!$H$2:$H$65,'Outages (event ledger)'!$A$2:$A$65,S$2,'Outages (event ledger)'!$E$2:$E$65,"&lt;="&amp;$B90,'Outages (event ledger)'!$G$2:$G$65,"&gt;="&amp;$B90)</f>
        <v>0</v>
      </c>
      <c r="T90" s="29" t="n">
        <f aca="false">SUMIFS('Outages (event ledger)'!$H$2:$H$65,'Outages (event ledger)'!$A$2:$A$65,T$2,'Outages (event ledger)'!$E$2:$E$65,"&lt;="&amp;$B90,'Outages (event ledger)'!$G$2:$G$65,"&gt;="&amp;$B90)</f>
        <v>0</v>
      </c>
      <c r="U90" s="29" t="n">
        <f aca="false">SUMIFS('Outages (event ledger)'!$H$2:$H$65,'Outages (event ledger)'!$A$2:$A$65,U$2,'Outages (event ledger)'!$E$2:$E$65,"&lt;="&amp;$B90,'Outages (event ledger)'!$G$2:$G$65,"&gt;="&amp;$B90)</f>
        <v>0</v>
      </c>
      <c r="V90" s="29" t="n">
        <f aca="false">SUMIFS('Outages (event ledger)'!$H$2:$H$65,'Outages (event ledger)'!$A$2:$A$65,V$2,'Outages (event ledger)'!$E$2:$E$65,"&lt;="&amp;$B90,'Outages (event ledger)'!$G$2:$G$65,"&gt;="&amp;$B90)</f>
        <v>0</v>
      </c>
      <c r="W90" s="29" t="n">
        <f aca="false">SUMIFS('Outages (event ledger)'!$H$2:$H$65,'Outages (event ledger)'!$A$2:$A$65,W$2,'Outages (event ledger)'!$E$2:$E$65,"&lt;="&amp;$B90,'Outages (event ledger)'!$G$2:$G$65,"&gt;="&amp;$B90)</f>
        <v>0</v>
      </c>
      <c r="X90" s="29" t="n">
        <f aca="false">SUMIFS('Outages (event ledger)'!$H$2:$H$65,'Outages (event ledger)'!$A$2:$A$65,X$2,'Outages (event ledger)'!$E$2:$E$65,"&lt;="&amp;$B90,'Outages (event ledger)'!$G$2:$G$65,"&gt;="&amp;$B90)</f>
        <v>0</v>
      </c>
      <c r="Y90" s="29" t="n">
        <f aca="false">SUMIFS('Outages (event ledger)'!$H$2:$H$65,'Outages (event ledger)'!$A$2:$A$65,Y$2,'Outages (event ledger)'!$E$2:$E$65,"&lt;="&amp;$B90,'Outages (event ledger)'!$G$2:$G$65,"&gt;="&amp;$B90)</f>
        <v>5</v>
      </c>
      <c r="Z90" s="29" t="n">
        <f aca="false">SUMIFS('Outages (event ledger)'!$H$2:$H$65,'Outages (event ledger)'!$A$2:$A$65,Z$2,'Outages (event ledger)'!$E$2:$E$65,"&lt;="&amp;$B90,'Outages (event ledger)'!$G$2:$G$65,"&gt;="&amp;$B90)</f>
        <v>5</v>
      </c>
      <c r="AA90" s="29" t="n">
        <f aca="false">SUMIFS('Outages (event ledger)'!$H$2:$H$65,'Outages (event ledger)'!$A$2:$A$65,AA$2,'Outages (event ledger)'!$E$2:$E$65,"&lt;="&amp;$B90,'Outages (event ledger)'!$G$2:$G$65,"&gt;="&amp;$B90)</f>
        <v>0</v>
      </c>
      <c r="AB90" s="29" t="n">
        <f aca="false">SUMIFS('Outages (event ledger)'!$H$2:$H$65,'Outages (event ledger)'!$A$2:$A$65,AB$2,'Outages (event ledger)'!$E$2:$E$65,"&lt;="&amp;$B90,'Outages (event ledger)'!$G$2:$G$65,"&gt;="&amp;$B90)</f>
        <v>8</v>
      </c>
      <c r="AC90" s="29" t="n">
        <f aca="false">SUMIFS('Outages (event ledger)'!$H$2:$H$65,'Outages (event ledger)'!$A$2:$A$65,AC$2,'Outages (event ledger)'!$E$2:$E$65,"&lt;="&amp;$B90,'Outages (event ledger)'!$G$2:$G$65,"&gt;="&amp;$B90)</f>
        <v>0</v>
      </c>
      <c r="AD90" s="29" t="n">
        <f aca="false">SUMIFS('Outages (event ledger)'!$H$2:$H$65,'Outages (event ledger)'!$A$2:$A$65,AD$2,'Outages (event ledger)'!$E$2:$E$65,"&lt;="&amp;$B90,'Outages (event ledger)'!$G$2:$G$65,"&gt;="&amp;$B90)</f>
        <v>0</v>
      </c>
      <c r="AE90" s="29" t="n">
        <f aca="false">SUMIFS('Outages (event ledger)'!$H$2:$H$65,'Outages (event ledger)'!$A$2:$A$65,AE$2,'Outages (event ledger)'!$E$2:$E$65,"&lt;="&amp;$B90,'Outages (event ledger)'!$G$2:$G$65,"&gt;="&amp;$B90)</f>
        <v>0</v>
      </c>
      <c r="AF90" s="29" t="n">
        <f aca="false">SUMIFS('Outages (event ledger)'!$H$2:$H$65,'Outages (event ledger)'!$A$2:$A$65,AF$2,'Outages (event ledger)'!$E$2:$E$65,"&lt;="&amp;$B90,'Outages (event ledger)'!$G$2:$G$65,"&gt;="&amp;$B90)</f>
        <v>0</v>
      </c>
      <c r="AG90" s="29" t="n">
        <f aca="false">SUMIFS('Outages (event ledger)'!$H$2:$H$65,'Outages (event ledger)'!$A$2:$A$65,AG$2,'Outages (event ledger)'!$E$2:$E$65,"&lt;="&amp;$B90,'Outages (event ledger)'!$G$2:$G$65,"&gt;="&amp;$B90)</f>
        <v>0</v>
      </c>
      <c r="AH90" s="29" t="n">
        <f aca="false">SUMIFS('Outages (event ledger)'!$H$2:$H$65,'Outages (event ledger)'!$A$2:$A$65,AH$2,'Outages (event ledger)'!$E$2:$E$65,"&lt;="&amp;$B90,'Outages (event ledger)'!$G$2:$G$65,"&gt;="&amp;$B90)</f>
        <v>0</v>
      </c>
      <c r="AI90" s="29" t="n">
        <f aca="false">SUMIFS('Outages (event ledger)'!$H$2:$H$65,'Outages (event ledger)'!$A$2:$A$65,AI$2,'Outages (event ledger)'!$E$2:$E$65,"&lt;="&amp;$B90,'Outages (event ledger)'!$G$2:$G$65,"&gt;="&amp;$B90)</f>
        <v>0</v>
      </c>
      <c r="AJ90" s="29" t="n">
        <f aca="false">SUMIFS('Outages (event ledger)'!$H$2:$H$65,'Outages (event ledger)'!$A$2:$A$65,AJ$2,'Outages (event ledger)'!$E$2:$E$65,"&lt;="&amp;$B90,'Outages (event ledger)'!$G$2:$G$65,"&gt;="&amp;$B90)</f>
        <v>0</v>
      </c>
      <c r="AK90" s="29" t="n">
        <f aca="false">SUMIFS('Outages (event ledger)'!$H$2:$H$65,'Outages (event ledger)'!$A$2:$A$65,AK$2,'Outages (event ledger)'!$E$2:$E$65,"&lt;="&amp;$B90,'Outages (event ledger)'!$G$2:$G$65,"&gt;="&amp;$B90)</f>
        <v>0</v>
      </c>
      <c r="AL90" s="29" t="n">
        <f aca="false">SUMIFS('Outages (event ledger)'!$H$2:$H$65,'Outages (event ledger)'!$A$2:$A$65,AL$2,'Outages (event ledger)'!$E$2:$E$65,"&lt;="&amp;$B90,'Outages (event ledger)'!$G$2:$G$65,"&gt;="&amp;$B90)</f>
        <v>0</v>
      </c>
      <c r="AM90" s="29" t="n">
        <f aca="false">SUMIFS('Outages (event ledger)'!$H$2:$H$65,'Outages (event ledger)'!$A$2:$A$65,AM$2,'Outages (event ledger)'!$E$2:$E$65,"&lt;="&amp;$B90,'Outages (event ledger)'!$G$2:$G$65,"&gt;="&amp;$B90)</f>
        <v>0</v>
      </c>
      <c r="AN90" s="29" t="n">
        <f aca="false">SUMIFS('Outages (event ledger)'!$H$2:$H$65,'Outages (event ledger)'!$A$2:$A$65,AN$2,'Outages (event ledger)'!$E$2:$E$65,"&lt;="&amp;$B90,'Outages (event ledger)'!$G$2:$G$65,"&gt;="&amp;$B90)</f>
        <v>0</v>
      </c>
      <c r="AO90" s="29" t="n">
        <f aca="false">SUMIFS('Outages (event ledger)'!$H$2:$H$65,'Outages (event ledger)'!$A$2:$A$65,AO$2,'Outages (event ledger)'!$E$2:$E$65,"&lt;="&amp;$B90,'Outages (event ledger)'!$G$2:$G$65,"&gt;="&amp;$B90)</f>
        <v>0</v>
      </c>
      <c r="AP90" s="29" t="n">
        <f aca="false">SUMIFS('Outages (event ledger)'!$H$2:$H$65,'Outages (event ledger)'!$A$2:$A$65,AP$2,'Outages (event ledger)'!$E$2:$E$65,"&lt;="&amp;$B90,'Outages (event ledger)'!$G$2:$G$65,"&gt;="&amp;$B90)</f>
        <v>0</v>
      </c>
      <c r="AQ90" s="29" t="n">
        <f aca="false">SUMIFS('Outages (event ledger)'!$H$2:$H$65,'Outages (event ledger)'!$A$2:$A$65,AQ$2,'Outages (event ledger)'!$E$2:$E$65,"&lt;="&amp;$B90,'Outages (event ledger)'!$G$2:$G$65,"&gt;="&amp;$B90)</f>
        <v>0</v>
      </c>
      <c r="AR90" s="29" t="n">
        <f aca="false">SUMIFS('Outages (event ledger)'!$H$2:$H$65,'Outages (event ledger)'!$A$2:$A$65,AR$2,'Outages (event ledger)'!$E$2:$E$65,"&lt;="&amp;$B90,'Outages (event ledger)'!$G$2:$G$65,"&gt;="&amp;$B90)</f>
        <v>0</v>
      </c>
      <c r="AS90" s="29" t="n">
        <f aca="false">SUMIFS('Outages (event ledger)'!$H$2:$H$65,'Outages (event ledger)'!$A$2:$A$65,AS$2,'Outages (event ledger)'!$E$2:$E$65,"&lt;="&amp;$B90,'Outages (event ledger)'!$G$2:$G$65,"&gt;="&amp;$B90)</f>
        <v>0</v>
      </c>
      <c r="AT90" s="29" t="n">
        <f aca="false">SUMIFS('Outages (event ledger)'!$H$2:$H$65,'Outages (event ledger)'!$A$2:$A$65,AT$2,'Outages (event ledger)'!$E$2:$E$65,"&lt;="&amp;$B90,'Outages (event ledger)'!$G$2:$G$65,"&gt;="&amp;$B90)</f>
        <v>0</v>
      </c>
      <c r="AU90" s="29" t="n">
        <f aca="false">SUMIFS('Outages (event ledger)'!$H$2:$H$65,'Outages (event ledger)'!$A$2:$A$65,AU$2,'Outages (event ledger)'!$E$2:$E$65,"&lt;="&amp;$B90,'Outages (event ledger)'!$G$2:$G$65,"&gt;="&amp;$B90)</f>
        <v>0</v>
      </c>
      <c r="AV90" s="29" t="n">
        <f aca="false">SUMIFS('Outages (event ledger)'!$H$2:$H$65,'Outages (event ledger)'!$A$2:$A$65,AV$2,'Outages (event ledger)'!$E$2:$E$65,"&lt;="&amp;$B90,'Outages (event ledger)'!$G$2:$G$65,"&gt;="&amp;$B90)</f>
        <v>0</v>
      </c>
      <c r="AW90" s="29" t="n">
        <f aca="false">SUMIFS('Outages (event ledger)'!$H$2:$H$65,'Outages (event ledger)'!$A$2:$A$65,AW$2,'Outages (event ledger)'!$E$2:$E$65,"&lt;="&amp;$B90,'Outages (event ledger)'!$G$2:$G$65,"&gt;="&amp;$B90)</f>
        <v>0</v>
      </c>
      <c r="AX90" s="29" t="n">
        <f aca="false">SUMIFS('Outages (event ledger)'!$H$2:$H$65,'Outages (event ledger)'!$A$2:$A$65,AX$2,'Outages (event ledger)'!$E$2:$E$65,"&lt;="&amp;$B90,'Outages (event ledger)'!$G$2:$G$65,"&gt;="&amp;$B90)</f>
        <v>0</v>
      </c>
      <c r="AY90" s="29" t="n">
        <f aca="false">SUMIFS('Outages (event ledger)'!$H$2:$H$65,'Outages (event ledger)'!$A$2:$A$65,AY$2,'Outages (event ledger)'!$E$2:$E$65,"&lt;="&amp;$B90,'Outages (event ledger)'!$G$2:$G$65,"&gt;="&amp;$B90)</f>
        <v>0</v>
      </c>
      <c r="AZ90" s="29" t="n">
        <f aca="false">SUMIFS('Outages (event ledger)'!$H$2:$H$65,'Outages (event ledger)'!$A$2:$A$65,AZ$2,'Outages (event ledger)'!$E$2:$E$65,"&lt;="&amp;$B90,'Outages (event ledger)'!$G$2:$G$65,"&gt;="&amp;$B90)</f>
        <v>0</v>
      </c>
      <c r="BA90" s="29" t="n">
        <f aca="false">SUMIFS('Outages (event ledger)'!$H$2:$H$65,'Outages (event ledger)'!$A$2:$A$65,BA$2,'Outages (event ledger)'!$E$2:$E$65,"&lt;="&amp;$B90,'Outages (event ledger)'!$G$2:$G$65,"&gt;="&amp;$B90)</f>
        <v>0</v>
      </c>
      <c r="BB90" s="29" t="n">
        <f aca="false">SUMIFS('Outages (event ledger)'!$H$2:$H$65,'Outages (event ledger)'!$A$2:$A$65,BB$2,'Outages (event ledger)'!$E$2:$E$65,"&lt;="&amp;$B90,'Outages (event ledger)'!$G$2:$G$65,"&gt;="&amp;$B90)</f>
        <v>0</v>
      </c>
      <c r="BC90" s="29" t="n">
        <f aca="false">SUMIFS('Outages (event ledger)'!$H$2:$H$65,'Outages (event ledger)'!$A$2:$A$65,BC$2,'Outages (event ledger)'!$E$2:$E$65,"&lt;="&amp;$B90,'Outages (event ledger)'!$G$2:$G$65,"&gt;="&amp;$B90)</f>
        <v>0</v>
      </c>
      <c r="BD90" s="29" t="n">
        <f aca="false">SUMIFS('Outages (event ledger)'!$H$2:$H$65,'Outages (event ledger)'!$A$2:$A$65,BD$2,'Outages (event ledger)'!$E$2:$E$65,"&lt;="&amp;$B90,'Outages (event ledger)'!$G$2:$G$65,"&gt;="&amp;$B90)</f>
        <v>0</v>
      </c>
      <c r="BE90" s="29" t="n">
        <f aca="false">SUMIFS('Outages (event ledger)'!$H$2:$H$65,'Outages (event ledger)'!$A$2:$A$65,BE$2,'Outages (event ledger)'!$E$2:$E$65,"&lt;="&amp;$B90,'Outages (event ledger)'!$G$2:$G$65,"&gt;="&amp;$B90)</f>
        <v>0</v>
      </c>
      <c r="BF90" s="29" t="n">
        <f aca="false">SUMIFS('Outages (event ledger)'!$H$2:$H$65,'Outages (event ledger)'!$A$2:$A$65,BF$2,'Outages (event ledger)'!$E$2:$E$65,"&lt;="&amp;$B90,'Outages (event ledger)'!$G$2:$G$65,"&gt;="&amp;$B90)</f>
        <v>0</v>
      </c>
      <c r="BG90" s="29" t="n">
        <f aca="false">SUMIFS('Outages (event ledger)'!$H$2:$H$65,'Outages (event ledger)'!$A$2:$A$65,BG$2,'Outages (event ledger)'!$E$2:$E$65,"&lt;="&amp;$B90,'Outages (event ledger)'!$G$2:$G$65,"&gt;="&amp;$B90)</f>
        <v>0</v>
      </c>
      <c r="BH90" s="29" t="n">
        <f aca="false">SUMIFS('Outages (event ledger)'!$H$2:$H$65,'Outages (event ledger)'!$A$2:$A$65,BH$2,'Outages (event ledger)'!$E$2:$E$65,"&lt;="&amp;$B90,'Outages (event ledger)'!$G$2:$G$65,"&gt;="&amp;$B90)</f>
        <v>0</v>
      </c>
      <c r="BI90" s="29" t="n">
        <f aca="false">SUMIFS('Outages (event ledger)'!$H$2:$H$65,'Outages (event ledger)'!$A$2:$A$65,BI$2,'Outages (event ledger)'!$E$2:$E$65,"&lt;="&amp;$B90,'Outages (event ledger)'!$G$2:$G$65,"&gt;="&amp;$B90)</f>
        <v>6.7</v>
      </c>
    </row>
    <row r="91" customFormat="false" ht="15" hidden="false" customHeight="false" outlineLevel="0" collapsed="false">
      <c r="A91" s="27" t="n">
        <v>42856</v>
      </c>
      <c r="B91" s="28" t="n">
        <v>201705</v>
      </c>
      <c r="C91" s="25" t="n">
        <f aca="false">SUM(D91:BI91)</f>
        <v>24.7</v>
      </c>
      <c r="D91" s="29" t="n">
        <f aca="false">SUMIFS('Outages (event ledger)'!$H$2:$H$65,'Outages (event ledger)'!$A$2:$A$65,D$2,'Outages (event ledger)'!$E$2:$E$65,"&lt;="&amp;$B91,'Outages (event ledger)'!$G$2:$G$65,"&gt;="&amp;$B91)</f>
        <v>0</v>
      </c>
      <c r="E91" s="29" t="n">
        <f aca="false">SUMIFS('Outages (event ledger)'!$H$2:$H$65,'Outages (event ledger)'!$A$2:$A$65,E$2,'Outages (event ledger)'!$E$2:$E$65,"&lt;="&amp;$B91,'Outages (event ledger)'!$G$2:$G$65,"&gt;="&amp;$B91)</f>
        <v>0</v>
      </c>
      <c r="F91" s="29" t="n">
        <f aca="false">SUMIFS('Outages (event ledger)'!$H$2:$H$65,'Outages (event ledger)'!$A$2:$A$65,F$2,'Outages (event ledger)'!$E$2:$E$65,"&lt;="&amp;$B91,'Outages (event ledger)'!$G$2:$G$65,"&gt;="&amp;$B91)</f>
        <v>0</v>
      </c>
      <c r="G91" s="29" t="n">
        <f aca="false">SUMIFS('Outages (event ledger)'!$H$2:$H$65,'Outages (event ledger)'!$A$2:$A$65,G$2,'Outages (event ledger)'!$E$2:$E$65,"&lt;="&amp;$B91,'Outages (event ledger)'!$G$2:$G$65,"&gt;="&amp;$B91)</f>
        <v>0</v>
      </c>
      <c r="H91" s="29" t="n">
        <f aca="false">SUMIFS('Outages (event ledger)'!$H$2:$H$65,'Outages (event ledger)'!$A$2:$A$65,H$2,'Outages (event ledger)'!$E$2:$E$65,"&lt;="&amp;$B91,'Outages (event ledger)'!$G$2:$G$65,"&gt;="&amp;$B91)</f>
        <v>0</v>
      </c>
      <c r="I91" s="29" t="n">
        <f aca="false">SUMIFS('Outages (event ledger)'!$H$2:$H$65,'Outages (event ledger)'!$A$2:$A$65,I$2,'Outages (event ledger)'!$E$2:$E$65,"&lt;="&amp;$B91,'Outages (event ledger)'!$G$2:$G$65,"&gt;="&amp;$B91)</f>
        <v>0</v>
      </c>
      <c r="J91" s="29" t="n">
        <f aca="false">SUMIFS('Outages (event ledger)'!$H$2:$H$65,'Outages (event ledger)'!$A$2:$A$65,J$2,'Outages (event ledger)'!$E$2:$E$65,"&lt;="&amp;$B91,'Outages (event ledger)'!$G$2:$G$65,"&gt;="&amp;$B91)</f>
        <v>0</v>
      </c>
      <c r="K91" s="29" t="n">
        <f aca="false">SUMIFS('Outages (event ledger)'!$H$2:$H$65,'Outages (event ledger)'!$A$2:$A$65,K$2,'Outages (event ledger)'!$E$2:$E$65,"&lt;="&amp;$B91,'Outages (event ledger)'!$G$2:$G$65,"&gt;="&amp;$B91)</f>
        <v>0</v>
      </c>
      <c r="L91" s="29" t="n">
        <f aca="false">SUMIFS('Outages (event ledger)'!$H$2:$H$65,'Outages (event ledger)'!$A$2:$A$65,L$2,'Outages (event ledger)'!$E$2:$E$65,"&lt;="&amp;$B91,'Outages (event ledger)'!$G$2:$G$65,"&gt;="&amp;$B91)</f>
        <v>0</v>
      </c>
      <c r="M91" s="29" t="n">
        <f aca="false">SUMIFS('Outages (event ledger)'!$H$2:$H$65,'Outages (event ledger)'!$A$2:$A$65,M$2,'Outages (event ledger)'!$E$2:$E$65,"&lt;="&amp;$B91,'Outages (event ledger)'!$G$2:$G$65,"&gt;="&amp;$B91)</f>
        <v>0</v>
      </c>
      <c r="N91" s="29" t="n">
        <f aca="false">SUMIFS('Outages (event ledger)'!$H$2:$H$65,'Outages (event ledger)'!$A$2:$A$65,N$2,'Outages (event ledger)'!$E$2:$E$65,"&lt;="&amp;$B91,'Outages (event ledger)'!$G$2:$G$65,"&gt;="&amp;$B91)</f>
        <v>0</v>
      </c>
      <c r="O91" s="29" t="n">
        <f aca="false">SUMIFS('Outages (event ledger)'!$H$2:$H$65,'Outages (event ledger)'!$A$2:$A$65,O$2,'Outages (event ledger)'!$E$2:$E$65,"&lt;="&amp;$B91,'Outages (event ledger)'!$G$2:$G$65,"&gt;="&amp;$B91)</f>
        <v>0</v>
      </c>
      <c r="P91" s="29" t="n">
        <f aca="false">SUMIFS('Outages (event ledger)'!$H$2:$H$65,'Outages (event ledger)'!$A$2:$A$65,P$2,'Outages (event ledger)'!$E$2:$E$65,"&lt;="&amp;$B91,'Outages (event ledger)'!$G$2:$G$65,"&gt;="&amp;$B91)</f>
        <v>0</v>
      </c>
      <c r="Q91" s="29" t="n">
        <f aca="false">SUMIFS('Outages (event ledger)'!$H$2:$H$65,'Outages (event ledger)'!$A$2:$A$65,Q$2,'Outages (event ledger)'!$E$2:$E$65,"&lt;="&amp;$B91,'Outages (event ledger)'!$G$2:$G$65,"&gt;="&amp;$B91)</f>
        <v>0</v>
      </c>
      <c r="R91" s="29" t="n">
        <f aca="false">SUMIFS('Outages (event ledger)'!$H$2:$H$65,'Outages (event ledger)'!$A$2:$A$65,R$2,'Outages (event ledger)'!$E$2:$E$65,"&lt;="&amp;$B91,'Outages (event ledger)'!$G$2:$G$65,"&gt;="&amp;$B91)</f>
        <v>0</v>
      </c>
      <c r="S91" s="29" t="n">
        <f aca="false">SUMIFS('Outages (event ledger)'!$H$2:$H$65,'Outages (event ledger)'!$A$2:$A$65,S$2,'Outages (event ledger)'!$E$2:$E$65,"&lt;="&amp;$B91,'Outages (event ledger)'!$G$2:$G$65,"&gt;="&amp;$B91)</f>
        <v>0</v>
      </c>
      <c r="T91" s="29" t="n">
        <f aca="false">SUMIFS('Outages (event ledger)'!$H$2:$H$65,'Outages (event ledger)'!$A$2:$A$65,T$2,'Outages (event ledger)'!$E$2:$E$65,"&lt;="&amp;$B91,'Outages (event ledger)'!$G$2:$G$65,"&gt;="&amp;$B91)</f>
        <v>0</v>
      </c>
      <c r="U91" s="29" t="n">
        <f aca="false">SUMIFS('Outages (event ledger)'!$H$2:$H$65,'Outages (event ledger)'!$A$2:$A$65,U$2,'Outages (event ledger)'!$E$2:$E$65,"&lt;="&amp;$B91,'Outages (event ledger)'!$G$2:$G$65,"&gt;="&amp;$B91)</f>
        <v>0</v>
      </c>
      <c r="V91" s="29" t="n">
        <f aca="false">SUMIFS('Outages (event ledger)'!$H$2:$H$65,'Outages (event ledger)'!$A$2:$A$65,V$2,'Outages (event ledger)'!$E$2:$E$65,"&lt;="&amp;$B91,'Outages (event ledger)'!$G$2:$G$65,"&gt;="&amp;$B91)</f>
        <v>0</v>
      </c>
      <c r="W91" s="29" t="n">
        <f aca="false">SUMIFS('Outages (event ledger)'!$H$2:$H$65,'Outages (event ledger)'!$A$2:$A$65,W$2,'Outages (event ledger)'!$E$2:$E$65,"&lt;="&amp;$B91,'Outages (event ledger)'!$G$2:$G$65,"&gt;="&amp;$B91)</f>
        <v>0</v>
      </c>
      <c r="X91" s="29" t="n">
        <f aca="false">SUMIFS('Outages (event ledger)'!$H$2:$H$65,'Outages (event ledger)'!$A$2:$A$65,X$2,'Outages (event ledger)'!$E$2:$E$65,"&lt;="&amp;$B91,'Outages (event ledger)'!$G$2:$G$65,"&gt;="&amp;$B91)</f>
        <v>0</v>
      </c>
      <c r="Y91" s="29" t="n">
        <f aca="false">SUMIFS('Outages (event ledger)'!$H$2:$H$65,'Outages (event ledger)'!$A$2:$A$65,Y$2,'Outages (event ledger)'!$E$2:$E$65,"&lt;="&amp;$B91,'Outages (event ledger)'!$G$2:$G$65,"&gt;="&amp;$B91)</f>
        <v>5</v>
      </c>
      <c r="Z91" s="29" t="n">
        <f aca="false">SUMIFS('Outages (event ledger)'!$H$2:$H$65,'Outages (event ledger)'!$A$2:$A$65,Z$2,'Outages (event ledger)'!$E$2:$E$65,"&lt;="&amp;$B91,'Outages (event ledger)'!$G$2:$G$65,"&gt;="&amp;$B91)</f>
        <v>5</v>
      </c>
      <c r="AA91" s="29" t="n">
        <f aca="false">SUMIFS('Outages (event ledger)'!$H$2:$H$65,'Outages (event ledger)'!$A$2:$A$65,AA$2,'Outages (event ledger)'!$E$2:$E$65,"&lt;="&amp;$B91,'Outages (event ledger)'!$G$2:$G$65,"&gt;="&amp;$B91)</f>
        <v>0</v>
      </c>
      <c r="AB91" s="29" t="n">
        <f aca="false">SUMIFS('Outages (event ledger)'!$H$2:$H$65,'Outages (event ledger)'!$A$2:$A$65,AB$2,'Outages (event ledger)'!$E$2:$E$65,"&lt;="&amp;$B91,'Outages (event ledger)'!$G$2:$G$65,"&gt;="&amp;$B91)</f>
        <v>8</v>
      </c>
      <c r="AC91" s="29" t="n">
        <f aca="false">SUMIFS('Outages (event ledger)'!$H$2:$H$65,'Outages (event ledger)'!$A$2:$A$65,AC$2,'Outages (event ledger)'!$E$2:$E$65,"&lt;="&amp;$B91,'Outages (event ledger)'!$G$2:$G$65,"&gt;="&amp;$B91)</f>
        <v>0</v>
      </c>
      <c r="AD91" s="29" t="n">
        <f aca="false">SUMIFS('Outages (event ledger)'!$H$2:$H$65,'Outages (event ledger)'!$A$2:$A$65,AD$2,'Outages (event ledger)'!$E$2:$E$65,"&lt;="&amp;$B91,'Outages (event ledger)'!$G$2:$G$65,"&gt;="&amp;$B91)</f>
        <v>0</v>
      </c>
      <c r="AE91" s="29" t="n">
        <f aca="false">SUMIFS('Outages (event ledger)'!$H$2:$H$65,'Outages (event ledger)'!$A$2:$A$65,AE$2,'Outages (event ledger)'!$E$2:$E$65,"&lt;="&amp;$B91,'Outages (event ledger)'!$G$2:$G$65,"&gt;="&amp;$B91)</f>
        <v>0</v>
      </c>
      <c r="AF91" s="29" t="n">
        <f aca="false">SUMIFS('Outages (event ledger)'!$H$2:$H$65,'Outages (event ledger)'!$A$2:$A$65,AF$2,'Outages (event ledger)'!$E$2:$E$65,"&lt;="&amp;$B91,'Outages (event ledger)'!$G$2:$G$65,"&gt;="&amp;$B91)</f>
        <v>0</v>
      </c>
      <c r="AG91" s="29" t="n">
        <f aca="false">SUMIFS('Outages (event ledger)'!$H$2:$H$65,'Outages (event ledger)'!$A$2:$A$65,AG$2,'Outages (event ledger)'!$E$2:$E$65,"&lt;="&amp;$B91,'Outages (event ledger)'!$G$2:$G$65,"&gt;="&amp;$B91)</f>
        <v>0</v>
      </c>
      <c r="AH91" s="29" t="n">
        <f aca="false">SUMIFS('Outages (event ledger)'!$H$2:$H$65,'Outages (event ledger)'!$A$2:$A$65,AH$2,'Outages (event ledger)'!$E$2:$E$65,"&lt;="&amp;$B91,'Outages (event ledger)'!$G$2:$G$65,"&gt;="&amp;$B91)</f>
        <v>0</v>
      </c>
      <c r="AI91" s="29" t="n">
        <f aca="false">SUMIFS('Outages (event ledger)'!$H$2:$H$65,'Outages (event ledger)'!$A$2:$A$65,AI$2,'Outages (event ledger)'!$E$2:$E$65,"&lt;="&amp;$B91,'Outages (event ledger)'!$G$2:$G$65,"&gt;="&amp;$B91)</f>
        <v>0</v>
      </c>
      <c r="AJ91" s="29" t="n">
        <f aca="false">SUMIFS('Outages (event ledger)'!$H$2:$H$65,'Outages (event ledger)'!$A$2:$A$65,AJ$2,'Outages (event ledger)'!$E$2:$E$65,"&lt;="&amp;$B91,'Outages (event ledger)'!$G$2:$G$65,"&gt;="&amp;$B91)</f>
        <v>0</v>
      </c>
      <c r="AK91" s="29" t="n">
        <f aca="false">SUMIFS('Outages (event ledger)'!$H$2:$H$65,'Outages (event ledger)'!$A$2:$A$65,AK$2,'Outages (event ledger)'!$E$2:$E$65,"&lt;="&amp;$B91,'Outages (event ledger)'!$G$2:$G$65,"&gt;="&amp;$B91)</f>
        <v>0</v>
      </c>
      <c r="AL91" s="29" t="n">
        <f aca="false">SUMIFS('Outages (event ledger)'!$H$2:$H$65,'Outages (event ledger)'!$A$2:$A$65,AL$2,'Outages (event ledger)'!$E$2:$E$65,"&lt;="&amp;$B91,'Outages (event ledger)'!$G$2:$G$65,"&gt;="&amp;$B91)</f>
        <v>0</v>
      </c>
      <c r="AM91" s="29" t="n">
        <f aca="false">SUMIFS('Outages (event ledger)'!$H$2:$H$65,'Outages (event ledger)'!$A$2:$A$65,AM$2,'Outages (event ledger)'!$E$2:$E$65,"&lt;="&amp;$B91,'Outages (event ledger)'!$G$2:$G$65,"&gt;="&amp;$B91)</f>
        <v>0</v>
      </c>
      <c r="AN91" s="29" t="n">
        <f aca="false">SUMIFS('Outages (event ledger)'!$H$2:$H$65,'Outages (event ledger)'!$A$2:$A$65,AN$2,'Outages (event ledger)'!$E$2:$E$65,"&lt;="&amp;$B91,'Outages (event ledger)'!$G$2:$G$65,"&gt;="&amp;$B91)</f>
        <v>0</v>
      </c>
      <c r="AO91" s="29" t="n">
        <f aca="false">SUMIFS('Outages (event ledger)'!$H$2:$H$65,'Outages (event ledger)'!$A$2:$A$65,AO$2,'Outages (event ledger)'!$E$2:$E$65,"&lt;="&amp;$B91,'Outages (event ledger)'!$G$2:$G$65,"&gt;="&amp;$B91)</f>
        <v>0</v>
      </c>
      <c r="AP91" s="29" t="n">
        <f aca="false">SUMIFS('Outages (event ledger)'!$H$2:$H$65,'Outages (event ledger)'!$A$2:$A$65,AP$2,'Outages (event ledger)'!$E$2:$E$65,"&lt;="&amp;$B91,'Outages (event ledger)'!$G$2:$G$65,"&gt;="&amp;$B91)</f>
        <v>0</v>
      </c>
      <c r="AQ91" s="29" t="n">
        <f aca="false">SUMIFS('Outages (event ledger)'!$H$2:$H$65,'Outages (event ledger)'!$A$2:$A$65,AQ$2,'Outages (event ledger)'!$E$2:$E$65,"&lt;="&amp;$B91,'Outages (event ledger)'!$G$2:$G$65,"&gt;="&amp;$B91)</f>
        <v>0</v>
      </c>
      <c r="AR91" s="29" t="n">
        <f aca="false">SUMIFS('Outages (event ledger)'!$H$2:$H$65,'Outages (event ledger)'!$A$2:$A$65,AR$2,'Outages (event ledger)'!$E$2:$E$65,"&lt;="&amp;$B91,'Outages (event ledger)'!$G$2:$G$65,"&gt;="&amp;$B91)</f>
        <v>0</v>
      </c>
      <c r="AS91" s="29" t="n">
        <f aca="false">SUMIFS('Outages (event ledger)'!$H$2:$H$65,'Outages (event ledger)'!$A$2:$A$65,AS$2,'Outages (event ledger)'!$E$2:$E$65,"&lt;="&amp;$B91,'Outages (event ledger)'!$G$2:$G$65,"&gt;="&amp;$B91)</f>
        <v>0</v>
      </c>
      <c r="AT91" s="29" t="n">
        <f aca="false">SUMIFS('Outages (event ledger)'!$H$2:$H$65,'Outages (event ledger)'!$A$2:$A$65,AT$2,'Outages (event ledger)'!$E$2:$E$65,"&lt;="&amp;$B91,'Outages (event ledger)'!$G$2:$G$65,"&gt;="&amp;$B91)</f>
        <v>0</v>
      </c>
      <c r="AU91" s="29" t="n">
        <f aca="false">SUMIFS('Outages (event ledger)'!$H$2:$H$65,'Outages (event ledger)'!$A$2:$A$65,AU$2,'Outages (event ledger)'!$E$2:$E$65,"&lt;="&amp;$B91,'Outages (event ledger)'!$G$2:$G$65,"&gt;="&amp;$B91)</f>
        <v>0</v>
      </c>
      <c r="AV91" s="29" t="n">
        <f aca="false">SUMIFS('Outages (event ledger)'!$H$2:$H$65,'Outages (event ledger)'!$A$2:$A$65,AV$2,'Outages (event ledger)'!$E$2:$E$65,"&lt;="&amp;$B91,'Outages (event ledger)'!$G$2:$G$65,"&gt;="&amp;$B91)</f>
        <v>0</v>
      </c>
      <c r="AW91" s="29" t="n">
        <f aca="false">SUMIFS('Outages (event ledger)'!$H$2:$H$65,'Outages (event ledger)'!$A$2:$A$65,AW$2,'Outages (event ledger)'!$E$2:$E$65,"&lt;="&amp;$B91,'Outages (event ledger)'!$G$2:$G$65,"&gt;="&amp;$B91)</f>
        <v>0</v>
      </c>
      <c r="AX91" s="29" t="n">
        <f aca="false">SUMIFS('Outages (event ledger)'!$H$2:$H$65,'Outages (event ledger)'!$A$2:$A$65,AX$2,'Outages (event ledger)'!$E$2:$E$65,"&lt;="&amp;$B91,'Outages (event ledger)'!$G$2:$G$65,"&gt;="&amp;$B91)</f>
        <v>0</v>
      </c>
      <c r="AY91" s="29" t="n">
        <f aca="false">SUMIFS('Outages (event ledger)'!$H$2:$H$65,'Outages (event ledger)'!$A$2:$A$65,AY$2,'Outages (event ledger)'!$E$2:$E$65,"&lt;="&amp;$B91,'Outages (event ledger)'!$G$2:$G$65,"&gt;="&amp;$B91)</f>
        <v>0</v>
      </c>
      <c r="AZ91" s="29" t="n">
        <f aca="false">SUMIFS('Outages (event ledger)'!$H$2:$H$65,'Outages (event ledger)'!$A$2:$A$65,AZ$2,'Outages (event ledger)'!$E$2:$E$65,"&lt;="&amp;$B91,'Outages (event ledger)'!$G$2:$G$65,"&gt;="&amp;$B91)</f>
        <v>0</v>
      </c>
      <c r="BA91" s="29" t="n">
        <f aca="false">SUMIFS('Outages (event ledger)'!$H$2:$H$65,'Outages (event ledger)'!$A$2:$A$65,BA$2,'Outages (event ledger)'!$E$2:$E$65,"&lt;="&amp;$B91,'Outages (event ledger)'!$G$2:$G$65,"&gt;="&amp;$B91)</f>
        <v>0</v>
      </c>
      <c r="BB91" s="29" t="n">
        <f aca="false">SUMIFS('Outages (event ledger)'!$H$2:$H$65,'Outages (event ledger)'!$A$2:$A$65,BB$2,'Outages (event ledger)'!$E$2:$E$65,"&lt;="&amp;$B91,'Outages (event ledger)'!$G$2:$G$65,"&gt;="&amp;$B91)</f>
        <v>0</v>
      </c>
      <c r="BC91" s="29" t="n">
        <f aca="false">SUMIFS('Outages (event ledger)'!$H$2:$H$65,'Outages (event ledger)'!$A$2:$A$65,BC$2,'Outages (event ledger)'!$E$2:$E$65,"&lt;="&amp;$B91,'Outages (event ledger)'!$G$2:$G$65,"&gt;="&amp;$B91)</f>
        <v>0</v>
      </c>
      <c r="BD91" s="29" t="n">
        <f aca="false">SUMIFS('Outages (event ledger)'!$H$2:$H$65,'Outages (event ledger)'!$A$2:$A$65,BD$2,'Outages (event ledger)'!$E$2:$E$65,"&lt;="&amp;$B91,'Outages (event ledger)'!$G$2:$G$65,"&gt;="&amp;$B91)</f>
        <v>0</v>
      </c>
      <c r="BE91" s="29" t="n">
        <f aca="false">SUMIFS('Outages (event ledger)'!$H$2:$H$65,'Outages (event ledger)'!$A$2:$A$65,BE$2,'Outages (event ledger)'!$E$2:$E$65,"&lt;="&amp;$B91,'Outages (event ledger)'!$G$2:$G$65,"&gt;="&amp;$B91)</f>
        <v>0</v>
      </c>
      <c r="BF91" s="29" t="n">
        <f aca="false">SUMIFS('Outages (event ledger)'!$H$2:$H$65,'Outages (event ledger)'!$A$2:$A$65,BF$2,'Outages (event ledger)'!$E$2:$E$65,"&lt;="&amp;$B91,'Outages (event ledger)'!$G$2:$G$65,"&gt;="&amp;$B91)</f>
        <v>0</v>
      </c>
      <c r="BG91" s="29" t="n">
        <f aca="false">SUMIFS('Outages (event ledger)'!$H$2:$H$65,'Outages (event ledger)'!$A$2:$A$65,BG$2,'Outages (event ledger)'!$E$2:$E$65,"&lt;="&amp;$B91,'Outages (event ledger)'!$G$2:$G$65,"&gt;="&amp;$B91)</f>
        <v>0</v>
      </c>
      <c r="BH91" s="29" t="n">
        <f aca="false">SUMIFS('Outages (event ledger)'!$H$2:$H$65,'Outages (event ledger)'!$A$2:$A$65,BH$2,'Outages (event ledger)'!$E$2:$E$65,"&lt;="&amp;$B91,'Outages (event ledger)'!$G$2:$G$65,"&gt;="&amp;$B91)</f>
        <v>0</v>
      </c>
      <c r="BI91" s="29" t="n">
        <f aca="false">SUMIFS('Outages (event ledger)'!$H$2:$H$65,'Outages (event ledger)'!$A$2:$A$65,BI$2,'Outages (event ledger)'!$E$2:$E$65,"&lt;="&amp;$B91,'Outages (event ledger)'!$G$2:$G$65,"&gt;="&amp;$B91)</f>
        <v>6.7</v>
      </c>
    </row>
    <row r="92" customFormat="false" ht="15" hidden="false" customHeight="false" outlineLevel="0" collapsed="false">
      <c r="A92" s="27" t="n">
        <v>42887</v>
      </c>
      <c r="B92" s="28" t="n">
        <v>201706</v>
      </c>
      <c r="C92" s="25" t="n">
        <f aca="false">SUM(D92:BI92)</f>
        <v>24.7</v>
      </c>
      <c r="D92" s="29" t="n">
        <f aca="false">SUMIFS('Outages (event ledger)'!$H$2:$H$65,'Outages (event ledger)'!$A$2:$A$65,D$2,'Outages (event ledger)'!$E$2:$E$65,"&lt;="&amp;$B92,'Outages (event ledger)'!$G$2:$G$65,"&gt;="&amp;$B92)</f>
        <v>0</v>
      </c>
      <c r="E92" s="29" t="n">
        <f aca="false">SUMIFS('Outages (event ledger)'!$H$2:$H$65,'Outages (event ledger)'!$A$2:$A$65,E$2,'Outages (event ledger)'!$E$2:$E$65,"&lt;="&amp;$B92,'Outages (event ledger)'!$G$2:$G$65,"&gt;="&amp;$B92)</f>
        <v>0</v>
      </c>
      <c r="F92" s="29" t="n">
        <f aca="false">SUMIFS('Outages (event ledger)'!$H$2:$H$65,'Outages (event ledger)'!$A$2:$A$65,F$2,'Outages (event ledger)'!$E$2:$E$65,"&lt;="&amp;$B92,'Outages (event ledger)'!$G$2:$G$65,"&gt;="&amp;$B92)</f>
        <v>0</v>
      </c>
      <c r="G92" s="29" t="n">
        <f aca="false">SUMIFS('Outages (event ledger)'!$H$2:$H$65,'Outages (event ledger)'!$A$2:$A$65,G$2,'Outages (event ledger)'!$E$2:$E$65,"&lt;="&amp;$B92,'Outages (event ledger)'!$G$2:$G$65,"&gt;="&amp;$B92)</f>
        <v>0</v>
      </c>
      <c r="H92" s="29" t="n">
        <f aca="false">SUMIFS('Outages (event ledger)'!$H$2:$H$65,'Outages (event ledger)'!$A$2:$A$65,H$2,'Outages (event ledger)'!$E$2:$E$65,"&lt;="&amp;$B92,'Outages (event ledger)'!$G$2:$G$65,"&gt;="&amp;$B92)</f>
        <v>0</v>
      </c>
      <c r="I92" s="29" t="n">
        <f aca="false">SUMIFS('Outages (event ledger)'!$H$2:$H$65,'Outages (event ledger)'!$A$2:$A$65,I$2,'Outages (event ledger)'!$E$2:$E$65,"&lt;="&amp;$B92,'Outages (event ledger)'!$G$2:$G$65,"&gt;="&amp;$B92)</f>
        <v>0</v>
      </c>
      <c r="J92" s="29" t="n">
        <f aca="false">SUMIFS('Outages (event ledger)'!$H$2:$H$65,'Outages (event ledger)'!$A$2:$A$65,J$2,'Outages (event ledger)'!$E$2:$E$65,"&lt;="&amp;$B92,'Outages (event ledger)'!$G$2:$G$65,"&gt;="&amp;$B92)</f>
        <v>0</v>
      </c>
      <c r="K92" s="29" t="n">
        <f aca="false">SUMIFS('Outages (event ledger)'!$H$2:$H$65,'Outages (event ledger)'!$A$2:$A$65,K$2,'Outages (event ledger)'!$E$2:$E$65,"&lt;="&amp;$B92,'Outages (event ledger)'!$G$2:$G$65,"&gt;="&amp;$B92)</f>
        <v>0</v>
      </c>
      <c r="L92" s="29" t="n">
        <f aca="false">SUMIFS('Outages (event ledger)'!$H$2:$H$65,'Outages (event ledger)'!$A$2:$A$65,L$2,'Outages (event ledger)'!$E$2:$E$65,"&lt;="&amp;$B92,'Outages (event ledger)'!$G$2:$G$65,"&gt;="&amp;$B92)</f>
        <v>0</v>
      </c>
      <c r="M92" s="29" t="n">
        <f aca="false">SUMIFS('Outages (event ledger)'!$H$2:$H$65,'Outages (event ledger)'!$A$2:$A$65,M$2,'Outages (event ledger)'!$E$2:$E$65,"&lt;="&amp;$B92,'Outages (event ledger)'!$G$2:$G$65,"&gt;="&amp;$B92)</f>
        <v>0</v>
      </c>
      <c r="N92" s="29" t="n">
        <f aca="false">SUMIFS('Outages (event ledger)'!$H$2:$H$65,'Outages (event ledger)'!$A$2:$A$65,N$2,'Outages (event ledger)'!$E$2:$E$65,"&lt;="&amp;$B92,'Outages (event ledger)'!$G$2:$G$65,"&gt;="&amp;$B92)</f>
        <v>0</v>
      </c>
      <c r="O92" s="29" t="n">
        <f aca="false">SUMIFS('Outages (event ledger)'!$H$2:$H$65,'Outages (event ledger)'!$A$2:$A$65,O$2,'Outages (event ledger)'!$E$2:$E$65,"&lt;="&amp;$B92,'Outages (event ledger)'!$G$2:$G$65,"&gt;="&amp;$B92)</f>
        <v>0</v>
      </c>
      <c r="P92" s="29" t="n">
        <f aca="false">SUMIFS('Outages (event ledger)'!$H$2:$H$65,'Outages (event ledger)'!$A$2:$A$65,P$2,'Outages (event ledger)'!$E$2:$E$65,"&lt;="&amp;$B92,'Outages (event ledger)'!$G$2:$G$65,"&gt;="&amp;$B92)</f>
        <v>0</v>
      </c>
      <c r="Q92" s="29" t="n">
        <f aca="false">SUMIFS('Outages (event ledger)'!$H$2:$H$65,'Outages (event ledger)'!$A$2:$A$65,Q$2,'Outages (event ledger)'!$E$2:$E$65,"&lt;="&amp;$B92,'Outages (event ledger)'!$G$2:$G$65,"&gt;="&amp;$B92)</f>
        <v>0</v>
      </c>
      <c r="R92" s="29" t="n">
        <f aca="false">SUMIFS('Outages (event ledger)'!$H$2:$H$65,'Outages (event ledger)'!$A$2:$A$65,R$2,'Outages (event ledger)'!$E$2:$E$65,"&lt;="&amp;$B92,'Outages (event ledger)'!$G$2:$G$65,"&gt;="&amp;$B92)</f>
        <v>0</v>
      </c>
      <c r="S92" s="29" t="n">
        <f aca="false">SUMIFS('Outages (event ledger)'!$H$2:$H$65,'Outages (event ledger)'!$A$2:$A$65,S$2,'Outages (event ledger)'!$E$2:$E$65,"&lt;="&amp;$B92,'Outages (event ledger)'!$G$2:$G$65,"&gt;="&amp;$B92)</f>
        <v>0</v>
      </c>
      <c r="T92" s="29" t="n">
        <f aca="false">SUMIFS('Outages (event ledger)'!$H$2:$H$65,'Outages (event ledger)'!$A$2:$A$65,T$2,'Outages (event ledger)'!$E$2:$E$65,"&lt;="&amp;$B92,'Outages (event ledger)'!$G$2:$G$65,"&gt;="&amp;$B92)</f>
        <v>0</v>
      </c>
      <c r="U92" s="29" t="n">
        <f aca="false">SUMIFS('Outages (event ledger)'!$H$2:$H$65,'Outages (event ledger)'!$A$2:$A$65,U$2,'Outages (event ledger)'!$E$2:$E$65,"&lt;="&amp;$B92,'Outages (event ledger)'!$G$2:$G$65,"&gt;="&amp;$B92)</f>
        <v>0</v>
      </c>
      <c r="V92" s="29" t="n">
        <f aca="false">SUMIFS('Outages (event ledger)'!$H$2:$H$65,'Outages (event ledger)'!$A$2:$A$65,V$2,'Outages (event ledger)'!$E$2:$E$65,"&lt;="&amp;$B92,'Outages (event ledger)'!$G$2:$G$65,"&gt;="&amp;$B92)</f>
        <v>0</v>
      </c>
      <c r="W92" s="29" t="n">
        <f aca="false">SUMIFS('Outages (event ledger)'!$H$2:$H$65,'Outages (event ledger)'!$A$2:$A$65,W$2,'Outages (event ledger)'!$E$2:$E$65,"&lt;="&amp;$B92,'Outages (event ledger)'!$G$2:$G$65,"&gt;="&amp;$B92)</f>
        <v>0</v>
      </c>
      <c r="X92" s="29" t="n">
        <f aca="false">SUMIFS('Outages (event ledger)'!$H$2:$H$65,'Outages (event ledger)'!$A$2:$A$65,X$2,'Outages (event ledger)'!$E$2:$E$65,"&lt;="&amp;$B92,'Outages (event ledger)'!$G$2:$G$65,"&gt;="&amp;$B92)</f>
        <v>0</v>
      </c>
      <c r="Y92" s="29" t="n">
        <f aca="false">SUMIFS('Outages (event ledger)'!$H$2:$H$65,'Outages (event ledger)'!$A$2:$A$65,Y$2,'Outages (event ledger)'!$E$2:$E$65,"&lt;="&amp;$B92,'Outages (event ledger)'!$G$2:$G$65,"&gt;="&amp;$B92)</f>
        <v>5</v>
      </c>
      <c r="Z92" s="29" t="n">
        <f aca="false">SUMIFS('Outages (event ledger)'!$H$2:$H$65,'Outages (event ledger)'!$A$2:$A$65,Z$2,'Outages (event ledger)'!$E$2:$E$65,"&lt;="&amp;$B92,'Outages (event ledger)'!$G$2:$G$65,"&gt;="&amp;$B92)</f>
        <v>5</v>
      </c>
      <c r="AA92" s="29" t="n">
        <f aca="false">SUMIFS('Outages (event ledger)'!$H$2:$H$65,'Outages (event ledger)'!$A$2:$A$65,AA$2,'Outages (event ledger)'!$E$2:$E$65,"&lt;="&amp;$B92,'Outages (event ledger)'!$G$2:$G$65,"&gt;="&amp;$B92)</f>
        <v>0</v>
      </c>
      <c r="AB92" s="29" t="n">
        <f aca="false">SUMIFS('Outages (event ledger)'!$H$2:$H$65,'Outages (event ledger)'!$A$2:$A$65,AB$2,'Outages (event ledger)'!$E$2:$E$65,"&lt;="&amp;$B92,'Outages (event ledger)'!$G$2:$G$65,"&gt;="&amp;$B92)</f>
        <v>8</v>
      </c>
      <c r="AC92" s="29" t="n">
        <f aca="false">SUMIFS('Outages (event ledger)'!$H$2:$H$65,'Outages (event ledger)'!$A$2:$A$65,AC$2,'Outages (event ledger)'!$E$2:$E$65,"&lt;="&amp;$B92,'Outages (event ledger)'!$G$2:$G$65,"&gt;="&amp;$B92)</f>
        <v>0</v>
      </c>
      <c r="AD92" s="29" t="n">
        <f aca="false">SUMIFS('Outages (event ledger)'!$H$2:$H$65,'Outages (event ledger)'!$A$2:$A$65,AD$2,'Outages (event ledger)'!$E$2:$E$65,"&lt;="&amp;$B92,'Outages (event ledger)'!$G$2:$G$65,"&gt;="&amp;$B92)</f>
        <v>0</v>
      </c>
      <c r="AE92" s="29" t="n">
        <f aca="false">SUMIFS('Outages (event ledger)'!$H$2:$H$65,'Outages (event ledger)'!$A$2:$A$65,AE$2,'Outages (event ledger)'!$E$2:$E$65,"&lt;="&amp;$B92,'Outages (event ledger)'!$G$2:$G$65,"&gt;="&amp;$B92)</f>
        <v>0</v>
      </c>
      <c r="AF92" s="29" t="n">
        <f aca="false">SUMIFS('Outages (event ledger)'!$H$2:$H$65,'Outages (event ledger)'!$A$2:$A$65,AF$2,'Outages (event ledger)'!$E$2:$E$65,"&lt;="&amp;$B92,'Outages (event ledger)'!$G$2:$G$65,"&gt;="&amp;$B92)</f>
        <v>0</v>
      </c>
      <c r="AG92" s="29" t="n">
        <f aca="false">SUMIFS('Outages (event ledger)'!$H$2:$H$65,'Outages (event ledger)'!$A$2:$A$65,AG$2,'Outages (event ledger)'!$E$2:$E$65,"&lt;="&amp;$B92,'Outages (event ledger)'!$G$2:$G$65,"&gt;="&amp;$B92)</f>
        <v>0</v>
      </c>
      <c r="AH92" s="29" t="n">
        <f aca="false">SUMIFS('Outages (event ledger)'!$H$2:$H$65,'Outages (event ledger)'!$A$2:$A$65,AH$2,'Outages (event ledger)'!$E$2:$E$65,"&lt;="&amp;$B92,'Outages (event ledger)'!$G$2:$G$65,"&gt;="&amp;$B92)</f>
        <v>0</v>
      </c>
      <c r="AI92" s="29" t="n">
        <f aca="false">SUMIFS('Outages (event ledger)'!$H$2:$H$65,'Outages (event ledger)'!$A$2:$A$65,AI$2,'Outages (event ledger)'!$E$2:$E$65,"&lt;="&amp;$B92,'Outages (event ledger)'!$G$2:$G$65,"&gt;="&amp;$B92)</f>
        <v>0</v>
      </c>
      <c r="AJ92" s="29" t="n">
        <f aca="false">SUMIFS('Outages (event ledger)'!$H$2:$H$65,'Outages (event ledger)'!$A$2:$A$65,AJ$2,'Outages (event ledger)'!$E$2:$E$65,"&lt;="&amp;$B92,'Outages (event ledger)'!$G$2:$G$65,"&gt;="&amp;$B92)</f>
        <v>0</v>
      </c>
      <c r="AK92" s="29" t="n">
        <f aca="false">SUMIFS('Outages (event ledger)'!$H$2:$H$65,'Outages (event ledger)'!$A$2:$A$65,AK$2,'Outages (event ledger)'!$E$2:$E$65,"&lt;="&amp;$B92,'Outages (event ledger)'!$G$2:$G$65,"&gt;="&amp;$B92)</f>
        <v>0</v>
      </c>
      <c r="AL92" s="29" t="n">
        <f aca="false">SUMIFS('Outages (event ledger)'!$H$2:$H$65,'Outages (event ledger)'!$A$2:$A$65,AL$2,'Outages (event ledger)'!$E$2:$E$65,"&lt;="&amp;$B92,'Outages (event ledger)'!$G$2:$G$65,"&gt;="&amp;$B92)</f>
        <v>0</v>
      </c>
      <c r="AM92" s="29" t="n">
        <f aca="false">SUMIFS('Outages (event ledger)'!$H$2:$H$65,'Outages (event ledger)'!$A$2:$A$65,AM$2,'Outages (event ledger)'!$E$2:$E$65,"&lt;="&amp;$B92,'Outages (event ledger)'!$G$2:$G$65,"&gt;="&amp;$B92)</f>
        <v>0</v>
      </c>
      <c r="AN92" s="29" t="n">
        <f aca="false">SUMIFS('Outages (event ledger)'!$H$2:$H$65,'Outages (event ledger)'!$A$2:$A$65,AN$2,'Outages (event ledger)'!$E$2:$E$65,"&lt;="&amp;$B92,'Outages (event ledger)'!$G$2:$G$65,"&gt;="&amp;$B92)</f>
        <v>0</v>
      </c>
      <c r="AO92" s="29" t="n">
        <f aca="false">SUMIFS('Outages (event ledger)'!$H$2:$H$65,'Outages (event ledger)'!$A$2:$A$65,AO$2,'Outages (event ledger)'!$E$2:$E$65,"&lt;="&amp;$B92,'Outages (event ledger)'!$G$2:$G$65,"&gt;="&amp;$B92)</f>
        <v>0</v>
      </c>
      <c r="AP92" s="29" t="n">
        <f aca="false">SUMIFS('Outages (event ledger)'!$H$2:$H$65,'Outages (event ledger)'!$A$2:$A$65,AP$2,'Outages (event ledger)'!$E$2:$E$65,"&lt;="&amp;$B92,'Outages (event ledger)'!$G$2:$G$65,"&gt;="&amp;$B92)</f>
        <v>0</v>
      </c>
      <c r="AQ92" s="29" t="n">
        <f aca="false">SUMIFS('Outages (event ledger)'!$H$2:$H$65,'Outages (event ledger)'!$A$2:$A$65,AQ$2,'Outages (event ledger)'!$E$2:$E$65,"&lt;="&amp;$B92,'Outages (event ledger)'!$G$2:$G$65,"&gt;="&amp;$B92)</f>
        <v>0</v>
      </c>
      <c r="AR92" s="29" t="n">
        <f aca="false">SUMIFS('Outages (event ledger)'!$H$2:$H$65,'Outages (event ledger)'!$A$2:$A$65,AR$2,'Outages (event ledger)'!$E$2:$E$65,"&lt;="&amp;$B92,'Outages (event ledger)'!$G$2:$G$65,"&gt;="&amp;$B92)</f>
        <v>0</v>
      </c>
      <c r="AS92" s="29" t="n">
        <f aca="false">SUMIFS('Outages (event ledger)'!$H$2:$H$65,'Outages (event ledger)'!$A$2:$A$65,AS$2,'Outages (event ledger)'!$E$2:$E$65,"&lt;="&amp;$B92,'Outages (event ledger)'!$G$2:$G$65,"&gt;="&amp;$B92)</f>
        <v>0</v>
      </c>
      <c r="AT92" s="29" t="n">
        <f aca="false">SUMIFS('Outages (event ledger)'!$H$2:$H$65,'Outages (event ledger)'!$A$2:$A$65,AT$2,'Outages (event ledger)'!$E$2:$E$65,"&lt;="&amp;$B92,'Outages (event ledger)'!$G$2:$G$65,"&gt;="&amp;$B92)</f>
        <v>0</v>
      </c>
      <c r="AU92" s="29" t="n">
        <f aca="false">SUMIFS('Outages (event ledger)'!$H$2:$H$65,'Outages (event ledger)'!$A$2:$A$65,AU$2,'Outages (event ledger)'!$E$2:$E$65,"&lt;="&amp;$B92,'Outages (event ledger)'!$G$2:$G$65,"&gt;="&amp;$B92)</f>
        <v>0</v>
      </c>
      <c r="AV92" s="29" t="n">
        <f aca="false">SUMIFS('Outages (event ledger)'!$H$2:$H$65,'Outages (event ledger)'!$A$2:$A$65,AV$2,'Outages (event ledger)'!$E$2:$E$65,"&lt;="&amp;$B92,'Outages (event ledger)'!$G$2:$G$65,"&gt;="&amp;$B92)</f>
        <v>0</v>
      </c>
      <c r="AW92" s="29" t="n">
        <f aca="false">SUMIFS('Outages (event ledger)'!$H$2:$H$65,'Outages (event ledger)'!$A$2:$A$65,AW$2,'Outages (event ledger)'!$E$2:$E$65,"&lt;="&amp;$B92,'Outages (event ledger)'!$G$2:$G$65,"&gt;="&amp;$B92)</f>
        <v>0</v>
      </c>
      <c r="AX92" s="29" t="n">
        <f aca="false">SUMIFS('Outages (event ledger)'!$H$2:$H$65,'Outages (event ledger)'!$A$2:$A$65,AX$2,'Outages (event ledger)'!$E$2:$E$65,"&lt;="&amp;$B92,'Outages (event ledger)'!$G$2:$G$65,"&gt;="&amp;$B92)</f>
        <v>0</v>
      </c>
      <c r="AY92" s="29" t="n">
        <f aca="false">SUMIFS('Outages (event ledger)'!$H$2:$H$65,'Outages (event ledger)'!$A$2:$A$65,AY$2,'Outages (event ledger)'!$E$2:$E$65,"&lt;="&amp;$B92,'Outages (event ledger)'!$G$2:$G$65,"&gt;="&amp;$B92)</f>
        <v>0</v>
      </c>
      <c r="AZ92" s="29" t="n">
        <f aca="false">SUMIFS('Outages (event ledger)'!$H$2:$H$65,'Outages (event ledger)'!$A$2:$A$65,AZ$2,'Outages (event ledger)'!$E$2:$E$65,"&lt;="&amp;$B92,'Outages (event ledger)'!$G$2:$G$65,"&gt;="&amp;$B92)</f>
        <v>0</v>
      </c>
      <c r="BA92" s="29" t="n">
        <f aca="false">SUMIFS('Outages (event ledger)'!$H$2:$H$65,'Outages (event ledger)'!$A$2:$A$65,BA$2,'Outages (event ledger)'!$E$2:$E$65,"&lt;="&amp;$B92,'Outages (event ledger)'!$G$2:$G$65,"&gt;="&amp;$B92)</f>
        <v>0</v>
      </c>
      <c r="BB92" s="29" t="n">
        <f aca="false">SUMIFS('Outages (event ledger)'!$H$2:$H$65,'Outages (event ledger)'!$A$2:$A$65,BB$2,'Outages (event ledger)'!$E$2:$E$65,"&lt;="&amp;$B92,'Outages (event ledger)'!$G$2:$G$65,"&gt;="&amp;$B92)</f>
        <v>0</v>
      </c>
      <c r="BC92" s="29" t="n">
        <f aca="false">SUMIFS('Outages (event ledger)'!$H$2:$H$65,'Outages (event ledger)'!$A$2:$A$65,BC$2,'Outages (event ledger)'!$E$2:$E$65,"&lt;="&amp;$B92,'Outages (event ledger)'!$G$2:$G$65,"&gt;="&amp;$B92)</f>
        <v>0</v>
      </c>
      <c r="BD92" s="29" t="n">
        <f aca="false">SUMIFS('Outages (event ledger)'!$H$2:$H$65,'Outages (event ledger)'!$A$2:$A$65,BD$2,'Outages (event ledger)'!$E$2:$E$65,"&lt;="&amp;$B92,'Outages (event ledger)'!$G$2:$G$65,"&gt;="&amp;$B92)</f>
        <v>0</v>
      </c>
      <c r="BE92" s="29" t="n">
        <f aca="false">SUMIFS('Outages (event ledger)'!$H$2:$H$65,'Outages (event ledger)'!$A$2:$A$65,BE$2,'Outages (event ledger)'!$E$2:$E$65,"&lt;="&amp;$B92,'Outages (event ledger)'!$G$2:$G$65,"&gt;="&amp;$B92)</f>
        <v>0</v>
      </c>
      <c r="BF92" s="29" t="n">
        <f aca="false">SUMIFS('Outages (event ledger)'!$H$2:$H$65,'Outages (event ledger)'!$A$2:$A$65,BF$2,'Outages (event ledger)'!$E$2:$E$65,"&lt;="&amp;$B92,'Outages (event ledger)'!$G$2:$G$65,"&gt;="&amp;$B92)</f>
        <v>0</v>
      </c>
      <c r="BG92" s="29" t="n">
        <f aca="false">SUMIFS('Outages (event ledger)'!$H$2:$H$65,'Outages (event ledger)'!$A$2:$A$65,BG$2,'Outages (event ledger)'!$E$2:$E$65,"&lt;="&amp;$B92,'Outages (event ledger)'!$G$2:$G$65,"&gt;="&amp;$B92)</f>
        <v>0</v>
      </c>
      <c r="BH92" s="29" t="n">
        <f aca="false">SUMIFS('Outages (event ledger)'!$H$2:$H$65,'Outages (event ledger)'!$A$2:$A$65,BH$2,'Outages (event ledger)'!$E$2:$E$65,"&lt;="&amp;$B92,'Outages (event ledger)'!$G$2:$G$65,"&gt;="&amp;$B92)</f>
        <v>0</v>
      </c>
      <c r="BI92" s="29" t="n">
        <f aca="false">SUMIFS('Outages (event ledger)'!$H$2:$H$65,'Outages (event ledger)'!$A$2:$A$65,BI$2,'Outages (event ledger)'!$E$2:$E$65,"&lt;="&amp;$B92,'Outages (event ledger)'!$G$2:$G$65,"&gt;="&amp;$B92)</f>
        <v>6.7</v>
      </c>
    </row>
    <row r="93" customFormat="false" ht="15" hidden="false" customHeight="false" outlineLevel="0" collapsed="false">
      <c r="A93" s="27" t="n">
        <v>42917</v>
      </c>
      <c r="B93" s="28" t="n">
        <v>201707</v>
      </c>
      <c r="C93" s="25" t="n">
        <f aca="false">SUM(D93:BI93)</f>
        <v>24.7</v>
      </c>
      <c r="D93" s="29" t="n">
        <f aca="false">SUMIFS('Outages (event ledger)'!$H$2:$H$65,'Outages (event ledger)'!$A$2:$A$65,D$2,'Outages (event ledger)'!$E$2:$E$65,"&lt;="&amp;$B93,'Outages (event ledger)'!$G$2:$G$65,"&gt;="&amp;$B93)</f>
        <v>0</v>
      </c>
      <c r="E93" s="29" t="n">
        <f aca="false">SUMIFS('Outages (event ledger)'!$H$2:$H$65,'Outages (event ledger)'!$A$2:$A$65,E$2,'Outages (event ledger)'!$E$2:$E$65,"&lt;="&amp;$B93,'Outages (event ledger)'!$G$2:$G$65,"&gt;="&amp;$B93)</f>
        <v>0</v>
      </c>
      <c r="F93" s="29" t="n">
        <f aca="false">SUMIFS('Outages (event ledger)'!$H$2:$H$65,'Outages (event ledger)'!$A$2:$A$65,F$2,'Outages (event ledger)'!$E$2:$E$65,"&lt;="&amp;$B93,'Outages (event ledger)'!$G$2:$G$65,"&gt;="&amp;$B93)</f>
        <v>0</v>
      </c>
      <c r="G93" s="29" t="n">
        <f aca="false">SUMIFS('Outages (event ledger)'!$H$2:$H$65,'Outages (event ledger)'!$A$2:$A$65,G$2,'Outages (event ledger)'!$E$2:$E$65,"&lt;="&amp;$B93,'Outages (event ledger)'!$G$2:$G$65,"&gt;="&amp;$B93)</f>
        <v>0</v>
      </c>
      <c r="H93" s="29" t="n">
        <f aca="false">SUMIFS('Outages (event ledger)'!$H$2:$H$65,'Outages (event ledger)'!$A$2:$A$65,H$2,'Outages (event ledger)'!$E$2:$E$65,"&lt;="&amp;$B93,'Outages (event ledger)'!$G$2:$G$65,"&gt;="&amp;$B93)</f>
        <v>0</v>
      </c>
      <c r="I93" s="29" t="n">
        <f aca="false">SUMIFS('Outages (event ledger)'!$H$2:$H$65,'Outages (event ledger)'!$A$2:$A$65,I$2,'Outages (event ledger)'!$E$2:$E$65,"&lt;="&amp;$B93,'Outages (event ledger)'!$G$2:$G$65,"&gt;="&amp;$B93)</f>
        <v>0</v>
      </c>
      <c r="J93" s="29" t="n">
        <f aca="false">SUMIFS('Outages (event ledger)'!$H$2:$H$65,'Outages (event ledger)'!$A$2:$A$65,J$2,'Outages (event ledger)'!$E$2:$E$65,"&lt;="&amp;$B93,'Outages (event ledger)'!$G$2:$G$65,"&gt;="&amp;$B93)</f>
        <v>0</v>
      </c>
      <c r="K93" s="29" t="n">
        <f aca="false">SUMIFS('Outages (event ledger)'!$H$2:$H$65,'Outages (event ledger)'!$A$2:$A$65,K$2,'Outages (event ledger)'!$E$2:$E$65,"&lt;="&amp;$B93,'Outages (event ledger)'!$G$2:$G$65,"&gt;="&amp;$B93)</f>
        <v>0</v>
      </c>
      <c r="L93" s="29" t="n">
        <f aca="false">SUMIFS('Outages (event ledger)'!$H$2:$H$65,'Outages (event ledger)'!$A$2:$A$65,L$2,'Outages (event ledger)'!$E$2:$E$65,"&lt;="&amp;$B93,'Outages (event ledger)'!$G$2:$G$65,"&gt;="&amp;$B93)</f>
        <v>0</v>
      </c>
      <c r="M93" s="29" t="n">
        <f aca="false">SUMIFS('Outages (event ledger)'!$H$2:$H$65,'Outages (event ledger)'!$A$2:$A$65,M$2,'Outages (event ledger)'!$E$2:$E$65,"&lt;="&amp;$B93,'Outages (event ledger)'!$G$2:$G$65,"&gt;="&amp;$B93)</f>
        <v>0</v>
      </c>
      <c r="N93" s="29" t="n">
        <f aca="false">SUMIFS('Outages (event ledger)'!$H$2:$H$65,'Outages (event ledger)'!$A$2:$A$65,N$2,'Outages (event ledger)'!$E$2:$E$65,"&lt;="&amp;$B93,'Outages (event ledger)'!$G$2:$G$65,"&gt;="&amp;$B93)</f>
        <v>0</v>
      </c>
      <c r="O93" s="29" t="n">
        <f aca="false">SUMIFS('Outages (event ledger)'!$H$2:$H$65,'Outages (event ledger)'!$A$2:$A$65,O$2,'Outages (event ledger)'!$E$2:$E$65,"&lt;="&amp;$B93,'Outages (event ledger)'!$G$2:$G$65,"&gt;="&amp;$B93)</f>
        <v>0</v>
      </c>
      <c r="P93" s="29" t="n">
        <f aca="false">SUMIFS('Outages (event ledger)'!$H$2:$H$65,'Outages (event ledger)'!$A$2:$A$65,P$2,'Outages (event ledger)'!$E$2:$E$65,"&lt;="&amp;$B93,'Outages (event ledger)'!$G$2:$G$65,"&gt;="&amp;$B93)</f>
        <v>0</v>
      </c>
      <c r="Q93" s="29" t="n">
        <f aca="false">SUMIFS('Outages (event ledger)'!$H$2:$H$65,'Outages (event ledger)'!$A$2:$A$65,Q$2,'Outages (event ledger)'!$E$2:$E$65,"&lt;="&amp;$B93,'Outages (event ledger)'!$G$2:$G$65,"&gt;="&amp;$B93)</f>
        <v>0</v>
      </c>
      <c r="R93" s="29" t="n">
        <f aca="false">SUMIFS('Outages (event ledger)'!$H$2:$H$65,'Outages (event ledger)'!$A$2:$A$65,R$2,'Outages (event ledger)'!$E$2:$E$65,"&lt;="&amp;$B93,'Outages (event ledger)'!$G$2:$G$65,"&gt;="&amp;$B93)</f>
        <v>0</v>
      </c>
      <c r="S93" s="29" t="n">
        <f aca="false">SUMIFS('Outages (event ledger)'!$H$2:$H$65,'Outages (event ledger)'!$A$2:$A$65,S$2,'Outages (event ledger)'!$E$2:$E$65,"&lt;="&amp;$B93,'Outages (event ledger)'!$G$2:$G$65,"&gt;="&amp;$B93)</f>
        <v>0</v>
      </c>
      <c r="T93" s="29" t="n">
        <f aca="false">SUMIFS('Outages (event ledger)'!$H$2:$H$65,'Outages (event ledger)'!$A$2:$A$65,T$2,'Outages (event ledger)'!$E$2:$E$65,"&lt;="&amp;$B93,'Outages (event ledger)'!$G$2:$G$65,"&gt;="&amp;$B93)</f>
        <v>0</v>
      </c>
      <c r="U93" s="29" t="n">
        <f aca="false">SUMIFS('Outages (event ledger)'!$H$2:$H$65,'Outages (event ledger)'!$A$2:$A$65,U$2,'Outages (event ledger)'!$E$2:$E$65,"&lt;="&amp;$B93,'Outages (event ledger)'!$G$2:$G$65,"&gt;="&amp;$B93)</f>
        <v>0</v>
      </c>
      <c r="V93" s="29" t="n">
        <f aca="false">SUMIFS('Outages (event ledger)'!$H$2:$H$65,'Outages (event ledger)'!$A$2:$A$65,V$2,'Outages (event ledger)'!$E$2:$E$65,"&lt;="&amp;$B93,'Outages (event ledger)'!$G$2:$G$65,"&gt;="&amp;$B93)</f>
        <v>0</v>
      </c>
      <c r="W93" s="29" t="n">
        <f aca="false">SUMIFS('Outages (event ledger)'!$H$2:$H$65,'Outages (event ledger)'!$A$2:$A$65,W$2,'Outages (event ledger)'!$E$2:$E$65,"&lt;="&amp;$B93,'Outages (event ledger)'!$G$2:$G$65,"&gt;="&amp;$B93)</f>
        <v>0</v>
      </c>
      <c r="X93" s="29" t="n">
        <f aca="false">SUMIFS('Outages (event ledger)'!$H$2:$H$65,'Outages (event ledger)'!$A$2:$A$65,X$2,'Outages (event ledger)'!$E$2:$E$65,"&lt;="&amp;$B93,'Outages (event ledger)'!$G$2:$G$65,"&gt;="&amp;$B93)</f>
        <v>0</v>
      </c>
      <c r="Y93" s="29" t="n">
        <f aca="false">SUMIFS('Outages (event ledger)'!$H$2:$H$65,'Outages (event ledger)'!$A$2:$A$65,Y$2,'Outages (event ledger)'!$E$2:$E$65,"&lt;="&amp;$B93,'Outages (event ledger)'!$G$2:$G$65,"&gt;="&amp;$B93)</f>
        <v>5</v>
      </c>
      <c r="Z93" s="29" t="n">
        <f aca="false">SUMIFS('Outages (event ledger)'!$H$2:$H$65,'Outages (event ledger)'!$A$2:$A$65,Z$2,'Outages (event ledger)'!$E$2:$E$65,"&lt;="&amp;$B93,'Outages (event ledger)'!$G$2:$G$65,"&gt;="&amp;$B93)</f>
        <v>5</v>
      </c>
      <c r="AA93" s="29" t="n">
        <f aca="false">SUMIFS('Outages (event ledger)'!$H$2:$H$65,'Outages (event ledger)'!$A$2:$A$65,AA$2,'Outages (event ledger)'!$E$2:$E$65,"&lt;="&amp;$B93,'Outages (event ledger)'!$G$2:$G$65,"&gt;="&amp;$B93)</f>
        <v>0</v>
      </c>
      <c r="AB93" s="29" t="n">
        <f aca="false">SUMIFS('Outages (event ledger)'!$H$2:$H$65,'Outages (event ledger)'!$A$2:$A$65,AB$2,'Outages (event ledger)'!$E$2:$E$65,"&lt;="&amp;$B93,'Outages (event ledger)'!$G$2:$G$65,"&gt;="&amp;$B93)</f>
        <v>8</v>
      </c>
      <c r="AC93" s="29" t="n">
        <f aca="false">SUMIFS('Outages (event ledger)'!$H$2:$H$65,'Outages (event ledger)'!$A$2:$A$65,AC$2,'Outages (event ledger)'!$E$2:$E$65,"&lt;="&amp;$B93,'Outages (event ledger)'!$G$2:$G$65,"&gt;="&amp;$B93)</f>
        <v>0</v>
      </c>
      <c r="AD93" s="29" t="n">
        <f aca="false">SUMIFS('Outages (event ledger)'!$H$2:$H$65,'Outages (event ledger)'!$A$2:$A$65,AD$2,'Outages (event ledger)'!$E$2:$E$65,"&lt;="&amp;$B93,'Outages (event ledger)'!$G$2:$G$65,"&gt;="&amp;$B93)</f>
        <v>0</v>
      </c>
      <c r="AE93" s="29" t="n">
        <f aca="false">SUMIFS('Outages (event ledger)'!$H$2:$H$65,'Outages (event ledger)'!$A$2:$A$65,AE$2,'Outages (event ledger)'!$E$2:$E$65,"&lt;="&amp;$B93,'Outages (event ledger)'!$G$2:$G$65,"&gt;="&amp;$B93)</f>
        <v>0</v>
      </c>
      <c r="AF93" s="29" t="n">
        <f aca="false">SUMIFS('Outages (event ledger)'!$H$2:$H$65,'Outages (event ledger)'!$A$2:$A$65,AF$2,'Outages (event ledger)'!$E$2:$E$65,"&lt;="&amp;$B93,'Outages (event ledger)'!$G$2:$G$65,"&gt;="&amp;$B93)</f>
        <v>0</v>
      </c>
      <c r="AG93" s="29" t="n">
        <f aca="false">SUMIFS('Outages (event ledger)'!$H$2:$H$65,'Outages (event ledger)'!$A$2:$A$65,AG$2,'Outages (event ledger)'!$E$2:$E$65,"&lt;="&amp;$B93,'Outages (event ledger)'!$G$2:$G$65,"&gt;="&amp;$B93)</f>
        <v>0</v>
      </c>
      <c r="AH93" s="29" t="n">
        <f aca="false">SUMIFS('Outages (event ledger)'!$H$2:$H$65,'Outages (event ledger)'!$A$2:$A$65,AH$2,'Outages (event ledger)'!$E$2:$E$65,"&lt;="&amp;$B93,'Outages (event ledger)'!$G$2:$G$65,"&gt;="&amp;$B93)</f>
        <v>0</v>
      </c>
      <c r="AI93" s="29" t="n">
        <f aca="false">SUMIFS('Outages (event ledger)'!$H$2:$H$65,'Outages (event ledger)'!$A$2:$A$65,AI$2,'Outages (event ledger)'!$E$2:$E$65,"&lt;="&amp;$B93,'Outages (event ledger)'!$G$2:$G$65,"&gt;="&amp;$B93)</f>
        <v>0</v>
      </c>
      <c r="AJ93" s="29" t="n">
        <f aca="false">SUMIFS('Outages (event ledger)'!$H$2:$H$65,'Outages (event ledger)'!$A$2:$A$65,AJ$2,'Outages (event ledger)'!$E$2:$E$65,"&lt;="&amp;$B93,'Outages (event ledger)'!$G$2:$G$65,"&gt;="&amp;$B93)</f>
        <v>0</v>
      </c>
      <c r="AK93" s="29" t="n">
        <f aca="false">SUMIFS('Outages (event ledger)'!$H$2:$H$65,'Outages (event ledger)'!$A$2:$A$65,AK$2,'Outages (event ledger)'!$E$2:$E$65,"&lt;="&amp;$B93,'Outages (event ledger)'!$G$2:$G$65,"&gt;="&amp;$B93)</f>
        <v>0</v>
      </c>
      <c r="AL93" s="29" t="n">
        <f aca="false">SUMIFS('Outages (event ledger)'!$H$2:$H$65,'Outages (event ledger)'!$A$2:$A$65,AL$2,'Outages (event ledger)'!$E$2:$E$65,"&lt;="&amp;$B93,'Outages (event ledger)'!$G$2:$G$65,"&gt;="&amp;$B93)</f>
        <v>0</v>
      </c>
      <c r="AM93" s="29" t="n">
        <f aca="false">SUMIFS('Outages (event ledger)'!$H$2:$H$65,'Outages (event ledger)'!$A$2:$A$65,AM$2,'Outages (event ledger)'!$E$2:$E$65,"&lt;="&amp;$B93,'Outages (event ledger)'!$G$2:$G$65,"&gt;="&amp;$B93)</f>
        <v>0</v>
      </c>
      <c r="AN93" s="29" t="n">
        <f aca="false">SUMIFS('Outages (event ledger)'!$H$2:$H$65,'Outages (event ledger)'!$A$2:$A$65,AN$2,'Outages (event ledger)'!$E$2:$E$65,"&lt;="&amp;$B93,'Outages (event ledger)'!$G$2:$G$65,"&gt;="&amp;$B93)</f>
        <v>0</v>
      </c>
      <c r="AO93" s="29" t="n">
        <f aca="false">SUMIFS('Outages (event ledger)'!$H$2:$H$65,'Outages (event ledger)'!$A$2:$A$65,AO$2,'Outages (event ledger)'!$E$2:$E$65,"&lt;="&amp;$B93,'Outages (event ledger)'!$G$2:$G$65,"&gt;="&amp;$B93)</f>
        <v>0</v>
      </c>
      <c r="AP93" s="29" t="n">
        <f aca="false">SUMIFS('Outages (event ledger)'!$H$2:$H$65,'Outages (event ledger)'!$A$2:$A$65,AP$2,'Outages (event ledger)'!$E$2:$E$65,"&lt;="&amp;$B93,'Outages (event ledger)'!$G$2:$G$65,"&gt;="&amp;$B93)</f>
        <v>0</v>
      </c>
      <c r="AQ93" s="29" t="n">
        <f aca="false">SUMIFS('Outages (event ledger)'!$H$2:$H$65,'Outages (event ledger)'!$A$2:$A$65,AQ$2,'Outages (event ledger)'!$E$2:$E$65,"&lt;="&amp;$B93,'Outages (event ledger)'!$G$2:$G$65,"&gt;="&amp;$B93)</f>
        <v>0</v>
      </c>
      <c r="AR93" s="29" t="n">
        <f aca="false">SUMIFS('Outages (event ledger)'!$H$2:$H$65,'Outages (event ledger)'!$A$2:$A$65,AR$2,'Outages (event ledger)'!$E$2:$E$65,"&lt;="&amp;$B93,'Outages (event ledger)'!$G$2:$G$65,"&gt;="&amp;$B93)</f>
        <v>0</v>
      </c>
      <c r="AS93" s="29" t="n">
        <f aca="false">SUMIFS('Outages (event ledger)'!$H$2:$H$65,'Outages (event ledger)'!$A$2:$A$65,AS$2,'Outages (event ledger)'!$E$2:$E$65,"&lt;="&amp;$B93,'Outages (event ledger)'!$G$2:$G$65,"&gt;="&amp;$B93)</f>
        <v>0</v>
      </c>
      <c r="AT93" s="29" t="n">
        <f aca="false">SUMIFS('Outages (event ledger)'!$H$2:$H$65,'Outages (event ledger)'!$A$2:$A$65,AT$2,'Outages (event ledger)'!$E$2:$E$65,"&lt;="&amp;$B93,'Outages (event ledger)'!$G$2:$G$65,"&gt;="&amp;$B93)</f>
        <v>0</v>
      </c>
      <c r="AU93" s="29" t="n">
        <f aca="false">SUMIFS('Outages (event ledger)'!$H$2:$H$65,'Outages (event ledger)'!$A$2:$A$65,AU$2,'Outages (event ledger)'!$E$2:$E$65,"&lt;="&amp;$B93,'Outages (event ledger)'!$G$2:$G$65,"&gt;="&amp;$B93)</f>
        <v>0</v>
      </c>
      <c r="AV93" s="29" t="n">
        <f aca="false">SUMIFS('Outages (event ledger)'!$H$2:$H$65,'Outages (event ledger)'!$A$2:$A$65,AV$2,'Outages (event ledger)'!$E$2:$E$65,"&lt;="&amp;$B93,'Outages (event ledger)'!$G$2:$G$65,"&gt;="&amp;$B93)</f>
        <v>0</v>
      </c>
      <c r="AW93" s="29" t="n">
        <f aca="false">SUMIFS('Outages (event ledger)'!$H$2:$H$65,'Outages (event ledger)'!$A$2:$A$65,AW$2,'Outages (event ledger)'!$E$2:$E$65,"&lt;="&amp;$B93,'Outages (event ledger)'!$G$2:$G$65,"&gt;="&amp;$B93)</f>
        <v>0</v>
      </c>
      <c r="AX93" s="29" t="n">
        <f aca="false">SUMIFS('Outages (event ledger)'!$H$2:$H$65,'Outages (event ledger)'!$A$2:$A$65,AX$2,'Outages (event ledger)'!$E$2:$E$65,"&lt;="&amp;$B93,'Outages (event ledger)'!$G$2:$G$65,"&gt;="&amp;$B93)</f>
        <v>0</v>
      </c>
      <c r="AY93" s="29" t="n">
        <f aca="false">SUMIFS('Outages (event ledger)'!$H$2:$H$65,'Outages (event ledger)'!$A$2:$A$65,AY$2,'Outages (event ledger)'!$E$2:$E$65,"&lt;="&amp;$B93,'Outages (event ledger)'!$G$2:$G$65,"&gt;="&amp;$B93)</f>
        <v>0</v>
      </c>
      <c r="AZ93" s="29" t="n">
        <f aca="false">SUMIFS('Outages (event ledger)'!$H$2:$H$65,'Outages (event ledger)'!$A$2:$A$65,AZ$2,'Outages (event ledger)'!$E$2:$E$65,"&lt;="&amp;$B93,'Outages (event ledger)'!$G$2:$G$65,"&gt;="&amp;$B93)</f>
        <v>0</v>
      </c>
      <c r="BA93" s="29" t="n">
        <f aca="false">SUMIFS('Outages (event ledger)'!$H$2:$H$65,'Outages (event ledger)'!$A$2:$A$65,BA$2,'Outages (event ledger)'!$E$2:$E$65,"&lt;="&amp;$B93,'Outages (event ledger)'!$G$2:$G$65,"&gt;="&amp;$B93)</f>
        <v>0</v>
      </c>
      <c r="BB93" s="29" t="n">
        <f aca="false">SUMIFS('Outages (event ledger)'!$H$2:$H$65,'Outages (event ledger)'!$A$2:$A$65,BB$2,'Outages (event ledger)'!$E$2:$E$65,"&lt;="&amp;$B93,'Outages (event ledger)'!$G$2:$G$65,"&gt;="&amp;$B93)</f>
        <v>0</v>
      </c>
      <c r="BC93" s="29" t="n">
        <f aca="false">SUMIFS('Outages (event ledger)'!$H$2:$H$65,'Outages (event ledger)'!$A$2:$A$65,BC$2,'Outages (event ledger)'!$E$2:$E$65,"&lt;="&amp;$B93,'Outages (event ledger)'!$G$2:$G$65,"&gt;="&amp;$B93)</f>
        <v>0</v>
      </c>
      <c r="BD93" s="29" t="n">
        <f aca="false">SUMIFS('Outages (event ledger)'!$H$2:$H$65,'Outages (event ledger)'!$A$2:$A$65,BD$2,'Outages (event ledger)'!$E$2:$E$65,"&lt;="&amp;$B93,'Outages (event ledger)'!$G$2:$G$65,"&gt;="&amp;$B93)</f>
        <v>0</v>
      </c>
      <c r="BE93" s="29" t="n">
        <f aca="false">SUMIFS('Outages (event ledger)'!$H$2:$H$65,'Outages (event ledger)'!$A$2:$A$65,BE$2,'Outages (event ledger)'!$E$2:$E$65,"&lt;="&amp;$B93,'Outages (event ledger)'!$G$2:$G$65,"&gt;="&amp;$B93)</f>
        <v>0</v>
      </c>
      <c r="BF93" s="29" t="n">
        <f aca="false">SUMIFS('Outages (event ledger)'!$H$2:$H$65,'Outages (event ledger)'!$A$2:$A$65,BF$2,'Outages (event ledger)'!$E$2:$E$65,"&lt;="&amp;$B93,'Outages (event ledger)'!$G$2:$G$65,"&gt;="&amp;$B93)</f>
        <v>0</v>
      </c>
      <c r="BG93" s="29" t="n">
        <f aca="false">SUMIFS('Outages (event ledger)'!$H$2:$H$65,'Outages (event ledger)'!$A$2:$A$65,BG$2,'Outages (event ledger)'!$E$2:$E$65,"&lt;="&amp;$B93,'Outages (event ledger)'!$G$2:$G$65,"&gt;="&amp;$B93)</f>
        <v>0</v>
      </c>
      <c r="BH93" s="29" t="n">
        <f aca="false">SUMIFS('Outages (event ledger)'!$H$2:$H$65,'Outages (event ledger)'!$A$2:$A$65,BH$2,'Outages (event ledger)'!$E$2:$E$65,"&lt;="&amp;$B93,'Outages (event ledger)'!$G$2:$G$65,"&gt;="&amp;$B93)</f>
        <v>0</v>
      </c>
      <c r="BI93" s="29" t="n">
        <f aca="false">SUMIFS('Outages (event ledger)'!$H$2:$H$65,'Outages (event ledger)'!$A$2:$A$65,BI$2,'Outages (event ledger)'!$E$2:$E$65,"&lt;="&amp;$B93,'Outages (event ledger)'!$G$2:$G$65,"&gt;="&amp;$B93)</f>
        <v>6.7</v>
      </c>
    </row>
    <row r="94" customFormat="false" ht="15" hidden="false" customHeight="false" outlineLevel="0" collapsed="false">
      <c r="A94" s="27" t="n">
        <v>42948</v>
      </c>
      <c r="B94" s="28" t="n">
        <v>201708</v>
      </c>
      <c r="C94" s="25" t="n">
        <f aca="false">SUM(D94:BI94)</f>
        <v>24.7</v>
      </c>
      <c r="D94" s="29" t="n">
        <f aca="false">SUMIFS('Outages (event ledger)'!$H$2:$H$65,'Outages (event ledger)'!$A$2:$A$65,D$2,'Outages (event ledger)'!$E$2:$E$65,"&lt;="&amp;$B94,'Outages (event ledger)'!$G$2:$G$65,"&gt;="&amp;$B94)</f>
        <v>0</v>
      </c>
      <c r="E94" s="29" t="n">
        <f aca="false">SUMIFS('Outages (event ledger)'!$H$2:$H$65,'Outages (event ledger)'!$A$2:$A$65,E$2,'Outages (event ledger)'!$E$2:$E$65,"&lt;="&amp;$B94,'Outages (event ledger)'!$G$2:$G$65,"&gt;="&amp;$B94)</f>
        <v>0</v>
      </c>
      <c r="F94" s="29" t="n">
        <f aca="false">SUMIFS('Outages (event ledger)'!$H$2:$H$65,'Outages (event ledger)'!$A$2:$A$65,F$2,'Outages (event ledger)'!$E$2:$E$65,"&lt;="&amp;$B94,'Outages (event ledger)'!$G$2:$G$65,"&gt;="&amp;$B94)</f>
        <v>0</v>
      </c>
      <c r="G94" s="29" t="n">
        <f aca="false">SUMIFS('Outages (event ledger)'!$H$2:$H$65,'Outages (event ledger)'!$A$2:$A$65,G$2,'Outages (event ledger)'!$E$2:$E$65,"&lt;="&amp;$B94,'Outages (event ledger)'!$G$2:$G$65,"&gt;="&amp;$B94)</f>
        <v>0</v>
      </c>
      <c r="H94" s="29" t="n">
        <f aca="false">SUMIFS('Outages (event ledger)'!$H$2:$H$65,'Outages (event ledger)'!$A$2:$A$65,H$2,'Outages (event ledger)'!$E$2:$E$65,"&lt;="&amp;$B94,'Outages (event ledger)'!$G$2:$G$65,"&gt;="&amp;$B94)</f>
        <v>0</v>
      </c>
      <c r="I94" s="29" t="n">
        <f aca="false">SUMIFS('Outages (event ledger)'!$H$2:$H$65,'Outages (event ledger)'!$A$2:$A$65,I$2,'Outages (event ledger)'!$E$2:$E$65,"&lt;="&amp;$B94,'Outages (event ledger)'!$G$2:$G$65,"&gt;="&amp;$B94)</f>
        <v>0</v>
      </c>
      <c r="J94" s="29" t="n">
        <f aca="false">SUMIFS('Outages (event ledger)'!$H$2:$H$65,'Outages (event ledger)'!$A$2:$A$65,J$2,'Outages (event ledger)'!$E$2:$E$65,"&lt;="&amp;$B94,'Outages (event ledger)'!$G$2:$G$65,"&gt;="&amp;$B94)</f>
        <v>0</v>
      </c>
      <c r="K94" s="29" t="n">
        <f aca="false">SUMIFS('Outages (event ledger)'!$H$2:$H$65,'Outages (event ledger)'!$A$2:$A$65,K$2,'Outages (event ledger)'!$E$2:$E$65,"&lt;="&amp;$B94,'Outages (event ledger)'!$G$2:$G$65,"&gt;="&amp;$B94)</f>
        <v>0</v>
      </c>
      <c r="L94" s="29" t="n">
        <f aca="false">SUMIFS('Outages (event ledger)'!$H$2:$H$65,'Outages (event ledger)'!$A$2:$A$65,L$2,'Outages (event ledger)'!$E$2:$E$65,"&lt;="&amp;$B94,'Outages (event ledger)'!$G$2:$G$65,"&gt;="&amp;$B94)</f>
        <v>0</v>
      </c>
      <c r="M94" s="29" t="n">
        <f aca="false">SUMIFS('Outages (event ledger)'!$H$2:$H$65,'Outages (event ledger)'!$A$2:$A$65,M$2,'Outages (event ledger)'!$E$2:$E$65,"&lt;="&amp;$B94,'Outages (event ledger)'!$G$2:$G$65,"&gt;="&amp;$B94)</f>
        <v>0</v>
      </c>
      <c r="N94" s="29" t="n">
        <f aca="false">SUMIFS('Outages (event ledger)'!$H$2:$H$65,'Outages (event ledger)'!$A$2:$A$65,N$2,'Outages (event ledger)'!$E$2:$E$65,"&lt;="&amp;$B94,'Outages (event ledger)'!$G$2:$G$65,"&gt;="&amp;$B94)</f>
        <v>0</v>
      </c>
      <c r="O94" s="29" t="n">
        <f aca="false">SUMIFS('Outages (event ledger)'!$H$2:$H$65,'Outages (event ledger)'!$A$2:$A$65,O$2,'Outages (event ledger)'!$E$2:$E$65,"&lt;="&amp;$B94,'Outages (event ledger)'!$G$2:$G$65,"&gt;="&amp;$B94)</f>
        <v>0</v>
      </c>
      <c r="P94" s="29" t="n">
        <f aca="false">SUMIFS('Outages (event ledger)'!$H$2:$H$65,'Outages (event ledger)'!$A$2:$A$65,P$2,'Outages (event ledger)'!$E$2:$E$65,"&lt;="&amp;$B94,'Outages (event ledger)'!$G$2:$G$65,"&gt;="&amp;$B94)</f>
        <v>0</v>
      </c>
      <c r="Q94" s="29" t="n">
        <f aca="false">SUMIFS('Outages (event ledger)'!$H$2:$H$65,'Outages (event ledger)'!$A$2:$A$65,Q$2,'Outages (event ledger)'!$E$2:$E$65,"&lt;="&amp;$B94,'Outages (event ledger)'!$G$2:$G$65,"&gt;="&amp;$B94)</f>
        <v>0</v>
      </c>
      <c r="R94" s="29" t="n">
        <f aca="false">SUMIFS('Outages (event ledger)'!$H$2:$H$65,'Outages (event ledger)'!$A$2:$A$65,R$2,'Outages (event ledger)'!$E$2:$E$65,"&lt;="&amp;$B94,'Outages (event ledger)'!$G$2:$G$65,"&gt;="&amp;$B94)</f>
        <v>0</v>
      </c>
      <c r="S94" s="29" t="n">
        <f aca="false">SUMIFS('Outages (event ledger)'!$H$2:$H$65,'Outages (event ledger)'!$A$2:$A$65,S$2,'Outages (event ledger)'!$E$2:$E$65,"&lt;="&amp;$B94,'Outages (event ledger)'!$G$2:$G$65,"&gt;="&amp;$B94)</f>
        <v>0</v>
      </c>
      <c r="T94" s="29" t="n">
        <f aca="false">SUMIFS('Outages (event ledger)'!$H$2:$H$65,'Outages (event ledger)'!$A$2:$A$65,T$2,'Outages (event ledger)'!$E$2:$E$65,"&lt;="&amp;$B94,'Outages (event ledger)'!$G$2:$G$65,"&gt;="&amp;$B94)</f>
        <v>0</v>
      </c>
      <c r="U94" s="29" t="n">
        <f aca="false">SUMIFS('Outages (event ledger)'!$H$2:$H$65,'Outages (event ledger)'!$A$2:$A$65,U$2,'Outages (event ledger)'!$E$2:$E$65,"&lt;="&amp;$B94,'Outages (event ledger)'!$G$2:$G$65,"&gt;="&amp;$B94)</f>
        <v>0</v>
      </c>
      <c r="V94" s="29" t="n">
        <f aca="false">SUMIFS('Outages (event ledger)'!$H$2:$H$65,'Outages (event ledger)'!$A$2:$A$65,V$2,'Outages (event ledger)'!$E$2:$E$65,"&lt;="&amp;$B94,'Outages (event ledger)'!$G$2:$G$65,"&gt;="&amp;$B94)</f>
        <v>0</v>
      </c>
      <c r="W94" s="29" t="n">
        <f aca="false">SUMIFS('Outages (event ledger)'!$H$2:$H$65,'Outages (event ledger)'!$A$2:$A$65,W$2,'Outages (event ledger)'!$E$2:$E$65,"&lt;="&amp;$B94,'Outages (event ledger)'!$G$2:$G$65,"&gt;="&amp;$B94)</f>
        <v>0</v>
      </c>
      <c r="X94" s="29" t="n">
        <f aca="false">SUMIFS('Outages (event ledger)'!$H$2:$H$65,'Outages (event ledger)'!$A$2:$A$65,X$2,'Outages (event ledger)'!$E$2:$E$65,"&lt;="&amp;$B94,'Outages (event ledger)'!$G$2:$G$65,"&gt;="&amp;$B94)</f>
        <v>0</v>
      </c>
      <c r="Y94" s="29" t="n">
        <f aca="false">SUMIFS('Outages (event ledger)'!$H$2:$H$65,'Outages (event ledger)'!$A$2:$A$65,Y$2,'Outages (event ledger)'!$E$2:$E$65,"&lt;="&amp;$B94,'Outages (event ledger)'!$G$2:$G$65,"&gt;="&amp;$B94)</f>
        <v>5</v>
      </c>
      <c r="Z94" s="29" t="n">
        <f aca="false">SUMIFS('Outages (event ledger)'!$H$2:$H$65,'Outages (event ledger)'!$A$2:$A$65,Z$2,'Outages (event ledger)'!$E$2:$E$65,"&lt;="&amp;$B94,'Outages (event ledger)'!$G$2:$G$65,"&gt;="&amp;$B94)</f>
        <v>5</v>
      </c>
      <c r="AA94" s="29" t="n">
        <f aca="false">SUMIFS('Outages (event ledger)'!$H$2:$H$65,'Outages (event ledger)'!$A$2:$A$65,AA$2,'Outages (event ledger)'!$E$2:$E$65,"&lt;="&amp;$B94,'Outages (event ledger)'!$G$2:$G$65,"&gt;="&amp;$B94)</f>
        <v>0</v>
      </c>
      <c r="AB94" s="29" t="n">
        <f aca="false">SUMIFS('Outages (event ledger)'!$H$2:$H$65,'Outages (event ledger)'!$A$2:$A$65,AB$2,'Outages (event ledger)'!$E$2:$E$65,"&lt;="&amp;$B94,'Outages (event ledger)'!$G$2:$G$65,"&gt;="&amp;$B94)</f>
        <v>8</v>
      </c>
      <c r="AC94" s="29" t="n">
        <f aca="false">SUMIFS('Outages (event ledger)'!$H$2:$H$65,'Outages (event ledger)'!$A$2:$A$65,AC$2,'Outages (event ledger)'!$E$2:$E$65,"&lt;="&amp;$B94,'Outages (event ledger)'!$G$2:$G$65,"&gt;="&amp;$B94)</f>
        <v>0</v>
      </c>
      <c r="AD94" s="29" t="n">
        <f aca="false">SUMIFS('Outages (event ledger)'!$H$2:$H$65,'Outages (event ledger)'!$A$2:$A$65,AD$2,'Outages (event ledger)'!$E$2:$E$65,"&lt;="&amp;$B94,'Outages (event ledger)'!$G$2:$G$65,"&gt;="&amp;$B94)</f>
        <v>0</v>
      </c>
      <c r="AE94" s="29" t="n">
        <f aca="false">SUMIFS('Outages (event ledger)'!$H$2:$H$65,'Outages (event ledger)'!$A$2:$A$65,AE$2,'Outages (event ledger)'!$E$2:$E$65,"&lt;="&amp;$B94,'Outages (event ledger)'!$G$2:$G$65,"&gt;="&amp;$B94)</f>
        <v>0</v>
      </c>
      <c r="AF94" s="29" t="n">
        <f aca="false">SUMIFS('Outages (event ledger)'!$H$2:$H$65,'Outages (event ledger)'!$A$2:$A$65,AF$2,'Outages (event ledger)'!$E$2:$E$65,"&lt;="&amp;$B94,'Outages (event ledger)'!$G$2:$G$65,"&gt;="&amp;$B94)</f>
        <v>0</v>
      </c>
      <c r="AG94" s="29" t="n">
        <f aca="false">SUMIFS('Outages (event ledger)'!$H$2:$H$65,'Outages (event ledger)'!$A$2:$A$65,AG$2,'Outages (event ledger)'!$E$2:$E$65,"&lt;="&amp;$B94,'Outages (event ledger)'!$G$2:$G$65,"&gt;="&amp;$B94)</f>
        <v>0</v>
      </c>
      <c r="AH94" s="29" t="n">
        <f aca="false">SUMIFS('Outages (event ledger)'!$H$2:$H$65,'Outages (event ledger)'!$A$2:$A$65,AH$2,'Outages (event ledger)'!$E$2:$E$65,"&lt;="&amp;$B94,'Outages (event ledger)'!$G$2:$G$65,"&gt;="&amp;$B94)</f>
        <v>0</v>
      </c>
      <c r="AI94" s="29" t="n">
        <f aca="false">SUMIFS('Outages (event ledger)'!$H$2:$H$65,'Outages (event ledger)'!$A$2:$A$65,AI$2,'Outages (event ledger)'!$E$2:$E$65,"&lt;="&amp;$B94,'Outages (event ledger)'!$G$2:$G$65,"&gt;="&amp;$B94)</f>
        <v>0</v>
      </c>
      <c r="AJ94" s="29" t="n">
        <f aca="false">SUMIFS('Outages (event ledger)'!$H$2:$H$65,'Outages (event ledger)'!$A$2:$A$65,AJ$2,'Outages (event ledger)'!$E$2:$E$65,"&lt;="&amp;$B94,'Outages (event ledger)'!$G$2:$G$65,"&gt;="&amp;$B94)</f>
        <v>0</v>
      </c>
      <c r="AK94" s="29" t="n">
        <f aca="false">SUMIFS('Outages (event ledger)'!$H$2:$H$65,'Outages (event ledger)'!$A$2:$A$65,AK$2,'Outages (event ledger)'!$E$2:$E$65,"&lt;="&amp;$B94,'Outages (event ledger)'!$G$2:$G$65,"&gt;="&amp;$B94)</f>
        <v>0</v>
      </c>
      <c r="AL94" s="29" t="n">
        <f aca="false">SUMIFS('Outages (event ledger)'!$H$2:$H$65,'Outages (event ledger)'!$A$2:$A$65,AL$2,'Outages (event ledger)'!$E$2:$E$65,"&lt;="&amp;$B94,'Outages (event ledger)'!$G$2:$G$65,"&gt;="&amp;$B94)</f>
        <v>0</v>
      </c>
      <c r="AM94" s="29" t="n">
        <f aca="false">SUMIFS('Outages (event ledger)'!$H$2:$H$65,'Outages (event ledger)'!$A$2:$A$65,AM$2,'Outages (event ledger)'!$E$2:$E$65,"&lt;="&amp;$B94,'Outages (event ledger)'!$G$2:$G$65,"&gt;="&amp;$B94)</f>
        <v>0</v>
      </c>
      <c r="AN94" s="29" t="n">
        <f aca="false">SUMIFS('Outages (event ledger)'!$H$2:$H$65,'Outages (event ledger)'!$A$2:$A$65,AN$2,'Outages (event ledger)'!$E$2:$E$65,"&lt;="&amp;$B94,'Outages (event ledger)'!$G$2:$G$65,"&gt;="&amp;$B94)</f>
        <v>0</v>
      </c>
      <c r="AO94" s="29" t="n">
        <f aca="false">SUMIFS('Outages (event ledger)'!$H$2:$H$65,'Outages (event ledger)'!$A$2:$A$65,AO$2,'Outages (event ledger)'!$E$2:$E$65,"&lt;="&amp;$B94,'Outages (event ledger)'!$G$2:$G$65,"&gt;="&amp;$B94)</f>
        <v>0</v>
      </c>
      <c r="AP94" s="29" t="n">
        <f aca="false">SUMIFS('Outages (event ledger)'!$H$2:$H$65,'Outages (event ledger)'!$A$2:$A$65,AP$2,'Outages (event ledger)'!$E$2:$E$65,"&lt;="&amp;$B94,'Outages (event ledger)'!$G$2:$G$65,"&gt;="&amp;$B94)</f>
        <v>0</v>
      </c>
      <c r="AQ94" s="29" t="n">
        <f aca="false">SUMIFS('Outages (event ledger)'!$H$2:$H$65,'Outages (event ledger)'!$A$2:$A$65,AQ$2,'Outages (event ledger)'!$E$2:$E$65,"&lt;="&amp;$B94,'Outages (event ledger)'!$G$2:$G$65,"&gt;="&amp;$B94)</f>
        <v>0</v>
      </c>
      <c r="AR94" s="29" t="n">
        <f aca="false">SUMIFS('Outages (event ledger)'!$H$2:$H$65,'Outages (event ledger)'!$A$2:$A$65,AR$2,'Outages (event ledger)'!$E$2:$E$65,"&lt;="&amp;$B94,'Outages (event ledger)'!$G$2:$G$65,"&gt;="&amp;$B94)</f>
        <v>0</v>
      </c>
      <c r="AS94" s="29" t="n">
        <f aca="false">SUMIFS('Outages (event ledger)'!$H$2:$H$65,'Outages (event ledger)'!$A$2:$A$65,AS$2,'Outages (event ledger)'!$E$2:$E$65,"&lt;="&amp;$B94,'Outages (event ledger)'!$G$2:$G$65,"&gt;="&amp;$B94)</f>
        <v>0</v>
      </c>
      <c r="AT94" s="29" t="n">
        <f aca="false">SUMIFS('Outages (event ledger)'!$H$2:$H$65,'Outages (event ledger)'!$A$2:$A$65,AT$2,'Outages (event ledger)'!$E$2:$E$65,"&lt;="&amp;$B94,'Outages (event ledger)'!$G$2:$G$65,"&gt;="&amp;$B94)</f>
        <v>0</v>
      </c>
      <c r="AU94" s="29" t="n">
        <f aca="false">SUMIFS('Outages (event ledger)'!$H$2:$H$65,'Outages (event ledger)'!$A$2:$A$65,AU$2,'Outages (event ledger)'!$E$2:$E$65,"&lt;="&amp;$B94,'Outages (event ledger)'!$G$2:$G$65,"&gt;="&amp;$B94)</f>
        <v>0</v>
      </c>
      <c r="AV94" s="29" t="n">
        <f aca="false">SUMIFS('Outages (event ledger)'!$H$2:$H$65,'Outages (event ledger)'!$A$2:$A$65,AV$2,'Outages (event ledger)'!$E$2:$E$65,"&lt;="&amp;$B94,'Outages (event ledger)'!$G$2:$G$65,"&gt;="&amp;$B94)</f>
        <v>0</v>
      </c>
      <c r="AW94" s="29" t="n">
        <f aca="false">SUMIFS('Outages (event ledger)'!$H$2:$H$65,'Outages (event ledger)'!$A$2:$A$65,AW$2,'Outages (event ledger)'!$E$2:$E$65,"&lt;="&amp;$B94,'Outages (event ledger)'!$G$2:$G$65,"&gt;="&amp;$B94)</f>
        <v>0</v>
      </c>
      <c r="AX94" s="29" t="n">
        <f aca="false">SUMIFS('Outages (event ledger)'!$H$2:$H$65,'Outages (event ledger)'!$A$2:$A$65,AX$2,'Outages (event ledger)'!$E$2:$E$65,"&lt;="&amp;$B94,'Outages (event ledger)'!$G$2:$G$65,"&gt;="&amp;$B94)</f>
        <v>0</v>
      </c>
      <c r="AY94" s="29" t="n">
        <f aca="false">SUMIFS('Outages (event ledger)'!$H$2:$H$65,'Outages (event ledger)'!$A$2:$A$65,AY$2,'Outages (event ledger)'!$E$2:$E$65,"&lt;="&amp;$B94,'Outages (event ledger)'!$G$2:$G$65,"&gt;="&amp;$B94)</f>
        <v>0</v>
      </c>
      <c r="AZ94" s="29" t="n">
        <f aca="false">SUMIFS('Outages (event ledger)'!$H$2:$H$65,'Outages (event ledger)'!$A$2:$A$65,AZ$2,'Outages (event ledger)'!$E$2:$E$65,"&lt;="&amp;$B94,'Outages (event ledger)'!$G$2:$G$65,"&gt;="&amp;$B94)</f>
        <v>0</v>
      </c>
      <c r="BA94" s="29" t="n">
        <f aca="false">SUMIFS('Outages (event ledger)'!$H$2:$H$65,'Outages (event ledger)'!$A$2:$A$65,BA$2,'Outages (event ledger)'!$E$2:$E$65,"&lt;="&amp;$B94,'Outages (event ledger)'!$G$2:$G$65,"&gt;="&amp;$B94)</f>
        <v>0</v>
      </c>
      <c r="BB94" s="29" t="n">
        <f aca="false">SUMIFS('Outages (event ledger)'!$H$2:$H$65,'Outages (event ledger)'!$A$2:$A$65,BB$2,'Outages (event ledger)'!$E$2:$E$65,"&lt;="&amp;$B94,'Outages (event ledger)'!$G$2:$G$65,"&gt;="&amp;$B94)</f>
        <v>0</v>
      </c>
      <c r="BC94" s="29" t="n">
        <f aca="false">SUMIFS('Outages (event ledger)'!$H$2:$H$65,'Outages (event ledger)'!$A$2:$A$65,BC$2,'Outages (event ledger)'!$E$2:$E$65,"&lt;="&amp;$B94,'Outages (event ledger)'!$G$2:$G$65,"&gt;="&amp;$B94)</f>
        <v>0</v>
      </c>
      <c r="BD94" s="29" t="n">
        <f aca="false">SUMIFS('Outages (event ledger)'!$H$2:$H$65,'Outages (event ledger)'!$A$2:$A$65,BD$2,'Outages (event ledger)'!$E$2:$E$65,"&lt;="&amp;$B94,'Outages (event ledger)'!$G$2:$G$65,"&gt;="&amp;$B94)</f>
        <v>0</v>
      </c>
      <c r="BE94" s="29" t="n">
        <f aca="false">SUMIFS('Outages (event ledger)'!$H$2:$H$65,'Outages (event ledger)'!$A$2:$A$65,BE$2,'Outages (event ledger)'!$E$2:$E$65,"&lt;="&amp;$B94,'Outages (event ledger)'!$G$2:$G$65,"&gt;="&amp;$B94)</f>
        <v>0</v>
      </c>
      <c r="BF94" s="29" t="n">
        <f aca="false">SUMIFS('Outages (event ledger)'!$H$2:$H$65,'Outages (event ledger)'!$A$2:$A$65,BF$2,'Outages (event ledger)'!$E$2:$E$65,"&lt;="&amp;$B94,'Outages (event ledger)'!$G$2:$G$65,"&gt;="&amp;$B94)</f>
        <v>0</v>
      </c>
      <c r="BG94" s="29" t="n">
        <f aca="false">SUMIFS('Outages (event ledger)'!$H$2:$H$65,'Outages (event ledger)'!$A$2:$A$65,BG$2,'Outages (event ledger)'!$E$2:$E$65,"&lt;="&amp;$B94,'Outages (event ledger)'!$G$2:$G$65,"&gt;="&amp;$B94)</f>
        <v>0</v>
      </c>
      <c r="BH94" s="29" t="n">
        <f aca="false">SUMIFS('Outages (event ledger)'!$H$2:$H$65,'Outages (event ledger)'!$A$2:$A$65,BH$2,'Outages (event ledger)'!$E$2:$E$65,"&lt;="&amp;$B94,'Outages (event ledger)'!$G$2:$G$65,"&gt;="&amp;$B94)</f>
        <v>0</v>
      </c>
      <c r="BI94" s="29" t="n">
        <f aca="false">SUMIFS('Outages (event ledger)'!$H$2:$H$65,'Outages (event ledger)'!$A$2:$A$65,BI$2,'Outages (event ledger)'!$E$2:$E$65,"&lt;="&amp;$B94,'Outages (event ledger)'!$G$2:$G$65,"&gt;="&amp;$B94)</f>
        <v>6.7</v>
      </c>
    </row>
    <row r="95" customFormat="false" ht="15" hidden="false" customHeight="false" outlineLevel="0" collapsed="false">
      <c r="A95" s="27" t="n">
        <v>42979</v>
      </c>
      <c r="B95" s="28" t="n">
        <v>201709</v>
      </c>
      <c r="C95" s="25" t="n">
        <f aca="false">SUM(D95:BI95)</f>
        <v>24.7</v>
      </c>
      <c r="D95" s="29" t="n">
        <f aca="false">SUMIFS('Outages (event ledger)'!$H$2:$H$65,'Outages (event ledger)'!$A$2:$A$65,D$2,'Outages (event ledger)'!$E$2:$E$65,"&lt;="&amp;$B95,'Outages (event ledger)'!$G$2:$G$65,"&gt;="&amp;$B95)</f>
        <v>0</v>
      </c>
      <c r="E95" s="29" t="n">
        <f aca="false">SUMIFS('Outages (event ledger)'!$H$2:$H$65,'Outages (event ledger)'!$A$2:$A$65,E$2,'Outages (event ledger)'!$E$2:$E$65,"&lt;="&amp;$B95,'Outages (event ledger)'!$G$2:$G$65,"&gt;="&amp;$B95)</f>
        <v>0</v>
      </c>
      <c r="F95" s="29" t="n">
        <f aca="false">SUMIFS('Outages (event ledger)'!$H$2:$H$65,'Outages (event ledger)'!$A$2:$A$65,F$2,'Outages (event ledger)'!$E$2:$E$65,"&lt;="&amp;$B95,'Outages (event ledger)'!$G$2:$G$65,"&gt;="&amp;$B95)</f>
        <v>0</v>
      </c>
      <c r="G95" s="29" t="n">
        <f aca="false">SUMIFS('Outages (event ledger)'!$H$2:$H$65,'Outages (event ledger)'!$A$2:$A$65,G$2,'Outages (event ledger)'!$E$2:$E$65,"&lt;="&amp;$B95,'Outages (event ledger)'!$G$2:$G$65,"&gt;="&amp;$B95)</f>
        <v>0</v>
      </c>
      <c r="H95" s="29" t="n">
        <f aca="false">SUMIFS('Outages (event ledger)'!$H$2:$H$65,'Outages (event ledger)'!$A$2:$A$65,H$2,'Outages (event ledger)'!$E$2:$E$65,"&lt;="&amp;$B95,'Outages (event ledger)'!$G$2:$G$65,"&gt;="&amp;$B95)</f>
        <v>0</v>
      </c>
      <c r="I95" s="29" t="n">
        <f aca="false">SUMIFS('Outages (event ledger)'!$H$2:$H$65,'Outages (event ledger)'!$A$2:$A$65,I$2,'Outages (event ledger)'!$E$2:$E$65,"&lt;="&amp;$B95,'Outages (event ledger)'!$G$2:$G$65,"&gt;="&amp;$B95)</f>
        <v>0</v>
      </c>
      <c r="J95" s="29" t="n">
        <f aca="false">SUMIFS('Outages (event ledger)'!$H$2:$H$65,'Outages (event ledger)'!$A$2:$A$65,J$2,'Outages (event ledger)'!$E$2:$E$65,"&lt;="&amp;$B95,'Outages (event ledger)'!$G$2:$G$65,"&gt;="&amp;$B95)</f>
        <v>0</v>
      </c>
      <c r="K95" s="29" t="n">
        <f aca="false">SUMIFS('Outages (event ledger)'!$H$2:$H$65,'Outages (event ledger)'!$A$2:$A$65,K$2,'Outages (event ledger)'!$E$2:$E$65,"&lt;="&amp;$B95,'Outages (event ledger)'!$G$2:$G$65,"&gt;="&amp;$B95)</f>
        <v>0</v>
      </c>
      <c r="L95" s="29" t="n">
        <f aca="false">SUMIFS('Outages (event ledger)'!$H$2:$H$65,'Outages (event ledger)'!$A$2:$A$65,L$2,'Outages (event ledger)'!$E$2:$E$65,"&lt;="&amp;$B95,'Outages (event ledger)'!$G$2:$G$65,"&gt;="&amp;$B95)</f>
        <v>0</v>
      </c>
      <c r="M95" s="29" t="n">
        <f aca="false">SUMIFS('Outages (event ledger)'!$H$2:$H$65,'Outages (event ledger)'!$A$2:$A$65,M$2,'Outages (event ledger)'!$E$2:$E$65,"&lt;="&amp;$B95,'Outages (event ledger)'!$G$2:$G$65,"&gt;="&amp;$B95)</f>
        <v>0</v>
      </c>
      <c r="N95" s="29" t="n">
        <f aca="false">SUMIFS('Outages (event ledger)'!$H$2:$H$65,'Outages (event ledger)'!$A$2:$A$65,N$2,'Outages (event ledger)'!$E$2:$E$65,"&lt;="&amp;$B95,'Outages (event ledger)'!$G$2:$G$65,"&gt;="&amp;$B95)</f>
        <v>0</v>
      </c>
      <c r="O95" s="29" t="n">
        <f aca="false">SUMIFS('Outages (event ledger)'!$H$2:$H$65,'Outages (event ledger)'!$A$2:$A$65,O$2,'Outages (event ledger)'!$E$2:$E$65,"&lt;="&amp;$B95,'Outages (event ledger)'!$G$2:$G$65,"&gt;="&amp;$B95)</f>
        <v>0</v>
      </c>
      <c r="P95" s="29" t="n">
        <f aca="false">SUMIFS('Outages (event ledger)'!$H$2:$H$65,'Outages (event ledger)'!$A$2:$A$65,P$2,'Outages (event ledger)'!$E$2:$E$65,"&lt;="&amp;$B95,'Outages (event ledger)'!$G$2:$G$65,"&gt;="&amp;$B95)</f>
        <v>0</v>
      </c>
      <c r="Q95" s="29" t="n">
        <f aca="false">SUMIFS('Outages (event ledger)'!$H$2:$H$65,'Outages (event ledger)'!$A$2:$A$65,Q$2,'Outages (event ledger)'!$E$2:$E$65,"&lt;="&amp;$B95,'Outages (event ledger)'!$G$2:$G$65,"&gt;="&amp;$B95)</f>
        <v>0</v>
      </c>
      <c r="R95" s="29" t="n">
        <f aca="false">SUMIFS('Outages (event ledger)'!$H$2:$H$65,'Outages (event ledger)'!$A$2:$A$65,R$2,'Outages (event ledger)'!$E$2:$E$65,"&lt;="&amp;$B95,'Outages (event ledger)'!$G$2:$G$65,"&gt;="&amp;$B95)</f>
        <v>0</v>
      </c>
      <c r="S95" s="29" t="n">
        <f aca="false">SUMIFS('Outages (event ledger)'!$H$2:$H$65,'Outages (event ledger)'!$A$2:$A$65,S$2,'Outages (event ledger)'!$E$2:$E$65,"&lt;="&amp;$B95,'Outages (event ledger)'!$G$2:$G$65,"&gt;="&amp;$B95)</f>
        <v>0</v>
      </c>
      <c r="T95" s="29" t="n">
        <f aca="false">SUMIFS('Outages (event ledger)'!$H$2:$H$65,'Outages (event ledger)'!$A$2:$A$65,T$2,'Outages (event ledger)'!$E$2:$E$65,"&lt;="&amp;$B95,'Outages (event ledger)'!$G$2:$G$65,"&gt;="&amp;$B95)</f>
        <v>0</v>
      </c>
      <c r="U95" s="29" t="n">
        <f aca="false">SUMIFS('Outages (event ledger)'!$H$2:$H$65,'Outages (event ledger)'!$A$2:$A$65,U$2,'Outages (event ledger)'!$E$2:$E$65,"&lt;="&amp;$B95,'Outages (event ledger)'!$G$2:$G$65,"&gt;="&amp;$B95)</f>
        <v>0</v>
      </c>
      <c r="V95" s="29" t="n">
        <f aca="false">SUMIFS('Outages (event ledger)'!$H$2:$H$65,'Outages (event ledger)'!$A$2:$A$65,V$2,'Outages (event ledger)'!$E$2:$E$65,"&lt;="&amp;$B95,'Outages (event ledger)'!$G$2:$G$65,"&gt;="&amp;$B95)</f>
        <v>0</v>
      </c>
      <c r="W95" s="29" t="n">
        <f aca="false">SUMIFS('Outages (event ledger)'!$H$2:$H$65,'Outages (event ledger)'!$A$2:$A$65,W$2,'Outages (event ledger)'!$E$2:$E$65,"&lt;="&amp;$B95,'Outages (event ledger)'!$G$2:$G$65,"&gt;="&amp;$B95)</f>
        <v>0</v>
      </c>
      <c r="X95" s="29" t="n">
        <f aca="false">SUMIFS('Outages (event ledger)'!$H$2:$H$65,'Outages (event ledger)'!$A$2:$A$65,X$2,'Outages (event ledger)'!$E$2:$E$65,"&lt;="&amp;$B95,'Outages (event ledger)'!$G$2:$G$65,"&gt;="&amp;$B95)</f>
        <v>0</v>
      </c>
      <c r="Y95" s="29" t="n">
        <f aca="false">SUMIFS('Outages (event ledger)'!$H$2:$H$65,'Outages (event ledger)'!$A$2:$A$65,Y$2,'Outages (event ledger)'!$E$2:$E$65,"&lt;="&amp;$B95,'Outages (event ledger)'!$G$2:$G$65,"&gt;="&amp;$B95)</f>
        <v>5</v>
      </c>
      <c r="Z95" s="29" t="n">
        <f aca="false">SUMIFS('Outages (event ledger)'!$H$2:$H$65,'Outages (event ledger)'!$A$2:$A$65,Z$2,'Outages (event ledger)'!$E$2:$E$65,"&lt;="&amp;$B95,'Outages (event ledger)'!$G$2:$G$65,"&gt;="&amp;$B95)</f>
        <v>5</v>
      </c>
      <c r="AA95" s="29" t="n">
        <f aca="false">SUMIFS('Outages (event ledger)'!$H$2:$H$65,'Outages (event ledger)'!$A$2:$A$65,AA$2,'Outages (event ledger)'!$E$2:$E$65,"&lt;="&amp;$B95,'Outages (event ledger)'!$G$2:$G$65,"&gt;="&amp;$B95)</f>
        <v>0</v>
      </c>
      <c r="AB95" s="29" t="n">
        <f aca="false">SUMIFS('Outages (event ledger)'!$H$2:$H$65,'Outages (event ledger)'!$A$2:$A$65,AB$2,'Outages (event ledger)'!$E$2:$E$65,"&lt;="&amp;$B95,'Outages (event ledger)'!$G$2:$G$65,"&gt;="&amp;$B95)</f>
        <v>8</v>
      </c>
      <c r="AC95" s="29" t="n">
        <f aca="false">SUMIFS('Outages (event ledger)'!$H$2:$H$65,'Outages (event ledger)'!$A$2:$A$65,AC$2,'Outages (event ledger)'!$E$2:$E$65,"&lt;="&amp;$B95,'Outages (event ledger)'!$G$2:$G$65,"&gt;="&amp;$B95)</f>
        <v>0</v>
      </c>
      <c r="AD95" s="29" t="n">
        <f aca="false">SUMIFS('Outages (event ledger)'!$H$2:$H$65,'Outages (event ledger)'!$A$2:$A$65,AD$2,'Outages (event ledger)'!$E$2:$E$65,"&lt;="&amp;$B95,'Outages (event ledger)'!$G$2:$G$65,"&gt;="&amp;$B95)</f>
        <v>0</v>
      </c>
      <c r="AE95" s="29" t="n">
        <f aca="false">SUMIFS('Outages (event ledger)'!$H$2:$H$65,'Outages (event ledger)'!$A$2:$A$65,AE$2,'Outages (event ledger)'!$E$2:$E$65,"&lt;="&amp;$B95,'Outages (event ledger)'!$G$2:$G$65,"&gt;="&amp;$B95)</f>
        <v>0</v>
      </c>
      <c r="AF95" s="29" t="n">
        <f aca="false">SUMIFS('Outages (event ledger)'!$H$2:$H$65,'Outages (event ledger)'!$A$2:$A$65,AF$2,'Outages (event ledger)'!$E$2:$E$65,"&lt;="&amp;$B95,'Outages (event ledger)'!$G$2:$G$65,"&gt;="&amp;$B95)</f>
        <v>0</v>
      </c>
      <c r="AG95" s="29" t="n">
        <f aca="false">SUMIFS('Outages (event ledger)'!$H$2:$H$65,'Outages (event ledger)'!$A$2:$A$65,AG$2,'Outages (event ledger)'!$E$2:$E$65,"&lt;="&amp;$B95,'Outages (event ledger)'!$G$2:$G$65,"&gt;="&amp;$B95)</f>
        <v>0</v>
      </c>
      <c r="AH95" s="29" t="n">
        <f aca="false">SUMIFS('Outages (event ledger)'!$H$2:$H$65,'Outages (event ledger)'!$A$2:$A$65,AH$2,'Outages (event ledger)'!$E$2:$E$65,"&lt;="&amp;$B95,'Outages (event ledger)'!$G$2:$G$65,"&gt;="&amp;$B95)</f>
        <v>0</v>
      </c>
      <c r="AI95" s="29" t="n">
        <f aca="false">SUMIFS('Outages (event ledger)'!$H$2:$H$65,'Outages (event ledger)'!$A$2:$A$65,AI$2,'Outages (event ledger)'!$E$2:$E$65,"&lt;="&amp;$B95,'Outages (event ledger)'!$G$2:$G$65,"&gt;="&amp;$B95)</f>
        <v>0</v>
      </c>
      <c r="AJ95" s="29" t="n">
        <f aca="false">SUMIFS('Outages (event ledger)'!$H$2:$H$65,'Outages (event ledger)'!$A$2:$A$65,AJ$2,'Outages (event ledger)'!$E$2:$E$65,"&lt;="&amp;$B95,'Outages (event ledger)'!$G$2:$G$65,"&gt;="&amp;$B95)</f>
        <v>0</v>
      </c>
      <c r="AK95" s="29" t="n">
        <f aca="false">SUMIFS('Outages (event ledger)'!$H$2:$H$65,'Outages (event ledger)'!$A$2:$A$65,AK$2,'Outages (event ledger)'!$E$2:$E$65,"&lt;="&amp;$B95,'Outages (event ledger)'!$G$2:$G$65,"&gt;="&amp;$B95)</f>
        <v>0</v>
      </c>
      <c r="AL95" s="29" t="n">
        <f aca="false">SUMIFS('Outages (event ledger)'!$H$2:$H$65,'Outages (event ledger)'!$A$2:$A$65,AL$2,'Outages (event ledger)'!$E$2:$E$65,"&lt;="&amp;$B95,'Outages (event ledger)'!$G$2:$G$65,"&gt;="&amp;$B95)</f>
        <v>0</v>
      </c>
      <c r="AM95" s="29" t="n">
        <f aca="false">SUMIFS('Outages (event ledger)'!$H$2:$H$65,'Outages (event ledger)'!$A$2:$A$65,AM$2,'Outages (event ledger)'!$E$2:$E$65,"&lt;="&amp;$B95,'Outages (event ledger)'!$G$2:$G$65,"&gt;="&amp;$B95)</f>
        <v>0</v>
      </c>
      <c r="AN95" s="29" t="n">
        <f aca="false">SUMIFS('Outages (event ledger)'!$H$2:$H$65,'Outages (event ledger)'!$A$2:$A$65,AN$2,'Outages (event ledger)'!$E$2:$E$65,"&lt;="&amp;$B95,'Outages (event ledger)'!$G$2:$G$65,"&gt;="&amp;$B95)</f>
        <v>0</v>
      </c>
      <c r="AO95" s="29" t="n">
        <f aca="false">SUMIFS('Outages (event ledger)'!$H$2:$H$65,'Outages (event ledger)'!$A$2:$A$65,AO$2,'Outages (event ledger)'!$E$2:$E$65,"&lt;="&amp;$B95,'Outages (event ledger)'!$G$2:$G$65,"&gt;="&amp;$B95)</f>
        <v>0</v>
      </c>
      <c r="AP95" s="29" t="n">
        <f aca="false">SUMIFS('Outages (event ledger)'!$H$2:$H$65,'Outages (event ledger)'!$A$2:$A$65,AP$2,'Outages (event ledger)'!$E$2:$E$65,"&lt;="&amp;$B95,'Outages (event ledger)'!$G$2:$G$65,"&gt;="&amp;$B95)</f>
        <v>0</v>
      </c>
      <c r="AQ95" s="29" t="n">
        <f aca="false">SUMIFS('Outages (event ledger)'!$H$2:$H$65,'Outages (event ledger)'!$A$2:$A$65,AQ$2,'Outages (event ledger)'!$E$2:$E$65,"&lt;="&amp;$B95,'Outages (event ledger)'!$G$2:$G$65,"&gt;="&amp;$B95)</f>
        <v>0</v>
      </c>
      <c r="AR95" s="29" t="n">
        <f aca="false">SUMIFS('Outages (event ledger)'!$H$2:$H$65,'Outages (event ledger)'!$A$2:$A$65,AR$2,'Outages (event ledger)'!$E$2:$E$65,"&lt;="&amp;$B95,'Outages (event ledger)'!$G$2:$G$65,"&gt;="&amp;$B95)</f>
        <v>0</v>
      </c>
      <c r="AS95" s="29" t="n">
        <f aca="false">SUMIFS('Outages (event ledger)'!$H$2:$H$65,'Outages (event ledger)'!$A$2:$A$65,AS$2,'Outages (event ledger)'!$E$2:$E$65,"&lt;="&amp;$B95,'Outages (event ledger)'!$G$2:$G$65,"&gt;="&amp;$B95)</f>
        <v>0</v>
      </c>
      <c r="AT95" s="29" t="n">
        <f aca="false">SUMIFS('Outages (event ledger)'!$H$2:$H$65,'Outages (event ledger)'!$A$2:$A$65,AT$2,'Outages (event ledger)'!$E$2:$E$65,"&lt;="&amp;$B95,'Outages (event ledger)'!$G$2:$G$65,"&gt;="&amp;$B95)</f>
        <v>0</v>
      </c>
      <c r="AU95" s="29" t="n">
        <f aca="false">SUMIFS('Outages (event ledger)'!$H$2:$H$65,'Outages (event ledger)'!$A$2:$A$65,AU$2,'Outages (event ledger)'!$E$2:$E$65,"&lt;="&amp;$B95,'Outages (event ledger)'!$G$2:$G$65,"&gt;="&amp;$B95)</f>
        <v>0</v>
      </c>
      <c r="AV95" s="29" t="n">
        <f aca="false">SUMIFS('Outages (event ledger)'!$H$2:$H$65,'Outages (event ledger)'!$A$2:$A$65,AV$2,'Outages (event ledger)'!$E$2:$E$65,"&lt;="&amp;$B95,'Outages (event ledger)'!$G$2:$G$65,"&gt;="&amp;$B95)</f>
        <v>0</v>
      </c>
      <c r="AW95" s="29" t="n">
        <f aca="false">SUMIFS('Outages (event ledger)'!$H$2:$H$65,'Outages (event ledger)'!$A$2:$A$65,AW$2,'Outages (event ledger)'!$E$2:$E$65,"&lt;="&amp;$B95,'Outages (event ledger)'!$G$2:$G$65,"&gt;="&amp;$B95)</f>
        <v>0</v>
      </c>
      <c r="AX95" s="29" t="n">
        <f aca="false">SUMIFS('Outages (event ledger)'!$H$2:$H$65,'Outages (event ledger)'!$A$2:$A$65,AX$2,'Outages (event ledger)'!$E$2:$E$65,"&lt;="&amp;$B95,'Outages (event ledger)'!$G$2:$G$65,"&gt;="&amp;$B95)</f>
        <v>0</v>
      </c>
      <c r="AY95" s="29" t="n">
        <f aca="false">SUMIFS('Outages (event ledger)'!$H$2:$H$65,'Outages (event ledger)'!$A$2:$A$65,AY$2,'Outages (event ledger)'!$E$2:$E$65,"&lt;="&amp;$B95,'Outages (event ledger)'!$G$2:$G$65,"&gt;="&amp;$B95)</f>
        <v>0</v>
      </c>
      <c r="AZ95" s="29" t="n">
        <f aca="false">SUMIFS('Outages (event ledger)'!$H$2:$H$65,'Outages (event ledger)'!$A$2:$A$65,AZ$2,'Outages (event ledger)'!$E$2:$E$65,"&lt;="&amp;$B95,'Outages (event ledger)'!$G$2:$G$65,"&gt;="&amp;$B95)</f>
        <v>0</v>
      </c>
      <c r="BA95" s="29" t="n">
        <f aca="false">SUMIFS('Outages (event ledger)'!$H$2:$H$65,'Outages (event ledger)'!$A$2:$A$65,BA$2,'Outages (event ledger)'!$E$2:$E$65,"&lt;="&amp;$B95,'Outages (event ledger)'!$G$2:$G$65,"&gt;="&amp;$B95)</f>
        <v>0</v>
      </c>
      <c r="BB95" s="29" t="n">
        <f aca="false">SUMIFS('Outages (event ledger)'!$H$2:$H$65,'Outages (event ledger)'!$A$2:$A$65,BB$2,'Outages (event ledger)'!$E$2:$E$65,"&lt;="&amp;$B95,'Outages (event ledger)'!$G$2:$G$65,"&gt;="&amp;$B95)</f>
        <v>0</v>
      </c>
      <c r="BC95" s="29" t="n">
        <f aca="false">SUMIFS('Outages (event ledger)'!$H$2:$H$65,'Outages (event ledger)'!$A$2:$A$65,BC$2,'Outages (event ledger)'!$E$2:$E$65,"&lt;="&amp;$B95,'Outages (event ledger)'!$G$2:$G$65,"&gt;="&amp;$B95)</f>
        <v>0</v>
      </c>
      <c r="BD95" s="29" t="n">
        <f aca="false">SUMIFS('Outages (event ledger)'!$H$2:$H$65,'Outages (event ledger)'!$A$2:$A$65,BD$2,'Outages (event ledger)'!$E$2:$E$65,"&lt;="&amp;$B95,'Outages (event ledger)'!$G$2:$G$65,"&gt;="&amp;$B95)</f>
        <v>0</v>
      </c>
      <c r="BE95" s="29" t="n">
        <f aca="false">SUMIFS('Outages (event ledger)'!$H$2:$H$65,'Outages (event ledger)'!$A$2:$A$65,BE$2,'Outages (event ledger)'!$E$2:$E$65,"&lt;="&amp;$B95,'Outages (event ledger)'!$G$2:$G$65,"&gt;="&amp;$B95)</f>
        <v>0</v>
      </c>
      <c r="BF95" s="29" t="n">
        <f aca="false">SUMIFS('Outages (event ledger)'!$H$2:$H$65,'Outages (event ledger)'!$A$2:$A$65,BF$2,'Outages (event ledger)'!$E$2:$E$65,"&lt;="&amp;$B95,'Outages (event ledger)'!$G$2:$G$65,"&gt;="&amp;$B95)</f>
        <v>0</v>
      </c>
      <c r="BG95" s="29" t="n">
        <f aca="false">SUMIFS('Outages (event ledger)'!$H$2:$H$65,'Outages (event ledger)'!$A$2:$A$65,BG$2,'Outages (event ledger)'!$E$2:$E$65,"&lt;="&amp;$B95,'Outages (event ledger)'!$G$2:$G$65,"&gt;="&amp;$B95)</f>
        <v>0</v>
      </c>
      <c r="BH95" s="29" t="n">
        <f aca="false">SUMIFS('Outages (event ledger)'!$H$2:$H$65,'Outages (event ledger)'!$A$2:$A$65,BH$2,'Outages (event ledger)'!$E$2:$E$65,"&lt;="&amp;$B95,'Outages (event ledger)'!$G$2:$G$65,"&gt;="&amp;$B95)</f>
        <v>0</v>
      </c>
      <c r="BI95" s="29" t="n">
        <f aca="false">SUMIFS('Outages (event ledger)'!$H$2:$H$65,'Outages (event ledger)'!$A$2:$A$65,BI$2,'Outages (event ledger)'!$E$2:$E$65,"&lt;="&amp;$B95,'Outages (event ledger)'!$G$2:$G$65,"&gt;="&amp;$B95)</f>
        <v>6.7</v>
      </c>
    </row>
    <row r="96" customFormat="false" ht="15" hidden="false" customHeight="false" outlineLevel="0" collapsed="false">
      <c r="A96" s="27" t="n">
        <v>43009</v>
      </c>
      <c r="B96" s="28" t="n">
        <v>201710</v>
      </c>
      <c r="C96" s="25" t="n">
        <f aca="false">SUM(D96:BI96)</f>
        <v>24.7</v>
      </c>
      <c r="D96" s="29" t="n">
        <f aca="false">SUMIFS('Outages (event ledger)'!$H$2:$H$65,'Outages (event ledger)'!$A$2:$A$65,D$2,'Outages (event ledger)'!$E$2:$E$65,"&lt;="&amp;$B96,'Outages (event ledger)'!$G$2:$G$65,"&gt;="&amp;$B96)</f>
        <v>0</v>
      </c>
      <c r="E96" s="29" t="n">
        <f aca="false">SUMIFS('Outages (event ledger)'!$H$2:$H$65,'Outages (event ledger)'!$A$2:$A$65,E$2,'Outages (event ledger)'!$E$2:$E$65,"&lt;="&amp;$B96,'Outages (event ledger)'!$G$2:$G$65,"&gt;="&amp;$B96)</f>
        <v>0</v>
      </c>
      <c r="F96" s="29" t="n">
        <f aca="false">SUMIFS('Outages (event ledger)'!$H$2:$H$65,'Outages (event ledger)'!$A$2:$A$65,F$2,'Outages (event ledger)'!$E$2:$E$65,"&lt;="&amp;$B96,'Outages (event ledger)'!$G$2:$G$65,"&gt;="&amp;$B96)</f>
        <v>0</v>
      </c>
      <c r="G96" s="29" t="n">
        <f aca="false">SUMIFS('Outages (event ledger)'!$H$2:$H$65,'Outages (event ledger)'!$A$2:$A$65,G$2,'Outages (event ledger)'!$E$2:$E$65,"&lt;="&amp;$B96,'Outages (event ledger)'!$G$2:$G$65,"&gt;="&amp;$B96)</f>
        <v>0</v>
      </c>
      <c r="H96" s="29" t="n">
        <f aca="false">SUMIFS('Outages (event ledger)'!$H$2:$H$65,'Outages (event ledger)'!$A$2:$A$65,H$2,'Outages (event ledger)'!$E$2:$E$65,"&lt;="&amp;$B96,'Outages (event ledger)'!$G$2:$G$65,"&gt;="&amp;$B96)</f>
        <v>0</v>
      </c>
      <c r="I96" s="29" t="n">
        <f aca="false">SUMIFS('Outages (event ledger)'!$H$2:$H$65,'Outages (event ledger)'!$A$2:$A$65,I$2,'Outages (event ledger)'!$E$2:$E$65,"&lt;="&amp;$B96,'Outages (event ledger)'!$G$2:$G$65,"&gt;="&amp;$B96)</f>
        <v>0</v>
      </c>
      <c r="J96" s="29" t="n">
        <f aca="false">SUMIFS('Outages (event ledger)'!$H$2:$H$65,'Outages (event ledger)'!$A$2:$A$65,J$2,'Outages (event ledger)'!$E$2:$E$65,"&lt;="&amp;$B96,'Outages (event ledger)'!$G$2:$G$65,"&gt;="&amp;$B96)</f>
        <v>0</v>
      </c>
      <c r="K96" s="29" t="n">
        <f aca="false">SUMIFS('Outages (event ledger)'!$H$2:$H$65,'Outages (event ledger)'!$A$2:$A$65,K$2,'Outages (event ledger)'!$E$2:$E$65,"&lt;="&amp;$B96,'Outages (event ledger)'!$G$2:$G$65,"&gt;="&amp;$B96)</f>
        <v>0</v>
      </c>
      <c r="L96" s="29" t="n">
        <f aca="false">SUMIFS('Outages (event ledger)'!$H$2:$H$65,'Outages (event ledger)'!$A$2:$A$65,L$2,'Outages (event ledger)'!$E$2:$E$65,"&lt;="&amp;$B96,'Outages (event ledger)'!$G$2:$G$65,"&gt;="&amp;$B96)</f>
        <v>0</v>
      </c>
      <c r="M96" s="29" t="n">
        <f aca="false">SUMIFS('Outages (event ledger)'!$H$2:$H$65,'Outages (event ledger)'!$A$2:$A$65,M$2,'Outages (event ledger)'!$E$2:$E$65,"&lt;="&amp;$B96,'Outages (event ledger)'!$G$2:$G$65,"&gt;="&amp;$B96)</f>
        <v>0</v>
      </c>
      <c r="N96" s="29" t="n">
        <f aca="false">SUMIFS('Outages (event ledger)'!$H$2:$H$65,'Outages (event ledger)'!$A$2:$A$65,N$2,'Outages (event ledger)'!$E$2:$E$65,"&lt;="&amp;$B96,'Outages (event ledger)'!$G$2:$G$65,"&gt;="&amp;$B96)</f>
        <v>0</v>
      </c>
      <c r="O96" s="29" t="n">
        <f aca="false">SUMIFS('Outages (event ledger)'!$H$2:$H$65,'Outages (event ledger)'!$A$2:$A$65,O$2,'Outages (event ledger)'!$E$2:$E$65,"&lt;="&amp;$B96,'Outages (event ledger)'!$G$2:$G$65,"&gt;="&amp;$B96)</f>
        <v>0</v>
      </c>
      <c r="P96" s="29" t="n">
        <f aca="false">SUMIFS('Outages (event ledger)'!$H$2:$H$65,'Outages (event ledger)'!$A$2:$A$65,P$2,'Outages (event ledger)'!$E$2:$E$65,"&lt;="&amp;$B96,'Outages (event ledger)'!$G$2:$G$65,"&gt;="&amp;$B96)</f>
        <v>0</v>
      </c>
      <c r="Q96" s="29" t="n">
        <f aca="false">SUMIFS('Outages (event ledger)'!$H$2:$H$65,'Outages (event ledger)'!$A$2:$A$65,Q$2,'Outages (event ledger)'!$E$2:$E$65,"&lt;="&amp;$B96,'Outages (event ledger)'!$G$2:$G$65,"&gt;="&amp;$B96)</f>
        <v>0</v>
      </c>
      <c r="R96" s="29" t="n">
        <f aca="false">SUMIFS('Outages (event ledger)'!$H$2:$H$65,'Outages (event ledger)'!$A$2:$A$65,R$2,'Outages (event ledger)'!$E$2:$E$65,"&lt;="&amp;$B96,'Outages (event ledger)'!$G$2:$G$65,"&gt;="&amp;$B96)</f>
        <v>0</v>
      </c>
      <c r="S96" s="29" t="n">
        <f aca="false">SUMIFS('Outages (event ledger)'!$H$2:$H$65,'Outages (event ledger)'!$A$2:$A$65,S$2,'Outages (event ledger)'!$E$2:$E$65,"&lt;="&amp;$B96,'Outages (event ledger)'!$G$2:$G$65,"&gt;="&amp;$B96)</f>
        <v>0</v>
      </c>
      <c r="T96" s="29" t="n">
        <f aca="false">SUMIFS('Outages (event ledger)'!$H$2:$H$65,'Outages (event ledger)'!$A$2:$A$65,T$2,'Outages (event ledger)'!$E$2:$E$65,"&lt;="&amp;$B96,'Outages (event ledger)'!$G$2:$G$65,"&gt;="&amp;$B96)</f>
        <v>0</v>
      </c>
      <c r="U96" s="29" t="n">
        <f aca="false">SUMIFS('Outages (event ledger)'!$H$2:$H$65,'Outages (event ledger)'!$A$2:$A$65,U$2,'Outages (event ledger)'!$E$2:$E$65,"&lt;="&amp;$B96,'Outages (event ledger)'!$G$2:$G$65,"&gt;="&amp;$B96)</f>
        <v>0</v>
      </c>
      <c r="V96" s="29" t="n">
        <f aca="false">SUMIFS('Outages (event ledger)'!$H$2:$H$65,'Outages (event ledger)'!$A$2:$A$65,V$2,'Outages (event ledger)'!$E$2:$E$65,"&lt;="&amp;$B96,'Outages (event ledger)'!$G$2:$G$65,"&gt;="&amp;$B96)</f>
        <v>0</v>
      </c>
      <c r="W96" s="29" t="n">
        <f aca="false">SUMIFS('Outages (event ledger)'!$H$2:$H$65,'Outages (event ledger)'!$A$2:$A$65,W$2,'Outages (event ledger)'!$E$2:$E$65,"&lt;="&amp;$B96,'Outages (event ledger)'!$G$2:$G$65,"&gt;="&amp;$B96)</f>
        <v>0</v>
      </c>
      <c r="X96" s="29" t="n">
        <f aca="false">SUMIFS('Outages (event ledger)'!$H$2:$H$65,'Outages (event ledger)'!$A$2:$A$65,X$2,'Outages (event ledger)'!$E$2:$E$65,"&lt;="&amp;$B96,'Outages (event ledger)'!$G$2:$G$65,"&gt;="&amp;$B96)</f>
        <v>0</v>
      </c>
      <c r="Y96" s="29" t="n">
        <f aca="false">SUMIFS('Outages (event ledger)'!$H$2:$H$65,'Outages (event ledger)'!$A$2:$A$65,Y$2,'Outages (event ledger)'!$E$2:$E$65,"&lt;="&amp;$B96,'Outages (event ledger)'!$G$2:$G$65,"&gt;="&amp;$B96)</f>
        <v>5</v>
      </c>
      <c r="Z96" s="29" t="n">
        <f aca="false">SUMIFS('Outages (event ledger)'!$H$2:$H$65,'Outages (event ledger)'!$A$2:$A$65,Z$2,'Outages (event ledger)'!$E$2:$E$65,"&lt;="&amp;$B96,'Outages (event ledger)'!$G$2:$G$65,"&gt;="&amp;$B96)</f>
        <v>5</v>
      </c>
      <c r="AA96" s="29" t="n">
        <f aca="false">SUMIFS('Outages (event ledger)'!$H$2:$H$65,'Outages (event ledger)'!$A$2:$A$65,AA$2,'Outages (event ledger)'!$E$2:$E$65,"&lt;="&amp;$B96,'Outages (event ledger)'!$G$2:$G$65,"&gt;="&amp;$B96)</f>
        <v>0</v>
      </c>
      <c r="AB96" s="29" t="n">
        <f aca="false">SUMIFS('Outages (event ledger)'!$H$2:$H$65,'Outages (event ledger)'!$A$2:$A$65,AB$2,'Outages (event ledger)'!$E$2:$E$65,"&lt;="&amp;$B96,'Outages (event ledger)'!$G$2:$G$65,"&gt;="&amp;$B96)</f>
        <v>8</v>
      </c>
      <c r="AC96" s="29" t="n">
        <f aca="false">SUMIFS('Outages (event ledger)'!$H$2:$H$65,'Outages (event ledger)'!$A$2:$A$65,AC$2,'Outages (event ledger)'!$E$2:$E$65,"&lt;="&amp;$B96,'Outages (event ledger)'!$G$2:$G$65,"&gt;="&amp;$B96)</f>
        <v>0</v>
      </c>
      <c r="AD96" s="29" t="n">
        <f aca="false">SUMIFS('Outages (event ledger)'!$H$2:$H$65,'Outages (event ledger)'!$A$2:$A$65,AD$2,'Outages (event ledger)'!$E$2:$E$65,"&lt;="&amp;$B96,'Outages (event ledger)'!$G$2:$G$65,"&gt;="&amp;$B96)</f>
        <v>0</v>
      </c>
      <c r="AE96" s="29" t="n">
        <f aca="false">SUMIFS('Outages (event ledger)'!$H$2:$H$65,'Outages (event ledger)'!$A$2:$A$65,AE$2,'Outages (event ledger)'!$E$2:$E$65,"&lt;="&amp;$B96,'Outages (event ledger)'!$G$2:$G$65,"&gt;="&amp;$B96)</f>
        <v>0</v>
      </c>
      <c r="AF96" s="29" t="n">
        <f aca="false">SUMIFS('Outages (event ledger)'!$H$2:$H$65,'Outages (event ledger)'!$A$2:$A$65,AF$2,'Outages (event ledger)'!$E$2:$E$65,"&lt;="&amp;$B96,'Outages (event ledger)'!$G$2:$G$65,"&gt;="&amp;$B96)</f>
        <v>0</v>
      </c>
      <c r="AG96" s="29" t="n">
        <f aca="false">SUMIFS('Outages (event ledger)'!$H$2:$H$65,'Outages (event ledger)'!$A$2:$A$65,AG$2,'Outages (event ledger)'!$E$2:$E$65,"&lt;="&amp;$B96,'Outages (event ledger)'!$G$2:$G$65,"&gt;="&amp;$B96)</f>
        <v>0</v>
      </c>
      <c r="AH96" s="29" t="n">
        <f aca="false">SUMIFS('Outages (event ledger)'!$H$2:$H$65,'Outages (event ledger)'!$A$2:$A$65,AH$2,'Outages (event ledger)'!$E$2:$E$65,"&lt;="&amp;$B96,'Outages (event ledger)'!$G$2:$G$65,"&gt;="&amp;$B96)</f>
        <v>0</v>
      </c>
      <c r="AI96" s="29" t="n">
        <f aca="false">SUMIFS('Outages (event ledger)'!$H$2:$H$65,'Outages (event ledger)'!$A$2:$A$65,AI$2,'Outages (event ledger)'!$E$2:$E$65,"&lt;="&amp;$B96,'Outages (event ledger)'!$G$2:$G$65,"&gt;="&amp;$B96)</f>
        <v>0</v>
      </c>
      <c r="AJ96" s="29" t="n">
        <f aca="false">SUMIFS('Outages (event ledger)'!$H$2:$H$65,'Outages (event ledger)'!$A$2:$A$65,AJ$2,'Outages (event ledger)'!$E$2:$E$65,"&lt;="&amp;$B96,'Outages (event ledger)'!$G$2:$G$65,"&gt;="&amp;$B96)</f>
        <v>0</v>
      </c>
      <c r="AK96" s="29" t="n">
        <f aca="false">SUMIFS('Outages (event ledger)'!$H$2:$H$65,'Outages (event ledger)'!$A$2:$A$65,AK$2,'Outages (event ledger)'!$E$2:$E$65,"&lt;="&amp;$B96,'Outages (event ledger)'!$G$2:$G$65,"&gt;="&amp;$B96)</f>
        <v>0</v>
      </c>
      <c r="AL96" s="29" t="n">
        <f aca="false">SUMIFS('Outages (event ledger)'!$H$2:$H$65,'Outages (event ledger)'!$A$2:$A$65,AL$2,'Outages (event ledger)'!$E$2:$E$65,"&lt;="&amp;$B96,'Outages (event ledger)'!$G$2:$G$65,"&gt;="&amp;$B96)</f>
        <v>0</v>
      </c>
      <c r="AM96" s="29" t="n">
        <f aca="false">SUMIFS('Outages (event ledger)'!$H$2:$H$65,'Outages (event ledger)'!$A$2:$A$65,AM$2,'Outages (event ledger)'!$E$2:$E$65,"&lt;="&amp;$B96,'Outages (event ledger)'!$G$2:$G$65,"&gt;="&amp;$B96)</f>
        <v>0</v>
      </c>
      <c r="AN96" s="29" t="n">
        <f aca="false">SUMIFS('Outages (event ledger)'!$H$2:$H$65,'Outages (event ledger)'!$A$2:$A$65,AN$2,'Outages (event ledger)'!$E$2:$E$65,"&lt;="&amp;$B96,'Outages (event ledger)'!$G$2:$G$65,"&gt;="&amp;$B96)</f>
        <v>0</v>
      </c>
      <c r="AO96" s="29" t="n">
        <f aca="false">SUMIFS('Outages (event ledger)'!$H$2:$H$65,'Outages (event ledger)'!$A$2:$A$65,AO$2,'Outages (event ledger)'!$E$2:$E$65,"&lt;="&amp;$B96,'Outages (event ledger)'!$G$2:$G$65,"&gt;="&amp;$B96)</f>
        <v>0</v>
      </c>
      <c r="AP96" s="29" t="n">
        <f aca="false">SUMIFS('Outages (event ledger)'!$H$2:$H$65,'Outages (event ledger)'!$A$2:$A$65,AP$2,'Outages (event ledger)'!$E$2:$E$65,"&lt;="&amp;$B96,'Outages (event ledger)'!$G$2:$G$65,"&gt;="&amp;$B96)</f>
        <v>0</v>
      </c>
      <c r="AQ96" s="29" t="n">
        <f aca="false">SUMIFS('Outages (event ledger)'!$H$2:$H$65,'Outages (event ledger)'!$A$2:$A$65,AQ$2,'Outages (event ledger)'!$E$2:$E$65,"&lt;="&amp;$B96,'Outages (event ledger)'!$G$2:$G$65,"&gt;="&amp;$B96)</f>
        <v>0</v>
      </c>
      <c r="AR96" s="29" t="n">
        <f aca="false">SUMIFS('Outages (event ledger)'!$H$2:$H$65,'Outages (event ledger)'!$A$2:$A$65,AR$2,'Outages (event ledger)'!$E$2:$E$65,"&lt;="&amp;$B96,'Outages (event ledger)'!$G$2:$G$65,"&gt;="&amp;$B96)</f>
        <v>0</v>
      </c>
      <c r="AS96" s="29" t="n">
        <f aca="false">SUMIFS('Outages (event ledger)'!$H$2:$H$65,'Outages (event ledger)'!$A$2:$A$65,AS$2,'Outages (event ledger)'!$E$2:$E$65,"&lt;="&amp;$B96,'Outages (event ledger)'!$G$2:$G$65,"&gt;="&amp;$B96)</f>
        <v>0</v>
      </c>
      <c r="AT96" s="29" t="n">
        <f aca="false">SUMIFS('Outages (event ledger)'!$H$2:$H$65,'Outages (event ledger)'!$A$2:$A$65,AT$2,'Outages (event ledger)'!$E$2:$E$65,"&lt;="&amp;$B96,'Outages (event ledger)'!$G$2:$G$65,"&gt;="&amp;$B96)</f>
        <v>0</v>
      </c>
      <c r="AU96" s="29" t="n">
        <f aca="false">SUMIFS('Outages (event ledger)'!$H$2:$H$65,'Outages (event ledger)'!$A$2:$A$65,AU$2,'Outages (event ledger)'!$E$2:$E$65,"&lt;="&amp;$B96,'Outages (event ledger)'!$G$2:$G$65,"&gt;="&amp;$B96)</f>
        <v>0</v>
      </c>
      <c r="AV96" s="29" t="n">
        <f aca="false">SUMIFS('Outages (event ledger)'!$H$2:$H$65,'Outages (event ledger)'!$A$2:$A$65,AV$2,'Outages (event ledger)'!$E$2:$E$65,"&lt;="&amp;$B96,'Outages (event ledger)'!$G$2:$G$65,"&gt;="&amp;$B96)</f>
        <v>0</v>
      </c>
      <c r="AW96" s="29" t="n">
        <f aca="false">SUMIFS('Outages (event ledger)'!$H$2:$H$65,'Outages (event ledger)'!$A$2:$A$65,AW$2,'Outages (event ledger)'!$E$2:$E$65,"&lt;="&amp;$B96,'Outages (event ledger)'!$G$2:$G$65,"&gt;="&amp;$B96)</f>
        <v>0</v>
      </c>
      <c r="AX96" s="29" t="n">
        <f aca="false">SUMIFS('Outages (event ledger)'!$H$2:$H$65,'Outages (event ledger)'!$A$2:$A$65,AX$2,'Outages (event ledger)'!$E$2:$E$65,"&lt;="&amp;$B96,'Outages (event ledger)'!$G$2:$G$65,"&gt;="&amp;$B96)</f>
        <v>0</v>
      </c>
      <c r="AY96" s="29" t="n">
        <f aca="false">SUMIFS('Outages (event ledger)'!$H$2:$H$65,'Outages (event ledger)'!$A$2:$A$65,AY$2,'Outages (event ledger)'!$E$2:$E$65,"&lt;="&amp;$B96,'Outages (event ledger)'!$G$2:$G$65,"&gt;="&amp;$B96)</f>
        <v>0</v>
      </c>
      <c r="AZ96" s="29" t="n">
        <f aca="false">SUMIFS('Outages (event ledger)'!$H$2:$H$65,'Outages (event ledger)'!$A$2:$A$65,AZ$2,'Outages (event ledger)'!$E$2:$E$65,"&lt;="&amp;$B96,'Outages (event ledger)'!$G$2:$G$65,"&gt;="&amp;$B96)</f>
        <v>0</v>
      </c>
      <c r="BA96" s="29" t="n">
        <f aca="false">SUMIFS('Outages (event ledger)'!$H$2:$H$65,'Outages (event ledger)'!$A$2:$A$65,BA$2,'Outages (event ledger)'!$E$2:$E$65,"&lt;="&amp;$B96,'Outages (event ledger)'!$G$2:$G$65,"&gt;="&amp;$B96)</f>
        <v>0</v>
      </c>
      <c r="BB96" s="29" t="n">
        <f aca="false">SUMIFS('Outages (event ledger)'!$H$2:$H$65,'Outages (event ledger)'!$A$2:$A$65,BB$2,'Outages (event ledger)'!$E$2:$E$65,"&lt;="&amp;$B96,'Outages (event ledger)'!$G$2:$G$65,"&gt;="&amp;$B96)</f>
        <v>0</v>
      </c>
      <c r="BC96" s="29" t="n">
        <f aca="false">SUMIFS('Outages (event ledger)'!$H$2:$H$65,'Outages (event ledger)'!$A$2:$A$65,BC$2,'Outages (event ledger)'!$E$2:$E$65,"&lt;="&amp;$B96,'Outages (event ledger)'!$G$2:$G$65,"&gt;="&amp;$B96)</f>
        <v>0</v>
      </c>
      <c r="BD96" s="29" t="n">
        <f aca="false">SUMIFS('Outages (event ledger)'!$H$2:$H$65,'Outages (event ledger)'!$A$2:$A$65,BD$2,'Outages (event ledger)'!$E$2:$E$65,"&lt;="&amp;$B96,'Outages (event ledger)'!$G$2:$G$65,"&gt;="&amp;$B96)</f>
        <v>0</v>
      </c>
      <c r="BE96" s="29" t="n">
        <f aca="false">SUMIFS('Outages (event ledger)'!$H$2:$H$65,'Outages (event ledger)'!$A$2:$A$65,BE$2,'Outages (event ledger)'!$E$2:$E$65,"&lt;="&amp;$B96,'Outages (event ledger)'!$G$2:$G$65,"&gt;="&amp;$B96)</f>
        <v>0</v>
      </c>
      <c r="BF96" s="29" t="n">
        <f aca="false">SUMIFS('Outages (event ledger)'!$H$2:$H$65,'Outages (event ledger)'!$A$2:$A$65,BF$2,'Outages (event ledger)'!$E$2:$E$65,"&lt;="&amp;$B96,'Outages (event ledger)'!$G$2:$G$65,"&gt;="&amp;$B96)</f>
        <v>0</v>
      </c>
      <c r="BG96" s="29" t="n">
        <f aca="false">SUMIFS('Outages (event ledger)'!$H$2:$H$65,'Outages (event ledger)'!$A$2:$A$65,BG$2,'Outages (event ledger)'!$E$2:$E$65,"&lt;="&amp;$B96,'Outages (event ledger)'!$G$2:$G$65,"&gt;="&amp;$B96)</f>
        <v>0</v>
      </c>
      <c r="BH96" s="29" t="n">
        <f aca="false">SUMIFS('Outages (event ledger)'!$H$2:$H$65,'Outages (event ledger)'!$A$2:$A$65,BH$2,'Outages (event ledger)'!$E$2:$E$65,"&lt;="&amp;$B96,'Outages (event ledger)'!$G$2:$G$65,"&gt;="&amp;$B96)</f>
        <v>0</v>
      </c>
      <c r="BI96" s="29" t="n">
        <f aca="false">SUMIFS('Outages (event ledger)'!$H$2:$H$65,'Outages (event ledger)'!$A$2:$A$65,BI$2,'Outages (event ledger)'!$E$2:$E$65,"&lt;="&amp;$B96,'Outages (event ledger)'!$G$2:$G$65,"&gt;="&amp;$B96)</f>
        <v>6.7</v>
      </c>
    </row>
    <row r="97" customFormat="false" ht="15" hidden="false" customHeight="false" outlineLevel="0" collapsed="false">
      <c r="A97" s="27" t="n">
        <v>43040</v>
      </c>
      <c r="B97" s="28" t="n">
        <v>201711</v>
      </c>
      <c r="C97" s="25" t="n">
        <f aca="false">SUM(D97:BI97)</f>
        <v>27.2</v>
      </c>
      <c r="D97" s="29" t="n">
        <f aca="false">SUMIFS('Outages (event ledger)'!$H$2:$H$65,'Outages (event ledger)'!$A$2:$A$65,D$2,'Outages (event ledger)'!$E$2:$E$65,"&lt;="&amp;$B97,'Outages (event ledger)'!$G$2:$G$65,"&gt;="&amp;$B97)</f>
        <v>0</v>
      </c>
      <c r="E97" s="29" t="n">
        <f aca="false">SUMIFS('Outages (event ledger)'!$H$2:$H$65,'Outages (event ledger)'!$A$2:$A$65,E$2,'Outages (event ledger)'!$E$2:$E$65,"&lt;="&amp;$B97,'Outages (event ledger)'!$G$2:$G$65,"&gt;="&amp;$B97)</f>
        <v>0</v>
      </c>
      <c r="F97" s="29" t="n">
        <f aca="false">SUMIFS('Outages (event ledger)'!$H$2:$H$65,'Outages (event ledger)'!$A$2:$A$65,F$2,'Outages (event ledger)'!$E$2:$E$65,"&lt;="&amp;$B97,'Outages (event ledger)'!$G$2:$G$65,"&gt;="&amp;$B97)</f>
        <v>0</v>
      </c>
      <c r="G97" s="29" t="n">
        <f aca="false">SUMIFS('Outages (event ledger)'!$H$2:$H$65,'Outages (event ledger)'!$A$2:$A$65,G$2,'Outages (event ledger)'!$E$2:$E$65,"&lt;="&amp;$B97,'Outages (event ledger)'!$G$2:$G$65,"&gt;="&amp;$B97)</f>
        <v>0</v>
      </c>
      <c r="H97" s="29" t="n">
        <f aca="false">SUMIFS('Outages (event ledger)'!$H$2:$H$65,'Outages (event ledger)'!$A$2:$A$65,H$2,'Outages (event ledger)'!$E$2:$E$65,"&lt;="&amp;$B97,'Outages (event ledger)'!$G$2:$G$65,"&gt;="&amp;$B97)</f>
        <v>0</v>
      </c>
      <c r="I97" s="29" t="n">
        <f aca="false">SUMIFS('Outages (event ledger)'!$H$2:$H$65,'Outages (event ledger)'!$A$2:$A$65,I$2,'Outages (event ledger)'!$E$2:$E$65,"&lt;="&amp;$B97,'Outages (event ledger)'!$G$2:$G$65,"&gt;="&amp;$B97)</f>
        <v>0</v>
      </c>
      <c r="J97" s="29" t="n">
        <f aca="false">SUMIFS('Outages (event ledger)'!$H$2:$H$65,'Outages (event ledger)'!$A$2:$A$65,J$2,'Outages (event ledger)'!$E$2:$E$65,"&lt;="&amp;$B97,'Outages (event ledger)'!$G$2:$G$65,"&gt;="&amp;$B97)</f>
        <v>0</v>
      </c>
      <c r="K97" s="29" t="n">
        <f aca="false">SUMIFS('Outages (event ledger)'!$H$2:$H$65,'Outages (event ledger)'!$A$2:$A$65,K$2,'Outages (event ledger)'!$E$2:$E$65,"&lt;="&amp;$B97,'Outages (event ledger)'!$G$2:$G$65,"&gt;="&amp;$B97)</f>
        <v>0</v>
      </c>
      <c r="L97" s="29" t="n">
        <f aca="false">SUMIFS('Outages (event ledger)'!$H$2:$H$65,'Outages (event ledger)'!$A$2:$A$65,L$2,'Outages (event ledger)'!$E$2:$E$65,"&lt;="&amp;$B97,'Outages (event ledger)'!$G$2:$G$65,"&gt;="&amp;$B97)</f>
        <v>0</v>
      </c>
      <c r="M97" s="29" t="n">
        <f aca="false">SUMIFS('Outages (event ledger)'!$H$2:$H$65,'Outages (event ledger)'!$A$2:$A$65,M$2,'Outages (event ledger)'!$E$2:$E$65,"&lt;="&amp;$B97,'Outages (event ledger)'!$G$2:$G$65,"&gt;="&amp;$B97)</f>
        <v>0</v>
      </c>
      <c r="N97" s="29" t="n">
        <f aca="false">SUMIFS('Outages (event ledger)'!$H$2:$H$65,'Outages (event ledger)'!$A$2:$A$65,N$2,'Outages (event ledger)'!$E$2:$E$65,"&lt;="&amp;$B97,'Outages (event ledger)'!$G$2:$G$65,"&gt;="&amp;$B97)</f>
        <v>2.5</v>
      </c>
      <c r="O97" s="29" t="n">
        <f aca="false">SUMIFS('Outages (event ledger)'!$H$2:$H$65,'Outages (event ledger)'!$A$2:$A$65,O$2,'Outages (event ledger)'!$E$2:$E$65,"&lt;="&amp;$B97,'Outages (event ledger)'!$G$2:$G$65,"&gt;="&amp;$B97)</f>
        <v>0</v>
      </c>
      <c r="P97" s="29" t="n">
        <f aca="false">SUMIFS('Outages (event ledger)'!$H$2:$H$65,'Outages (event ledger)'!$A$2:$A$65,P$2,'Outages (event ledger)'!$E$2:$E$65,"&lt;="&amp;$B97,'Outages (event ledger)'!$G$2:$G$65,"&gt;="&amp;$B97)</f>
        <v>0</v>
      </c>
      <c r="Q97" s="29" t="n">
        <f aca="false">SUMIFS('Outages (event ledger)'!$H$2:$H$65,'Outages (event ledger)'!$A$2:$A$65,Q$2,'Outages (event ledger)'!$E$2:$E$65,"&lt;="&amp;$B97,'Outages (event ledger)'!$G$2:$G$65,"&gt;="&amp;$B97)</f>
        <v>0</v>
      </c>
      <c r="R97" s="29" t="n">
        <f aca="false">SUMIFS('Outages (event ledger)'!$H$2:$H$65,'Outages (event ledger)'!$A$2:$A$65,R$2,'Outages (event ledger)'!$E$2:$E$65,"&lt;="&amp;$B97,'Outages (event ledger)'!$G$2:$G$65,"&gt;="&amp;$B97)</f>
        <v>0</v>
      </c>
      <c r="S97" s="29" t="n">
        <f aca="false">SUMIFS('Outages (event ledger)'!$H$2:$H$65,'Outages (event ledger)'!$A$2:$A$65,S$2,'Outages (event ledger)'!$E$2:$E$65,"&lt;="&amp;$B97,'Outages (event ledger)'!$G$2:$G$65,"&gt;="&amp;$B97)</f>
        <v>0</v>
      </c>
      <c r="T97" s="29" t="n">
        <f aca="false">SUMIFS('Outages (event ledger)'!$H$2:$H$65,'Outages (event ledger)'!$A$2:$A$65,T$2,'Outages (event ledger)'!$E$2:$E$65,"&lt;="&amp;$B97,'Outages (event ledger)'!$G$2:$G$65,"&gt;="&amp;$B97)</f>
        <v>0</v>
      </c>
      <c r="U97" s="29" t="n">
        <f aca="false">SUMIFS('Outages (event ledger)'!$H$2:$H$65,'Outages (event ledger)'!$A$2:$A$65,U$2,'Outages (event ledger)'!$E$2:$E$65,"&lt;="&amp;$B97,'Outages (event ledger)'!$G$2:$G$65,"&gt;="&amp;$B97)</f>
        <v>0</v>
      </c>
      <c r="V97" s="29" t="n">
        <f aca="false">SUMIFS('Outages (event ledger)'!$H$2:$H$65,'Outages (event ledger)'!$A$2:$A$65,V$2,'Outages (event ledger)'!$E$2:$E$65,"&lt;="&amp;$B97,'Outages (event ledger)'!$G$2:$G$65,"&gt;="&amp;$B97)</f>
        <v>0</v>
      </c>
      <c r="W97" s="29" t="n">
        <f aca="false">SUMIFS('Outages (event ledger)'!$H$2:$H$65,'Outages (event ledger)'!$A$2:$A$65,W$2,'Outages (event ledger)'!$E$2:$E$65,"&lt;="&amp;$B97,'Outages (event ledger)'!$G$2:$G$65,"&gt;="&amp;$B97)</f>
        <v>0</v>
      </c>
      <c r="X97" s="29" t="n">
        <f aca="false">SUMIFS('Outages (event ledger)'!$H$2:$H$65,'Outages (event ledger)'!$A$2:$A$65,X$2,'Outages (event ledger)'!$E$2:$E$65,"&lt;="&amp;$B97,'Outages (event ledger)'!$G$2:$G$65,"&gt;="&amp;$B97)</f>
        <v>0</v>
      </c>
      <c r="Y97" s="29" t="n">
        <f aca="false">SUMIFS('Outages (event ledger)'!$H$2:$H$65,'Outages (event ledger)'!$A$2:$A$65,Y$2,'Outages (event ledger)'!$E$2:$E$65,"&lt;="&amp;$B97,'Outages (event ledger)'!$G$2:$G$65,"&gt;="&amp;$B97)</f>
        <v>5</v>
      </c>
      <c r="Z97" s="29" t="n">
        <f aca="false">SUMIFS('Outages (event ledger)'!$H$2:$H$65,'Outages (event ledger)'!$A$2:$A$65,Z$2,'Outages (event ledger)'!$E$2:$E$65,"&lt;="&amp;$B97,'Outages (event ledger)'!$G$2:$G$65,"&gt;="&amp;$B97)</f>
        <v>5</v>
      </c>
      <c r="AA97" s="29" t="n">
        <f aca="false">SUMIFS('Outages (event ledger)'!$H$2:$H$65,'Outages (event ledger)'!$A$2:$A$65,AA$2,'Outages (event ledger)'!$E$2:$E$65,"&lt;="&amp;$B97,'Outages (event ledger)'!$G$2:$G$65,"&gt;="&amp;$B97)</f>
        <v>0</v>
      </c>
      <c r="AB97" s="29" t="n">
        <f aca="false">SUMIFS('Outages (event ledger)'!$H$2:$H$65,'Outages (event ledger)'!$A$2:$A$65,AB$2,'Outages (event ledger)'!$E$2:$E$65,"&lt;="&amp;$B97,'Outages (event ledger)'!$G$2:$G$65,"&gt;="&amp;$B97)</f>
        <v>8</v>
      </c>
      <c r="AC97" s="29" t="n">
        <f aca="false">SUMIFS('Outages (event ledger)'!$H$2:$H$65,'Outages (event ledger)'!$A$2:$A$65,AC$2,'Outages (event ledger)'!$E$2:$E$65,"&lt;="&amp;$B97,'Outages (event ledger)'!$G$2:$G$65,"&gt;="&amp;$B97)</f>
        <v>0</v>
      </c>
      <c r="AD97" s="29" t="n">
        <f aca="false">SUMIFS('Outages (event ledger)'!$H$2:$H$65,'Outages (event ledger)'!$A$2:$A$65,AD$2,'Outages (event ledger)'!$E$2:$E$65,"&lt;="&amp;$B97,'Outages (event ledger)'!$G$2:$G$65,"&gt;="&amp;$B97)</f>
        <v>0</v>
      </c>
      <c r="AE97" s="29" t="n">
        <f aca="false">SUMIFS('Outages (event ledger)'!$H$2:$H$65,'Outages (event ledger)'!$A$2:$A$65,AE$2,'Outages (event ledger)'!$E$2:$E$65,"&lt;="&amp;$B97,'Outages (event ledger)'!$G$2:$G$65,"&gt;="&amp;$B97)</f>
        <v>0</v>
      </c>
      <c r="AF97" s="29" t="n">
        <f aca="false">SUMIFS('Outages (event ledger)'!$H$2:$H$65,'Outages (event ledger)'!$A$2:$A$65,AF$2,'Outages (event ledger)'!$E$2:$E$65,"&lt;="&amp;$B97,'Outages (event ledger)'!$G$2:$G$65,"&gt;="&amp;$B97)</f>
        <v>0</v>
      </c>
      <c r="AG97" s="29" t="n">
        <f aca="false">SUMIFS('Outages (event ledger)'!$H$2:$H$65,'Outages (event ledger)'!$A$2:$A$65,AG$2,'Outages (event ledger)'!$E$2:$E$65,"&lt;="&amp;$B97,'Outages (event ledger)'!$G$2:$G$65,"&gt;="&amp;$B97)</f>
        <v>0</v>
      </c>
      <c r="AH97" s="29" t="n">
        <f aca="false">SUMIFS('Outages (event ledger)'!$H$2:$H$65,'Outages (event ledger)'!$A$2:$A$65,AH$2,'Outages (event ledger)'!$E$2:$E$65,"&lt;="&amp;$B97,'Outages (event ledger)'!$G$2:$G$65,"&gt;="&amp;$B97)</f>
        <v>0</v>
      </c>
      <c r="AI97" s="29" t="n">
        <f aca="false">SUMIFS('Outages (event ledger)'!$H$2:$H$65,'Outages (event ledger)'!$A$2:$A$65,AI$2,'Outages (event ledger)'!$E$2:$E$65,"&lt;="&amp;$B97,'Outages (event ledger)'!$G$2:$G$65,"&gt;="&amp;$B97)</f>
        <v>0</v>
      </c>
      <c r="AJ97" s="29" t="n">
        <f aca="false">SUMIFS('Outages (event ledger)'!$H$2:$H$65,'Outages (event ledger)'!$A$2:$A$65,AJ$2,'Outages (event ledger)'!$E$2:$E$65,"&lt;="&amp;$B97,'Outages (event ledger)'!$G$2:$G$65,"&gt;="&amp;$B97)</f>
        <v>0</v>
      </c>
      <c r="AK97" s="29" t="n">
        <f aca="false">SUMIFS('Outages (event ledger)'!$H$2:$H$65,'Outages (event ledger)'!$A$2:$A$65,AK$2,'Outages (event ledger)'!$E$2:$E$65,"&lt;="&amp;$B97,'Outages (event ledger)'!$G$2:$G$65,"&gt;="&amp;$B97)</f>
        <v>0</v>
      </c>
      <c r="AL97" s="29" t="n">
        <f aca="false">SUMIFS('Outages (event ledger)'!$H$2:$H$65,'Outages (event ledger)'!$A$2:$A$65,AL$2,'Outages (event ledger)'!$E$2:$E$65,"&lt;="&amp;$B97,'Outages (event ledger)'!$G$2:$G$65,"&gt;="&amp;$B97)</f>
        <v>0</v>
      </c>
      <c r="AM97" s="29" t="n">
        <f aca="false">SUMIFS('Outages (event ledger)'!$H$2:$H$65,'Outages (event ledger)'!$A$2:$A$65,AM$2,'Outages (event ledger)'!$E$2:$E$65,"&lt;="&amp;$B97,'Outages (event ledger)'!$G$2:$G$65,"&gt;="&amp;$B97)</f>
        <v>0</v>
      </c>
      <c r="AN97" s="29" t="n">
        <f aca="false">SUMIFS('Outages (event ledger)'!$H$2:$H$65,'Outages (event ledger)'!$A$2:$A$65,AN$2,'Outages (event ledger)'!$E$2:$E$65,"&lt;="&amp;$B97,'Outages (event ledger)'!$G$2:$G$65,"&gt;="&amp;$B97)</f>
        <v>0</v>
      </c>
      <c r="AO97" s="29" t="n">
        <f aca="false">SUMIFS('Outages (event ledger)'!$H$2:$H$65,'Outages (event ledger)'!$A$2:$A$65,AO$2,'Outages (event ledger)'!$E$2:$E$65,"&lt;="&amp;$B97,'Outages (event ledger)'!$G$2:$G$65,"&gt;="&amp;$B97)</f>
        <v>0</v>
      </c>
      <c r="AP97" s="29" t="n">
        <f aca="false">SUMIFS('Outages (event ledger)'!$H$2:$H$65,'Outages (event ledger)'!$A$2:$A$65,AP$2,'Outages (event ledger)'!$E$2:$E$65,"&lt;="&amp;$B97,'Outages (event ledger)'!$G$2:$G$65,"&gt;="&amp;$B97)</f>
        <v>0</v>
      </c>
      <c r="AQ97" s="29" t="n">
        <f aca="false">SUMIFS('Outages (event ledger)'!$H$2:$H$65,'Outages (event ledger)'!$A$2:$A$65,AQ$2,'Outages (event ledger)'!$E$2:$E$65,"&lt;="&amp;$B97,'Outages (event ledger)'!$G$2:$G$65,"&gt;="&amp;$B97)</f>
        <v>0</v>
      </c>
      <c r="AR97" s="29" t="n">
        <f aca="false">SUMIFS('Outages (event ledger)'!$H$2:$H$65,'Outages (event ledger)'!$A$2:$A$65,AR$2,'Outages (event ledger)'!$E$2:$E$65,"&lt;="&amp;$B97,'Outages (event ledger)'!$G$2:$G$65,"&gt;="&amp;$B97)</f>
        <v>0</v>
      </c>
      <c r="AS97" s="29" t="n">
        <f aca="false">SUMIFS('Outages (event ledger)'!$H$2:$H$65,'Outages (event ledger)'!$A$2:$A$65,AS$2,'Outages (event ledger)'!$E$2:$E$65,"&lt;="&amp;$B97,'Outages (event ledger)'!$G$2:$G$65,"&gt;="&amp;$B97)</f>
        <v>0</v>
      </c>
      <c r="AT97" s="29" t="n">
        <f aca="false">SUMIFS('Outages (event ledger)'!$H$2:$H$65,'Outages (event ledger)'!$A$2:$A$65,AT$2,'Outages (event ledger)'!$E$2:$E$65,"&lt;="&amp;$B97,'Outages (event ledger)'!$G$2:$G$65,"&gt;="&amp;$B97)</f>
        <v>0</v>
      </c>
      <c r="AU97" s="29" t="n">
        <f aca="false">SUMIFS('Outages (event ledger)'!$H$2:$H$65,'Outages (event ledger)'!$A$2:$A$65,AU$2,'Outages (event ledger)'!$E$2:$E$65,"&lt;="&amp;$B97,'Outages (event ledger)'!$G$2:$G$65,"&gt;="&amp;$B97)</f>
        <v>0</v>
      </c>
      <c r="AV97" s="29" t="n">
        <f aca="false">SUMIFS('Outages (event ledger)'!$H$2:$H$65,'Outages (event ledger)'!$A$2:$A$65,AV$2,'Outages (event ledger)'!$E$2:$E$65,"&lt;="&amp;$B97,'Outages (event ledger)'!$G$2:$G$65,"&gt;="&amp;$B97)</f>
        <v>0</v>
      </c>
      <c r="AW97" s="29" t="n">
        <f aca="false">SUMIFS('Outages (event ledger)'!$H$2:$H$65,'Outages (event ledger)'!$A$2:$A$65,AW$2,'Outages (event ledger)'!$E$2:$E$65,"&lt;="&amp;$B97,'Outages (event ledger)'!$G$2:$G$65,"&gt;="&amp;$B97)</f>
        <v>0</v>
      </c>
      <c r="AX97" s="29" t="n">
        <f aca="false">SUMIFS('Outages (event ledger)'!$H$2:$H$65,'Outages (event ledger)'!$A$2:$A$65,AX$2,'Outages (event ledger)'!$E$2:$E$65,"&lt;="&amp;$B97,'Outages (event ledger)'!$G$2:$G$65,"&gt;="&amp;$B97)</f>
        <v>0</v>
      </c>
      <c r="AY97" s="29" t="n">
        <f aca="false">SUMIFS('Outages (event ledger)'!$H$2:$H$65,'Outages (event ledger)'!$A$2:$A$65,AY$2,'Outages (event ledger)'!$E$2:$E$65,"&lt;="&amp;$B97,'Outages (event ledger)'!$G$2:$G$65,"&gt;="&amp;$B97)</f>
        <v>0</v>
      </c>
      <c r="AZ97" s="29" t="n">
        <f aca="false">SUMIFS('Outages (event ledger)'!$H$2:$H$65,'Outages (event ledger)'!$A$2:$A$65,AZ$2,'Outages (event ledger)'!$E$2:$E$65,"&lt;="&amp;$B97,'Outages (event ledger)'!$G$2:$G$65,"&gt;="&amp;$B97)</f>
        <v>0</v>
      </c>
      <c r="BA97" s="29" t="n">
        <f aca="false">SUMIFS('Outages (event ledger)'!$H$2:$H$65,'Outages (event ledger)'!$A$2:$A$65,BA$2,'Outages (event ledger)'!$E$2:$E$65,"&lt;="&amp;$B97,'Outages (event ledger)'!$G$2:$G$65,"&gt;="&amp;$B97)</f>
        <v>0</v>
      </c>
      <c r="BB97" s="29" t="n">
        <f aca="false">SUMIFS('Outages (event ledger)'!$H$2:$H$65,'Outages (event ledger)'!$A$2:$A$65,BB$2,'Outages (event ledger)'!$E$2:$E$65,"&lt;="&amp;$B97,'Outages (event ledger)'!$G$2:$G$65,"&gt;="&amp;$B97)</f>
        <v>0</v>
      </c>
      <c r="BC97" s="29" t="n">
        <f aca="false">SUMIFS('Outages (event ledger)'!$H$2:$H$65,'Outages (event ledger)'!$A$2:$A$65,BC$2,'Outages (event ledger)'!$E$2:$E$65,"&lt;="&amp;$B97,'Outages (event ledger)'!$G$2:$G$65,"&gt;="&amp;$B97)</f>
        <v>0</v>
      </c>
      <c r="BD97" s="29" t="n">
        <f aca="false">SUMIFS('Outages (event ledger)'!$H$2:$H$65,'Outages (event ledger)'!$A$2:$A$65,BD$2,'Outages (event ledger)'!$E$2:$E$65,"&lt;="&amp;$B97,'Outages (event ledger)'!$G$2:$G$65,"&gt;="&amp;$B97)</f>
        <v>0</v>
      </c>
      <c r="BE97" s="29" t="n">
        <f aca="false">SUMIFS('Outages (event ledger)'!$H$2:$H$65,'Outages (event ledger)'!$A$2:$A$65,BE$2,'Outages (event ledger)'!$E$2:$E$65,"&lt;="&amp;$B97,'Outages (event ledger)'!$G$2:$G$65,"&gt;="&amp;$B97)</f>
        <v>0</v>
      </c>
      <c r="BF97" s="29" t="n">
        <f aca="false">SUMIFS('Outages (event ledger)'!$H$2:$H$65,'Outages (event ledger)'!$A$2:$A$65,BF$2,'Outages (event ledger)'!$E$2:$E$65,"&lt;="&amp;$B97,'Outages (event ledger)'!$G$2:$G$65,"&gt;="&amp;$B97)</f>
        <v>0</v>
      </c>
      <c r="BG97" s="29" t="n">
        <f aca="false">SUMIFS('Outages (event ledger)'!$H$2:$H$65,'Outages (event ledger)'!$A$2:$A$65,BG$2,'Outages (event ledger)'!$E$2:$E$65,"&lt;="&amp;$B97,'Outages (event ledger)'!$G$2:$G$65,"&gt;="&amp;$B97)</f>
        <v>0</v>
      </c>
      <c r="BH97" s="29" t="n">
        <f aca="false">SUMIFS('Outages (event ledger)'!$H$2:$H$65,'Outages (event ledger)'!$A$2:$A$65,BH$2,'Outages (event ledger)'!$E$2:$E$65,"&lt;="&amp;$B97,'Outages (event ledger)'!$G$2:$G$65,"&gt;="&amp;$B97)</f>
        <v>0</v>
      </c>
      <c r="BI97" s="29" t="n">
        <f aca="false">SUMIFS('Outages (event ledger)'!$H$2:$H$65,'Outages (event ledger)'!$A$2:$A$65,BI$2,'Outages (event ledger)'!$E$2:$E$65,"&lt;="&amp;$B97,'Outages (event ledger)'!$G$2:$G$65,"&gt;="&amp;$B97)</f>
        <v>6.7</v>
      </c>
    </row>
    <row r="98" customFormat="false" ht="15" hidden="false" customHeight="false" outlineLevel="0" collapsed="false">
      <c r="A98" s="27" t="n">
        <v>43070</v>
      </c>
      <c r="B98" s="28" t="n">
        <v>201712</v>
      </c>
      <c r="C98" s="25" t="n">
        <f aca="false">SUM(D98:BI98)</f>
        <v>24.7</v>
      </c>
      <c r="D98" s="29" t="n">
        <f aca="false">SUMIFS('Outages (event ledger)'!$H$2:$H$65,'Outages (event ledger)'!$A$2:$A$65,D$2,'Outages (event ledger)'!$E$2:$E$65,"&lt;="&amp;$B98,'Outages (event ledger)'!$G$2:$G$65,"&gt;="&amp;$B98)</f>
        <v>0</v>
      </c>
      <c r="E98" s="29" t="n">
        <f aca="false">SUMIFS('Outages (event ledger)'!$H$2:$H$65,'Outages (event ledger)'!$A$2:$A$65,E$2,'Outages (event ledger)'!$E$2:$E$65,"&lt;="&amp;$B98,'Outages (event ledger)'!$G$2:$G$65,"&gt;="&amp;$B98)</f>
        <v>0</v>
      </c>
      <c r="F98" s="29" t="n">
        <f aca="false">SUMIFS('Outages (event ledger)'!$H$2:$H$65,'Outages (event ledger)'!$A$2:$A$65,F$2,'Outages (event ledger)'!$E$2:$E$65,"&lt;="&amp;$B98,'Outages (event ledger)'!$G$2:$G$65,"&gt;="&amp;$B98)</f>
        <v>0</v>
      </c>
      <c r="G98" s="29" t="n">
        <f aca="false">SUMIFS('Outages (event ledger)'!$H$2:$H$65,'Outages (event ledger)'!$A$2:$A$65,G$2,'Outages (event ledger)'!$E$2:$E$65,"&lt;="&amp;$B98,'Outages (event ledger)'!$G$2:$G$65,"&gt;="&amp;$B98)</f>
        <v>0</v>
      </c>
      <c r="H98" s="29" t="n">
        <f aca="false">SUMIFS('Outages (event ledger)'!$H$2:$H$65,'Outages (event ledger)'!$A$2:$A$65,H$2,'Outages (event ledger)'!$E$2:$E$65,"&lt;="&amp;$B98,'Outages (event ledger)'!$G$2:$G$65,"&gt;="&amp;$B98)</f>
        <v>0</v>
      </c>
      <c r="I98" s="29" t="n">
        <f aca="false">SUMIFS('Outages (event ledger)'!$H$2:$H$65,'Outages (event ledger)'!$A$2:$A$65,I$2,'Outages (event ledger)'!$E$2:$E$65,"&lt;="&amp;$B98,'Outages (event ledger)'!$G$2:$G$65,"&gt;="&amp;$B98)</f>
        <v>0</v>
      </c>
      <c r="J98" s="29" t="n">
        <f aca="false">SUMIFS('Outages (event ledger)'!$H$2:$H$65,'Outages (event ledger)'!$A$2:$A$65,J$2,'Outages (event ledger)'!$E$2:$E$65,"&lt;="&amp;$B98,'Outages (event ledger)'!$G$2:$G$65,"&gt;="&amp;$B98)</f>
        <v>0</v>
      </c>
      <c r="K98" s="29" t="n">
        <f aca="false">SUMIFS('Outages (event ledger)'!$H$2:$H$65,'Outages (event ledger)'!$A$2:$A$65,K$2,'Outages (event ledger)'!$E$2:$E$65,"&lt;="&amp;$B98,'Outages (event ledger)'!$G$2:$G$65,"&gt;="&amp;$B98)</f>
        <v>0</v>
      </c>
      <c r="L98" s="29" t="n">
        <f aca="false">SUMIFS('Outages (event ledger)'!$H$2:$H$65,'Outages (event ledger)'!$A$2:$A$65,L$2,'Outages (event ledger)'!$E$2:$E$65,"&lt;="&amp;$B98,'Outages (event ledger)'!$G$2:$G$65,"&gt;="&amp;$B98)</f>
        <v>0</v>
      </c>
      <c r="M98" s="29" t="n">
        <f aca="false">SUMIFS('Outages (event ledger)'!$H$2:$H$65,'Outages (event ledger)'!$A$2:$A$65,M$2,'Outages (event ledger)'!$E$2:$E$65,"&lt;="&amp;$B98,'Outages (event ledger)'!$G$2:$G$65,"&gt;="&amp;$B98)</f>
        <v>0</v>
      </c>
      <c r="N98" s="29" t="n">
        <f aca="false">SUMIFS('Outages (event ledger)'!$H$2:$H$65,'Outages (event ledger)'!$A$2:$A$65,N$2,'Outages (event ledger)'!$E$2:$E$65,"&lt;="&amp;$B98,'Outages (event ledger)'!$G$2:$G$65,"&gt;="&amp;$B98)</f>
        <v>0</v>
      </c>
      <c r="O98" s="29" t="n">
        <f aca="false">SUMIFS('Outages (event ledger)'!$H$2:$H$65,'Outages (event ledger)'!$A$2:$A$65,O$2,'Outages (event ledger)'!$E$2:$E$65,"&lt;="&amp;$B98,'Outages (event ledger)'!$G$2:$G$65,"&gt;="&amp;$B98)</f>
        <v>0</v>
      </c>
      <c r="P98" s="29" t="n">
        <f aca="false">SUMIFS('Outages (event ledger)'!$H$2:$H$65,'Outages (event ledger)'!$A$2:$A$65,P$2,'Outages (event ledger)'!$E$2:$E$65,"&lt;="&amp;$B98,'Outages (event ledger)'!$G$2:$G$65,"&gt;="&amp;$B98)</f>
        <v>0</v>
      </c>
      <c r="Q98" s="29" t="n">
        <f aca="false">SUMIFS('Outages (event ledger)'!$H$2:$H$65,'Outages (event ledger)'!$A$2:$A$65,Q$2,'Outages (event ledger)'!$E$2:$E$65,"&lt;="&amp;$B98,'Outages (event ledger)'!$G$2:$G$65,"&gt;="&amp;$B98)</f>
        <v>0</v>
      </c>
      <c r="R98" s="29" t="n">
        <f aca="false">SUMIFS('Outages (event ledger)'!$H$2:$H$65,'Outages (event ledger)'!$A$2:$A$65,R$2,'Outages (event ledger)'!$E$2:$E$65,"&lt;="&amp;$B98,'Outages (event ledger)'!$G$2:$G$65,"&gt;="&amp;$B98)</f>
        <v>0</v>
      </c>
      <c r="S98" s="29" t="n">
        <f aca="false">SUMIFS('Outages (event ledger)'!$H$2:$H$65,'Outages (event ledger)'!$A$2:$A$65,S$2,'Outages (event ledger)'!$E$2:$E$65,"&lt;="&amp;$B98,'Outages (event ledger)'!$G$2:$G$65,"&gt;="&amp;$B98)</f>
        <v>0</v>
      </c>
      <c r="T98" s="29" t="n">
        <f aca="false">SUMIFS('Outages (event ledger)'!$H$2:$H$65,'Outages (event ledger)'!$A$2:$A$65,T$2,'Outages (event ledger)'!$E$2:$E$65,"&lt;="&amp;$B98,'Outages (event ledger)'!$G$2:$G$65,"&gt;="&amp;$B98)</f>
        <v>0</v>
      </c>
      <c r="U98" s="29" t="n">
        <f aca="false">SUMIFS('Outages (event ledger)'!$H$2:$H$65,'Outages (event ledger)'!$A$2:$A$65,U$2,'Outages (event ledger)'!$E$2:$E$65,"&lt;="&amp;$B98,'Outages (event ledger)'!$G$2:$G$65,"&gt;="&amp;$B98)</f>
        <v>0</v>
      </c>
      <c r="V98" s="29" t="n">
        <f aca="false">SUMIFS('Outages (event ledger)'!$H$2:$H$65,'Outages (event ledger)'!$A$2:$A$65,V$2,'Outages (event ledger)'!$E$2:$E$65,"&lt;="&amp;$B98,'Outages (event ledger)'!$G$2:$G$65,"&gt;="&amp;$B98)</f>
        <v>0</v>
      </c>
      <c r="W98" s="29" t="n">
        <f aca="false">SUMIFS('Outages (event ledger)'!$H$2:$H$65,'Outages (event ledger)'!$A$2:$A$65,W$2,'Outages (event ledger)'!$E$2:$E$65,"&lt;="&amp;$B98,'Outages (event ledger)'!$G$2:$G$65,"&gt;="&amp;$B98)</f>
        <v>0</v>
      </c>
      <c r="X98" s="29" t="n">
        <f aca="false">SUMIFS('Outages (event ledger)'!$H$2:$H$65,'Outages (event ledger)'!$A$2:$A$65,X$2,'Outages (event ledger)'!$E$2:$E$65,"&lt;="&amp;$B98,'Outages (event ledger)'!$G$2:$G$65,"&gt;="&amp;$B98)</f>
        <v>0</v>
      </c>
      <c r="Y98" s="29" t="n">
        <f aca="false">SUMIFS('Outages (event ledger)'!$H$2:$H$65,'Outages (event ledger)'!$A$2:$A$65,Y$2,'Outages (event ledger)'!$E$2:$E$65,"&lt;="&amp;$B98,'Outages (event ledger)'!$G$2:$G$65,"&gt;="&amp;$B98)</f>
        <v>5</v>
      </c>
      <c r="Z98" s="29" t="n">
        <f aca="false">SUMIFS('Outages (event ledger)'!$H$2:$H$65,'Outages (event ledger)'!$A$2:$A$65,Z$2,'Outages (event ledger)'!$E$2:$E$65,"&lt;="&amp;$B98,'Outages (event ledger)'!$G$2:$G$65,"&gt;="&amp;$B98)</f>
        <v>5</v>
      </c>
      <c r="AA98" s="29" t="n">
        <f aca="false">SUMIFS('Outages (event ledger)'!$H$2:$H$65,'Outages (event ledger)'!$A$2:$A$65,AA$2,'Outages (event ledger)'!$E$2:$E$65,"&lt;="&amp;$B98,'Outages (event ledger)'!$G$2:$G$65,"&gt;="&amp;$B98)</f>
        <v>0</v>
      </c>
      <c r="AB98" s="29" t="n">
        <f aca="false">SUMIFS('Outages (event ledger)'!$H$2:$H$65,'Outages (event ledger)'!$A$2:$A$65,AB$2,'Outages (event ledger)'!$E$2:$E$65,"&lt;="&amp;$B98,'Outages (event ledger)'!$G$2:$G$65,"&gt;="&amp;$B98)</f>
        <v>8</v>
      </c>
      <c r="AC98" s="29" t="n">
        <f aca="false">SUMIFS('Outages (event ledger)'!$H$2:$H$65,'Outages (event ledger)'!$A$2:$A$65,AC$2,'Outages (event ledger)'!$E$2:$E$65,"&lt;="&amp;$B98,'Outages (event ledger)'!$G$2:$G$65,"&gt;="&amp;$B98)</f>
        <v>0</v>
      </c>
      <c r="AD98" s="29" t="n">
        <f aca="false">SUMIFS('Outages (event ledger)'!$H$2:$H$65,'Outages (event ledger)'!$A$2:$A$65,AD$2,'Outages (event ledger)'!$E$2:$E$65,"&lt;="&amp;$B98,'Outages (event ledger)'!$G$2:$G$65,"&gt;="&amp;$B98)</f>
        <v>0</v>
      </c>
      <c r="AE98" s="29" t="n">
        <f aca="false">SUMIFS('Outages (event ledger)'!$H$2:$H$65,'Outages (event ledger)'!$A$2:$A$65,AE$2,'Outages (event ledger)'!$E$2:$E$65,"&lt;="&amp;$B98,'Outages (event ledger)'!$G$2:$G$65,"&gt;="&amp;$B98)</f>
        <v>0</v>
      </c>
      <c r="AF98" s="29" t="n">
        <f aca="false">SUMIFS('Outages (event ledger)'!$H$2:$H$65,'Outages (event ledger)'!$A$2:$A$65,AF$2,'Outages (event ledger)'!$E$2:$E$65,"&lt;="&amp;$B98,'Outages (event ledger)'!$G$2:$G$65,"&gt;="&amp;$B98)</f>
        <v>0</v>
      </c>
      <c r="AG98" s="29" t="n">
        <f aca="false">SUMIFS('Outages (event ledger)'!$H$2:$H$65,'Outages (event ledger)'!$A$2:$A$65,AG$2,'Outages (event ledger)'!$E$2:$E$65,"&lt;="&amp;$B98,'Outages (event ledger)'!$G$2:$G$65,"&gt;="&amp;$B98)</f>
        <v>0</v>
      </c>
      <c r="AH98" s="29" t="n">
        <f aca="false">SUMIFS('Outages (event ledger)'!$H$2:$H$65,'Outages (event ledger)'!$A$2:$A$65,AH$2,'Outages (event ledger)'!$E$2:$E$65,"&lt;="&amp;$B98,'Outages (event ledger)'!$G$2:$G$65,"&gt;="&amp;$B98)</f>
        <v>0</v>
      </c>
      <c r="AI98" s="29" t="n">
        <f aca="false">SUMIFS('Outages (event ledger)'!$H$2:$H$65,'Outages (event ledger)'!$A$2:$A$65,AI$2,'Outages (event ledger)'!$E$2:$E$65,"&lt;="&amp;$B98,'Outages (event ledger)'!$G$2:$G$65,"&gt;="&amp;$B98)</f>
        <v>0</v>
      </c>
      <c r="AJ98" s="29" t="n">
        <f aca="false">SUMIFS('Outages (event ledger)'!$H$2:$H$65,'Outages (event ledger)'!$A$2:$A$65,AJ$2,'Outages (event ledger)'!$E$2:$E$65,"&lt;="&amp;$B98,'Outages (event ledger)'!$G$2:$G$65,"&gt;="&amp;$B98)</f>
        <v>0</v>
      </c>
      <c r="AK98" s="29" t="n">
        <f aca="false">SUMIFS('Outages (event ledger)'!$H$2:$H$65,'Outages (event ledger)'!$A$2:$A$65,AK$2,'Outages (event ledger)'!$E$2:$E$65,"&lt;="&amp;$B98,'Outages (event ledger)'!$G$2:$G$65,"&gt;="&amp;$B98)</f>
        <v>0</v>
      </c>
      <c r="AL98" s="29" t="n">
        <f aca="false">SUMIFS('Outages (event ledger)'!$H$2:$H$65,'Outages (event ledger)'!$A$2:$A$65,AL$2,'Outages (event ledger)'!$E$2:$E$65,"&lt;="&amp;$B98,'Outages (event ledger)'!$G$2:$G$65,"&gt;="&amp;$B98)</f>
        <v>0</v>
      </c>
      <c r="AM98" s="29" t="n">
        <f aca="false">SUMIFS('Outages (event ledger)'!$H$2:$H$65,'Outages (event ledger)'!$A$2:$A$65,AM$2,'Outages (event ledger)'!$E$2:$E$65,"&lt;="&amp;$B98,'Outages (event ledger)'!$G$2:$G$65,"&gt;="&amp;$B98)</f>
        <v>0</v>
      </c>
      <c r="AN98" s="29" t="n">
        <f aca="false">SUMIFS('Outages (event ledger)'!$H$2:$H$65,'Outages (event ledger)'!$A$2:$A$65,AN$2,'Outages (event ledger)'!$E$2:$E$65,"&lt;="&amp;$B98,'Outages (event ledger)'!$G$2:$G$65,"&gt;="&amp;$B98)</f>
        <v>0</v>
      </c>
      <c r="AO98" s="29" t="n">
        <f aca="false">SUMIFS('Outages (event ledger)'!$H$2:$H$65,'Outages (event ledger)'!$A$2:$A$65,AO$2,'Outages (event ledger)'!$E$2:$E$65,"&lt;="&amp;$B98,'Outages (event ledger)'!$G$2:$G$65,"&gt;="&amp;$B98)</f>
        <v>0</v>
      </c>
      <c r="AP98" s="29" t="n">
        <f aca="false">SUMIFS('Outages (event ledger)'!$H$2:$H$65,'Outages (event ledger)'!$A$2:$A$65,AP$2,'Outages (event ledger)'!$E$2:$E$65,"&lt;="&amp;$B98,'Outages (event ledger)'!$G$2:$G$65,"&gt;="&amp;$B98)</f>
        <v>0</v>
      </c>
      <c r="AQ98" s="29" t="n">
        <f aca="false">SUMIFS('Outages (event ledger)'!$H$2:$H$65,'Outages (event ledger)'!$A$2:$A$65,AQ$2,'Outages (event ledger)'!$E$2:$E$65,"&lt;="&amp;$B98,'Outages (event ledger)'!$G$2:$G$65,"&gt;="&amp;$B98)</f>
        <v>0</v>
      </c>
      <c r="AR98" s="29" t="n">
        <f aca="false">SUMIFS('Outages (event ledger)'!$H$2:$H$65,'Outages (event ledger)'!$A$2:$A$65,AR$2,'Outages (event ledger)'!$E$2:$E$65,"&lt;="&amp;$B98,'Outages (event ledger)'!$G$2:$G$65,"&gt;="&amp;$B98)</f>
        <v>0</v>
      </c>
      <c r="AS98" s="29" t="n">
        <f aca="false">SUMIFS('Outages (event ledger)'!$H$2:$H$65,'Outages (event ledger)'!$A$2:$A$65,AS$2,'Outages (event ledger)'!$E$2:$E$65,"&lt;="&amp;$B98,'Outages (event ledger)'!$G$2:$G$65,"&gt;="&amp;$B98)</f>
        <v>0</v>
      </c>
      <c r="AT98" s="29" t="n">
        <f aca="false">SUMIFS('Outages (event ledger)'!$H$2:$H$65,'Outages (event ledger)'!$A$2:$A$65,AT$2,'Outages (event ledger)'!$E$2:$E$65,"&lt;="&amp;$B98,'Outages (event ledger)'!$G$2:$G$65,"&gt;="&amp;$B98)</f>
        <v>0</v>
      </c>
      <c r="AU98" s="29" t="n">
        <f aca="false">SUMIFS('Outages (event ledger)'!$H$2:$H$65,'Outages (event ledger)'!$A$2:$A$65,AU$2,'Outages (event ledger)'!$E$2:$E$65,"&lt;="&amp;$B98,'Outages (event ledger)'!$G$2:$G$65,"&gt;="&amp;$B98)</f>
        <v>0</v>
      </c>
      <c r="AV98" s="29" t="n">
        <f aca="false">SUMIFS('Outages (event ledger)'!$H$2:$H$65,'Outages (event ledger)'!$A$2:$A$65,AV$2,'Outages (event ledger)'!$E$2:$E$65,"&lt;="&amp;$B98,'Outages (event ledger)'!$G$2:$G$65,"&gt;="&amp;$B98)</f>
        <v>0</v>
      </c>
      <c r="AW98" s="29" t="n">
        <f aca="false">SUMIFS('Outages (event ledger)'!$H$2:$H$65,'Outages (event ledger)'!$A$2:$A$65,AW$2,'Outages (event ledger)'!$E$2:$E$65,"&lt;="&amp;$B98,'Outages (event ledger)'!$G$2:$G$65,"&gt;="&amp;$B98)</f>
        <v>0</v>
      </c>
      <c r="AX98" s="29" t="n">
        <f aca="false">SUMIFS('Outages (event ledger)'!$H$2:$H$65,'Outages (event ledger)'!$A$2:$A$65,AX$2,'Outages (event ledger)'!$E$2:$E$65,"&lt;="&amp;$B98,'Outages (event ledger)'!$G$2:$G$65,"&gt;="&amp;$B98)</f>
        <v>0</v>
      </c>
      <c r="AY98" s="29" t="n">
        <f aca="false">SUMIFS('Outages (event ledger)'!$H$2:$H$65,'Outages (event ledger)'!$A$2:$A$65,AY$2,'Outages (event ledger)'!$E$2:$E$65,"&lt;="&amp;$B98,'Outages (event ledger)'!$G$2:$G$65,"&gt;="&amp;$B98)</f>
        <v>0</v>
      </c>
      <c r="AZ98" s="29" t="n">
        <f aca="false">SUMIFS('Outages (event ledger)'!$H$2:$H$65,'Outages (event ledger)'!$A$2:$A$65,AZ$2,'Outages (event ledger)'!$E$2:$E$65,"&lt;="&amp;$B98,'Outages (event ledger)'!$G$2:$G$65,"&gt;="&amp;$B98)</f>
        <v>0</v>
      </c>
      <c r="BA98" s="29" t="n">
        <f aca="false">SUMIFS('Outages (event ledger)'!$H$2:$H$65,'Outages (event ledger)'!$A$2:$A$65,BA$2,'Outages (event ledger)'!$E$2:$E$65,"&lt;="&amp;$B98,'Outages (event ledger)'!$G$2:$G$65,"&gt;="&amp;$B98)</f>
        <v>0</v>
      </c>
      <c r="BB98" s="29" t="n">
        <f aca="false">SUMIFS('Outages (event ledger)'!$H$2:$H$65,'Outages (event ledger)'!$A$2:$A$65,BB$2,'Outages (event ledger)'!$E$2:$E$65,"&lt;="&amp;$B98,'Outages (event ledger)'!$G$2:$G$65,"&gt;="&amp;$B98)</f>
        <v>0</v>
      </c>
      <c r="BC98" s="29" t="n">
        <f aca="false">SUMIFS('Outages (event ledger)'!$H$2:$H$65,'Outages (event ledger)'!$A$2:$A$65,BC$2,'Outages (event ledger)'!$E$2:$E$65,"&lt;="&amp;$B98,'Outages (event ledger)'!$G$2:$G$65,"&gt;="&amp;$B98)</f>
        <v>0</v>
      </c>
      <c r="BD98" s="29" t="n">
        <f aca="false">SUMIFS('Outages (event ledger)'!$H$2:$H$65,'Outages (event ledger)'!$A$2:$A$65,BD$2,'Outages (event ledger)'!$E$2:$E$65,"&lt;="&amp;$B98,'Outages (event ledger)'!$G$2:$G$65,"&gt;="&amp;$B98)</f>
        <v>0</v>
      </c>
      <c r="BE98" s="29" t="n">
        <f aca="false">SUMIFS('Outages (event ledger)'!$H$2:$H$65,'Outages (event ledger)'!$A$2:$A$65,BE$2,'Outages (event ledger)'!$E$2:$E$65,"&lt;="&amp;$B98,'Outages (event ledger)'!$G$2:$G$65,"&gt;="&amp;$B98)</f>
        <v>0</v>
      </c>
      <c r="BF98" s="29" t="n">
        <f aca="false">SUMIFS('Outages (event ledger)'!$H$2:$H$65,'Outages (event ledger)'!$A$2:$A$65,BF$2,'Outages (event ledger)'!$E$2:$E$65,"&lt;="&amp;$B98,'Outages (event ledger)'!$G$2:$G$65,"&gt;="&amp;$B98)</f>
        <v>0</v>
      </c>
      <c r="BG98" s="29" t="n">
        <f aca="false">SUMIFS('Outages (event ledger)'!$H$2:$H$65,'Outages (event ledger)'!$A$2:$A$65,BG$2,'Outages (event ledger)'!$E$2:$E$65,"&lt;="&amp;$B98,'Outages (event ledger)'!$G$2:$G$65,"&gt;="&amp;$B98)</f>
        <v>0</v>
      </c>
      <c r="BH98" s="29" t="n">
        <f aca="false">SUMIFS('Outages (event ledger)'!$H$2:$H$65,'Outages (event ledger)'!$A$2:$A$65,BH$2,'Outages (event ledger)'!$E$2:$E$65,"&lt;="&amp;$B98,'Outages (event ledger)'!$G$2:$G$65,"&gt;="&amp;$B98)</f>
        <v>0</v>
      </c>
      <c r="BI98" s="29" t="n">
        <f aca="false">SUMIFS('Outages (event ledger)'!$H$2:$H$65,'Outages (event ledger)'!$A$2:$A$65,BI$2,'Outages (event ledger)'!$E$2:$E$65,"&lt;="&amp;$B98,'Outages (event ledger)'!$G$2:$G$65,"&gt;="&amp;$B98)</f>
        <v>6.7</v>
      </c>
    </row>
    <row r="99" customFormat="false" ht="15" hidden="false" customHeight="false" outlineLevel="0" collapsed="false">
      <c r="A99" s="23" t="n">
        <v>43101</v>
      </c>
      <c r="B99" s="24" t="n">
        <v>201801</v>
      </c>
      <c r="C99" s="25" t="n">
        <f aca="false">SUM(D99:BI99)</f>
        <v>24.7</v>
      </c>
      <c r="D99" s="26" t="n">
        <f aca="false">SUMIFS('Outages (event ledger)'!$H$2:$H$65,'Outages (event ledger)'!$A$2:$A$65,D$2,'Outages (event ledger)'!$E$2:$E$65,"&lt;="&amp;$B99,'Outages (event ledger)'!$G$2:$G$65,"&gt;="&amp;$B99)</f>
        <v>0</v>
      </c>
      <c r="E99" s="26" t="n">
        <f aca="false">SUMIFS('Outages (event ledger)'!$H$2:$H$65,'Outages (event ledger)'!$A$2:$A$65,E$2,'Outages (event ledger)'!$E$2:$E$65,"&lt;="&amp;$B99,'Outages (event ledger)'!$G$2:$G$65,"&gt;="&amp;$B99)</f>
        <v>0</v>
      </c>
      <c r="F99" s="26" t="n">
        <f aca="false">SUMIFS('Outages (event ledger)'!$H$2:$H$65,'Outages (event ledger)'!$A$2:$A$65,F$2,'Outages (event ledger)'!$E$2:$E$65,"&lt;="&amp;$B99,'Outages (event ledger)'!$G$2:$G$65,"&gt;="&amp;$B99)</f>
        <v>0</v>
      </c>
      <c r="G99" s="26" t="n">
        <f aca="false">SUMIFS('Outages (event ledger)'!$H$2:$H$65,'Outages (event ledger)'!$A$2:$A$65,G$2,'Outages (event ledger)'!$E$2:$E$65,"&lt;="&amp;$B99,'Outages (event ledger)'!$G$2:$G$65,"&gt;="&amp;$B99)</f>
        <v>0</v>
      </c>
      <c r="H99" s="26" t="n">
        <f aca="false">SUMIFS('Outages (event ledger)'!$H$2:$H$65,'Outages (event ledger)'!$A$2:$A$65,H$2,'Outages (event ledger)'!$E$2:$E$65,"&lt;="&amp;$B99,'Outages (event ledger)'!$G$2:$G$65,"&gt;="&amp;$B99)</f>
        <v>0</v>
      </c>
      <c r="I99" s="26" t="n">
        <f aca="false">SUMIFS('Outages (event ledger)'!$H$2:$H$65,'Outages (event ledger)'!$A$2:$A$65,I$2,'Outages (event ledger)'!$E$2:$E$65,"&lt;="&amp;$B99,'Outages (event ledger)'!$G$2:$G$65,"&gt;="&amp;$B99)</f>
        <v>0</v>
      </c>
      <c r="J99" s="26" t="n">
        <f aca="false">SUMIFS('Outages (event ledger)'!$H$2:$H$65,'Outages (event ledger)'!$A$2:$A$65,J$2,'Outages (event ledger)'!$E$2:$E$65,"&lt;="&amp;$B99,'Outages (event ledger)'!$G$2:$G$65,"&gt;="&amp;$B99)</f>
        <v>0</v>
      </c>
      <c r="K99" s="26" t="n">
        <f aca="false">SUMIFS('Outages (event ledger)'!$H$2:$H$65,'Outages (event ledger)'!$A$2:$A$65,K$2,'Outages (event ledger)'!$E$2:$E$65,"&lt;="&amp;$B99,'Outages (event ledger)'!$G$2:$G$65,"&gt;="&amp;$B99)</f>
        <v>0</v>
      </c>
      <c r="L99" s="26" t="n">
        <f aca="false">SUMIFS('Outages (event ledger)'!$H$2:$H$65,'Outages (event ledger)'!$A$2:$A$65,L$2,'Outages (event ledger)'!$E$2:$E$65,"&lt;="&amp;$B99,'Outages (event ledger)'!$G$2:$G$65,"&gt;="&amp;$B99)</f>
        <v>0</v>
      </c>
      <c r="M99" s="26" t="n">
        <f aca="false">SUMIFS('Outages (event ledger)'!$H$2:$H$65,'Outages (event ledger)'!$A$2:$A$65,M$2,'Outages (event ledger)'!$E$2:$E$65,"&lt;="&amp;$B99,'Outages (event ledger)'!$G$2:$G$65,"&gt;="&amp;$B99)</f>
        <v>0</v>
      </c>
      <c r="N99" s="26" t="n">
        <f aca="false">SUMIFS('Outages (event ledger)'!$H$2:$H$65,'Outages (event ledger)'!$A$2:$A$65,N$2,'Outages (event ledger)'!$E$2:$E$65,"&lt;="&amp;$B99,'Outages (event ledger)'!$G$2:$G$65,"&gt;="&amp;$B99)</f>
        <v>0</v>
      </c>
      <c r="O99" s="26" t="n">
        <f aca="false">SUMIFS('Outages (event ledger)'!$H$2:$H$65,'Outages (event ledger)'!$A$2:$A$65,O$2,'Outages (event ledger)'!$E$2:$E$65,"&lt;="&amp;$B99,'Outages (event ledger)'!$G$2:$G$65,"&gt;="&amp;$B99)</f>
        <v>0</v>
      </c>
      <c r="P99" s="26" t="n">
        <f aca="false">SUMIFS('Outages (event ledger)'!$H$2:$H$65,'Outages (event ledger)'!$A$2:$A$65,P$2,'Outages (event ledger)'!$E$2:$E$65,"&lt;="&amp;$B99,'Outages (event ledger)'!$G$2:$G$65,"&gt;="&amp;$B99)</f>
        <v>0</v>
      </c>
      <c r="Q99" s="26" t="n">
        <f aca="false">SUMIFS('Outages (event ledger)'!$H$2:$H$65,'Outages (event ledger)'!$A$2:$A$65,Q$2,'Outages (event ledger)'!$E$2:$E$65,"&lt;="&amp;$B99,'Outages (event ledger)'!$G$2:$G$65,"&gt;="&amp;$B99)</f>
        <v>0</v>
      </c>
      <c r="R99" s="26" t="n">
        <f aca="false">SUMIFS('Outages (event ledger)'!$H$2:$H$65,'Outages (event ledger)'!$A$2:$A$65,R$2,'Outages (event ledger)'!$E$2:$E$65,"&lt;="&amp;$B99,'Outages (event ledger)'!$G$2:$G$65,"&gt;="&amp;$B99)</f>
        <v>0</v>
      </c>
      <c r="S99" s="26" t="n">
        <f aca="false">SUMIFS('Outages (event ledger)'!$H$2:$H$65,'Outages (event ledger)'!$A$2:$A$65,S$2,'Outages (event ledger)'!$E$2:$E$65,"&lt;="&amp;$B99,'Outages (event ledger)'!$G$2:$G$65,"&gt;="&amp;$B99)</f>
        <v>0</v>
      </c>
      <c r="T99" s="26" t="n">
        <f aca="false">SUMIFS('Outages (event ledger)'!$H$2:$H$65,'Outages (event ledger)'!$A$2:$A$65,T$2,'Outages (event ledger)'!$E$2:$E$65,"&lt;="&amp;$B99,'Outages (event ledger)'!$G$2:$G$65,"&gt;="&amp;$B99)</f>
        <v>0</v>
      </c>
      <c r="U99" s="26" t="n">
        <f aca="false">SUMIFS('Outages (event ledger)'!$H$2:$H$65,'Outages (event ledger)'!$A$2:$A$65,U$2,'Outages (event ledger)'!$E$2:$E$65,"&lt;="&amp;$B99,'Outages (event ledger)'!$G$2:$G$65,"&gt;="&amp;$B99)</f>
        <v>0</v>
      </c>
      <c r="V99" s="26" t="n">
        <f aca="false">SUMIFS('Outages (event ledger)'!$H$2:$H$65,'Outages (event ledger)'!$A$2:$A$65,V$2,'Outages (event ledger)'!$E$2:$E$65,"&lt;="&amp;$B99,'Outages (event ledger)'!$G$2:$G$65,"&gt;="&amp;$B99)</f>
        <v>0</v>
      </c>
      <c r="W99" s="26" t="n">
        <f aca="false">SUMIFS('Outages (event ledger)'!$H$2:$H$65,'Outages (event ledger)'!$A$2:$A$65,W$2,'Outages (event ledger)'!$E$2:$E$65,"&lt;="&amp;$B99,'Outages (event ledger)'!$G$2:$G$65,"&gt;="&amp;$B99)</f>
        <v>0</v>
      </c>
      <c r="X99" s="26" t="n">
        <f aca="false">SUMIFS('Outages (event ledger)'!$H$2:$H$65,'Outages (event ledger)'!$A$2:$A$65,X$2,'Outages (event ledger)'!$E$2:$E$65,"&lt;="&amp;$B99,'Outages (event ledger)'!$G$2:$G$65,"&gt;="&amp;$B99)</f>
        <v>0</v>
      </c>
      <c r="Y99" s="26" t="n">
        <f aca="false">SUMIFS('Outages (event ledger)'!$H$2:$H$65,'Outages (event ledger)'!$A$2:$A$65,Y$2,'Outages (event ledger)'!$E$2:$E$65,"&lt;="&amp;$B99,'Outages (event ledger)'!$G$2:$G$65,"&gt;="&amp;$B99)</f>
        <v>5</v>
      </c>
      <c r="Z99" s="26" t="n">
        <f aca="false">SUMIFS('Outages (event ledger)'!$H$2:$H$65,'Outages (event ledger)'!$A$2:$A$65,Z$2,'Outages (event ledger)'!$E$2:$E$65,"&lt;="&amp;$B99,'Outages (event ledger)'!$G$2:$G$65,"&gt;="&amp;$B99)</f>
        <v>5</v>
      </c>
      <c r="AA99" s="26" t="n">
        <f aca="false">SUMIFS('Outages (event ledger)'!$H$2:$H$65,'Outages (event ledger)'!$A$2:$A$65,AA$2,'Outages (event ledger)'!$E$2:$E$65,"&lt;="&amp;$B99,'Outages (event ledger)'!$G$2:$G$65,"&gt;="&amp;$B99)</f>
        <v>0</v>
      </c>
      <c r="AB99" s="26" t="n">
        <f aca="false">SUMIFS('Outages (event ledger)'!$H$2:$H$65,'Outages (event ledger)'!$A$2:$A$65,AB$2,'Outages (event ledger)'!$E$2:$E$65,"&lt;="&amp;$B99,'Outages (event ledger)'!$G$2:$G$65,"&gt;="&amp;$B99)</f>
        <v>8</v>
      </c>
      <c r="AC99" s="26" t="n">
        <f aca="false">SUMIFS('Outages (event ledger)'!$H$2:$H$65,'Outages (event ledger)'!$A$2:$A$65,AC$2,'Outages (event ledger)'!$E$2:$E$65,"&lt;="&amp;$B99,'Outages (event ledger)'!$G$2:$G$65,"&gt;="&amp;$B99)</f>
        <v>0</v>
      </c>
      <c r="AD99" s="26" t="n">
        <f aca="false">SUMIFS('Outages (event ledger)'!$H$2:$H$65,'Outages (event ledger)'!$A$2:$A$65,AD$2,'Outages (event ledger)'!$E$2:$E$65,"&lt;="&amp;$B99,'Outages (event ledger)'!$G$2:$G$65,"&gt;="&amp;$B99)</f>
        <v>0</v>
      </c>
      <c r="AE99" s="26" t="n">
        <f aca="false">SUMIFS('Outages (event ledger)'!$H$2:$H$65,'Outages (event ledger)'!$A$2:$A$65,AE$2,'Outages (event ledger)'!$E$2:$E$65,"&lt;="&amp;$B99,'Outages (event ledger)'!$G$2:$G$65,"&gt;="&amp;$B99)</f>
        <v>0</v>
      </c>
      <c r="AF99" s="26" t="n">
        <f aca="false">SUMIFS('Outages (event ledger)'!$H$2:$H$65,'Outages (event ledger)'!$A$2:$A$65,AF$2,'Outages (event ledger)'!$E$2:$E$65,"&lt;="&amp;$B99,'Outages (event ledger)'!$G$2:$G$65,"&gt;="&amp;$B99)</f>
        <v>0</v>
      </c>
      <c r="AG99" s="26" t="n">
        <f aca="false">SUMIFS('Outages (event ledger)'!$H$2:$H$65,'Outages (event ledger)'!$A$2:$A$65,AG$2,'Outages (event ledger)'!$E$2:$E$65,"&lt;="&amp;$B99,'Outages (event ledger)'!$G$2:$G$65,"&gt;="&amp;$B99)</f>
        <v>0</v>
      </c>
      <c r="AH99" s="26" t="n">
        <f aca="false">SUMIFS('Outages (event ledger)'!$H$2:$H$65,'Outages (event ledger)'!$A$2:$A$65,AH$2,'Outages (event ledger)'!$E$2:$E$65,"&lt;="&amp;$B99,'Outages (event ledger)'!$G$2:$G$65,"&gt;="&amp;$B99)</f>
        <v>0</v>
      </c>
      <c r="AI99" s="26" t="n">
        <f aca="false">SUMIFS('Outages (event ledger)'!$H$2:$H$65,'Outages (event ledger)'!$A$2:$A$65,AI$2,'Outages (event ledger)'!$E$2:$E$65,"&lt;="&amp;$B99,'Outages (event ledger)'!$G$2:$G$65,"&gt;="&amp;$B99)</f>
        <v>0</v>
      </c>
      <c r="AJ99" s="26" t="n">
        <f aca="false">SUMIFS('Outages (event ledger)'!$H$2:$H$65,'Outages (event ledger)'!$A$2:$A$65,AJ$2,'Outages (event ledger)'!$E$2:$E$65,"&lt;="&amp;$B99,'Outages (event ledger)'!$G$2:$G$65,"&gt;="&amp;$B99)</f>
        <v>0</v>
      </c>
      <c r="AK99" s="26" t="n">
        <f aca="false">SUMIFS('Outages (event ledger)'!$H$2:$H$65,'Outages (event ledger)'!$A$2:$A$65,AK$2,'Outages (event ledger)'!$E$2:$E$65,"&lt;="&amp;$B99,'Outages (event ledger)'!$G$2:$G$65,"&gt;="&amp;$B99)</f>
        <v>0</v>
      </c>
      <c r="AL99" s="26" t="n">
        <f aca="false">SUMIFS('Outages (event ledger)'!$H$2:$H$65,'Outages (event ledger)'!$A$2:$A$65,AL$2,'Outages (event ledger)'!$E$2:$E$65,"&lt;="&amp;$B99,'Outages (event ledger)'!$G$2:$G$65,"&gt;="&amp;$B99)</f>
        <v>0</v>
      </c>
      <c r="AM99" s="26" t="n">
        <f aca="false">SUMIFS('Outages (event ledger)'!$H$2:$H$65,'Outages (event ledger)'!$A$2:$A$65,AM$2,'Outages (event ledger)'!$E$2:$E$65,"&lt;="&amp;$B99,'Outages (event ledger)'!$G$2:$G$65,"&gt;="&amp;$B99)</f>
        <v>0</v>
      </c>
      <c r="AN99" s="26" t="n">
        <f aca="false">SUMIFS('Outages (event ledger)'!$H$2:$H$65,'Outages (event ledger)'!$A$2:$A$65,AN$2,'Outages (event ledger)'!$E$2:$E$65,"&lt;="&amp;$B99,'Outages (event ledger)'!$G$2:$G$65,"&gt;="&amp;$B99)</f>
        <v>0</v>
      </c>
      <c r="AO99" s="26" t="n">
        <f aca="false">SUMIFS('Outages (event ledger)'!$H$2:$H$65,'Outages (event ledger)'!$A$2:$A$65,AO$2,'Outages (event ledger)'!$E$2:$E$65,"&lt;="&amp;$B99,'Outages (event ledger)'!$G$2:$G$65,"&gt;="&amp;$B99)</f>
        <v>0</v>
      </c>
      <c r="AP99" s="26" t="n">
        <f aca="false">SUMIFS('Outages (event ledger)'!$H$2:$H$65,'Outages (event ledger)'!$A$2:$A$65,AP$2,'Outages (event ledger)'!$E$2:$E$65,"&lt;="&amp;$B99,'Outages (event ledger)'!$G$2:$G$65,"&gt;="&amp;$B99)</f>
        <v>0</v>
      </c>
      <c r="AQ99" s="26" t="n">
        <f aca="false">SUMIFS('Outages (event ledger)'!$H$2:$H$65,'Outages (event ledger)'!$A$2:$A$65,AQ$2,'Outages (event ledger)'!$E$2:$E$65,"&lt;="&amp;$B99,'Outages (event ledger)'!$G$2:$G$65,"&gt;="&amp;$B99)</f>
        <v>0</v>
      </c>
      <c r="AR99" s="26" t="n">
        <f aca="false">SUMIFS('Outages (event ledger)'!$H$2:$H$65,'Outages (event ledger)'!$A$2:$A$65,AR$2,'Outages (event ledger)'!$E$2:$E$65,"&lt;="&amp;$B99,'Outages (event ledger)'!$G$2:$G$65,"&gt;="&amp;$B99)</f>
        <v>0</v>
      </c>
      <c r="AS99" s="26" t="n">
        <f aca="false">SUMIFS('Outages (event ledger)'!$H$2:$H$65,'Outages (event ledger)'!$A$2:$A$65,AS$2,'Outages (event ledger)'!$E$2:$E$65,"&lt;="&amp;$B99,'Outages (event ledger)'!$G$2:$G$65,"&gt;="&amp;$B99)</f>
        <v>0</v>
      </c>
      <c r="AT99" s="26" t="n">
        <f aca="false">SUMIFS('Outages (event ledger)'!$H$2:$H$65,'Outages (event ledger)'!$A$2:$A$65,AT$2,'Outages (event ledger)'!$E$2:$E$65,"&lt;="&amp;$B99,'Outages (event ledger)'!$G$2:$G$65,"&gt;="&amp;$B99)</f>
        <v>0</v>
      </c>
      <c r="AU99" s="26" t="n">
        <f aca="false">SUMIFS('Outages (event ledger)'!$H$2:$H$65,'Outages (event ledger)'!$A$2:$A$65,AU$2,'Outages (event ledger)'!$E$2:$E$65,"&lt;="&amp;$B99,'Outages (event ledger)'!$G$2:$G$65,"&gt;="&amp;$B99)</f>
        <v>0</v>
      </c>
      <c r="AV99" s="26" t="n">
        <f aca="false">SUMIFS('Outages (event ledger)'!$H$2:$H$65,'Outages (event ledger)'!$A$2:$A$65,AV$2,'Outages (event ledger)'!$E$2:$E$65,"&lt;="&amp;$B99,'Outages (event ledger)'!$G$2:$G$65,"&gt;="&amp;$B99)</f>
        <v>0</v>
      </c>
      <c r="AW99" s="26" t="n">
        <f aca="false">SUMIFS('Outages (event ledger)'!$H$2:$H$65,'Outages (event ledger)'!$A$2:$A$65,AW$2,'Outages (event ledger)'!$E$2:$E$65,"&lt;="&amp;$B99,'Outages (event ledger)'!$G$2:$G$65,"&gt;="&amp;$B99)</f>
        <v>0</v>
      </c>
      <c r="AX99" s="26" t="n">
        <f aca="false">SUMIFS('Outages (event ledger)'!$H$2:$H$65,'Outages (event ledger)'!$A$2:$A$65,AX$2,'Outages (event ledger)'!$E$2:$E$65,"&lt;="&amp;$B99,'Outages (event ledger)'!$G$2:$G$65,"&gt;="&amp;$B99)</f>
        <v>0</v>
      </c>
      <c r="AY99" s="26" t="n">
        <f aca="false">SUMIFS('Outages (event ledger)'!$H$2:$H$65,'Outages (event ledger)'!$A$2:$A$65,AY$2,'Outages (event ledger)'!$E$2:$E$65,"&lt;="&amp;$B99,'Outages (event ledger)'!$G$2:$G$65,"&gt;="&amp;$B99)</f>
        <v>0</v>
      </c>
      <c r="AZ99" s="26" t="n">
        <f aca="false">SUMIFS('Outages (event ledger)'!$H$2:$H$65,'Outages (event ledger)'!$A$2:$A$65,AZ$2,'Outages (event ledger)'!$E$2:$E$65,"&lt;="&amp;$B99,'Outages (event ledger)'!$G$2:$G$65,"&gt;="&amp;$B99)</f>
        <v>0</v>
      </c>
      <c r="BA99" s="26" t="n">
        <f aca="false">SUMIFS('Outages (event ledger)'!$H$2:$H$65,'Outages (event ledger)'!$A$2:$A$65,BA$2,'Outages (event ledger)'!$E$2:$E$65,"&lt;="&amp;$B99,'Outages (event ledger)'!$G$2:$G$65,"&gt;="&amp;$B99)</f>
        <v>0</v>
      </c>
      <c r="BB99" s="26" t="n">
        <f aca="false">SUMIFS('Outages (event ledger)'!$H$2:$H$65,'Outages (event ledger)'!$A$2:$A$65,BB$2,'Outages (event ledger)'!$E$2:$E$65,"&lt;="&amp;$B99,'Outages (event ledger)'!$G$2:$G$65,"&gt;="&amp;$B99)</f>
        <v>0</v>
      </c>
      <c r="BC99" s="26" t="n">
        <f aca="false">SUMIFS('Outages (event ledger)'!$H$2:$H$65,'Outages (event ledger)'!$A$2:$A$65,BC$2,'Outages (event ledger)'!$E$2:$E$65,"&lt;="&amp;$B99,'Outages (event ledger)'!$G$2:$G$65,"&gt;="&amp;$B99)</f>
        <v>0</v>
      </c>
      <c r="BD99" s="26" t="n">
        <f aca="false">SUMIFS('Outages (event ledger)'!$H$2:$H$65,'Outages (event ledger)'!$A$2:$A$65,BD$2,'Outages (event ledger)'!$E$2:$E$65,"&lt;="&amp;$B99,'Outages (event ledger)'!$G$2:$G$65,"&gt;="&amp;$B99)</f>
        <v>0</v>
      </c>
      <c r="BE99" s="26" t="n">
        <f aca="false">SUMIFS('Outages (event ledger)'!$H$2:$H$65,'Outages (event ledger)'!$A$2:$A$65,BE$2,'Outages (event ledger)'!$E$2:$E$65,"&lt;="&amp;$B99,'Outages (event ledger)'!$G$2:$G$65,"&gt;="&amp;$B99)</f>
        <v>0</v>
      </c>
      <c r="BF99" s="26" t="n">
        <f aca="false">SUMIFS('Outages (event ledger)'!$H$2:$H$65,'Outages (event ledger)'!$A$2:$A$65,BF$2,'Outages (event ledger)'!$E$2:$E$65,"&lt;="&amp;$B99,'Outages (event ledger)'!$G$2:$G$65,"&gt;="&amp;$B99)</f>
        <v>0</v>
      </c>
      <c r="BG99" s="26" t="n">
        <f aca="false">SUMIFS('Outages (event ledger)'!$H$2:$H$65,'Outages (event ledger)'!$A$2:$A$65,BG$2,'Outages (event ledger)'!$E$2:$E$65,"&lt;="&amp;$B99,'Outages (event ledger)'!$G$2:$G$65,"&gt;="&amp;$B99)</f>
        <v>0</v>
      </c>
      <c r="BH99" s="26" t="n">
        <f aca="false">SUMIFS('Outages (event ledger)'!$H$2:$H$65,'Outages (event ledger)'!$A$2:$A$65,BH$2,'Outages (event ledger)'!$E$2:$E$65,"&lt;="&amp;$B99,'Outages (event ledger)'!$G$2:$G$65,"&gt;="&amp;$B99)</f>
        <v>0</v>
      </c>
      <c r="BI99" s="26" t="n">
        <f aca="false">SUMIFS('Outages (event ledger)'!$H$2:$H$65,'Outages (event ledger)'!$A$2:$A$65,BI$2,'Outages (event ledger)'!$E$2:$E$65,"&lt;="&amp;$B99,'Outages (event ledger)'!$G$2:$G$65,"&gt;="&amp;$B99)</f>
        <v>6.7</v>
      </c>
    </row>
    <row r="100" customFormat="false" ht="15" hidden="false" customHeight="false" outlineLevel="0" collapsed="false">
      <c r="A100" s="23" t="n">
        <v>43132</v>
      </c>
      <c r="B100" s="24" t="n">
        <v>201802</v>
      </c>
      <c r="C100" s="25" t="n">
        <f aca="false">SUM(D100:BI100)</f>
        <v>24.7</v>
      </c>
      <c r="D100" s="26" t="n">
        <f aca="false">SUMIFS('Outages (event ledger)'!$H$2:$H$65,'Outages (event ledger)'!$A$2:$A$65,D$2,'Outages (event ledger)'!$E$2:$E$65,"&lt;="&amp;$B100,'Outages (event ledger)'!$G$2:$G$65,"&gt;="&amp;$B100)</f>
        <v>0</v>
      </c>
      <c r="E100" s="26" t="n">
        <f aca="false">SUMIFS('Outages (event ledger)'!$H$2:$H$65,'Outages (event ledger)'!$A$2:$A$65,E$2,'Outages (event ledger)'!$E$2:$E$65,"&lt;="&amp;$B100,'Outages (event ledger)'!$G$2:$G$65,"&gt;="&amp;$B100)</f>
        <v>0</v>
      </c>
      <c r="F100" s="26" t="n">
        <f aca="false">SUMIFS('Outages (event ledger)'!$H$2:$H$65,'Outages (event ledger)'!$A$2:$A$65,F$2,'Outages (event ledger)'!$E$2:$E$65,"&lt;="&amp;$B100,'Outages (event ledger)'!$G$2:$G$65,"&gt;="&amp;$B100)</f>
        <v>0</v>
      </c>
      <c r="G100" s="26" t="n">
        <f aca="false">SUMIFS('Outages (event ledger)'!$H$2:$H$65,'Outages (event ledger)'!$A$2:$A$65,G$2,'Outages (event ledger)'!$E$2:$E$65,"&lt;="&amp;$B100,'Outages (event ledger)'!$G$2:$G$65,"&gt;="&amp;$B100)</f>
        <v>0</v>
      </c>
      <c r="H100" s="26" t="n">
        <f aca="false">SUMIFS('Outages (event ledger)'!$H$2:$H$65,'Outages (event ledger)'!$A$2:$A$65,H$2,'Outages (event ledger)'!$E$2:$E$65,"&lt;="&amp;$B100,'Outages (event ledger)'!$G$2:$G$65,"&gt;="&amp;$B100)</f>
        <v>0</v>
      </c>
      <c r="I100" s="26" t="n">
        <f aca="false">SUMIFS('Outages (event ledger)'!$H$2:$H$65,'Outages (event ledger)'!$A$2:$A$65,I$2,'Outages (event ledger)'!$E$2:$E$65,"&lt;="&amp;$B100,'Outages (event ledger)'!$G$2:$G$65,"&gt;="&amp;$B100)</f>
        <v>0</v>
      </c>
      <c r="J100" s="26" t="n">
        <f aca="false">SUMIFS('Outages (event ledger)'!$H$2:$H$65,'Outages (event ledger)'!$A$2:$A$65,J$2,'Outages (event ledger)'!$E$2:$E$65,"&lt;="&amp;$B100,'Outages (event ledger)'!$G$2:$G$65,"&gt;="&amp;$B100)</f>
        <v>0</v>
      </c>
      <c r="K100" s="26" t="n">
        <f aca="false">SUMIFS('Outages (event ledger)'!$H$2:$H$65,'Outages (event ledger)'!$A$2:$A$65,K$2,'Outages (event ledger)'!$E$2:$E$65,"&lt;="&amp;$B100,'Outages (event ledger)'!$G$2:$G$65,"&gt;="&amp;$B100)</f>
        <v>0</v>
      </c>
      <c r="L100" s="26" t="n">
        <f aca="false">SUMIFS('Outages (event ledger)'!$H$2:$H$65,'Outages (event ledger)'!$A$2:$A$65,L$2,'Outages (event ledger)'!$E$2:$E$65,"&lt;="&amp;$B100,'Outages (event ledger)'!$G$2:$G$65,"&gt;="&amp;$B100)</f>
        <v>0</v>
      </c>
      <c r="M100" s="26" t="n">
        <f aca="false">SUMIFS('Outages (event ledger)'!$H$2:$H$65,'Outages (event ledger)'!$A$2:$A$65,M$2,'Outages (event ledger)'!$E$2:$E$65,"&lt;="&amp;$B100,'Outages (event ledger)'!$G$2:$G$65,"&gt;="&amp;$B100)</f>
        <v>0</v>
      </c>
      <c r="N100" s="26" t="n">
        <f aca="false">SUMIFS('Outages (event ledger)'!$H$2:$H$65,'Outages (event ledger)'!$A$2:$A$65,N$2,'Outages (event ledger)'!$E$2:$E$65,"&lt;="&amp;$B100,'Outages (event ledger)'!$G$2:$G$65,"&gt;="&amp;$B100)</f>
        <v>0</v>
      </c>
      <c r="O100" s="26" t="n">
        <f aca="false">SUMIFS('Outages (event ledger)'!$H$2:$H$65,'Outages (event ledger)'!$A$2:$A$65,O$2,'Outages (event ledger)'!$E$2:$E$65,"&lt;="&amp;$B100,'Outages (event ledger)'!$G$2:$G$65,"&gt;="&amp;$B100)</f>
        <v>0</v>
      </c>
      <c r="P100" s="26" t="n">
        <f aca="false">SUMIFS('Outages (event ledger)'!$H$2:$H$65,'Outages (event ledger)'!$A$2:$A$65,P$2,'Outages (event ledger)'!$E$2:$E$65,"&lt;="&amp;$B100,'Outages (event ledger)'!$G$2:$G$65,"&gt;="&amp;$B100)</f>
        <v>0</v>
      </c>
      <c r="Q100" s="26" t="n">
        <f aca="false">SUMIFS('Outages (event ledger)'!$H$2:$H$65,'Outages (event ledger)'!$A$2:$A$65,Q$2,'Outages (event ledger)'!$E$2:$E$65,"&lt;="&amp;$B100,'Outages (event ledger)'!$G$2:$G$65,"&gt;="&amp;$B100)</f>
        <v>0</v>
      </c>
      <c r="R100" s="26" t="n">
        <f aca="false">SUMIFS('Outages (event ledger)'!$H$2:$H$65,'Outages (event ledger)'!$A$2:$A$65,R$2,'Outages (event ledger)'!$E$2:$E$65,"&lt;="&amp;$B100,'Outages (event ledger)'!$G$2:$G$65,"&gt;="&amp;$B100)</f>
        <v>0</v>
      </c>
      <c r="S100" s="26" t="n">
        <f aca="false">SUMIFS('Outages (event ledger)'!$H$2:$H$65,'Outages (event ledger)'!$A$2:$A$65,S$2,'Outages (event ledger)'!$E$2:$E$65,"&lt;="&amp;$B100,'Outages (event ledger)'!$G$2:$G$65,"&gt;="&amp;$B100)</f>
        <v>0</v>
      </c>
      <c r="T100" s="26" t="n">
        <f aca="false">SUMIFS('Outages (event ledger)'!$H$2:$H$65,'Outages (event ledger)'!$A$2:$A$65,T$2,'Outages (event ledger)'!$E$2:$E$65,"&lt;="&amp;$B100,'Outages (event ledger)'!$G$2:$G$65,"&gt;="&amp;$B100)</f>
        <v>0</v>
      </c>
      <c r="U100" s="26" t="n">
        <f aca="false">SUMIFS('Outages (event ledger)'!$H$2:$H$65,'Outages (event ledger)'!$A$2:$A$65,U$2,'Outages (event ledger)'!$E$2:$E$65,"&lt;="&amp;$B100,'Outages (event ledger)'!$G$2:$G$65,"&gt;="&amp;$B100)</f>
        <v>0</v>
      </c>
      <c r="V100" s="26" t="n">
        <f aca="false">SUMIFS('Outages (event ledger)'!$H$2:$H$65,'Outages (event ledger)'!$A$2:$A$65,V$2,'Outages (event ledger)'!$E$2:$E$65,"&lt;="&amp;$B100,'Outages (event ledger)'!$G$2:$G$65,"&gt;="&amp;$B100)</f>
        <v>0</v>
      </c>
      <c r="W100" s="26" t="n">
        <f aca="false">SUMIFS('Outages (event ledger)'!$H$2:$H$65,'Outages (event ledger)'!$A$2:$A$65,W$2,'Outages (event ledger)'!$E$2:$E$65,"&lt;="&amp;$B100,'Outages (event ledger)'!$G$2:$G$65,"&gt;="&amp;$B100)</f>
        <v>0</v>
      </c>
      <c r="X100" s="26" t="n">
        <f aca="false">SUMIFS('Outages (event ledger)'!$H$2:$H$65,'Outages (event ledger)'!$A$2:$A$65,X$2,'Outages (event ledger)'!$E$2:$E$65,"&lt;="&amp;$B100,'Outages (event ledger)'!$G$2:$G$65,"&gt;="&amp;$B100)</f>
        <v>0</v>
      </c>
      <c r="Y100" s="26" t="n">
        <f aca="false">SUMIFS('Outages (event ledger)'!$H$2:$H$65,'Outages (event ledger)'!$A$2:$A$65,Y$2,'Outages (event ledger)'!$E$2:$E$65,"&lt;="&amp;$B100,'Outages (event ledger)'!$G$2:$G$65,"&gt;="&amp;$B100)</f>
        <v>5</v>
      </c>
      <c r="Z100" s="26" t="n">
        <f aca="false">SUMIFS('Outages (event ledger)'!$H$2:$H$65,'Outages (event ledger)'!$A$2:$A$65,Z$2,'Outages (event ledger)'!$E$2:$E$65,"&lt;="&amp;$B100,'Outages (event ledger)'!$G$2:$G$65,"&gt;="&amp;$B100)</f>
        <v>5</v>
      </c>
      <c r="AA100" s="26" t="n">
        <f aca="false">SUMIFS('Outages (event ledger)'!$H$2:$H$65,'Outages (event ledger)'!$A$2:$A$65,AA$2,'Outages (event ledger)'!$E$2:$E$65,"&lt;="&amp;$B100,'Outages (event ledger)'!$G$2:$G$65,"&gt;="&amp;$B100)</f>
        <v>0</v>
      </c>
      <c r="AB100" s="26" t="n">
        <f aca="false">SUMIFS('Outages (event ledger)'!$H$2:$H$65,'Outages (event ledger)'!$A$2:$A$65,AB$2,'Outages (event ledger)'!$E$2:$E$65,"&lt;="&amp;$B100,'Outages (event ledger)'!$G$2:$G$65,"&gt;="&amp;$B100)</f>
        <v>8</v>
      </c>
      <c r="AC100" s="26" t="n">
        <f aca="false">SUMIFS('Outages (event ledger)'!$H$2:$H$65,'Outages (event ledger)'!$A$2:$A$65,AC$2,'Outages (event ledger)'!$E$2:$E$65,"&lt;="&amp;$B100,'Outages (event ledger)'!$G$2:$G$65,"&gt;="&amp;$B100)</f>
        <v>0</v>
      </c>
      <c r="AD100" s="26" t="n">
        <f aca="false">SUMIFS('Outages (event ledger)'!$H$2:$H$65,'Outages (event ledger)'!$A$2:$A$65,AD$2,'Outages (event ledger)'!$E$2:$E$65,"&lt;="&amp;$B100,'Outages (event ledger)'!$G$2:$G$65,"&gt;="&amp;$B100)</f>
        <v>0</v>
      </c>
      <c r="AE100" s="26" t="n">
        <f aca="false">SUMIFS('Outages (event ledger)'!$H$2:$H$65,'Outages (event ledger)'!$A$2:$A$65,AE$2,'Outages (event ledger)'!$E$2:$E$65,"&lt;="&amp;$B100,'Outages (event ledger)'!$G$2:$G$65,"&gt;="&amp;$B100)</f>
        <v>0</v>
      </c>
      <c r="AF100" s="26" t="n">
        <f aca="false">SUMIFS('Outages (event ledger)'!$H$2:$H$65,'Outages (event ledger)'!$A$2:$A$65,AF$2,'Outages (event ledger)'!$E$2:$E$65,"&lt;="&amp;$B100,'Outages (event ledger)'!$G$2:$G$65,"&gt;="&amp;$B100)</f>
        <v>0</v>
      </c>
      <c r="AG100" s="26" t="n">
        <f aca="false">SUMIFS('Outages (event ledger)'!$H$2:$H$65,'Outages (event ledger)'!$A$2:$A$65,AG$2,'Outages (event ledger)'!$E$2:$E$65,"&lt;="&amp;$B100,'Outages (event ledger)'!$G$2:$G$65,"&gt;="&amp;$B100)</f>
        <v>0</v>
      </c>
      <c r="AH100" s="26" t="n">
        <f aca="false">SUMIFS('Outages (event ledger)'!$H$2:$H$65,'Outages (event ledger)'!$A$2:$A$65,AH$2,'Outages (event ledger)'!$E$2:$E$65,"&lt;="&amp;$B100,'Outages (event ledger)'!$G$2:$G$65,"&gt;="&amp;$B100)</f>
        <v>0</v>
      </c>
      <c r="AI100" s="26" t="n">
        <f aca="false">SUMIFS('Outages (event ledger)'!$H$2:$H$65,'Outages (event ledger)'!$A$2:$A$65,AI$2,'Outages (event ledger)'!$E$2:$E$65,"&lt;="&amp;$B100,'Outages (event ledger)'!$G$2:$G$65,"&gt;="&amp;$B100)</f>
        <v>0</v>
      </c>
      <c r="AJ100" s="26" t="n">
        <f aca="false">SUMIFS('Outages (event ledger)'!$H$2:$H$65,'Outages (event ledger)'!$A$2:$A$65,AJ$2,'Outages (event ledger)'!$E$2:$E$65,"&lt;="&amp;$B100,'Outages (event ledger)'!$G$2:$G$65,"&gt;="&amp;$B100)</f>
        <v>0</v>
      </c>
      <c r="AK100" s="26" t="n">
        <f aca="false">SUMIFS('Outages (event ledger)'!$H$2:$H$65,'Outages (event ledger)'!$A$2:$A$65,AK$2,'Outages (event ledger)'!$E$2:$E$65,"&lt;="&amp;$B100,'Outages (event ledger)'!$G$2:$G$65,"&gt;="&amp;$B100)</f>
        <v>0</v>
      </c>
      <c r="AL100" s="26" t="n">
        <f aca="false">SUMIFS('Outages (event ledger)'!$H$2:$H$65,'Outages (event ledger)'!$A$2:$A$65,AL$2,'Outages (event ledger)'!$E$2:$E$65,"&lt;="&amp;$B100,'Outages (event ledger)'!$G$2:$G$65,"&gt;="&amp;$B100)</f>
        <v>0</v>
      </c>
      <c r="AM100" s="26" t="n">
        <f aca="false">SUMIFS('Outages (event ledger)'!$H$2:$H$65,'Outages (event ledger)'!$A$2:$A$65,AM$2,'Outages (event ledger)'!$E$2:$E$65,"&lt;="&amp;$B100,'Outages (event ledger)'!$G$2:$G$65,"&gt;="&amp;$B100)</f>
        <v>0</v>
      </c>
      <c r="AN100" s="26" t="n">
        <f aca="false">SUMIFS('Outages (event ledger)'!$H$2:$H$65,'Outages (event ledger)'!$A$2:$A$65,AN$2,'Outages (event ledger)'!$E$2:$E$65,"&lt;="&amp;$B100,'Outages (event ledger)'!$G$2:$G$65,"&gt;="&amp;$B100)</f>
        <v>0</v>
      </c>
      <c r="AO100" s="26" t="n">
        <f aca="false">SUMIFS('Outages (event ledger)'!$H$2:$H$65,'Outages (event ledger)'!$A$2:$A$65,AO$2,'Outages (event ledger)'!$E$2:$E$65,"&lt;="&amp;$B100,'Outages (event ledger)'!$G$2:$G$65,"&gt;="&amp;$B100)</f>
        <v>0</v>
      </c>
      <c r="AP100" s="26" t="n">
        <f aca="false">SUMIFS('Outages (event ledger)'!$H$2:$H$65,'Outages (event ledger)'!$A$2:$A$65,AP$2,'Outages (event ledger)'!$E$2:$E$65,"&lt;="&amp;$B100,'Outages (event ledger)'!$G$2:$G$65,"&gt;="&amp;$B100)</f>
        <v>0</v>
      </c>
      <c r="AQ100" s="26" t="n">
        <f aca="false">SUMIFS('Outages (event ledger)'!$H$2:$H$65,'Outages (event ledger)'!$A$2:$A$65,AQ$2,'Outages (event ledger)'!$E$2:$E$65,"&lt;="&amp;$B100,'Outages (event ledger)'!$G$2:$G$65,"&gt;="&amp;$B100)</f>
        <v>0</v>
      </c>
      <c r="AR100" s="26" t="n">
        <f aca="false">SUMIFS('Outages (event ledger)'!$H$2:$H$65,'Outages (event ledger)'!$A$2:$A$65,AR$2,'Outages (event ledger)'!$E$2:$E$65,"&lt;="&amp;$B100,'Outages (event ledger)'!$G$2:$G$65,"&gt;="&amp;$B100)</f>
        <v>0</v>
      </c>
      <c r="AS100" s="26" t="n">
        <f aca="false">SUMIFS('Outages (event ledger)'!$H$2:$H$65,'Outages (event ledger)'!$A$2:$A$65,AS$2,'Outages (event ledger)'!$E$2:$E$65,"&lt;="&amp;$B100,'Outages (event ledger)'!$G$2:$G$65,"&gt;="&amp;$B100)</f>
        <v>0</v>
      </c>
      <c r="AT100" s="26" t="n">
        <f aca="false">SUMIFS('Outages (event ledger)'!$H$2:$H$65,'Outages (event ledger)'!$A$2:$A$65,AT$2,'Outages (event ledger)'!$E$2:$E$65,"&lt;="&amp;$B100,'Outages (event ledger)'!$G$2:$G$65,"&gt;="&amp;$B100)</f>
        <v>0</v>
      </c>
      <c r="AU100" s="26" t="n">
        <f aca="false">SUMIFS('Outages (event ledger)'!$H$2:$H$65,'Outages (event ledger)'!$A$2:$A$65,AU$2,'Outages (event ledger)'!$E$2:$E$65,"&lt;="&amp;$B100,'Outages (event ledger)'!$G$2:$G$65,"&gt;="&amp;$B100)</f>
        <v>0</v>
      </c>
      <c r="AV100" s="26" t="n">
        <f aca="false">SUMIFS('Outages (event ledger)'!$H$2:$H$65,'Outages (event ledger)'!$A$2:$A$65,AV$2,'Outages (event ledger)'!$E$2:$E$65,"&lt;="&amp;$B100,'Outages (event ledger)'!$G$2:$G$65,"&gt;="&amp;$B100)</f>
        <v>0</v>
      </c>
      <c r="AW100" s="26" t="n">
        <f aca="false">SUMIFS('Outages (event ledger)'!$H$2:$H$65,'Outages (event ledger)'!$A$2:$A$65,AW$2,'Outages (event ledger)'!$E$2:$E$65,"&lt;="&amp;$B100,'Outages (event ledger)'!$G$2:$G$65,"&gt;="&amp;$B100)</f>
        <v>0</v>
      </c>
      <c r="AX100" s="26" t="n">
        <f aca="false">SUMIFS('Outages (event ledger)'!$H$2:$H$65,'Outages (event ledger)'!$A$2:$A$65,AX$2,'Outages (event ledger)'!$E$2:$E$65,"&lt;="&amp;$B100,'Outages (event ledger)'!$G$2:$G$65,"&gt;="&amp;$B100)</f>
        <v>0</v>
      </c>
      <c r="AY100" s="26" t="n">
        <f aca="false">SUMIFS('Outages (event ledger)'!$H$2:$H$65,'Outages (event ledger)'!$A$2:$A$65,AY$2,'Outages (event ledger)'!$E$2:$E$65,"&lt;="&amp;$B100,'Outages (event ledger)'!$G$2:$G$65,"&gt;="&amp;$B100)</f>
        <v>0</v>
      </c>
      <c r="AZ100" s="26" t="n">
        <f aca="false">SUMIFS('Outages (event ledger)'!$H$2:$H$65,'Outages (event ledger)'!$A$2:$A$65,AZ$2,'Outages (event ledger)'!$E$2:$E$65,"&lt;="&amp;$B100,'Outages (event ledger)'!$G$2:$G$65,"&gt;="&amp;$B100)</f>
        <v>0</v>
      </c>
      <c r="BA100" s="26" t="n">
        <f aca="false">SUMIFS('Outages (event ledger)'!$H$2:$H$65,'Outages (event ledger)'!$A$2:$A$65,BA$2,'Outages (event ledger)'!$E$2:$E$65,"&lt;="&amp;$B100,'Outages (event ledger)'!$G$2:$G$65,"&gt;="&amp;$B100)</f>
        <v>0</v>
      </c>
      <c r="BB100" s="26" t="n">
        <f aca="false">SUMIFS('Outages (event ledger)'!$H$2:$H$65,'Outages (event ledger)'!$A$2:$A$65,BB$2,'Outages (event ledger)'!$E$2:$E$65,"&lt;="&amp;$B100,'Outages (event ledger)'!$G$2:$G$65,"&gt;="&amp;$B100)</f>
        <v>0</v>
      </c>
      <c r="BC100" s="26" t="n">
        <f aca="false">SUMIFS('Outages (event ledger)'!$H$2:$H$65,'Outages (event ledger)'!$A$2:$A$65,BC$2,'Outages (event ledger)'!$E$2:$E$65,"&lt;="&amp;$B100,'Outages (event ledger)'!$G$2:$G$65,"&gt;="&amp;$B100)</f>
        <v>0</v>
      </c>
      <c r="BD100" s="26" t="n">
        <f aca="false">SUMIFS('Outages (event ledger)'!$H$2:$H$65,'Outages (event ledger)'!$A$2:$A$65,BD$2,'Outages (event ledger)'!$E$2:$E$65,"&lt;="&amp;$B100,'Outages (event ledger)'!$G$2:$G$65,"&gt;="&amp;$B100)</f>
        <v>0</v>
      </c>
      <c r="BE100" s="26" t="n">
        <f aca="false">SUMIFS('Outages (event ledger)'!$H$2:$H$65,'Outages (event ledger)'!$A$2:$A$65,BE$2,'Outages (event ledger)'!$E$2:$E$65,"&lt;="&amp;$B100,'Outages (event ledger)'!$G$2:$G$65,"&gt;="&amp;$B100)</f>
        <v>0</v>
      </c>
      <c r="BF100" s="26" t="n">
        <f aca="false">SUMIFS('Outages (event ledger)'!$H$2:$H$65,'Outages (event ledger)'!$A$2:$A$65,BF$2,'Outages (event ledger)'!$E$2:$E$65,"&lt;="&amp;$B100,'Outages (event ledger)'!$G$2:$G$65,"&gt;="&amp;$B100)</f>
        <v>0</v>
      </c>
      <c r="BG100" s="26" t="n">
        <f aca="false">SUMIFS('Outages (event ledger)'!$H$2:$H$65,'Outages (event ledger)'!$A$2:$A$65,BG$2,'Outages (event ledger)'!$E$2:$E$65,"&lt;="&amp;$B100,'Outages (event ledger)'!$G$2:$G$65,"&gt;="&amp;$B100)</f>
        <v>0</v>
      </c>
      <c r="BH100" s="26" t="n">
        <f aca="false">SUMIFS('Outages (event ledger)'!$H$2:$H$65,'Outages (event ledger)'!$A$2:$A$65,BH$2,'Outages (event ledger)'!$E$2:$E$65,"&lt;="&amp;$B100,'Outages (event ledger)'!$G$2:$G$65,"&gt;="&amp;$B100)</f>
        <v>0</v>
      </c>
      <c r="BI100" s="26" t="n">
        <f aca="false">SUMIFS('Outages (event ledger)'!$H$2:$H$65,'Outages (event ledger)'!$A$2:$A$65,BI$2,'Outages (event ledger)'!$E$2:$E$65,"&lt;="&amp;$B100,'Outages (event ledger)'!$G$2:$G$65,"&gt;="&amp;$B100)</f>
        <v>6.7</v>
      </c>
    </row>
    <row r="101" customFormat="false" ht="15" hidden="false" customHeight="false" outlineLevel="0" collapsed="false">
      <c r="A101" s="23" t="n">
        <v>43160</v>
      </c>
      <c r="B101" s="24" t="n">
        <v>201803</v>
      </c>
      <c r="C101" s="25" t="n">
        <f aca="false">SUM(D101:BI101)</f>
        <v>24.7</v>
      </c>
      <c r="D101" s="26" t="n">
        <f aca="false">SUMIFS('Outages (event ledger)'!$H$2:$H$65,'Outages (event ledger)'!$A$2:$A$65,D$2,'Outages (event ledger)'!$E$2:$E$65,"&lt;="&amp;$B101,'Outages (event ledger)'!$G$2:$G$65,"&gt;="&amp;$B101)</f>
        <v>0</v>
      </c>
      <c r="E101" s="26" t="n">
        <f aca="false">SUMIFS('Outages (event ledger)'!$H$2:$H$65,'Outages (event ledger)'!$A$2:$A$65,E$2,'Outages (event ledger)'!$E$2:$E$65,"&lt;="&amp;$B101,'Outages (event ledger)'!$G$2:$G$65,"&gt;="&amp;$B101)</f>
        <v>0</v>
      </c>
      <c r="F101" s="26" t="n">
        <f aca="false">SUMIFS('Outages (event ledger)'!$H$2:$H$65,'Outages (event ledger)'!$A$2:$A$65,F$2,'Outages (event ledger)'!$E$2:$E$65,"&lt;="&amp;$B101,'Outages (event ledger)'!$G$2:$G$65,"&gt;="&amp;$B101)</f>
        <v>0</v>
      </c>
      <c r="G101" s="26" t="n">
        <f aca="false">SUMIFS('Outages (event ledger)'!$H$2:$H$65,'Outages (event ledger)'!$A$2:$A$65,G$2,'Outages (event ledger)'!$E$2:$E$65,"&lt;="&amp;$B101,'Outages (event ledger)'!$G$2:$G$65,"&gt;="&amp;$B101)</f>
        <v>0</v>
      </c>
      <c r="H101" s="26" t="n">
        <f aca="false">SUMIFS('Outages (event ledger)'!$H$2:$H$65,'Outages (event ledger)'!$A$2:$A$65,H$2,'Outages (event ledger)'!$E$2:$E$65,"&lt;="&amp;$B101,'Outages (event ledger)'!$G$2:$G$65,"&gt;="&amp;$B101)</f>
        <v>0</v>
      </c>
      <c r="I101" s="26" t="n">
        <f aca="false">SUMIFS('Outages (event ledger)'!$H$2:$H$65,'Outages (event ledger)'!$A$2:$A$65,I$2,'Outages (event ledger)'!$E$2:$E$65,"&lt;="&amp;$B101,'Outages (event ledger)'!$G$2:$G$65,"&gt;="&amp;$B101)</f>
        <v>0</v>
      </c>
      <c r="J101" s="26" t="n">
        <f aca="false">SUMIFS('Outages (event ledger)'!$H$2:$H$65,'Outages (event ledger)'!$A$2:$A$65,J$2,'Outages (event ledger)'!$E$2:$E$65,"&lt;="&amp;$B101,'Outages (event ledger)'!$G$2:$G$65,"&gt;="&amp;$B101)</f>
        <v>0</v>
      </c>
      <c r="K101" s="26" t="n">
        <f aca="false">SUMIFS('Outages (event ledger)'!$H$2:$H$65,'Outages (event ledger)'!$A$2:$A$65,K$2,'Outages (event ledger)'!$E$2:$E$65,"&lt;="&amp;$B101,'Outages (event ledger)'!$G$2:$G$65,"&gt;="&amp;$B101)</f>
        <v>0</v>
      </c>
      <c r="L101" s="26" t="n">
        <f aca="false">SUMIFS('Outages (event ledger)'!$H$2:$H$65,'Outages (event ledger)'!$A$2:$A$65,L$2,'Outages (event ledger)'!$E$2:$E$65,"&lt;="&amp;$B101,'Outages (event ledger)'!$G$2:$G$65,"&gt;="&amp;$B101)</f>
        <v>0</v>
      </c>
      <c r="M101" s="26" t="n">
        <f aca="false">SUMIFS('Outages (event ledger)'!$H$2:$H$65,'Outages (event ledger)'!$A$2:$A$65,M$2,'Outages (event ledger)'!$E$2:$E$65,"&lt;="&amp;$B101,'Outages (event ledger)'!$G$2:$G$65,"&gt;="&amp;$B101)</f>
        <v>0</v>
      </c>
      <c r="N101" s="26" t="n">
        <f aca="false">SUMIFS('Outages (event ledger)'!$H$2:$H$65,'Outages (event ledger)'!$A$2:$A$65,N$2,'Outages (event ledger)'!$E$2:$E$65,"&lt;="&amp;$B101,'Outages (event ledger)'!$G$2:$G$65,"&gt;="&amp;$B101)</f>
        <v>0</v>
      </c>
      <c r="O101" s="26" t="n">
        <f aca="false">SUMIFS('Outages (event ledger)'!$H$2:$H$65,'Outages (event ledger)'!$A$2:$A$65,O$2,'Outages (event ledger)'!$E$2:$E$65,"&lt;="&amp;$B101,'Outages (event ledger)'!$G$2:$G$65,"&gt;="&amp;$B101)</f>
        <v>0</v>
      </c>
      <c r="P101" s="26" t="n">
        <f aca="false">SUMIFS('Outages (event ledger)'!$H$2:$H$65,'Outages (event ledger)'!$A$2:$A$65,P$2,'Outages (event ledger)'!$E$2:$E$65,"&lt;="&amp;$B101,'Outages (event ledger)'!$G$2:$G$65,"&gt;="&amp;$B101)</f>
        <v>0</v>
      </c>
      <c r="Q101" s="26" t="n">
        <f aca="false">SUMIFS('Outages (event ledger)'!$H$2:$H$65,'Outages (event ledger)'!$A$2:$A$65,Q$2,'Outages (event ledger)'!$E$2:$E$65,"&lt;="&amp;$B101,'Outages (event ledger)'!$G$2:$G$65,"&gt;="&amp;$B101)</f>
        <v>0</v>
      </c>
      <c r="R101" s="26" t="n">
        <f aca="false">SUMIFS('Outages (event ledger)'!$H$2:$H$65,'Outages (event ledger)'!$A$2:$A$65,R$2,'Outages (event ledger)'!$E$2:$E$65,"&lt;="&amp;$B101,'Outages (event ledger)'!$G$2:$G$65,"&gt;="&amp;$B101)</f>
        <v>0</v>
      </c>
      <c r="S101" s="26" t="n">
        <f aca="false">SUMIFS('Outages (event ledger)'!$H$2:$H$65,'Outages (event ledger)'!$A$2:$A$65,S$2,'Outages (event ledger)'!$E$2:$E$65,"&lt;="&amp;$B101,'Outages (event ledger)'!$G$2:$G$65,"&gt;="&amp;$B101)</f>
        <v>0</v>
      </c>
      <c r="T101" s="26" t="n">
        <f aca="false">SUMIFS('Outages (event ledger)'!$H$2:$H$65,'Outages (event ledger)'!$A$2:$A$65,T$2,'Outages (event ledger)'!$E$2:$E$65,"&lt;="&amp;$B101,'Outages (event ledger)'!$G$2:$G$65,"&gt;="&amp;$B101)</f>
        <v>0</v>
      </c>
      <c r="U101" s="26" t="n">
        <f aca="false">SUMIFS('Outages (event ledger)'!$H$2:$H$65,'Outages (event ledger)'!$A$2:$A$65,U$2,'Outages (event ledger)'!$E$2:$E$65,"&lt;="&amp;$B101,'Outages (event ledger)'!$G$2:$G$65,"&gt;="&amp;$B101)</f>
        <v>0</v>
      </c>
      <c r="V101" s="26" t="n">
        <f aca="false">SUMIFS('Outages (event ledger)'!$H$2:$H$65,'Outages (event ledger)'!$A$2:$A$65,V$2,'Outages (event ledger)'!$E$2:$E$65,"&lt;="&amp;$B101,'Outages (event ledger)'!$G$2:$G$65,"&gt;="&amp;$B101)</f>
        <v>0</v>
      </c>
      <c r="W101" s="26" t="n">
        <f aca="false">SUMIFS('Outages (event ledger)'!$H$2:$H$65,'Outages (event ledger)'!$A$2:$A$65,W$2,'Outages (event ledger)'!$E$2:$E$65,"&lt;="&amp;$B101,'Outages (event ledger)'!$G$2:$G$65,"&gt;="&amp;$B101)</f>
        <v>0</v>
      </c>
      <c r="X101" s="26" t="n">
        <f aca="false">SUMIFS('Outages (event ledger)'!$H$2:$H$65,'Outages (event ledger)'!$A$2:$A$65,X$2,'Outages (event ledger)'!$E$2:$E$65,"&lt;="&amp;$B101,'Outages (event ledger)'!$G$2:$G$65,"&gt;="&amp;$B101)</f>
        <v>0</v>
      </c>
      <c r="Y101" s="26" t="n">
        <f aca="false">SUMIFS('Outages (event ledger)'!$H$2:$H$65,'Outages (event ledger)'!$A$2:$A$65,Y$2,'Outages (event ledger)'!$E$2:$E$65,"&lt;="&amp;$B101,'Outages (event ledger)'!$G$2:$G$65,"&gt;="&amp;$B101)</f>
        <v>5</v>
      </c>
      <c r="Z101" s="26" t="n">
        <f aca="false">SUMIFS('Outages (event ledger)'!$H$2:$H$65,'Outages (event ledger)'!$A$2:$A$65,Z$2,'Outages (event ledger)'!$E$2:$E$65,"&lt;="&amp;$B101,'Outages (event ledger)'!$G$2:$G$65,"&gt;="&amp;$B101)</f>
        <v>5</v>
      </c>
      <c r="AA101" s="26" t="n">
        <f aca="false">SUMIFS('Outages (event ledger)'!$H$2:$H$65,'Outages (event ledger)'!$A$2:$A$65,AA$2,'Outages (event ledger)'!$E$2:$E$65,"&lt;="&amp;$B101,'Outages (event ledger)'!$G$2:$G$65,"&gt;="&amp;$B101)</f>
        <v>0</v>
      </c>
      <c r="AB101" s="26" t="n">
        <f aca="false">SUMIFS('Outages (event ledger)'!$H$2:$H$65,'Outages (event ledger)'!$A$2:$A$65,AB$2,'Outages (event ledger)'!$E$2:$E$65,"&lt;="&amp;$B101,'Outages (event ledger)'!$G$2:$G$65,"&gt;="&amp;$B101)</f>
        <v>8</v>
      </c>
      <c r="AC101" s="26" t="n">
        <f aca="false">SUMIFS('Outages (event ledger)'!$H$2:$H$65,'Outages (event ledger)'!$A$2:$A$65,AC$2,'Outages (event ledger)'!$E$2:$E$65,"&lt;="&amp;$B101,'Outages (event ledger)'!$G$2:$G$65,"&gt;="&amp;$B101)</f>
        <v>0</v>
      </c>
      <c r="AD101" s="26" t="n">
        <f aca="false">SUMIFS('Outages (event ledger)'!$H$2:$H$65,'Outages (event ledger)'!$A$2:$A$65,AD$2,'Outages (event ledger)'!$E$2:$E$65,"&lt;="&amp;$B101,'Outages (event ledger)'!$G$2:$G$65,"&gt;="&amp;$B101)</f>
        <v>0</v>
      </c>
      <c r="AE101" s="26" t="n">
        <f aca="false">SUMIFS('Outages (event ledger)'!$H$2:$H$65,'Outages (event ledger)'!$A$2:$A$65,AE$2,'Outages (event ledger)'!$E$2:$E$65,"&lt;="&amp;$B101,'Outages (event ledger)'!$G$2:$G$65,"&gt;="&amp;$B101)</f>
        <v>0</v>
      </c>
      <c r="AF101" s="26" t="n">
        <f aca="false">SUMIFS('Outages (event ledger)'!$H$2:$H$65,'Outages (event ledger)'!$A$2:$A$65,AF$2,'Outages (event ledger)'!$E$2:$E$65,"&lt;="&amp;$B101,'Outages (event ledger)'!$G$2:$G$65,"&gt;="&amp;$B101)</f>
        <v>0</v>
      </c>
      <c r="AG101" s="26" t="n">
        <f aca="false">SUMIFS('Outages (event ledger)'!$H$2:$H$65,'Outages (event ledger)'!$A$2:$A$65,AG$2,'Outages (event ledger)'!$E$2:$E$65,"&lt;="&amp;$B101,'Outages (event ledger)'!$G$2:$G$65,"&gt;="&amp;$B101)</f>
        <v>0</v>
      </c>
      <c r="AH101" s="26" t="n">
        <f aca="false">SUMIFS('Outages (event ledger)'!$H$2:$H$65,'Outages (event ledger)'!$A$2:$A$65,AH$2,'Outages (event ledger)'!$E$2:$E$65,"&lt;="&amp;$B101,'Outages (event ledger)'!$G$2:$G$65,"&gt;="&amp;$B101)</f>
        <v>0</v>
      </c>
      <c r="AI101" s="26" t="n">
        <f aca="false">SUMIFS('Outages (event ledger)'!$H$2:$H$65,'Outages (event ledger)'!$A$2:$A$65,AI$2,'Outages (event ledger)'!$E$2:$E$65,"&lt;="&amp;$B101,'Outages (event ledger)'!$G$2:$G$65,"&gt;="&amp;$B101)</f>
        <v>0</v>
      </c>
      <c r="AJ101" s="26" t="n">
        <f aca="false">SUMIFS('Outages (event ledger)'!$H$2:$H$65,'Outages (event ledger)'!$A$2:$A$65,AJ$2,'Outages (event ledger)'!$E$2:$E$65,"&lt;="&amp;$B101,'Outages (event ledger)'!$G$2:$G$65,"&gt;="&amp;$B101)</f>
        <v>0</v>
      </c>
      <c r="AK101" s="26" t="n">
        <f aca="false">SUMIFS('Outages (event ledger)'!$H$2:$H$65,'Outages (event ledger)'!$A$2:$A$65,AK$2,'Outages (event ledger)'!$E$2:$E$65,"&lt;="&amp;$B101,'Outages (event ledger)'!$G$2:$G$65,"&gt;="&amp;$B101)</f>
        <v>0</v>
      </c>
      <c r="AL101" s="26" t="n">
        <f aca="false">SUMIFS('Outages (event ledger)'!$H$2:$H$65,'Outages (event ledger)'!$A$2:$A$65,AL$2,'Outages (event ledger)'!$E$2:$E$65,"&lt;="&amp;$B101,'Outages (event ledger)'!$G$2:$G$65,"&gt;="&amp;$B101)</f>
        <v>0</v>
      </c>
      <c r="AM101" s="26" t="n">
        <f aca="false">SUMIFS('Outages (event ledger)'!$H$2:$H$65,'Outages (event ledger)'!$A$2:$A$65,AM$2,'Outages (event ledger)'!$E$2:$E$65,"&lt;="&amp;$B101,'Outages (event ledger)'!$G$2:$G$65,"&gt;="&amp;$B101)</f>
        <v>0</v>
      </c>
      <c r="AN101" s="26" t="n">
        <f aca="false">SUMIFS('Outages (event ledger)'!$H$2:$H$65,'Outages (event ledger)'!$A$2:$A$65,AN$2,'Outages (event ledger)'!$E$2:$E$65,"&lt;="&amp;$B101,'Outages (event ledger)'!$G$2:$G$65,"&gt;="&amp;$B101)</f>
        <v>0</v>
      </c>
      <c r="AO101" s="26" t="n">
        <f aca="false">SUMIFS('Outages (event ledger)'!$H$2:$H$65,'Outages (event ledger)'!$A$2:$A$65,AO$2,'Outages (event ledger)'!$E$2:$E$65,"&lt;="&amp;$B101,'Outages (event ledger)'!$G$2:$G$65,"&gt;="&amp;$B101)</f>
        <v>0</v>
      </c>
      <c r="AP101" s="26" t="n">
        <f aca="false">SUMIFS('Outages (event ledger)'!$H$2:$H$65,'Outages (event ledger)'!$A$2:$A$65,AP$2,'Outages (event ledger)'!$E$2:$E$65,"&lt;="&amp;$B101,'Outages (event ledger)'!$G$2:$G$65,"&gt;="&amp;$B101)</f>
        <v>0</v>
      </c>
      <c r="AQ101" s="26" t="n">
        <f aca="false">SUMIFS('Outages (event ledger)'!$H$2:$H$65,'Outages (event ledger)'!$A$2:$A$65,AQ$2,'Outages (event ledger)'!$E$2:$E$65,"&lt;="&amp;$B101,'Outages (event ledger)'!$G$2:$G$65,"&gt;="&amp;$B101)</f>
        <v>0</v>
      </c>
      <c r="AR101" s="26" t="n">
        <f aca="false">SUMIFS('Outages (event ledger)'!$H$2:$H$65,'Outages (event ledger)'!$A$2:$A$65,AR$2,'Outages (event ledger)'!$E$2:$E$65,"&lt;="&amp;$B101,'Outages (event ledger)'!$G$2:$G$65,"&gt;="&amp;$B101)</f>
        <v>0</v>
      </c>
      <c r="AS101" s="26" t="n">
        <f aca="false">SUMIFS('Outages (event ledger)'!$H$2:$H$65,'Outages (event ledger)'!$A$2:$A$65,AS$2,'Outages (event ledger)'!$E$2:$E$65,"&lt;="&amp;$B101,'Outages (event ledger)'!$G$2:$G$65,"&gt;="&amp;$B101)</f>
        <v>0</v>
      </c>
      <c r="AT101" s="26" t="n">
        <f aca="false">SUMIFS('Outages (event ledger)'!$H$2:$H$65,'Outages (event ledger)'!$A$2:$A$65,AT$2,'Outages (event ledger)'!$E$2:$E$65,"&lt;="&amp;$B101,'Outages (event ledger)'!$G$2:$G$65,"&gt;="&amp;$B101)</f>
        <v>0</v>
      </c>
      <c r="AU101" s="26" t="n">
        <f aca="false">SUMIFS('Outages (event ledger)'!$H$2:$H$65,'Outages (event ledger)'!$A$2:$A$65,AU$2,'Outages (event ledger)'!$E$2:$E$65,"&lt;="&amp;$B101,'Outages (event ledger)'!$G$2:$G$65,"&gt;="&amp;$B101)</f>
        <v>0</v>
      </c>
      <c r="AV101" s="26" t="n">
        <f aca="false">SUMIFS('Outages (event ledger)'!$H$2:$H$65,'Outages (event ledger)'!$A$2:$A$65,AV$2,'Outages (event ledger)'!$E$2:$E$65,"&lt;="&amp;$B101,'Outages (event ledger)'!$G$2:$G$65,"&gt;="&amp;$B101)</f>
        <v>0</v>
      </c>
      <c r="AW101" s="26" t="n">
        <f aca="false">SUMIFS('Outages (event ledger)'!$H$2:$H$65,'Outages (event ledger)'!$A$2:$A$65,AW$2,'Outages (event ledger)'!$E$2:$E$65,"&lt;="&amp;$B101,'Outages (event ledger)'!$G$2:$G$65,"&gt;="&amp;$B101)</f>
        <v>0</v>
      </c>
      <c r="AX101" s="26" t="n">
        <f aca="false">SUMIFS('Outages (event ledger)'!$H$2:$H$65,'Outages (event ledger)'!$A$2:$A$65,AX$2,'Outages (event ledger)'!$E$2:$E$65,"&lt;="&amp;$B101,'Outages (event ledger)'!$G$2:$G$65,"&gt;="&amp;$B101)</f>
        <v>0</v>
      </c>
      <c r="AY101" s="26" t="n">
        <f aca="false">SUMIFS('Outages (event ledger)'!$H$2:$H$65,'Outages (event ledger)'!$A$2:$A$65,AY$2,'Outages (event ledger)'!$E$2:$E$65,"&lt;="&amp;$B101,'Outages (event ledger)'!$G$2:$G$65,"&gt;="&amp;$B101)</f>
        <v>0</v>
      </c>
      <c r="AZ101" s="26" t="n">
        <f aca="false">SUMIFS('Outages (event ledger)'!$H$2:$H$65,'Outages (event ledger)'!$A$2:$A$65,AZ$2,'Outages (event ledger)'!$E$2:$E$65,"&lt;="&amp;$B101,'Outages (event ledger)'!$G$2:$G$65,"&gt;="&amp;$B101)</f>
        <v>0</v>
      </c>
      <c r="BA101" s="26" t="n">
        <f aca="false">SUMIFS('Outages (event ledger)'!$H$2:$H$65,'Outages (event ledger)'!$A$2:$A$65,BA$2,'Outages (event ledger)'!$E$2:$E$65,"&lt;="&amp;$B101,'Outages (event ledger)'!$G$2:$G$65,"&gt;="&amp;$B101)</f>
        <v>0</v>
      </c>
      <c r="BB101" s="26" t="n">
        <f aca="false">SUMIFS('Outages (event ledger)'!$H$2:$H$65,'Outages (event ledger)'!$A$2:$A$65,BB$2,'Outages (event ledger)'!$E$2:$E$65,"&lt;="&amp;$B101,'Outages (event ledger)'!$G$2:$G$65,"&gt;="&amp;$B101)</f>
        <v>0</v>
      </c>
      <c r="BC101" s="26" t="n">
        <f aca="false">SUMIFS('Outages (event ledger)'!$H$2:$H$65,'Outages (event ledger)'!$A$2:$A$65,BC$2,'Outages (event ledger)'!$E$2:$E$65,"&lt;="&amp;$B101,'Outages (event ledger)'!$G$2:$G$65,"&gt;="&amp;$B101)</f>
        <v>0</v>
      </c>
      <c r="BD101" s="26" t="n">
        <f aca="false">SUMIFS('Outages (event ledger)'!$H$2:$H$65,'Outages (event ledger)'!$A$2:$A$65,BD$2,'Outages (event ledger)'!$E$2:$E$65,"&lt;="&amp;$B101,'Outages (event ledger)'!$G$2:$G$65,"&gt;="&amp;$B101)</f>
        <v>0</v>
      </c>
      <c r="BE101" s="26" t="n">
        <f aca="false">SUMIFS('Outages (event ledger)'!$H$2:$H$65,'Outages (event ledger)'!$A$2:$A$65,BE$2,'Outages (event ledger)'!$E$2:$E$65,"&lt;="&amp;$B101,'Outages (event ledger)'!$G$2:$G$65,"&gt;="&amp;$B101)</f>
        <v>0</v>
      </c>
      <c r="BF101" s="26" t="n">
        <f aca="false">SUMIFS('Outages (event ledger)'!$H$2:$H$65,'Outages (event ledger)'!$A$2:$A$65,BF$2,'Outages (event ledger)'!$E$2:$E$65,"&lt;="&amp;$B101,'Outages (event ledger)'!$G$2:$G$65,"&gt;="&amp;$B101)</f>
        <v>0</v>
      </c>
      <c r="BG101" s="26" t="n">
        <f aca="false">SUMIFS('Outages (event ledger)'!$H$2:$H$65,'Outages (event ledger)'!$A$2:$A$65,BG$2,'Outages (event ledger)'!$E$2:$E$65,"&lt;="&amp;$B101,'Outages (event ledger)'!$G$2:$G$65,"&gt;="&amp;$B101)</f>
        <v>0</v>
      </c>
      <c r="BH101" s="26" t="n">
        <f aca="false">SUMIFS('Outages (event ledger)'!$H$2:$H$65,'Outages (event ledger)'!$A$2:$A$65,BH$2,'Outages (event ledger)'!$E$2:$E$65,"&lt;="&amp;$B101,'Outages (event ledger)'!$G$2:$G$65,"&gt;="&amp;$B101)</f>
        <v>0</v>
      </c>
      <c r="BI101" s="26" t="n">
        <f aca="false">SUMIFS('Outages (event ledger)'!$H$2:$H$65,'Outages (event ledger)'!$A$2:$A$65,BI$2,'Outages (event ledger)'!$E$2:$E$65,"&lt;="&amp;$B101,'Outages (event ledger)'!$G$2:$G$65,"&gt;="&amp;$B101)</f>
        <v>6.7</v>
      </c>
    </row>
    <row r="102" customFormat="false" ht="15" hidden="false" customHeight="false" outlineLevel="0" collapsed="false">
      <c r="A102" s="23" t="n">
        <v>43191</v>
      </c>
      <c r="B102" s="24" t="n">
        <v>201804</v>
      </c>
      <c r="C102" s="25" t="n">
        <f aca="false">SUM(D102:BI102)</f>
        <v>24.7</v>
      </c>
      <c r="D102" s="26" t="n">
        <f aca="false">SUMIFS('Outages (event ledger)'!$H$2:$H$65,'Outages (event ledger)'!$A$2:$A$65,D$2,'Outages (event ledger)'!$E$2:$E$65,"&lt;="&amp;$B102,'Outages (event ledger)'!$G$2:$G$65,"&gt;="&amp;$B102)</f>
        <v>0</v>
      </c>
      <c r="E102" s="26" t="n">
        <f aca="false">SUMIFS('Outages (event ledger)'!$H$2:$H$65,'Outages (event ledger)'!$A$2:$A$65,E$2,'Outages (event ledger)'!$E$2:$E$65,"&lt;="&amp;$B102,'Outages (event ledger)'!$G$2:$G$65,"&gt;="&amp;$B102)</f>
        <v>0</v>
      </c>
      <c r="F102" s="26" t="n">
        <f aca="false">SUMIFS('Outages (event ledger)'!$H$2:$H$65,'Outages (event ledger)'!$A$2:$A$65,F$2,'Outages (event ledger)'!$E$2:$E$65,"&lt;="&amp;$B102,'Outages (event ledger)'!$G$2:$G$65,"&gt;="&amp;$B102)</f>
        <v>0</v>
      </c>
      <c r="G102" s="26" t="n">
        <f aca="false">SUMIFS('Outages (event ledger)'!$H$2:$H$65,'Outages (event ledger)'!$A$2:$A$65,G$2,'Outages (event ledger)'!$E$2:$E$65,"&lt;="&amp;$B102,'Outages (event ledger)'!$G$2:$G$65,"&gt;="&amp;$B102)</f>
        <v>0</v>
      </c>
      <c r="H102" s="26" t="n">
        <f aca="false">SUMIFS('Outages (event ledger)'!$H$2:$H$65,'Outages (event ledger)'!$A$2:$A$65,H$2,'Outages (event ledger)'!$E$2:$E$65,"&lt;="&amp;$B102,'Outages (event ledger)'!$G$2:$G$65,"&gt;="&amp;$B102)</f>
        <v>0</v>
      </c>
      <c r="I102" s="26" t="n">
        <f aca="false">SUMIFS('Outages (event ledger)'!$H$2:$H$65,'Outages (event ledger)'!$A$2:$A$65,I$2,'Outages (event ledger)'!$E$2:$E$65,"&lt;="&amp;$B102,'Outages (event ledger)'!$G$2:$G$65,"&gt;="&amp;$B102)</f>
        <v>0</v>
      </c>
      <c r="J102" s="26" t="n">
        <f aca="false">SUMIFS('Outages (event ledger)'!$H$2:$H$65,'Outages (event ledger)'!$A$2:$A$65,J$2,'Outages (event ledger)'!$E$2:$E$65,"&lt;="&amp;$B102,'Outages (event ledger)'!$G$2:$G$65,"&gt;="&amp;$B102)</f>
        <v>0</v>
      </c>
      <c r="K102" s="26" t="n">
        <f aca="false">SUMIFS('Outages (event ledger)'!$H$2:$H$65,'Outages (event ledger)'!$A$2:$A$65,K$2,'Outages (event ledger)'!$E$2:$E$65,"&lt;="&amp;$B102,'Outages (event ledger)'!$G$2:$G$65,"&gt;="&amp;$B102)</f>
        <v>0</v>
      </c>
      <c r="L102" s="26" t="n">
        <f aca="false">SUMIFS('Outages (event ledger)'!$H$2:$H$65,'Outages (event ledger)'!$A$2:$A$65,L$2,'Outages (event ledger)'!$E$2:$E$65,"&lt;="&amp;$B102,'Outages (event ledger)'!$G$2:$G$65,"&gt;="&amp;$B102)</f>
        <v>0</v>
      </c>
      <c r="M102" s="26" t="n">
        <f aca="false">SUMIFS('Outages (event ledger)'!$H$2:$H$65,'Outages (event ledger)'!$A$2:$A$65,M$2,'Outages (event ledger)'!$E$2:$E$65,"&lt;="&amp;$B102,'Outages (event ledger)'!$G$2:$G$65,"&gt;="&amp;$B102)</f>
        <v>0</v>
      </c>
      <c r="N102" s="26" t="n">
        <f aca="false">SUMIFS('Outages (event ledger)'!$H$2:$H$65,'Outages (event ledger)'!$A$2:$A$65,N$2,'Outages (event ledger)'!$E$2:$E$65,"&lt;="&amp;$B102,'Outages (event ledger)'!$G$2:$G$65,"&gt;="&amp;$B102)</f>
        <v>0</v>
      </c>
      <c r="O102" s="26" t="n">
        <f aca="false">SUMIFS('Outages (event ledger)'!$H$2:$H$65,'Outages (event ledger)'!$A$2:$A$65,O$2,'Outages (event ledger)'!$E$2:$E$65,"&lt;="&amp;$B102,'Outages (event ledger)'!$G$2:$G$65,"&gt;="&amp;$B102)</f>
        <v>0</v>
      </c>
      <c r="P102" s="26" t="n">
        <f aca="false">SUMIFS('Outages (event ledger)'!$H$2:$H$65,'Outages (event ledger)'!$A$2:$A$65,P$2,'Outages (event ledger)'!$E$2:$E$65,"&lt;="&amp;$B102,'Outages (event ledger)'!$G$2:$G$65,"&gt;="&amp;$B102)</f>
        <v>0</v>
      </c>
      <c r="Q102" s="26" t="n">
        <f aca="false">SUMIFS('Outages (event ledger)'!$H$2:$H$65,'Outages (event ledger)'!$A$2:$A$65,Q$2,'Outages (event ledger)'!$E$2:$E$65,"&lt;="&amp;$B102,'Outages (event ledger)'!$G$2:$G$65,"&gt;="&amp;$B102)</f>
        <v>0</v>
      </c>
      <c r="R102" s="26" t="n">
        <f aca="false">SUMIFS('Outages (event ledger)'!$H$2:$H$65,'Outages (event ledger)'!$A$2:$A$65,R$2,'Outages (event ledger)'!$E$2:$E$65,"&lt;="&amp;$B102,'Outages (event ledger)'!$G$2:$G$65,"&gt;="&amp;$B102)</f>
        <v>0</v>
      </c>
      <c r="S102" s="26" t="n">
        <f aca="false">SUMIFS('Outages (event ledger)'!$H$2:$H$65,'Outages (event ledger)'!$A$2:$A$65,S$2,'Outages (event ledger)'!$E$2:$E$65,"&lt;="&amp;$B102,'Outages (event ledger)'!$G$2:$G$65,"&gt;="&amp;$B102)</f>
        <v>0</v>
      </c>
      <c r="T102" s="26" t="n">
        <f aca="false">SUMIFS('Outages (event ledger)'!$H$2:$H$65,'Outages (event ledger)'!$A$2:$A$65,T$2,'Outages (event ledger)'!$E$2:$E$65,"&lt;="&amp;$B102,'Outages (event ledger)'!$G$2:$G$65,"&gt;="&amp;$B102)</f>
        <v>0</v>
      </c>
      <c r="U102" s="26" t="n">
        <f aca="false">SUMIFS('Outages (event ledger)'!$H$2:$H$65,'Outages (event ledger)'!$A$2:$A$65,U$2,'Outages (event ledger)'!$E$2:$E$65,"&lt;="&amp;$B102,'Outages (event ledger)'!$G$2:$G$65,"&gt;="&amp;$B102)</f>
        <v>0</v>
      </c>
      <c r="V102" s="26" t="n">
        <f aca="false">SUMIFS('Outages (event ledger)'!$H$2:$H$65,'Outages (event ledger)'!$A$2:$A$65,V$2,'Outages (event ledger)'!$E$2:$E$65,"&lt;="&amp;$B102,'Outages (event ledger)'!$G$2:$G$65,"&gt;="&amp;$B102)</f>
        <v>0</v>
      </c>
      <c r="W102" s="26" t="n">
        <f aca="false">SUMIFS('Outages (event ledger)'!$H$2:$H$65,'Outages (event ledger)'!$A$2:$A$65,W$2,'Outages (event ledger)'!$E$2:$E$65,"&lt;="&amp;$B102,'Outages (event ledger)'!$G$2:$G$65,"&gt;="&amp;$B102)</f>
        <v>0</v>
      </c>
      <c r="X102" s="26" t="n">
        <f aca="false">SUMIFS('Outages (event ledger)'!$H$2:$H$65,'Outages (event ledger)'!$A$2:$A$65,X$2,'Outages (event ledger)'!$E$2:$E$65,"&lt;="&amp;$B102,'Outages (event ledger)'!$G$2:$G$65,"&gt;="&amp;$B102)</f>
        <v>0</v>
      </c>
      <c r="Y102" s="26" t="n">
        <f aca="false">SUMIFS('Outages (event ledger)'!$H$2:$H$65,'Outages (event ledger)'!$A$2:$A$65,Y$2,'Outages (event ledger)'!$E$2:$E$65,"&lt;="&amp;$B102,'Outages (event ledger)'!$G$2:$G$65,"&gt;="&amp;$B102)</f>
        <v>5</v>
      </c>
      <c r="Z102" s="26" t="n">
        <f aca="false">SUMIFS('Outages (event ledger)'!$H$2:$H$65,'Outages (event ledger)'!$A$2:$A$65,Z$2,'Outages (event ledger)'!$E$2:$E$65,"&lt;="&amp;$B102,'Outages (event ledger)'!$G$2:$G$65,"&gt;="&amp;$B102)</f>
        <v>5</v>
      </c>
      <c r="AA102" s="26" t="n">
        <f aca="false">SUMIFS('Outages (event ledger)'!$H$2:$H$65,'Outages (event ledger)'!$A$2:$A$65,AA$2,'Outages (event ledger)'!$E$2:$E$65,"&lt;="&amp;$B102,'Outages (event ledger)'!$G$2:$G$65,"&gt;="&amp;$B102)</f>
        <v>0</v>
      </c>
      <c r="AB102" s="26" t="n">
        <f aca="false">SUMIFS('Outages (event ledger)'!$H$2:$H$65,'Outages (event ledger)'!$A$2:$A$65,AB$2,'Outages (event ledger)'!$E$2:$E$65,"&lt;="&amp;$B102,'Outages (event ledger)'!$G$2:$G$65,"&gt;="&amp;$B102)</f>
        <v>8</v>
      </c>
      <c r="AC102" s="26" t="n">
        <f aca="false">SUMIFS('Outages (event ledger)'!$H$2:$H$65,'Outages (event ledger)'!$A$2:$A$65,AC$2,'Outages (event ledger)'!$E$2:$E$65,"&lt;="&amp;$B102,'Outages (event ledger)'!$G$2:$G$65,"&gt;="&amp;$B102)</f>
        <v>0</v>
      </c>
      <c r="AD102" s="26" t="n">
        <f aca="false">SUMIFS('Outages (event ledger)'!$H$2:$H$65,'Outages (event ledger)'!$A$2:$A$65,AD$2,'Outages (event ledger)'!$E$2:$E$65,"&lt;="&amp;$B102,'Outages (event ledger)'!$G$2:$G$65,"&gt;="&amp;$B102)</f>
        <v>0</v>
      </c>
      <c r="AE102" s="26" t="n">
        <f aca="false">SUMIFS('Outages (event ledger)'!$H$2:$H$65,'Outages (event ledger)'!$A$2:$A$65,AE$2,'Outages (event ledger)'!$E$2:$E$65,"&lt;="&amp;$B102,'Outages (event ledger)'!$G$2:$G$65,"&gt;="&amp;$B102)</f>
        <v>0</v>
      </c>
      <c r="AF102" s="26" t="n">
        <f aca="false">SUMIFS('Outages (event ledger)'!$H$2:$H$65,'Outages (event ledger)'!$A$2:$A$65,AF$2,'Outages (event ledger)'!$E$2:$E$65,"&lt;="&amp;$B102,'Outages (event ledger)'!$G$2:$G$65,"&gt;="&amp;$B102)</f>
        <v>0</v>
      </c>
      <c r="AG102" s="26" t="n">
        <f aca="false">SUMIFS('Outages (event ledger)'!$H$2:$H$65,'Outages (event ledger)'!$A$2:$A$65,AG$2,'Outages (event ledger)'!$E$2:$E$65,"&lt;="&amp;$B102,'Outages (event ledger)'!$G$2:$G$65,"&gt;="&amp;$B102)</f>
        <v>0</v>
      </c>
      <c r="AH102" s="26" t="n">
        <f aca="false">SUMIFS('Outages (event ledger)'!$H$2:$H$65,'Outages (event ledger)'!$A$2:$A$65,AH$2,'Outages (event ledger)'!$E$2:$E$65,"&lt;="&amp;$B102,'Outages (event ledger)'!$G$2:$G$65,"&gt;="&amp;$B102)</f>
        <v>0</v>
      </c>
      <c r="AI102" s="26" t="n">
        <f aca="false">SUMIFS('Outages (event ledger)'!$H$2:$H$65,'Outages (event ledger)'!$A$2:$A$65,AI$2,'Outages (event ledger)'!$E$2:$E$65,"&lt;="&amp;$B102,'Outages (event ledger)'!$G$2:$G$65,"&gt;="&amp;$B102)</f>
        <v>0</v>
      </c>
      <c r="AJ102" s="26" t="n">
        <f aca="false">SUMIFS('Outages (event ledger)'!$H$2:$H$65,'Outages (event ledger)'!$A$2:$A$65,AJ$2,'Outages (event ledger)'!$E$2:$E$65,"&lt;="&amp;$B102,'Outages (event ledger)'!$G$2:$G$65,"&gt;="&amp;$B102)</f>
        <v>0</v>
      </c>
      <c r="AK102" s="26" t="n">
        <f aca="false">SUMIFS('Outages (event ledger)'!$H$2:$H$65,'Outages (event ledger)'!$A$2:$A$65,AK$2,'Outages (event ledger)'!$E$2:$E$65,"&lt;="&amp;$B102,'Outages (event ledger)'!$G$2:$G$65,"&gt;="&amp;$B102)</f>
        <v>0</v>
      </c>
      <c r="AL102" s="26" t="n">
        <f aca="false">SUMIFS('Outages (event ledger)'!$H$2:$H$65,'Outages (event ledger)'!$A$2:$A$65,AL$2,'Outages (event ledger)'!$E$2:$E$65,"&lt;="&amp;$B102,'Outages (event ledger)'!$G$2:$G$65,"&gt;="&amp;$B102)</f>
        <v>0</v>
      </c>
      <c r="AM102" s="26" t="n">
        <f aca="false">SUMIFS('Outages (event ledger)'!$H$2:$H$65,'Outages (event ledger)'!$A$2:$A$65,AM$2,'Outages (event ledger)'!$E$2:$E$65,"&lt;="&amp;$B102,'Outages (event ledger)'!$G$2:$G$65,"&gt;="&amp;$B102)</f>
        <v>0</v>
      </c>
      <c r="AN102" s="26" t="n">
        <f aca="false">SUMIFS('Outages (event ledger)'!$H$2:$H$65,'Outages (event ledger)'!$A$2:$A$65,AN$2,'Outages (event ledger)'!$E$2:$E$65,"&lt;="&amp;$B102,'Outages (event ledger)'!$G$2:$G$65,"&gt;="&amp;$B102)</f>
        <v>0</v>
      </c>
      <c r="AO102" s="26" t="n">
        <f aca="false">SUMIFS('Outages (event ledger)'!$H$2:$H$65,'Outages (event ledger)'!$A$2:$A$65,AO$2,'Outages (event ledger)'!$E$2:$E$65,"&lt;="&amp;$B102,'Outages (event ledger)'!$G$2:$G$65,"&gt;="&amp;$B102)</f>
        <v>0</v>
      </c>
      <c r="AP102" s="26" t="n">
        <f aca="false">SUMIFS('Outages (event ledger)'!$H$2:$H$65,'Outages (event ledger)'!$A$2:$A$65,AP$2,'Outages (event ledger)'!$E$2:$E$65,"&lt;="&amp;$B102,'Outages (event ledger)'!$G$2:$G$65,"&gt;="&amp;$B102)</f>
        <v>0</v>
      </c>
      <c r="AQ102" s="26" t="n">
        <f aca="false">SUMIFS('Outages (event ledger)'!$H$2:$H$65,'Outages (event ledger)'!$A$2:$A$65,AQ$2,'Outages (event ledger)'!$E$2:$E$65,"&lt;="&amp;$B102,'Outages (event ledger)'!$G$2:$G$65,"&gt;="&amp;$B102)</f>
        <v>0</v>
      </c>
      <c r="AR102" s="26" t="n">
        <f aca="false">SUMIFS('Outages (event ledger)'!$H$2:$H$65,'Outages (event ledger)'!$A$2:$A$65,AR$2,'Outages (event ledger)'!$E$2:$E$65,"&lt;="&amp;$B102,'Outages (event ledger)'!$G$2:$G$65,"&gt;="&amp;$B102)</f>
        <v>0</v>
      </c>
      <c r="AS102" s="26" t="n">
        <f aca="false">SUMIFS('Outages (event ledger)'!$H$2:$H$65,'Outages (event ledger)'!$A$2:$A$65,AS$2,'Outages (event ledger)'!$E$2:$E$65,"&lt;="&amp;$B102,'Outages (event ledger)'!$G$2:$G$65,"&gt;="&amp;$B102)</f>
        <v>0</v>
      </c>
      <c r="AT102" s="26" t="n">
        <f aca="false">SUMIFS('Outages (event ledger)'!$H$2:$H$65,'Outages (event ledger)'!$A$2:$A$65,AT$2,'Outages (event ledger)'!$E$2:$E$65,"&lt;="&amp;$B102,'Outages (event ledger)'!$G$2:$G$65,"&gt;="&amp;$B102)</f>
        <v>0</v>
      </c>
      <c r="AU102" s="26" t="n">
        <f aca="false">SUMIFS('Outages (event ledger)'!$H$2:$H$65,'Outages (event ledger)'!$A$2:$A$65,AU$2,'Outages (event ledger)'!$E$2:$E$65,"&lt;="&amp;$B102,'Outages (event ledger)'!$G$2:$G$65,"&gt;="&amp;$B102)</f>
        <v>0</v>
      </c>
      <c r="AV102" s="26" t="n">
        <f aca="false">SUMIFS('Outages (event ledger)'!$H$2:$H$65,'Outages (event ledger)'!$A$2:$A$65,AV$2,'Outages (event ledger)'!$E$2:$E$65,"&lt;="&amp;$B102,'Outages (event ledger)'!$G$2:$G$65,"&gt;="&amp;$B102)</f>
        <v>0</v>
      </c>
      <c r="AW102" s="26" t="n">
        <f aca="false">SUMIFS('Outages (event ledger)'!$H$2:$H$65,'Outages (event ledger)'!$A$2:$A$65,AW$2,'Outages (event ledger)'!$E$2:$E$65,"&lt;="&amp;$B102,'Outages (event ledger)'!$G$2:$G$65,"&gt;="&amp;$B102)</f>
        <v>0</v>
      </c>
      <c r="AX102" s="26" t="n">
        <f aca="false">SUMIFS('Outages (event ledger)'!$H$2:$H$65,'Outages (event ledger)'!$A$2:$A$65,AX$2,'Outages (event ledger)'!$E$2:$E$65,"&lt;="&amp;$B102,'Outages (event ledger)'!$G$2:$G$65,"&gt;="&amp;$B102)</f>
        <v>0</v>
      </c>
      <c r="AY102" s="26" t="n">
        <f aca="false">SUMIFS('Outages (event ledger)'!$H$2:$H$65,'Outages (event ledger)'!$A$2:$A$65,AY$2,'Outages (event ledger)'!$E$2:$E$65,"&lt;="&amp;$B102,'Outages (event ledger)'!$G$2:$G$65,"&gt;="&amp;$B102)</f>
        <v>0</v>
      </c>
      <c r="AZ102" s="26" t="n">
        <f aca="false">SUMIFS('Outages (event ledger)'!$H$2:$H$65,'Outages (event ledger)'!$A$2:$A$65,AZ$2,'Outages (event ledger)'!$E$2:$E$65,"&lt;="&amp;$B102,'Outages (event ledger)'!$G$2:$G$65,"&gt;="&amp;$B102)</f>
        <v>0</v>
      </c>
      <c r="BA102" s="26" t="n">
        <f aca="false">SUMIFS('Outages (event ledger)'!$H$2:$H$65,'Outages (event ledger)'!$A$2:$A$65,BA$2,'Outages (event ledger)'!$E$2:$E$65,"&lt;="&amp;$B102,'Outages (event ledger)'!$G$2:$G$65,"&gt;="&amp;$B102)</f>
        <v>0</v>
      </c>
      <c r="BB102" s="26" t="n">
        <f aca="false">SUMIFS('Outages (event ledger)'!$H$2:$H$65,'Outages (event ledger)'!$A$2:$A$65,BB$2,'Outages (event ledger)'!$E$2:$E$65,"&lt;="&amp;$B102,'Outages (event ledger)'!$G$2:$G$65,"&gt;="&amp;$B102)</f>
        <v>0</v>
      </c>
      <c r="BC102" s="26" t="n">
        <f aca="false">SUMIFS('Outages (event ledger)'!$H$2:$H$65,'Outages (event ledger)'!$A$2:$A$65,BC$2,'Outages (event ledger)'!$E$2:$E$65,"&lt;="&amp;$B102,'Outages (event ledger)'!$G$2:$G$65,"&gt;="&amp;$B102)</f>
        <v>0</v>
      </c>
      <c r="BD102" s="26" t="n">
        <f aca="false">SUMIFS('Outages (event ledger)'!$H$2:$H$65,'Outages (event ledger)'!$A$2:$A$65,BD$2,'Outages (event ledger)'!$E$2:$E$65,"&lt;="&amp;$B102,'Outages (event ledger)'!$G$2:$G$65,"&gt;="&amp;$B102)</f>
        <v>0</v>
      </c>
      <c r="BE102" s="26" t="n">
        <f aca="false">SUMIFS('Outages (event ledger)'!$H$2:$H$65,'Outages (event ledger)'!$A$2:$A$65,BE$2,'Outages (event ledger)'!$E$2:$E$65,"&lt;="&amp;$B102,'Outages (event ledger)'!$G$2:$G$65,"&gt;="&amp;$B102)</f>
        <v>0</v>
      </c>
      <c r="BF102" s="26" t="n">
        <f aca="false">SUMIFS('Outages (event ledger)'!$H$2:$H$65,'Outages (event ledger)'!$A$2:$A$65,BF$2,'Outages (event ledger)'!$E$2:$E$65,"&lt;="&amp;$B102,'Outages (event ledger)'!$G$2:$G$65,"&gt;="&amp;$B102)</f>
        <v>0</v>
      </c>
      <c r="BG102" s="26" t="n">
        <f aca="false">SUMIFS('Outages (event ledger)'!$H$2:$H$65,'Outages (event ledger)'!$A$2:$A$65,BG$2,'Outages (event ledger)'!$E$2:$E$65,"&lt;="&amp;$B102,'Outages (event ledger)'!$G$2:$G$65,"&gt;="&amp;$B102)</f>
        <v>0</v>
      </c>
      <c r="BH102" s="26" t="n">
        <f aca="false">SUMIFS('Outages (event ledger)'!$H$2:$H$65,'Outages (event ledger)'!$A$2:$A$65,BH$2,'Outages (event ledger)'!$E$2:$E$65,"&lt;="&amp;$B102,'Outages (event ledger)'!$G$2:$G$65,"&gt;="&amp;$B102)</f>
        <v>0</v>
      </c>
      <c r="BI102" s="26" t="n">
        <f aca="false">SUMIFS('Outages (event ledger)'!$H$2:$H$65,'Outages (event ledger)'!$A$2:$A$65,BI$2,'Outages (event ledger)'!$E$2:$E$65,"&lt;="&amp;$B102,'Outages (event ledger)'!$G$2:$G$65,"&gt;="&amp;$B102)</f>
        <v>6.7</v>
      </c>
    </row>
    <row r="103" customFormat="false" ht="15" hidden="false" customHeight="false" outlineLevel="0" collapsed="false">
      <c r="A103" s="23" t="n">
        <v>43221</v>
      </c>
      <c r="B103" s="24" t="n">
        <v>201805</v>
      </c>
      <c r="C103" s="25" t="n">
        <f aca="false">SUM(D103:BI103)</f>
        <v>24.7</v>
      </c>
      <c r="D103" s="26" t="n">
        <f aca="false">SUMIFS('Outages (event ledger)'!$H$2:$H$65,'Outages (event ledger)'!$A$2:$A$65,D$2,'Outages (event ledger)'!$E$2:$E$65,"&lt;="&amp;$B103,'Outages (event ledger)'!$G$2:$G$65,"&gt;="&amp;$B103)</f>
        <v>0</v>
      </c>
      <c r="E103" s="26" t="n">
        <f aca="false">SUMIFS('Outages (event ledger)'!$H$2:$H$65,'Outages (event ledger)'!$A$2:$A$65,E$2,'Outages (event ledger)'!$E$2:$E$65,"&lt;="&amp;$B103,'Outages (event ledger)'!$G$2:$G$65,"&gt;="&amp;$B103)</f>
        <v>0</v>
      </c>
      <c r="F103" s="26" t="n">
        <f aca="false">SUMIFS('Outages (event ledger)'!$H$2:$H$65,'Outages (event ledger)'!$A$2:$A$65,F$2,'Outages (event ledger)'!$E$2:$E$65,"&lt;="&amp;$B103,'Outages (event ledger)'!$G$2:$G$65,"&gt;="&amp;$B103)</f>
        <v>0</v>
      </c>
      <c r="G103" s="26" t="n">
        <f aca="false">SUMIFS('Outages (event ledger)'!$H$2:$H$65,'Outages (event ledger)'!$A$2:$A$65,G$2,'Outages (event ledger)'!$E$2:$E$65,"&lt;="&amp;$B103,'Outages (event ledger)'!$G$2:$G$65,"&gt;="&amp;$B103)</f>
        <v>0</v>
      </c>
      <c r="H103" s="26" t="n">
        <f aca="false">SUMIFS('Outages (event ledger)'!$H$2:$H$65,'Outages (event ledger)'!$A$2:$A$65,H$2,'Outages (event ledger)'!$E$2:$E$65,"&lt;="&amp;$B103,'Outages (event ledger)'!$G$2:$G$65,"&gt;="&amp;$B103)</f>
        <v>0</v>
      </c>
      <c r="I103" s="26" t="n">
        <f aca="false">SUMIFS('Outages (event ledger)'!$H$2:$H$65,'Outages (event ledger)'!$A$2:$A$65,I$2,'Outages (event ledger)'!$E$2:$E$65,"&lt;="&amp;$B103,'Outages (event ledger)'!$G$2:$G$65,"&gt;="&amp;$B103)</f>
        <v>0</v>
      </c>
      <c r="J103" s="26" t="n">
        <f aca="false">SUMIFS('Outages (event ledger)'!$H$2:$H$65,'Outages (event ledger)'!$A$2:$A$65,J$2,'Outages (event ledger)'!$E$2:$E$65,"&lt;="&amp;$B103,'Outages (event ledger)'!$G$2:$G$65,"&gt;="&amp;$B103)</f>
        <v>0</v>
      </c>
      <c r="K103" s="26" t="n">
        <f aca="false">SUMIFS('Outages (event ledger)'!$H$2:$H$65,'Outages (event ledger)'!$A$2:$A$65,K$2,'Outages (event ledger)'!$E$2:$E$65,"&lt;="&amp;$B103,'Outages (event ledger)'!$G$2:$G$65,"&gt;="&amp;$B103)</f>
        <v>0</v>
      </c>
      <c r="L103" s="26" t="n">
        <f aca="false">SUMIFS('Outages (event ledger)'!$H$2:$H$65,'Outages (event ledger)'!$A$2:$A$65,L$2,'Outages (event ledger)'!$E$2:$E$65,"&lt;="&amp;$B103,'Outages (event ledger)'!$G$2:$G$65,"&gt;="&amp;$B103)</f>
        <v>0</v>
      </c>
      <c r="M103" s="26" t="n">
        <f aca="false">SUMIFS('Outages (event ledger)'!$H$2:$H$65,'Outages (event ledger)'!$A$2:$A$65,M$2,'Outages (event ledger)'!$E$2:$E$65,"&lt;="&amp;$B103,'Outages (event ledger)'!$G$2:$G$65,"&gt;="&amp;$B103)</f>
        <v>0</v>
      </c>
      <c r="N103" s="26" t="n">
        <f aca="false">SUMIFS('Outages (event ledger)'!$H$2:$H$65,'Outages (event ledger)'!$A$2:$A$65,N$2,'Outages (event ledger)'!$E$2:$E$65,"&lt;="&amp;$B103,'Outages (event ledger)'!$G$2:$G$65,"&gt;="&amp;$B103)</f>
        <v>0</v>
      </c>
      <c r="O103" s="26" t="n">
        <f aca="false">SUMIFS('Outages (event ledger)'!$H$2:$H$65,'Outages (event ledger)'!$A$2:$A$65,O$2,'Outages (event ledger)'!$E$2:$E$65,"&lt;="&amp;$B103,'Outages (event ledger)'!$G$2:$G$65,"&gt;="&amp;$B103)</f>
        <v>0</v>
      </c>
      <c r="P103" s="26" t="n">
        <f aca="false">SUMIFS('Outages (event ledger)'!$H$2:$H$65,'Outages (event ledger)'!$A$2:$A$65,P$2,'Outages (event ledger)'!$E$2:$E$65,"&lt;="&amp;$B103,'Outages (event ledger)'!$G$2:$G$65,"&gt;="&amp;$B103)</f>
        <v>0</v>
      </c>
      <c r="Q103" s="26" t="n">
        <f aca="false">SUMIFS('Outages (event ledger)'!$H$2:$H$65,'Outages (event ledger)'!$A$2:$A$65,Q$2,'Outages (event ledger)'!$E$2:$E$65,"&lt;="&amp;$B103,'Outages (event ledger)'!$G$2:$G$65,"&gt;="&amp;$B103)</f>
        <v>0</v>
      </c>
      <c r="R103" s="26" t="n">
        <f aca="false">SUMIFS('Outages (event ledger)'!$H$2:$H$65,'Outages (event ledger)'!$A$2:$A$65,R$2,'Outages (event ledger)'!$E$2:$E$65,"&lt;="&amp;$B103,'Outages (event ledger)'!$G$2:$G$65,"&gt;="&amp;$B103)</f>
        <v>0</v>
      </c>
      <c r="S103" s="26" t="n">
        <f aca="false">SUMIFS('Outages (event ledger)'!$H$2:$H$65,'Outages (event ledger)'!$A$2:$A$65,S$2,'Outages (event ledger)'!$E$2:$E$65,"&lt;="&amp;$B103,'Outages (event ledger)'!$G$2:$G$65,"&gt;="&amp;$B103)</f>
        <v>0</v>
      </c>
      <c r="T103" s="26" t="n">
        <f aca="false">SUMIFS('Outages (event ledger)'!$H$2:$H$65,'Outages (event ledger)'!$A$2:$A$65,T$2,'Outages (event ledger)'!$E$2:$E$65,"&lt;="&amp;$B103,'Outages (event ledger)'!$G$2:$G$65,"&gt;="&amp;$B103)</f>
        <v>0</v>
      </c>
      <c r="U103" s="26" t="n">
        <f aca="false">SUMIFS('Outages (event ledger)'!$H$2:$H$65,'Outages (event ledger)'!$A$2:$A$65,U$2,'Outages (event ledger)'!$E$2:$E$65,"&lt;="&amp;$B103,'Outages (event ledger)'!$G$2:$G$65,"&gt;="&amp;$B103)</f>
        <v>0</v>
      </c>
      <c r="V103" s="26" t="n">
        <f aca="false">SUMIFS('Outages (event ledger)'!$H$2:$H$65,'Outages (event ledger)'!$A$2:$A$65,V$2,'Outages (event ledger)'!$E$2:$E$65,"&lt;="&amp;$B103,'Outages (event ledger)'!$G$2:$G$65,"&gt;="&amp;$B103)</f>
        <v>0</v>
      </c>
      <c r="W103" s="26" t="n">
        <f aca="false">SUMIFS('Outages (event ledger)'!$H$2:$H$65,'Outages (event ledger)'!$A$2:$A$65,W$2,'Outages (event ledger)'!$E$2:$E$65,"&lt;="&amp;$B103,'Outages (event ledger)'!$G$2:$G$65,"&gt;="&amp;$B103)</f>
        <v>0</v>
      </c>
      <c r="X103" s="26" t="n">
        <f aca="false">SUMIFS('Outages (event ledger)'!$H$2:$H$65,'Outages (event ledger)'!$A$2:$A$65,X$2,'Outages (event ledger)'!$E$2:$E$65,"&lt;="&amp;$B103,'Outages (event ledger)'!$G$2:$G$65,"&gt;="&amp;$B103)</f>
        <v>0</v>
      </c>
      <c r="Y103" s="26" t="n">
        <f aca="false">SUMIFS('Outages (event ledger)'!$H$2:$H$65,'Outages (event ledger)'!$A$2:$A$65,Y$2,'Outages (event ledger)'!$E$2:$E$65,"&lt;="&amp;$B103,'Outages (event ledger)'!$G$2:$G$65,"&gt;="&amp;$B103)</f>
        <v>5</v>
      </c>
      <c r="Z103" s="26" t="n">
        <f aca="false">SUMIFS('Outages (event ledger)'!$H$2:$H$65,'Outages (event ledger)'!$A$2:$A$65,Z$2,'Outages (event ledger)'!$E$2:$E$65,"&lt;="&amp;$B103,'Outages (event ledger)'!$G$2:$G$65,"&gt;="&amp;$B103)</f>
        <v>5</v>
      </c>
      <c r="AA103" s="26" t="n">
        <f aca="false">SUMIFS('Outages (event ledger)'!$H$2:$H$65,'Outages (event ledger)'!$A$2:$A$65,AA$2,'Outages (event ledger)'!$E$2:$E$65,"&lt;="&amp;$B103,'Outages (event ledger)'!$G$2:$G$65,"&gt;="&amp;$B103)</f>
        <v>0</v>
      </c>
      <c r="AB103" s="26" t="n">
        <f aca="false">SUMIFS('Outages (event ledger)'!$H$2:$H$65,'Outages (event ledger)'!$A$2:$A$65,AB$2,'Outages (event ledger)'!$E$2:$E$65,"&lt;="&amp;$B103,'Outages (event ledger)'!$G$2:$G$65,"&gt;="&amp;$B103)</f>
        <v>8</v>
      </c>
      <c r="AC103" s="26" t="n">
        <f aca="false">SUMIFS('Outages (event ledger)'!$H$2:$H$65,'Outages (event ledger)'!$A$2:$A$65,AC$2,'Outages (event ledger)'!$E$2:$E$65,"&lt;="&amp;$B103,'Outages (event ledger)'!$G$2:$G$65,"&gt;="&amp;$B103)</f>
        <v>0</v>
      </c>
      <c r="AD103" s="26" t="n">
        <f aca="false">SUMIFS('Outages (event ledger)'!$H$2:$H$65,'Outages (event ledger)'!$A$2:$A$65,AD$2,'Outages (event ledger)'!$E$2:$E$65,"&lt;="&amp;$B103,'Outages (event ledger)'!$G$2:$G$65,"&gt;="&amp;$B103)</f>
        <v>0</v>
      </c>
      <c r="AE103" s="26" t="n">
        <f aca="false">SUMIFS('Outages (event ledger)'!$H$2:$H$65,'Outages (event ledger)'!$A$2:$A$65,AE$2,'Outages (event ledger)'!$E$2:$E$65,"&lt;="&amp;$B103,'Outages (event ledger)'!$G$2:$G$65,"&gt;="&amp;$B103)</f>
        <v>0</v>
      </c>
      <c r="AF103" s="26" t="n">
        <f aca="false">SUMIFS('Outages (event ledger)'!$H$2:$H$65,'Outages (event ledger)'!$A$2:$A$65,AF$2,'Outages (event ledger)'!$E$2:$E$65,"&lt;="&amp;$B103,'Outages (event ledger)'!$G$2:$G$65,"&gt;="&amp;$B103)</f>
        <v>0</v>
      </c>
      <c r="AG103" s="26" t="n">
        <f aca="false">SUMIFS('Outages (event ledger)'!$H$2:$H$65,'Outages (event ledger)'!$A$2:$A$65,AG$2,'Outages (event ledger)'!$E$2:$E$65,"&lt;="&amp;$B103,'Outages (event ledger)'!$G$2:$G$65,"&gt;="&amp;$B103)</f>
        <v>0</v>
      </c>
      <c r="AH103" s="26" t="n">
        <f aca="false">SUMIFS('Outages (event ledger)'!$H$2:$H$65,'Outages (event ledger)'!$A$2:$A$65,AH$2,'Outages (event ledger)'!$E$2:$E$65,"&lt;="&amp;$B103,'Outages (event ledger)'!$G$2:$G$65,"&gt;="&amp;$B103)</f>
        <v>0</v>
      </c>
      <c r="AI103" s="26" t="n">
        <f aca="false">SUMIFS('Outages (event ledger)'!$H$2:$H$65,'Outages (event ledger)'!$A$2:$A$65,AI$2,'Outages (event ledger)'!$E$2:$E$65,"&lt;="&amp;$B103,'Outages (event ledger)'!$G$2:$G$65,"&gt;="&amp;$B103)</f>
        <v>0</v>
      </c>
      <c r="AJ103" s="26" t="n">
        <f aca="false">SUMIFS('Outages (event ledger)'!$H$2:$H$65,'Outages (event ledger)'!$A$2:$A$65,AJ$2,'Outages (event ledger)'!$E$2:$E$65,"&lt;="&amp;$B103,'Outages (event ledger)'!$G$2:$G$65,"&gt;="&amp;$B103)</f>
        <v>0</v>
      </c>
      <c r="AK103" s="26" t="n">
        <f aca="false">SUMIFS('Outages (event ledger)'!$H$2:$H$65,'Outages (event ledger)'!$A$2:$A$65,AK$2,'Outages (event ledger)'!$E$2:$E$65,"&lt;="&amp;$B103,'Outages (event ledger)'!$G$2:$G$65,"&gt;="&amp;$B103)</f>
        <v>0</v>
      </c>
      <c r="AL103" s="26" t="n">
        <f aca="false">SUMIFS('Outages (event ledger)'!$H$2:$H$65,'Outages (event ledger)'!$A$2:$A$65,AL$2,'Outages (event ledger)'!$E$2:$E$65,"&lt;="&amp;$B103,'Outages (event ledger)'!$G$2:$G$65,"&gt;="&amp;$B103)</f>
        <v>0</v>
      </c>
      <c r="AM103" s="26" t="n">
        <f aca="false">SUMIFS('Outages (event ledger)'!$H$2:$H$65,'Outages (event ledger)'!$A$2:$A$65,AM$2,'Outages (event ledger)'!$E$2:$E$65,"&lt;="&amp;$B103,'Outages (event ledger)'!$G$2:$G$65,"&gt;="&amp;$B103)</f>
        <v>0</v>
      </c>
      <c r="AN103" s="26" t="n">
        <f aca="false">SUMIFS('Outages (event ledger)'!$H$2:$H$65,'Outages (event ledger)'!$A$2:$A$65,AN$2,'Outages (event ledger)'!$E$2:$E$65,"&lt;="&amp;$B103,'Outages (event ledger)'!$G$2:$G$65,"&gt;="&amp;$B103)</f>
        <v>0</v>
      </c>
      <c r="AO103" s="26" t="n">
        <f aca="false">SUMIFS('Outages (event ledger)'!$H$2:$H$65,'Outages (event ledger)'!$A$2:$A$65,AO$2,'Outages (event ledger)'!$E$2:$E$65,"&lt;="&amp;$B103,'Outages (event ledger)'!$G$2:$G$65,"&gt;="&amp;$B103)</f>
        <v>0</v>
      </c>
      <c r="AP103" s="26" t="n">
        <f aca="false">SUMIFS('Outages (event ledger)'!$H$2:$H$65,'Outages (event ledger)'!$A$2:$A$65,AP$2,'Outages (event ledger)'!$E$2:$E$65,"&lt;="&amp;$B103,'Outages (event ledger)'!$G$2:$G$65,"&gt;="&amp;$B103)</f>
        <v>0</v>
      </c>
      <c r="AQ103" s="26" t="n">
        <f aca="false">SUMIFS('Outages (event ledger)'!$H$2:$H$65,'Outages (event ledger)'!$A$2:$A$65,AQ$2,'Outages (event ledger)'!$E$2:$E$65,"&lt;="&amp;$B103,'Outages (event ledger)'!$G$2:$G$65,"&gt;="&amp;$B103)</f>
        <v>0</v>
      </c>
      <c r="AR103" s="26" t="n">
        <f aca="false">SUMIFS('Outages (event ledger)'!$H$2:$H$65,'Outages (event ledger)'!$A$2:$A$65,AR$2,'Outages (event ledger)'!$E$2:$E$65,"&lt;="&amp;$B103,'Outages (event ledger)'!$G$2:$G$65,"&gt;="&amp;$B103)</f>
        <v>0</v>
      </c>
      <c r="AS103" s="26" t="n">
        <f aca="false">SUMIFS('Outages (event ledger)'!$H$2:$H$65,'Outages (event ledger)'!$A$2:$A$65,AS$2,'Outages (event ledger)'!$E$2:$E$65,"&lt;="&amp;$B103,'Outages (event ledger)'!$G$2:$G$65,"&gt;="&amp;$B103)</f>
        <v>0</v>
      </c>
      <c r="AT103" s="26" t="n">
        <f aca="false">SUMIFS('Outages (event ledger)'!$H$2:$H$65,'Outages (event ledger)'!$A$2:$A$65,AT$2,'Outages (event ledger)'!$E$2:$E$65,"&lt;="&amp;$B103,'Outages (event ledger)'!$G$2:$G$65,"&gt;="&amp;$B103)</f>
        <v>0</v>
      </c>
      <c r="AU103" s="26" t="n">
        <f aca="false">SUMIFS('Outages (event ledger)'!$H$2:$H$65,'Outages (event ledger)'!$A$2:$A$65,AU$2,'Outages (event ledger)'!$E$2:$E$65,"&lt;="&amp;$B103,'Outages (event ledger)'!$G$2:$G$65,"&gt;="&amp;$B103)</f>
        <v>0</v>
      </c>
      <c r="AV103" s="26" t="n">
        <f aca="false">SUMIFS('Outages (event ledger)'!$H$2:$H$65,'Outages (event ledger)'!$A$2:$A$65,AV$2,'Outages (event ledger)'!$E$2:$E$65,"&lt;="&amp;$B103,'Outages (event ledger)'!$G$2:$G$65,"&gt;="&amp;$B103)</f>
        <v>0</v>
      </c>
      <c r="AW103" s="26" t="n">
        <f aca="false">SUMIFS('Outages (event ledger)'!$H$2:$H$65,'Outages (event ledger)'!$A$2:$A$65,AW$2,'Outages (event ledger)'!$E$2:$E$65,"&lt;="&amp;$B103,'Outages (event ledger)'!$G$2:$G$65,"&gt;="&amp;$B103)</f>
        <v>0</v>
      </c>
      <c r="AX103" s="26" t="n">
        <f aca="false">SUMIFS('Outages (event ledger)'!$H$2:$H$65,'Outages (event ledger)'!$A$2:$A$65,AX$2,'Outages (event ledger)'!$E$2:$E$65,"&lt;="&amp;$B103,'Outages (event ledger)'!$G$2:$G$65,"&gt;="&amp;$B103)</f>
        <v>0</v>
      </c>
      <c r="AY103" s="26" t="n">
        <f aca="false">SUMIFS('Outages (event ledger)'!$H$2:$H$65,'Outages (event ledger)'!$A$2:$A$65,AY$2,'Outages (event ledger)'!$E$2:$E$65,"&lt;="&amp;$B103,'Outages (event ledger)'!$G$2:$G$65,"&gt;="&amp;$B103)</f>
        <v>0</v>
      </c>
      <c r="AZ103" s="26" t="n">
        <f aca="false">SUMIFS('Outages (event ledger)'!$H$2:$H$65,'Outages (event ledger)'!$A$2:$A$65,AZ$2,'Outages (event ledger)'!$E$2:$E$65,"&lt;="&amp;$B103,'Outages (event ledger)'!$G$2:$G$65,"&gt;="&amp;$B103)</f>
        <v>0</v>
      </c>
      <c r="BA103" s="26" t="n">
        <f aca="false">SUMIFS('Outages (event ledger)'!$H$2:$H$65,'Outages (event ledger)'!$A$2:$A$65,BA$2,'Outages (event ledger)'!$E$2:$E$65,"&lt;="&amp;$B103,'Outages (event ledger)'!$G$2:$G$65,"&gt;="&amp;$B103)</f>
        <v>0</v>
      </c>
      <c r="BB103" s="26" t="n">
        <f aca="false">SUMIFS('Outages (event ledger)'!$H$2:$H$65,'Outages (event ledger)'!$A$2:$A$65,BB$2,'Outages (event ledger)'!$E$2:$E$65,"&lt;="&amp;$B103,'Outages (event ledger)'!$G$2:$G$65,"&gt;="&amp;$B103)</f>
        <v>0</v>
      </c>
      <c r="BC103" s="26" t="n">
        <f aca="false">SUMIFS('Outages (event ledger)'!$H$2:$H$65,'Outages (event ledger)'!$A$2:$A$65,BC$2,'Outages (event ledger)'!$E$2:$E$65,"&lt;="&amp;$B103,'Outages (event ledger)'!$G$2:$G$65,"&gt;="&amp;$B103)</f>
        <v>0</v>
      </c>
      <c r="BD103" s="26" t="n">
        <f aca="false">SUMIFS('Outages (event ledger)'!$H$2:$H$65,'Outages (event ledger)'!$A$2:$A$65,BD$2,'Outages (event ledger)'!$E$2:$E$65,"&lt;="&amp;$B103,'Outages (event ledger)'!$G$2:$G$65,"&gt;="&amp;$B103)</f>
        <v>0</v>
      </c>
      <c r="BE103" s="26" t="n">
        <f aca="false">SUMIFS('Outages (event ledger)'!$H$2:$H$65,'Outages (event ledger)'!$A$2:$A$65,BE$2,'Outages (event ledger)'!$E$2:$E$65,"&lt;="&amp;$B103,'Outages (event ledger)'!$G$2:$G$65,"&gt;="&amp;$B103)</f>
        <v>0</v>
      </c>
      <c r="BF103" s="26" t="n">
        <f aca="false">SUMIFS('Outages (event ledger)'!$H$2:$H$65,'Outages (event ledger)'!$A$2:$A$65,BF$2,'Outages (event ledger)'!$E$2:$E$65,"&lt;="&amp;$B103,'Outages (event ledger)'!$G$2:$G$65,"&gt;="&amp;$B103)</f>
        <v>0</v>
      </c>
      <c r="BG103" s="26" t="n">
        <f aca="false">SUMIFS('Outages (event ledger)'!$H$2:$H$65,'Outages (event ledger)'!$A$2:$A$65,BG$2,'Outages (event ledger)'!$E$2:$E$65,"&lt;="&amp;$B103,'Outages (event ledger)'!$G$2:$G$65,"&gt;="&amp;$B103)</f>
        <v>0</v>
      </c>
      <c r="BH103" s="26" t="n">
        <f aca="false">SUMIFS('Outages (event ledger)'!$H$2:$H$65,'Outages (event ledger)'!$A$2:$A$65,BH$2,'Outages (event ledger)'!$E$2:$E$65,"&lt;="&amp;$B103,'Outages (event ledger)'!$G$2:$G$65,"&gt;="&amp;$B103)</f>
        <v>0</v>
      </c>
      <c r="BI103" s="26" t="n">
        <f aca="false">SUMIFS('Outages (event ledger)'!$H$2:$H$65,'Outages (event ledger)'!$A$2:$A$65,BI$2,'Outages (event ledger)'!$E$2:$E$65,"&lt;="&amp;$B103,'Outages (event ledger)'!$G$2:$G$65,"&gt;="&amp;$B103)</f>
        <v>6.7</v>
      </c>
    </row>
    <row r="104" customFormat="false" ht="15" hidden="false" customHeight="false" outlineLevel="0" collapsed="false">
      <c r="A104" s="23" t="n">
        <v>43252</v>
      </c>
      <c r="B104" s="24" t="n">
        <v>201806</v>
      </c>
      <c r="C104" s="25" t="n">
        <f aca="false">SUM(D104:BI104)</f>
        <v>25.2</v>
      </c>
      <c r="D104" s="26" t="n">
        <f aca="false">SUMIFS('Outages (event ledger)'!$H$2:$H$65,'Outages (event ledger)'!$A$2:$A$65,D$2,'Outages (event ledger)'!$E$2:$E$65,"&lt;="&amp;$B104,'Outages (event ledger)'!$G$2:$G$65,"&gt;="&amp;$B104)</f>
        <v>0</v>
      </c>
      <c r="E104" s="26" t="n">
        <f aca="false">SUMIFS('Outages (event ledger)'!$H$2:$H$65,'Outages (event ledger)'!$A$2:$A$65,E$2,'Outages (event ledger)'!$E$2:$E$65,"&lt;="&amp;$B104,'Outages (event ledger)'!$G$2:$G$65,"&gt;="&amp;$B104)</f>
        <v>0</v>
      </c>
      <c r="F104" s="26" t="n">
        <f aca="false">SUMIFS('Outages (event ledger)'!$H$2:$H$65,'Outages (event ledger)'!$A$2:$A$65,F$2,'Outages (event ledger)'!$E$2:$E$65,"&lt;="&amp;$B104,'Outages (event ledger)'!$G$2:$G$65,"&gt;="&amp;$B104)</f>
        <v>0</v>
      </c>
      <c r="G104" s="26" t="n">
        <f aca="false">SUMIFS('Outages (event ledger)'!$H$2:$H$65,'Outages (event ledger)'!$A$2:$A$65,G$2,'Outages (event ledger)'!$E$2:$E$65,"&lt;="&amp;$B104,'Outages (event ledger)'!$G$2:$G$65,"&gt;="&amp;$B104)</f>
        <v>0</v>
      </c>
      <c r="H104" s="26" t="n">
        <f aca="false">SUMIFS('Outages (event ledger)'!$H$2:$H$65,'Outages (event ledger)'!$A$2:$A$65,H$2,'Outages (event ledger)'!$E$2:$E$65,"&lt;="&amp;$B104,'Outages (event ledger)'!$G$2:$G$65,"&gt;="&amp;$B104)</f>
        <v>0</v>
      </c>
      <c r="I104" s="26" t="n">
        <f aca="false">SUMIFS('Outages (event ledger)'!$H$2:$H$65,'Outages (event ledger)'!$A$2:$A$65,I$2,'Outages (event ledger)'!$E$2:$E$65,"&lt;="&amp;$B104,'Outages (event ledger)'!$G$2:$G$65,"&gt;="&amp;$B104)</f>
        <v>0</v>
      </c>
      <c r="J104" s="26" t="n">
        <f aca="false">SUMIFS('Outages (event ledger)'!$H$2:$H$65,'Outages (event ledger)'!$A$2:$A$65,J$2,'Outages (event ledger)'!$E$2:$E$65,"&lt;="&amp;$B104,'Outages (event ledger)'!$G$2:$G$65,"&gt;="&amp;$B104)</f>
        <v>0</v>
      </c>
      <c r="K104" s="26" t="n">
        <f aca="false">SUMIFS('Outages (event ledger)'!$H$2:$H$65,'Outages (event ledger)'!$A$2:$A$65,K$2,'Outages (event ledger)'!$E$2:$E$65,"&lt;="&amp;$B104,'Outages (event ledger)'!$G$2:$G$65,"&gt;="&amp;$B104)</f>
        <v>0</v>
      </c>
      <c r="L104" s="26" t="n">
        <f aca="false">SUMIFS('Outages (event ledger)'!$H$2:$H$65,'Outages (event ledger)'!$A$2:$A$65,L$2,'Outages (event ledger)'!$E$2:$E$65,"&lt;="&amp;$B104,'Outages (event ledger)'!$G$2:$G$65,"&gt;="&amp;$B104)</f>
        <v>0</v>
      </c>
      <c r="M104" s="26" t="n">
        <f aca="false">SUMIFS('Outages (event ledger)'!$H$2:$H$65,'Outages (event ledger)'!$A$2:$A$65,M$2,'Outages (event ledger)'!$E$2:$E$65,"&lt;="&amp;$B104,'Outages (event ledger)'!$G$2:$G$65,"&gt;="&amp;$B104)</f>
        <v>0</v>
      </c>
      <c r="N104" s="26" t="n">
        <f aca="false">SUMIFS('Outages (event ledger)'!$H$2:$H$65,'Outages (event ledger)'!$A$2:$A$65,N$2,'Outages (event ledger)'!$E$2:$E$65,"&lt;="&amp;$B104,'Outages (event ledger)'!$G$2:$G$65,"&gt;="&amp;$B104)</f>
        <v>0</v>
      </c>
      <c r="O104" s="26" t="n">
        <f aca="false">SUMIFS('Outages (event ledger)'!$H$2:$H$65,'Outages (event ledger)'!$A$2:$A$65,O$2,'Outages (event ledger)'!$E$2:$E$65,"&lt;="&amp;$B104,'Outages (event ledger)'!$G$2:$G$65,"&gt;="&amp;$B104)</f>
        <v>0</v>
      </c>
      <c r="P104" s="26" t="n">
        <f aca="false">SUMIFS('Outages (event ledger)'!$H$2:$H$65,'Outages (event ledger)'!$A$2:$A$65,P$2,'Outages (event ledger)'!$E$2:$E$65,"&lt;="&amp;$B104,'Outages (event ledger)'!$G$2:$G$65,"&gt;="&amp;$B104)</f>
        <v>0</v>
      </c>
      <c r="Q104" s="26" t="n">
        <f aca="false">SUMIFS('Outages (event ledger)'!$H$2:$H$65,'Outages (event ledger)'!$A$2:$A$65,Q$2,'Outages (event ledger)'!$E$2:$E$65,"&lt;="&amp;$B104,'Outages (event ledger)'!$G$2:$G$65,"&gt;="&amp;$B104)</f>
        <v>0</v>
      </c>
      <c r="R104" s="26" t="n">
        <f aca="false">SUMIFS('Outages (event ledger)'!$H$2:$H$65,'Outages (event ledger)'!$A$2:$A$65,R$2,'Outages (event ledger)'!$E$2:$E$65,"&lt;="&amp;$B104,'Outages (event ledger)'!$G$2:$G$65,"&gt;="&amp;$B104)</f>
        <v>0</v>
      </c>
      <c r="S104" s="26" t="n">
        <f aca="false">SUMIFS('Outages (event ledger)'!$H$2:$H$65,'Outages (event ledger)'!$A$2:$A$65,S$2,'Outages (event ledger)'!$E$2:$E$65,"&lt;="&amp;$B104,'Outages (event ledger)'!$G$2:$G$65,"&gt;="&amp;$B104)</f>
        <v>0</v>
      </c>
      <c r="T104" s="26" t="n">
        <f aca="false">SUMIFS('Outages (event ledger)'!$H$2:$H$65,'Outages (event ledger)'!$A$2:$A$65,T$2,'Outages (event ledger)'!$E$2:$E$65,"&lt;="&amp;$B104,'Outages (event ledger)'!$G$2:$G$65,"&gt;="&amp;$B104)</f>
        <v>0</v>
      </c>
      <c r="U104" s="26" t="n">
        <f aca="false">SUMIFS('Outages (event ledger)'!$H$2:$H$65,'Outages (event ledger)'!$A$2:$A$65,U$2,'Outages (event ledger)'!$E$2:$E$65,"&lt;="&amp;$B104,'Outages (event ledger)'!$G$2:$G$65,"&gt;="&amp;$B104)</f>
        <v>0</v>
      </c>
      <c r="V104" s="26" t="n">
        <f aca="false">SUMIFS('Outages (event ledger)'!$H$2:$H$65,'Outages (event ledger)'!$A$2:$A$65,V$2,'Outages (event ledger)'!$E$2:$E$65,"&lt;="&amp;$B104,'Outages (event ledger)'!$G$2:$G$65,"&gt;="&amp;$B104)</f>
        <v>0</v>
      </c>
      <c r="W104" s="26" t="n">
        <f aca="false">SUMIFS('Outages (event ledger)'!$H$2:$H$65,'Outages (event ledger)'!$A$2:$A$65,W$2,'Outages (event ledger)'!$E$2:$E$65,"&lt;="&amp;$B104,'Outages (event ledger)'!$G$2:$G$65,"&gt;="&amp;$B104)</f>
        <v>0</v>
      </c>
      <c r="X104" s="26" t="n">
        <f aca="false">SUMIFS('Outages (event ledger)'!$H$2:$H$65,'Outages (event ledger)'!$A$2:$A$65,X$2,'Outages (event ledger)'!$E$2:$E$65,"&lt;="&amp;$B104,'Outages (event ledger)'!$G$2:$G$65,"&gt;="&amp;$B104)</f>
        <v>0</v>
      </c>
      <c r="Y104" s="26" t="n">
        <f aca="false">SUMIFS('Outages (event ledger)'!$H$2:$H$65,'Outages (event ledger)'!$A$2:$A$65,Y$2,'Outages (event ledger)'!$E$2:$E$65,"&lt;="&amp;$B104,'Outages (event ledger)'!$G$2:$G$65,"&gt;="&amp;$B104)</f>
        <v>5</v>
      </c>
      <c r="Z104" s="26" t="n">
        <f aca="false">SUMIFS('Outages (event ledger)'!$H$2:$H$65,'Outages (event ledger)'!$A$2:$A$65,Z$2,'Outages (event ledger)'!$E$2:$E$65,"&lt;="&amp;$B104,'Outages (event ledger)'!$G$2:$G$65,"&gt;="&amp;$B104)</f>
        <v>5</v>
      </c>
      <c r="AA104" s="26" t="n">
        <f aca="false">SUMIFS('Outages (event ledger)'!$H$2:$H$65,'Outages (event ledger)'!$A$2:$A$65,AA$2,'Outages (event ledger)'!$E$2:$E$65,"&lt;="&amp;$B104,'Outages (event ledger)'!$G$2:$G$65,"&gt;="&amp;$B104)</f>
        <v>0</v>
      </c>
      <c r="AB104" s="26" t="n">
        <f aca="false">SUMIFS('Outages (event ledger)'!$H$2:$H$65,'Outages (event ledger)'!$A$2:$A$65,AB$2,'Outages (event ledger)'!$E$2:$E$65,"&lt;="&amp;$B104,'Outages (event ledger)'!$G$2:$G$65,"&gt;="&amp;$B104)</f>
        <v>8</v>
      </c>
      <c r="AC104" s="26" t="n">
        <f aca="false">SUMIFS('Outages (event ledger)'!$H$2:$H$65,'Outages (event ledger)'!$A$2:$A$65,AC$2,'Outages (event ledger)'!$E$2:$E$65,"&lt;="&amp;$B104,'Outages (event ledger)'!$G$2:$G$65,"&gt;="&amp;$B104)</f>
        <v>0</v>
      </c>
      <c r="AD104" s="26" t="n">
        <f aca="false">SUMIFS('Outages (event ledger)'!$H$2:$H$65,'Outages (event ledger)'!$A$2:$A$65,AD$2,'Outages (event ledger)'!$E$2:$E$65,"&lt;="&amp;$B104,'Outages (event ledger)'!$G$2:$G$65,"&gt;="&amp;$B104)</f>
        <v>0</v>
      </c>
      <c r="AE104" s="26" t="n">
        <f aca="false">SUMIFS('Outages (event ledger)'!$H$2:$H$65,'Outages (event ledger)'!$A$2:$A$65,AE$2,'Outages (event ledger)'!$E$2:$E$65,"&lt;="&amp;$B104,'Outages (event ledger)'!$G$2:$G$65,"&gt;="&amp;$B104)</f>
        <v>0</v>
      </c>
      <c r="AF104" s="26" t="n">
        <f aca="false">SUMIFS('Outages (event ledger)'!$H$2:$H$65,'Outages (event ledger)'!$A$2:$A$65,AF$2,'Outages (event ledger)'!$E$2:$E$65,"&lt;="&amp;$B104,'Outages (event ledger)'!$G$2:$G$65,"&gt;="&amp;$B104)</f>
        <v>0</v>
      </c>
      <c r="AG104" s="26" t="n">
        <f aca="false">SUMIFS('Outages (event ledger)'!$H$2:$H$65,'Outages (event ledger)'!$A$2:$A$65,AG$2,'Outages (event ledger)'!$E$2:$E$65,"&lt;="&amp;$B104,'Outages (event ledger)'!$G$2:$G$65,"&gt;="&amp;$B104)</f>
        <v>0</v>
      </c>
      <c r="AH104" s="26" t="n">
        <f aca="false">SUMIFS('Outages (event ledger)'!$H$2:$H$65,'Outages (event ledger)'!$A$2:$A$65,AH$2,'Outages (event ledger)'!$E$2:$E$65,"&lt;="&amp;$B104,'Outages (event ledger)'!$G$2:$G$65,"&gt;="&amp;$B104)</f>
        <v>0</v>
      </c>
      <c r="AI104" s="26" t="n">
        <f aca="false">SUMIFS('Outages (event ledger)'!$H$2:$H$65,'Outages (event ledger)'!$A$2:$A$65,AI$2,'Outages (event ledger)'!$E$2:$E$65,"&lt;="&amp;$B104,'Outages (event ledger)'!$G$2:$G$65,"&gt;="&amp;$B104)</f>
        <v>0</v>
      </c>
      <c r="AJ104" s="26" t="n">
        <f aca="false">SUMIFS('Outages (event ledger)'!$H$2:$H$65,'Outages (event ledger)'!$A$2:$A$65,AJ$2,'Outages (event ledger)'!$E$2:$E$65,"&lt;="&amp;$B104,'Outages (event ledger)'!$G$2:$G$65,"&gt;="&amp;$B104)</f>
        <v>0</v>
      </c>
      <c r="AK104" s="26" t="n">
        <f aca="false">SUMIFS('Outages (event ledger)'!$H$2:$H$65,'Outages (event ledger)'!$A$2:$A$65,AK$2,'Outages (event ledger)'!$E$2:$E$65,"&lt;="&amp;$B104,'Outages (event ledger)'!$G$2:$G$65,"&gt;="&amp;$B104)</f>
        <v>0</v>
      </c>
      <c r="AL104" s="26" t="n">
        <f aca="false">SUMIFS('Outages (event ledger)'!$H$2:$H$65,'Outages (event ledger)'!$A$2:$A$65,AL$2,'Outages (event ledger)'!$E$2:$E$65,"&lt;="&amp;$B104,'Outages (event ledger)'!$G$2:$G$65,"&gt;="&amp;$B104)</f>
        <v>0</v>
      </c>
      <c r="AM104" s="26" t="n">
        <f aca="false">SUMIFS('Outages (event ledger)'!$H$2:$H$65,'Outages (event ledger)'!$A$2:$A$65,AM$2,'Outages (event ledger)'!$E$2:$E$65,"&lt;="&amp;$B104,'Outages (event ledger)'!$G$2:$G$65,"&gt;="&amp;$B104)</f>
        <v>0</v>
      </c>
      <c r="AN104" s="26" t="n">
        <f aca="false">SUMIFS('Outages (event ledger)'!$H$2:$H$65,'Outages (event ledger)'!$A$2:$A$65,AN$2,'Outages (event ledger)'!$E$2:$E$65,"&lt;="&amp;$B104,'Outages (event ledger)'!$G$2:$G$65,"&gt;="&amp;$B104)</f>
        <v>0</v>
      </c>
      <c r="AO104" s="26" t="n">
        <f aca="false">SUMIFS('Outages (event ledger)'!$H$2:$H$65,'Outages (event ledger)'!$A$2:$A$65,AO$2,'Outages (event ledger)'!$E$2:$E$65,"&lt;="&amp;$B104,'Outages (event ledger)'!$G$2:$G$65,"&gt;="&amp;$B104)</f>
        <v>0</v>
      </c>
      <c r="AP104" s="26" t="n">
        <f aca="false">SUMIFS('Outages (event ledger)'!$H$2:$H$65,'Outages (event ledger)'!$A$2:$A$65,AP$2,'Outages (event ledger)'!$E$2:$E$65,"&lt;="&amp;$B104,'Outages (event ledger)'!$G$2:$G$65,"&gt;="&amp;$B104)</f>
        <v>0</v>
      </c>
      <c r="AQ104" s="26" t="n">
        <f aca="false">SUMIFS('Outages (event ledger)'!$H$2:$H$65,'Outages (event ledger)'!$A$2:$A$65,AQ$2,'Outages (event ledger)'!$E$2:$E$65,"&lt;="&amp;$B104,'Outages (event ledger)'!$G$2:$G$65,"&gt;="&amp;$B104)</f>
        <v>0</v>
      </c>
      <c r="AR104" s="26" t="n">
        <f aca="false">SUMIFS('Outages (event ledger)'!$H$2:$H$65,'Outages (event ledger)'!$A$2:$A$65,AR$2,'Outages (event ledger)'!$E$2:$E$65,"&lt;="&amp;$B104,'Outages (event ledger)'!$G$2:$G$65,"&gt;="&amp;$B104)</f>
        <v>0</v>
      </c>
      <c r="AS104" s="26" t="n">
        <f aca="false">SUMIFS('Outages (event ledger)'!$H$2:$H$65,'Outages (event ledger)'!$A$2:$A$65,AS$2,'Outages (event ledger)'!$E$2:$E$65,"&lt;="&amp;$B104,'Outages (event ledger)'!$G$2:$G$65,"&gt;="&amp;$B104)</f>
        <v>0</v>
      </c>
      <c r="AT104" s="26" t="n">
        <f aca="false">SUMIFS('Outages (event ledger)'!$H$2:$H$65,'Outages (event ledger)'!$A$2:$A$65,AT$2,'Outages (event ledger)'!$E$2:$E$65,"&lt;="&amp;$B104,'Outages (event ledger)'!$G$2:$G$65,"&gt;="&amp;$B104)</f>
        <v>0</v>
      </c>
      <c r="AU104" s="26" t="n">
        <f aca="false">SUMIFS('Outages (event ledger)'!$H$2:$H$65,'Outages (event ledger)'!$A$2:$A$65,AU$2,'Outages (event ledger)'!$E$2:$E$65,"&lt;="&amp;$B104,'Outages (event ledger)'!$G$2:$G$65,"&gt;="&amp;$B104)</f>
        <v>0</v>
      </c>
      <c r="AV104" s="26" t="n">
        <f aca="false">SUMIFS('Outages (event ledger)'!$H$2:$H$65,'Outages (event ledger)'!$A$2:$A$65,AV$2,'Outages (event ledger)'!$E$2:$E$65,"&lt;="&amp;$B104,'Outages (event ledger)'!$G$2:$G$65,"&gt;="&amp;$B104)</f>
        <v>0</v>
      </c>
      <c r="AW104" s="26" t="n">
        <f aca="false">SUMIFS('Outages (event ledger)'!$H$2:$H$65,'Outages (event ledger)'!$A$2:$A$65,AW$2,'Outages (event ledger)'!$E$2:$E$65,"&lt;="&amp;$B104,'Outages (event ledger)'!$G$2:$G$65,"&gt;="&amp;$B104)</f>
        <v>0.5</v>
      </c>
      <c r="AX104" s="26" t="n">
        <f aca="false">SUMIFS('Outages (event ledger)'!$H$2:$H$65,'Outages (event ledger)'!$A$2:$A$65,AX$2,'Outages (event ledger)'!$E$2:$E$65,"&lt;="&amp;$B104,'Outages (event ledger)'!$G$2:$G$65,"&gt;="&amp;$B104)</f>
        <v>0</v>
      </c>
      <c r="AY104" s="26" t="n">
        <f aca="false">SUMIFS('Outages (event ledger)'!$H$2:$H$65,'Outages (event ledger)'!$A$2:$A$65,AY$2,'Outages (event ledger)'!$E$2:$E$65,"&lt;="&amp;$B104,'Outages (event ledger)'!$G$2:$G$65,"&gt;="&amp;$B104)</f>
        <v>0</v>
      </c>
      <c r="AZ104" s="26" t="n">
        <f aca="false">SUMIFS('Outages (event ledger)'!$H$2:$H$65,'Outages (event ledger)'!$A$2:$A$65,AZ$2,'Outages (event ledger)'!$E$2:$E$65,"&lt;="&amp;$B104,'Outages (event ledger)'!$G$2:$G$65,"&gt;="&amp;$B104)</f>
        <v>0</v>
      </c>
      <c r="BA104" s="26" t="n">
        <f aca="false">SUMIFS('Outages (event ledger)'!$H$2:$H$65,'Outages (event ledger)'!$A$2:$A$65,BA$2,'Outages (event ledger)'!$E$2:$E$65,"&lt;="&amp;$B104,'Outages (event ledger)'!$G$2:$G$65,"&gt;="&amp;$B104)</f>
        <v>0</v>
      </c>
      <c r="BB104" s="26" t="n">
        <f aca="false">SUMIFS('Outages (event ledger)'!$H$2:$H$65,'Outages (event ledger)'!$A$2:$A$65,BB$2,'Outages (event ledger)'!$E$2:$E$65,"&lt;="&amp;$B104,'Outages (event ledger)'!$G$2:$G$65,"&gt;="&amp;$B104)</f>
        <v>0</v>
      </c>
      <c r="BC104" s="26" t="n">
        <f aca="false">SUMIFS('Outages (event ledger)'!$H$2:$H$65,'Outages (event ledger)'!$A$2:$A$65,BC$2,'Outages (event ledger)'!$E$2:$E$65,"&lt;="&amp;$B104,'Outages (event ledger)'!$G$2:$G$65,"&gt;="&amp;$B104)</f>
        <v>0</v>
      </c>
      <c r="BD104" s="26" t="n">
        <f aca="false">SUMIFS('Outages (event ledger)'!$H$2:$H$65,'Outages (event ledger)'!$A$2:$A$65,BD$2,'Outages (event ledger)'!$E$2:$E$65,"&lt;="&amp;$B104,'Outages (event ledger)'!$G$2:$G$65,"&gt;="&amp;$B104)</f>
        <v>0</v>
      </c>
      <c r="BE104" s="26" t="n">
        <f aca="false">SUMIFS('Outages (event ledger)'!$H$2:$H$65,'Outages (event ledger)'!$A$2:$A$65,BE$2,'Outages (event ledger)'!$E$2:$E$65,"&lt;="&amp;$B104,'Outages (event ledger)'!$G$2:$G$65,"&gt;="&amp;$B104)</f>
        <v>0</v>
      </c>
      <c r="BF104" s="26" t="n">
        <f aca="false">SUMIFS('Outages (event ledger)'!$H$2:$H$65,'Outages (event ledger)'!$A$2:$A$65,BF$2,'Outages (event ledger)'!$E$2:$E$65,"&lt;="&amp;$B104,'Outages (event ledger)'!$G$2:$G$65,"&gt;="&amp;$B104)</f>
        <v>0</v>
      </c>
      <c r="BG104" s="26" t="n">
        <f aca="false">SUMIFS('Outages (event ledger)'!$H$2:$H$65,'Outages (event ledger)'!$A$2:$A$65,BG$2,'Outages (event ledger)'!$E$2:$E$65,"&lt;="&amp;$B104,'Outages (event ledger)'!$G$2:$G$65,"&gt;="&amp;$B104)</f>
        <v>0</v>
      </c>
      <c r="BH104" s="26" t="n">
        <f aca="false">SUMIFS('Outages (event ledger)'!$H$2:$H$65,'Outages (event ledger)'!$A$2:$A$65,BH$2,'Outages (event ledger)'!$E$2:$E$65,"&lt;="&amp;$B104,'Outages (event ledger)'!$G$2:$G$65,"&gt;="&amp;$B104)</f>
        <v>0</v>
      </c>
      <c r="BI104" s="26" t="n">
        <f aca="false">SUMIFS('Outages (event ledger)'!$H$2:$H$65,'Outages (event ledger)'!$A$2:$A$65,BI$2,'Outages (event ledger)'!$E$2:$E$65,"&lt;="&amp;$B104,'Outages (event ledger)'!$G$2:$G$65,"&gt;="&amp;$B104)</f>
        <v>6.7</v>
      </c>
    </row>
    <row r="105" customFormat="false" ht="15" hidden="false" customHeight="false" outlineLevel="0" collapsed="false">
      <c r="A105" s="23" t="n">
        <v>43282</v>
      </c>
      <c r="B105" s="24" t="n">
        <v>201807</v>
      </c>
      <c r="C105" s="25" t="n">
        <f aca="false">SUM(D105:BI105)</f>
        <v>25.2</v>
      </c>
      <c r="D105" s="26" t="n">
        <f aca="false">SUMIFS('Outages (event ledger)'!$H$2:$H$65,'Outages (event ledger)'!$A$2:$A$65,D$2,'Outages (event ledger)'!$E$2:$E$65,"&lt;="&amp;$B105,'Outages (event ledger)'!$G$2:$G$65,"&gt;="&amp;$B105)</f>
        <v>0</v>
      </c>
      <c r="E105" s="26" t="n">
        <f aca="false">SUMIFS('Outages (event ledger)'!$H$2:$H$65,'Outages (event ledger)'!$A$2:$A$65,E$2,'Outages (event ledger)'!$E$2:$E$65,"&lt;="&amp;$B105,'Outages (event ledger)'!$G$2:$G$65,"&gt;="&amp;$B105)</f>
        <v>0</v>
      </c>
      <c r="F105" s="26" t="n">
        <f aca="false">SUMIFS('Outages (event ledger)'!$H$2:$H$65,'Outages (event ledger)'!$A$2:$A$65,F$2,'Outages (event ledger)'!$E$2:$E$65,"&lt;="&amp;$B105,'Outages (event ledger)'!$G$2:$G$65,"&gt;="&amp;$B105)</f>
        <v>0</v>
      </c>
      <c r="G105" s="26" t="n">
        <f aca="false">SUMIFS('Outages (event ledger)'!$H$2:$H$65,'Outages (event ledger)'!$A$2:$A$65,G$2,'Outages (event ledger)'!$E$2:$E$65,"&lt;="&amp;$B105,'Outages (event ledger)'!$G$2:$G$65,"&gt;="&amp;$B105)</f>
        <v>0</v>
      </c>
      <c r="H105" s="26" t="n">
        <f aca="false">SUMIFS('Outages (event ledger)'!$H$2:$H$65,'Outages (event ledger)'!$A$2:$A$65,H$2,'Outages (event ledger)'!$E$2:$E$65,"&lt;="&amp;$B105,'Outages (event ledger)'!$G$2:$G$65,"&gt;="&amp;$B105)</f>
        <v>0</v>
      </c>
      <c r="I105" s="26" t="n">
        <f aca="false">SUMIFS('Outages (event ledger)'!$H$2:$H$65,'Outages (event ledger)'!$A$2:$A$65,I$2,'Outages (event ledger)'!$E$2:$E$65,"&lt;="&amp;$B105,'Outages (event ledger)'!$G$2:$G$65,"&gt;="&amp;$B105)</f>
        <v>0</v>
      </c>
      <c r="J105" s="26" t="n">
        <f aca="false">SUMIFS('Outages (event ledger)'!$H$2:$H$65,'Outages (event ledger)'!$A$2:$A$65,J$2,'Outages (event ledger)'!$E$2:$E$65,"&lt;="&amp;$B105,'Outages (event ledger)'!$G$2:$G$65,"&gt;="&amp;$B105)</f>
        <v>0</v>
      </c>
      <c r="K105" s="26" t="n">
        <f aca="false">SUMIFS('Outages (event ledger)'!$H$2:$H$65,'Outages (event ledger)'!$A$2:$A$65,K$2,'Outages (event ledger)'!$E$2:$E$65,"&lt;="&amp;$B105,'Outages (event ledger)'!$G$2:$G$65,"&gt;="&amp;$B105)</f>
        <v>0</v>
      </c>
      <c r="L105" s="26" t="n">
        <f aca="false">SUMIFS('Outages (event ledger)'!$H$2:$H$65,'Outages (event ledger)'!$A$2:$A$65,L$2,'Outages (event ledger)'!$E$2:$E$65,"&lt;="&amp;$B105,'Outages (event ledger)'!$G$2:$G$65,"&gt;="&amp;$B105)</f>
        <v>0</v>
      </c>
      <c r="M105" s="26" t="n">
        <f aca="false">SUMIFS('Outages (event ledger)'!$H$2:$H$65,'Outages (event ledger)'!$A$2:$A$65,M$2,'Outages (event ledger)'!$E$2:$E$65,"&lt;="&amp;$B105,'Outages (event ledger)'!$G$2:$G$65,"&gt;="&amp;$B105)</f>
        <v>0</v>
      </c>
      <c r="N105" s="26" t="n">
        <f aca="false">SUMIFS('Outages (event ledger)'!$H$2:$H$65,'Outages (event ledger)'!$A$2:$A$65,N$2,'Outages (event ledger)'!$E$2:$E$65,"&lt;="&amp;$B105,'Outages (event ledger)'!$G$2:$G$65,"&gt;="&amp;$B105)</f>
        <v>0</v>
      </c>
      <c r="O105" s="26" t="n">
        <f aca="false">SUMIFS('Outages (event ledger)'!$H$2:$H$65,'Outages (event ledger)'!$A$2:$A$65,O$2,'Outages (event ledger)'!$E$2:$E$65,"&lt;="&amp;$B105,'Outages (event ledger)'!$G$2:$G$65,"&gt;="&amp;$B105)</f>
        <v>0</v>
      </c>
      <c r="P105" s="26" t="n">
        <f aca="false">SUMIFS('Outages (event ledger)'!$H$2:$H$65,'Outages (event ledger)'!$A$2:$A$65,P$2,'Outages (event ledger)'!$E$2:$E$65,"&lt;="&amp;$B105,'Outages (event ledger)'!$G$2:$G$65,"&gt;="&amp;$B105)</f>
        <v>0</v>
      </c>
      <c r="Q105" s="26" t="n">
        <f aca="false">SUMIFS('Outages (event ledger)'!$H$2:$H$65,'Outages (event ledger)'!$A$2:$A$65,Q$2,'Outages (event ledger)'!$E$2:$E$65,"&lt;="&amp;$B105,'Outages (event ledger)'!$G$2:$G$65,"&gt;="&amp;$B105)</f>
        <v>0</v>
      </c>
      <c r="R105" s="26" t="n">
        <f aca="false">SUMIFS('Outages (event ledger)'!$H$2:$H$65,'Outages (event ledger)'!$A$2:$A$65,R$2,'Outages (event ledger)'!$E$2:$E$65,"&lt;="&amp;$B105,'Outages (event ledger)'!$G$2:$G$65,"&gt;="&amp;$B105)</f>
        <v>0</v>
      </c>
      <c r="S105" s="26" t="n">
        <f aca="false">SUMIFS('Outages (event ledger)'!$H$2:$H$65,'Outages (event ledger)'!$A$2:$A$65,S$2,'Outages (event ledger)'!$E$2:$E$65,"&lt;="&amp;$B105,'Outages (event ledger)'!$G$2:$G$65,"&gt;="&amp;$B105)</f>
        <v>0</v>
      </c>
      <c r="T105" s="26" t="n">
        <f aca="false">SUMIFS('Outages (event ledger)'!$H$2:$H$65,'Outages (event ledger)'!$A$2:$A$65,T$2,'Outages (event ledger)'!$E$2:$E$65,"&lt;="&amp;$B105,'Outages (event ledger)'!$G$2:$G$65,"&gt;="&amp;$B105)</f>
        <v>0</v>
      </c>
      <c r="U105" s="26" t="n">
        <f aca="false">SUMIFS('Outages (event ledger)'!$H$2:$H$65,'Outages (event ledger)'!$A$2:$A$65,U$2,'Outages (event ledger)'!$E$2:$E$65,"&lt;="&amp;$B105,'Outages (event ledger)'!$G$2:$G$65,"&gt;="&amp;$B105)</f>
        <v>0</v>
      </c>
      <c r="V105" s="26" t="n">
        <f aca="false">SUMIFS('Outages (event ledger)'!$H$2:$H$65,'Outages (event ledger)'!$A$2:$A$65,V$2,'Outages (event ledger)'!$E$2:$E$65,"&lt;="&amp;$B105,'Outages (event ledger)'!$G$2:$G$65,"&gt;="&amp;$B105)</f>
        <v>0</v>
      </c>
      <c r="W105" s="26" t="n">
        <f aca="false">SUMIFS('Outages (event ledger)'!$H$2:$H$65,'Outages (event ledger)'!$A$2:$A$65,W$2,'Outages (event ledger)'!$E$2:$E$65,"&lt;="&amp;$B105,'Outages (event ledger)'!$G$2:$G$65,"&gt;="&amp;$B105)</f>
        <v>0</v>
      </c>
      <c r="X105" s="26" t="n">
        <f aca="false">SUMIFS('Outages (event ledger)'!$H$2:$H$65,'Outages (event ledger)'!$A$2:$A$65,X$2,'Outages (event ledger)'!$E$2:$E$65,"&lt;="&amp;$B105,'Outages (event ledger)'!$G$2:$G$65,"&gt;="&amp;$B105)</f>
        <v>0</v>
      </c>
      <c r="Y105" s="26" t="n">
        <f aca="false">SUMIFS('Outages (event ledger)'!$H$2:$H$65,'Outages (event ledger)'!$A$2:$A$65,Y$2,'Outages (event ledger)'!$E$2:$E$65,"&lt;="&amp;$B105,'Outages (event ledger)'!$G$2:$G$65,"&gt;="&amp;$B105)</f>
        <v>5</v>
      </c>
      <c r="Z105" s="26" t="n">
        <f aca="false">SUMIFS('Outages (event ledger)'!$H$2:$H$65,'Outages (event ledger)'!$A$2:$A$65,Z$2,'Outages (event ledger)'!$E$2:$E$65,"&lt;="&amp;$B105,'Outages (event ledger)'!$G$2:$G$65,"&gt;="&amp;$B105)</f>
        <v>5</v>
      </c>
      <c r="AA105" s="26" t="n">
        <f aca="false">SUMIFS('Outages (event ledger)'!$H$2:$H$65,'Outages (event ledger)'!$A$2:$A$65,AA$2,'Outages (event ledger)'!$E$2:$E$65,"&lt;="&amp;$B105,'Outages (event ledger)'!$G$2:$G$65,"&gt;="&amp;$B105)</f>
        <v>0</v>
      </c>
      <c r="AB105" s="26" t="n">
        <f aca="false">SUMIFS('Outages (event ledger)'!$H$2:$H$65,'Outages (event ledger)'!$A$2:$A$65,AB$2,'Outages (event ledger)'!$E$2:$E$65,"&lt;="&amp;$B105,'Outages (event ledger)'!$G$2:$G$65,"&gt;="&amp;$B105)</f>
        <v>8</v>
      </c>
      <c r="AC105" s="26" t="n">
        <f aca="false">SUMIFS('Outages (event ledger)'!$H$2:$H$65,'Outages (event ledger)'!$A$2:$A$65,AC$2,'Outages (event ledger)'!$E$2:$E$65,"&lt;="&amp;$B105,'Outages (event ledger)'!$G$2:$G$65,"&gt;="&amp;$B105)</f>
        <v>0</v>
      </c>
      <c r="AD105" s="26" t="n">
        <f aca="false">SUMIFS('Outages (event ledger)'!$H$2:$H$65,'Outages (event ledger)'!$A$2:$A$65,AD$2,'Outages (event ledger)'!$E$2:$E$65,"&lt;="&amp;$B105,'Outages (event ledger)'!$G$2:$G$65,"&gt;="&amp;$B105)</f>
        <v>0</v>
      </c>
      <c r="AE105" s="26" t="n">
        <f aca="false">SUMIFS('Outages (event ledger)'!$H$2:$H$65,'Outages (event ledger)'!$A$2:$A$65,AE$2,'Outages (event ledger)'!$E$2:$E$65,"&lt;="&amp;$B105,'Outages (event ledger)'!$G$2:$G$65,"&gt;="&amp;$B105)</f>
        <v>0</v>
      </c>
      <c r="AF105" s="26" t="n">
        <f aca="false">SUMIFS('Outages (event ledger)'!$H$2:$H$65,'Outages (event ledger)'!$A$2:$A$65,AF$2,'Outages (event ledger)'!$E$2:$E$65,"&lt;="&amp;$B105,'Outages (event ledger)'!$G$2:$G$65,"&gt;="&amp;$B105)</f>
        <v>0</v>
      </c>
      <c r="AG105" s="26" t="n">
        <f aca="false">SUMIFS('Outages (event ledger)'!$H$2:$H$65,'Outages (event ledger)'!$A$2:$A$65,AG$2,'Outages (event ledger)'!$E$2:$E$65,"&lt;="&amp;$B105,'Outages (event ledger)'!$G$2:$G$65,"&gt;="&amp;$B105)</f>
        <v>0</v>
      </c>
      <c r="AH105" s="26" t="n">
        <f aca="false">SUMIFS('Outages (event ledger)'!$H$2:$H$65,'Outages (event ledger)'!$A$2:$A$65,AH$2,'Outages (event ledger)'!$E$2:$E$65,"&lt;="&amp;$B105,'Outages (event ledger)'!$G$2:$G$65,"&gt;="&amp;$B105)</f>
        <v>0</v>
      </c>
      <c r="AI105" s="26" t="n">
        <f aca="false">SUMIFS('Outages (event ledger)'!$H$2:$H$65,'Outages (event ledger)'!$A$2:$A$65,AI$2,'Outages (event ledger)'!$E$2:$E$65,"&lt;="&amp;$B105,'Outages (event ledger)'!$G$2:$G$65,"&gt;="&amp;$B105)</f>
        <v>0</v>
      </c>
      <c r="AJ105" s="26" t="n">
        <f aca="false">SUMIFS('Outages (event ledger)'!$H$2:$H$65,'Outages (event ledger)'!$A$2:$A$65,AJ$2,'Outages (event ledger)'!$E$2:$E$65,"&lt;="&amp;$B105,'Outages (event ledger)'!$G$2:$G$65,"&gt;="&amp;$B105)</f>
        <v>0</v>
      </c>
      <c r="AK105" s="26" t="n">
        <f aca="false">SUMIFS('Outages (event ledger)'!$H$2:$H$65,'Outages (event ledger)'!$A$2:$A$65,AK$2,'Outages (event ledger)'!$E$2:$E$65,"&lt;="&amp;$B105,'Outages (event ledger)'!$G$2:$G$65,"&gt;="&amp;$B105)</f>
        <v>0</v>
      </c>
      <c r="AL105" s="26" t="n">
        <f aca="false">SUMIFS('Outages (event ledger)'!$H$2:$H$65,'Outages (event ledger)'!$A$2:$A$65,AL$2,'Outages (event ledger)'!$E$2:$E$65,"&lt;="&amp;$B105,'Outages (event ledger)'!$G$2:$G$65,"&gt;="&amp;$B105)</f>
        <v>0</v>
      </c>
      <c r="AM105" s="26" t="n">
        <f aca="false">SUMIFS('Outages (event ledger)'!$H$2:$H$65,'Outages (event ledger)'!$A$2:$A$65,AM$2,'Outages (event ledger)'!$E$2:$E$65,"&lt;="&amp;$B105,'Outages (event ledger)'!$G$2:$G$65,"&gt;="&amp;$B105)</f>
        <v>0</v>
      </c>
      <c r="AN105" s="26" t="n">
        <f aca="false">SUMIFS('Outages (event ledger)'!$H$2:$H$65,'Outages (event ledger)'!$A$2:$A$65,AN$2,'Outages (event ledger)'!$E$2:$E$65,"&lt;="&amp;$B105,'Outages (event ledger)'!$G$2:$G$65,"&gt;="&amp;$B105)</f>
        <v>0</v>
      </c>
      <c r="AO105" s="26" t="n">
        <f aca="false">SUMIFS('Outages (event ledger)'!$H$2:$H$65,'Outages (event ledger)'!$A$2:$A$65,AO$2,'Outages (event ledger)'!$E$2:$E$65,"&lt;="&amp;$B105,'Outages (event ledger)'!$G$2:$G$65,"&gt;="&amp;$B105)</f>
        <v>0</v>
      </c>
      <c r="AP105" s="26" t="n">
        <f aca="false">SUMIFS('Outages (event ledger)'!$H$2:$H$65,'Outages (event ledger)'!$A$2:$A$65,AP$2,'Outages (event ledger)'!$E$2:$E$65,"&lt;="&amp;$B105,'Outages (event ledger)'!$G$2:$G$65,"&gt;="&amp;$B105)</f>
        <v>0</v>
      </c>
      <c r="AQ105" s="26" t="n">
        <f aca="false">SUMIFS('Outages (event ledger)'!$H$2:$H$65,'Outages (event ledger)'!$A$2:$A$65,AQ$2,'Outages (event ledger)'!$E$2:$E$65,"&lt;="&amp;$B105,'Outages (event ledger)'!$G$2:$G$65,"&gt;="&amp;$B105)</f>
        <v>0</v>
      </c>
      <c r="AR105" s="26" t="n">
        <f aca="false">SUMIFS('Outages (event ledger)'!$H$2:$H$65,'Outages (event ledger)'!$A$2:$A$65,AR$2,'Outages (event ledger)'!$E$2:$E$65,"&lt;="&amp;$B105,'Outages (event ledger)'!$G$2:$G$65,"&gt;="&amp;$B105)</f>
        <v>0</v>
      </c>
      <c r="AS105" s="26" t="n">
        <f aca="false">SUMIFS('Outages (event ledger)'!$H$2:$H$65,'Outages (event ledger)'!$A$2:$A$65,AS$2,'Outages (event ledger)'!$E$2:$E$65,"&lt;="&amp;$B105,'Outages (event ledger)'!$G$2:$G$65,"&gt;="&amp;$B105)</f>
        <v>0</v>
      </c>
      <c r="AT105" s="26" t="n">
        <f aca="false">SUMIFS('Outages (event ledger)'!$H$2:$H$65,'Outages (event ledger)'!$A$2:$A$65,AT$2,'Outages (event ledger)'!$E$2:$E$65,"&lt;="&amp;$B105,'Outages (event ledger)'!$G$2:$G$65,"&gt;="&amp;$B105)</f>
        <v>0</v>
      </c>
      <c r="AU105" s="26" t="n">
        <f aca="false">SUMIFS('Outages (event ledger)'!$H$2:$H$65,'Outages (event ledger)'!$A$2:$A$65,AU$2,'Outages (event ledger)'!$E$2:$E$65,"&lt;="&amp;$B105,'Outages (event ledger)'!$G$2:$G$65,"&gt;="&amp;$B105)</f>
        <v>0</v>
      </c>
      <c r="AV105" s="26" t="n">
        <f aca="false">SUMIFS('Outages (event ledger)'!$H$2:$H$65,'Outages (event ledger)'!$A$2:$A$65,AV$2,'Outages (event ledger)'!$E$2:$E$65,"&lt;="&amp;$B105,'Outages (event ledger)'!$G$2:$G$65,"&gt;="&amp;$B105)</f>
        <v>0</v>
      </c>
      <c r="AW105" s="26" t="n">
        <f aca="false">SUMIFS('Outages (event ledger)'!$H$2:$H$65,'Outages (event ledger)'!$A$2:$A$65,AW$2,'Outages (event ledger)'!$E$2:$E$65,"&lt;="&amp;$B105,'Outages (event ledger)'!$G$2:$G$65,"&gt;="&amp;$B105)</f>
        <v>0.5</v>
      </c>
      <c r="AX105" s="26" t="n">
        <f aca="false">SUMIFS('Outages (event ledger)'!$H$2:$H$65,'Outages (event ledger)'!$A$2:$A$65,AX$2,'Outages (event ledger)'!$E$2:$E$65,"&lt;="&amp;$B105,'Outages (event ledger)'!$G$2:$G$65,"&gt;="&amp;$B105)</f>
        <v>0</v>
      </c>
      <c r="AY105" s="26" t="n">
        <f aca="false">SUMIFS('Outages (event ledger)'!$H$2:$H$65,'Outages (event ledger)'!$A$2:$A$65,AY$2,'Outages (event ledger)'!$E$2:$E$65,"&lt;="&amp;$B105,'Outages (event ledger)'!$G$2:$G$65,"&gt;="&amp;$B105)</f>
        <v>0</v>
      </c>
      <c r="AZ105" s="26" t="n">
        <f aca="false">SUMIFS('Outages (event ledger)'!$H$2:$H$65,'Outages (event ledger)'!$A$2:$A$65,AZ$2,'Outages (event ledger)'!$E$2:$E$65,"&lt;="&amp;$B105,'Outages (event ledger)'!$G$2:$G$65,"&gt;="&amp;$B105)</f>
        <v>0</v>
      </c>
      <c r="BA105" s="26" t="n">
        <f aca="false">SUMIFS('Outages (event ledger)'!$H$2:$H$65,'Outages (event ledger)'!$A$2:$A$65,BA$2,'Outages (event ledger)'!$E$2:$E$65,"&lt;="&amp;$B105,'Outages (event ledger)'!$G$2:$G$65,"&gt;="&amp;$B105)</f>
        <v>0</v>
      </c>
      <c r="BB105" s="26" t="n">
        <f aca="false">SUMIFS('Outages (event ledger)'!$H$2:$H$65,'Outages (event ledger)'!$A$2:$A$65,BB$2,'Outages (event ledger)'!$E$2:$E$65,"&lt;="&amp;$B105,'Outages (event ledger)'!$G$2:$G$65,"&gt;="&amp;$B105)</f>
        <v>0</v>
      </c>
      <c r="BC105" s="26" t="n">
        <f aca="false">SUMIFS('Outages (event ledger)'!$H$2:$H$65,'Outages (event ledger)'!$A$2:$A$65,BC$2,'Outages (event ledger)'!$E$2:$E$65,"&lt;="&amp;$B105,'Outages (event ledger)'!$G$2:$G$65,"&gt;="&amp;$B105)</f>
        <v>0</v>
      </c>
      <c r="BD105" s="26" t="n">
        <f aca="false">SUMIFS('Outages (event ledger)'!$H$2:$H$65,'Outages (event ledger)'!$A$2:$A$65,BD$2,'Outages (event ledger)'!$E$2:$E$65,"&lt;="&amp;$B105,'Outages (event ledger)'!$G$2:$G$65,"&gt;="&amp;$B105)</f>
        <v>0</v>
      </c>
      <c r="BE105" s="26" t="n">
        <f aca="false">SUMIFS('Outages (event ledger)'!$H$2:$H$65,'Outages (event ledger)'!$A$2:$A$65,BE$2,'Outages (event ledger)'!$E$2:$E$65,"&lt;="&amp;$B105,'Outages (event ledger)'!$G$2:$G$65,"&gt;="&amp;$B105)</f>
        <v>0</v>
      </c>
      <c r="BF105" s="26" t="n">
        <f aca="false">SUMIFS('Outages (event ledger)'!$H$2:$H$65,'Outages (event ledger)'!$A$2:$A$65,BF$2,'Outages (event ledger)'!$E$2:$E$65,"&lt;="&amp;$B105,'Outages (event ledger)'!$G$2:$G$65,"&gt;="&amp;$B105)</f>
        <v>0</v>
      </c>
      <c r="BG105" s="26" t="n">
        <f aca="false">SUMIFS('Outages (event ledger)'!$H$2:$H$65,'Outages (event ledger)'!$A$2:$A$65,BG$2,'Outages (event ledger)'!$E$2:$E$65,"&lt;="&amp;$B105,'Outages (event ledger)'!$G$2:$G$65,"&gt;="&amp;$B105)</f>
        <v>0</v>
      </c>
      <c r="BH105" s="26" t="n">
        <f aca="false">SUMIFS('Outages (event ledger)'!$H$2:$H$65,'Outages (event ledger)'!$A$2:$A$65,BH$2,'Outages (event ledger)'!$E$2:$E$65,"&lt;="&amp;$B105,'Outages (event ledger)'!$G$2:$G$65,"&gt;="&amp;$B105)</f>
        <v>0</v>
      </c>
      <c r="BI105" s="26" t="n">
        <f aca="false">SUMIFS('Outages (event ledger)'!$H$2:$H$65,'Outages (event ledger)'!$A$2:$A$65,BI$2,'Outages (event ledger)'!$E$2:$E$65,"&lt;="&amp;$B105,'Outages (event ledger)'!$G$2:$G$65,"&gt;="&amp;$B105)</f>
        <v>6.7</v>
      </c>
    </row>
    <row r="106" customFormat="false" ht="15" hidden="false" customHeight="false" outlineLevel="0" collapsed="false">
      <c r="A106" s="23" t="n">
        <v>43313</v>
      </c>
      <c r="B106" s="24" t="n">
        <v>201808</v>
      </c>
      <c r="C106" s="25" t="n">
        <f aca="false">SUM(D106:BI106)</f>
        <v>25.2</v>
      </c>
      <c r="D106" s="26" t="n">
        <f aca="false">SUMIFS('Outages (event ledger)'!$H$2:$H$65,'Outages (event ledger)'!$A$2:$A$65,D$2,'Outages (event ledger)'!$E$2:$E$65,"&lt;="&amp;$B106,'Outages (event ledger)'!$G$2:$G$65,"&gt;="&amp;$B106)</f>
        <v>0</v>
      </c>
      <c r="E106" s="26" t="n">
        <f aca="false">SUMIFS('Outages (event ledger)'!$H$2:$H$65,'Outages (event ledger)'!$A$2:$A$65,E$2,'Outages (event ledger)'!$E$2:$E$65,"&lt;="&amp;$B106,'Outages (event ledger)'!$G$2:$G$65,"&gt;="&amp;$B106)</f>
        <v>0</v>
      </c>
      <c r="F106" s="26" t="n">
        <f aca="false">SUMIFS('Outages (event ledger)'!$H$2:$H$65,'Outages (event ledger)'!$A$2:$A$65,F$2,'Outages (event ledger)'!$E$2:$E$65,"&lt;="&amp;$B106,'Outages (event ledger)'!$G$2:$G$65,"&gt;="&amp;$B106)</f>
        <v>0</v>
      </c>
      <c r="G106" s="26" t="n">
        <f aca="false">SUMIFS('Outages (event ledger)'!$H$2:$H$65,'Outages (event ledger)'!$A$2:$A$65,G$2,'Outages (event ledger)'!$E$2:$E$65,"&lt;="&amp;$B106,'Outages (event ledger)'!$G$2:$G$65,"&gt;="&amp;$B106)</f>
        <v>0</v>
      </c>
      <c r="H106" s="26" t="n">
        <f aca="false">SUMIFS('Outages (event ledger)'!$H$2:$H$65,'Outages (event ledger)'!$A$2:$A$65,H$2,'Outages (event ledger)'!$E$2:$E$65,"&lt;="&amp;$B106,'Outages (event ledger)'!$G$2:$G$65,"&gt;="&amp;$B106)</f>
        <v>0</v>
      </c>
      <c r="I106" s="26" t="n">
        <f aca="false">SUMIFS('Outages (event ledger)'!$H$2:$H$65,'Outages (event ledger)'!$A$2:$A$65,I$2,'Outages (event ledger)'!$E$2:$E$65,"&lt;="&amp;$B106,'Outages (event ledger)'!$G$2:$G$65,"&gt;="&amp;$B106)</f>
        <v>0</v>
      </c>
      <c r="J106" s="26" t="n">
        <f aca="false">SUMIFS('Outages (event ledger)'!$H$2:$H$65,'Outages (event ledger)'!$A$2:$A$65,J$2,'Outages (event ledger)'!$E$2:$E$65,"&lt;="&amp;$B106,'Outages (event ledger)'!$G$2:$G$65,"&gt;="&amp;$B106)</f>
        <v>0</v>
      </c>
      <c r="K106" s="26" t="n">
        <f aca="false">SUMIFS('Outages (event ledger)'!$H$2:$H$65,'Outages (event ledger)'!$A$2:$A$65,K$2,'Outages (event ledger)'!$E$2:$E$65,"&lt;="&amp;$B106,'Outages (event ledger)'!$G$2:$G$65,"&gt;="&amp;$B106)</f>
        <v>0</v>
      </c>
      <c r="L106" s="26" t="n">
        <f aca="false">SUMIFS('Outages (event ledger)'!$H$2:$H$65,'Outages (event ledger)'!$A$2:$A$65,L$2,'Outages (event ledger)'!$E$2:$E$65,"&lt;="&amp;$B106,'Outages (event ledger)'!$G$2:$G$65,"&gt;="&amp;$B106)</f>
        <v>0</v>
      </c>
      <c r="M106" s="26" t="n">
        <f aca="false">SUMIFS('Outages (event ledger)'!$H$2:$H$65,'Outages (event ledger)'!$A$2:$A$65,M$2,'Outages (event ledger)'!$E$2:$E$65,"&lt;="&amp;$B106,'Outages (event ledger)'!$G$2:$G$65,"&gt;="&amp;$B106)</f>
        <v>0</v>
      </c>
      <c r="N106" s="26" t="n">
        <f aca="false">SUMIFS('Outages (event ledger)'!$H$2:$H$65,'Outages (event ledger)'!$A$2:$A$65,N$2,'Outages (event ledger)'!$E$2:$E$65,"&lt;="&amp;$B106,'Outages (event ledger)'!$G$2:$G$65,"&gt;="&amp;$B106)</f>
        <v>0</v>
      </c>
      <c r="O106" s="26" t="n">
        <f aca="false">SUMIFS('Outages (event ledger)'!$H$2:$H$65,'Outages (event ledger)'!$A$2:$A$65,O$2,'Outages (event ledger)'!$E$2:$E$65,"&lt;="&amp;$B106,'Outages (event ledger)'!$G$2:$G$65,"&gt;="&amp;$B106)</f>
        <v>0</v>
      </c>
      <c r="P106" s="26" t="n">
        <f aca="false">SUMIFS('Outages (event ledger)'!$H$2:$H$65,'Outages (event ledger)'!$A$2:$A$65,P$2,'Outages (event ledger)'!$E$2:$E$65,"&lt;="&amp;$B106,'Outages (event ledger)'!$G$2:$G$65,"&gt;="&amp;$B106)</f>
        <v>0</v>
      </c>
      <c r="Q106" s="26" t="n">
        <f aca="false">SUMIFS('Outages (event ledger)'!$H$2:$H$65,'Outages (event ledger)'!$A$2:$A$65,Q$2,'Outages (event ledger)'!$E$2:$E$65,"&lt;="&amp;$B106,'Outages (event ledger)'!$G$2:$G$65,"&gt;="&amp;$B106)</f>
        <v>0</v>
      </c>
      <c r="R106" s="26" t="n">
        <f aca="false">SUMIFS('Outages (event ledger)'!$H$2:$H$65,'Outages (event ledger)'!$A$2:$A$65,R$2,'Outages (event ledger)'!$E$2:$E$65,"&lt;="&amp;$B106,'Outages (event ledger)'!$G$2:$G$65,"&gt;="&amp;$B106)</f>
        <v>0</v>
      </c>
      <c r="S106" s="26" t="n">
        <f aca="false">SUMIFS('Outages (event ledger)'!$H$2:$H$65,'Outages (event ledger)'!$A$2:$A$65,S$2,'Outages (event ledger)'!$E$2:$E$65,"&lt;="&amp;$B106,'Outages (event ledger)'!$G$2:$G$65,"&gt;="&amp;$B106)</f>
        <v>0</v>
      </c>
      <c r="T106" s="26" t="n">
        <f aca="false">SUMIFS('Outages (event ledger)'!$H$2:$H$65,'Outages (event ledger)'!$A$2:$A$65,T$2,'Outages (event ledger)'!$E$2:$E$65,"&lt;="&amp;$B106,'Outages (event ledger)'!$G$2:$G$65,"&gt;="&amp;$B106)</f>
        <v>0</v>
      </c>
      <c r="U106" s="26" t="n">
        <f aca="false">SUMIFS('Outages (event ledger)'!$H$2:$H$65,'Outages (event ledger)'!$A$2:$A$65,U$2,'Outages (event ledger)'!$E$2:$E$65,"&lt;="&amp;$B106,'Outages (event ledger)'!$G$2:$G$65,"&gt;="&amp;$B106)</f>
        <v>0</v>
      </c>
      <c r="V106" s="26" t="n">
        <f aca="false">SUMIFS('Outages (event ledger)'!$H$2:$H$65,'Outages (event ledger)'!$A$2:$A$65,V$2,'Outages (event ledger)'!$E$2:$E$65,"&lt;="&amp;$B106,'Outages (event ledger)'!$G$2:$G$65,"&gt;="&amp;$B106)</f>
        <v>0</v>
      </c>
      <c r="W106" s="26" t="n">
        <f aca="false">SUMIFS('Outages (event ledger)'!$H$2:$H$65,'Outages (event ledger)'!$A$2:$A$65,W$2,'Outages (event ledger)'!$E$2:$E$65,"&lt;="&amp;$B106,'Outages (event ledger)'!$G$2:$G$65,"&gt;="&amp;$B106)</f>
        <v>0</v>
      </c>
      <c r="X106" s="26" t="n">
        <f aca="false">SUMIFS('Outages (event ledger)'!$H$2:$H$65,'Outages (event ledger)'!$A$2:$A$65,X$2,'Outages (event ledger)'!$E$2:$E$65,"&lt;="&amp;$B106,'Outages (event ledger)'!$G$2:$G$65,"&gt;="&amp;$B106)</f>
        <v>0</v>
      </c>
      <c r="Y106" s="26" t="n">
        <f aca="false">SUMIFS('Outages (event ledger)'!$H$2:$H$65,'Outages (event ledger)'!$A$2:$A$65,Y$2,'Outages (event ledger)'!$E$2:$E$65,"&lt;="&amp;$B106,'Outages (event ledger)'!$G$2:$G$65,"&gt;="&amp;$B106)</f>
        <v>5</v>
      </c>
      <c r="Z106" s="26" t="n">
        <f aca="false">SUMIFS('Outages (event ledger)'!$H$2:$H$65,'Outages (event ledger)'!$A$2:$A$65,Z$2,'Outages (event ledger)'!$E$2:$E$65,"&lt;="&amp;$B106,'Outages (event ledger)'!$G$2:$G$65,"&gt;="&amp;$B106)</f>
        <v>5</v>
      </c>
      <c r="AA106" s="26" t="n">
        <f aca="false">SUMIFS('Outages (event ledger)'!$H$2:$H$65,'Outages (event ledger)'!$A$2:$A$65,AA$2,'Outages (event ledger)'!$E$2:$E$65,"&lt;="&amp;$B106,'Outages (event ledger)'!$G$2:$G$65,"&gt;="&amp;$B106)</f>
        <v>0</v>
      </c>
      <c r="AB106" s="26" t="n">
        <f aca="false">SUMIFS('Outages (event ledger)'!$H$2:$H$65,'Outages (event ledger)'!$A$2:$A$65,AB$2,'Outages (event ledger)'!$E$2:$E$65,"&lt;="&amp;$B106,'Outages (event ledger)'!$G$2:$G$65,"&gt;="&amp;$B106)</f>
        <v>8</v>
      </c>
      <c r="AC106" s="26" t="n">
        <f aca="false">SUMIFS('Outages (event ledger)'!$H$2:$H$65,'Outages (event ledger)'!$A$2:$A$65,AC$2,'Outages (event ledger)'!$E$2:$E$65,"&lt;="&amp;$B106,'Outages (event ledger)'!$G$2:$G$65,"&gt;="&amp;$B106)</f>
        <v>0</v>
      </c>
      <c r="AD106" s="26" t="n">
        <f aca="false">SUMIFS('Outages (event ledger)'!$H$2:$H$65,'Outages (event ledger)'!$A$2:$A$65,AD$2,'Outages (event ledger)'!$E$2:$E$65,"&lt;="&amp;$B106,'Outages (event ledger)'!$G$2:$G$65,"&gt;="&amp;$B106)</f>
        <v>0</v>
      </c>
      <c r="AE106" s="26" t="n">
        <f aca="false">SUMIFS('Outages (event ledger)'!$H$2:$H$65,'Outages (event ledger)'!$A$2:$A$65,AE$2,'Outages (event ledger)'!$E$2:$E$65,"&lt;="&amp;$B106,'Outages (event ledger)'!$G$2:$G$65,"&gt;="&amp;$B106)</f>
        <v>0</v>
      </c>
      <c r="AF106" s="26" t="n">
        <f aca="false">SUMIFS('Outages (event ledger)'!$H$2:$H$65,'Outages (event ledger)'!$A$2:$A$65,AF$2,'Outages (event ledger)'!$E$2:$E$65,"&lt;="&amp;$B106,'Outages (event ledger)'!$G$2:$G$65,"&gt;="&amp;$B106)</f>
        <v>0</v>
      </c>
      <c r="AG106" s="26" t="n">
        <f aca="false">SUMIFS('Outages (event ledger)'!$H$2:$H$65,'Outages (event ledger)'!$A$2:$A$65,AG$2,'Outages (event ledger)'!$E$2:$E$65,"&lt;="&amp;$B106,'Outages (event ledger)'!$G$2:$G$65,"&gt;="&amp;$B106)</f>
        <v>0</v>
      </c>
      <c r="AH106" s="26" t="n">
        <f aca="false">SUMIFS('Outages (event ledger)'!$H$2:$H$65,'Outages (event ledger)'!$A$2:$A$65,AH$2,'Outages (event ledger)'!$E$2:$E$65,"&lt;="&amp;$B106,'Outages (event ledger)'!$G$2:$G$65,"&gt;="&amp;$B106)</f>
        <v>0</v>
      </c>
      <c r="AI106" s="26" t="n">
        <f aca="false">SUMIFS('Outages (event ledger)'!$H$2:$H$65,'Outages (event ledger)'!$A$2:$A$65,AI$2,'Outages (event ledger)'!$E$2:$E$65,"&lt;="&amp;$B106,'Outages (event ledger)'!$G$2:$G$65,"&gt;="&amp;$B106)</f>
        <v>0</v>
      </c>
      <c r="AJ106" s="26" t="n">
        <f aca="false">SUMIFS('Outages (event ledger)'!$H$2:$H$65,'Outages (event ledger)'!$A$2:$A$65,AJ$2,'Outages (event ledger)'!$E$2:$E$65,"&lt;="&amp;$B106,'Outages (event ledger)'!$G$2:$G$65,"&gt;="&amp;$B106)</f>
        <v>0</v>
      </c>
      <c r="AK106" s="26" t="n">
        <f aca="false">SUMIFS('Outages (event ledger)'!$H$2:$H$65,'Outages (event ledger)'!$A$2:$A$65,AK$2,'Outages (event ledger)'!$E$2:$E$65,"&lt;="&amp;$B106,'Outages (event ledger)'!$G$2:$G$65,"&gt;="&amp;$B106)</f>
        <v>0</v>
      </c>
      <c r="AL106" s="26" t="n">
        <f aca="false">SUMIFS('Outages (event ledger)'!$H$2:$H$65,'Outages (event ledger)'!$A$2:$A$65,AL$2,'Outages (event ledger)'!$E$2:$E$65,"&lt;="&amp;$B106,'Outages (event ledger)'!$G$2:$G$65,"&gt;="&amp;$B106)</f>
        <v>0</v>
      </c>
      <c r="AM106" s="26" t="n">
        <f aca="false">SUMIFS('Outages (event ledger)'!$H$2:$H$65,'Outages (event ledger)'!$A$2:$A$65,AM$2,'Outages (event ledger)'!$E$2:$E$65,"&lt;="&amp;$B106,'Outages (event ledger)'!$G$2:$G$65,"&gt;="&amp;$B106)</f>
        <v>0</v>
      </c>
      <c r="AN106" s="26" t="n">
        <f aca="false">SUMIFS('Outages (event ledger)'!$H$2:$H$65,'Outages (event ledger)'!$A$2:$A$65,AN$2,'Outages (event ledger)'!$E$2:$E$65,"&lt;="&amp;$B106,'Outages (event ledger)'!$G$2:$G$65,"&gt;="&amp;$B106)</f>
        <v>0</v>
      </c>
      <c r="AO106" s="26" t="n">
        <f aca="false">SUMIFS('Outages (event ledger)'!$H$2:$H$65,'Outages (event ledger)'!$A$2:$A$65,AO$2,'Outages (event ledger)'!$E$2:$E$65,"&lt;="&amp;$B106,'Outages (event ledger)'!$G$2:$G$65,"&gt;="&amp;$B106)</f>
        <v>0</v>
      </c>
      <c r="AP106" s="26" t="n">
        <f aca="false">SUMIFS('Outages (event ledger)'!$H$2:$H$65,'Outages (event ledger)'!$A$2:$A$65,AP$2,'Outages (event ledger)'!$E$2:$E$65,"&lt;="&amp;$B106,'Outages (event ledger)'!$G$2:$G$65,"&gt;="&amp;$B106)</f>
        <v>0</v>
      </c>
      <c r="AQ106" s="26" t="n">
        <f aca="false">SUMIFS('Outages (event ledger)'!$H$2:$H$65,'Outages (event ledger)'!$A$2:$A$65,AQ$2,'Outages (event ledger)'!$E$2:$E$65,"&lt;="&amp;$B106,'Outages (event ledger)'!$G$2:$G$65,"&gt;="&amp;$B106)</f>
        <v>0</v>
      </c>
      <c r="AR106" s="26" t="n">
        <f aca="false">SUMIFS('Outages (event ledger)'!$H$2:$H$65,'Outages (event ledger)'!$A$2:$A$65,AR$2,'Outages (event ledger)'!$E$2:$E$65,"&lt;="&amp;$B106,'Outages (event ledger)'!$G$2:$G$65,"&gt;="&amp;$B106)</f>
        <v>0</v>
      </c>
      <c r="AS106" s="26" t="n">
        <f aca="false">SUMIFS('Outages (event ledger)'!$H$2:$H$65,'Outages (event ledger)'!$A$2:$A$65,AS$2,'Outages (event ledger)'!$E$2:$E$65,"&lt;="&amp;$B106,'Outages (event ledger)'!$G$2:$G$65,"&gt;="&amp;$B106)</f>
        <v>0</v>
      </c>
      <c r="AT106" s="26" t="n">
        <f aca="false">SUMIFS('Outages (event ledger)'!$H$2:$H$65,'Outages (event ledger)'!$A$2:$A$65,AT$2,'Outages (event ledger)'!$E$2:$E$65,"&lt;="&amp;$B106,'Outages (event ledger)'!$G$2:$G$65,"&gt;="&amp;$B106)</f>
        <v>0</v>
      </c>
      <c r="AU106" s="26" t="n">
        <f aca="false">SUMIFS('Outages (event ledger)'!$H$2:$H$65,'Outages (event ledger)'!$A$2:$A$65,AU$2,'Outages (event ledger)'!$E$2:$E$65,"&lt;="&amp;$B106,'Outages (event ledger)'!$G$2:$G$65,"&gt;="&amp;$B106)</f>
        <v>0</v>
      </c>
      <c r="AV106" s="26" t="n">
        <f aca="false">SUMIFS('Outages (event ledger)'!$H$2:$H$65,'Outages (event ledger)'!$A$2:$A$65,AV$2,'Outages (event ledger)'!$E$2:$E$65,"&lt;="&amp;$B106,'Outages (event ledger)'!$G$2:$G$65,"&gt;="&amp;$B106)</f>
        <v>0</v>
      </c>
      <c r="AW106" s="26" t="n">
        <f aca="false">SUMIFS('Outages (event ledger)'!$H$2:$H$65,'Outages (event ledger)'!$A$2:$A$65,AW$2,'Outages (event ledger)'!$E$2:$E$65,"&lt;="&amp;$B106,'Outages (event ledger)'!$G$2:$G$65,"&gt;="&amp;$B106)</f>
        <v>0.5</v>
      </c>
      <c r="AX106" s="26" t="n">
        <f aca="false">SUMIFS('Outages (event ledger)'!$H$2:$H$65,'Outages (event ledger)'!$A$2:$A$65,AX$2,'Outages (event ledger)'!$E$2:$E$65,"&lt;="&amp;$B106,'Outages (event ledger)'!$G$2:$G$65,"&gt;="&amp;$B106)</f>
        <v>0</v>
      </c>
      <c r="AY106" s="26" t="n">
        <f aca="false">SUMIFS('Outages (event ledger)'!$H$2:$H$65,'Outages (event ledger)'!$A$2:$A$65,AY$2,'Outages (event ledger)'!$E$2:$E$65,"&lt;="&amp;$B106,'Outages (event ledger)'!$G$2:$G$65,"&gt;="&amp;$B106)</f>
        <v>0</v>
      </c>
      <c r="AZ106" s="26" t="n">
        <f aca="false">SUMIFS('Outages (event ledger)'!$H$2:$H$65,'Outages (event ledger)'!$A$2:$A$65,AZ$2,'Outages (event ledger)'!$E$2:$E$65,"&lt;="&amp;$B106,'Outages (event ledger)'!$G$2:$G$65,"&gt;="&amp;$B106)</f>
        <v>0</v>
      </c>
      <c r="BA106" s="26" t="n">
        <f aca="false">SUMIFS('Outages (event ledger)'!$H$2:$H$65,'Outages (event ledger)'!$A$2:$A$65,BA$2,'Outages (event ledger)'!$E$2:$E$65,"&lt;="&amp;$B106,'Outages (event ledger)'!$G$2:$G$65,"&gt;="&amp;$B106)</f>
        <v>0</v>
      </c>
      <c r="BB106" s="26" t="n">
        <f aca="false">SUMIFS('Outages (event ledger)'!$H$2:$H$65,'Outages (event ledger)'!$A$2:$A$65,BB$2,'Outages (event ledger)'!$E$2:$E$65,"&lt;="&amp;$B106,'Outages (event ledger)'!$G$2:$G$65,"&gt;="&amp;$B106)</f>
        <v>0</v>
      </c>
      <c r="BC106" s="26" t="n">
        <f aca="false">SUMIFS('Outages (event ledger)'!$H$2:$H$65,'Outages (event ledger)'!$A$2:$A$65,BC$2,'Outages (event ledger)'!$E$2:$E$65,"&lt;="&amp;$B106,'Outages (event ledger)'!$G$2:$G$65,"&gt;="&amp;$B106)</f>
        <v>0</v>
      </c>
      <c r="BD106" s="26" t="n">
        <f aca="false">SUMIFS('Outages (event ledger)'!$H$2:$H$65,'Outages (event ledger)'!$A$2:$A$65,BD$2,'Outages (event ledger)'!$E$2:$E$65,"&lt;="&amp;$B106,'Outages (event ledger)'!$G$2:$G$65,"&gt;="&amp;$B106)</f>
        <v>0</v>
      </c>
      <c r="BE106" s="26" t="n">
        <f aca="false">SUMIFS('Outages (event ledger)'!$H$2:$H$65,'Outages (event ledger)'!$A$2:$A$65,BE$2,'Outages (event ledger)'!$E$2:$E$65,"&lt;="&amp;$B106,'Outages (event ledger)'!$G$2:$G$65,"&gt;="&amp;$B106)</f>
        <v>0</v>
      </c>
      <c r="BF106" s="26" t="n">
        <f aca="false">SUMIFS('Outages (event ledger)'!$H$2:$H$65,'Outages (event ledger)'!$A$2:$A$65,BF$2,'Outages (event ledger)'!$E$2:$E$65,"&lt;="&amp;$B106,'Outages (event ledger)'!$G$2:$G$65,"&gt;="&amp;$B106)</f>
        <v>0</v>
      </c>
      <c r="BG106" s="26" t="n">
        <f aca="false">SUMIFS('Outages (event ledger)'!$H$2:$H$65,'Outages (event ledger)'!$A$2:$A$65,BG$2,'Outages (event ledger)'!$E$2:$E$65,"&lt;="&amp;$B106,'Outages (event ledger)'!$G$2:$G$65,"&gt;="&amp;$B106)</f>
        <v>0</v>
      </c>
      <c r="BH106" s="26" t="n">
        <f aca="false">SUMIFS('Outages (event ledger)'!$H$2:$H$65,'Outages (event ledger)'!$A$2:$A$65,BH$2,'Outages (event ledger)'!$E$2:$E$65,"&lt;="&amp;$B106,'Outages (event ledger)'!$G$2:$G$65,"&gt;="&amp;$B106)</f>
        <v>0</v>
      </c>
      <c r="BI106" s="26" t="n">
        <f aca="false">SUMIFS('Outages (event ledger)'!$H$2:$H$65,'Outages (event ledger)'!$A$2:$A$65,BI$2,'Outages (event ledger)'!$E$2:$E$65,"&lt;="&amp;$B106,'Outages (event ledger)'!$G$2:$G$65,"&gt;="&amp;$B106)</f>
        <v>6.7</v>
      </c>
    </row>
    <row r="107" customFormat="false" ht="15" hidden="false" customHeight="false" outlineLevel="0" collapsed="false">
      <c r="A107" s="23" t="n">
        <v>43344</v>
      </c>
      <c r="B107" s="24" t="n">
        <v>201809</v>
      </c>
      <c r="C107" s="25" t="n">
        <f aca="false">SUM(D107:BI107)</f>
        <v>25.2</v>
      </c>
      <c r="D107" s="26" t="n">
        <f aca="false">SUMIFS('Outages (event ledger)'!$H$2:$H$65,'Outages (event ledger)'!$A$2:$A$65,D$2,'Outages (event ledger)'!$E$2:$E$65,"&lt;="&amp;$B107,'Outages (event ledger)'!$G$2:$G$65,"&gt;="&amp;$B107)</f>
        <v>0</v>
      </c>
      <c r="E107" s="26" t="n">
        <f aca="false">SUMIFS('Outages (event ledger)'!$H$2:$H$65,'Outages (event ledger)'!$A$2:$A$65,E$2,'Outages (event ledger)'!$E$2:$E$65,"&lt;="&amp;$B107,'Outages (event ledger)'!$G$2:$G$65,"&gt;="&amp;$B107)</f>
        <v>0</v>
      </c>
      <c r="F107" s="26" t="n">
        <f aca="false">SUMIFS('Outages (event ledger)'!$H$2:$H$65,'Outages (event ledger)'!$A$2:$A$65,F$2,'Outages (event ledger)'!$E$2:$E$65,"&lt;="&amp;$B107,'Outages (event ledger)'!$G$2:$G$65,"&gt;="&amp;$B107)</f>
        <v>0</v>
      </c>
      <c r="G107" s="26" t="n">
        <f aca="false">SUMIFS('Outages (event ledger)'!$H$2:$H$65,'Outages (event ledger)'!$A$2:$A$65,G$2,'Outages (event ledger)'!$E$2:$E$65,"&lt;="&amp;$B107,'Outages (event ledger)'!$G$2:$G$65,"&gt;="&amp;$B107)</f>
        <v>0</v>
      </c>
      <c r="H107" s="26" t="n">
        <f aca="false">SUMIFS('Outages (event ledger)'!$H$2:$H$65,'Outages (event ledger)'!$A$2:$A$65,H$2,'Outages (event ledger)'!$E$2:$E$65,"&lt;="&amp;$B107,'Outages (event ledger)'!$G$2:$G$65,"&gt;="&amp;$B107)</f>
        <v>0</v>
      </c>
      <c r="I107" s="26" t="n">
        <f aca="false">SUMIFS('Outages (event ledger)'!$H$2:$H$65,'Outages (event ledger)'!$A$2:$A$65,I$2,'Outages (event ledger)'!$E$2:$E$65,"&lt;="&amp;$B107,'Outages (event ledger)'!$G$2:$G$65,"&gt;="&amp;$B107)</f>
        <v>0</v>
      </c>
      <c r="J107" s="26" t="n">
        <f aca="false">SUMIFS('Outages (event ledger)'!$H$2:$H$65,'Outages (event ledger)'!$A$2:$A$65,J$2,'Outages (event ledger)'!$E$2:$E$65,"&lt;="&amp;$B107,'Outages (event ledger)'!$G$2:$G$65,"&gt;="&amp;$B107)</f>
        <v>0</v>
      </c>
      <c r="K107" s="26" t="n">
        <f aca="false">SUMIFS('Outages (event ledger)'!$H$2:$H$65,'Outages (event ledger)'!$A$2:$A$65,K$2,'Outages (event ledger)'!$E$2:$E$65,"&lt;="&amp;$B107,'Outages (event ledger)'!$G$2:$G$65,"&gt;="&amp;$B107)</f>
        <v>0</v>
      </c>
      <c r="L107" s="26" t="n">
        <f aca="false">SUMIFS('Outages (event ledger)'!$H$2:$H$65,'Outages (event ledger)'!$A$2:$A$65,L$2,'Outages (event ledger)'!$E$2:$E$65,"&lt;="&amp;$B107,'Outages (event ledger)'!$G$2:$G$65,"&gt;="&amp;$B107)</f>
        <v>0</v>
      </c>
      <c r="M107" s="26" t="n">
        <f aca="false">SUMIFS('Outages (event ledger)'!$H$2:$H$65,'Outages (event ledger)'!$A$2:$A$65,M$2,'Outages (event ledger)'!$E$2:$E$65,"&lt;="&amp;$B107,'Outages (event ledger)'!$G$2:$G$65,"&gt;="&amp;$B107)</f>
        <v>0</v>
      </c>
      <c r="N107" s="26" t="n">
        <f aca="false">SUMIFS('Outages (event ledger)'!$H$2:$H$65,'Outages (event ledger)'!$A$2:$A$65,N$2,'Outages (event ledger)'!$E$2:$E$65,"&lt;="&amp;$B107,'Outages (event ledger)'!$G$2:$G$65,"&gt;="&amp;$B107)</f>
        <v>0</v>
      </c>
      <c r="O107" s="26" t="n">
        <f aca="false">SUMIFS('Outages (event ledger)'!$H$2:$H$65,'Outages (event ledger)'!$A$2:$A$65,O$2,'Outages (event ledger)'!$E$2:$E$65,"&lt;="&amp;$B107,'Outages (event ledger)'!$G$2:$G$65,"&gt;="&amp;$B107)</f>
        <v>0</v>
      </c>
      <c r="P107" s="26" t="n">
        <f aca="false">SUMIFS('Outages (event ledger)'!$H$2:$H$65,'Outages (event ledger)'!$A$2:$A$65,P$2,'Outages (event ledger)'!$E$2:$E$65,"&lt;="&amp;$B107,'Outages (event ledger)'!$G$2:$G$65,"&gt;="&amp;$B107)</f>
        <v>0</v>
      </c>
      <c r="Q107" s="26" t="n">
        <f aca="false">SUMIFS('Outages (event ledger)'!$H$2:$H$65,'Outages (event ledger)'!$A$2:$A$65,Q$2,'Outages (event ledger)'!$E$2:$E$65,"&lt;="&amp;$B107,'Outages (event ledger)'!$G$2:$G$65,"&gt;="&amp;$B107)</f>
        <v>0</v>
      </c>
      <c r="R107" s="26" t="n">
        <f aca="false">SUMIFS('Outages (event ledger)'!$H$2:$H$65,'Outages (event ledger)'!$A$2:$A$65,R$2,'Outages (event ledger)'!$E$2:$E$65,"&lt;="&amp;$B107,'Outages (event ledger)'!$G$2:$G$65,"&gt;="&amp;$B107)</f>
        <v>0</v>
      </c>
      <c r="S107" s="26" t="n">
        <f aca="false">SUMIFS('Outages (event ledger)'!$H$2:$H$65,'Outages (event ledger)'!$A$2:$A$65,S$2,'Outages (event ledger)'!$E$2:$E$65,"&lt;="&amp;$B107,'Outages (event ledger)'!$G$2:$G$65,"&gt;="&amp;$B107)</f>
        <v>0</v>
      </c>
      <c r="T107" s="26" t="n">
        <f aca="false">SUMIFS('Outages (event ledger)'!$H$2:$H$65,'Outages (event ledger)'!$A$2:$A$65,T$2,'Outages (event ledger)'!$E$2:$E$65,"&lt;="&amp;$B107,'Outages (event ledger)'!$G$2:$G$65,"&gt;="&amp;$B107)</f>
        <v>0</v>
      </c>
      <c r="U107" s="26" t="n">
        <f aca="false">SUMIFS('Outages (event ledger)'!$H$2:$H$65,'Outages (event ledger)'!$A$2:$A$65,U$2,'Outages (event ledger)'!$E$2:$E$65,"&lt;="&amp;$B107,'Outages (event ledger)'!$G$2:$G$65,"&gt;="&amp;$B107)</f>
        <v>0</v>
      </c>
      <c r="V107" s="26" t="n">
        <f aca="false">SUMIFS('Outages (event ledger)'!$H$2:$H$65,'Outages (event ledger)'!$A$2:$A$65,V$2,'Outages (event ledger)'!$E$2:$E$65,"&lt;="&amp;$B107,'Outages (event ledger)'!$G$2:$G$65,"&gt;="&amp;$B107)</f>
        <v>0</v>
      </c>
      <c r="W107" s="26" t="n">
        <f aca="false">SUMIFS('Outages (event ledger)'!$H$2:$H$65,'Outages (event ledger)'!$A$2:$A$65,W$2,'Outages (event ledger)'!$E$2:$E$65,"&lt;="&amp;$B107,'Outages (event ledger)'!$G$2:$G$65,"&gt;="&amp;$B107)</f>
        <v>0</v>
      </c>
      <c r="X107" s="26" t="n">
        <f aca="false">SUMIFS('Outages (event ledger)'!$H$2:$H$65,'Outages (event ledger)'!$A$2:$A$65,X$2,'Outages (event ledger)'!$E$2:$E$65,"&lt;="&amp;$B107,'Outages (event ledger)'!$G$2:$G$65,"&gt;="&amp;$B107)</f>
        <v>0</v>
      </c>
      <c r="Y107" s="26" t="n">
        <f aca="false">SUMIFS('Outages (event ledger)'!$H$2:$H$65,'Outages (event ledger)'!$A$2:$A$65,Y$2,'Outages (event ledger)'!$E$2:$E$65,"&lt;="&amp;$B107,'Outages (event ledger)'!$G$2:$G$65,"&gt;="&amp;$B107)</f>
        <v>5</v>
      </c>
      <c r="Z107" s="26" t="n">
        <f aca="false">SUMIFS('Outages (event ledger)'!$H$2:$H$65,'Outages (event ledger)'!$A$2:$A$65,Z$2,'Outages (event ledger)'!$E$2:$E$65,"&lt;="&amp;$B107,'Outages (event ledger)'!$G$2:$G$65,"&gt;="&amp;$B107)</f>
        <v>5</v>
      </c>
      <c r="AA107" s="26" t="n">
        <f aca="false">SUMIFS('Outages (event ledger)'!$H$2:$H$65,'Outages (event ledger)'!$A$2:$A$65,AA$2,'Outages (event ledger)'!$E$2:$E$65,"&lt;="&amp;$B107,'Outages (event ledger)'!$G$2:$G$65,"&gt;="&amp;$B107)</f>
        <v>0</v>
      </c>
      <c r="AB107" s="26" t="n">
        <f aca="false">SUMIFS('Outages (event ledger)'!$H$2:$H$65,'Outages (event ledger)'!$A$2:$A$65,AB$2,'Outages (event ledger)'!$E$2:$E$65,"&lt;="&amp;$B107,'Outages (event ledger)'!$G$2:$G$65,"&gt;="&amp;$B107)</f>
        <v>8</v>
      </c>
      <c r="AC107" s="26" t="n">
        <f aca="false">SUMIFS('Outages (event ledger)'!$H$2:$H$65,'Outages (event ledger)'!$A$2:$A$65,AC$2,'Outages (event ledger)'!$E$2:$E$65,"&lt;="&amp;$B107,'Outages (event ledger)'!$G$2:$G$65,"&gt;="&amp;$B107)</f>
        <v>0</v>
      </c>
      <c r="AD107" s="26" t="n">
        <f aca="false">SUMIFS('Outages (event ledger)'!$H$2:$H$65,'Outages (event ledger)'!$A$2:$A$65,AD$2,'Outages (event ledger)'!$E$2:$E$65,"&lt;="&amp;$B107,'Outages (event ledger)'!$G$2:$G$65,"&gt;="&amp;$B107)</f>
        <v>0</v>
      </c>
      <c r="AE107" s="26" t="n">
        <f aca="false">SUMIFS('Outages (event ledger)'!$H$2:$H$65,'Outages (event ledger)'!$A$2:$A$65,AE$2,'Outages (event ledger)'!$E$2:$E$65,"&lt;="&amp;$B107,'Outages (event ledger)'!$G$2:$G$65,"&gt;="&amp;$B107)</f>
        <v>0</v>
      </c>
      <c r="AF107" s="26" t="n">
        <f aca="false">SUMIFS('Outages (event ledger)'!$H$2:$H$65,'Outages (event ledger)'!$A$2:$A$65,AF$2,'Outages (event ledger)'!$E$2:$E$65,"&lt;="&amp;$B107,'Outages (event ledger)'!$G$2:$G$65,"&gt;="&amp;$B107)</f>
        <v>0</v>
      </c>
      <c r="AG107" s="26" t="n">
        <f aca="false">SUMIFS('Outages (event ledger)'!$H$2:$H$65,'Outages (event ledger)'!$A$2:$A$65,AG$2,'Outages (event ledger)'!$E$2:$E$65,"&lt;="&amp;$B107,'Outages (event ledger)'!$G$2:$G$65,"&gt;="&amp;$B107)</f>
        <v>0</v>
      </c>
      <c r="AH107" s="26" t="n">
        <f aca="false">SUMIFS('Outages (event ledger)'!$H$2:$H$65,'Outages (event ledger)'!$A$2:$A$65,AH$2,'Outages (event ledger)'!$E$2:$E$65,"&lt;="&amp;$B107,'Outages (event ledger)'!$G$2:$G$65,"&gt;="&amp;$B107)</f>
        <v>0</v>
      </c>
      <c r="AI107" s="26" t="n">
        <f aca="false">SUMIFS('Outages (event ledger)'!$H$2:$H$65,'Outages (event ledger)'!$A$2:$A$65,AI$2,'Outages (event ledger)'!$E$2:$E$65,"&lt;="&amp;$B107,'Outages (event ledger)'!$G$2:$G$65,"&gt;="&amp;$B107)</f>
        <v>0</v>
      </c>
      <c r="AJ107" s="26" t="n">
        <f aca="false">SUMIFS('Outages (event ledger)'!$H$2:$H$65,'Outages (event ledger)'!$A$2:$A$65,AJ$2,'Outages (event ledger)'!$E$2:$E$65,"&lt;="&amp;$B107,'Outages (event ledger)'!$G$2:$G$65,"&gt;="&amp;$B107)</f>
        <v>0</v>
      </c>
      <c r="AK107" s="26" t="n">
        <f aca="false">SUMIFS('Outages (event ledger)'!$H$2:$H$65,'Outages (event ledger)'!$A$2:$A$65,AK$2,'Outages (event ledger)'!$E$2:$E$65,"&lt;="&amp;$B107,'Outages (event ledger)'!$G$2:$G$65,"&gt;="&amp;$B107)</f>
        <v>0</v>
      </c>
      <c r="AL107" s="26" t="n">
        <f aca="false">SUMIFS('Outages (event ledger)'!$H$2:$H$65,'Outages (event ledger)'!$A$2:$A$65,AL$2,'Outages (event ledger)'!$E$2:$E$65,"&lt;="&amp;$B107,'Outages (event ledger)'!$G$2:$G$65,"&gt;="&amp;$B107)</f>
        <v>0</v>
      </c>
      <c r="AM107" s="26" t="n">
        <f aca="false">SUMIFS('Outages (event ledger)'!$H$2:$H$65,'Outages (event ledger)'!$A$2:$A$65,AM$2,'Outages (event ledger)'!$E$2:$E$65,"&lt;="&amp;$B107,'Outages (event ledger)'!$G$2:$G$65,"&gt;="&amp;$B107)</f>
        <v>0</v>
      </c>
      <c r="AN107" s="26" t="n">
        <f aca="false">SUMIFS('Outages (event ledger)'!$H$2:$H$65,'Outages (event ledger)'!$A$2:$A$65,AN$2,'Outages (event ledger)'!$E$2:$E$65,"&lt;="&amp;$B107,'Outages (event ledger)'!$G$2:$G$65,"&gt;="&amp;$B107)</f>
        <v>0</v>
      </c>
      <c r="AO107" s="26" t="n">
        <f aca="false">SUMIFS('Outages (event ledger)'!$H$2:$H$65,'Outages (event ledger)'!$A$2:$A$65,AO$2,'Outages (event ledger)'!$E$2:$E$65,"&lt;="&amp;$B107,'Outages (event ledger)'!$G$2:$G$65,"&gt;="&amp;$B107)</f>
        <v>0</v>
      </c>
      <c r="AP107" s="26" t="n">
        <f aca="false">SUMIFS('Outages (event ledger)'!$H$2:$H$65,'Outages (event ledger)'!$A$2:$A$65,AP$2,'Outages (event ledger)'!$E$2:$E$65,"&lt;="&amp;$B107,'Outages (event ledger)'!$G$2:$G$65,"&gt;="&amp;$B107)</f>
        <v>0</v>
      </c>
      <c r="AQ107" s="26" t="n">
        <f aca="false">SUMIFS('Outages (event ledger)'!$H$2:$H$65,'Outages (event ledger)'!$A$2:$A$65,AQ$2,'Outages (event ledger)'!$E$2:$E$65,"&lt;="&amp;$B107,'Outages (event ledger)'!$G$2:$G$65,"&gt;="&amp;$B107)</f>
        <v>0</v>
      </c>
      <c r="AR107" s="26" t="n">
        <f aca="false">SUMIFS('Outages (event ledger)'!$H$2:$H$65,'Outages (event ledger)'!$A$2:$A$65,AR$2,'Outages (event ledger)'!$E$2:$E$65,"&lt;="&amp;$B107,'Outages (event ledger)'!$G$2:$G$65,"&gt;="&amp;$B107)</f>
        <v>0</v>
      </c>
      <c r="AS107" s="26" t="n">
        <f aca="false">SUMIFS('Outages (event ledger)'!$H$2:$H$65,'Outages (event ledger)'!$A$2:$A$65,AS$2,'Outages (event ledger)'!$E$2:$E$65,"&lt;="&amp;$B107,'Outages (event ledger)'!$G$2:$G$65,"&gt;="&amp;$B107)</f>
        <v>0</v>
      </c>
      <c r="AT107" s="26" t="n">
        <f aca="false">SUMIFS('Outages (event ledger)'!$H$2:$H$65,'Outages (event ledger)'!$A$2:$A$65,AT$2,'Outages (event ledger)'!$E$2:$E$65,"&lt;="&amp;$B107,'Outages (event ledger)'!$G$2:$G$65,"&gt;="&amp;$B107)</f>
        <v>0</v>
      </c>
      <c r="AU107" s="26" t="n">
        <f aca="false">SUMIFS('Outages (event ledger)'!$H$2:$H$65,'Outages (event ledger)'!$A$2:$A$65,AU$2,'Outages (event ledger)'!$E$2:$E$65,"&lt;="&amp;$B107,'Outages (event ledger)'!$G$2:$G$65,"&gt;="&amp;$B107)</f>
        <v>0</v>
      </c>
      <c r="AV107" s="26" t="n">
        <f aca="false">SUMIFS('Outages (event ledger)'!$H$2:$H$65,'Outages (event ledger)'!$A$2:$A$65,AV$2,'Outages (event ledger)'!$E$2:$E$65,"&lt;="&amp;$B107,'Outages (event ledger)'!$G$2:$G$65,"&gt;="&amp;$B107)</f>
        <v>0</v>
      </c>
      <c r="AW107" s="26" t="n">
        <f aca="false">SUMIFS('Outages (event ledger)'!$H$2:$H$65,'Outages (event ledger)'!$A$2:$A$65,AW$2,'Outages (event ledger)'!$E$2:$E$65,"&lt;="&amp;$B107,'Outages (event ledger)'!$G$2:$G$65,"&gt;="&amp;$B107)</f>
        <v>0.5</v>
      </c>
      <c r="AX107" s="26" t="n">
        <f aca="false">SUMIFS('Outages (event ledger)'!$H$2:$H$65,'Outages (event ledger)'!$A$2:$A$65,AX$2,'Outages (event ledger)'!$E$2:$E$65,"&lt;="&amp;$B107,'Outages (event ledger)'!$G$2:$G$65,"&gt;="&amp;$B107)</f>
        <v>0</v>
      </c>
      <c r="AY107" s="26" t="n">
        <f aca="false">SUMIFS('Outages (event ledger)'!$H$2:$H$65,'Outages (event ledger)'!$A$2:$A$65,AY$2,'Outages (event ledger)'!$E$2:$E$65,"&lt;="&amp;$B107,'Outages (event ledger)'!$G$2:$G$65,"&gt;="&amp;$B107)</f>
        <v>0</v>
      </c>
      <c r="AZ107" s="26" t="n">
        <f aca="false">SUMIFS('Outages (event ledger)'!$H$2:$H$65,'Outages (event ledger)'!$A$2:$A$65,AZ$2,'Outages (event ledger)'!$E$2:$E$65,"&lt;="&amp;$B107,'Outages (event ledger)'!$G$2:$G$65,"&gt;="&amp;$B107)</f>
        <v>0</v>
      </c>
      <c r="BA107" s="26" t="n">
        <f aca="false">SUMIFS('Outages (event ledger)'!$H$2:$H$65,'Outages (event ledger)'!$A$2:$A$65,BA$2,'Outages (event ledger)'!$E$2:$E$65,"&lt;="&amp;$B107,'Outages (event ledger)'!$G$2:$G$65,"&gt;="&amp;$B107)</f>
        <v>0</v>
      </c>
      <c r="BB107" s="26" t="n">
        <f aca="false">SUMIFS('Outages (event ledger)'!$H$2:$H$65,'Outages (event ledger)'!$A$2:$A$65,BB$2,'Outages (event ledger)'!$E$2:$E$65,"&lt;="&amp;$B107,'Outages (event ledger)'!$G$2:$G$65,"&gt;="&amp;$B107)</f>
        <v>0</v>
      </c>
      <c r="BC107" s="26" t="n">
        <f aca="false">SUMIFS('Outages (event ledger)'!$H$2:$H$65,'Outages (event ledger)'!$A$2:$A$65,BC$2,'Outages (event ledger)'!$E$2:$E$65,"&lt;="&amp;$B107,'Outages (event ledger)'!$G$2:$G$65,"&gt;="&amp;$B107)</f>
        <v>0</v>
      </c>
      <c r="BD107" s="26" t="n">
        <f aca="false">SUMIFS('Outages (event ledger)'!$H$2:$H$65,'Outages (event ledger)'!$A$2:$A$65,BD$2,'Outages (event ledger)'!$E$2:$E$65,"&lt;="&amp;$B107,'Outages (event ledger)'!$G$2:$G$65,"&gt;="&amp;$B107)</f>
        <v>0</v>
      </c>
      <c r="BE107" s="26" t="n">
        <f aca="false">SUMIFS('Outages (event ledger)'!$H$2:$H$65,'Outages (event ledger)'!$A$2:$A$65,BE$2,'Outages (event ledger)'!$E$2:$E$65,"&lt;="&amp;$B107,'Outages (event ledger)'!$G$2:$G$65,"&gt;="&amp;$B107)</f>
        <v>0</v>
      </c>
      <c r="BF107" s="26" t="n">
        <f aca="false">SUMIFS('Outages (event ledger)'!$H$2:$H$65,'Outages (event ledger)'!$A$2:$A$65,BF$2,'Outages (event ledger)'!$E$2:$E$65,"&lt;="&amp;$B107,'Outages (event ledger)'!$G$2:$G$65,"&gt;="&amp;$B107)</f>
        <v>0</v>
      </c>
      <c r="BG107" s="26" t="n">
        <f aca="false">SUMIFS('Outages (event ledger)'!$H$2:$H$65,'Outages (event ledger)'!$A$2:$A$65,BG$2,'Outages (event ledger)'!$E$2:$E$65,"&lt;="&amp;$B107,'Outages (event ledger)'!$G$2:$G$65,"&gt;="&amp;$B107)</f>
        <v>0</v>
      </c>
      <c r="BH107" s="26" t="n">
        <f aca="false">SUMIFS('Outages (event ledger)'!$H$2:$H$65,'Outages (event ledger)'!$A$2:$A$65,BH$2,'Outages (event ledger)'!$E$2:$E$65,"&lt;="&amp;$B107,'Outages (event ledger)'!$G$2:$G$65,"&gt;="&amp;$B107)</f>
        <v>0</v>
      </c>
      <c r="BI107" s="26" t="n">
        <f aca="false">SUMIFS('Outages (event ledger)'!$H$2:$H$65,'Outages (event ledger)'!$A$2:$A$65,BI$2,'Outages (event ledger)'!$E$2:$E$65,"&lt;="&amp;$B107,'Outages (event ledger)'!$G$2:$G$65,"&gt;="&amp;$B107)</f>
        <v>6.7</v>
      </c>
    </row>
    <row r="108" customFormat="false" ht="15" hidden="false" customHeight="false" outlineLevel="0" collapsed="false">
      <c r="A108" s="23" t="n">
        <v>43374</v>
      </c>
      <c r="B108" s="24" t="n">
        <v>201810</v>
      </c>
      <c r="C108" s="25" t="n">
        <f aca="false">SUM(D108:BI108)</f>
        <v>25.2</v>
      </c>
      <c r="D108" s="26" t="n">
        <f aca="false">SUMIFS('Outages (event ledger)'!$H$2:$H$65,'Outages (event ledger)'!$A$2:$A$65,D$2,'Outages (event ledger)'!$E$2:$E$65,"&lt;="&amp;$B108,'Outages (event ledger)'!$G$2:$G$65,"&gt;="&amp;$B108)</f>
        <v>0</v>
      </c>
      <c r="E108" s="26" t="n">
        <f aca="false">SUMIFS('Outages (event ledger)'!$H$2:$H$65,'Outages (event ledger)'!$A$2:$A$65,E$2,'Outages (event ledger)'!$E$2:$E$65,"&lt;="&amp;$B108,'Outages (event ledger)'!$G$2:$G$65,"&gt;="&amp;$B108)</f>
        <v>0</v>
      </c>
      <c r="F108" s="26" t="n">
        <f aca="false">SUMIFS('Outages (event ledger)'!$H$2:$H$65,'Outages (event ledger)'!$A$2:$A$65,F$2,'Outages (event ledger)'!$E$2:$E$65,"&lt;="&amp;$B108,'Outages (event ledger)'!$G$2:$G$65,"&gt;="&amp;$B108)</f>
        <v>0</v>
      </c>
      <c r="G108" s="26" t="n">
        <f aca="false">SUMIFS('Outages (event ledger)'!$H$2:$H$65,'Outages (event ledger)'!$A$2:$A$65,G$2,'Outages (event ledger)'!$E$2:$E$65,"&lt;="&amp;$B108,'Outages (event ledger)'!$G$2:$G$65,"&gt;="&amp;$B108)</f>
        <v>0</v>
      </c>
      <c r="H108" s="26" t="n">
        <f aca="false">SUMIFS('Outages (event ledger)'!$H$2:$H$65,'Outages (event ledger)'!$A$2:$A$65,H$2,'Outages (event ledger)'!$E$2:$E$65,"&lt;="&amp;$B108,'Outages (event ledger)'!$G$2:$G$65,"&gt;="&amp;$B108)</f>
        <v>0</v>
      </c>
      <c r="I108" s="26" t="n">
        <f aca="false">SUMIFS('Outages (event ledger)'!$H$2:$H$65,'Outages (event ledger)'!$A$2:$A$65,I$2,'Outages (event ledger)'!$E$2:$E$65,"&lt;="&amp;$B108,'Outages (event ledger)'!$G$2:$G$65,"&gt;="&amp;$B108)</f>
        <v>0</v>
      </c>
      <c r="J108" s="26" t="n">
        <f aca="false">SUMIFS('Outages (event ledger)'!$H$2:$H$65,'Outages (event ledger)'!$A$2:$A$65,J$2,'Outages (event ledger)'!$E$2:$E$65,"&lt;="&amp;$B108,'Outages (event ledger)'!$G$2:$G$65,"&gt;="&amp;$B108)</f>
        <v>0</v>
      </c>
      <c r="K108" s="26" t="n">
        <f aca="false">SUMIFS('Outages (event ledger)'!$H$2:$H$65,'Outages (event ledger)'!$A$2:$A$65,K$2,'Outages (event ledger)'!$E$2:$E$65,"&lt;="&amp;$B108,'Outages (event ledger)'!$G$2:$G$65,"&gt;="&amp;$B108)</f>
        <v>0</v>
      </c>
      <c r="L108" s="26" t="n">
        <f aca="false">SUMIFS('Outages (event ledger)'!$H$2:$H$65,'Outages (event ledger)'!$A$2:$A$65,L$2,'Outages (event ledger)'!$E$2:$E$65,"&lt;="&amp;$B108,'Outages (event ledger)'!$G$2:$G$65,"&gt;="&amp;$B108)</f>
        <v>0</v>
      </c>
      <c r="M108" s="26" t="n">
        <f aca="false">SUMIFS('Outages (event ledger)'!$H$2:$H$65,'Outages (event ledger)'!$A$2:$A$65,M$2,'Outages (event ledger)'!$E$2:$E$65,"&lt;="&amp;$B108,'Outages (event ledger)'!$G$2:$G$65,"&gt;="&amp;$B108)</f>
        <v>0</v>
      </c>
      <c r="N108" s="26" t="n">
        <f aca="false">SUMIFS('Outages (event ledger)'!$H$2:$H$65,'Outages (event ledger)'!$A$2:$A$65,N$2,'Outages (event ledger)'!$E$2:$E$65,"&lt;="&amp;$B108,'Outages (event ledger)'!$G$2:$G$65,"&gt;="&amp;$B108)</f>
        <v>0</v>
      </c>
      <c r="O108" s="26" t="n">
        <f aca="false">SUMIFS('Outages (event ledger)'!$H$2:$H$65,'Outages (event ledger)'!$A$2:$A$65,O$2,'Outages (event ledger)'!$E$2:$E$65,"&lt;="&amp;$B108,'Outages (event ledger)'!$G$2:$G$65,"&gt;="&amp;$B108)</f>
        <v>0</v>
      </c>
      <c r="P108" s="26" t="n">
        <f aca="false">SUMIFS('Outages (event ledger)'!$H$2:$H$65,'Outages (event ledger)'!$A$2:$A$65,P$2,'Outages (event ledger)'!$E$2:$E$65,"&lt;="&amp;$B108,'Outages (event ledger)'!$G$2:$G$65,"&gt;="&amp;$B108)</f>
        <v>0</v>
      </c>
      <c r="Q108" s="26" t="n">
        <f aca="false">SUMIFS('Outages (event ledger)'!$H$2:$H$65,'Outages (event ledger)'!$A$2:$A$65,Q$2,'Outages (event ledger)'!$E$2:$E$65,"&lt;="&amp;$B108,'Outages (event ledger)'!$G$2:$G$65,"&gt;="&amp;$B108)</f>
        <v>0</v>
      </c>
      <c r="R108" s="26" t="n">
        <f aca="false">SUMIFS('Outages (event ledger)'!$H$2:$H$65,'Outages (event ledger)'!$A$2:$A$65,R$2,'Outages (event ledger)'!$E$2:$E$65,"&lt;="&amp;$B108,'Outages (event ledger)'!$G$2:$G$65,"&gt;="&amp;$B108)</f>
        <v>0</v>
      </c>
      <c r="S108" s="26" t="n">
        <f aca="false">SUMIFS('Outages (event ledger)'!$H$2:$H$65,'Outages (event ledger)'!$A$2:$A$65,S$2,'Outages (event ledger)'!$E$2:$E$65,"&lt;="&amp;$B108,'Outages (event ledger)'!$G$2:$G$65,"&gt;="&amp;$B108)</f>
        <v>0</v>
      </c>
      <c r="T108" s="26" t="n">
        <f aca="false">SUMIFS('Outages (event ledger)'!$H$2:$H$65,'Outages (event ledger)'!$A$2:$A$65,T$2,'Outages (event ledger)'!$E$2:$E$65,"&lt;="&amp;$B108,'Outages (event ledger)'!$G$2:$G$65,"&gt;="&amp;$B108)</f>
        <v>0</v>
      </c>
      <c r="U108" s="26" t="n">
        <f aca="false">SUMIFS('Outages (event ledger)'!$H$2:$H$65,'Outages (event ledger)'!$A$2:$A$65,U$2,'Outages (event ledger)'!$E$2:$E$65,"&lt;="&amp;$B108,'Outages (event ledger)'!$G$2:$G$65,"&gt;="&amp;$B108)</f>
        <v>0</v>
      </c>
      <c r="V108" s="26" t="n">
        <f aca="false">SUMIFS('Outages (event ledger)'!$H$2:$H$65,'Outages (event ledger)'!$A$2:$A$65,V$2,'Outages (event ledger)'!$E$2:$E$65,"&lt;="&amp;$B108,'Outages (event ledger)'!$G$2:$G$65,"&gt;="&amp;$B108)</f>
        <v>0</v>
      </c>
      <c r="W108" s="26" t="n">
        <f aca="false">SUMIFS('Outages (event ledger)'!$H$2:$H$65,'Outages (event ledger)'!$A$2:$A$65,W$2,'Outages (event ledger)'!$E$2:$E$65,"&lt;="&amp;$B108,'Outages (event ledger)'!$G$2:$G$65,"&gt;="&amp;$B108)</f>
        <v>0</v>
      </c>
      <c r="X108" s="26" t="n">
        <f aca="false">SUMIFS('Outages (event ledger)'!$H$2:$H$65,'Outages (event ledger)'!$A$2:$A$65,X$2,'Outages (event ledger)'!$E$2:$E$65,"&lt;="&amp;$B108,'Outages (event ledger)'!$G$2:$G$65,"&gt;="&amp;$B108)</f>
        <v>0</v>
      </c>
      <c r="Y108" s="26" t="n">
        <f aca="false">SUMIFS('Outages (event ledger)'!$H$2:$H$65,'Outages (event ledger)'!$A$2:$A$65,Y$2,'Outages (event ledger)'!$E$2:$E$65,"&lt;="&amp;$B108,'Outages (event ledger)'!$G$2:$G$65,"&gt;="&amp;$B108)</f>
        <v>5</v>
      </c>
      <c r="Z108" s="26" t="n">
        <f aca="false">SUMIFS('Outages (event ledger)'!$H$2:$H$65,'Outages (event ledger)'!$A$2:$A$65,Z$2,'Outages (event ledger)'!$E$2:$E$65,"&lt;="&amp;$B108,'Outages (event ledger)'!$G$2:$G$65,"&gt;="&amp;$B108)</f>
        <v>5</v>
      </c>
      <c r="AA108" s="26" t="n">
        <f aca="false">SUMIFS('Outages (event ledger)'!$H$2:$H$65,'Outages (event ledger)'!$A$2:$A$65,AA$2,'Outages (event ledger)'!$E$2:$E$65,"&lt;="&amp;$B108,'Outages (event ledger)'!$G$2:$G$65,"&gt;="&amp;$B108)</f>
        <v>0</v>
      </c>
      <c r="AB108" s="26" t="n">
        <f aca="false">SUMIFS('Outages (event ledger)'!$H$2:$H$65,'Outages (event ledger)'!$A$2:$A$65,AB$2,'Outages (event ledger)'!$E$2:$E$65,"&lt;="&amp;$B108,'Outages (event ledger)'!$G$2:$G$65,"&gt;="&amp;$B108)</f>
        <v>8</v>
      </c>
      <c r="AC108" s="26" t="n">
        <f aca="false">SUMIFS('Outages (event ledger)'!$H$2:$H$65,'Outages (event ledger)'!$A$2:$A$65,AC$2,'Outages (event ledger)'!$E$2:$E$65,"&lt;="&amp;$B108,'Outages (event ledger)'!$G$2:$G$65,"&gt;="&amp;$B108)</f>
        <v>0</v>
      </c>
      <c r="AD108" s="26" t="n">
        <f aca="false">SUMIFS('Outages (event ledger)'!$H$2:$H$65,'Outages (event ledger)'!$A$2:$A$65,AD$2,'Outages (event ledger)'!$E$2:$E$65,"&lt;="&amp;$B108,'Outages (event ledger)'!$G$2:$G$65,"&gt;="&amp;$B108)</f>
        <v>0</v>
      </c>
      <c r="AE108" s="26" t="n">
        <f aca="false">SUMIFS('Outages (event ledger)'!$H$2:$H$65,'Outages (event ledger)'!$A$2:$A$65,AE$2,'Outages (event ledger)'!$E$2:$E$65,"&lt;="&amp;$B108,'Outages (event ledger)'!$G$2:$G$65,"&gt;="&amp;$B108)</f>
        <v>0</v>
      </c>
      <c r="AF108" s="26" t="n">
        <f aca="false">SUMIFS('Outages (event ledger)'!$H$2:$H$65,'Outages (event ledger)'!$A$2:$A$65,AF$2,'Outages (event ledger)'!$E$2:$E$65,"&lt;="&amp;$B108,'Outages (event ledger)'!$G$2:$G$65,"&gt;="&amp;$B108)</f>
        <v>0</v>
      </c>
      <c r="AG108" s="26" t="n">
        <f aca="false">SUMIFS('Outages (event ledger)'!$H$2:$H$65,'Outages (event ledger)'!$A$2:$A$65,AG$2,'Outages (event ledger)'!$E$2:$E$65,"&lt;="&amp;$B108,'Outages (event ledger)'!$G$2:$G$65,"&gt;="&amp;$B108)</f>
        <v>0</v>
      </c>
      <c r="AH108" s="26" t="n">
        <f aca="false">SUMIFS('Outages (event ledger)'!$H$2:$H$65,'Outages (event ledger)'!$A$2:$A$65,AH$2,'Outages (event ledger)'!$E$2:$E$65,"&lt;="&amp;$B108,'Outages (event ledger)'!$G$2:$G$65,"&gt;="&amp;$B108)</f>
        <v>0</v>
      </c>
      <c r="AI108" s="26" t="n">
        <f aca="false">SUMIFS('Outages (event ledger)'!$H$2:$H$65,'Outages (event ledger)'!$A$2:$A$65,AI$2,'Outages (event ledger)'!$E$2:$E$65,"&lt;="&amp;$B108,'Outages (event ledger)'!$G$2:$G$65,"&gt;="&amp;$B108)</f>
        <v>0</v>
      </c>
      <c r="AJ108" s="26" t="n">
        <f aca="false">SUMIFS('Outages (event ledger)'!$H$2:$H$65,'Outages (event ledger)'!$A$2:$A$65,AJ$2,'Outages (event ledger)'!$E$2:$E$65,"&lt;="&amp;$B108,'Outages (event ledger)'!$G$2:$G$65,"&gt;="&amp;$B108)</f>
        <v>0</v>
      </c>
      <c r="AK108" s="26" t="n">
        <f aca="false">SUMIFS('Outages (event ledger)'!$H$2:$H$65,'Outages (event ledger)'!$A$2:$A$65,AK$2,'Outages (event ledger)'!$E$2:$E$65,"&lt;="&amp;$B108,'Outages (event ledger)'!$G$2:$G$65,"&gt;="&amp;$B108)</f>
        <v>0</v>
      </c>
      <c r="AL108" s="26" t="n">
        <f aca="false">SUMIFS('Outages (event ledger)'!$H$2:$H$65,'Outages (event ledger)'!$A$2:$A$65,AL$2,'Outages (event ledger)'!$E$2:$E$65,"&lt;="&amp;$B108,'Outages (event ledger)'!$G$2:$G$65,"&gt;="&amp;$B108)</f>
        <v>0</v>
      </c>
      <c r="AM108" s="26" t="n">
        <f aca="false">SUMIFS('Outages (event ledger)'!$H$2:$H$65,'Outages (event ledger)'!$A$2:$A$65,AM$2,'Outages (event ledger)'!$E$2:$E$65,"&lt;="&amp;$B108,'Outages (event ledger)'!$G$2:$G$65,"&gt;="&amp;$B108)</f>
        <v>0</v>
      </c>
      <c r="AN108" s="26" t="n">
        <f aca="false">SUMIFS('Outages (event ledger)'!$H$2:$H$65,'Outages (event ledger)'!$A$2:$A$65,AN$2,'Outages (event ledger)'!$E$2:$E$65,"&lt;="&amp;$B108,'Outages (event ledger)'!$G$2:$G$65,"&gt;="&amp;$B108)</f>
        <v>0</v>
      </c>
      <c r="AO108" s="26" t="n">
        <f aca="false">SUMIFS('Outages (event ledger)'!$H$2:$H$65,'Outages (event ledger)'!$A$2:$A$65,AO$2,'Outages (event ledger)'!$E$2:$E$65,"&lt;="&amp;$B108,'Outages (event ledger)'!$G$2:$G$65,"&gt;="&amp;$B108)</f>
        <v>0</v>
      </c>
      <c r="AP108" s="26" t="n">
        <f aca="false">SUMIFS('Outages (event ledger)'!$H$2:$H$65,'Outages (event ledger)'!$A$2:$A$65,AP$2,'Outages (event ledger)'!$E$2:$E$65,"&lt;="&amp;$B108,'Outages (event ledger)'!$G$2:$G$65,"&gt;="&amp;$B108)</f>
        <v>0</v>
      </c>
      <c r="AQ108" s="26" t="n">
        <f aca="false">SUMIFS('Outages (event ledger)'!$H$2:$H$65,'Outages (event ledger)'!$A$2:$A$65,AQ$2,'Outages (event ledger)'!$E$2:$E$65,"&lt;="&amp;$B108,'Outages (event ledger)'!$G$2:$G$65,"&gt;="&amp;$B108)</f>
        <v>0</v>
      </c>
      <c r="AR108" s="26" t="n">
        <f aca="false">SUMIFS('Outages (event ledger)'!$H$2:$H$65,'Outages (event ledger)'!$A$2:$A$65,AR$2,'Outages (event ledger)'!$E$2:$E$65,"&lt;="&amp;$B108,'Outages (event ledger)'!$G$2:$G$65,"&gt;="&amp;$B108)</f>
        <v>0</v>
      </c>
      <c r="AS108" s="26" t="n">
        <f aca="false">SUMIFS('Outages (event ledger)'!$H$2:$H$65,'Outages (event ledger)'!$A$2:$A$65,AS$2,'Outages (event ledger)'!$E$2:$E$65,"&lt;="&amp;$B108,'Outages (event ledger)'!$G$2:$G$65,"&gt;="&amp;$B108)</f>
        <v>0</v>
      </c>
      <c r="AT108" s="26" t="n">
        <f aca="false">SUMIFS('Outages (event ledger)'!$H$2:$H$65,'Outages (event ledger)'!$A$2:$A$65,AT$2,'Outages (event ledger)'!$E$2:$E$65,"&lt;="&amp;$B108,'Outages (event ledger)'!$G$2:$G$65,"&gt;="&amp;$B108)</f>
        <v>0</v>
      </c>
      <c r="AU108" s="26" t="n">
        <f aca="false">SUMIFS('Outages (event ledger)'!$H$2:$H$65,'Outages (event ledger)'!$A$2:$A$65,AU$2,'Outages (event ledger)'!$E$2:$E$65,"&lt;="&amp;$B108,'Outages (event ledger)'!$G$2:$G$65,"&gt;="&amp;$B108)</f>
        <v>0</v>
      </c>
      <c r="AV108" s="26" t="n">
        <f aca="false">SUMIFS('Outages (event ledger)'!$H$2:$H$65,'Outages (event ledger)'!$A$2:$A$65,AV$2,'Outages (event ledger)'!$E$2:$E$65,"&lt;="&amp;$B108,'Outages (event ledger)'!$G$2:$G$65,"&gt;="&amp;$B108)</f>
        <v>0</v>
      </c>
      <c r="AW108" s="26" t="n">
        <f aca="false">SUMIFS('Outages (event ledger)'!$H$2:$H$65,'Outages (event ledger)'!$A$2:$A$65,AW$2,'Outages (event ledger)'!$E$2:$E$65,"&lt;="&amp;$B108,'Outages (event ledger)'!$G$2:$G$65,"&gt;="&amp;$B108)</f>
        <v>0.5</v>
      </c>
      <c r="AX108" s="26" t="n">
        <f aca="false">SUMIFS('Outages (event ledger)'!$H$2:$H$65,'Outages (event ledger)'!$A$2:$A$65,AX$2,'Outages (event ledger)'!$E$2:$E$65,"&lt;="&amp;$B108,'Outages (event ledger)'!$G$2:$G$65,"&gt;="&amp;$B108)</f>
        <v>0</v>
      </c>
      <c r="AY108" s="26" t="n">
        <f aca="false">SUMIFS('Outages (event ledger)'!$H$2:$H$65,'Outages (event ledger)'!$A$2:$A$65,AY$2,'Outages (event ledger)'!$E$2:$E$65,"&lt;="&amp;$B108,'Outages (event ledger)'!$G$2:$G$65,"&gt;="&amp;$B108)</f>
        <v>0</v>
      </c>
      <c r="AZ108" s="26" t="n">
        <f aca="false">SUMIFS('Outages (event ledger)'!$H$2:$H$65,'Outages (event ledger)'!$A$2:$A$65,AZ$2,'Outages (event ledger)'!$E$2:$E$65,"&lt;="&amp;$B108,'Outages (event ledger)'!$G$2:$G$65,"&gt;="&amp;$B108)</f>
        <v>0</v>
      </c>
      <c r="BA108" s="26" t="n">
        <f aca="false">SUMIFS('Outages (event ledger)'!$H$2:$H$65,'Outages (event ledger)'!$A$2:$A$65,BA$2,'Outages (event ledger)'!$E$2:$E$65,"&lt;="&amp;$B108,'Outages (event ledger)'!$G$2:$G$65,"&gt;="&amp;$B108)</f>
        <v>0</v>
      </c>
      <c r="BB108" s="26" t="n">
        <f aca="false">SUMIFS('Outages (event ledger)'!$H$2:$H$65,'Outages (event ledger)'!$A$2:$A$65,BB$2,'Outages (event ledger)'!$E$2:$E$65,"&lt;="&amp;$B108,'Outages (event ledger)'!$G$2:$G$65,"&gt;="&amp;$B108)</f>
        <v>0</v>
      </c>
      <c r="BC108" s="26" t="n">
        <f aca="false">SUMIFS('Outages (event ledger)'!$H$2:$H$65,'Outages (event ledger)'!$A$2:$A$65,BC$2,'Outages (event ledger)'!$E$2:$E$65,"&lt;="&amp;$B108,'Outages (event ledger)'!$G$2:$G$65,"&gt;="&amp;$B108)</f>
        <v>0</v>
      </c>
      <c r="BD108" s="26" t="n">
        <f aca="false">SUMIFS('Outages (event ledger)'!$H$2:$H$65,'Outages (event ledger)'!$A$2:$A$65,BD$2,'Outages (event ledger)'!$E$2:$E$65,"&lt;="&amp;$B108,'Outages (event ledger)'!$G$2:$G$65,"&gt;="&amp;$B108)</f>
        <v>0</v>
      </c>
      <c r="BE108" s="26" t="n">
        <f aca="false">SUMIFS('Outages (event ledger)'!$H$2:$H$65,'Outages (event ledger)'!$A$2:$A$65,BE$2,'Outages (event ledger)'!$E$2:$E$65,"&lt;="&amp;$B108,'Outages (event ledger)'!$G$2:$G$65,"&gt;="&amp;$B108)</f>
        <v>0</v>
      </c>
      <c r="BF108" s="26" t="n">
        <f aca="false">SUMIFS('Outages (event ledger)'!$H$2:$H$65,'Outages (event ledger)'!$A$2:$A$65,BF$2,'Outages (event ledger)'!$E$2:$E$65,"&lt;="&amp;$B108,'Outages (event ledger)'!$G$2:$G$65,"&gt;="&amp;$B108)</f>
        <v>0</v>
      </c>
      <c r="BG108" s="26" t="n">
        <f aca="false">SUMIFS('Outages (event ledger)'!$H$2:$H$65,'Outages (event ledger)'!$A$2:$A$65,BG$2,'Outages (event ledger)'!$E$2:$E$65,"&lt;="&amp;$B108,'Outages (event ledger)'!$G$2:$G$65,"&gt;="&amp;$B108)</f>
        <v>0</v>
      </c>
      <c r="BH108" s="26" t="n">
        <f aca="false">SUMIFS('Outages (event ledger)'!$H$2:$H$65,'Outages (event ledger)'!$A$2:$A$65,BH$2,'Outages (event ledger)'!$E$2:$E$65,"&lt;="&amp;$B108,'Outages (event ledger)'!$G$2:$G$65,"&gt;="&amp;$B108)</f>
        <v>0</v>
      </c>
      <c r="BI108" s="26" t="n">
        <f aca="false">SUMIFS('Outages (event ledger)'!$H$2:$H$65,'Outages (event ledger)'!$A$2:$A$65,BI$2,'Outages (event ledger)'!$E$2:$E$65,"&lt;="&amp;$B108,'Outages (event ledger)'!$G$2:$G$65,"&gt;="&amp;$B108)</f>
        <v>6.7</v>
      </c>
    </row>
    <row r="109" customFormat="false" ht="15" hidden="false" customHeight="false" outlineLevel="0" collapsed="false">
      <c r="A109" s="23" t="n">
        <v>43405</v>
      </c>
      <c r="B109" s="24" t="n">
        <v>201811</v>
      </c>
      <c r="C109" s="25" t="n">
        <f aca="false">SUM(D109:BI109)</f>
        <v>25.2</v>
      </c>
      <c r="D109" s="26" t="n">
        <f aca="false">SUMIFS('Outages (event ledger)'!$H$2:$H$65,'Outages (event ledger)'!$A$2:$A$65,D$2,'Outages (event ledger)'!$E$2:$E$65,"&lt;="&amp;$B109,'Outages (event ledger)'!$G$2:$G$65,"&gt;="&amp;$B109)</f>
        <v>0</v>
      </c>
      <c r="E109" s="26" t="n">
        <f aca="false">SUMIFS('Outages (event ledger)'!$H$2:$H$65,'Outages (event ledger)'!$A$2:$A$65,E$2,'Outages (event ledger)'!$E$2:$E$65,"&lt;="&amp;$B109,'Outages (event ledger)'!$G$2:$G$65,"&gt;="&amp;$B109)</f>
        <v>0</v>
      </c>
      <c r="F109" s="26" t="n">
        <f aca="false">SUMIFS('Outages (event ledger)'!$H$2:$H$65,'Outages (event ledger)'!$A$2:$A$65,F$2,'Outages (event ledger)'!$E$2:$E$65,"&lt;="&amp;$B109,'Outages (event ledger)'!$G$2:$G$65,"&gt;="&amp;$B109)</f>
        <v>0</v>
      </c>
      <c r="G109" s="26" t="n">
        <f aca="false">SUMIFS('Outages (event ledger)'!$H$2:$H$65,'Outages (event ledger)'!$A$2:$A$65,G$2,'Outages (event ledger)'!$E$2:$E$65,"&lt;="&amp;$B109,'Outages (event ledger)'!$G$2:$G$65,"&gt;="&amp;$B109)</f>
        <v>0</v>
      </c>
      <c r="H109" s="26" t="n">
        <f aca="false">SUMIFS('Outages (event ledger)'!$H$2:$H$65,'Outages (event ledger)'!$A$2:$A$65,H$2,'Outages (event ledger)'!$E$2:$E$65,"&lt;="&amp;$B109,'Outages (event ledger)'!$G$2:$G$65,"&gt;="&amp;$B109)</f>
        <v>0</v>
      </c>
      <c r="I109" s="26" t="n">
        <f aca="false">SUMIFS('Outages (event ledger)'!$H$2:$H$65,'Outages (event ledger)'!$A$2:$A$65,I$2,'Outages (event ledger)'!$E$2:$E$65,"&lt;="&amp;$B109,'Outages (event ledger)'!$G$2:$G$65,"&gt;="&amp;$B109)</f>
        <v>0</v>
      </c>
      <c r="J109" s="26" t="n">
        <f aca="false">SUMIFS('Outages (event ledger)'!$H$2:$H$65,'Outages (event ledger)'!$A$2:$A$65,J$2,'Outages (event ledger)'!$E$2:$E$65,"&lt;="&amp;$B109,'Outages (event ledger)'!$G$2:$G$65,"&gt;="&amp;$B109)</f>
        <v>0</v>
      </c>
      <c r="K109" s="26" t="n">
        <f aca="false">SUMIFS('Outages (event ledger)'!$H$2:$H$65,'Outages (event ledger)'!$A$2:$A$65,K$2,'Outages (event ledger)'!$E$2:$E$65,"&lt;="&amp;$B109,'Outages (event ledger)'!$G$2:$G$65,"&gt;="&amp;$B109)</f>
        <v>0</v>
      </c>
      <c r="L109" s="26" t="n">
        <f aca="false">SUMIFS('Outages (event ledger)'!$H$2:$H$65,'Outages (event ledger)'!$A$2:$A$65,L$2,'Outages (event ledger)'!$E$2:$E$65,"&lt;="&amp;$B109,'Outages (event ledger)'!$G$2:$G$65,"&gt;="&amp;$B109)</f>
        <v>0</v>
      </c>
      <c r="M109" s="26" t="n">
        <f aca="false">SUMIFS('Outages (event ledger)'!$H$2:$H$65,'Outages (event ledger)'!$A$2:$A$65,M$2,'Outages (event ledger)'!$E$2:$E$65,"&lt;="&amp;$B109,'Outages (event ledger)'!$G$2:$G$65,"&gt;="&amp;$B109)</f>
        <v>0</v>
      </c>
      <c r="N109" s="26" t="n">
        <f aca="false">SUMIFS('Outages (event ledger)'!$H$2:$H$65,'Outages (event ledger)'!$A$2:$A$65,N$2,'Outages (event ledger)'!$E$2:$E$65,"&lt;="&amp;$B109,'Outages (event ledger)'!$G$2:$G$65,"&gt;="&amp;$B109)</f>
        <v>0</v>
      </c>
      <c r="O109" s="26" t="n">
        <f aca="false">SUMIFS('Outages (event ledger)'!$H$2:$H$65,'Outages (event ledger)'!$A$2:$A$65,O$2,'Outages (event ledger)'!$E$2:$E$65,"&lt;="&amp;$B109,'Outages (event ledger)'!$G$2:$G$65,"&gt;="&amp;$B109)</f>
        <v>0</v>
      </c>
      <c r="P109" s="26" t="n">
        <f aca="false">SUMIFS('Outages (event ledger)'!$H$2:$H$65,'Outages (event ledger)'!$A$2:$A$65,P$2,'Outages (event ledger)'!$E$2:$E$65,"&lt;="&amp;$B109,'Outages (event ledger)'!$G$2:$G$65,"&gt;="&amp;$B109)</f>
        <v>0</v>
      </c>
      <c r="Q109" s="26" t="n">
        <f aca="false">SUMIFS('Outages (event ledger)'!$H$2:$H$65,'Outages (event ledger)'!$A$2:$A$65,Q$2,'Outages (event ledger)'!$E$2:$E$65,"&lt;="&amp;$B109,'Outages (event ledger)'!$G$2:$G$65,"&gt;="&amp;$B109)</f>
        <v>0</v>
      </c>
      <c r="R109" s="26" t="n">
        <f aca="false">SUMIFS('Outages (event ledger)'!$H$2:$H$65,'Outages (event ledger)'!$A$2:$A$65,R$2,'Outages (event ledger)'!$E$2:$E$65,"&lt;="&amp;$B109,'Outages (event ledger)'!$G$2:$G$65,"&gt;="&amp;$B109)</f>
        <v>0</v>
      </c>
      <c r="S109" s="26" t="n">
        <f aca="false">SUMIFS('Outages (event ledger)'!$H$2:$H$65,'Outages (event ledger)'!$A$2:$A$65,S$2,'Outages (event ledger)'!$E$2:$E$65,"&lt;="&amp;$B109,'Outages (event ledger)'!$G$2:$G$65,"&gt;="&amp;$B109)</f>
        <v>0</v>
      </c>
      <c r="T109" s="26" t="n">
        <f aca="false">SUMIFS('Outages (event ledger)'!$H$2:$H$65,'Outages (event ledger)'!$A$2:$A$65,T$2,'Outages (event ledger)'!$E$2:$E$65,"&lt;="&amp;$B109,'Outages (event ledger)'!$G$2:$G$65,"&gt;="&amp;$B109)</f>
        <v>0</v>
      </c>
      <c r="U109" s="26" t="n">
        <f aca="false">SUMIFS('Outages (event ledger)'!$H$2:$H$65,'Outages (event ledger)'!$A$2:$A$65,U$2,'Outages (event ledger)'!$E$2:$E$65,"&lt;="&amp;$B109,'Outages (event ledger)'!$G$2:$G$65,"&gt;="&amp;$B109)</f>
        <v>0</v>
      </c>
      <c r="V109" s="26" t="n">
        <f aca="false">SUMIFS('Outages (event ledger)'!$H$2:$H$65,'Outages (event ledger)'!$A$2:$A$65,V$2,'Outages (event ledger)'!$E$2:$E$65,"&lt;="&amp;$B109,'Outages (event ledger)'!$G$2:$G$65,"&gt;="&amp;$B109)</f>
        <v>0</v>
      </c>
      <c r="W109" s="26" t="n">
        <f aca="false">SUMIFS('Outages (event ledger)'!$H$2:$H$65,'Outages (event ledger)'!$A$2:$A$65,W$2,'Outages (event ledger)'!$E$2:$E$65,"&lt;="&amp;$B109,'Outages (event ledger)'!$G$2:$G$65,"&gt;="&amp;$B109)</f>
        <v>0</v>
      </c>
      <c r="X109" s="26" t="n">
        <f aca="false">SUMIFS('Outages (event ledger)'!$H$2:$H$65,'Outages (event ledger)'!$A$2:$A$65,X$2,'Outages (event ledger)'!$E$2:$E$65,"&lt;="&amp;$B109,'Outages (event ledger)'!$G$2:$G$65,"&gt;="&amp;$B109)</f>
        <v>0</v>
      </c>
      <c r="Y109" s="26" t="n">
        <f aca="false">SUMIFS('Outages (event ledger)'!$H$2:$H$65,'Outages (event ledger)'!$A$2:$A$65,Y$2,'Outages (event ledger)'!$E$2:$E$65,"&lt;="&amp;$B109,'Outages (event ledger)'!$G$2:$G$65,"&gt;="&amp;$B109)</f>
        <v>5</v>
      </c>
      <c r="Z109" s="26" t="n">
        <f aca="false">SUMIFS('Outages (event ledger)'!$H$2:$H$65,'Outages (event ledger)'!$A$2:$A$65,Z$2,'Outages (event ledger)'!$E$2:$E$65,"&lt;="&amp;$B109,'Outages (event ledger)'!$G$2:$G$65,"&gt;="&amp;$B109)</f>
        <v>5</v>
      </c>
      <c r="AA109" s="26" t="n">
        <f aca="false">SUMIFS('Outages (event ledger)'!$H$2:$H$65,'Outages (event ledger)'!$A$2:$A$65,AA$2,'Outages (event ledger)'!$E$2:$E$65,"&lt;="&amp;$B109,'Outages (event ledger)'!$G$2:$G$65,"&gt;="&amp;$B109)</f>
        <v>0</v>
      </c>
      <c r="AB109" s="26" t="n">
        <f aca="false">SUMIFS('Outages (event ledger)'!$H$2:$H$65,'Outages (event ledger)'!$A$2:$A$65,AB$2,'Outages (event ledger)'!$E$2:$E$65,"&lt;="&amp;$B109,'Outages (event ledger)'!$G$2:$G$65,"&gt;="&amp;$B109)</f>
        <v>8</v>
      </c>
      <c r="AC109" s="26" t="n">
        <f aca="false">SUMIFS('Outages (event ledger)'!$H$2:$H$65,'Outages (event ledger)'!$A$2:$A$65,AC$2,'Outages (event ledger)'!$E$2:$E$65,"&lt;="&amp;$B109,'Outages (event ledger)'!$G$2:$G$65,"&gt;="&amp;$B109)</f>
        <v>0</v>
      </c>
      <c r="AD109" s="26" t="n">
        <f aca="false">SUMIFS('Outages (event ledger)'!$H$2:$H$65,'Outages (event ledger)'!$A$2:$A$65,AD$2,'Outages (event ledger)'!$E$2:$E$65,"&lt;="&amp;$B109,'Outages (event ledger)'!$G$2:$G$65,"&gt;="&amp;$B109)</f>
        <v>0</v>
      </c>
      <c r="AE109" s="26" t="n">
        <f aca="false">SUMIFS('Outages (event ledger)'!$H$2:$H$65,'Outages (event ledger)'!$A$2:$A$65,AE$2,'Outages (event ledger)'!$E$2:$E$65,"&lt;="&amp;$B109,'Outages (event ledger)'!$G$2:$G$65,"&gt;="&amp;$B109)</f>
        <v>0</v>
      </c>
      <c r="AF109" s="26" t="n">
        <f aca="false">SUMIFS('Outages (event ledger)'!$H$2:$H$65,'Outages (event ledger)'!$A$2:$A$65,AF$2,'Outages (event ledger)'!$E$2:$E$65,"&lt;="&amp;$B109,'Outages (event ledger)'!$G$2:$G$65,"&gt;="&amp;$B109)</f>
        <v>0</v>
      </c>
      <c r="AG109" s="26" t="n">
        <f aca="false">SUMIFS('Outages (event ledger)'!$H$2:$H$65,'Outages (event ledger)'!$A$2:$A$65,AG$2,'Outages (event ledger)'!$E$2:$E$65,"&lt;="&amp;$B109,'Outages (event ledger)'!$G$2:$G$65,"&gt;="&amp;$B109)</f>
        <v>0</v>
      </c>
      <c r="AH109" s="26" t="n">
        <f aca="false">SUMIFS('Outages (event ledger)'!$H$2:$H$65,'Outages (event ledger)'!$A$2:$A$65,AH$2,'Outages (event ledger)'!$E$2:$E$65,"&lt;="&amp;$B109,'Outages (event ledger)'!$G$2:$G$65,"&gt;="&amp;$B109)</f>
        <v>0</v>
      </c>
      <c r="AI109" s="26" t="n">
        <f aca="false">SUMIFS('Outages (event ledger)'!$H$2:$H$65,'Outages (event ledger)'!$A$2:$A$65,AI$2,'Outages (event ledger)'!$E$2:$E$65,"&lt;="&amp;$B109,'Outages (event ledger)'!$G$2:$G$65,"&gt;="&amp;$B109)</f>
        <v>0</v>
      </c>
      <c r="AJ109" s="26" t="n">
        <f aca="false">SUMIFS('Outages (event ledger)'!$H$2:$H$65,'Outages (event ledger)'!$A$2:$A$65,AJ$2,'Outages (event ledger)'!$E$2:$E$65,"&lt;="&amp;$B109,'Outages (event ledger)'!$G$2:$G$65,"&gt;="&amp;$B109)</f>
        <v>0</v>
      </c>
      <c r="AK109" s="26" t="n">
        <f aca="false">SUMIFS('Outages (event ledger)'!$H$2:$H$65,'Outages (event ledger)'!$A$2:$A$65,AK$2,'Outages (event ledger)'!$E$2:$E$65,"&lt;="&amp;$B109,'Outages (event ledger)'!$G$2:$G$65,"&gt;="&amp;$B109)</f>
        <v>0</v>
      </c>
      <c r="AL109" s="26" t="n">
        <f aca="false">SUMIFS('Outages (event ledger)'!$H$2:$H$65,'Outages (event ledger)'!$A$2:$A$65,AL$2,'Outages (event ledger)'!$E$2:$E$65,"&lt;="&amp;$B109,'Outages (event ledger)'!$G$2:$G$65,"&gt;="&amp;$B109)</f>
        <v>0</v>
      </c>
      <c r="AM109" s="26" t="n">
        <f aca="false">SUMIFS('Outages (event ledger)'!$H$2:$H$65,'Outages (event ledger)'!$A$2:$A$65,AM$2,'Outages (event ledger)'!$E$2:$E$65,"&lt;="&amp;$B109,'Outages (event ledger)'!$G$2:$G$65,"&gt;="&amp;$B109)</f>
        <v>0</v>
      </c>
      <c r="AN109" s="26" t="n">
        <f aca="false">SUMIFS('Outages (event ledger)'!$H$2:$H$65,'Outages (event ledger)'!$A$2:$A$65,AN$2,'Outages (event ledger)'!$E$2:$E$65,"&lt;="&amp;$B109,'Outages (event ledger)'!$G$2:$G$65,"&gt;="&amp;$B109)</f>
        <v>0</v>
      </c>
      <c r="AO109" s="26" t="n">
        <f aca="false">SUMIFS('Outages (event ledger)'!$H$2:$H$65,'Outages (event ledger)'!$A$2:$A$65,AO$2,'Outages (event ledger)'!$E$2:$E$65,"&lt;="&amp;$B109,'Outages (event ledger)'!$G$2:$G$65,"&gt;="&amp;$B109)</f>
        <v>0</v>
      </c>
      <c r="AP109" s="26" t="n">
        <f aca="false">SUMIFS('Outages (event ledger)'!$H$2:$H$65,'Outages (event ledger)'!$A$2:$A$65,AP$2,'Outages (event ledger)'!$E$2:$E$65,"&lt;="&amp;$B109,'Outages (event ledger)'!$G$2:$G$65,"&gt;="&amp;$B109)</f>
        <v>0</v>
      </c>
      <c r="AQ109" s="26" t="n">
        <f aca="false">SUMIFS('Outages (event ledger)'!$H$2:$H$65,'Outages (event ledger)'!$A$2:$A$65,AQ$2,'Outages (event ledger)'!$E$2:$E$65,"&lt;="&amp;$B109,'Outages (event ledger)'!$G$2:$G$65,"&gt;="&amp;$B109)</f>
        <v>0</v>
      </c>
      <c r="AR109" s="26" t="n">
        <f aca="false">SUMIFS('Outages (event ledger)'!$H$2:$H$65,'Outages (event ledger)'!$A$2:$A$65,AR$2,'Outages (event ledger)'!$E$2:$E$65,"&lt;="&amp;$B109,'Outages (event ledger)'!$G$2:$G$65,"&gt;="&amp;$B109)</f>
        <v>0</v>
      </c>
      <c r="AS109" s="26" t="n">
        <f aca="false">SUMIFS('Outages (event ledger)'!$H$2:$H$65,'Outages (event ledger)'!$A$2:$A$65,AS$2,'Outages (event ledger)'!$E$2:$E$65,"&lt;="&amp;$B109,'Outages (event ledger)'!$G$2:$G$65,"&gt;="&amp;$B109)</f>
        <v>0</v>
      </c>
      <c r="AT109" s="26" t="n">
        <f aca="false">SUMIFS('Outages (event ledger)'!$H$2:$H$65,'Outages (event ledger)'!$A$2:$A$65,AT$2,'Outages (event ledger)'!$E$2:$E$65,"&lt;="&amp;$B109,'Outages (event ledger)'!$G$2:$G$65,"&gt;="&amp;$B109)</f>
        <v>0</v>
      </c>
      <c r="AU109" s="26" t="n">
        <f aca="false">SUMIFS('Outages (event ledger)'!$H$2:$H$65,'Outages (event ledger)'!$A$2:$A$65,AU$2,'Outages (event ledger)'!$E$2:$E$65,"&lt;="&amp;$B109,'Outages (event ledger)'!$G$2:$G$65,"&gt;="&amp;$B109)</f>
        <v>0</v>
      </c>
      <c r="AV109" s="26" t="n">
        <f aca="false">SUMIFS('Outages (event ledger)'!$H$2:$H$65,'Outages (event ledger)'!$A$2:$A$65,AV$2,'Outages (event ledger)'!$E$2:$E$65,"&lt;="&amp;$B109,'Outages (event ledger)'!$G$2:$G$65,"&gt;="&amp;$B109)</f>
        <v>0</v>
      </c>
      <c r="AW109" s="26" t="n">
        <f aca="false">SUMIFS('Outages (event ledger)'!$H$2:$H$65,'Outages (event ledger)'!$A$2:$A$65,AW$2,'Outages (event ledger)'!$E$2:$E$65,"&lt;="&amp;$B109,'Outages (event ledger)'!$G$2:$G$65,"&gt;="&amp;$B109)</f>
        <v>0.5</v>
      </c>
      <c r="AX109" s="26" t="n">
        <f aca="false">SUMIFS('Outages (event ledger)'!$H$2:$H$65,'Outages (event ledger)'!$A$2:$A$65,AX$2,'Outages (event ledger)'!$E$2:$E$65,"&lt;="&amp;$B109,'Outages (event ledger)'!$G$2:$G$65,"&gt;="&amp;$B109)</f>
        <v>0</v>
      </c>
      <c r="AY109" s="26" t="n">
        <f aca="false">SUMIFS('Outages (event ledger)'!$H$2:$H$65,'Outages (event ledger)'!$A$2:$A$65,AY$2,'Outages (event ledger)'!$E$2:$E$65,"&lt;="&amp;$B109,'Outages (event ledger)'!$G$2:$G$65,"&gt;="&amp;$B109)</f>
        <v>0</v>
      </c>
      <c r="AZ109" s="26" t="n">
        <f aca="false">SUMIFS('Outages (event ledger)'!$H$2:$H$65,'Outages (event ledger)'!$A$2:$A$65,AZ$2,'Outages (event ledger)'!$E$2:$E$65,"&lt;="&amp;$B109,'Outages (event ledger)'!$G$2:$G$65,"&gt;="&amp;$B109)</f>
        <v>0</v>
      </c>
      <c r="BA109" s="26" t="n">
        <f aca="false">SUMIFS('Outages (event ledger)'!$H$2:$H$65,'Outages (event ledger)'!$A$2:$A$65,BA$2,'Outages (event ledger)'!$E$2:$E$65,"&lt;="&amp;$B109,'Outages (event ledger)'!$G$2:$G$65,"&gt;="&amp;$B109)</f>
        <v>0</v>
      </c>
      <c r="BB109" s="26" t="n">
        <f aca="false">SUMIFS('Outages (event ledger)'!$H$2:$H$65,'Outages (event ledger)'!$A$2:$A$65,BB$2,'Outages (event ledger)'!$E$2:$E$65,"&lt;="&amp;$B109,'Outages (event ledger)'!$G$2:$G$65,"&gt;="&amp;$B109)</f>
        <v>0</v>
      </c>
      <c r="BC109" s="26" t="n">
        <f aca="false">SUMIFS('Outages (event ledger)'!$H$2:$H$65,'Outages (event ledger)'!$A$2:$A$65,BC$2,'Outages (event ledger)'!$E$2:$E$65,"&lt;="&amp;$B109,'Outages (event ledger)'!$G$2:$G$65,"&gt;="&amp;$B109)</f>
        <v>0</v>
      </c>
      <c r="BD109" s="26" t="n">
        <f aca="false">SUMIFS('Outages (event ledger)'!$H$2:$H$65,'Outages (event ledger)'!$A$2:$A$65,BD$2,'Outages (event ledger)'!$E$2:$E$65,"&lt;="&amp;$B109,'Outages (event ledger)'!$G$2:$G$65,"&gt;="&amp;$B109)</f>
        <v>0</v>
      </c>
      <c r="BE109" s="26" t="n">
        <f aca="false">SUMIFS('Outages (event ledger)'!$H$2:$H$65,'Outages (event ledger)'!$A$2:$A$65,BE$2,'Outages (event ledger)'!$E$2:$E$65,"&lt;="&amp;$B109,'Outages (event ledger)'!$G$2:$G$65,"&gt;="&amp;$B109)</f>
        <v>0</v>
      </c>
      <c r="BF109" s="26" t="n">
        <f aca="false">SUMIFS('Outages (event ledger)'!$H$2:$H$65,'Outages (event ledger)'!$A$2:$A$65,BF$2,'Outages (event ledger)'!$E$2:$E$65,"&lt;="&amp;$B109,'Outages (event ledger)'!$G$2:$G$65,"&gt;="&amp;$B109)</f>
        <v>0</v>
      </c>
      <c r="BG109" s="26" t="n">
        <f aca="false">SUMIFS('Outages (event ledger)'!$H$2:$H$65,'Outages (event ledger)'!$A$2:$A$65,BG$2,'Outages (event ledger)'!$E$2:$E$65,"&lt;="&amp;$B109,'Outages (event ledger)'!$G$2:$G$65,"&gt;="&amp;$B109)</f>
        <v>0</v>
      </c>
      <c r="BH109" s="26" t="n">
        <f aca="false">SUMIFS('Outages (event ledger)'!$H$2:$H$65,'Outages (event ledger)'!$A$2:$A$65,BH$2,'Outages (event ledger)'!$E$2:$E$65,"&lt;="&amp;$B109,'Outages (event ledger)'!$G$2:$G$65,"&gt;="&amp;$B109)</f>
        <v>0</v>
      </c>
      <c r="BI109" s="26" t="n">
        <f aca="false">SUMIFS('Outages (event ledger)'!$H$2:$H$65,'Outages (event ledger)'!$A$2:$A$65,BI$2,'Outages (event ledger)'!$E$2:$E$65,"&lt;="&amp;$B109,'Outages (event ledger)'!$G$2:$G$65,"&gt;="&amp;$B109)</f>
        <v>6.7</v>
      </c>
    </row>
    <row r="110" customFormat="false" ht="15" hidden="false" customHeight="false" outlineLevel="0" collapsed="false">
      <c r="A110" s="23" t="n">
        <v>43435</v>
      </c>
      <c r="B110" s="24" t="n">
        <v>201812</v>
      </c>
      <c r="C110" s="25" t="n">
        <f aca="false">SUM(D110:BI110)</f>
        <v>25.2</v>
      </c>
      <c r="D110" s="26" t="n">
        <f aca="false">SUMIFS('Outages (event ledger)'!$H$2:$H$65,'Outages (event ledger)'!$A$2:$A$65,D$2,'Outages (event ledger)'!$E$2:$E$65,"&lt;="&amp;$B110,'Outages (event ledger)'!$G$2:$G$65,"&gt;="&amp;$B110)</f>
        <v>0</v>
      </c>
      <c r="E110" s="26" t="n">
        <f aca="false">SUMIFS('Outages (event ledger)'!$H$2:$H$65,'Outages (event ledger)'!$A$2:$A$65,E$2,'Outages (event ledger)'!$E$2:$E$65,"&lt;="&amp;$B110,'Outages (event ledger)'!$G$2:$G$65,"&gt;="&amp;$B110)</f>
        <v>0</v>
      </c>
      <c r="F110" s="26" t="n">
        <f aca="false">SUMIFS('Outages (event ledger)'!$H$2:$H$65,'Outages (event ledger)'!$A$2:$A$65,F$2,'Outages (event ledger)'!$E$2:$E$65,"&lt;="&amp;$B110,'Outages (event ledger)'!$G$2:$G$65,"&gt;="&amp;$B110)</f>
        <v>0</v>
      </c>
      <c r="G110" s="26" t="n">
        <f aca="false">SUMIFS('Outages (event ledger)'!$H$2:$H$65,'Outages (event ledger)'!$A$2:$A$65,G$2,'Outages (event ledger)'!$E$2:$E$65,"&lt;="&amp;$B110,'Outages (event ledger)'!$G$2:$G$65,"&gt;="&amp;$B110)</f>
        <v>0</v>
      </c>
      <c r="H110" s="26" t="n">
        <f aca="false">SUMIFS('Outages (event ledger)'!$H$2:$H$65,'Outages (event ledger)'!$A$2:$A$65,H$2,'Outages (event ledger)'!$E$2:$E$65,"&lt;="&amp;$B110,'Outages (event ledger)'!$G$2:$G$65,"&gt;="&amp;$B110)</f>
        <v>0</v>
      </c>
      <c r="I110" s="26" t="n">
        <f aca="false">SUMIFS('Outages (event ledger)'!$H$2:$H$65,'Outages (event ledger)'!$A$2:$A$65,I$2,'Outages (event ledger)'!$E$2:$E$65,"&lt;="&amp;$B110,'Outages (event ledger)'!$G$2:$G$65,"&gt;="&amp;$B110)</f>
        <v>0</v>
      </c>
      <c r="J110" s="26" t="n">
        <f aca="false">SUMIFS('Outages (event ledger)'!$H$2:$H$65,'Outages (event ledger)'!$A$2:$A$65,J$2,'Outages (event ledger)'!$E$2:$E$65,"&lt;="&amp;$B110,'Outages (event ledger)'!$G$2:$G$65,"&gt;="&amp;$B110)</f>
        <v>0</v>
      </c>
      <c r="K110" s="26" t="n">
        <f aca="false">SUMIFS('Outages (event ledger)'!$H$2:$H$65,'Outages (event ledger)'!$A$2:$A$65,K$2,'Outages (event ledger)'!$E$2:$E$65,"&lt;="&amp;$B110,'Outages (event ledger)'!$G$2:$G$65,"&gt;="&amp;$B110)</f>
        <v>0</v>
      </c>
      <c r="L110" s="26" t="n">
        <f aca="false">SUMIFS('Outages (event ledger)'!$H$2:$H$65,'Outages (event ledger)'!$A$2:$A$65,L$2,'Outages (event ledger)'!$E$2:$E$65,"&lt;="&amp;$B110,'Outages (event ledger)'!$G$2:$G$65,"&gt;="&amp;$B110)</f>
        <v>0</v>
      </c>
      <c r="M110" s="26" t="n">
        <f aca="false">SUMIFS('Outages (event ledger)'!$H$2:$H$65,'Outages (event ledger)'!$A$2:$A$65,M$2,'Outages (event ledger)'!$E$2:$E$65,"&lt;="&amp;$B110,'Outages (event ledger)'!$G$2:$G$65,"&gt;="&amp;$B110)</f>
        <v>0</v>
      </c>
      <c r="N110" s="26" t="n">
        <f aca="false">SUMIFS('Outages (event ledger)'!$H$2:$H$65,'Outages (event ledger)'!$A$2:$A$65,N$2,'Outages (event ledger)'!$E$2:$E$65,"&lt;="&amp;$B110,'Outages (event ledger)'!$G$2:$G$65,"&gt;="&amp;$B110)</f>
        <v>0</v>
      </c>
      <c r="O110" s="26" t="n">
        <f aca="false">SUMIFS('Outages (event ledger)'!$H$2:$H$65,'Outages (event ledger)'!$A$2:$A$65,O$2,'Outages (event ledger)'!$E$2:$E$65,"&lt;="&amp;$B110,'Outages (event ledger)'!$G$2:$G$65,"&gt;="&amp;$B110)</f>
        <v>0</v>
      </c>
      <c r="P110" s="26" t="n">
        <f aca="false">SUMIFS('Outages (event ledger)'!$H$2:$H$65,'Outages (event ledger)'!$A$2:$A$65,P$2,'Outages (event ledger)'!$E$2:$E$65,"&lt;="&amp;$B110,'Outages (event ledger)'!$G$2:$G$65,"&gt;="&amp;$B110)</f>
        <v>0</v>
      </c>
      <c r="Q110" s="26" t="n">
        <f aca="false">SUMIFS('Outages (event ledger)'!$H$2:$H$65,'Outages (event ledger)'!$A$2:$A$65,Q$2,'Outages (event ledger)'!$E$2:$E$65,"&lt;="&amp;$B110,'Outages (event ledger)'!$G$2:$G$65,"&gt;="&amp;$B110)</f>
        <v>0</v>
      </c>
      <c r="R110" s="26" t="n">
        <f aca="false">SUMIFS('Outages (event ledger)'!$H$2:$H$65,'Outages (event ledger)'!$A$2:$A$65,R$2,'Outages (event ledger)'!$E$2:$E$65,"&lt;="&amp;$B110,'Outages (event ledger)'!$G$2:$G$65,"&gt;="&amp;$B110)</f>
        <v>0</v>
      </c>
      <c r="S110" s="26" t="n">
        <f aca="false">SUMIFS('Outages (event ledger)'!$H$2:$H$65,'Outages (event ledger)'!$A$2:$A$65,S$2,'Outages (event ledger)'!$E$2:$E$65,"&lt;="&amp;$B110,'Outages (event ledger)'!$G$2:$G$65,"&gt;="&amp;$B110)</f>
        <v>0</v>
      </c>
      <c r="T110" s="26" t="n">
        <f aca="false">SUMIFS('Outages (event ledger)'!$H$2:$H$65,'Outages (event ledger)'!$A$2:$A$65,T$2,'Outages (event ledger)'!$E$2:$E$65,"&lt;="&amp;$B110,'Outages (event ledger)'!$G$2:$G$65,"&gt;="&amp;$B110)</f>
        <v>0</v>
      </c>
      <c r="U110" s="26" t="n">
        <f aca="false">SUMIFS('Outages (event ledger)'!$H$2:$H$65,'Outages (event ledger)'!$A$2:$A$65,U$2,'Outages (event ledger)'!$E$2:$E$65,"&lt;="&amp;$B110,'Outages (event ledger)'!$G$2:$G$65,"&gt;="&amp;$B110)</f>
        <v>0</v>
      </c>
      <c r="V110" s="26" t="n">
        <f aca="false">SUMIFS('Outages (event ledger)'!$H$2:$H$65,'Outages (event ledger)'!$A$2:$A$65,V$2,'Outages (event ledger)'!$E$2:$E$65,"&lt;="&amp;$B110,'Outages (event ledger)'!$G$2:$G$65,"&gt;="&amp;$B110)</f>
        <v>0</v>
      </c>
      <c r="W110" s="26" t="n">
        <f aca="false">SUMIFS('Outages (event ledger)'!$H$2:$H$65,'Outages (event ledger)'!$A$2:$A$65,W$2,'Outages (event ledger)'!$E$2:$E$65,"&lt;="&amp;$B110,'Outages (event ledger)'!$G$2:$G$65,"&gt;="&amp;$B110)</f>
        <v>0</v>
      </c>
      <c r="X110" s="26" t="n">
        <f aca="false">SUMIFS('Outages (event ledger)'!$H$2:$H$65,'Outages (event ledger)'!$A$2:$A$65,X$2,'Outages (event ledger)'!$E$2:$E$65,"&lt;="&amp;$B110,'Outages (event ledger)'!$G$2:$G$65,"&gt;="&amp;$B110)</f>
        <v>0</v>
      </c>
      <c r="Y110" s="26" t="n">
        <f aca="false">SUMIFS('Outages (event ledger)'!$H$2:$H$65,'Outages (event ledger)'!$A$2:$A$65,Y$2,'Outages (event ledger)'!$E$2:$E$65,"&lt;="&amp;$B110,'Outages (event ledger)'!$G$2:$G$65,"&gt;="&amp;$B110)</f>
        <v>5</v>
      </c>
      <c r="Z110" s="26" t="n">
        <f aca="false">SUMIFS('Outages (event ledger)'!$H$2:$H$65,'Outages (event ledger)'!$A$2:$A$65,Z$2,'Outages (event ledger)'!$E$2:$E$65,"&lt;="&amp;$B110,'Outages (event ledger)'!$G$2:$G$65,"&gt;="&amp;$B110)</f>
        <v>5</v>
      </c>
      <c r="AA110" s="26" t="n">
        <f aca="false">SUMIFS('Outages (event ledger)'!$H$2:$H$65,'Outages (event ledger)'!$A$2:$A$65,AA$2,'Outages (event ledger)'!$E$2:$E$65,"&lt;="&amp;$B110,'Outages (event ledger)'!$G$2:$G$65,"&gt;="&amp;$B110)</f>
        <v>0</v>
      </c>
      <c r="AB110" s="26" t="n">
        <f aca="false">SUMIFS('Outages (event ledger)'!$H$2:$H$65,'Outages (event ledger)'!$A$2:$A$65,AB$2,'Outages (event ledger)'!$E$2:$E$65,"&lt;="&amp;$B110,'Outages (event ledger)'!$G$2:$G$65,"&gt;="&amp;$B110)</f>
        <v>8</v>
      </c>
      <c r="AC110" s="26" t="n">
        <f aca="false">SUMIFS('Outages (event ledger)'!$H$2:$H$65,'Outages (event ledger)'!$A$2:$A$65,AC$2,'Outages (event ledger)'!$E$2:$E$65,"&lt;="&amp;$B110,'Outages (event ledger)'!$G$2:$G$65,"&gt;="&amp;$B110)</f>
        <v>0</v>
      </c>
      <c r="AD110" s="26" t="n">
        <f aca="false">SUMIFS('Outages (event ledger)'!$H$2:$H$65,'Outages (event ledger)'!$A$2:$A$65,AD$2,'Outages (event ledger)'!$E$2:$E$65,"&lt;="&amp;$B110,'Outages (event ledger)'!$G$2:$G$65,"&gt;="&amp;$B110)</f>
        <v>0</v>
      </c>
      <c r="AE110" s="26" t="n">
        <f aca="false">SUMIFS('Outages (event ledger)'!$H$2:$H$65,'Outages (event ledger)'!$A$2:$A$65,AE$2,'Outages (event ledger)'!$E$2:$E$65,"&lt;="&amp;$B110,'Outages (event ledger)'!$G$2:$G$65,"&gt;="&amp;$B110)</f>
        <v>0</v>
      </c>
      <c r="AF110" s="26" t="n">
        <f aca="false">SUMIFS('Outages (event ledger)'!$H$2:$H$65,'Outages (event ledger)'!$A$2:$A$65,AF$2,'Outages (event ledger)'!$E$2:$E$65,"&lt;="&amp;$B110,'Outages (event ledger)'!$G$2:$G$65,"&gt;="&amp;$B110)</f>
        <v>0</v>
      </c>
      <c r="AG110" s="26" t="n">
        <f aca="false">SUMIFS('Outages (event ledger)'!$H$2:$H$65,'Outages (event ledger)'!$A$2:$A$65,AG$2,'Outages (event ledger)'!$E$2:$E$65,"&lt;="&amp;$B110,'Outages (event ledger)'!$G$2:$G$65,"&gt;="&amp;$B110)</f>
        <v>0</v>
      </c>
      <c r="AH110" s="26" t="n">
        <f aca="false">SUMIFS('Outages (event ledger)'!$H$2:$H$65,'Outages (event ledger)'!$A$2:$A$65,AH$2,'Outages (event ledger)'!$E$2:$E$65,"&lt;="&amp;$B110,'Outages (event ledger)'!$G$2:$G$65,"&gt;="&amp;$B110)</f>
        <v>0</v>
      </c>
      <c r="AI110" s="26" t="n">
        <f aca="false">SUMIFS('Outages (event ledger)'!$H$2:$H$65,'Outages (event ledger)'!$A$2:$A$65,AI$2,'Outages (event ledger)'!$E$2:$E$65,"&lt;="&amp;$B110,'Outages (event ledger)'!$G$2:$G$65,"&gt;="&amp;$B110)</f>
        <v>0</v>
      </c>
      <c r="AJ110" s="26" t="n">
        <f aca="false">SUMIFS('Outages (event ledger)'!$H$2:$H$65,'Outages (event ledger)'!$A$2:$A$65,AJ$2,'Outages (event ledger)'!$E$2:$E$65,"&lt;="&amp;$B110,'Outages (event ledger)'!$G$2:$G$65,"&gt;="&amp;$B110)</f>
        <v>0</v>
      </c>
      <c r="AK110" s="26" t="n">
        <f aca="false">SUMIFS('Outages (event ledger)'!$H$2:$H$65,'Outages (event ledger)'!$A$2:$A$65,AK$2,'Outages (event ledger)'!$E$2:$E$65,"&lt;="&amp;$B110,'Outages (event ledger)'!$G$2:$G$65,"&gt;="&amp;$B110)</f>
        <v>0</v>
      </c>
      <c r="AL110" s="26" t="n">
        <f aca="false">SUMIFS('Outages (event ledger)'!$H$2:$H$65,'Outages (event ledger)'!$A$2:$A$65,AL$2,'Outages (event ledger)'!$E$2:$E$65,"&lt;="&amp;$B110,'Outages (event ledger)'!$G$2:$G$65,"&gt;="&amp;$B110)</f>
        <v>0</v>
      </c>
      <c r="AM110" s="26" t="n">
        <f aca="false">SUMIFS('Outages (event ledger)'!$H$2:$H$65,'Outages (event ledger)'!$A$2:$A$65,AM$2,'Outages (event ledger)'!$E$2:$E$65,"&lt;="&amp;$B110,'Outages (event ledger)'!$G$2:$G$65,"&gt;="&amp;$B110)</f>
        <v>0</v>
      </c>
      <c r="AN110" s="26" t="n">
        <f aca="false">SUMIFS('Outages (event ledger)'!$H$2:$H$65,'Outages (event ledger)'!$A$2:$A$65,AN$2,'Outages (event ledger)'!$E$2:$E$65,"&lt;="&amp;$B110,'Outages (event ledger)'!$G$2:$G$65,"&gt;="&amp;$B110)</f>
        <v>0</v>
      </c>
      <c r="AO110" s="26" t="n">
        <f aca="false">SUMIFS('Outages (event ledger)'!$H$2:$H$65,'Outages (event ledger)'!$A$2:$A$65,AO$2,'Outages (event ledger)'!$E$2:$E$65,"&lt;="&amp;$B110,'Outages (event ledger)'!$G$2:$G$65,"&gt;="&amp;$B110)</f>
        <v>0</v>
      </c>
      <c r="AP110" s="26" t="n">
        <f aca="false">SUMIFS('Outages (event ledger)'!$H$2:$H$65,'Outages (event ledger)'!$A$2:$A$65,AP$2,'Outages (event ledger)'!$E$2:$E$65,"&lt;="&amp;$B110,'Outages (event ledger)'!$G$2:$G$65,"&gt;="&amp;$B110)</f>
        <v>0</v>
      </c>
      <c r="AQ110" s="26" t="n">
        <f aca="false">SUMIFS('Outages (event ledger)'!$H$2:$H$65,'Outages (event ledger)'!$A$2:$A$65,AQ$2,'Outages (event ledger)'!$E$2:$E$65,"&lt;="&amp;$B110,'Outages (event ledger)'!$G$2:$G$65,"&gt;="&amp;$B110)</f>
        <v>0</v>
      </c>
      <c r="AR110" s="26" t="n">
        <f aca="false">SUMIFS('Outages (event ledger)'!$H$2:$H$65,'Outages (event ledger)'!$A$2:$A$65,AR$2,'Outages (event ledger)'!$E$2:$E$65,"&lt;="&amp;$B110,'Outages (event ledger)'!$G$2:$G$65,"&gt;="&amp;$B110)</f>
        <v>0</v>
      </c>
      <c r="AS110" s="26" t="n">
        <f aca="false">SUMIFS('Outages (event ledger)'!$H$2:$H$65,'Outages (event ledger)'!$A$2:$A$65,AS$2,'Outages (event ledger)'!$E$2:$E$65,"&lt;="&amp;$B110,'Outages (event ledger)'!$G$2:$G$65,"&gt;="&amp;$B110)</f>
        <v>0</v>
      </c>
      <c r="AT110" s="26" t="n">
        <f aca="false">SUMIFS('Outages (event ledger)'!$H$2:$H$65,'Outages (event ledger)'!$A$2:$A$65,AT$2,'Outages (event ledger)'!$E$2:$E$65,"&lt;="&amp;$B110,'Outages (event ledger)'!$G$2:$G$65,"&gt;="&amp;$B110)</f>
        <v>0</v>
      </c>
      <c r="AU110" s="26" t="n">
        <f aca="false">SUMIFS('Outages (event ledger)'!$H$2:$H$65,'Outages (event ledger)'!$A$2:$A$65,AU$2,'Outages (event ledger)'!$E$2:$E$65,"&lt;="&amp;$B110,'Outages (event ledger)'!$G$2:$G$65,"&gt;="&amp;$B110)</f>
        <v>0</v>
      </c>
      <c r="AV110" s="26" t="n">
        <f aca="false">SUMIFS('Outages (event ledger)'!$H$2:$H$65,'Outages (event ledger)'!$A$2:$A$65,AV$2,'Outages (event ledger)'!$E$2:$E$65,"&lt;="&amp;$B110,'Outages (event ledger)'!$G$2:$G$65,"&gt;="&amp;$B110)</f>
        <v>0</v>
      </c>
      <c r="AW110" s="26" t="n">
        <f aca="false">SUMIFS('Outages (event ledger)'!$H$2:$H$65,'Outages (event ledger)'!$A$2:$A$65,AW$2,'Outages (event ledger)'!$E$2:$E$65,"&lt;="&amp;$B110,'Outages (event ledger)'!$G$2:$G$65,"&gt;="&amp;$B110)</f>
        <v>0.5</v>
      </c>
      <c r="AX110" s="26" t="n">
        <f aca="false">SUMIFS('Outages (event ledger)'!$H$2:$H$65,'Outages (event ledger)'!$A$2:$A$65,AX$2,'Outages (event ledger)'!$E$2:$E$65,"&lt;="&amp;$B110,'Outages (event ledger)'!$G$2:$G$65,"&gt;="&amp;$B110)</f>
        <v>0</v>
      </c>
      <c r="AY110" s="26" t="n">
        <f aca="false">SUMIFS('Outages (event ledger)'!$H$2:$H$65,'Outages (event ledger)'!$A$2:$A$65,AY$2,'Outages (event ledger)'!$E$2:$E$65,"&lt;="&amp;$B110,'Outages (event ledger)'!$G$2:$G$65,"&gt;="&amp;$B110)</f>
        <v>0</v>
      </c>
      <c r="AZ110" s="26" t="n">
        <f aca="false">SUMIFS('Outages (event ledger)'!$H$2:$H$65,'Outages (event ledger)'!$A$2:$A$65,AZ$2,'Outages (event ledger)'!$E$2:$E$65,"&lt;="&amp;$B110,'Outages (event ledger)'!$G$2:$G$65,"&gt;="&amp;$B110)</f>
        <v>0</v>
      </c>
      <c r="BA110" s="26" t="n">
        <f aca="false">SUMIFS('Outages (event ledger)'!$H$2:$H$65,'Outages (event ledger)'!$A$2:$A$65,BA$2,'Outages (event ledger)'!$E$2:$E$65,"&lt;="&amp;$B110,'Outages (event ledger)'!$G$2:$G$65,"&gt;="&amp;$B110)</f>
        <v>0</v>
      </c>
      <c r="BB110" s="26" t="n">
        <f aca="false">SUMIFS('Outages (event ledger)'!$H$2:$H$65,'Outages (event ledger)'!$A$2:$A$65,BB$2,'Outages (event ledger)'!$E$2:$E$65,"&lt;="&amp;$B110,'Outages (event ledger)'!$G$2:$G$65,"&gt;="&amp;$B110)</f>
        <v>0</v>
      </c>
      <c r="BC110" s="26" t="n">
        <f aca="false">SUMIFS('Outages (event ledger)'!$H$2:$H$65,'Outages (event ledger)'!$A$2:$A$65,BC$2,'Outages (event ledger)'!$E$2:$E$65,"&lt;="&amp;$B110,'Outages (event ledger)'!$G$2:$G$65,"&gt;="&amp;$B110)</f>
        <v>0</v>
      </c>
      <c r="BD110" s="26" t="n">
        <f aca="false">SUMIFS('Outages (event ledger)'!$H$2:$H$65,'Outages (event ledger)'!$A$2:$A$65,BD$2,'Outages (event ledger)'!$E$2:$E$65,"&lt;="&amp;$B110,'Outages (event ledger)'!$G$2:$G$65,"&gt;="&amp;$B110)</f>
        <v>0</v>
      </c>
      <c r="BE110" s="26" t="n">
        <f aca="false">SUMIFS('Outages (event ledger)'!$H$2:$H$65,'Outages (event ledger)'!$A$2:$A$65,BE$2,'Outages (event ledger)'!$E$2:$E$65,"&lt;="&amp;$B110,'Outages (event ledger)'!$G$2:$G$65,"&gt;="&amp;$B110)</f>
        <v>0</v>
      </c>
      <c r="BF110" s="26" t="n">
        <f aca="false">SUMIFS('Outages (event ledger)'!$H$2:$H$65,'Outages (event ledger)'!$A$2:$A$65,BF$2,'Outages (event ledger)'!$E$2:$E$65,"&lt;="&amp;$B110,'Outages (event ledger)'!$G$2:$G$65,"&gt;="&amp;$B110)</f>
        <v>0</v>
      </c>
      <c r="BG110" s="26" t="n">
        <f aca="false">SUMIFS('Outages (event ledger)'!$H$2:$H$65,'Outages (event ledger)'!$A$2:$A$65,BG$2,'Outages (event ledger)'!$E$2:$E$65,"&lt;="&amp;$B110,'Outages (event ledger)'!$G$2:$G$65,"&gt;="&amp;$B110)</f>
        <v>0</v>
      </c>
      <c r="BH110" s="26" t="n">
        <f aca="false">SUMIFS('Outages (event ledger)'!$H$2:$H$65,'Outages (event ledger)'!$A$2:$A$65,BH$2,'Outages (event ledger)'!$E$2:$E$65,"&lt;="&amp;$B110,'Outages (event ledger)'!$G$2:$G$65,"&gt;="&amp;$B110)</f>
        <v>0</v>
      </c>
      <c r="BI110" s="26" t="n">
        <f aca="false">SUMIFS('Outages (event ledger)'!$H$2:$H$65,'Outages (event ledger)'!$A$2:$A$65,BI$2,'Outages (event ledger)'!$E$2:$E$65,"&lt;="&amp;$B110,'Outages (event ledger)'!$G$2:$G$65,"&gt;="&amp;$B110)</f>
        <v>6.7</v>
      </c>
    </row>
    <row r="111" customFormat="false" ht="15" hidden="false" customHeight="false" outlineLevel="0" collapsed="false">
      <c r="A111" s="27" t="n">
        <v>43466</v>
      </c>
      <c r="B111" s="28" t="n">
        <v>201901</v>
      </c>
      <c r="C111" s="25" t="n">
        <f aca="false">SUM(D111:BI111)</f>
        <v>20.2</v>
      </c>
      <c r="D111" s="29" t="n">
        <f aca="false">SUMIFS('Outages (event ledger)'!$H$2:$H$65,'Outages (event ledger)'!$A$2:$A$65,D$2,'Outages (event ledger)'!$E$2:$E$65,"&lt;="&amp;$B111,'Outages (event ledger)'!$G$2:$G$65,"&gt;="&amp;$B111)</f>
        <v>0</v>
      </c>
      <c r="E111" s="29" t="n">
        <f aca="false">SUMIFS('Outages (event ledger)'!$H$2:$H$65,'Outages (event ledger)'!$A$2:$A$65,E$2,'Outages (event ledger)'!$E$2:$E$65,"&lt;="&amp;$B111,'Outages (event ledger)'!$G$2:$G$65,"&gt;="&amp;$B111)</f>
        <v>0</v>
      </c>
      <c r="F111" s="29" t="n">
        <f aca="false">SUMIFS('Outages (event ledger)'!$H$2:$H$65,'Outages (event ledger)'!$A$2:$A$65,F$2,'Outages (event ledger)'!$E$2:$E$65,"&lt;="&amp;$B111,'Outages (event ledger)'!$G$2:$G$65,"&gt;="&amp;$B111)</f>
        <v>0</v>
      </c>
      <c r="G111" s="29" t="n">
        <f aca="false">SUMIFS('Outages (event ledger)'!$H$2:$H$65,'Outages (event ledger)'!$A$2:$A$65,G$2,'Outages (event ledger)'!$E$2:$E$65,"&lt;="&amp;$B111,'Outages (event ledger)'!$G$2:$G$65,"&gt;="&amp;$B111)</f>
        <v>0</v>
      </c>
      <c r="H111" s="29" t="n">
        <f aca="false">SUMIFS('Outages (event ledger)'!$H$2:$H$65,'Outages (event ledger)'!$A$2:$A$65,H$2,'Outages (event ledger)'!$E$2:$E$65,"&lt;="&amp;$B111,'Outages (event ledger)'!$G$2:$G$65,"&gt;="&amp;$B111)</f>
        <v>0</v>
      </c>
      <c r="I111" s="29" t="n">
        <f aca="false">SUMIFS('Outages (event ledger)'!$H$2:$H$65,'Outages (event ledger)'!$A$2:$A$65,I$2,'Outages (event ledger)'!$E$2:$E$65,"&lt;="&amp;$B111,'Outages (event ledger)'!$G$2:$G$65,"&gt;="&amp;$B111)</f>
        <v>0</v>
      </c>
      <c r="J111" s="29" t="n">
        <f aca="false">SUMIFS('Outages (event ledger)'!$H$2:$H$65,'Outages (event ledger)'!$A$2:$A$65,J$2,'Outages (event ledger)'!$E$2:$E$65,"&lt;="&amp;$B111,'Outages (event ledger)'!$G$2:$G$65,"&gt;="&amp;$B111)</f>
        <v>0</v>
      </c>
      <c r="K111" s="29" t="n">
        <f aca="false">SUMIFS('Outages (event ledger)'!$H$2:$H$65,'Outages (event ledger)'!$A$2:$A$65,K$2,'Outages (event ledger)'!$E$2:$E$65,"&lt;="&amp;$B111,'Outages (event ledger)'!$G$2:$G$65,"&gt;="&amp;$B111)</f>
        <v>0</v>
      </c>
      <c r="L111" s="29" t="n">
        <f aca="false">SUMIFS('Outages (event ledger)'!$H$2:$H$65,'Outages (event ledger)'!$A$2:$A$65,L$2,'Outages (event ledger)'!$E$2:$E$65,"&lt;="&amp;$B111,'Outages (event ledger)'!$G$2:$G$65,"&gt;="&amp;$B111)</f>
        <v>0</v>
      </c>
      <c r="M111" s="29" t="n">
        <f aca="false">SUMIFS('Outages (event ledger)'!$H$2:$H$65,'Outages (event ledger)'!$A$2:$A$65,M$2,'Outages (event ledger)'!$E$2:$E$65,"&lt;="&amp;$B111,'Outages (event ledger)'!$G$2:$G$65,"&gt;="&amp;$B111)</f>
        <v>0</v>
      </c>
      <c r="N111" s="29" t="n">
        <f aca="false">SUMIFS('Outages (event ledger)'!$H$2:$H$65,'Outages (event ledger)'!$A$2:$A$65,N$2,'Outages (event ledger)'!$E$2:$E$65,"&lt;="&amp;$B111,'Outages (event ledger)'!$G$2:$G$65,"&gt;="&amp;$B111)</f>
        <v>0</v>
      </c>
      <c r="O111" s="29" t="n">
        <f aca="false">SUMIFS('Outages (event ledger)'!$H$2:$H$65,'Outages (event ledger)'!$A$2:$A$65,O$2,'Outages (event ledger)'!$E$2:$E$65,"&lt;="&amp;$B111,'Outages (event ledger)'!$G$2:$G$65,"&gt;="&amp;$B111)</f>
        <v>0</v>
      </c>
      <c r="P111" s="29" t="n">
        <f aca="false">SUMIFS('Outages (event ledger)'!$H$2:$H$65,'Outages (event ledger)'!$A$2:$A$65,P$2,'Outages (event ledger)'!$E$2:$E$65,"&lt;="&amp;$B111,'Outages (event ledger)'!$G$2:$G$65,"&gt;="&amp;$B111)</f>
        <v>0</v>
      </c>
      <c r="Q111" s="29" t="n">
        <f aca="false">SUMIFS('Outages (event ledger)'!$H$2:$H$65,'Outages (event ledger)'!$A$2:$A$65,Q$2,'Outages (event ledger)'!$E$2:$E$65,"&lt;="&amp;$B111,'Outages (event ledger)'!$G$2:$G$65,"&gt;="&amp;$B111)</f>
        <v>0</v>
      </c>
      <c r="R111" s="29" t="n">
        <f aca="false">SUMIFS('Outages (event ledger)'!$H$2:$H$65,'Outages (event ledger)'!$A$2:$A$65,R$2,'Outages (event ledger)'!$E$2:$E$65,"&lt;="&amp;$B111,'Outages (event ledger)'!$G$2:$G$65,"&gt;="&amp;$B111)</f>
        <v>0</v>
      </c>
      <c r="S111" s="29" t="n">
        <f aca="false">SUMIFS('Outages (event ledger)'!$H$2:$H$65,'Outages (event ledger)'!$A$2:$A$65,S$2,'Outages (event ledger)'!$E$2:$E$65,"&lt;="&amp;$B111,'Outages (event ledger)'!$G$2:$G$65,"&gt;="&amp;$B111)</f>
        <v>0</v>
      </c>
      <c r="T111" s="29" t="n">
        <f aca="false">SUMIFS('Outages (event ledger)'!$H$2:$H$65,'Outages (event ledger)'!$A$2:$A$65,T$2,'Outages (event ledger)'!$E$2:$E$65,"&lt;="&amp;$B111,'Outages (event ledger)'!$G$2:$G$65,"&gt;="&amp;$B111)</f>
        <v>0</v>
      </c>
      <c r="U111" s="29" t="n">
        <f aca="false">SUMIFS('Outages (event ledger)'!$H$2:$H$65,'Outages (event ledger)'!$A$2:$A$65,U$2,'Outages (event ledger)'!$E$2:$E$65,"&lt;="&amp;$B111,'Outages (event ledger)'!$G$2:$G$65,"&gt;="&amp;$B111)</f>
        <v>0</v>
      </c>
      <c r="V111" s="29" t="n">
        <f aca="false">SUMIFS('Outages (event ledger)'!$H$2:$H$65,'Outages (event ledger)'!$A$2:$A$65,V$2,'Outages (event ledger)'!$E$2:$E$65,"&lt;="&amp;$B111,'Outages (event ledger)'!$G$2:$G$65,"&gt;="&amp;$B111)</f>
        <v>0</v>
      </c>
      <c r="W111" s="29" t="n">
        <f aca="false">SUMIFS('Outages (event ledger)'!$H$2:$H$65,'Outages (event ledger)'!$A$2:$A$65,W$2,'Outages (event ledger)'!$E$2:$E$65,"&lt;="&amp;$B111,'Outages (event ledger)'!$G$2:$G$65,"&gt;="&amp;$B111)</f>
        <v>0</v>
      </c>
      <c r="X111" s="29" t="n">
        <f aca="false">SUMIFS('Outages (event ledger)'!$H$2:$H$65,'Outages (event ledger)'!$A$2:$A$65,X$2,'Outages (event ledger)'!$E$2:$E$65,"&lt;="&amp;$B111,'Outages (event ledger)'!$G$2:$G$65,"&gt;="&amp;$B111)</f>
        <v>0</v>
      </c>
      <c r="Y111" s="29" t="n">
        <f aca="false">SUMIFS('Outages (event ledger)'!$H$2:$H$65,'Outages (event ledger)'!$A$2:$A$65,Y$2,'Outages (event ledger)'!$E$2:$E$65,"&lt;="&amp;$B111,'Outages (event ledger)'!$G$2:$G$65,"&gt;="&amp;$B111)</f>
        <v>5</v>
      </c>
      <c r="Z111" s="29" t="n">
        <f aca="false">SUMIFS('Outages (event ledger)'!$H$2:$H$65,'Outages (event ledger)'!$A$2:$A$65,Z$2,'Outages (event ledger)'!$E$2:$E$65,"&lt;="&amp;$B111,'Outages (event ledger)'!$G$2:$G$65,"&gt;="&amp;$B111)</f>
        <v>0</v>
      </c>
      <c r="AA111" s="29" t="n">
        <f aca="false">SUMIFS('Outages (event ledger)'!$H$2:$H$65,'Outages (event ledger)'!$A$2:$A$65,AA$2,'Outages (event ledger)'!$E$2:$E$65,"&lt;="&amp;$B111,'Outages (event ledger)'!$G$2:$G$65,"&gt;="&amp;$B111)</f>
        <v>0</v>
      </c>
      <c r="AB111" s="29" t="n">
        <f aca="false">SUMIFS('Outages (event ledger)'!$H$2:$H$65,'Outages (event ledger)'!$A$2:$A$65,AB$2,'Outages (event ledger)'!$E$2:$E$65,"&lt;="&amp;$B111,'Outages (event ledger)'!$G$2:$G$65,"&gt;="&amp;$B111)</f>
        <v>8</v>
      </c>
      <c r="AC111" s="29" t="n">
        <f aca="false">SUMIFS('Outages (event ledger)'!$H$2:$H$65,'Outages (event ledger)'!$A$2:$A$65,AC$2,'Outages (event ledger)'!$E$2:$E$65,"&lt;="&amp;$B111,'Outages (event ledger)'!$G$2:$G$65,"&gt;="&amp;$B111)</f>
        <v>0</v>
      </c>
      <c r="AD111" s="29" t="n">
        <f aca="false">SUMIFS('Outages (event ledger)'!$H$2:$H$65,'Outages (event ledger)'!$A$2:$A$65,AD$2,'Outages (event ledger)'!$E$2:$E$65,"&lt;="&amp;$B111,'Outages (event ledger)'!$G$2:$G$65,"&gt;="&amp;$B111)</f>
        <v>0</v>
      </c>
      <c r="AE111" s="29" t="n">
        <f aca="false">SUMIFS('Outages (event ledger)'!$H$2:$H$65,'Outages (event ledger)'!$A$2:$A$65,AE$2,'Outages (event ledger)'!$E$2:$E$65,"&lt;="&amp;$B111,'Outages (event ledger)'!$G$2:$G$65,"&gt;="&amp;$B111)</f>
        <v>0</v>
      </c>
      <c r="AF111" s="29" t="n">
        <f aca="false">SUMIFS('Outages (event ledger)'!$H$2:$H$65,'Outages (event ledger)'!$A$2:$A$65,AF$2,'Outages (event ledger)'!$E$2:$E$65,"&lt;="&amp;$B111,'Outages (event ledger)'!$G$2:$G$65,"&gt;="&amp;$B111)</f>
        <v>0</v>
      </c>
      <c r="AG111" s="29" t="n">
        <f aca="false">SUMIFS('Outages (event ledger)'!$H$2:$H$65,'Outages (event ledger)'!$A$2:$A$65,AG$2,'Outages (event ledger)'!$E$2:$E$65,"&lt;="&amp;$B111,'Outages (event ledger)'!$G$2:$G$65,"&gt;="&amp;$B111)</f>
        <v>0</v>
      </c>
      <c r="AH111" s="29" t="n">
        <f aca="false">SUMIFS('Outages (event ledger)'!$H$2:$H$65,'Outages (event ledger)'!$A$2:$A$65,AH$2,'Outages (event ledger)'!$E$2:$E$65,"&lt;="&amp;$B111,'Outages (event ledger)'!$G$2:$G$65,"&gt;="&amp;$B111)</f>
        <v>0</v>
      </c>
      <c r="AI111" s="29" t="n">
        <f aca="false">SUMIFS('Outages (event ledger)'!$H$2:$H$65,'Outages (event ledger)'!$A$2:$A$65,AI$2,'Outages (event ledger)'!$E$2:$E$65,"&lt;="&amp;$B111,'Outages (event ledger)'!$G$2:$G$65,"&gt;="&amp;$B111)</f>
        <v>0</v>
      </c>
      <c r="AJ111" s="29" t="n">
        <f aca="false">SUMIFS('Outages (event ledger)'!$H$2:$H$65,'Outages (event ledger)'!$A$2:$A$65,AJ$2,'Outages (event ledger)'!$E$2:$E$65,"&lt;="&amp;$B111,'Outages (event ledger)'!$G$2:$G$65,"&gt;="&amp;$B111)</f>
        <v>0</v>
      </c>
      <c r="AK111" s="29" t="n">
        <f aca="false">SUMIFS('Outages (event ledger)'!$H$2:$H$65,'Outages (event ledger)'!$A$2:$A$65,AK$2,'Outages (event ledger)'!$E$2:$E$65,"&lt;="&amp;$B111,'Outages (event ledger)'!$G$2:$G$65,"&gt;="&amp;$B111)</f>
        <v>0</v>
      </c>
      <c r="AL111" s="29" t="n">
        <f aca="false">SUMIFS('Outages (event ledger)'!$H$2:$H$65,'Outages (event ledger)'!$A$2:$A$65,AL$2,'Outages (event ledger)'!$E$2:$E$65,"&lt;="&amp;$B111,'Outages (event ledger)'!$G$2:$G$65,"&gt;="&amp;$B111)</f>
        <v>0</v>
      </c>
      <c r="AM111" s="29" t="n">
        <f aca="false">SUMIFS('Outages (event ledger)'!$H$2:$H$65,'Outages (event ledger)'!$A$2:$A$65,AM$2,'Outages (event ledger)'!$E$2:$E$65,"&lt;="&amp;$B111,'Outages (event ledger)'!$G$2:$G$65,"&gt;="&amp;$B111)</f>
        <v>0</v>
      </c>
      <c r="AN111" s="29" t="n">
        <f aca="false">SUMIFS('Outages (event ledger)'!$H$2:$H$65,'Outages (event ledger)'!$A$2:$A$65,AN$2,'Outages (event ledger)'!$E$2:$E$65,"&lt;="&amp;$B111,'Outages (event ledger)'!$G$2:$G$65,"&gt;="&amp;$B111)</f>
        <v>0</v>
      </c>
      <c r="AO111" s="29" t="n">
        <f aca="false">SUMIFS('Outages (event ledger)'!$H$2:$H$65,'Outages (event ledger)'!$A$2:$A$65,AO$2,'Outages (event ledger)'!$E$2:$E$65,"&lt;="&amp;$B111,'Outages (event ledger)'!$G$2:$G$65,"&gt;="&amp;$B111)</f>
        <v>0</v>
      </c>
      <c r="AP111" s="29" t="n">
        <f aca="false">SUMIFS('Outages (event ledger)'!$H$2:$H$65,'Outages (event ledger)'!$A$2:$A$65,AP$2,'Outages (event ledger)'!$E$2:$E$65,"&lt;="&amp;$B111,'Outages (event ledger)'!$G$2:$G$65,"&gt;="&amp;$B111)</f>
        <v>0</v>
      </c>
      <c r="AQ111" s="29" t="n">
        <f aca="false">SUMIFS('Outages (event ledger)'!$H$2:$H$65,'Outages (event ledger)'!$A$2:$A$65,AQ$2,'Outages (event ledger)'!$E$2:$E$65,"&lt;="&amp;$B111,'Outages (event ledger)'!$G$2:$G$65,"&gt;="&amp;$B111)</f>
        <v>0</v>
      </c>
      <c r="AR111" s="29" t="n">
        <f aca="false">SUMIFS('Outages (event ledger)'!$H$2:$H$65,'Outages (event ledger)'!$A$2:$A$65,AR$2,'Outages (event ledger)'!$E$2:$E$65,"&lt;="&amp;$B111,'Outages (event ledger)'!$G$2:$G$65,"&gt;="&amp;$B111)</f>
        <v>0</v>
      </c>
      <c r="AS111" s="29" t="n">
        <f aca="false">SUMIFS('Outages (event ledger)'!$H$2:$H$65,'Outages (event ledger)'!$A$2:$A$65,AS$2,'Outages (event ledger)'!$E$2:$E$65,"&lt;="&amp;$B111,'Outages (event ledger)'!$G$2:$G$65,"&gt;="&amp;$B111)</f>
        <v>0</v>
      </c>
      <c r="AT111" s="29" t="n">
        <f aca="false">SUMIFS('Outages (event ledger)'!$H$2:$H$65,'Outages (event ledger)'!$A$2:$A$65,AT$2,'Outages (event ledger)'!$E$2:$E$65,"&lt;="&amp;$B111,'Outages (event ledger)'!$G$2:$G$65,"&gt;="&amp;$B111)</f>
        <v>0</v>
      </c>
      <c r="AU111" s="29" t="n">
        <f aca="false">SUMIFS('Outages (event ledger)'!$H$2:$H$65,'Outages (event ledger)'!$A$2:$A$65,AU$2,'Outages (event ledger)'!$E$2:$E$65,"&lt;="&amp;$B111,'Outages (event ledger)'!$G$2:$G$65,"&gt;="&amp;$B111)</f>
        <v>0</v>
      </c>
      <c r="AV111" s="29" t="n">
        <f aca="false">SUMIFS('Outages (event ledger)'!$H$2:$H$65,'Outages (event ledger)'!$A$2:$A$65,AV$2,'Outages (event ledger)'!$E$2:$E$65,"&lt;="&amp;$B111,'Outages (event ledger)'!$G$2:$G$65,"&gt;="&amp;$B111)</f>
        <v>0</v>
      </c>
      <c r="AW111" s="29" t="n">
        <f aca="false">SUMIFS('Outages (event ledger)'!$H$2:$H$65,'Outages (event ledger)'!$A$2:$A$65,AW$2,'Outages (event ledger)'!$E$2:$E$65,"&lt;="&amp;$B111,'Outages (event ledger)'!$G$2:$G$65,"&gt;="&amp;$B111)</f>
        <v>0.5</v>
      </c>
      <c r="AX111" s="29" t="n">
        <f aca="false">SUMIFS('Outages (event ledger)'!$H$2:$H$65,'Outages (event ledger)'!$A$2:$A$65,AX$2,'Outages (event ledger)'!$E$2:$E$65,"&lt;="&amp;$B111,'Outages (event ledger)'!$G$2:$G$65,"&gt;="&amp;$B111)</f>
        <v>0</v>
      </c>
      <c r="AY111" s="29" t="n">
        <f aca="false">SUMIFS('Outages (event ledger)'!$H$2:$H$65,'Outages (event ledger)'!$A$2:$A$65,AY$2,'Outages (event ledger)'!$E$2:$E$65,"&lt;="&amp;$B111,'Outages (event ledger)'!$G$2:$G$65,"&gt;="&amp;$B111)</f>
        <v>0</v>
      </c>
      <c r="AZ111" s="29" t="n">
        <f aca="false">SUMIFS('Outages (event ledger)'!$H$2:$H$65,'Outages (event ledger)'!$A$2:$A$65,AZ$2,'Outages (event ledger)'!$E$2:$E$65,"&lt;="&amp;$B111,'Outages (event ledger)'!$G$2:$G$65,"&gt;="&amp;$B111)</f>
        <v>0</v>
      </c>
      <c r="BA111" s="29" t="n">
        <f aca="false">SUMIFS('Outages (event ledger)'!$H$2:$H$65,'Outages (event ledger)'!$A$2:$A$65,BA$2,'Outages (event ledger)'!$E$2:$E$65,"&lt;="&amp;$B111,'Outages (event ledger)'!$G$2:$G$65,"&gt;="&amp;$B111)</f>
        <v>0</v>
      </c>
      <c r="BB111" s="29" t="n">
        <f aca="false">SUMIFS('Outages (event ledger)'!$H$2:$H$65,'Outages (event ledger)'!$A$2:$A$65,BB$2,'Outages (event ledger)'!$E$2:$E$65,"&lt;="&amp;$B111,'Outages (event ledger)'!$G$2:$G$65,"&gt;="&amp;$B111)</f>
        <v>0</v>
      </c>
      <c r="BC111" s="29" t="n">
        <f aca="false">SUMIFS('Outages (event ledger)'!$H$2:$H$65,'Outages (event ledger)'!$A$2:$A$65,BC$2,'Outages (event ledger)'!$E$2:$E$65,"&lt;="&amp;$B111,'Outages (event ledger)'!$G$2:$G$65,"&gt;="&amp;$B111)</f>
        <v>0</v>
      </c>
      <c r="BD111" s="29" t="n">
        <f aca="false">SUMIFS('Outages (event ledger)'!$H$2:$H$65,'Outages (event ledger)'!$A$2:$A$65,BD$2,'Outages (event ledger)'!$E$2:$E$65,"&lt;="&amp;$B111,'Outages (event ledger)'!$G$2:$G$65,"&gt;="&amp;$B111)</f>
        <v>0</v>
      </c>
      <c r="BE111" s="29" t="n">
        <f aca="false">SUMIFS('Outages (event ledger)'!$H$2:$H$65,'Outages (event ledger)'!$A$2:$A$65,BE$2,'Outages (event ledger)'!$E$2:$E$65,"&lt;="&amp;$B111,'Outages (event ledger)'!$G$2:$G$65,"&gt;="&amp;$B111)</f>
        <v>0</v>
      </c>
      <c r="BF111" s="29" t="n">
        <f aca="false">SUMIFS('Outages (event ledger)'!$H$2:$H$65,'Outages (event ledger)'!$A$2:$A$65,BF$2,'Outages (event ledger)'!$E$2:$E$65,"&lt;="&amp;$B111,'Outages (event ledger)'!$G$2:$G$65,"&gt;="&amp;$B111)</f>
        <v>0</v>
      </c>
      <c r="BG111" s="29" t="n">
        <f aca="false">SUMIFS('Outages (event ledger)'!$H$2:$H$65,'Outages (event ledger)'!$A$2:$A$65,BG$2,'Outages (event ledger)'!$E$2:$E$65,"&lt;="&amp;$B111,'Outages (event ledger)'!$G$2:$G$65,"&gt;="&amp;$B111)</f>
        <v>0</v>
      </c>
      <c r="BH111" s="29" t="n">
        <f aca="false">SUMIFS('Outages (event ledger)'!$H$2:$H$65,'Outages (event ledger)'!$A$2:$A$65,BH$2,'Outages (event ledger)'!$E$2:$E$65,"&lt;="&amp;$B111,'Outages (event ledger)'!$G$2:$G$65,"&gt;="&amp;$B111)</f>
        <v>0</v>
      </c>
      <c r="BI111" s="29" t="n">
        <f aca="false">SUMIFS('Outages (event ledger)'!$H$2:$H$65,'Outages (event ledger)'!$A$2:$A$65,BI$2,'Outages (event ledger)'!$E$2:$E$65,"&lt;="&amp;$B111,'Outages (event ledger)'!$G$2:$G$65,"&gt;="&amp;$B111)</f>
        <v>6.7</v>
      </c>
    </row>
    <row r="112" customFormat="false" ht="15" hidden="false" customHeight="false" outlineLevel="0" collapsed="false">
      <c r="A112" s="27" t="n">
        <v>43497</v>
      </c>
      <c r="B112" s="28" t="n">
        <v>201902</v>
      </c>
      <c r="C112" s="25" t="n">
        <f aca="false">SUM(D112:BI112)</f>
        <v>20.2</v>
      </c>
      <c r="D112" s="29" t="n">
        <f aca="false">SUMIFS('Outages (event ledger)'!$H$2:$H$65,'Outages (event ledger)'!$A$2:$A$65,D$2,'Outages (event ledger)'!$E$2:$E$65,"&lt;="&amp;$B112,'Outages (event ledger)'!$G$2:$G$65,"&gt;="&amp;$B112)</f>
        <v>0</v>
      </c>
      <c r="E112" s="29" t="n">
        <f aca="false">SUMIFS('Outages (event ledger)'!$H$2:$H$65,'Outages (event ledger)'!$A$2:$A$65,E$2,'Outages (event ledger)'!$E$2:$E$65,"&lt;="&amp;$B112,'Outages (event ledger)'!$G$2:$G$65,"&gt;="&amp;$B112)</f>
        <v>0</v>
      </c>
      <c r="F112" s="29" t="n">
        <f aca="false">SUMIFS('Outages (event ledger)'!$H$2:$H$65,'Outages (event ledger)'!$A$2:$A$65,F$2,'Outages (event ledger)'!$E$2:$E$65,"&lt;="&amp;$B112,'Outages (event ledger)'!$G$2:$G$65,"&gt;="&amp;$B112)</f>
        <v>0</v>
      </c>
      <c r="G112" s="29" t="n">
        <f aca="false">SUMIFS('Outages (event ledger)'!$H$2:$H$65,'Outages (event ledger)'!$A$2:$A$65,G$2,'Outages (event ledger)'!$E$2:$E$65,"&lt;="&amp;$B112,'Outages (event ledger)'!$G$2:$G$65,"&gt;="&amp;$B112)</f>
        <v>0</v>
      </c>
      <c r="H112" s="29" t="n">
        <f aca="false">SUMIFS('Outages (event ledger)'!$H$2:$H$65,'Outages (event ledger)'!$A$2:$A$65,H$2,'Outages (event ledger)'!$E$2:$E$65,"&lt;="&amp;$B112,'Outages (event ledger)'!$G$2:$G$65,"&gt;="&amp;$B112)</f>
        <v>0</v>
      </c>
      <c r="I112" s="29" t="n">
        <f aca="false">SUMIFS('Outages (event ledger)'!$H$2:$H$65,'Outages (event ledger)'!$A$2:$A$65,I$2,'Outages (event ledger)'!$E$2:$E$65,"&lt;="&amp;$B112,'Outages (event ledger)'!$G$2:$G$65,"&gt;="&amp;$B112)</f>
        <v>0</v>
      </c>
      <c r="J112" s="29" t="n">
        <f aca="false">SUMIFS('Outages (event ledger)'!$H$2:$H$65,'Outages (event ledger)'!$A$2:$A$65,J$2,'Outages (event ledger)'!$E$2:$E$65,"&lt;="&amp;$B112,'Outages (event ledger)'!$G$2:$G$65,"&gt;="&amp;$B112)</f>
        <v>0</v>
      </c>
      <c r="K112" s="29" t="n">
        <f aca="false">SUMIFS('Outages (event ledger)'!$H$2:$H$65,'Outages (event ledger)'!$A$2:$A$65,K$2,'Outages (event ledger)'!$E$2:$E$65,"&lt;="&amp;$B112,'Outages (event ledger)'!$G$2:$G$65,"&gt;="&amp;$B112)</f>
        <v>0</v>
      </c>
      <c r="L112" s="29" t="n">
        <f aca="false">SUMIFS('Outages (event ledger)'!$H$2:$H$65,'Outages (event ledger)'!$A$2:$A$65,L$2,'Outages (event ledger)'!$E$2:$E$65,"&lt;="&amp;$B112,'Outages (event ledger)'!$G$2:$G$65,"&gt;="&amp;$B112)</f>
        <v>0</v>
      </c>
      <c r="M112" s="29" t="n">
        <f aca="false">SUMIFS('Outages (event ledger)'!$H$2:$H$65,'Outages (event ledger)'!$A$2:$A$65,M$2,'Outages (event ledger)'!$E$2:$E$65,"&lt;="&amp;$B112,'Outages (event ledger)'!$G$2:$G$65,"&gt;="&amp;$B112)</f>
        <v>0</v>
      </c>
      <c r="N112" s="29" t="n">
        <f aca="false">SUMIFS('Outages (event ledger)'!$H$2:$H$65,'Outages (event ledger)'!$A$2:$A$65,N$2,'Outages (event ledger)'!$E$2:$E$65,"&lt;="&amp;$B112,'Outages (event ledger)'!$G$2:$G$65,"&gt;="&amp;$B112)</f>
        <v>0</v>
      </c>
      <c r="O112" s="29" t="n">
        <f aca="false">SUMIFS('Outages (event ledger)'!$H$2:$H$65,'Outages (event ledger)'!$A$2:$A$65,O$2,'Outages (event ledger)'!$E$2:$E$65,"&lt;="&amp;$B112,'Outages (event ledger)'!$G$2:$G$65,"&gt;="&amp;$B112)</f>
        <v>0</v>
      </c>
      <c r="P112" s="29" t="n">
        <f aca="false">SUMIFS('Outages (event ledger)'!$H$2:$H$65,'Outages (event ledger)'!$A$2:$A$65,P$2,'Outages (event ledger)'!$E$2:$E$65,"&lt;="&amp;$B112,'Outages (event ledger)'!$G$2:$G$65,"&gt;="&amp;$B112)</f>
        <v>0</v>
      </c>
      <c r="Q112" s="29" t="n">
        <f aca="false">SUMIFS('Outages (event ledger)'!$H$2:$H$65,'Outages (event ledger)'!$A$2:$A$65,Q$2,'Outages (event ledger)'!$E$2:$E$65,"&lt;="&amp;$B112,'Outages (event ledger)'!$G$2:$G$65,"&gt;="&amp;$B112)</f>
        <v>0</v>
      </c>
      <c r="R112" s="29" t="n">
        <f aca="false">SUMIFS('Outages (event ledger)'!$H$2:$H$65,'Outages (event ledger)'!$A$2:$A$65,R$2,'Outages (event ledger)'!$E$2:$E$65,"&lt;="&amp;$B112,'Outages (event ledger)'!$G$2:$G$65,"&gt;="&amp;$B112)</f>
        <v>0</v>
      </c>
      <c r="S112" s="29" t="n">
        <f aca="false">SUMIFS('Outages (event ledger)'!$H$2:$H$65,'Outages (event ledger)'!$A$2:$A$65,S$2,'Outages (event ledger)'!$E$2:$E$65,"&lt;="&amp;$B112,'Outages (event ledger)'!$G$2:$G$65,"&gt;="&amp;$B112)</f>
        <v>0</v>
      </c>
      <c r="T112" s="29" t="n">
        <f aca="false">SUMIFS('Outages (event ledger)'!$H$2:$H$65,'Outages (event ledger)'!$A$2:$A$65,T$2,'Outages (event ledger)'!$E$2:$E$65,"&lt;="&amp;$B112,'Outages (event ledger)'!$G$2:$G$65,"&gt;="&amp;$B112)</f>
        <v>0</v>
      </c>
      <c r="U112" s="29" t="n">
        <f aca="false">SUMIFS('Outages (event ledger)'!$H$2:$H$65,'Outages (event ledger)'!$A$2:$A$65,U$2,'Outages (event ledger)'!$E$2:$E$65,"&lt;="&amp;$B112,'Outages (event ledger)'!$G$2:$G$65,"&gt;="&amp;$B112)</f>
        <v>0</v>
      </c>
      <c r="V112" s="29" t="n">
        <f aca="false">SUMIFS('Outages (event ledger)'!$H$2:$H$65,'Outages (event ledger)'!$A$2:$A$65,V$2,'Outages (event ledger)'!$E$2:$E$65,"&lt;="&amp;$B112,'Outages (event ledger)'!$G$2:$G$65,"&gt;="&amp;$B112)</f>
        <v>0</v>
      </c>
      <c r="W112" s="29" t="n">
        <f aca="false">SUMIFS('Outages (event ledger)'!$H$2:$H$65,'Outages (event ledger)'!$A$2:$A$65,W$2,'Outages (event ledger)'!$E$2:$E$65,"&lt;="&amp;$B112,'Outages (event ledger)'!$G$2:$G$65,"&gt;="&amp;$B112)</f>
        <v>0</v>
      </c>
      <c r="X112" s="29" t="n">
        <f aca="false">SUMIFS('Outages (event ledger)'!$H$2:$H$65,'Outages (event ledger)'!$A$2:$A$65,X$2,'Outages (event ledger)'!$E$2:$E$65,"&lt;="&amp;$B112,'Outages (event ledger)'!$G$2:$G$65,"&gt;="&amp;$B112)</f>
        <v>0</v>
      </c>
      <c r="Y112" s="29" t="n">
        <f aca="false">SUMIFS('Outages (event ledger)'!$H$2:$H$65,'Outages (event ledger)'!$A$2:$A$65,Y$2,'Outages (event ledger)'!$E$2:$E$65,"&lt;="&amp;$B112,'Outages (event ledger)'!$G$2:$G$65,"&gt;="&amp;$B112)</f>
        <v>5</v>
      </c>
      <c r="Z112" s="29" t="n">
        <f aca="false">SUMIFS('Outages (event ledger)'!$H$2:$H$65,'Outages (event ledger)'!$A$2:$A$65,Z$2,'Outages (event ledger)'!$E$2:$E$65,"&lt;="&amp;$B112,'Outages (event ledger)'!$G$2:$G$65,"&gt;="&amp;$B112)</f>
        <v>0</v>
      </c>
      <c r="AA112" s="29" t="n">
        <f aca="false">SUMIFS('Outages (event ledger)'!$H$2:$H$65,'Outages (event ledger)'!$A$2:$A$65,AA$2,'Outages (event ledger)'!$E$2:$E$65,"&lt;="&amp;$B112,'Outages (event ledger)'!$G$2:$G$65,"&gt;="&amp;$B112)</f>
        <v>0</v>
      </c>
      <c r="AB112" s="29" t="n">
        <f aca="false">SUMIFS('Outages (event ledger)'!$H$2:$H$65,'Outages (event ledger)'!$A$2:$A$65,AB$2,'Outages (event ledger)'!$E$2:$E$65,"&lt;="&amp;$B112,'Outages (event ledger)'!$G$2:$G$65,"&gt;="&amp;$B112)</f>
        <v>8</v>
      </c>
      <c r="AC112" s="29" t="n">
        <f aca="false">SUMIFS('Outages (event ledger)'!$H$2:$H$65,'Outages (event ledger)'!$A$2:$A$65,AC$2,'Outages (event ledger)'!$E$2:$E$65,"&lt;="&amp;$B112,'Outages (event ledger)'!$G$2:$G$65,"&gt;="&amp;$B112)</f>
        <v>0</v>
      </c>
      <c r="AD112" s="29" t="n">
        <f aca="false">SUMIFS('Outages (event ledger)'!$H$2:$H$65,'Outages (event ledger)'!$A$2:$A$65,AD$2,'Outages (event ledger)'!$E$2:$E$65,"&lt;="&amp;$B112,'Outages (event ledger)'!$G$2:$G$65,"&gt;="&amp;$B112)</f>
        <v>0</v>
      </c>
      <c r="AE112" s="29" t="n">
        <f aca="false">SUMIFS('Outages (event ledger)'!$H$2:$H$65,'Outages (event ledger)'!$A$2:$A$65,AE$2,'Outages (event ledger)'!$E$2:$E$65,"&lt;="&amp;$B112,'Outages (event ledger)'!$G$2:$G$65,"&gt;="&amp;$B112)</f>
        <v>0</v>
      </c>
      <c r="AF112" s="29" t="n">
        <f aca="false">SUMIFS('Outages (event ledger)'!$H$2:$H$65,'Outages (event ledger)'!$A$2:$A$65,AF$2,'Outages (event ledger)'!$E$2:$E$65,"&lt;="&amp;$B112,'Outages (event ledger)'!$G$2:$G$65,"&gt;="&amp;$B112)</f>
        <v>0</v>
      </c>
      <c r="AG112" s="29" t="n">
        <f aca="false">SUMIFS('Outages (event ledger)'!$H$2:$H$65,'Outages (event ledger)'!$A$2:$A$65,AG$2,'Outages (event ledger)'!$E$2:$E$65,"&lt;="&amp;$B112,'Outages (event ledger)'!$G$2:$G$65,"&gt;="&amp;$B112)</f>
        <v>0</v>
      </c>
      <c r="AH112" s="29" t="n">
        <f aca="false">SUMIFS('Outages (event ledger)'!$H$2:$H$65,'Outages (event ledger)'!$A$2:$A$65,AH$2,'Outages (event ledger)'!$E$2:$E$65,"&lt;="&amp;$B112,'Outages (event ledger)'!$G$2:$G$65,"&gt;="&amp;$B112)</f>
        <v>0</v>
      </c>
      <c r="AI112" s="29" t="n">
        <f aca="false">SUMIFS('Outages (event ledger)'!$H$2:$H$65,'Outages (event ledger)'!$A$2:$A$65,AI$2,'Outages (event ledger)'!$E$2:$E$65,"&lt;="&amp;$B112,'Outages (event ledger)'!$G$2:$G$65,"&gt;="&amp;$B112)</f>
        <v>0</v>
      </c>
      <c r="AJ112" s="29" t="n">
        <f aca="false">SUMIFS('Outages (event ledger)'!$H$2:$H$65,'Outages (event ledger)'!$A$2:$A$65,AJ$2,'Outages (event ledger)'!$E$2:$E$65,"&lt;="&amp;$B112,'Outages (event ledger)'!$G$2:$G$65,"&gt;="&amp;$B112)</f>
        <v>0</v>
      </c>
      <c r="AK112" s="29" t="n">
        <f aca="false">SUMIFS('Outages (event ledger)'!$H$2:$H$65,'Outages (event ledger)'!$A$2:$A$65,AK$2,'Outages (event ledger)'!$E$2:$E$65,"&lt;="&amp;$B112,'Outages (event ledger)'!$G$2:$G$65,"&gt;="&amp;$B112)</f>
        <v>0</v>
      </c>
      <c r="AL112" s="29" t="n">
        <f aca="false">SUMIFS('Outages (event ledger)'!$H$2:$H$65,'Outages (event ledger)'!$A$2:$A$65,AL$2,'Outages (event ledger)'!$E$2:$E$65,"&lt;="&amp;$B112,'Outages (event ledger)'!$G$2:$G$65,"&gt;="&amp;$B112)</f>
        <v>0</v>
      </c>
      <c r="AM112" s="29" t="n">
        <f aca="false">SUMIFS('Outages (event ledger)'!$H$2:$H$65,'Outages (event ledger)'!$A$2:$A$65,AM$2,'Outages (event ledger)'!$E$2:$E$65,"&lt;="&amp;$B112,'Outages (event ledger)'!$G$2:$G$65,"&gt;="&amp;$B112)</f>
        <v>0</v>
      </c>
      <c r="AN112" s="29" t="n">
        <f aca="false">SUMIFS('Outages (event ledger)'!$H$2:$H$65,'Outages (event ledger)'!$A$2:$A$65,AN$2,'Outages (event ledger)'!$E$2:$E$65,"&lt;="&amp;$B112,'Outages (event ledger)'!$G$2:$G$65,"&gt;="&amp;$B112)</f>
        <v>0</v>
      </c>
      <c r="AO112" s="29" t="n">
        <f aca="false">SUMIFS('Outages (event ledger)'!$H$2:$H$65,'Outages (event ledger)'!$A$2:$A$65,AO$2,'Outages (event ledger)'!$E$2:$E$65,"&lt;="&amp;$B112,'Outages (event ledger)'!$G$2:$G$65,"&gt;="&amp;$B112)</f>
        <v>0</v>
      </c>
      <c r="AP112" s="29" t="n">
        <f aca="false">SUMIFS('Outages (event ledger)'!$H$2:$H$65,'Outages (event ledger)'!$A$2:$A$65,AP$2,'Outages (event ledger)'!$E$2:$E$65,"&lt;="&amp;$B112,'Outages (event ledger)'!$G$2:$G$65,"&gt;="&amp;$B112)</f>
        <v>0</v>
      </c>
      <c r="AQ112" s="29" t="n">
        <f aca="false">SUMIFS('Outages (event ledger)'!$H$2:$H$65,'Outages (event ledger)'!$A$2:$A$65,AQ$2,'Outages (event ledger)'!$E$2:$E$65,"&lt;="&amp;$B112,'Outages (event ledger)'!$G$2:$G$65,"&gt;="&amp;$B112)</f>
        <v>0</v>
      </c>
      <c r="AR112" s="29" t="n">
        <f aca="false">SUMIFS('Outages (event ledger)'!$H$2:$H$65,'Outages (event ledger)'!$A$2:$A$65,AR$2,'Outages (event ledger)'!$E$2:$E$65,"&lt;="&amp;$B112,'Outages (event ledger)'!$G$2:$G$65,"&gt;="&amp;$B112)</f>
        <v>0</v>
      </c>
      <c r="AS112" s="29" t="n">
        <f aca="false">SUMIFS('Outages (event ledger)'!$H$2:$H$65,'Outages (event ledger)'!$A$2:$A$65,AS$2,'Outages (event ledger)'!$E$2:$E$65,"&lt;="&amp;$B112,'Outages (event ledger)'!$G$2:$G$65,"&gt;="&amp;$B112)</f>
        <v>0</v>
      </c>
      <c r="AT112" s="29" t="n">
        <f aca="false">SUMIFS('Outages (event ledger)'!$H$2:$H$65,'Outages (event ledger)'!$A$2:$A$65,AT$2,'Outages (event ledger)'!$E$2:$E$65,"&lt;="&amp;$B112,'Outages (event ledger)'!$G$2:$G$65,"&gt;="&amp;$B112)</f>
        <v>0</v>
      </c>
      <c r="AU112" s="29" t="n">
        <f aca="false">SUMIFS('Outages (event ledger)'!$H$2:$H$65,'Outages (event ledger)'!$A$2:$A$65,AU$2,'Outages (event ledger)'!$E$2:$E$65,"&lt;="&amp;$B112,'Outages (event ledger)'!$G$2:$G$65,"&gt;="&amp;$B112)</f>
        <v>0</v>
      </c>
      <c r="AV112" s="29" t="n">
        <f aca="false">SUMIFS('Outages (event ledger)'!$H$2:$H$65,'Outages (event ledger)'!$A$2:$A$65,AV$2,'Outages (event ledger)'!$E$2:$E$65,"&lt;="&amp;$B112,'Outages (event ledger)'!$G$2:$G$65,"&gt;="&amp;$B112)</f>
        <v>0</v>
      </c>
      <c r="AW112" s="29" t="n">
        <f aca="false">SUMIFS('Outages (event ledger)'!$H$2:$H$65,'Outages (event ledger)'!$A$2:$A$65,AW$2,'Outages (event ledger)'!$E$2:$E$65,"&lt;="&amp;$B112,'Outages (event ledger)'!$G$2:$G$65,"&gt;="&amp;$B112)</f>
        <v>0.5</v>
      </c>
      <c r="AX112" s="29" t="n">
        <f aca="false">SUMIFS('Outages (event ledger)'!$H$2:$H$65,'Outages (event ledger)'!$A$2:$A$65,AX$2,'Outages (event ledger)'!$E$2:$E$65,"&lt;="&amp;$B112,'Outages (event ledger)'!$G$2:$G$65,"&gt;="&amp;$B112)</f>
        <v>0</v>
      </c>
      <c r="AY112" s="29" t="n">
        <f aca="false">SUMIFS('Outages (event ledger)'!$H$2:$H$65,'Outages (event ledger)'!$A$2:$A$65,AY$2,'Outages (event ledger)'!$E$2:$E$65,"&lt;="&amp;$B112,'Outages (event ledger)'!$G$2:$G$65,"&gt;="&amp;$B112)</f>
        <v>0</v>
      </c>
      <c r="AZ112" s="29" t="n">
        <f aca="false">SUMIFS('Outages (event ledger)'!$H$2:$H$65,'Outages (event ledger)'!$A$2:$A$65,AZ$2,'Outages (event ledger)'!$E$2:$E$65,"&lt;="&amp;$B112,'Outages (event ledger)'!$G$2:$G$65,"&gt;="&amp;$B112)</f>
        <v>0</v>
      </c>
      <c r="BA112" s="29" t="n">
        <f aca="false">SUMIFS('Outages (event ledger)'!$H$2:$H$65,'Outages (event ledger)'!$A$2:$A$65,BA$2,'Outages (event ledger)'!$E$2:$E$65,"&lt;="&amp;$B112,'Outages (event ledger)'!$G$2:$G$65,"&gt;="&amp;$B112)</f>
        <v>0</v>
      </c>
      <c r="BB112" s="29" t="n">
        <f aca="false">SUMIFS('Outages (event ledger)'!$H$2:$H$65,'Outages (event ledger)'!$A$2:$A$65,BB$2,'Outages (event ledger)'!$E$2:$E$65,"&lt;="&amp;$B112,'Outages (event ledger)'!$G$2:$G$65,"&gt;="&amp;$B112)</f>
        <v>0</v>
      </c>
      <c r="BC112" s="29" t="n">
        <f aca="false">SUMIFS('Outages (event ledger)'!$H$2:$H$65,'Outages (event ledger)'!$A$2:$A$65,BC$2,'Outages (event ledger)'!$E$2:$E$65,"&lt;="&amp;$B112,'Outages (event ledger)'!$G$2:$G$65,"&gt;="&amp;$B112)</f>
        <v>0</v>
      </c>
      <c r="BD112" s="29" t="n">
        <f aca="false">SUMIFS('Outages (event ledger)'!$H$2:$H$65,'Outages (event ledger)'!$A$2:$A$65,BD$2,'Outages (event ledger)'!$E$2:$E$65,"&lt;="&amp;$B112,'Outages (event ledger)'!$G$2:$G$65,"&gt;="&amp;$B112)</f>
        <v>0</v>
      </c>
      <c r="BE112" s="29" t="n">
        <f aca="false">SUMIFS('Outages (event ledger)'!$H$2:$H$65,'Outages (event ledger)'!$A$2:$A$65,BE$2,'Outages (event ledger)'!$E$2:$E$65,"&lt;="&amp;$B112,'Outages (event ledger)'!$G$2:$G$65,"&gt;="&amp;$B112)</f>
        <v>0</v>
      </c>
      <c r="BF112" s="29" t="n">
        <f aca="false">SUMIFS('Outages (event ledger)'!$H$2:$H$65,'Outages (event ledger)'!$A$2:$A$65,BF$2,'Outages (event ledger)'!$E$2:$E$65,"&lt;="&amp;$B112,'Outages (event ledger)'!$G$2:$G$65,"&gt;="&amp;$B112)</f>
        <v>0</v>
      </c>
      <c r="BG112" s="29" t="n">
        <f aca="false">SUMIFS('Outages (event ledger)'!$H$2:$H$65,'Outages (event ledger)'!$A$2:$A$65,BG$2,'Outages (event ledger)'!$E$2:$E$65,"&lt;="&amp;$B112,'Outages (event ledger)'!$G$2:$G$65,"&gt;="&amp;$B112)</f>
        <v>0</v>
      </c>
      <c r="BH112" s="29" t="n">
        <f aca="false">SUMIFS('Outages (event ledger)'!$H$2:$H$65,'Outages (event ledger)'!$A$2:$A$65,BH$2,'Outages (event ledger)'!$E$2:$E$65,"&lt;="&amp;$B112,'Outages (event ledger)'!$G$2:$G$65,"&gt;="&amp;$B112)</f>
        <v>0</v>
      </c>
      <c r="BI112" s="29" t="n">
        <f aca="false">SUMIFS('Outages (event ledger)'!$H$2:$H$65,'Outages (event ledger)'!$A$2:$A$65,BI$2,'Outages (event ledger)'!$E$2:$E$65,"&lt;="&amp;$B112,'Outages (event ledger)'!$G$2:$G$65,"&gt;="&amp;$B112)</f>
        <v>6.7</v>
      </c>
    </row>
    <row r="113" customFormat="false" ht="15" hidden="false" customHeight="false" outlineLevel="0" collapsed="false">
      <c r="A113" s="27" t="n">
        <v>43525</v>
      </c>
      <c r="B113" s="28" t="n">
        <v>201903</v>
      </c>
      <c r="C113" s="25" t="n">
        <f aca="false">SUM(D113:BI113)</f>
        <v>20.2</v>
      </c>
      <c r="D113" s="29" t="n">
        <f aca="false">SUMIFS('Outages (event ledger)'!$H$2:$H$65,'Outages (event ledger)'!$A$2:$A$65,D$2,'Outages (event ledger)'!$E$2:$E$65,"&lt;="&amp;$B113,'Outages (event ledger)'!$G$2:$G$65,"&gt;="&amp;$B113)</f>
        <v>0</v>
      </c>
      <c r="E113" s="29" t="n">
        <f aca="false">SUMIFS('Outages (event ledger)'!$H$2:$H$65,'Outages (event ledger)'!$A$2:$A$65,E$2,'Outages (event ledger)'!$E$2:$E$65,"&lt;="&amp;$B113,'Outages (event ledger)'!$G$2:$G$65,"&gt;="&amp;$B113)</f>
        <v>0</v>
      </c>
      <c r="F113" s="29" t="n">
        <f aca="false">SUMIFS('Outages (event ledger)'!$H$2:$H$65,'Outages (event ledger)'!$A$2:$A$65,F$2,'Outages (event ledger)'!$E$2:$E$65,"&lt;="&amp;$B113,'Outages (event ledger)'!$G$2:$G$65,"&gt;="&amp;$B113)</f>
        <v>0</v>
      </c>
      <c r="G113" s="29" t="n">
        <f aca="false">SUMIFS('Outages (event ledger)'!$H$2:$H$65,'Outages (event ledger)'!$A$2:$A$65,G$2,'Outages (event ledger)'!$E$2:$E$65,"&lt;="&amp;$B113,'Outages (event ledger)'!$G$2:$G$65,"&gt;="&amp;$B113)</f>
        <v>0</v>
      </c>
      <c r="H113" s="29" t="n">
        <f aca="false">SUMIFS('Outages (event ledger)'!$H$2:$H$65,'Outages (event ledger)'!$A$2:$A$65,H$2,'Outages (event ledger)'!$E$2:$E$65,"&lt;="&amp;$B113,'Outages (event ledger)'!$G$2:$G$65,"&gt;="&amp;$B113)</f>
        <v>0</v>
      </c>
      <c r="I113" s="29" t="n">
        <f aca="false">SUMIFS('Outages (event ledger)'!$H$2:$H$65,'Outages (event ledger)'!$A$2:$A$65,I$2,'Outages (event ledger)'!$E$2:$E$65,"&lt;="&amp;$B113,'Outages (event ledger)'!$G$2:$G$65,"&gt;="&amp;$B113)</f>
        <v>0</v>
      </c>
      <c r="J113" s="29" t="n">
        <f aca="false">SUMIFS('Outages (event ledger)'!$H$2:$H$65,'Outages (event ledger)'!$A$2:$A$65,J$2,'Outages (event ledger)'!$E$2:$E$65,"&lt;="&amp;$B113,'Outages (event ledger)'!$G$2:$G$65,"&gt;="&amp;$B113)</f>
        <v>0</v>
      </c>
      <c r="K113" s="29" t="n">
        <f aca="false">SUMIFS('Outages (event ledger)'!$H$2:$H$65,'Outages (event ledger)'!$A$2:$A$65,K$2,'Outages (event ledger)'!$E$2:$E$65,"&lt;="&amp;$B113,'Outages (event ledger)'!$G$2:$G$65,"&gt;="&amp;$B113)</f>
        <v>0</v>
      </c>
      <c r="L113" s="29" t="n">
        <f aca="false">SUMIFS('Outages (event ledger)'!$H$2:$H$65,'Outages (event ledger)'!$A$2:$A$65,L$2,'Outages (event ledger)'!$E$2:$E$65,"&lt;="&amp;$B113,'Outages (event ledger)'!$G$2:$G$65,"&gt;="&amp;$B113)</f>
        <v>0</v>
      </c>
      <c r="M113" s="29" t="n">
        <f aca="false">SUMIFS('Outages (event ledger)'!$H$2:$H$65,'Outages (event ledger)'!$A$2:$A$65,M$2,'Outages (event ledger)'!$E$2:$E$65,"&lt;="&amp;$B113,'Outages (event ledger)'!$G$2:$G$65,"&gt;="&amp;$B113)</f>
        <v>0</v>
      </c>
      <c r="N113" s="29" t="n">
        <f aca="false">SUMIFS('Outages (event ledger)'!$H$2:$H$65,'Outages (event ledger)'!$A$2:$A$65,N$2,'Outages (event ledger)'!$E$2:$E$65,"&lt;="&amp;$B113,'Outages (event ledger)'!$G$2:$G$65,"&gt;="&amp;$B113)</f>
        <v>0</v>
      </c>
      <c r="O113" s="29" t="n">
        <f aca="false">SUMIFS('Outages (event ledger)'!$H$2:$H$65,'Outages (event ledger)'!$A$2:$A$65,O$2,'Outages (event ledger)'!$E$2:$E$65,"&lt;="&amp;$B113,'Outages (event ledger)'!$G$2:$G$65,"&gt;="&amp;$B113)</f>
        <v>0</v>
      </c>
      <c r="P113" s="29" t="n">
        <f aca="false">SUMIFS('Outages (event ledger)'!$H$2:$H$65,'Outages (event ledger)'!$A$2:$A$65,P$2,'Outages (event ledger)'!$E$2:$E$65,"&lt;="&amp;$B113,'Outages (event ledger)'!$G$2:$G$65,"&gt;="&amp;$B113)</f>
        <v>0</v>
      </c>
      <c r="Q113" s="29" t="n">
        <f aca="false">SUMIFS('Outages (event ledger)'!$H$2:$H$65,'Outages (event ledger)'!$A$2:$A$65,Q$2,'Outages (event ledger)'!$E$2:$E$65,"&lt;="&amp;$B113,'Outages (event ledger)'!$G$2:$G$65,"&gt;="&amp;$B113)</f>
        <v>0</v>
      </c>
      <c r="R113" s="29" t="n">
        <f aca="false">SUMIFS('Outages (event ledger)'!$H$2:$H$65,'Outages (event ledger)'!$A$2:$A$65,R$2,'Outages (event ledger)'!$E$2:$E$65,"&lt;="&amp;$B113,'Outages (event ledger)'!$G$2:$G$65,"&gt;="&amp;$B113)</f>
        <v>0</v>
      </c>
      <c r="S113" s="29" t="n">
        <f aca="false">SUMIFS('Outages (event ledger)'!$H$2:$H$65,'Outages (event ledger)'!$A$2:$A$65,S$2,'Outages (event ledger)'!$E$2:$E$65,"&lt;="&amp;$B113,'Outages (event ledger)'!$G$2:$G$65,"&gt;="&amp;$B113)</f>
        <v>0</v>
      </c>
      <c r="T113" s="29" t="n">
        <f aca="false">SUMIFS('Outages (event ledger)'!$H$2:$H$65,'Outages (event ledger)'!$A$2:$A$65,T$2,'Outages (event ledger)'!$E$2:$E$65,"&lt;="&amp;$B113,'Outages (event ledger)'!$G$2:$G$65,"&gt;="&amp;$B113)</f>
        <v>0</v>
      </c>
      <c r="U113" s="29" t="n">
        <f aca="false">SUMIFS('Outages (event ledger)'!$H$2:$H$65,'Outages (event ledger)'!$A$2:$A$65,U$2,'Outages (event ledger)'!$E$2:$E$65,"&lt;="&amp;$B113,'Outages (event ledger)'!$G$2:$G$65,"&gt;="&amp;$B113)</f>
        <v>0</v>
      </c>
      <c r="V113" s="29" t="n">
        <f aca="false">SUMIFS('Outages (event ledger)'!$H$2:$H$65,'Outages (event ledger)'!$A$2:$A$65,V$2,'Outages (event ledger)'!$E$2:$E$65,"&lt;="&amp;$B113,'Outages (event ledger)'!$G$2:$G$65,"&gt;="&amp;$B113)</f>
        <v>0</v>
      </c>
      <c r="W113" s="29" t="n">
        <f aca="false">SUMIFS('Outages (event ledger)'!$H$2:$H$65,'Outages (event ledger)'!$A$2:$A$65,W$2,'Outages (event ledger)'!$E$2:$E$65,"&lt;="&amp;$B113,'Outages (event ledger)'!$G$2:$G$65,"&gt;="&amp;$B113)</f>
        <v>0</v>
      </c>
      <c r="X113" s="29" t="n">
        <f aca="false">SUMIFS('Outages (event ledger)'!$H$2:$H$65,'Outages (event ledger)'!$A$2:$A$65,X$2,'Outages (event ledger)'!$E$2:$E$65,"&lt;="&amp;$B113,'Outages (event ledger)'!$G$2:$G$65,"&gt;="&amp;$B113)</f>
        <v>0</v>
      </c>
      <c r="Y113" s="29" t="n">
        <f aca="false">SUMIFS('Outages (event ledger)'!$H$2:$H$65,'Outages (event ledger)'!$A$2:$A$65,Y$2,'Outages (event ledger)'!$E$2:$E$65,"&lt;="&amp;$B113,'Outages (event ledger)'!$G$2:$G$65,"&gt;="&amp;$B113)</f>
        <v>5</v>
      </c>
      <c r="Z113" s="29" t="n">
        <f aca="false">SUMIFS('Outages (event ledger)'!$H$2:$H$65,'Outages (event ledger)'!$A$2:$A$65,Z$2,'Outages (event ledger)'!$E$2:$E$65,"&lt;="&amp;$B113,'Outages (event ledger)'!$G$2:$G$65,"&gt;="&amp;$B113)</f>
        <v>0</v>
      </c>
      <c r="AA113" s="29" t="n">
        <f aca="false">SUMIFS('Outages (event ledger)'!$H$2:$H$65,'Outages (event ledger)'!$A$2:$A$65,AA$2,'Outages (event ledger)'!$E$2:$E$65,"&lt;="&amp;$B113,'Outages (event ledger)'!$G$2:$G$65,"&gt;="&amp;$B113)</f>
        <v>0</v>
      </c>
      <c r="AB113" s="29" t="n">
        <f aca="false">SUMIFS('Outages (event ledger)'!$H$2:$H$65,'Outages (event ledger)'!$A$2:$A$65,AB$2,'Outages (event ledger)'!$E$2:$E$65,"&lt;="&amp;$B113,'Outages (event ledger)'!$G$2:$G$65,"&gt;="&amp;$B113)</f>
        <v>8</v>
      </c>
      <c r="AC113" s="29" t="n">
        <f aca="false">SUMIFS('Outages (event ledger)'!$H$2:$H$65,'Outages (event ledger)'!$A$2:$A$65,AC$2,'Outages (event ledger)'!$E$2:$E$65,"&lt;="&amp;$B113,'Outages (event ledger)'!$G$2:$G$65,"&gt;="&amp;$B113)</f>
        <v>0</v>
      </c>
      <c r="AD113" s="29" t="n">
        <f aca="false">SUMIFS('Outages (event ledger)'!$H$2:$H$65,'Outages (event ledger)'!$A$2:$A$65,AD$2,'Outages (event ledger)'!$E$2:$E$65,"&lt;="&amp;$B113,'Outages (event ledger)'!$G$2:$G$65,"&gt;="&amp;$B113)</f>
        <v>0</v>
      </c>
      <c r="AE113" s="29" t="n">
        <f aca="false">SUMIFS('Outages (event ledger)'!$H$2:$H$65,'Outages (event ledger)'!$A$2:$A$65,AE$2,'Outages (event ledger)'!$E$2:$E$65,"&lt;="&amp;$B113,'Outages (event ledger)'!$G$2:$G$65,"&gt;="&amp;$B113)</f>
        <v>0</v>
      </c>
      <c r="AF113" s="29" t="n">
        <f aca="false">SUMIFS('Outages (event ledger)'!$H$2:$H$65,'Outages (event ledger)'!$A$2:$A$65,AF$2,'Outages (event ledger)'!$E$2:$E$65,"&lt;="&amp;$B113,'Outages (event ledger)'!$G$2:$G$65,"&gt;="&amp;$B113)</f>
        <v>0</v>
      </c>
      <c r="AG113" s="29" t="n">
        <f aca="false">SUMIFS('Outages (event ledger)'!$H$2:$H$65,'Outages (event ledger)'!$A$2:$A$65,AG$2,'Outages (event ledger)'!$E$2:$E$65,"&lt;="&amp;$B113,'Outages (event ledger)'!$G$2:$G$65,"&gt;="&amp;$B113)</f>
        <v>0</v>
      </c>
      <c r="AH113" s="29" t="n">
        <f aca="false">SUMIFS('Outages (event ledger)'!$H$2:$H$65,'Outages (event ledger)'!$A$2:$A$65,AH$2,'Outages (event ledger)'!$E$2:$E$65,"&lt;="&amp;$B113,'Outages (event ledger)'!$G$2:$G$65,"&gt;="&amp;$B113)</f>
        <v>0</v>
      </c>
      <c r="AI113" s="29" t="n">
        <f aca="false">SUMIFS('Outages (event ledger)'!$H$2:$H$65,'Outages (event ledger)'!$A$2:$A$65,AI$2,'Outages (event ledger)'!$E$2:$E$65,"&lt;="&amp;$B113,'Outages (event ledger)'!$G$2:$G$65,"&gt;="&amp;$B113)</f>
        <v>0</v>
      </c>
      <c r="AJ113" s="29" t="n">
        <f aca="false">SUMIFS('Outages (event ledger)'!$H$2:$H$65,'Outages (event ledger)'!$A$2:$A$65,AJ$2,'Outages (event ledger)'!$E$2:$E$65,"&lt;="&amp;$B113,'Outages (event ledger)'!$G$2:$G$65,"&gt;="&amp;$B113)</f>
        <v>0</v>
      </c>
      <c r="AK113" s="29" t="n">
        <f aca="false">SUMIFS('Outages (event ledger)'!$H$2:$H$65,'Outages (event ledger)'!$A$2:$A$65,AK$2,'Outages (event ledger)'!$E$2:$E$65,"&lt;="&amp;$B113,'Outages (event ledger)'!$G$2:$G$65,"&gt;="&amp;$B113)</f>
        <v>0</v>
      </c>
      <c r="AL113" s="29" t="n">
        <f aca="false">SUMIFS('Outages (event ledger)'!$H$2:$H$65,'Outages (event ledger)'!$A$2:$A$65,AL$2,'Outages (event ledger)'!$E$2:$E$65,"&lt;="&amp;$B113,'Outages (event ledger)'!$G$2:$G$65,"&gt;="&amp;$B113)</f>
        <v>0</v>
      </c>
      <c r="AM113" s="29" t="n">
        <f aca="false">SUMIFS('Outages (event ledger)'!$H$2:$H$65,'Outages (event ledger)'!$A$2:$A$65,AM$2,'Outages (event ledger)'!$E$2:$E$65,"&lt;="&amp;$B113,'Outages (event ledger)'!$G$2:$G$65,"&gt;="&amp;$B113)</f>
        <v>0</v>
      </c>
      <c r="AN113" s="29" t="n">
        <f aca="false">SUMIFS('Outages (event ledger)'!$H$2:$H$65,'Outages (event ledger)'!$A$2:$A$65,AN$2,'Outages (event ledger)'!$E$2:$E$65,"&lt;="&amp;$B113,'Outages (event ledger)'!$G$2:$G$65,"&gt;="&amp;$B113)</f>
        <v>0</v>
      </c>
      <c r="AO113" s="29" t="n">
        <f aca="false">SUMIFS('Outages (event ledger)'!$H$2:$H$65,'Outages (event ledger)'!$A$2:$A$65,AO$2,'Outages (event ledger)'!$E$2:$E$65,"&lt;="&amp;$B113,'Outages (event ledger)'!$G$2:$G$65,"&gt;="&amp;$B113)</f>
        <v>0</v>
      </c>
      <c r="AP113" s="29" t="n">
        <f aca="false">SUMIFS('Outages (event ledger)'!$H$2:$H$65,'Outages (event ledger)'!$A$2:$A$65,AP$2,'Outages (event ledger)'!$E$2:$E$65,"&lt;="&amp;$B113,'Outages (event ledger)'!$G$2:$G$65,"&gt;="&amp;$B113)</f>
        <v>0</v>
      </c>
      <c r="AQ113" s="29" t="n">
        <f aca="false">SUMIFS('Outages (event ledger)'!$H$2:$H$65,'Outages (event ledger)'!$A$2:$A$65,AQ$2,'Outages (event ledger)'!$E$2:$E$65,"&lt;="&amp;$B113,'Outages (event ledger)'!$G$2:$G$65,"&gt;="&amp;$B113)</f>
        <v>0</v>
      </c>
      <c r="AR113" s="29" t="n">
        <f aca="false">SUMIFS('Outages (event ledger)'!$H$2:$H$65,'Outages (event ledger)'!$A$2:$A$65,AR$2,'Outages (event ledger)'!$E$2:$E$65,"&lt;="&amp;$B113,'Outages (event ledger)'!$G$2:$G$65,"&gt;="&amp;$B113)</f>
        <v>0</v>
      </c>
      <c r="AS113" s="29" t="n">
        <f aca="false">SUMIFS('Outages (event ledger)'!$H$2:$H$65,'Outages (event ledger)'!$A$2:$A$65,AS$2,'Outages (event ledger)'!$E$2:$E$65,"&lt;="&amp;$B113,'Outages (event ledger)'!$G$2:$G$65,"&gt;="&amp;$B113)</f>
        <v>0</v>
      </c>
      <c r="AT113" s="29" t="n">
        <f aca="false">SUMIFS('Outages (event ledger)'!$H$2:$H$65,'Outages (event ledger)'!$A$2:$A$65,AT$2,'Outages (event ledger)'!$E$2:$E$65,"&lt;="&amp;$B113,'Outages (event ledger)'!$G$2:$G$65,"&gt;="&amp;$B113)</f>
        <v>0</v>
      </c>
      <c r="AU113" s="29" t="n">
        <f aca="false">SUMIFS('Outages (event ledger)'!$H$2:$H$65,'Outages (event ledger)'!$A$2:$A$65,AU$2,'Outages (event ledger)'!$E$2:$E$65,"&lt;="&amp;$B113,'Outages (event ledger)'!$G$2:$G$65,"&gt;="&amp;$B113)</f>
        <v>0</v>
      </c>
      <c r="AV113" s="29" t="n">
        <f aca="false">SUMIFS('Outages (event ledger)'!$H$2:$H$65,'Outages (event ledger)'!$A$2:$A$65,AV$2,'Outages (event ledger)'!$E$2:$E$65,"&lt;="&amp;$B113,'Outages (event ledger)'!$G$2:$G$65,"&gt;="&amp;$B113)</f>
        <v>0</v>
      </c>
      <c r="AW113" s="29" t="n">
        <f aca="false">SUMIFS('Outages (event ledger)'!$H$2:$H$65,'Outages (event ledger)'!$A$2:$A$65,AW$2,'Outages (event ledger)'!$E$2:$E$65,"&lt;="&amp;$B113,'Outages (event ledger)'!$G$2:$G$65,"&gt;="&amp;$B113)</f>
        <v>0.5</v>
      </c>
      <c r="AX113" s="29" t="n">
        <f aca="false">SUMIFS('Outages (event ledger)'!$H$2:$H$65,'Outages (event ledger)'!$A$2:$A$65,AX$2,'Outages (event ledger)'!$E$2:$E$65,"&lt;="&amp;$B113,'Outages (event ledger)'!$G$2:$G$65,"&gt;="&amp;$B113)</f>
        <v>0</v>
      </c>
      <c r="AY113" s="29" t="n">
        <f aca="false">SUMIFS('Outages (event ledger)'!$H$2:$H$65,'Outages (event ledger)'!$A$2:$A$65,AY$2,'Outages (event ledger)'!$E$2:$E$65,"&lt;="&amp;$B113,'Outages (event ledger)'!$G$2:$G$65,"&gt;="&amp;$B113)</f>
        <v>0</v>
      </c>
      <c r="AZ113" s="29" t="n">
        <f aca="false">SUMIFS('Outages (event ledger)'!$H$2:$H$65,'Outages (event ledger)'!$A$2:$A$65,AZ$2,'Outages (event ledger)'!$E$2:$E$65,"&lt;="&amp;$B113,'Outages (event ledger)'!$G$2:$G$65,"&gt;="&amp;$B113)</f>
        <v>0</v>
      </c>
      <c r="BA113" s="29" t="n">
        <f aca="false">SUMIFS('Outages (event ledger)'!$H$2:$H$65,'Outages (event ledger)'!$A$2:$A$65,BA$2,'Outages (event ledger)'!$E$2:$E$65,"&lt;="&amp;$B113,'Outages (event ledger)'!$G$2:$G$65,"&gt;="&amp;$B113)</f>
        <v>0</v>
      </c>
      <c r="BB113" s="29" t="n">
        <f aca="false">SUMIFS('Outages (event ledger)'!$H$2:$H$65,'Outages (event ledger)'!$A$2:$A$65,BB$2,'Outages (event ledger)'!$E$2:$E$65,"&lt;="&amp;$B113,'Outages (event ledger)'!$G$2:$G$65,"&gt;="&amp;$B113)</f>
        <v>0</v>
      </c>
      <c r="BC113" s="29" t="n">
        <f aca="false">SUMIFS('Outages (event ledger)'!$H$2:$H$65,'Outages (event ledger)'!$A$2:$A$65,BC$2,'Outages (event ledger)'!$E$2:$E$65,"&lt;="&amp;$B113,'Outages (event ledger)'!$G$2:$G$65,"&gt;="&amp;$B113)</f>
        <v>0</v>
      </c>
      <c r="BD113" s="29" t="n">
        <f aca="false">SUMIFS('Outages (event ledger)'!$H$2:$H$65,'Outages (event ledger)'!$A$2:$A$65,BD$2,'Outages (event ledger)'!$E$2:$E$65,"&lt;="&amp;$B113,'Outages (event ledger)'!$G$2:$G$65,"&gt;="&amp;$B113)</f>
        <v>0</v>
      </c>
      <c r="BE113" s="29" t="n">
        <f aca="false">SUMIFS('Outages (event ledger)'!$H$2:$H$65,'Outages (event ledger)'!$A$2:$A$65,BE$2,'Outages (event ledger)'!$E$2:$E$65,"&lt;="&amp;$B113,'Outages (event ledger)'!$G$2:$G$65,"&gt;="&amp;$B113)</f>
        <v>0</v>
      </c>
      <c r="BF113" s="29" t="n">
        <f aca="false">SUMIFS('Outages (event ledger)'!$H$2:$H$65,'Outages (event ledger)'!$A$2:$A$65,BF$2,'Outages (event ledger)'!$E$2:$E$65,"&lt;="&amp;$B113,'Outages (event ledger)'!$G$2:$G$65,"&gt;="&amp;$B113)</f>
        <v>0</v>
      </c>
      <c r="BG113" s="29" t="n">
        <f aca="false">SUMIFS('Outages (event ledger)'!$H$2:$H$65,'Outages (event ledger)'!$A$2:$A$65,BG$2,'Outages (event ledger)'!$E$2:$E$65,"&lt;="&amp;$B113,'Outages (event ledger)'!$G$2:$G$65,"&gt;="&amp;$B113)</f>
        <v>0</v>
      </c>
      <c r="BH113" s="29" t="n">
        <f aca="false">SUMIFS('Outages (event ledger)'!$H$2:$H$65,'Outages (event ledger)'!$A$2:$A$65,BH$2,'Outages (event ledger)'!$E$2:$E$65,"&lt;="&amp;$B113,'Outages (event ledger)'!$G$2:$G$65,"&gt;="&amp;$B113)</f>
        <v>0</v>
      </c>
      <c r="BI113" s="29" t="n">
        <f aca="false">SUMIFS('Outages (event ledger)'!$H$2:$H$65,'Outages (event ledger)'!$A$2:$A$65,BI$2,'Outages (event ledger)'!$E$2:$E$65,"&lt;="&amp;$B113,'Outages (event ledger)'!$G$2:$G$65,"&gt;="&amp;$B113)</f>
        <v>6.7</v>
      </c>
    </row>
    <row r="114" customFormat="false" ht="15" hidden="false" customHeight="false" outlineLevel="0" collapsed="false">
      <c r="A114" s="27" t="n">
        <v>43556</v>
      </c>
      <c r="B114" s="28" t="n">
        <v>201904</v>
      </c>
      <c r="C114" s="25" t="n">
        <f aca="false">SUM(D114:BI114)</f>
        <v>20.2</v>
      </c>
      <c r="D114" s="29" t="n">
        <f aca="false">SUMIFS('Outages (event ledger)'!$H$2:$H$65,'Outages (event ledger)'!$A$2:$A$65,D$2,'Outages (event ledger)'!$E$2:$E$65,"&lt;="&amp;$B114,'Outages (event ledger)'!$G$2:$G$65,"&gt;="&amp;$B114)</f>
        <v>0</v>
      </c>
      <c r="E114" s="29" t="n">
        <f aca="false">SUMIFS('Outages (event ledger)'!$H$2:$H$65,'Outages (event ledger)'!$A$2:$A$65,E$2,'Outages (event ledger)'!$E$2:$E$65,"&lt;="&amp;$B114,'Outages (event ledger)'!$G$2:$G$65,"&gt;="&amp;$B114)</f>
        <v>0</v>
      </c>
      <c r="F114" s="29" t="n">
        <f aca="false">SUMIFS('Outages (event ledger)'!$H$2:$H$65,'Outages (event ledger)'!$A$2:$A$65,F$2,'Outages (event ledger)'!$E$2:$E$65,"&lt;="&amp;$B114,'Outages (event ledger)'!$G$2:$G$65,"&gt;="&amp;$B114)</f>
        <v>0</v>
      </c>
      <c r="G114" s="29" t="n">
        <f aca="false">SUMIFS('Outages (event ledger)'!$H$2:$H$65,'Outages (event ledger)'!$A$2:$A$65,G$2,'Outages (event ledger)'!$E$2:$E$65,"&lt;="&amp;$B114,'Outages (event ledger)'!$G$2:$G$65,"&gt;="&amp;$B114)</f>
        <v>0</v>
      </c>
      <c r="H114" s="29" t="n">
        <f aca="false">SUMIFS('Outages (event ledger)'!$H$2:$H$65,'Outages (event ledger)'!$A$2:$A$65,H$2,'Outages (event ledger)'!$E$2:$E$65,"&lt;="&amp;$B114,'Outages (event ledger)'!$G$2:$G$65,"&gt;="&amp;$B114)</f>
        <v>0</v>
      </c>
      <c r="I114" s="29" t="n">
        <f aca="false">SUMIFS('Outages (event ledger)'!$H$2:$H$65,'Outages (event ledger)'!$A$2:$A$65,I$2,'Outages (event ledger)'!$E$2:$E$65,"&lt;="&amp;$B114,'Outages (event ledger)'!$G$2:$G$65,"&gt;="&amp;$B114)</f>
        <v>0</v>
      </c>
      <c r="J114" s="29" t="n">
        <f aca="false">SUMIFS('Outages (event ledger)'!$H$2:$H$65,'Outages (event ledger)'!$A$2:$A$65,J$2,'Outages (event ledger)'!$E$2:$E$65,"&lt;="&amp;$B114,'Outages (event ledger)'!$G$2:$G$65,"&gt;="&amp;$B114)</f>
        <v>0</v>
      </c>
      <c r="K114" s="29" t="n">
        <f aca="false">SUMIFS('Outages (event ledger)'!$H$2:$H$65,'Outages (event ledger)'!$A$2:$A$65,K$2,'Outages (event ledger)'!$E$2:$E$65,"&lt;="&amp;$B114,'Outages (event ledger)'!$G$2:$G$65,"&gt;="&amp;$B114)</f>
        <v>0</v>
      </c>
      <c r="L114" s="29" t="n">
        <f aca="false">SUMIFS('Outages (event ledger)'!$H$2:$H$65,'Outages (event ledger)'!$A$2:$A$65,L$2,'Outages (event ledger)'!$E$2:$E$65,"&lt;="&amp;$B114,'Outages (event ledger)'!$G$2:$G$65,"&gt;="&amp;$B114)</f>
        <v>0</v>
      </c>
      <c r="M114" s="29" t="n">
        <f aca="false">SUMIFS('Outages (event ledger)'!$H$2:$H$65,'Outages (event ledger)'!$A$2:$A$65,M$2,'Outages (event ledger)'!$E$2:$E$65,"&lt;="&amp;$B114,'Outages (event ledger)'!$G$2:$G$65,"&gt;="&amp;$B114)</f>
        <v>0</v>
      </c>
      <c r="N114" s="29" t="n">
        <f aca="false">SUMIFS('Outages (event ledger)'!$H$2:$H$65,'Outages (event ledger)'!$A$2:$A$65,N$2,'Outages (event ledger)'!$E$2:$E$65,"&lt;="&amp;$B114,'Outages (event ledger)'!$G$2:$G$65,"&gt;="&amp;$B114)</f>
        <v>0</v>
      </c>
      <c r="O114" s="29" t="n">
        <f aca="false">SUMIFS('Outages (event ledger)'!$H$2:$H$65,'Outages (event ledger)'!$A$2:$A$65,O$2,'Outages (event ledger)'!$E$2:$E$65,"&lt;="&amp;$B114,'Outages (event ledger)'!$G$2:$G$65,"&gt;="&amp;$B114)</f>
        <v>0</v>
      </c>
      <c r="P114" s="29" t="n">
        <f aca="false">SUMIFS('Outages (event ledger)'!$H$2:$H$65,'Outages (event ledger)'!$A$2:$A$65,P$2,'Outages (event ledger)'!$E$2:$E$65,"&lt;="&amp;$B114,'Outages (event ledger)'!$G$2:$G$65,"&gt;="&amp;$B114)</f>
        <v>0</v>
      </c>
      <c r="Q114" s="29" t="n">
        <f aca="false">SUMIFS('Outages (event ledger)'!$H$2:$H$65,'Outages (event ledger)'!$A$2:$A$65,Q$2,'Outages (event ledger)'!$E$2:$E$65,"&lt;="&amp;$B114,'Outages (event ledger)'!$G$2:$G$65,"&gt;="&amp;$B114)</f>
        <v>0</v>
      </c>
      <c r="R114" s="29" t="n">
        <f aca="false">SUMIFS('Outages (event ledger)'!$H$2:$H$65,'Outages (event ledger)'!$A$2:$A$65,R$2,'Outages (event ledger)'!$E$2:$E$65,"&lt;="&amp;$B114,'Outages (event ledger)'!$G$2:$G$65,"&gt;="&amp;$B114)</f>
        <v>0</v>
      </c>
      <c r="S114" s="29" t="n">
        <f aca="false">SUMIFS('Outages (event ledger)'!$H$2:$H$65,'Outages (event ledger)'!$A$2:$A$65,S$2,'Outages (event ledger)'!$E$2:$E$65,"&lt;="&amp;$B114,'Outages (event ledger)'!$G$2:$G$65,"&gt;="&amp;$B114)</f>
        <v>0</v>
      </c>
      <c r="T114" s="29" t="n">
        <f aca="false">SUMIFS('Outages (event ledger)'!$H$2:$H$65,'Outages (event ledger)'!$A$2:$A$65,T$2,'Outages (event ledger)'!$E$2:$E$65,"&lt;="&amp;$B114,'Outages (event ledger)'!$G$2:$G$65,"&gt;="&amp;$B114)</f>
        <v>0</v>
      </c>
      <c r="U114" s="29" t="n">
        <f aca="false">SUMIFS('Outages (event ledger)'!$H$2:$H$65,'Outages (event ledger)'!$A$2:$A$65,U$2,'Outages (event ledger)'!$E$2:$E$65,"&lt;="&amp;$B114,'Outages (event ledger)'!$G$2:$G$65,"&gt;="&amp;$B114)</f>
        <v>0</v>
      </c>
      <c r="V114" s="29" t="n">
        <f aca="false">SUMIFS('Outages (event ledger)'!$H$2:$H$65,'Outages (event ledger)'!$A$2:$A$65,V$2,'Outages (event ledger)'!$E$2:$E$65,"&lt;="&amp;$B114,'Outages (event ledger)'!$G$2:$G$65,"&gt;="&amp;$B114)</f>
        <v>0</v>
      </c>
      <c r="W114" s="29" t="n">
        <f aca="false">SUMIFS('Outages (event ledger)'!$H$2:$H$65,'Outages (event ledger)'!$A$2:$A$65,W$2,'Outages (event ledger)'!$E$2:$E$65,"&lt;="&amp;$B114,'Outages (event ledger)'!$G$2:$G$65,"&gt;="&amp;$B114)</f>
        <v>0</v>
      </c>
      <c r="X114" s="29" t="n">
        <f aca="false">SUMIFS('Outages (event ledger)'!$H$2:$H$65,'Outages (event ledger)'!$A$2:$A$65,X$2,'Outages (event ledger)'!$E$2:$E$65,"&lt;="&amp;$B114,'Outages (event ledger)'!$G$2:$G$65,"&gt;="&amp;$B114)</f>
        <v>0</v>
      </c>
      <c r="Y114" s="29" t="n">
        <f aca="false">SUMIFS('Outages (event ledger)'!$H$2:$H$65,'Outages (event ledger)'!$A$2:$A$65,Y$2,'Outages (event ledger)'!$E$2:$E$65,"&lt;="&amp;$B114,'Outages (event ledger)'!$G$2:$G$65,"&gt;="&amp;$B114)</f>
        <v>5</v>
      </c>
      <c r="Z114" s="29" t="n">
        <f aca="false">SUMIFS('Outages (event ledger)'!$H$2:$H$65,'Outages (event ledger)'!$A$2:$A$65,Z$2,'Outages (event ledger)'!$E$2:$E$65,"&lt;="&amp;$B114,'Outages (event ledger)'!$G$2:$G$65,"&gt;="&amp;$B114)</f>
        <v>0</v>
      </c>
      <c r="AA114" s="29" t="n">
        <f aca="false">SUMIFS('Outages (event ledger)'!$H$2:$H$65,'Outages (event ledger)'!$A$2:$A$65,AA$2,'Outages (event ledger)'!$E$2:$E$65,"&lt;="&amp;$B114,'Outages (event ledger)'!$G$2:$G$65,"&gt;="&amp;$B114)</f>
        <v>0</v>
      </c>
      <c r="AB114" s="29" t="n">
        <f aca="false">SUMIFS('Outages (event ledger)'!$H$2:$H$65,'Outages (event ledger)'!$A$2:$A$65,AB$2,'Outages (event ledger)'!$E$2:$E$65,"&lt;="&amp;$B114,'Outages (event ledger)'!$G$2:$G$65,"&gt;="&amp;$B114)</f>
        <v>8</v>
      </c>
      <c r="AC114" s="29" t="n">
        <f aca="false">SUMIFS('Outages (event ledger)'!$H$2:$H$65,'Outages (event ledger)'!$A$2:$A$65,AC$2,'Outages (event ledger)'!$E$2:$E$65,"&lt;="&amp;$B114,'Outages (event ledger)'!$G$2:$G$65,"&gt;="&amp;$B114)</f>
        <v>0</v>
      </c>
      <c r="AD114" s="29" t="n">
        <f aca="false">SUMIFS('Outages (event ledger)'!$H$2:$H$65,'Outages (event ledger)'!$A$2:$A$65,AD$2,'Outages (event ledger)'!$E$2:$E$65,"&lt;="&amp;$B114,'Outages (event ledger)'!$G$2:$G$65,"&gt;="&amp;$B114)</f>
        <v>0</v>
      </c>
      <c r="AE114" s="29" t="n">
        <f aca="false">SUMIFS('Outages (event ledger)'!$H$2:$H$65,'Outages (event ledger)'!$A$2:$A$65,AE$2,'Outages (event ledger)'!$E$2:$E$65,"&lt;="&amp;$B114,'Outages (event ledger)'!$G$2:$G$65,"&gt;="&amp;$B114)</f>
        <v>0</v>
      </c>
      <c r="AF114" s="29" t="n">
        <f aca="false">SUMIFS('Outages (event ledger)'!$H$2:$H$65,'Outages (event ledger)'!$A$2:$A$65,AF$2,'Outages (event ledger)'!$E$2:$E$65,"&lt;="&amp;$B114,'Outages (event ledger)'!$G$2:$G$65,"&gt;="&amp;$B114)</f>
        <v>0</v>
      </c>
      <c r="AG114" s="29" t="n">
        <f aca="false">SUMIFS('Outages (event ledger)'!$H$2:$H$65,'Outages (event ledger)'!$A$2:$A$65,AG$2,'Outages (event ledger)'!$E$2:$E$65,"&lt;="&amp;$B114,'Outages (event ledger)'!$G$2:$G$65,"&gt;="&amp;$B114)</f>
        <v>0</v>
      </c>
      <c r="AH114" s="29" t="n">
        <f aca="false">SUMIFS('Outages (event ledger)'!$H$2:$H$65,'Outages (event ledger)'!$A$2:$A$65,AH$2,'Outages (event ledger)'!$E$2:$E$65,"&lt;="&amp;$B114,'Outages (event ledger)'!$G$2:$G$65,"&gt;="&amp;$B114)</f>
        <v>0</v>
      </c>
      <c r="AI114" s="29" t="n">
        <f aca="false">SUMIFS('Outages (event ledger)'!$H$2:$H$65,'Outages (event ledger)'!$A$2:$A$65,AI$2,'Outages (event ledger)'!$E$2:$E$65,"&lt;="&amp;$B114,'Outages (event ledger)'!$G$2:$G$65,"&gt;="&amp;$B114)</f>
        <v>0</v>
      </c>
      <c r="AJ114" s="29" t="n">
        <f aca="false">SUMIFS('Outages (event ledger)'!$H$2:$H$65,'Outages (event ledger)'!$A$2:$A$65,AJ$2,'Outages (event ledger)'!$E$2:$E$65,"&lt;="&amp;$B114,'Outages (event ledger)'!$G$2:$G$65,"&gt;="&amp;$B114)</f>
        <v>0</v>
      </c>
      <c r="AK114" s="29" t="n">
        <f aca="false">SUMIFS('Outages (event ledger)'!$H$2:$H$65,'Outages (event ledger)'!$A$2:$A$65,AK$2,'Outages (event ledger)'!$E$2:$E$65,"&lt;="&amp;$B114,'Outages (event ledger)'!$G$2:$G$65,"&gt;="&amp;$B114)</f>
        <v>0</v>
      </c>
      <c r="AL114" s="29" t="n">
        <f aca="false">SUMIFS('Outages (event ledger)'!$H$2:$H$65,'Outages (event ledger)'!$A$2:$A$65,AL$2,'Outages (event ledger)'!$E$2:$E$65,"&lt;="&amp;$B114,'Outages (event ledger)'!$G$2:$G$65,"&gt;="&amp;$B114)</f>
        <v>0</v>
      </c>
      <c r="AM114" s="29" t="n">
        <f aca="false">SUMIFS('Outages (event ledger)'!$H$2:$H$65,'Outages (event ledger)'!$A$2:$A$65,AM$2,'Outages (event ledger)'!$E$2:$E$65,"&lt;="&amp;$B114,'Outages (event ledger)'!$G$2:$G$65,"&gt;="&amp;$B114)</f>
        <v>0</v>
      </c>
      <c r="AN114" s="29" t="n">
        <f aca="false">SUMIFS('Outages (event ledger)'!$H$2:$H$65,'Outages (event ledger)'!$A$2:$A$65,AN$2,'Outages (event ledger)'!$E$2:$E$65,"&lt;="&amp;$B114,'Outages (event ledger)'!$G$2:$G$65,"&gt;="&amp;$B114)</f>
        <v>0</v>
      </c>
      <c r="AO114" s="29" t="n">
        <f aca="false">SUMIFS('Outages (event ledger)'!$H$2:$H$65,'Outages (event ledger)'!$A$2:$A$65,AO$2,'Outages (event ledger)'!$E$2:$E$65,"&lt;="&amp;$B114,'Outages (event ledger)'!$G$2:$G$65,"&gt;="&amp;$B114)</f>
        <v>0</v>
      </c>
      <c r="AP114" s="29" t="n">
        <f aca="false">SUMIFS('Outages (event ledger)'!$H$2:$H$65,'Outages (event ledger)'!$A$2:$A$65,AP$2,'Outages (event ledger)'!$E$2:$E$65,"&lt;="&amp;$B114,'Outages (event ledger)'!$G$2:$G$65,"&gt;="&amp;$B114)</f>
        <v>0</v>
      </c>
      <c r="AQ114" s="29" t="n">
        <f aca="false">SUMIFS('Outages (event ledger)'!$H$2:$H$65,'Outages (event ledger)'!$A$2:$A$65,AQ$2,'Outages (event ledger)'!$E$2:$E$65,"&lt;="&amp;$B114,'Outages (event ledger)'!$G$2:$G$65,"&gt;="&amp;$B114)</f>
        <v>0</v>
      </c>
      <c r="AR114" s="29" t="n">
        <f aca="false">SUMIFS('Outages (event ledger)'!$H$2:$H$65,'Outages (event ledger)'!$A$2:$A$65,AR$2,'Outages (event ledger)'!$E$2:$E$65,"&lt;="&amp;$B114,'Outages (event ledger)'!$G$2:$G$65,"&gt;="&amp;$B114)</f>
        <v>0</v>
      </c>
      <c r="AS114" s="29" t="n">
        <f aca="false">SUMIFS('Outages (event ledger)'!$H$2:$H$65,'Outages (event ledger)'!$A$2:$A$65,AS$2,'Outages (event ledger)'!$E$2:$E$65,"&lt;="&amp;$B114,'Outages (event ledger)'!$G$2:$G$65,"&gt;="&amp;$B114)</f>
        <v>0</v>
      </c>
      <c r="AT114" s="29" t="n">
        <f aca="false">SUMIFS('Outages (event ledger)'!$H$2:$H$65,'Outages (event ledger)'!$A$2:$A$65,AT$2,'Outages (event ledger)'!$E$2:$E$65,"&lt;="&amp;$B114,'Outages (event ledger)'!$G$2:$G$65,"&gt;="&amp;$B114)</f>
        <v>0</v>
      </c>
      <c r="AU114" s="29" t="n">
        <f aca="false">SUMIFS('Outages (event ledger)'!$H$2:$H$65,'Outages (event ledger)'!$A$2:$A$65,AU$2,'Outages (event ledger)'!$E$2:$E$65,"&lt;="&amp;$B114,'Outages (event ledger)'!$G$2:$G$65,"&gt;="&amp;$B114)</f>
        <v>0</v>
      </c>
      <c r="AV114" s="29" t="n">
        <f aca="false">SUMIFS('Outages (event ledger)'!$H$2:$H$65,'Outages (event ledger)'!$A$2:$A$65,AV$2,'Outages (event ledger)'!$E$2:$E$65,"&lt;="&amp;$B114,'Outages (event ledger)'!$G$2:$G$65,"&gt;="&amp;$B114)</f>
        <v>0</v>
      </c>
      <c r="AW114" s="29" t="n">
        <f aca="false">SUMIFS('Outages (event ledger)'!$H$2:$H$65,'Outages (event ledger)'!$A$2:$A$65,AW$2,'Outages (event ledger)'!$E$2:$E$65,"&lt;="&amp;$B114,'Outages (event ledger)'!$G$2:$G$65,"&gt;="&amp;$B114)</f>
        <v>0.5</v>
      </c>
      <c r="AX114" s="29" t="n">
        <f aca="false">SUMIFS('Outages (event ledger)'!$H$2:$H$65,'Outages (event ledger)'!$A$2:$A$65,AX$2,'Outages (event ledger)'!$E$2:$E$65,"&lt;="&amp;$B114,'Outages (event ledger)'!$G$2:$G$65,"&gt;="&amp;$B114)</f>
        <v>0</v>
      </c>
      <c r="AY114" s="29" t="n">
        <f aca="false">SUMIFS('Outages (event ledger)'!$H$2:$H$65,'Outages (event ledger)'!$A$2:$A$65,AY$2,'Outages (event ledger)'!$E$2:$E$65,"&lt;="&amp;$B114,'Outages (event ledger)'!$G$2:$G$65,"&gt;="&amp;$B114)</f>
        <v>0</v>
      </c>
      <c r="AZ114" s="29" t="n">
        <f aca="false">SUMIFS('Outages (event ledger)'!$H$2:$H$65,'Outages (event ledger)'!$A$2:$A$65,AZ$2,'Outages (event ledger)'!$E$2:$E$65,"&lt;="&amp;$B114,'Outages (event ledger)'!$G$2:$G$65,"&gt;="&amp;$B114)</f>
        <v>0</v>
      </c>
      <c r="BA114" s="29" t="n">
        <f aca="false">SUMIFS('Outages (event ledger)'!$H$2:$H$65,'Outages (event ledger)'!$A$2:$A$65,BA$2,'Outages (event ledger)'!$E$2:$E$65,"&lt;="&amp;$B114,'Outages (event ledger)'!$G$2:$G$65,"&gt;="&amp;$B114)</f>
        <v>0</v>
      </c>
      <c r="BB114" s="29" t="n">
        <f aca="false">SUMIFS('Outages (event ledger)'!$H$2:$H$65,'Outages (event ledger)'!$A$2:$A$65,BB$2,'Outages (event ledger)'!$E$2:$E$65,"&lt;="&amp;$B114,'Outages (event ledger)'!$G$2:$G$65,"&gt;="&amp;$B114)</f>
        <v>0</v>
      </c>
      <c r="BC114" s="29" t="n">
        <f aca="false">SUMIFS('Outages (event ledger)'!$H$2:$H$65,'Outages (event ledger)'!$A$2:$A$65,BC$2,'Outages (event ledger)'!$E$2:$E$65,"&lt;="&amp;$B114,'Outages (event ledger)'!$G$2:$G$65,"&gt;="&amp;$B114)</f>
        <v>0</v>
      </c>
      <c r="BD114" s="29" t="n">
        <f aca="false">SUMIFS('Outages (event ledger)'!$H$2:$H$65,'Outages (event ledger)'!$A$2:$A$65,BD$2,'Outages (event ledger)'!$E$2:$E$65,"&lt;="&amp;$B114,'Outages (event ledger)'!$G$2:$G$65,"&gt;="&amp;$B114)</f>
        <v>0</v>
      </c>
      <c r="BE114" s="29" t="n">
        <f aca="false">SUMIFS('Outages (event ledger)'!$H$2:$H$65,'Outages (event ledger)'!$A$2:$A$65,BE$2,'Outages (event ledger)'!$E$2:$E$65,"&lt;="&amp;$B114,'Outages (event ledger)'!$G$2:$G$65,"&gt;="&amp;$B114)</f>
        <v>0</v>
      </c>
      <c r="BF114" s="29" t="n">
        <f aca="false">SUMIFS('Outages (event ledger)'!$H$2:$H$65,'Outages (event ledger)'!$A$2:$A$65,BF$2,'Outages (event ledger)'!$E$2:$E$65,"&lt;="&amp;$B114,'Outages (event ledger)'!$G$2:$G$65,"&gt;="&amp;$B114)</f>
        <v>0</v>
      </c>
      <c r="BG114" s="29" t="n">
        <f aca="false">SUMIFS('Outages (event ledger)'!$H$2:$H$65,'Outages (event ledger)'!$A$2:$A$65,BG$2,'Outages (event ledger)'!$E$2:$E$65,"&lt;="&amp;$B114,'Outages (event ledger)'!$G$2:$G$65,"&gt;="&amp;$B114)</f>
        <v>0</v>
      </c>
      <c r="BH114" s="29" t="n">
        <f aca="false">SUMIFS('Outages (event ledger)'!$H$2:$H$65,'Outages (event ledger)'!$A$2:$A$65,BH$2,'Outages (event ledger)'!$E$2:$E$65,"&lt;="&amp;$B114,'Outages (event ledger)'!$G$2:$G$65,"&gt;="&amp;$B114)</f>
        <v>0</v>
      </c>
      <c r="BI114" s="29" t="n">
        <f aca="false">SUMIFS('Outages (event ledger)'!$H$2:$H$65,'Outages (event ledger)'!$A$2:$A$65,BI$2,'Outages (event ledger)'!$E$2:$E$65,"&lt;="&amp;$B114,'Outages (event ledger)'!$G$2:$G$65,"&gt;="&amp;$B114)</f>
        <v>6.7</v>
      </c>
    </row>
    <row r="115" customFormat="false" ht="15" hidden="false" customHeight="false" outlineLevel="0" collapsed="false">
      <c r="A115" s="27" t="n">
        <v>43586</v>
      </c>
      <c r="B115" s="28" t="n">
        <v>201905</v>
      </c>
      <c r="C115" s="25" t="n">
        <f aca="false">SUM(D115:BI115)</f>
        <v>20.2</v>
      </c>
      <c r="D115" s="29" t="n">
        <f aca="false">SUMIFS('Outages (event ledger)'!$H$2:$H$65,'Outages (event ledger)'!$A$2:$A$65,D$2,'Outages (event ledger)'!$E$2:$E$65,"&lt;="&amp;$B115,'Outages (event ledger)'!$G$2:$G$65,"&gt;="&amp;$B115)</f>
        <v>0</v>
      </c>
      <c r="E115" s="29" t="n">
        <f aca="false">SUMIFS('Outages (event ledger)'!$H$2:$H$65,'Outages (event ledger)'!$A$2:$A$65,E$2,'Outages (event ledger)'!$E$2:$E$65,"&lt;="&amp;$B115,'Outages (event ledger)'!$G$2:$G$65,"&gt;="&amp;$B115)</f>
        <v>0</v>
      </c>
      <c r="F115" s="29" t="n">
        <f aca="false">SUMIFS('Outages (event ledger)'!$H$2:$H$65,'Outages (event ledger)'!$A$2:$A$65,F$2,'Outages (event ledger)'!$E$2:$E$65,"&lt;="&amp;$B115,'Outages (event ledger)'!$G$2:$G$65,"&gt;="&amp;$B115)</f>
        <v>0</v>
      </c>
      <c r="G115" s="29" t="n">
        <f aca="false">SUMIFS('Outages (event ledger)'!$H$2:$H$65,'Outages (event ledger)'!$A$2:$A$65,G$2,'Outages (event ledger)'!$E$2:$E$65,"&lt;="&amp;$B115,'Outages (event ledger)'!$G$2:$G$65,"&gt;="&amp;$B115)</f>
        <v>0</v>
      </c>
      <c r="H115" s="29" t="n">
        <f aca="false">SUMIFS('Outages (event ledger)'!$H$2:$H$65,'Outages (event ledger)'!$A$2:$A$65,H$2,'Outages (event ledger)'!$E$2:$E$65,"&lt;="&amp;$B115,'Outages (event ledger)'!$G$2:$G$65,"&gt;="&amp;$B115)</f>
        <v>0</v>
      </c>
      <c r="I115" s="29" t="n">
        <f aca="false">SUMIFS('Outages (event ledger)'!$H$2:$H$65,'Outages (event ledger)'!$A$2:$A$65,I$2,'Outages (event ledger)'!$E$2:$E$65,"&lt;="&amp;$B115,'Outages (event ledger)'!$G$2:$G$65,"&gt;="&amp;$B115)</f>
        <v>0</v>
      </c>
      <c r="J115" s="29" t="n">
        <f aca="false">SUMIFS('Outages (event ledger)'!$H$2:$H$65,'Outages (event ledger)'!$A$2:$A$65,J$2,'Outages (event ledger)'!$E$2:$E$65,"&lt;="&amp;$B115,'Outages (event ledger)'!$G$2:$G$65,"&gt;="&amp;$B115)</f>
        <v>0</v>
      </c>
      <c r="K115" s="29" t="n">
        <f aca="false">SUMIFS('Outages (event ledger)'!$H$2:$H$65,'Outages (event ledger)'!$A$2:$A$65,K$2,'Outages (event ledger)'!$E$2:$E$65,"&lt;="&amp;$B115,'Outages (event ledger)'!$G$2:$G$65,"&gt;="&amp;$B115)</f>
        <v>0</v>
      </c>
      <c r="L115" s="29" t="n">
        <f aca="false">SUMIFS('Outages (event ledger)'!$H$2:$H$65,'Outages (event ledger)'!$A$2:$A$65,L$2,'Outages (event ledger)'!$E$2:$E$65,"&lt;="&amp;$B115,'Outages (event ledger)'!$G$2:$G$65,"&gt;="&amp;$B115)</f>
        <v>0</v>
      </c>
      <c r="M115" s="29" t="n">
        <f aca="false">SUMIFS('Outages (event ledger)'!$H$2:$H$65,'Outages (event ledger)'!$A$2:$A$65,M$2,'Outages (event ledger)'!$E$2:$E$65,"&lt;="&amp;$B115,'Outages (event ledger)'!$G$2:$G$65,"&gt;="&amp;$B115)</f>
        <v>0</v>
      </c>
      <c r="N115" s="29" t="n">
        <f aca="false">SUMIFS('Outages (event ledger)'!$H$2:$H$65,'Outages (event ledger)'!$A$2:$A$65,N$2,'Outages (event ledger)'!$E$2:$E$65,"&lt;="&amp;$B115,'Outages (event ledger)'!$G$2:$G$65,"&gt;="&amp;$B115)</f>
        <v>0</v>
      </c>
      <c r="O115" s="29" t="n">
        <f aca="false">SUMIFS('Outages (event ledger)'!$H$2:$H$65,'Outages (event ledger)'!$A$2:$A$65,O$2,'Outages (event ledger)'!$E$2:$E$65,"&lt;="&amp;$B115,'Outages (event ledger)'!$G$2:$G$65,"&gt;="&amp;$B115)</f>
        <v>0</v>
      </c>
      <c r="P115" s="29" t="n">
        <f aca="false">SUMIFS('Outages (event ledger)'!$H$2:$H$65,'Outages (event ledger)'!$A$2:$A$65,P$2,'Outages (event ledger)'!$E$2:$E$65,"&lt;="&amp;$B115,'Outages (event ledger)'!$G$2:$G$65,"&gt;="&amp;$B115)</f>
        <v>0</v>
      </c>
      <c r="Q115" s="29" t="n">
        <f aca="false">SUMIFS('Outages (event ledger)'!$H$2:$H$65,'Outages (event ledger)'!$A$2:$A$65,Q$2,'Outages (event ledger)'!$E$2:$E$65,"&lt;="&amp;$B115,'Outages (event ledger)'!$G$2:$G$65,"&gt;="&amp;$B115)</f>
        <v>0</v>
      </c>
      <c r="R115" s="29" t="n">
        <f aca="false">SUMIFS('Outages (event ledger)'!$H$2:$H$65,'Outages (event ledger)'!$A$2:$A$65,R$2,'Outages (event ledger)'!$E$2:$E$65,"&lt;="&amp;$B115,'Outages (event ledger)'!$G$2:$G$65,"&gt;="&amp;$B115)</f>
        <v>0</v>
      </c>
      <c r="S115" s="29" t="n">
        <f aca="false">SUMIFS('Outages (event ledger)'!$H$2:$H$65,'Outages (event ledger)'!$A$2:$A$65,S$2,'Outages (event ledger)'!$E$2:$E$65,"&lt;="&amp;$B115,'Outages (event ledger)'!$G$2:$G$65,"&gt;="&amp;$B115)</f>
        <v>0</v>
      </c>
      <c r="T115" s="29" t="n">
        <f aca="false">SUMIFS('Outages (event ledger)'!$H$2:$H$65,'Outages (event ledger)'!$A$2:$A$65,T$2,'Outages (event ledger)'!$E$2:$E$65,"&lt;="&amp;$B115,'Outages (event ledger)'!$G$2:$G$65,"&gt;="&amp;$B115)</f>
        <v>0</v>
      </c>
      <c r="U115" s="29" t="n">
        <f aca="false">SUMIFS('Outages (event ledger)'!$H$2:$H$65,'Outages (event ledger)'!$A$2:$A$65,U$2,'Outages (event ledger)'!$E$2:$E$65,"&lt;="&amp;$B115,'Outages (event ledger)'!$G$2:$G$65,"&gt;="&amp;$B115)</f>
        <v>0</v>
      </c>
      <c r="V115" s="29" t="n">
        <f aca="false">SUMIFS('Outages (event ledger)'!$H$2:$H$65,'Outages (event ledger)'!$A$2:$A$65,V$2,'Outages (event ledger)'!$E$2:$E$65,"&lt;="&amp;$B115,'Outages (event ledger)'!$G$2:$G$65,"&gt;="&amp;$B115)</f>
        <v>0</v>
      </c>
      <c r="W115" s="29" t="n">
        <f aca="false">SUMIFS('Outages (event ledger)'!$H$2:$H$65,'Outages (event ledger)'!$A$2:$A$65,W$2,'Outages (event ledger)'!$E$2:$E$65,"&lt;="&amp;$B115,'Outages (event ledger)'!$G$2:$G$65,"&gt;="&amp;$B115)</f>
        <v>0</v>
      </c>
      <c r="X115" s="29" t="n">
        <f aca="false">SUMIFS('Outages (event ledger)'!$H$2:$H$65,'Outages (event ledger)'!$A$2:$A$65,X$2,'Outages (event ledger)'!$E$2:$E$65,"&lt;="&amp;$B115,'Outages (event ledger)'!$G$2:$G$65,"&gt;="&amp;$B115)</f>
        <v>0</v>
      </c>
      <c r="Y115" s="29" t="n">
        <f aca="false">SUMIFS('Outages (event ledger)'!$H$2:$H$65,'Outages (event ledger)'!$A$2:$A$65,Y$2,'Outages (event ledger)'!$E$2:$E$65,"&lt;="&amp;$B115,'Outages (event ledger)'!$G$2:$G$65,"&gt;="&amp;$B115)</f>
        <v>5</v>
      </c>
      <c r="Z115" s="29" t="n">
        <f aca="false">SUMIFS('Outages (event ledger)'!$H$2:$H$65,'Outages (event ledger)'!$A$2:$A$65,Z$2,'Outages (event ledger)'!$E$2:$E$65,"&lt;="&amp;$B115,'Outages (event ledger)'!$G$2:$G$65,"&gt;="&amp;$B115)</f>
        <v>0</v>
      </c>
      <c r="AA115" s="29" t="n">
        <f aca="false">SUMIFS('Outages (event ledger)'!$H$2:$H$65,'Outages (event ledger)'!$A$2:$A$65,AA$2,'Outages (event ledger)'!$E$2:$E$65,"&lt;="&amp;$B115,'Outages (event ledger)'!$G$2:$G$65,"&gt;="&amp;$B115)</f>
        <v>0</v>
      </c>
      <c r="AB115" s="29" t="n">
        <f aca="false">SUMIFS('Outages (event ledger)'!$H$2:$H$65,'Outages (event ledger)'!$A$2:$A$65,AB$2,'Outages (event ledger)'!$E$2:$E$65,"&lt;="&amp;$B115,'Outages (event ledger)'!$G$2:$G$65,"&gt;="&amp;$B115)</f>
        <v>8</v>
      </c>
      <c r="AC115" s="29" t="n">
        <f aca="false">SUMIFS('Outages (event ledger)'!$H$2:$H$65,'Outages (event ledger)'!$A$2:$A$65,AC$2,'Outages (event ledger)'!$E$2:$E$65,"&lt;="&amp;$B115,'Outages (event ledger)'!$G$2:$G$65,"&gt;="&amp;$B115)</f>
        <v>0</v>
      </c>
      <c r="AD115" s="29" t="n">
        <f aca="false">SUMIFS('Outages (event ledger)'!$H$2:$H$65,'Outages (event ledger)'!$A$2:$A$65,AD$2,'Outages (event ledger)'!$E$2:$E$65,"&lt;="&amp;$B115,'Outages (event ledger)'!$G$2:$G$65,"&gt;="&amp;$B115)</f>
        <v>0</v>
      </c>
      <c r="AE115" s="29" t="n">
        <f aca="false">SUMIFS('Outages (event ledger)'!$H$2:$H$65,'Outages (event ledger)'!$A$2:$A$65,AE$2,'Outages (event ledger)'!$E$2:$E$65,"&lt;="&amp;$B115,'Outages (event ledger)'!$G$2:$G$65,"&gt;="&amp;$B115)</f>
        <v>0</v>
      </c>
      <c r="AF115" s="29" t="n">
        <f aca="false">SUMIFS('Outages (event ledger)'!$H$2:$H$65,'Outages (event ledger)'!$A$2:$A$65,AF$2,'Outages (event ledger)'!$E$2:$E$65,"&lt;="&amp;$B115,'Outages (event ledger)'!$G$2:$G$65,"&gt;="&amp;$B115)</f>
        <v>0</v>
      </c>
      <c r="AG115" s="29" t="n">
        <f aca="false">SUMIFS('Outages (event ledger)'!$H$2:$H$65,'Outages (event ledger)'!$A$2:$A$65,AG$2,'Outages (event ledger)'!$E$2:$E$65,"&lt;="&amp;$B115,'Outages (event ledger)'!$G$2:$G$65,"&gt;="&amp;$B115)</f>
        <v>0</v>
      </c>
      <c r="AH115" s="29" t="n">
        <f aca="false">SUMIFS('Outages (event ledger)'!$H$2:$H$65,'Outages (event ledger)'!$A$2:$A$65,AH$2,'Outages (event ledger)'!$E$2:$E$65,"&lt;="&amp;$B115,'Outages (event ledger)'!$G$2:$G$65,"&gt;="&amp;$B115)</f>
        <v>0</v>
      </c>
      <c r="AI115" s="29" t="n">
        <f aca="false">SUMIFS('Outages (event ledger)'!$H$2:$H$65,'Outages (event ledger)'!$A$2:$A$65,AI$2,'Outages (event ledger)'!$E$2:$E$65,"&lt;="&amp;$B115,'Outages (event ledger)'!$G$2:$G$65,"&gt;="&amp;$B115)</f>
        <v>0</v>
      </c>
      <c r="AJ115" s="29" t="n">
        <f aca="false">SUMIFS('Outages (event ledger)'!$H$2:$H$65,'Outages (event ledger)'!$A$2:$A$65,AJ$2,'Outages (event ledger)'!$E$2:$E$65,"&lt;="&amp;$B115,'Outages (event ledger)'!$G$2:$G$65,"&gt;="&amp;$B115)</f>
        <v>0</v>
      </c>
      <c r="AK115" s="29" t="n">
        <f aca="false">SUMIFS('Outages (event ledger)'!$H$2:$H$65,'Outages (event ledger)'!$A$2:$A$65,AK$2,'Outages (event ledger)'!$E$2:$E$65,"&lt;="&amp;$B115,'Outages (event ledger)'!$G$2:$G$65,"&gt;="&amp;$B115)</f>
        <v>0</v>
      </c>
      <c r="AL115" s="29" t="n">
        <f aca="false">SUMIFS('Outages (event ledger)'!$H$2:$H$65,'Outages (event ledger)'!$A$2:$A$65,AL$2,'Outages (event ledger)'!$E$2:$E$65,"&lt;="&amp;$B115,'Outages (event ledger)'!$G$2:$G$65,"&gt;="&amp;$B115)</f>
        <v>0</v>
      </c>
      <c r="AM115" s="29" t="n">
        <f aca="false">SUMIFS('Outages (event ledger)'!$H$2:$H$65,'Outages (event ledger)'!$A$2:$A$65,AM$2,'Outages (event ledger)'!$E$2:$E$65,"&lt;="&amp;$B115,'Outages (event ledger)'!$G$2:$G$65,"&gt;="&amp;$B115)</f>
        <v>0</v>
      </c>
      <c r="AN115" s="29" t="n">
        <f aca="false">SUMIFS('Outages (event ledger)'!$H$2:$H$65,'Outages (event ledger)'!$A$2:$A$65,AN$2,'Outages (event ledger)'!$E$2:$E$65,"&lt;="&amp;$B115,'Outages (event ledger)'!$G$2:$G$65,"&gt;="&amp;$B115)</f>
        <v>0</v>
      </c>
      <c r="AO115" s="29" t="n">
        <f aca="false">SUMIFS('Outages (event ledger)'!$H$2:$H$65,'Outages (event ledger)'!$A$2:$A$65,AO$2,'Outages (event ledger)'!$E$2:$E$65,"&lt;="&amp;$B115,'Outages (event ledger)'!$G$2:$G$65,"&gt;="&amp;$B115)</f>
        <v>0</v>
      </c>
      <c r="AP115" s="29" t="n">
        <f aca="false">SUMIFS('Outages (event ledger)'!$H$2:$H$65,'Outages (event ledger)'!$A$2:$A$65,AP$2,'Outages (event ledger)'!$E$2:$E$65,"&lt;="&amp;$B115,'Outages (event ledger)'!$G$2:$G$65,"&gt;="&amp;$B115)</f>
        <v>0</v>
      </c>
      <c r="AQ115" s="29" t="n">
        <f aca="false">SUMIFS('Outages (event ledger)'!$H$2:$H$65,'Outages (event ledger)'!$A$2:$A$65,AQ$2,'Outages (event ledger)'!$E$2:$E$65,"&lt;="&amp;$B115,'Outages (event ledger)'!$G$2:$G$65,"&gt;="&amp;$B115)</f>
        <v>0</v>
      </c>
      <c r="AR115" s="29" t="n">
        <f aca="false">SUMIFS('Outages (event ledger)'!$H$2:$H$65,'Outages (event ledger)'!$A$2:$A$65,AR$2,'Outages (event ledger)'!$E$2:$E$65,"&lt;="&amp;$B115,'Outages (event ledger)'!$G$2:$G$65,"&gt;="&amp;$B115)</f>
        <v>0</v>
      </c>
      <c r="AS115" s="29" t="n">
        <f aca="false">SUMIFS('Outages (event ledger)'!$H$2:$H$65,'Outages (event ledger)'!$A$2:$A$65,AS$2,'Outages (event ledger)'!$E$2:$E$65,"&lt;="&amp;$B115,'Outages (event ledger)'!$G$2:$G$65,"&gt;="&amp;$B115)</f>
        <v>0</v>
      </c>
      <c r="AT115" s="29" t="n">
        <f aca="false">SUMIFS('Outages (event ledger)'!$H$2:$H$65,'Outages (event ledger)'!$A$2:$A$65,AT$2,'Outages (event ledger)'!$E$2:$E$65,"&lt;="&amp;$B115,'Outages (event ledger)'!$G$2:$G$65,"&gt;="&amp;$B115)</f>
        <v>0</v>
      </c>
      <c r="AU115" s="29" t="n">
        <f aca="false">SUMIFS('Outages (event ledger)'!$H$2:$H$65,'Outages (event ledger)'!$A$2:$A$65,AU$2,'Outages (event ledger)'!$E$2:$E$65,"&lt;="&amp;$B115,'Outages (event ledger)'!$G$2:$G$65,"&gt;="&amp;$B115)</f>
        <v>0</v>
      </c>
      <c r="AV115" s="29" t="n">
        <f aca="false">SUMIFS('Outages (event ledger)'!$H$2:$H$65,'Outages (event ledger)'!$A$2:$A$65,AV$2,'Outages (event ledger)'!$E$2:$E$65,"&lt;="&amp;$B115,'Outages (event ledger)'!$G$2:$G$65,"&gt;="&amp;$B115)</f>
        <v>0</v>
      </c>
      <c r="AW115" s="29" t="n">
        <f aca="false">SUMIFS('Outages (event ledger)'!$H$2:$H$65,'Outages (event ledger)'!$A$2:$A$65,AW$2,'Outages (event ledger)'!$E$2:$E$65,"&lt;="&amp;$B115,'Outages (event ledger)'!$G$2:$G$65,"&gt;="&amp;$B115)</f>
        <v>0.5</v>
      </c>
      <c r="AX115" s="29" t="n">
        <f aca="false">SUMIFS('Outages (event ledger)'!$H$2:$H$65,'Outages (event ledger)'!$A$2:$A$65,AX$2,'Outages (event ledger)'!$E$2:$E$65,"&lt;="&amp;$B115,'Outages (event ledger)'!$G$2:$G$65,"&gt;="&amp;$B115)</f>
        <v>0</v>
      </c>
      <c r="AY115" s="29" t="n">
        <f aca="false">SUMIFS('Outages (event ledger)'!$H$2:$H$65,'Outages (event ledger)'!$A$2:$A$65,AY$2,'Outages (event ledger)'!$E$2:$E$65,"&lt;="&amp;$B115,'Outages (event ledger)'!$G$2:$G$65,"&gt;="&amp;$B115)</f>
        <v>0</v>
      </c>
      <c r="AZ115" s="29" t="n">
        <f aca="false">SUMIFS('Outages (event ledger)'!$H$2:$H$65,'Outages (event ledger)'!$A$2:$A$65,AZ$2,'Outages (event ledger)'!$E$2:$E$65,"&lt;="&amp;$B115,'Outages (event ledger)'!$G$2:$G$65,"&gt;="&amp;$B115)</f>
        <v>0</v>
      </c>
      <c r="BA115" s="29" t="n">
        <f aca="false">SUMIFS('Outages (event ledger)'!$H$2:$H$65,'Outages (event ledger)'!$A$2:$A$65,BA$2,'Outages (event ledger)'!$E$2:$E$65,"&lt;="&amp;$B115,'Outages (event ledger)'!$G$2:$G$65,"&gt;="&amp;$B115)</f>
        <v>0</v>
      </c>
      <c r="BB115" s="29" t="n">
        <f aca="false">SUMIFS('Outages (event ledger)'!$H$2:$H$65,'Outages (event ledger)'!$A$2:$A$65,BB$2,'Outages (event ledger)'!$E$2:$E$65,"&lt;="&amp;$B115,'Outages (event ledger)'!$G$2:$G$65,"&gt;="&amp;$B115)</f>
        <v>0</v>
      </c>
      <c r="BC115" s="29" t="n">
        <f aca="false">SUMIFS('Outages (event ledger)'!$H$2:$H$65,'Outages (event ledger)'!$A$2:$A$65,BC$2,'Outages (event ledger)'!$E$2:$E$65,"&lt;="&amp;$B115,'Outages (event ledger)'!$G$2:$G$65,"&gt;="&amp;$B115)</f>
        <v>0</v>
      </c>
      <c r="BD115" s="29" t="n">
        <f aca="false">SUMIFS('Outages (event ledger)'!$H$2:$H$65,'Outages (event ledger)'!$A$2:$A$65,BD$2,'Outages (event ledger)'!$E$2:$E$65,"&lt;="&amp;$B115,'Outages (event ledger)'!$G$2:$G$65,"&gt;="&amp;$B115)</f>
        <v>0</v>
      </c>
      <c r="BE115" s="29" t="n">
        <f aca="false">SUMIFS('Outages (event ledger)'!$H$2:$H$65,'Outages (event ledger)'!$A$2:$A$65,BE$2,'Outages (event ledger)'!$E$2:$E$65,"&lt;="&amp;$B115,'Outages (event ledger)'!$G$2:$G$65,"&gt;="&amp;$B115)</f>
        <v>0</v>
      </c>
      <c r="BF115" s="29" t="n">
        <f aca="false">SUMIFS('Outages (event ledger)'!$H$2:$H$65,'Outages (event ledger)'!$A$2:$A$65,BF$2,'Outages (event ledger)'!$E$2:$E$65,"&lt;="&amp;$B115,'Outages (event ledger)'!$G$2:$G$65,"&gt;="&amp;$B115)</f>
        <v>0</v>
      </c>
      <c r="BG115" s="29" t="n">
        <f aca="false">SUMIFS('Outages (event ledger)'!$H$2:$H$65,'Outages (event ledger)'!$A$2:$A$65,BG$2,'Outages (event ledger)'!$E$2:$E$65,"&lt;="&amp;$B115,'Outages (event ledger)'!$G$2:$G$65,"&gt;="&amp;$B115)</f>
        <v>0</v>
      </c>
      <c r="BH115" s="29" t="n">
        <f aca="false">SUMIFS('Outages (event ledger)'!$H$2:$H$65,'Outages (event ledger)'!$A$2:$A$65,BH$2,'Outages (event ledger)'!$E$2:$E$65,"&lt;="&amp;$B115,'Outages (event ledger)'!$G$2:$G$65,"&gt;="&amp;$B115)</f>
        <v>0</v>
      </c>
      <c r="BI115" s="29" t="n">
        <f aca="false">SUMIFS('Outages (event ledger)'!$H$2:$H$65,'Outages (event ledger)'!$A$2:$A$65,BI$2,'Outages (event ledger)'!$E$2:$E$65,"&lt;="&amp;$B115,'Outages (event ledger)'!$G$2:$G$65,"&gt;="&amp;$B115)</f>
        <v>6.7</v>
      </c>
    </row>
    <row r="116" customFormat="false" ht="15" hidden="false" customHeight="false" outlineLevel="0" collapsed="false">
      <c r="A116" s="27" t="n">
        <v>43617</v>
      </c>
      <c r="B116" s="28" t="n">
        <v>201906</v>
      </c>
      <c r="C116" s="25" t="n">
        <f aca="false">SUM(D116:BI116)</f>
        <v>20.2</v>
      </c>
      <c r="D116" s="29" t="n">
        <f aca="false">SUMIFS('Outages (event ledger)'!$H$2:$H$65,'Outages (event ledger)'!$A$2:$A$65,D$2,'Outages (event ledger)'!$E$2:$E$65,"&lt;="&amp;$B116,'Outages (event ledger)'!$G$2:$G$65,"&gt;="&amp;$B116)</f>
        <v>0</v>
      </c>
      <c r="E116" s="29" t="n">
        <f aca="false">SUMIFS('Outages (event ledger)'!$H$2:$H$65,'Outages (event ledger)'!$A$2:$A$65,E$2,'Outages (event ledger)'!$E$2:$E$65,"&lt;="&amp;$B116,'Outages (event ledger)'!$G$2:$G$65,"&gt;="&amp;$B116)</f>
        <v>0</v>
      </c>
      <c r="F116" s="29" t="n">
        <f aca="false">SUMIFS('Outages (event ledger)'!$H$2:$H$65,'Outages (event ledger)'!$A$2:$A$65,F$2,'Outages (event ledger)'!$E$2:$E$65,"&lt;="&amp;$B116,'Outages (event ledger)'!$G$2:$G$65,"&gt;="&amp;$B116)</f>
        <v>0</v>
      </c>
      <c r="G116" s="29" t="n">
        <f aca="false">SUMIFS('Outages (event ledger)'!$H$2:$H$65,'Outages (event ledger)'!$A$2:$A$65,G$2,'Outages (event ledger)'!$E$2:$E$65,"&lt;="&amp;$B116,'Outages (event ledger)'!$G$2:$G$65,"&gt;="&amp;$B116)</f>
        <v>0</v>
      </c>
      <c r="H116" s="29" t="n">
        <f aca="false">SUMIFS('Outages (event ledger)'!$H$2:$H$65,'Outages (event ledger)'!$A$2:$A$65,H$2,'Outages (event ledger)'!$E$2:$E$65,"&lt;="&amp;$B116,'Outages (event ledger)'!$G$2:$G$65,"&gt;="&amp;$B116)</f>
        <v>0</v>
      </c>
      <c r="I116" s="29" t="n">
        <f aca="false">SUMIFS('Outages (event ledger)'!$H$2:$H$65,'Outages (event ledger)'!$A$2:$A$65,I$2,'Outages (event ledger)'!$E$2:$E$65,"&lt;="&amp;$B116,'Outages (event ledger)'!$G$2:$G$65,"&gt;="&amp;$B116)</f>
        <v>0</v>
      </c>
      <c r="J116" s="29" t="n">
        <f aca="false">SUMIFS('Outages (event ledger)'!$H$2:$H$65,'Outages (event ledger)'!$A$2:$A$65,J$2,'Outages (event ledger)'!$E$2:$E$65,"&lt;="&amp;$B116,'Outages (event ledger)'!$G$2:$G$65,"&gt;="&amp;$B116)</f>
        <v>0</v>
      </c>
      <c r="K116" s="29" t="n">
        <f aca="false">SUMIFS('Outages (event ledger)'!$H$2:$H$65,'Outages (event ledger)'!$A$2:$A$65,K$2,'Outages (event ledger)'!$E$2:$E$65,"&lt;="&amp;$B116,'Outages (event ledger)'!$G$2:$G$65,"&gt;="&amp;$B116)</f>
        <v>0</v>
      </c>
      <c r="L116" s="29" t="n">
        <f aca="false">SUMIFS('Outages (event ledger)'!$H$2:$H$65,'Outages (event ledger)'!$A$2:$A$65,L$2,'Outages (event ledger)'!$E$2:$E$65,"&lt;="&amp;$B116,'Outages (event ledger)'!$G$2:$G$65,"&gt;="&amp;$B116)</f>
        <v>0</v>
      </c>
      <c r="M116" s="29" t="n">
        <f aca="false">SUMIFS('Outages (event ledger)'!$H$2:$H$65,'Outages (event ledger)'!$A$2:$A$65,M$2,'Outages (event ledger)'!$E$2:$E$65,"&lt;="&amp;$B116,'Outages (event ledger)'!$G$2:$G$65,"&gt;="&amp;$B116)</f>
        <v>0</v>
      </c>
      <c r="N116" s="29" t="n">
        <f aca="false">SUMIFS('Outages (event ledger)'!$H$2:$H$65,'Outages (event ledger)'!$A$2:$A$65,N$2,'Outages (event ledger)'!$E$2:$E$65,"&lt;="&amp;$B116,'Outages (event ledger)'!$G$2:$G$65,"&gt;="&amp;$B116)</f>
        <v>0</v>
      </c>
      <c r="O116" s="29" t="n">
        <f aca="false">SUMIFS('Outages (event ledger)'!$H$2:$H$65,'Outages (event ledger)'!$A$2:$A$65,O$2,'Outages (event ledger)'!$E$2:$E$65,"&lt;="&amp;$B116,'Outages (event ledger)'!$G$2:$G$65,"&gt;="&amp;$B116)</f>
        <v>0</v>
      </c>
      <c r="P116" s="29" t="n">
        <f aca="false">SUMIFS('Outages (event ledger)'!$H$2:$H$65,'Outages (event ledger)'!$A$2:$A$65,P$2,'Outages (event ledger)'!$E$2:$E$65,"&lt;="&amp;$B116,'Outages (event ledger)'!$G$2:$G$65,"&gt;="&amp;$B116)</f>
        <v>0</v>
      </c>
      <c r="Q116" s="29" t="n">
        <f aca="false">SUMIFS('Outages (event ledger)'!$H$2:$H$65,'Outages (event ledger)'!$A$2:$A$65,Q$2,'Outages (event ledger)'!$E$2:$E$65,"&lt;="&amp;$B116,'Outages (event ledger)'!$G$2:$G$65,"&gt;="&amp;$B116)</f>
        <v>0</v>
      </c>
      <c r="R116" s="29" t="n">
        <f aca="false">SUMIFS('Outages (event ledger)'!$H$2:$H$65,'Outages (event ledger)'!$A$2:$A$65,R$2,'Outages (event ledger)'!$E$2:$E$65,"&lt;="&amp;$B116,'Outages (event ledger)'!$G$2:$G$65,"&gt;="&amp;$B116)</f>
        <v>0</v>
      </c>
      <c r="S116" s="29" t="n">
        <f aca="false">SUMIFS('Outages (event ledger)'!$H$2:$H$65,'Outages (event ledger)'!$A$2:$A$65,S$2,'Outages (event ledger)'!$E$2:$E$65,"&lt;="&amp;$B116,'Outages (event ledger)'!$G$2:$G$65,"&gt;="&amp;$B116)</f>
        <v>0</v>
      </c>
      <c r="T116" s="29" t="n">
        <f aca="false">SUMIFS('Outages (event ledger)'!$H$2:$H$65,'Outages (event ledger)'!$A$2:$A$65,T$2,'Outages (event ledger)'!$E$2:$E$65,"&lt;="&amp;$B116,'Outages (event ledger)'!$G$2:$G$65,"&gt;="&amp;$B116)</f>
        <v>0</v>
      </c>
      <c r="U116" s="29" t="n">
        <f aca="false">SUMIFS('Outages (event ledger)'!$H$2:$H$65,'Outages (event ledger)'!$A$2:$A$65,U$2,'Outages (event ledger)'!$E$2:$E$65,"&lt;="&amp;$B116,'Outages (event ledger)'!$G$2:$G$65,"&gt;="&amp;$B116)</f>
        <v>0</v>
      </c>
      <c r="V116" s="29" t="n">
        <f aca="false">SUMIFS('Outages (event ledger)'!$H$2:$H$65,'Outages (event ledger)'!$A$2:$A$65,V$2,'Outages (event ledger)'!$E$2:$E$65,"&lt;="&amp;$B116,'Outages (event ledger)'!$G$2:$G$65,"&gt;="&amp;$B116)</f>
        <v>0</v>
      </c>
      <c r="W116" s="29" t="n">
        <f aca="false">SUMIFS('Outages (event ledger)'!$H$2:$H$65,'Outages (event ledger)'!$A$2:$A$65,W$2,'Outages (event ledger)'!$E$2:$E$65,"&lt;="&amp;$B116,'Outages (event ledger)'!$G$2:$G$65,"&gt;="&amp;$B116)</f>
        <v>0</v>
      </c>
      <c r="X116" s="29" t="n">
        <f aca="false">SUMIFS('Outages (event ledger)'!$H$2:$H$65,'Outages (event ledger)'!$A$2:$A$65,X$2,'Outages (event ledger)'!$E$2:$E$65,"&lt;="&amp;$B116,'Outages (event ledger)'!$G$2:$G$65,"&gt;="&amp;$B116)</f>
        <v>0</v>
      </c>
      <c r="Y116" s="29" t="n">
        <f aca="false">SUMIFS('Outages (event ledger)'!$H$2:$H$65,'Outages (event ledger)'!$A$2:$A$65,Y$2,'Outages (event ledger)'!$E$2:$E$65,"&lt;="&amp;$B116,'Outages (event ledger)'!$G$2:$G$65,"&gt;="&amp;$B116)</f>
        <v>5</v>
      </c>
      <c r="Z116" s="29" t="n">
        <f aca="false">SUMIFS('Outages (event ledger)'!$H$2:$H$65,'Outages (event ledger)'!$A$2:$A$65,Z$2,'Outages (event ledger)'!$E$2:$E$65,"&lt;="&amp;$B116,'Outages (event ledger)'!$G$2:$G$65,"&gt;="&amp;$B116)</f>
        <v>0</v>
      </c>
      <c r="AA116" s="29" t="n">
        <f aca="false">SUMIFS('Outages (event ledger)'!$H$2:$H$65,'Outages (event ledger)'!$A$2:$A$65,AA$2,'Outages (event ledger)'!$E$2:$E$65,"&lt;="&amp;$B116,'Outages (event ledger)'!$G$2:$G$65,"&gt;="&amp;$B116)</f>
        <v>0</v>
      </c>
      <c r="AB116" s="29" t="n">
        <f aca="false">SUMIFS('Outages (event ledger)'!$H$2:$H$65,'Outages (event ledger)'!$A$2:$A$65,AB$2,'Outages (event ledger)'!$E$2:$E$65,"&lt;="&amp;$B116,'Outages (event ledger)'!$G$2:$G$65,"&gt;="&amp;$B116)</f>
        <v>8</v>
      </c>
      <c r="AC116" s="29" t="n">
        <f aca="false">SUMIFS('Outages (event ledger)'!$H$2:$H$65,'Outages (event ledger)'!$A$2:$A$65,AC$2,'Outages (event ledger)'!$E$2:$E$65,"&lt;="&amp;$B116,'Outages (event ledger)'!$G$2:$G$65,"&gt;="&amp;$B116)</f>
        <v>0</v>
      </c>
      <c r="AD116" s="29" t="n">
        <f aca="false">SUMIFS('Outages (event ledger)'!$H$2:$H$65,'Outages (event ledger)'!$A$2:$A$65,AD$2,'Outages (event ledger)'!$E$2:$E$65,"&lt;="&amp;$B116,'Outages (event ledger)'!$G$2:$G$65,"&gt;="&amp;$B116)</f>
        <v>0</v>
      </c>
      <c r="AE116" s="29" t="n">
        <f aca="false">SUMIFS('Outages (event ledger)'!$H$2:$H$65,'Outages (event ledger)'!$A$2:$A$65,AE$2,'Outages (event ledger)'!$E$2:$E$65,"&lt;="&amp;$B116,'Outages (event ledger)'!$G$2:$G$65,"&gt;="&amp;$B116)</f>
        <v>0</v>
      </c>
      <c r="AF116" s="29" t="n">
        <f aca="false">SUMIFS('Outages (event ledger)'!$H$2:$H$65,'Outages (event ledger)'!$A$2:$A$65,AF$2,'Outages (event ledger)'!$E$2:$E$65,"&lt;="&amp;$B116,'Outages (event ledger)'!$G$2:$G$65,"&gt;="&amp;$B116)</f>
        <v>0</v>
      </c>
      <c r="AG116" s="29" t="n">
        <f aca="false">SUMIFS('Outages (event ledger)'!$H$2:$H$65,'Outages (event ledger)'!$A$2:$A$65,AG$2,'Outages (event ledger)'!$E$2:$E$65,"&lt;="&amp;$B116,'Outages (event ledger)'!$G$2:$G$65,"&gt;="&amp;$B116)</f>
        <v>0</v>
      </c>
      <c r="AH116" s="29" t="n">
        <f aca="false">SUMIFS('Outages (event ledger)'!$H$2:$H$65,'Outages (event ledger)'!$A$2:$A$65,AH$2,'Outages (event ledger)'!$E$2:$E$65,"&lt;="&amp;$B116,'Outages (event ledger)'!$G$2:$G$65,"&gt;="&amp;$B116)</f>
        <v>0</v>
      </c>
      <c r="AI116" s="29" t="n">
        <f aca="false">SUMIFS('Outages (event ledger)'!$H$2:$H$65,'Outages (event ledger)'!$A$2:$A$65,AI$2,'Outages (event ledger)'!$E$2:$E$65,"&lt;="&amp;$B116,'Outages (event ledger)'!$G$2:$G$65,"&gt;="&amp;$B116)</f>
        <v>0</v>
      </c>
      <c r="AJ116" s="29" t="n">
        <f aca="false">SUMIFS('Outages (event ledger)'!$H$2:$H$65,'Outages (event ledger)'!$A$2:$A$65,AJ$2,'Outages (event ledger)'!$E$2:$E$65,"&lt;="&amp;$B116,'Outages (event ledger)'!$G$2:$G$65,"&gt;="&amp;$B116)</f>
        <v>0</v>
      </c>
      <c r="AK116" s="29" t="n">
        <f aca="false">SUMIFS('Outages (event ledger)'!$H$2:$H$65,'Outages (event ledger)'!$A$2:$A$65,AK$2,'Outages (event ledger)'!$E$2:$E$65,"&lt;="&amp;$B116,'Outages (event ledger)'!$G$2:$G$65,"&gt;="&amp;$B116)</f>
        <v>0</v>
      </c>
      <c r="AL116" s="29" t="n">
        <f aca="false">SUMIFS('Outages (event ledger)'!$H$2:$H$65,'Outages (event ledger)'!$A$2:$A$65,AL$2,'Outages (event ledger)'!$E$2:$E$65,"&lt;="&amp;$B116,'Outages (event ledger)'!$G$2:$G$65,"&gt;="&amp;$B116)</f>
        <v>0</v>
      </c>
      <c r="AM116" s="29" t="n">
        <f aca="false">SUMIFS('Outages (event ledger)'!$H$2:$H$65,'Outages (event ledger)'!$A$2:$A$65,AM$2,'Outages (event ledger)'!$E$2:$E$65,"&lt;="&amp;$B116,'Outages (event ledger)'!$G$2:$G$65,"&gt;="&amp;$B116)</f>
        <v>0</v>
      </c>
      <c r="AN116" s="29" t="n">
        <f aca="false">SUMIFS('Outages (event ledger)'!$H$2:$H$65,'Outages (event ledger)'!$A$2:$A$65,AN$2,'Outages (event ledger)'!$E$2:$E$65,"&lt;="&amp;$B116,'Outages (event ledger)'!$G$2:$G$65,"&gt;="&amp;$B116)</f>
        <v>0</v>
      </c>
      <c r="AO116" s="29" t="n">
        <f aca="false">SUMIFS('Outages (event ledger)'!$H$2:$H$65,'Outages (event ledger)'!$A$2:$A$65,AO$2,'Outages (event ledger)'!$E$2:$E$65,"&lt;="&amp;$B116,'Outages (event ledger)'!$G$2:$G$65,"&gt;="&amp;$B116)</f>
        <v>0</v>
      </c>
      <c r="AP116" s="29" t="n">
        <f aca="false">SUMIFS('Outages (event ledger)'!$H$2:$H$65,'Outages (event ledger)'!$A$2:$A$65,AP$2,'Outages (event ledger)'!$E$2:$E$65,"&lt;="&amp;$B116,'Outages (event ledger)'!$G$2:$G$65,"&gt;="&amp;$B116)</f>
        <v>0</v>
      </c>
      <c r="AQ116" s="29" t="n">
        <f aca="false">SUMIFS('Outages (event ledger)'!$H$2:$H$65,'Outages (event ledger)'!$A$2:$A$65,AQ$2,'Outages (event ledger)'!$E$2:$E$65,"&lt;="&amp;$B116,'Outages (event ledger)'!$G$2:$G$65,"&gt;="&amp;$B116)</f>
        <v>0</v>
      </c>
      <c r="AR116" s="29" t="n">
        <f aca="false">SUMIFS('Outages (event ledger)'!$H$2:$H$65,'Outages (event ledger)'!$A$2:$A$65,AR$2,'Outages (event ledger)'!$E$2:$E$65,"&lt;="&amp;$B116,'Outages (event ledger)'!$G$2:$G$65,"&gt;="&amp;$B116)</f>
        <v>0</v>
      </c>
      <c r="AS116" s="29" t="n">
        <f aca="false">SUMIFS('Outages (event ledger)'!$H$2:$H$65,'Outages (event ledger)'!$A$2:$A$65,AS$2,'Outages (event ledger)'!$E$2:$E$65,"&lt;="&amp;$B116,'Outages (event ledger)'!$G$2:$G$65,"&gt;="&amp;$B116)</f>
        <v>0</v>
      </c>
      <c r="AT116" s="29" t="n">
        <f aca="false">SUMIFS('Outages (event ledger)'!$H$2:$H$65,'Outages (event ledger)'!$A$2:$A$65,AT$2,'Outages (event ledger)'!$E$2:$E$65,"&lt;="&amp;$B116,'Outages (event ledger)'!$G$2:$G$65,"&gt;="&amp;$B116)</f>
        <v>0</v>
      </c>
      <c r="AU116" s="29" t="n">
        <f aca="false">SUMIFS('Outages (event ledger)'!$H$2:$H$65,'Outages (event ledger)'!$A$2:$A$65,AU$2,'Outages (event ledger)'!$E$2:$E$65,"&lt;="&amp;$B116,'Outages (event ledger)'!$G$2:$G$65,"&gt;="&amp;$B116)</f>
        <v>0</v>
      </c>
      <c r="AV116" s="29" t="n">
        <f aca="false">SUMIFS('Outages (event ledger)'!$H$2:$H$65,'Outages (event ledger)'!$A$2:$A$65,AV$2,'Outages (event ledger)'!$E$2:$E$65,"&lt;="&amp;$B116,'Outages (event ledger)'!$G$2:$G$65,"&gt;="&amp;$B116)</f>
        <v>0</v>
      </c>
      <c r="AW116" s="29" t="n">
        <f aca="false">SUMIFS('Outages (event ledger)'!$H$2:$H$65,'Outages (event ledger)'!$A$2:$A$65,AW$2,'Outages (event ledger)'!$E$2:$E$65,"&lt;="&amp;$B116,'Outages (event ledger)'!$G$2:$G$65,"&gt;="&amp;$B116)</f>
        <v>0.5</v>
      </c>
      <c r="AX116" s="29" t="n">
        <f aca="false">SUMIFS('Outages (event ledger)'!$H$2:$H$65,'Outages (event ledger)'!$A$2:$A$65,AX$2,'Outages (event ledger)'!$E$2:$E$65,"&lt;="&amp;$B116,'Outages (event ledger)'!$G$2:$G$65,"&gt;="&amp;$B116)</f>
        <v>0</v>
      </c>
      <c r="AY116" s="29" t="n">
        <f aca="false">SUMIFS('Outages (event ledger)'!$H$2:$H$65,'Outages (event ledger)'!$A$2:$A$65,AY$2,'Outages (event ledger)'!$E$2:$E$65,"&lt;="&amp;$B116,'Outages (event ledger)'!$G$2:$G$65,"&gt;="&amp;$B116)</f>
        <v>0</v>
      </c>
      <c r="AZ116" s="29" t="n">
        <f aca="false">SUMIFS('Outages (event ledger)'!$H$2:$H$65,'Outages (event ledger)'!$A$2:$A$65,AZ$2,'Outages (event ledger)'!$E$2:$E$65,"&lt;="&amp;$B116,'Outages (event ledger)'!$G$2:$G$65,"&gt;="&amp;$B116)</f>
        <v>0</v>
      </c>
      <c r="BA116" s="29" t="n">
        <f aca="false">SUMIFS('Outages (event ledger)'!$H$2:$H$65,'Outages (event ledger)'!$A$2:$A$65,BA$2,'Outages (event ledger)'!$E$2:$E$65,"&lt;="&amp;$B116,'Outages (event ledger)'!$G$2:$G$65,"&gt;="&amp;$B116)</f>
        <v>0</v>
      </c>
      <c r="BB116" s="29" t="n">
        <f aca="false">SUMIFS('Outages (event ledger)'!$H$2:$H$65,'Outages (event ledger)'!$A$2:$A$65,BB$2,'Outages (event ledger)'!$E$2:$E$65,"&lt;="&amp;$B116,'Outages (event ledger)'!$G$2:$G$65,"&gt;="&amp;$B116)</f>
        <v>0</v>
      </c>
      <c r="BC116" s="29" t="n">
        <f aca="false">SUMIFS('Outages (event ledger)'!$H$2:$H$65,'Outages (event ledger)'!$A$2:$A$65,BC$2,'Outages (event ledger)'!$E$2:$E$65,"&lt;="&amp;$B116,'Outages (event ledger)'!$G$2:$G$65,"&gt;="&amp;$B116)</f>
        <v>0</v>
      </c>
      <c r="BD116" s="29" t="n">
        <f aca="false">SUMIFS('Outages (event ledger)'!$H$2:$H$65,'Outages (event ledger)'!$A$2:$A$65,BD$2,'Outages (event ledger)'!$E$2:$E$65,"&lt;="&amp;$B116,'Outages (event ledger)'!$G$2:$G$65,"&gt;="&amp;$B116)</f>
        <v>0</v>
      </c>
      <c r="BE116" s="29" t="n">
        <f aca="false">SUMIFS('Outages (event ledger)'!$H$2:$H$65,'Outages (event ledger)'!$A$2:$A$65,BE$2,'Outages (event ledger)'!$E$2:$E$65,"&lt;="&amp;$B116,'Outages (event ledger)'!$G$2:$G$65,"&gt;="&amp;$B116)</f>
        <v>0</v>
      </c>
      <c r="BF116" s="29" t="n">
        <f aca="false">SUMIFS('Outages (event ledger)'!$H$2:$H$65,'Outages (event ledger)'!$A$2:$A$65,BF$2,'Outages (event ledger)'!$E$2:$E$65,"&lt;="&amp;$B116,'Outages (event ledger)'!$G$2:$G$65,"&gt;="&amp;$B116)</f>
        <v>0</v>
      </c>
      <c r="BG116" s="29" t="n">
        <f aca="false">SUMIFS('Outages (event ledger)'!$H$2:$H$65,'Outages (event ledger)'!$A$2:$A$65,BG$2,'Outages (event ledger)'!$E$2:$E$65,"&lt;="&amp;$B116,'Outages (event ledger)'!$G$2:$G$65,"&gt;="&amp;$B116)</f>
        <v>0</v>
      </c>
      <c r="BH116" s="29" t="n">
        <f aca="false">SUMIFS('Outages (event ledger)'!$H$2:$H$65,'Outages (event ledger)'!$A$2:$A$65,BH$2,'Outages (event ledger)'!$E$2:$E$65,"&lt;="&amp;$B116,'Outages (event ledger)'!$G$2:$G$65,"&gt;="&amp;$B116)</f>
        <v>0</v>
      </c>
      <c r="BI116" s="29" t="n">
        <f aca="false">SUMIFS('Outages (event ledger)'!$H$2:$H$65,'Outages (event ledger)'!$A$2:$A$65,BI$2,'Outages (event ledger)'!$E$2:$E$65,"&lt;="&amp;$B116,'Outages (event ledger)'!$G$2:$G$65,"&gt;="&amp;$B116)</f>
        <v>6.7</v>
      </c>
    </row>
    <row r="117" customFormat="false" ht="15" hidden="false" customHeight="false" outlineLevel="0" collapsed="false">
      <c r="A117" s="27" t="n">
        <v>43647</v>
      </c>
      <c r="B117" s="28" t="n">
        <v>201907</v>
      </c>
      <c r="C117" s="25" t="n">
        <f aca="false">SUM(D117:BI117)</f>
        <v>20.2</v>
      </c>
      <c r="D117" s="29" t="n">
        <f aca="false">SUMIFS('Outages (event ledger)'!$H$2:$H$65,'Outages (event ledger)'!$A$2:$A$65,D$2,'Outages (event ledger)'!$E$2:$E$65,"&lt;="&amp;$B117,'Outages (event ledger)'!$G$2:$G$65,"&gt;="&amp;$B117)</f>
        <v>0</v>
      </c>
      <c r="E117" s="29" t="n">
        <f aca="false">SUMIFS('Outages (event ledger)'!$H$2:$H$65,'Outages (event ledger)'!$A$2:$A$65,E$2,'Outages (event ledger)'!$E$2:$E$65,"&lt;="&amp;$B117,'Outages (event ledger)'!$G$2:$G$65,"&gt;="&amp;$B117)</f>
        <v>0</v>
      </c>
      <c r="F117" s="29" t="n">
        <f aca="false">SUMIFS('Outages (event ledger)'!$H$2:$H$65,'Outages (event ledger)'!$A$2:$A$65,F$2,'Outages (event ledger)'!$E$2:$E$65,"&lt;="&amp;$B117,'Outages (event ledger)'!$G$2:$G$65,"&gt;="&amp;$B117)</f>
        <v>0</v>
      </c>
      <c r="G117" s="29" t="n">
        <f aca="false">SUMIFS('Outages (event ledger)'!$H$2:$H$65,'Outages (event ledger)'!$A$2:$A$65,G$2,'Outages (event ledger)'!$E$2:$E$65,"&lt;="&amp;$B117,'Outages (event ledger)'!$G$2:$G$65,"&gt;="&amp;$B117)</f>
        <v>0</v>
      </c>
      <c r="H117" s="29" t="n">
        <f aca="false">SUMIFS('Outages (event ledger)'!$H$2:$H$65,'Outages (event ledger)'!$A$2:$A$65,H$2,'Outages (event ledger)'!$E$2:$E$65,"&lt;="&amp;$B117,'Outages (event ledger)'!$G$2:$G$65,"&gt;="&amp;$B117)</f>
        <v>0</v>
      </c>
      <c r="I117" s="29" t="n">
        <f aca="false">SUMIFS('Outages (event ledger)'!$H$2:$H$65,'Outages (event ledger)'!$A$2:$A$65,I$2,'Outages (event ledger)'!$E$2:$E$65,"&lt;="&amp;$B117,'Outages (event ledger)'!$G$2:$G$65,"&gt;="&amp;$B117)</f>
        <v>0</v>
      </c>
      <c r="J117" s="29" t="n">
        <f aca="false">SUMIFS('Outages (event ledger)'!$H$2:$H$65,'Outages (event ledger)'!$A$2:$A$65,J$2,'Outages (event ledger)'!$E$2:$E$65,"&lt;="&amp;$B117,'Outages (event ledger)'!$G$2:$G$65,"&gt;="&amp;$B117)</f>
        <v>0</v>
      </c>
      <c r="K117" s="29" t="n">
        <f aca="false">SUMIFS('Outages (event ledger)'!$H$2:$H$65,'Outages (event ledger)'!$A$2:$A$65,K$2,'Outages (event ledger)'!$E$2:$E$65,"&lt;="&amp;$B117,'Outages (event ledger)'!$G$2:$G$65,"&gt;="&amp;$B117)</f>
        <v>0</v>
      </c>
      <c r="L117" s="29" t="n">
        <f aca="false">SUMIFS('Outages (event ledger)'!$H$2:$H$65,'Outages (event ledger)'!$A$2:$A$65,L$2,'Outages (event ledger)'!$E$2:$E$65,"&lt;="&amp;$B117,'Outages (event ledger)'!$G$2:$G$65,"&gt;="&amp;$B117)</f>
        <v>0</v>
      </c>
      <c r="M117" s="29" t="n">
        <f aca="false">SUMIFS('Outages (event ledger)'!$H$2:$H$65,'Outages (event ledger)'!$A$2:$A$65,M$2,'Outages (event ledger)'!$E$2:$E$65,"&lt;="&amp;$B117,'Outages (event ledger)'!$G$2:$G$65,"&gt;="&amp;$B117)</f>
        <v>0</v>
      </c>
      <c r="N117" s="29" t="n">
        <f aca="false">SUMIFS('Outages (event ledger)'!$H$2:$H$65,'Outages (event ledger)'!$A$2:$A$65,N$2,'Outages (event ledger)'!$E$2:$E$65,"&lt;="&amp;$B117,'Outages (event ledger)'!$G$2:$G$65,"&gt;="&amp;$B117)</f>
        <v>0</v>
      </c>
      <c r="O117" s="29" t="n">
        <f aca="false">SUMIFS('Outages (event ledger)'!$H$2:$H$65,'Outages (event ledger)'!$A$2:$A$65,O$2,'Outages (event ledger)'!$E$2:$E$65,"&lt;="&amp;$B117,'Outages (event ledger)'!$G$2:$G$65,"&gt;="&amp;$B117)</f>
        <v>0</v>
      </c>
      <c r="P117" s="29" t="n">
        <f aca="false">SUMIFS('Outages (event ledger)'!$H$2:$H$65,'Outages (event ledger)'!$A$2:$A$65,P$2,'Outages (event ledger)'!$E$2:$E$65,"&lt;="&amp;$B117,'Outages (event ledger)'!$G$2:$G$65,"&gt;="&amp;$B117)</f>
        <v>0</v>
      </c>
      <c r="Q117" s="29" t="n">
        <f aca="false">SUMIFS('Outages (event ledger)'!$H$2:$H$65,'Outages (event ledger)'!$A$2:$A$65,Q$2,'Outages (event ledger)'!$E$2:$E$65,"&lt;="&amp;$B117,'Outages (event ledger)'!$G$2:$G$65,"&gt;="&amp;$B117)</f>
        <v>0</v>
      </c>
      <c r="R117" s="29" t="n">
        <f aca="false">SUMIFS('Outages (event ledger)'!$H$2:$H$65,'Outages (event ledger)'!$A$2:$A$65,R$2,'Outages (event ledger)'!$E$2:$E$65,"&lt;="&amp;$B117,'Outages (event ledger)'!$G$2:$G$65,"&gt;="&amp;$B117)</f>
        <v>0</v>
      </c>
      <c r="S117" s="29" t="n">
        <f aca="false">SUMIFS('Outages (event ledger)'!$H$2:$H$65,'Outages (event ledger)'!$A$2:$A$65,S$2,'Outages (event ledger)'!$E$2:$E$65,"&lt;="&amp;$B117,'Outages (event ledger)'!$G$2:$G$65,"&gt;="&amp;$B117)</f>
        <v>0</v>
      </c>
      <c r="T117" s="29" t="n">
        <f aca="false">SUMIFS('Outages (event ledger)'!$H$2:$H$65,'Outages (event ledger)'!$A$2:$A$65,T$2,'Outages (event ledger)'!$E$2:$E$65,"&lt;="&amp;$B117,'Outages (event ledger)'!$G$2:$G$65,"&gt;="&amp;$B117)</f>
        <v>0</v>
      </c>
      <c r="U117" s="29" t="n">
        <f aca="false">SUMIFS('Outages (event ledger)'!$H$2:$H$65,'Outages (event ledger)'!$A$2:$A$65,U$2,'Outages (event ledger)'!$E$2:$E$65,"&lt;="&amp;$B117,'Outages (event ledger)'!$G$2:$G$65,"&gt;="&amp;$B117)</f>
        <v>0</v>
      </c>
      <c r="V117" s="29" t="n">
        <f aca="false">SUMIFS('Outages (event ledger)'!$H$2:$H$65,'Outages (event ledger)'!$A$2:$A$65,V$2,'Outages (event ledger)'!$E$2:$E$65,"&lt;="&amp;$B117,'Outages (event ledger)'!$G$2:$G$65,"&gt;="&amp;$B117)</f>
        <v>0</v>
      </c>
      <c r="W117" s="29" t="n">
        <f aca="false">SUMIFS('Outages (event ledger)'!$H$2:$H$65,'Outages (event ledger)'!$A$2:$A$65,W$2,'Outages (event ledger)'!$E$2:$E$65,"&lt;="&amp;$B117,'Outages (event ledger)'!$G$2:$G$65,"&gt;="&amp;$B117)</f>
        <v>0</v>
      </c>
      <c r="X117" s="29" t="n">
        <f aca="false">SUMIFS('Outages (event ledger)'!$H$2:$H$65,'Outages (event ledger)'!$A$2:$A$65,X$2,'Outages (event ledger)'!$E$2:$E$65,"&lt;="&amp;$B117,'Outages (event ledger)'!$G$2:$G$65,"&gt;="&amp;$B117)</f>
        <v>0</v>
      </c>
      <c r="Y117" s="29" t="n">
        <f aca="false">SUMIFS('Outages (event ledger)'!$H$2:$H$65,'Outages (event ledger)'!$A$2:$A$65,Y$2,'Outages (event ledger)'!$E$2:$E$65,"&lt;="&amp;$B117,'Outages (event ledger)'!$G$2:$G$65,"&gt;="&amp;$B117)</f>
        <v>5</v>
      </c>
      <c r="Z117" s="29" t="n">
        <f aca="false">SUMIFS('Outages (event ledger)'!$H$2:$H$65,'Outages (event ledger)'!$A$2:$A$65,Z$2,'Outages (event ledger)'!$E$2:$E$65,"&lt;="&amp;$B117,'Outages (event ledger)'!$G$2:$G$65,"&gt;="&amp;$B117)</f>
        <v>0</v>
      </c>
      <c r="AA117" s="29" t="n">
        <f aca="false">SUMIFS('Outages (event ledger)'!$H$2:$H$65,'Outages (event ledger)'!$A$2:$A$65,AA$2,'Outages (event ledger)'!$E$2:$E$65,"&lt;="&amp;$B117,'Outages (event ledger)'!$G$2:$G$65,"&gt;="&amp;$B117)</f>
        <v>0</v>
      </c>
      <c r="AB117" s="29" t="n">
        <f aca="false">SUMIFS('Outages (event ledger)'!$H$2:$H$65,'Outages (event ledger)'!$A$2:$A$65,AB$2,'Outages (event ledger)'!$E$2:$E$65,"&lt;="&amp;$B117,'Outages (event ledger)'!$G$2:$G$65,"&gt;="&amp;$B117)</f>
        <v>8</v>
      </c>
      <c r="AC117" s="29" t="n">
        <f aca="false">SUMIFS('Outages (event ledger)'!$H$2:$H$65,'Outages (event ledger)'!$A$2:$A$65,AC$2,'Outages (event ledger)'!$E$2:$E$65,"&lt;="&amp;$B117,'Outages (event ledger)'!$G$2:$G$65,"&gt;="&amp;$B117)</f>
        <v>0</v>
      </c>
      <c r="AD117" s="29" t="n">
        <f aca="false">SUMIFS('Outages (event ledger)'!$H$2:$H$65,'Outages (event ledger)'!$A$2:$A$65,AD$2,'Outages (event ledger)'!$E$2:$E$65,"&lt;="&amp;$B117,'Outages (event ledger)'!$G$2:$G$65,"&gt;="&amp;$B117)</f>
        <v>0</v>
      </c>
      <c r="AE117" s="29" t="n">
        <f aca="false">SUMIFS('Outages (event ledger)'!$H$2:$H$65,'Outages (event ledger)'!$A$2:$A$65,AE$2,'Outages (event ledger)'!$E$2:$E$65,"&lt;="&amp;$B117,'Outages (event ledger)'!$G$2:$G$65,"&gt;="&amp;$B117)</f>
        <v>0</v>
      </c>
      <c r="AF117" s="29" t="n">
        <f aca="false">SUMIFS('Outages (event ledger)'!$H$2:$H$65,'Outages (event ledger)'!$A$2:$A$65,AF$2,'Outages (event ledger)'!$E$2:$E$65,"&lt;="&amp;$B117,'Outages (event ledger)'!$G$2:$G$65,"&gt;="&amp;$B117)</f>
        <v>0</v>
      </c>
      <c r="AG117" s="29" t="n">
        <f aca="false">SUMIFS('Outages (event ledger)'!$H$2:$H$65,'Outages (event ledger)'!$A$2:$A$65,AG$2,'Outages (event ledger)'!$E$2:$E$65,"&lt;="&amp;$B117,'Outages (event ledger)'!$G$2:$G$65,"&gt;="&amp;$B117)</f>
        <v>0</v>
      </c>
      <c r="AH117" s="29" t="n">
        <f aca="false">SUMIFS('Outages (event ledger)'!$H$2:$H$65,'Outages (event ledger)'!$A$2:$A$65,AH$2,'Outages (event ledger)'!$E$2:$E$65,"&lt;="&amp;$B117,'Outages (event ledger)'!$G$2:$G$65,"&gt;="&amp;$B117)</f>
        <v>0</v>
      </c>
      <c r="AI117" s="29" t="n">
        <f aca="false">SUMIFS('Outages (event ledger)'!$H$2:$H$65,'Outages (event ledger)'!$A$2:$A$65,AI$2,'Outages (event ledger)'!$E$2:$E$65,"&lt;="&amp;$B117,'Outages (event ledger)'!$G$2:$G$65,"&gt;="&amp;$B117)</f>
        <v>0</v>
      </c>
      <c r="AJ117" s="29" t="n">
        <f aca="false">SUMIFS('Outages (event ledger)'!$H$2:$H$65,'Outages (event ledger)'!$A$2:$A$65,AJ$2,'Outages (event ledger)'!$E$2:$E$65,"&lt;="&amp;$B117,'Outages (event ledger)'!$G$2:$G$65,"&gt;="&amp;$B117)</f>
        <v>0</v>
      </c>
      <c r="AK117" s="29" t="n">
        <f aca="false">SUMIFS('Outages (event ledger)'!$H$2:$H$65,'Outages (event ledger)'!$A$2:$A$65,AK$2,'Outages (event ledger)'!$E$2:$E$65,"&lt;="&amp;$B117,'Outages (event ledger)'!$G$2:$G$65,"&gt;="&amp;$B117)</f>
        <v>0</v>
      </c>
      <c r="AL117" s="29" t="n">
        <f aca="false">SUMIFS('Outages (event ledger)'!$H$2:$H$65,'Outages (event ledger)'!$A$2:$A$65,AL$2,'Outages (event ledger)'!$E$2:$E$65,"&lt;="&amp;$B117,'Outages (event ledger)'!$G$2:$G$65,"&gt;="&amp;$B117)</f>
        <v>0</v>
      </c>
      <c r="AM117" s="29" t="n">
        <f aca="false">SUMIFS('Outages (event ledger)'!$H$2:$H$65,'Outages (event ledger)'!$A$2:$A$65,AM$2,'Outages (event ledger)'!$E$2:$E$65,"&lt;="&amp;$B117,'Outages (event ledger)'!$G$2:$G$65,"&gt;="&amp;$B117)</f>
        <v>0</v>
      </c>
      <c r="AN117" s="29" t="n">
        <f aca="false">SUMIFS('Outages (event ledger)'!$H$2:$H$65,'Outages (event ledger)'!$A$2:$A$65,AN$2,'Outages (event ledger)'!$E$2:$E$65,"&lt;="&amp;$B117,'Outages (event ledger)'!$G$2:$G$65,"&gt;="&amp;$B117)</f>
        <v>0</v>
      </c>
      <c r="AO117" s="29" t="n">
        <f aca="false">SUMIFS('Outages (event ledger)'!$H$2:$H$65,'Outages (event ledger)'!$A$2:$A$65,AO$2,'Outages (event ledger)'!$E$2:$E$65,"&lt;="&amp;$B117,'Outages (event ledger)'!$G$2:$G$65,"&gt;="&amp;$B117)</f>
        <v>0</v>
      </c>
      <c r="AP117" s="29" t="n">
        <f aca="false">SUMIFS('Outages (event ledger)'!$H$2:$H$65,'Outages (event ledger)'!$A$2:$A$65,AP$2,'Outages (event ledger)'!$E$2:$E$65,"&lt;="&amp;$B117,'Outages (event ledger)'!$G$2:$G$65,"&gt;="&amp;$B117)</f>
        <v>0</v>
      </c>
      <c r="AQ117" s="29" t="n">
        <f aca="false">SUMIFS('Outages (event ledger)'!$H$2:$H$65,'Outages (event ledger)'!$A$2:$A$65,AQ$2,'Outages (event ledger)'!$E$2:$E$65,"&lt;="&amp;$B117,'Outages (event ledger)'!$G$2:$G$65,"&gt;="&amp;$B117)</f>
        <v>0</v>
      </c>
      <c r="AR117" s="29" t="n">
        <f aca="false">SUMIFS('Outages (event ledger)'!$H$2:$H$65,'Outages (event ledger)'!$A$2:$A$65,AR$2,'Outages (event ledger)'!$E$2:$E$65,"&lt;="&amp;$B117,'Outages (event ledger)'!$G$2:$G$65,"&gt;="&amp;$B117)</f>
        <v>0</v>
      </c>
      <c r="AS117" s="29" t="n">
        <f aca="false">SUMIFS('Outages (event ledger)'!$H$2:$H$65,'Outages (event ledger)'!$A$2:$A$65,AS$2,'Outages (event ledger)'!$E$2:$E$65,"&lt;="&amp;$B117,'Outages (event ledger)'!$G$2:$G$65,"&gt;="&amp;$B117)</f>
        <v>0</v>
      </c>
      <c r="AT117" s="29" t="n">
        <f aca="false">SUMIFS('Outages (event ledger)'!$H$2:$H$65,'Outages (event ledger)'!$A$2:$A$65,AT$2,'Outages (event ledger)'!$E$2:$E$65,"&lt;="&amp;$B117,'Outages (event ledger)'!$G$2:$G$65,"&gt;="&amp;$B117)</f>
        <v>0</v>
      </c>
      <c r="AU117" s="29" t="n">
        <f aca="false">SUMIFS('Outages (event ledger)'!$H$2:$H$65,'Outages (event ledger)'!$A$2:$A$65,AU$2,'Outages (event ledger)'!$E$2:$E$65,"&lt;="&amp;$B117,'Outages (event ledger)'!$G$2:$G$65,"&gt;="&amp;$B117)</f>
        <v>0</v>
      </c>
      <c r="AV117" s="29" t="n">
        <f aca="false">SUMIFS('Outages (event ledger)'!$H$2:$H$65,'Outages (event ledger)'!$A$2:$A$65,AV$2,'Outages (event ledger)'!$E$2:$E$65,"&lt;="&amp;$B117,'Outages (event ledger)'!$G$2:$G$65,"&gt;="&amp;$B117)</f>
        <v>0</v>
      </c>
      <c r="AW117" s="29" t="n">
        <f aca="false">SUMIFS('Outages (event ledger)'!$H$2:$H$65,'Outages (event ledger)'!$A$2:$A$65,AW$2,'Outages (event ledger)'!$E$2:$E$65,"&lt;="&amp;$B117,'Outages (event ledger)'!$G$2:$G$65,"&gt;="&amp;$B117)</f>
        <v>0.5</v>
      </c>
      <c r="AX117" s="29" t="n">
        <f aca="false">SUMIFS('Outages (event ledger)'!$H$2:$H$65,'Outages (event ledger)'!$A$2:$A$65,AX$2,'Outages (event ledger)'!$E$2:$E$65,"&lt;="&amp;$B117,'Outages (event ledger)'!$G$2:$G$65,"&gt;="&amp;$B117)</f>
        <v>0</v>
      </c>
      <c r="AY117" s="29" t="n">
        <f aca="false">SUMIFS('Outages (event ledger)'!$H$2:$H$65,'Outages (event ledger)'!$A$2:$A$65,AY$2,'Outages (event ledger)'!$E$2:$E$65,"&lt;="&amp;$B117,'Outages (event ledger)'!$G$2:$G$65,"&gt;="&amp;$B117)</f>
        <v>0</v>
      </c>
      <c r="AZ117" s="29" t="n">
        <f aca="false">SUMIFS('Outages (event ledger)'!$H$2:$H$65,'Outages (event ledger)'!$A$2:$A$65,AZ$2,'Outages (event ledger)'!$E$2:$E$65,"&lt;="&amp;$B117,'Outages (event ledger)'!$G$2:$G$65,"&gt;="&amp;$B117)</f>
        <v>0</v>
      </c>
      <c r="BA117" s="29" t="n">
        <f aca="false">SUMIFS('Outages (event ledger)'!$H$2:$H$65,'Outages (event ledger)'!$A$2:$A$65,BA$2,'Outages (event ledger)'!$E$2:$E$65,"&lt;="&amp;$B117,'Outages (event ledger)'!$G$2:$G$65,"&gt;="&amp;$B117)</f>
        <v>0</v>
      </c>
      <c r="BB117" s="29" t="n">
        <f aca="false">SUMIFS('Outages (event ledger)'!$H$2:$H$65,'Outages (event ledger)'!$A$2:$A$65,BB$2,'Outages (event ledger)'!$E$2:$E$65,"&lt;="&amp;$B117,'Outages (event ledger)'!$G$2:$G$65,"&gt;="&amp;$B117)</f>
        <v>0</v>
      </c>
      <c r="BC117" s="29" t="n">
        <f aca="false">SUMIFS('Outages (event ledger)'!$H$2:$H$65,'Outages (event ledger)'!$A$2:$A$65,BC$2,'Outages (event ledger)'!$E$2:$E$65,"&lt;="&amp;$B117,'Outages (event ledger)'!$G$2:$G$65,"&gt;="&amp;$B117)</f>
        <v>0</v>
      </c>
      <c r="BD117" s="29" t="n">
        <f aca="false">SUMIFS('Outages (event ledger)'!$H$2:$H$65,'Outages (event ledger)'!$A$2:$A$65,BD$2,'Outages (event ledger)'!$E$2:$E$65,"&lt;="&amp;$B117,'Outages (event ledger)'!$G$2:$G$65,"&gt;="&amp;$B117)</f>
        <v>0</v>
      </c>
      <c r="BE117" s="29" t="n">
        <f aca="false">SUMIFS('Outages (event ledger)'!$H$2:$H$65,'Outages (event ledger)'!$A$2:$A$65,BE$2,'Outages (event ledger)'!$E$2:$E$65,"&lt;="&amp;$B117,'Outages (event ledger)'!$G$2:$G$65,"&gt;="&amp;$B117)</f>
        <v>0</v>
      </c>
      <c r="BF117" s="29" t="n">
        <f aca="false">SUMIFS('Outages (event ledger)'!$H$2:$H$65,'Outages (event ledger)'!$A$2:$A$65,BF$2,'Outages (event ledger)'!$E$2:$E$65,"&lt;="&amp;$B117,'Outages (event ledger)'!$G$2:$G$65,"&gt;="&amp;$B117)</f>
        <v>0</v>
      </c>
      <c r="BG117" s="29" t="n">
        <f aca="false">SUMIFS('Outages (event ledger)'!$H$2:$H$65,'Outages (event ledger)'!$A$2:$A$65,BG$2,'Outages (event ledger)'!$E$2:$E$65,"&lt;="&amp;$B117,'Outages (event ledger)'!$G$2:$G$65,"&gt;="&amp;$B117)</f>
        <v>0</v>
      </c>
      <c r="BH117" s="29" t="n">
        <f aca="false">SUMIFS('Outages (event ledger)'!$H$2:$H$65,'Outages (event ledger)'!$A$2:$A$65,BH$2,'Outages (event ledger)'!$E$2:$E$65,"&lt;="&amp;$B117,'Outages (event ledger)'!$G$2:$G$65,"&gt;="&amp;$B117)</f>
        <v>0</v>
      </c>
      <c r="BI117" s="29" t="n">
        <f aca="false">SUMIFS('Outages (event ledger)'!$H$2:$H$65,'Outages (event ledger)'!$A$2:$A$65,BI$2,'Outages (event ledger)'!$E$2:$E$65,"&lt;="&amp;$B117,'Outages (event ledger)'!$G$2:$G$65,"&gt;="&amp;$B117)</f>
        <v>6.7</v>
      </c>
    </row>
    <row r="118" customFormat="false" ht="15" hidden="false" customHeight="false" outlineLevel="0" collapsed="false">
      <c r="A118" s="27" t="n">
        <v>43678</v>
      </c>
      <c r="B118" s="28" t="n">
        <v>201908</v>
      </c>
      <c r="C118" s="25" t="n">
        <f aca="false">SUM(D118:BI118)</f>
        <v>20.2</v>
      </c>
      <c r="D118" s="29" t="n">
        <f aca="false">SUMIFS('Outages (event ledger)'!$H$2:$H$65,'Outages (event ledger)'!$A$2:$A$65,D$2,'Outages (event ledger)'!$E$2:$E$65,"&lt;="&amp;$B118,'Outages (event ledger)'!$G$2:$G$65,"&gt;="&amp;$B118)</f>
        <v>0</v>
      </c>
      <c r="E118" s="29" t="n">
        <f aca="false">SUMIFS('Outages (event ledger)'!$H$2:$H$65,'Outages (event ledger)'!$A$2:$A$65,E$2,'Outages (event ledger)'!$E$2:$E$65,"&lt;="&amp;$B118,'Outages (event ledger)'!$G$2:$G$65,"&gt;="&amp;$B118)</f>
        <v>0</v>
      </c>
      <c r="F118" s="29" t="n">
        <f aca="false">SUMIFS('Outages (event ledger)'!$H$2:$H$65,'Outages (event ledger)'!$A$2:$A$65,F$2,'Outages (event ledger)'!$E$2:$E$65,"&lt;="&amp;$B118,'Outages (event ledger)'!$G$2:$G$65,"&gt;="&amp;$B118)</f>
        <v>0</v>
      </c>
      <c r="G118" s="29" t="n">
        <f aca="false">SUMIFS('Outages (event ledger)'!$H$2:$H$65,'Outages (event ledger)'!$A$2:$A$65,G$2,'Outages (event ledger)'!$E$2:$E$65,"&lt;="&amp;$B118,'Outages (event ledger)'!$G$2:$G$65,"&gt;="&amp;$B118)</f>
        <v>0</v>
      </c>
      <c r="H118" s="29" t="n">
        <f aca="false">SUMIFS('Outages (event ledger)'!$H$2:$H$65,'Outages (event ledger)'!$A$2:$A$65,H$2,'Outages (event ledger)'!$E$2:$E$65,"&lt;="&amp;$B118,'Outages (event ledger)'!$G$2:$G$65,"&gt;="&amp;$B118)</f>
        <v>0</v>
      </c>
      <c r="I118" s="29" t="n">
        <f aca="false">SUMIFS('Outages (event ledger)'!$H$2:$H$65,'Outages (event ledger)'!$A$2:$A$65,I$2,'Outages (event ledger)'!$E$2:$E$65,"&lt;="&amp;$B118,'Outages (event ledger)'!$G$2:$G$65,"&gt;="&amp;$B118)</f>
        <v>0</v>
      </c>
      <c r="J118" s="29" t="n">
        <f aca="false">SUMIFS('Outages (event ledger)'!$H$2:$H$65,'Outages (event ledger)'!$A$2:$A$65,J$2,'Outages (event ledger)'!$E$2:$E$65,"&lt;="&amp;$B118,'Outages (event ledger)'!$G$2:$G$65,"&gt;="&amp;$B118)</f>
        <v>0</v>
      </c>
      <c r="K118" s="29" t="n">
        <f aca="false">SUMIFS('Outages (event ledger)'!$H$2:$H$65,'Outages (event ledger)'!$A$2:$A$65,K$2,'Outages (event ledger)'!$E$2:$E$65,"&lt;="&amp;$B118,'Outages (event ledger)'!$G$2:$G$65,"&gt;="&amp;$B118)</f>
        <v>0</v>
      </c>
      <c r="L118" s="29" t="n">
        <f aca="false">SUMIFS('Outages (event ledger)'!$H$2:$H$65,'Outages (event ledger)'!$A$2:$A$65,L$2,'Outages (event ledger)'!$E$2:$E$65,"&lt;="&amp;$B118,'Outages (event ledger)'!$G$2:$G$65,"&gt;="&amp;$B118)</f>
        <v>0</v>
      </c>
      <c r="M118" s="29" t="n">
        <f aca="false">SUMIFS('Outages (event ledger)'!$H$2:$H$65,'Outages (event ledger)'!$A$2:$A$65,M$2,'Outages (event ledger)'!$E$2:$E$65,"&lt;="&amp;$B118,'Outages (event ledger)'!$G$2:$G$65,"&gt;="&amp;$B118)</f>
        <v>0</v>
      </c>
      <c r="N118" s="29" t="n">
        <f aca="false">SUMIFS('Outages (event ledger)'!$H$2:$H$65,'Outages (event ledger)'!$A$2:$A$65,N$2,'Outages (event ledger)'!$E$2:$E$65,"&lt;="&amp;$B118,'Outages (event ledger)'!$G$2:$G$65,"&gt;="&amp;$B118)</f>
        <v>0</v>
      </c>
      <c r="O118" s="29" t="n">
        <f aca="false">SUMIFS('Outages (event ledger)'!$H$2:$H$65,'Outages (event ledger)'!$A$2:$A$65,O$2,'Outages (event ledger)'!$E$2:$E$65,"&lt;="&amp;$B118,'Outages (event ledger)'!$G$2:$G$65,"&gt;="&amp;$B118)</f>
        <v>0</v>
      </c>
      <c r="P118" s="29" t="n">
        <f aca="false">SUMIFS('Outages (event ledger)'!$H$2:$H$65,'Outages (event ledger)'!$A$2:$A$65,P$2,'Outages (event ledger)'!$E$2:$E$65,"&lt;="&amp;$B118,'Outages (event ledger)'!$G$2:$G$65,"&gt;="&amp;$B118)</f>
        <v>0</v>
      </c>
      <c r="Q118" s="29" t="n">
        <f aca="false">SUMIFS('Outages (event ledger)'!$H$2:$H$65,'Outages (event ledger)'!$A$2:$A$65,Q$2,'Outages (event ledger)'!$E$2:$E$65,"&lt;="&amp;$B118,'Outages (event ledger)'!$G$2:$G$65,"&gt;="&amp;$B118)</f>
        <v>0</v>
      </c>
      <c r="R118" s="29" t="n">
        <f aca="false">SUMIFS('Outages (event ledger)'!$H$2:$H$65,'Outages (event ledger)'!$A$2:$A$65,R$2,'Outages (event ledger)'!$E$2:$E$65,"&lt;="&amp;$B118,'Outages (event ledger)'!$G$2:$G$65,"&gt;="&amp;$B118)</f>
        <v>0</v>
      </c>
      <c r="S118" s="29" t="n">
        <f aca="false">SUMIFS('Outages (event ledger)'!$H$2:$H$65,'Outages (event ledger)'!$A$2:$A$65,S$2,'Outages (event ledger)'!$E$2:$E$65,"&lt;="&amp;$B118,'Outages (event ledger)'!$G$2:$G$65,"&gt;="&amp;$B118)</f>
        <v>0</v>
      </c>
      <c r="T118" s="29" t="n">
        <f aca="false">SUMIFS('Outages (event ledger)'!$H$2:$H$65,'Outages (event ledger)'!$A$2:$A$65,T$2,'Outages (event ledger)'!$E$2:$E$65,"&lt;="&amp;$B118,'Outages (event ledger)'!$G$2:$G$65,"&gt;="&amp;$B118)</f>
        <v>0</v>
      </c>
      <c r="U118" s="29" t="n">
        <f aca="false">SUMIFS('Outages (event ledger)'!$H$2:$H$65,'Outages (event ledger)'!$A$2:$A$65,U$2,'Outages (event ledger)'!$E$2:$E$65,"&lt;="&amp;$B118,'Outages (event ledger)'!$G$2:$G$65,"&gt;="&amp;$B118)</f>
        <v>0</v>
      </c>
      <c r="V118" s="29" t="n">
        <f aca="false">SUMIFS('Outages (event ledger)'!$H$2:$H$65,'Outages (event ledger)'!$A$2:$A$65,V$2,'Outages (event ledger)'!$E$2:$E$65,"&lt;="&amp;$B118,'Outages (event ledger)'!$G$2:$G$65,"&gt;="&amp;$B118)</f>
        <v>0</v>
      </c>
      <c r="W118" s="29" t="n">
        <f aca="false">SUMIFS('Outages (event ledger)'!$H$2:$H$65,'Outages (event ledger)'!$A$2:$A$65,W$2,'Outages (event ledger)'!$E$2:$E$65,"&lt;="&amp;$B118,'Outages (event ledger)'!$G$2:$G$65,"&gt;="&amp;$B118)</f>
        <v>0</v>
      </c>
      <c r="X118" s="29" t="n">
        <f aca="false">SUMIFS('Outages (event ledger)'!$H$2:$H$65,'Outages (event ledger)'!$A$2:$A$65,X$2,'Outages (event ledger)'!$E$2:$E$65,"&lt;="&amp;$B118,'Outages (event ledger)'!$G$2:$G$65,"&gt;="&amp;$B118)</f>
        <v>0</v>
      </c>
      <c r="Y118" s="29" t="n">
        <f aca="false">SUMIFS('Outages (event ledger)'!$H$2:$H$65,'Outages (event ledger)'!$A$2:$A$65,Y$2,'Outages (event ledger)'!$E$2:$E$65,"&lt;="&amp;$B118,'Outages (event ledger)'!$G$2:$G$65,"&gt;="&amp;$B118)</f>
        <v>5</v>
      </c>
      <c r="Z118" s="29" t="n">
        <f aca="false">SUMIFS('Outages (event ledger)'!$H$2:$H$65,'Outages (event ledger)'!$A$2:$A$65,Z$2,'Outages (event ledger)'!$E$2:$E$65,"&lt;="&amp;$B118,'Outages (event ledger)'!$G$2:$G$65,"&gt;="&amp;$B118)</f>
        <v>0</v>
      </c>
      <c r="AA118" s="29" t="n">
        <f aca="false">SUMIFS('Outages (event ledger)'!$H$2:$H$65,'Outages (event ledger)'!$A$2:$A$65,AA$2,'Outages (event ledger)'!$E$2:$E$65,"&lt;="&amp;$B118,'Outages (event ledger)'!$G$2:$G$65,"&gt;="&amp;$B118)</f>
        <v>0</v>
      </c>
      <c r="AB118" s="29" t="n">
        <f aca="false">SUMIFS('Outages (event ledger)'!$H$2:$H$65,'Outages (event ledger)'!$A$2:$A$65,AB$2,'Outages (event ledger)'!$E$2:$E$65,"&lt;="&amp;$B118,'Outages (event ledger)'!$G$2:$G$65,"&gt;="&amp;$B118)</f>
        <v>8</v>
      </c>
      <c r="AC118" s="29" t="n">
        <f aca="false">SUMIFS('Outages (event ledger)'!$H$2:$H$65,'Outages (event ledger)'!$A$2:$A$65,AC$2,'Outages (event ledger)'!$E$2:$E$65,"&lt;="&amp;$B118,'Outages (event ledger)'!$G$2:$G$65,"&gt;="&amp;$B118)</f>
        <v>0</v>
      </c>
      <c r="AD118" s="29" t="n">
        <f aca="false">SUMIFS('Outages (event ledger)'!$H$2:$H$65,'Outages (event ledger)'!$A$2:$A$65,AD$2,'Outages (event ledger)'!$E$2:$E$65,"&lt;="&amp;$B118,'Outages (event ledger)'!$G$2:$G$65,"&gt;="&amp;$B118)</f>
        <v>0</v>
      </c>
      <c r="AE118" s="29" t="n">
        <f aca="false">SUMIFS('Outages (event ledger)'!$H$2:$H$65,'Outages (event ledger)'!$A$2:$A$65,AE$2,'Outages (event ledger)'!$E$2:$E$65,"&lt;="&amp;$B118,'Outages (event ledger)'!$G$2:$G$65,"&gt;="&amp;$B118)</f>
        <v>0</v>
      </c>
      <c r="AF118" s="29" t="n">
        <f aca="false">SUMIFS('Outages (event ledger)'!$H$2:$H$65,'Outages (event ledger)'!$A$2:$A$65,AF$2,'Outages (event ledger)'!$E$2:$E$65,"&lt;="&amp;$B118,'Outages (event ledger)'!$G$2:$G$65,"&gt;="&amp;$B118)</f>
        <v>0</v>
      </c>
      <c r="AG118" s="29" t="n">
        <f aca="false">SUMIFS('Outages (event ledger)'!$H$2:$H$65,'Outages (event ledger)'!$A$2:$A$65,AG$2,'Outages (event ledger)'!$E$2:$E$65,"&lt;="&amp;$B118,'Outages (event ledger)'!$G$2:$G$65,"&gt;="&amp;$B118)</f>
        <v>0</v>
      </c>
      <c r="AH118" s="29" t="n">
        <f aca="false">SUMIFS('Outages (event ledger)'!$H$2:$H$65,'Outages (event ledger)'!$A$2:$A$65,AH$2,'Outages (event ledger)'!$E$2:$E$65,"&lt;="&amp;$B118,'Outages (event ledger)'!$G$2:$G$65,"&gt;="&amp;$B118)</f>
        <v>0</v>
      </c>
      <c r="AI118" s="29" t="n">
        <f aca="false">SUMIFS('Outages (event ledger)'!$H$2:$H$65,'Outages (event ledger)'!$A$2:$A$65,AI$2,'Outages (event ledger)'!$E$2:$E$65,"&lt;="&amp;$B118,'Outages (event ledger)'!$G$2:$G$65,"&gt;="&amp;$B118)</f>
        <v>0</v>
      </c>
      <c r="AJ118" s="29" t="n">
        <f aca="false">SUMIFS('Outages (event ledger)'!$H$2:$H$65,'Outages (event ledger)'!$A$2:$A$65,AJ$2,'Outages (event ledger)'!$E$2:$E$65,"&lt;="&amp;$B118,'Outages (event ledger)'!$G$2:$G$65,"&gt;="&amp;$B118)</f>
        <v>0</v>
      </c>
      <c r="AK118" s="29" t="n">
        <f aca="false">SUMIFS('Outages (event ledger)'!$H$2:$H$65,'Outages (event ledger)'!$A$2:$A$65,AK$2,'Outages (event ledger)'!$E$2:$E$65,"&lt;="&amp;$B118,'Outages (event ledger)'!$G$2:$G$65,"&gt;="&amp;$B118)</f>
        <v>0</v>
      </c>
      <c r="AL118" s="29" t="n">
        <f aca="false">SUMIFS('Outages (event ledger)'!$H$2:$H$65,'Outages (event ledger)'!$A$2:$A$65,AL$2,'Outages (event ledger)'!$E$2:$E$65,"&lt;="&amp;$B118,'Outages (event ledger)'!$G$2:$G$65,"&gt;="&amp;$B118)</f>
        <v>0</v>
      </c>
      <c r="AM118" s="29" t="n">
        <f aca="false">SUMIFS('Outages (event ledger)'!$H$2:$H$65,'Outages (event ledger)'!$A$2:$A$65,AM$2,'Outages (event ledger)'!$E$2:$E$65,"&lt;="&amp;$B118,'Outages (event ledger)'!$G$2:$G$65,"&gt;="&amp;$B118)</f>
        <v>0</v>
      </c>
      <c r="AN118" s="29" t="n">
        <f aca="false">SUMIFS('Outages (event ledger)'!$H$2:$H$65,'Outages (event ledger)'!$A$2:$A$65,AN$2,'Outages (event ledger)'!$E$2:$E$65,"&lt;="&amp;$B118,'Outages (event ledger)'!$G$2:$G$65,"&gt;="&amp;$B118)</f>
        <v>0</v>
      </c>
      <c r="AO118" s="29" t="n">
        <f aca="false">SUMIFS('Outages (event ledger)'!$H$2:$H$65,'Outages (event ledger)'!$A$2:$A$65,AO$2,'Outages (event ledger)'!$E$2:$E$65,"&lt;="&amp;$B118,'Outages (event ledger)'!$G$2:$G$65,"&gt;="&amp;$B118)</f>
        <v>0</v>
      </c>
      <c r="AP118" s="29" t="n">
        <f aca="false">SUMIFS('Outages (event ledger)'!$H$2:$H$65,'Outages (event ledger)'!$A$2:$A$65,AP$2,'Outages (event ledger)'!$E$2:$E$65,"&lt;="&amp;$B118,'Outages (event ledger)'!$G$2:$G$65,"&gt;="&amp;$B118)</f>
        <v>0</v>
      </c>
      <c r="AQ118" s="29" t="n">
        <f aca="false">SUMIFS('Outages (event ledger)'!$H$2:$H$65,'Outages (event ledger)'!$A$2:$A$65,AQ$2,'Outages (event ledger)'!$E$2:$E$65,"&lt;="&amp;$B118,'Outages (event ledger)'!$G$2:$G$65,"&gt;="&amp;$B118)</f>
        <v>0</v>
      </c>
      <c r="AR118" s="29" t="n">
        <f aca="false">SUMIFS('Outages (event ledger)'!$H$2:$H$65,'Outages (event ledger)'!$A$2:$A$65,AR$2,'Outages (event ledger)'!$E$2:$E$65,"&lt;="&amp;$B118,'Outages (event ledger)'!$G$2:$G$65,"&gt;="&amp;$B118)</f>
        <v>0</v>
      </c>
      <c r="AS118" s="29" t="n">
        <f aca="false">SUMIFS('Outages (event ledger)'!$H$2:$H$65,'Outages (event ledger)'!$A$2:$A$65,AS$2,'Outages (event ledger)'!$E$2:$E$65,"&lt;="&amp;$B118,'Outages (event ledger)'!$G$2:$G$65,"&gt;="&amp;$B118)</f>
        <v>0</v>
      </c>
      <c r="AT118" s="29" t="n">
        <f aca="false">SUMIFS('Outages (event ledger)'!$H$2:$H$65,'Outages (event ledger)'!$A$2:$A$65,AT$2,'Outages (event ledger)'!$E$2:$E$65,"&lt;="&amp;$B118,'Outages (event ledger)'!$G$2:$G$65,"&gt;="&amp;$B118)</f>
        <v>0</v>
      </c>
      <c r="AU118" s="29" t="n">
        <f aca="false">SUMIFS('Outages (event ledger)'!$H$2:$H$65,'Outages (event ledger)'!$A$2:$A$65,AU$2,'Outages (event ledger)'!$E$2:$E$65,"&lt;="&amp;$B118,'Outages (event ledger)'!$G$2:$G$65,"&gt;="&amp;$B118)</f>
        <v>0</v>
      </c>
      <c r="AV118" s="29" t="n">
        <f aca="false">SUMIFS('Outages (event ledger)'!$H$2:$H$65,'Outages (event ledger)'!$A$2:$A$65,AV$2,'Outages (event ledger)'!$E$2:$E$65,"&lt;="&amp;$B118,'Outages (event ledger)'!$G$2:$G$65,"&gt;="&amp;$B118)</f>
        <v>0</v>
      </c>
      <c r="AW118" s="29" t="n">
        <f aca="false">SUMIFS('Outages (event ledger)'!$H$2:$H$65,'Outages (event ledger)'!$A$2:$A$65,AW$2,'Outages (event ledger)'!$E$2:$E$65,"&lt;="&amp;$B118,'Outages (event ledger)'!$G$2:$G$65,"&gt;="&amp;$B118)</f>
        <v>0.5</v>
      </c>
      <c r="AX118" s="29" t="n">
        <f aca="false">SUMIFS('Outages (event ledger)'!$H$2:$H$65,'Outages (event ledger)'!$A$2:$A$65,AX$2,'Outages (event ledger)'!$E$2:$E$65,"&lt;="&amp;$B118,'Outages (event ledger)'!$G$2:$G$65,"&gt;="&amp;$B118)</f>
        <v>0</v>
      </c>
      <c r="AY118" s="29" t="n">
        <f aca="false">SUMIFS('Outages (event ledger)'!$H$2:$H$65,'Outages (event ledger)'!$A$2:$A$65,AY$2,'Outages (event ledger)'!$E$2:$E$65,"&lt;="&amp;$B118,'Outages (event ledger)'!$G$2:$G$65,"&gt;="&amp;$B118)</f>
        <v>0</v>
      </c>
      <c r="AZ118" s="29" t="n">
        <f aca="false">SUMIFS('Outages (event ledger)'!$H$2:$H$65,'Outages (event ledger)'!$A$2:$A$65,AZ$2,'Outages (event ledger)'!$E$2:$E$65,"&lt;="&amp;$B118,'Outages (event ledger)'!$G$2:$G$65,"&gt;="&amp;$B118)</f>
        <v>0</v>
      </c>
      <c r="BA118" s="29" t="n">
        <f aca="false">SUMIFS('Outages (event ledger)'!$H$2:$H$65,'Outages (event ledger)'!$A$2:$A$65,BA$2,'Outages (event ledger)'!$E$2:$E$65,"&lt;="&amp;$B118,'Outages (event ledger)'!$G$2:$G$65,"&gt;="&amp;$B118)</f>
        <v>0</v>
      </c>
      <c r="BB118" s="29" t="n">
        <f aca="false">SUMIFS('Outages (event ledger)'!$H$2:$H$65,'Outages (event ledger)'!$A$2:$A$65,BB$2,'Outages (event ledger)'!$E$2:$E$65,"&lt;="&amp;$B118,'Outages (event ledger)'!$G$2:$G$65,"&gt;="&amp;$B118)</f>
        <v>0</v>
      </c>
      <c r="BC118" s="29" t="n">
        <f aca="false">SUMIFS('Outages (event ledger)'!$H$2:$H$65,'Outages (event ledger)'!$A$2:$A$65,BC$2,'Outages (event ledger)'!$E$2:$E$65,"&lt;="&amp;$B118,'Outages (event ledger)'!$G$2:$G$65,"&gt;="&amp;$B118)</f>
        <v>0</v>
      </c>
      <c r="BD118" s="29" t="n">
        <f aca="false">SUMIFS('Outages (event ledger)'!$H$2:$H$65,'Outages (event ledger)'!$A$2:$A$65,BD$2,'Outages (event ledger)'!$E$2:$E$65,"&lt;="&amp;$B118,'Outages (event ledger)'!$G$2:$G$65,"&gt;="&amp;$B118)</f>
        <v>0</v>
      </c>
      <c r="BE118" s="29" t="n">
        <f aca="false">SUMIFS('Outages (event ledger)'!$H$2:$H$65,'Outages (event ledger)'!$A$2:$A$65,BE$2,'Outages (event ledger)'!$E$2:$E$65,"&lt;="&amp;$B118,'Outages (event ledger)'!$G$2:$G$65,"&gt;="&amp;$B118)</f>
        <v>0</v>
      </c>
      <c r="BF118" s="29" t="n">
        <f aca="false">SUMIFS('Outages (event ledger)'!$H$2:$H$65,'Outages (event ledger)'!$A$2:$A$65,BF$2,'Outages (event ledger)'!$E$2:$E$65,"&lt;="&amp;$B118,'Outages (event ledger)'!$G$2:$G$65,"&gt;="&amp;$B118)</f>
        <v>0</v>
      </c>
      <c r="BG118" s="29" t="n">
        <f aca="false">SUMIFS('Outages (event ledger)'!$H$2:$H$65,'Outages (event ledger)'!$A$2:$A$65,BG$2,'Outages (event ledger)'!$E$2:$E$65,"&lt;="&amp;$B118,'Outages (event ledger)'!$G$2:$G$65,"&gt;="&amp;$B118)</f>
        <v>0</v>
      </c>
      <c r="BH118" s="29" t="n">
        <f aca="false">SUMIFS('Outages (event ledger)'!$H$2:$H$65,'Outages (event ledger)'!$A$2:$A$65,BH$2,'Outages (event ledger)'!$E$2:$E$65,"&lt;="&amp;$B118,'Outages (event ledger)'!$G$2:$G$65,"&gt;="&amp;$B118)</f>
        <v>0</v>
      </c>
      <c r="BI118" s="29" t="n">
        <f aca="false">SUMIFS('Outages (event ledger)'!$H$2:$H$65,'Outages (event ledger)'!$A$2:$A$65,BI$2,'Outages (event ledger)'!$E$2:$E$65,"&lt;="&amp;$B118,'Outages (event ledger)'!$G$2:$G$65,"&gt;="&amp;$B118)</f>
        <v>6.7</v>
      </c>
    </row>
    <row r="119" customFormat="false" ht="15" hidden="false" customHeight="false" outlineLevel="0" collapsed="false">
      <c r="A119" s="27" t="n">
        <v>43709</v>
      </c>
      <c r="B119" s="28" t="n">
        <v>201909</v>
      </c>
      <c r="C119" s="25" t="n">
        <f aca="false">SUM(D119:BI119)</f>
        <v>20.2</v>
      </c>
      <c r="D119" s="29" t="n">
        <f aca="false">SUMIFS('Outages (event ledger)'!$H$2:$H$65,'Outages (event ledger)'!$A$2:$A$65,D$2,'Outages (event ledger)'!$E$2:$E$65,"&lt;="&amp;$B119,'Outages (event ledger)'!$G$2:$G$65,"&gt;="&amp;$B119)</f>
        <v>0</v>
      </c>
      <c r="E119" s="29" t="n">
        <f aca="false">SUMIFS('Outages (event ledger)'!$H$2:$H$65,'Outages (event ledger)'!$A$2:$A$65,E$2,'Outages (event ledger)'!$E$2:$E$65,"&lt;="&amp;$B119,'Outages (event ledger)'!$G$2:$G$65,"&gt;="&amp;$B119)</f>
        <v>0</v>
      </c>
      <c r="F119" s="29" t="n">
        <f aca="false">SUMIFS('Outages (event ledger)'!$H$2:$H$65,'Outages (event ledger)'!$A$2:$A$65,F$2,'Outages (event ledger)'!$E$2:$E$65,"&lt;="&amp;$B119,'Outages (event ledger)'!$G$2:$G$65,"&gt;="&amp;$B119)</f>
        <v>0</v>
      </c>
      <c r="G119" s="29" t="n">
        <f aca="false">SUMIFS('Outages (event ledger)'!$H$2:$H$65,'Outages (event ledger)'!$A$2:$A$65,G$2,'Outages (event ledger)'!$E$2:$E$65,"&lt;="&amp;$B119,'Outages (event ledger)'!$G$2:$G$65,"&gt;="&amp;$B119)</f>
        <v>0</v>
      </c>
      <c r="H119" s="29" t="n">
        <f aca="false">SUMIFS('Outages (event ledger)'!$H$2:$H$65,'Outages (event ledger)'!$A$2:$A$65,H$2,'Outages (event ledger)'!$E$2:$E$65,"&lt;="&amp;$B119,'Outages (event ledger)'!$G$2:$G$65,"&gt;="&amp;$B119)</f>
        <v>0</v>
      </c>
      <c r="I119" s="29" t="n">
        <f aca="false">SUMIFS('Outages (event ledger)'!$H$2:$H$65,'Outages (event ledger)'!$A$2:$A$65,I$2,'Outages (event ledger)'!$E$2:$E$65,"&lt;="&amp;$B119,'Outages (event ledger)'!$G$2:$G$65,"&gt;="&amp;$B119)</f>
        <v>0</v>
      </c>
      <c r="J119" s="29" t="n">
        <f aca="false">SUMIFS('Outages (event ledger)'!$H$2:$H$65,'Outages (event ledger)'!$A$2:$A$65,J$2,'Outages (event ledger)'!$E$2:$E$65,"&lt;="&amp;$B119,'Outages (event ledger)'!$G$2:$G$65,"&gt;="&amp;$B119)</f>
        <v>0</v>
      </c>
      <c r="K119" s="29" t="n">
        <f aca="false">SUMIFS('Outages (event ledger)'!$H$2:$H$65,'Outages (event ledger)'!$A$2:$A$65,K$2,'Outages (event ledger)'!$E$2:$E$65,"&lt;="&amp;$B119,'Outages (event ledger)'!$G$2:$G$65,"&gt;="&amp;$B119)</f>
        <v>0</v>
      </c>
      <c r="L119" s="29" t="n">
        <f aca="false">SUMIFS('Outages (event ledger)'!$H$2:$H$65,'Outages (event ledger)'!$A$2:$A$65,L$2,'Outages (event ledger)'!$E$2:$E$65,"&lt;="&amp;$B119,'Outages (event ledger)'!$G$2:$G$65,"&gt;="&amp;$B119)</f>
        <v>0</v>
      </c>
      <c r="M119" s="29" t="n">
        <f aca="false">SUMIFS('Outages (event ledger)'!$H$2:$H$65,'Outages (event ledger)'!$A$2:$A$65,M$2,'Outages (event ledger)'!$E$2:$E$65,"&lt;="&amp;$B119,'Outages (event ledger)'!$G$2:$G$65,"&gt;="&amp;$B119)</f>
        <v>0</v>
      </c>
      <c r="N119" s="29" t="n">
        <f aca="false">SUMIFS('Outages (event ledger)'!$H$2:$H$65,'Outages (event ledger)'!$A$2:$A$65,N$2,'Outages (event ledger)'!$E$2:$E$65,"&lt;="&amp;$B119,'Outages (event ledger)'!$G$2:$G$65,"&gt;="&amp;$B119)</f>
        <v>0</v>
      </c>
      <c r="O119" s="29" t="n">
        <f aca="false">SUMIFS('Outages (event ledger)'!$H$2:$H$65,'Outages (event ledger)'!$A$2:$A$65,O$2,'Outages (event ledger)'!$E$2:$E$65,"&lt;="&amp;$B119,'Outages (event ledger)'!$G$2:$G$65,"&gt;="&amp;$B119)</f>
        <v>0</v>
      </c>
      <c r="P119" s="29" t="n">
        <f aca="false">SUMIFS('Outages (event ledger)'!$H$2:$H$65,'Outages (event ledger)'!$A$2:$A$65,P$2,'Outages (event ledger)'!$E$2:$E$65,"&lt;="&amp;$B119,'Outages (event ledger)'!$G$2:$G$65,"&gt;="&amp;$B119)</f>
        <v>0</v>
      </c>
      <c r="Q119" s="29" t="n">
        <f aca="false">SUMIFS('Outages (event ledger)'!$H$2:$H$65,'Outages (event ledger)'!$A$2:$A$65,Q$2,'Outages (event ledger)'!$E$2:$E$65,"&lt;="&amp;$B119,'Outages (event ledger)'!$G$2:$G$65,"&gt;="&amp;$B119)</f>
        <v>0</v>
      </c>
      <c r="R119" s="29" t="n">
        <f aca="false">SUMIFS('Outages (event ledger)'!$H$2:$H$65,'Outages (event ledger)'!$A$2:$A$65,R$2,'Outages (event ledger)'!$E$2:$E$65,"&lt;="&amp;$B119,'Outages (event ledger)'!$G$2:$G$65,"&gt;="&amp;$B119)</f>
        <v>0</v>
      </c>
      <c r="S119" s="29" t="n">
        <f aca="false">SUMIFS('Outages (event ledger)'!$H$2:$H$65,'Outages (event ledger)'!$A$2:$A$65,S$2,'Outages (event ledger)'!$E$2:$E$65,"&lt;="&amp;$B119,'Outages (event ledger)'!$G$2:$G$65,"&gt;="&amp;$B119)</f>
        <v>0</v>
      </c>
      <c r="T119" s="29" t="n">
        <f aca="false">SUMIFS('Outages (event ledger)'!$H$2:$H$65,'Outages (event ledger)'!$A$2:$A$65,T$2,'Outages (event ledger)'!$E$2:$E$65,"&lt;="&amp;$B119,'Outages (event ledger)'!$G$2:$G$65,"&gt;="&amp;$B119)</f>
        <v>0</v>
      </c>
      <c r="U119" s="29" t="n">
        <f aca="false">SUMIFS('Outages (event ledger)'!$H$2:$H$65,'Outages (event ledger)'!$A$2:$A$65,U$2,'Outages (event ledger)'!$E$2:$E$65,"&lt;="&amp;$B119,'Outages (event ledger)'!$G$2:$G$65,"&gt;="&amp;$B119)</f>
        <v>0</v>
      </c>
      <c r="V119" s="29" t="n">
        <f aca="false">SUMIFS('Outages (event ledger)'!$H$2:$H$65,'Outages (event ledger)'!$A$2:$A$65,V$2,'Outages (event ledger)'!$E$2:$E$65,"&lt;="&amp;$B119,'Outages (event ledger)'!$G$2:$G$65,"&gt;="&amp;$B119)</f>
        <v>0</v>
      </c>
      <c r="W119" s="29" t="n">
        <f aca="false">SUMIFS('Outages (event ledger)'!$H$2:$H$65,'Outages (event ledger)'!$A$2:$A$65,W$2,'Outages (event ledger)'!$E$2:$E$65,"&lt;="&amp;$B119,'Outages (event ledger)'!$G$2:$G$65,"&gt;="&amp;$B119)</f>
        <v>0</v>
      </c>
      <c r="X119" s="29" t="n">
        <f aca="false">SUMIFS('Outages (event ledger)'!$H$2:$H$65,'Outages (event ledger)'!$A$2:$A$65,X$2,'Outages (event ledger)'!$E$2:$E$65,"&lt;="&amp;$B119,'Outages (event ledger)'!$G$2:$G$65,"&gt;="&amp;$B119)</f>
        <v>0</v>
      </c>
      <c r="Y119" s="29" t="n">
        <f aca="false">SUMIFS('Outages (event ledger)'!$H$2:$H$65,'Outages (event ledger)'!$A$2:$A$65,Y$2,'Outages (event ledger)'!$E$2:$E$65,"&lt;="&amp;$B119,'Outages (event ledger)'!$G$2:$G$65,"&gt;="&amp;$B119)</f>
        <v>5</v>
      </c>
      <c r="Z119" s="29" t="n">
        <f aca="false">SUMIFS('Outages (event ledger)'!$H$2:$H$65,'Outages (event ledger)'!$A$2:$A$65,Z$2,'Outages (event ledger)'!$E$2:$E$65,"&lt;="&amp;$B119,'Outages (event ledger)'!$G$2:$G$65,"&gt;="&amp;$B119)</f>
        <v>0</v>
      </c>
      <c r="AA119" s="29" t="n">
        <f aca="false">SUMIFS('Outages (event ledger)'!$H$2:$H$65,'Outages (event ledger)'!$A$2:$A$65,AA$2,'Outages (event ledger)'!$E$2:$E$65,"&lt;="&amp;$B119,'Outages (event ledger)'!$G$2:$G$65,"&gt;="&amp;$B119)</f>
        <v>0</v>
      </c>
      <c r="AB119" s="29" t="n">
        <f aca="false">SUMIFS('Outages (event ledger)'!$H$2:$H$65,'Outages (event ledger)'!$A$2:$A$65,AB$2,'Outages (event ledger)'!$E$2:$E$65,"&lt;="&amp;$B119,'Outages (event ledger)'!$G$2:$G$65,"&gt;="&amp;$B119)</f>
        <v>8</v>
      </c>
      <c r="AC119" s="29" t="n">
        <f aca="false">SUMIFS('Outages (event ledger)'!$H$2:$H$65,'Outages (event ledger)'!$A$2:$A$65,AC$2,'Outages (event ledger)'!$E$2:$E$65,"&lt;="&amp;$B119,'Outages (event ledger)'!$G$2:$G$65,"&gt;="&amp;$B119)</f>
        <v>0</v>
      </c>
      <c r="AD119" s="29" t="n">
        <f aca="false">SUMIFS('Outages (event ledger)'!$H$2:$H$65,'Outages (event ledger)'!$A$2:$A$65,AD$2,'Outages (event ledger)'!$E$2:$E$65,"&lt;="&amp;$B119,'Outages (event ledger)'!$G$2:$G$65,"&gt;="&amp;$B119)</f>
        <v>0</v>
      </c>
      <c r="AE119" s="29" t="n">
        <f aca="false">SUMIFS('Outages (event ledger)'!$H$2:$H$65,'Outages (event ledger)'!$A$2:$A$65,AE$2,'Outages (event ledger)'!$E$2:$E$65,"&lt;="&amp;$B119,'Outages (event ledger)'!$G$2:$G$65,"&gt;="&amp;$B119)</f>
        <v>0</v>
      </c>
      <c r="AF119" s="29" t="n">
        <f aca="false">SUMIFS('Outages (event ledger)'!$H$2:$H$65,'Outages (event ledger)'!$A$2:$A$65,AF$2,'Outages (event ledger)'!$E$2:$E$65,"&lt;="&amp;$B119,'Outages (event ledger)'!$G$2:$G$65,"&gt;="&amp;$B119)</f>
        <v>0</v>
      </c>
      <c r="AG119" s="29" t="n">
        <f aca="false">SUMIFS('Outages (event ledger)'!$H$2:$H$65,'Outages (event ledger)'!$A$2:$A$65,AG$2,'Outages (event ledger)'!$E$2:$E$65,"&lt;="&amp;$B119,'Outages (event ledger)'!$G$2:$G$65,"&gt;="&amp;$B119)</f>
        <v>0</v>
      </c>
      <c r="AH119" s="29" t="n">
        <f aca="false">SUMIFS('Outages (event ledger)'!$H$2:$H$65,'Outages (event ledger)'!$A$2:$A$65,AH$2,'Outages (event ledger)'!$E$2:$E$65,"&lt;="&amp;$B119,'Outages (event ledger)'!$G$2:$G$65,"&gt;="&amp;$B119)</f>
        <v>0</v>
      </c>
      <c r="AI119" s="29" t="n">
        <f aca="false">SUMIFS('Outages (event ledger)'!$H$2:$H$65,'Outages (event ledger)'!$A$2:$A$65,AI$2,'Outages (event ledger)'!$E$2:$E$65,"&lt;="&amp;$B119,'Outages (event ledger)'!$G$2:$G$65,"&gt;="&amp;$B119)</f>
        <v>0</v>
      </c>
      <c r="AJ119" s="29" t="n">
        <f aca="false">SUMIFS('Outages (event ledger)'!$H$2:$H$65,'Outages (event ledger)'!$A$2:$A$65,AJ$2,'Outages (event ledger)'!$E$2:$E$65,"&lt;="&amp;$B119,'Outages (event ledger)'!$G$2:$G$65,"&gt;="&amp;$B119)</f>
        <v>0</v>
      </c>
      <c r="AK119" s="29" t="n">
        <f aca="false">SUMIFS('Outages (event ledger)'!$H$2:$H$65,'Outages (event ledger)'!$A$2:$A$65,AK$2,'Outages (event ledger)'!$E$2:$E$65,"&lt;="&amp;$B119,'Outages (event ledger)'!$G$2:$G$65,"&gt;="&amp;$B119)</f>
        <v>0</v>
      </c>
      <c r="AL119" s="29" t="n">
        <f aca="false">SUMIFS('Outages (event ledger)'!$H$2:$H$65,'Outages (event ledger)'!$A$2:$A$65,AL$2,'Outages (event ledger)'!$E$2:$E$65,"&lt;="&amp;$B119,'Outages (event ledger)'!$G$2:$G$65,"&gt;="&amp;$B119)</f>
        <v>0</v>
      </c>
      <c r="AM119" s="29" t="n">
        <f aca="false">SUMIFS('Outages (event ledger)'!$H$2:$H$65,'Outages (event ledger)'!$A$2:$A$65,AM$2,'Outages (event ledger)'!$E$2:$E$65,"&lt;="&amp;$B119,'Outages (event ledger)'!$G$2:$G$65,"&gt;="&amp;$B119)</f>
        <v>0</v>
      </c>
      <c r="AN119" s="29" t="n">
        <f aca="false">SUMIFS('Outages (event ledger)'!$H$2:$H$65,'Outages (event ledger)'!$A$2:$A$65,AN$2,'Outages (event ledger)'!$E$2:$E$65,"&lt;="&amp;$B119,'Outages (event ledger)'!$G$2:$G$65,"&gt;="&amp;$B119)</f>
        <v>0</v>
      </c>
      <c r="AO119" s="29" t="n">
        <f aca="false">SUMIFS('Outages (event ledger)'!$H$2:$H$65,'Outages (event ledger)'!$A$2:$A$65,AO$2,'Outages (event ledger)'!$E$2:$E$65,"&lt;="&amp;$B119,'Outages (event ledger)'!$G$2:$G$65,"&gt;="&amp;$B119)</f>
        <v>0</v>
      </c>
      <c r="AP119" s="29" t="n">
        <f aca="false">SUMIFS('Outages (event ledger)'!$H$2:$H$65,'Outages (event ledger)'!$A$2:$A$65,AP$2,'Outages (event ledger)'!$E$2:$E$65,"&lt;="&amp;$B119,'Outages (event ledger)'!$G$2:$G$65,"&gt;="&amp;$B119)</f>
        <v>0</v>
      </c>
      <c r="AQ119" s="29" t="n">
        <f aca="false">SUMIFS('Outages (event ledger)'!$H$2:$H$65,'Outages (event ledger)'!$A$2:$A$65,AQ$2,'Outages (event ledger)'!$E$2:$E$65,"&lt;="&amp;$B119,'Outages (event ledger)'!$G$2:$G$65,"&gt;="&amp;$B119)</f>
        <v>0</v>
      </c>
      <c r="AR119" s="29" t="n">
        <f aca="false">SUMIFS('Outages (event ledger)'!$H$2:$H$65,'Outages (event ledger)'!$A$2:$A$65,AR$2,'Outages (event ledger)'!$E$2:$E$65,"&lt;="&amp;$B119,'Outages (event ledger)'!$G$2:$G$65,"&gt;="&amp;$B119)</f>
        <v>0</v>
      </c>
      <c r="AS119" s="29" t="n">
        <f aca="false">SUMIFS('Outages (event ledger)'!$H$2:$H$65,'Outages (event ledger)'!$A$2:$A$65,AS$2,'Outages (event ledger)'!$E$2:$E$65,"&lt;="&amp;$B119,'Outages (event ledger)'!$G$2:$G$65,"&gt;="&amp;$B119)</f>
        <v>0</v>
      </c>
      <c r="AT119" s="29" t="n">
        <f aca="false">SUMIFS('Outages (event ledger)'!$H$2:$H$65,'Outages (event ledger)'!$A$2:$A$65,AT$2,'Outages (event ledger)'!$E$2:$E$65,"&lt;="&amp;$B119,'Outages (event ledger)'!$G$2:$G$65,"&gt;="&amp;$B119)</f>
        <v>0</v>
      </c>
      <c r="AU119" s="29" t="n">
        <f aca="false">SUMIFS('Outages (event ledger)'!$H$2:$H$65,'Outages (event ledger)'!$A$2:$A$65,AU$2,'Outages (event ledger)'!$E$2:$E$65,"&lt;="&amp;$B119,'Outages (event ledger)'!$G$2:$G$65,"&gt;="&amp;$B119)</f>
        <v>0</v>
      </c>
      <c r="AV119" s="29" t="n">
        <f aca="false">SUMIFS('Outages (event ledger)'!$H$2:$H$65,'Outages (event ledger)'!$A$2:$A$65,AV$2,'Outages (event ledger)'!$E$2:$E$65,"&lt;="&amp;$B119,'Outages (event ledger)'!$G$2:$G$65,"&gt;="&amp;$B119)</f>
        <v>0</v>
      </c>
      <c r="AW119" s="29" t="n">
        <f aca="false">SUMIFS('Outages (event ledger)'!$H$2:$H$65,'Outages (event ledger)'!$A$2:$A$65,AW$2,'Outages (event ledger)'!$E$2:$E$65,"&lt;="&amp;$B119,'Outages (event ledger)'!$G$2:$G$65,"&gt;="&amp;$B119)</f>
        <v>0.5</v>
      </c>
      <c r="AX119" s="29" t="n">
        <f aca="false">SUMIFS('Outages (event ledger)'!$H$2:$H$65,'Outages (event ledger)'!$A$2:$A$65,AX$2,'Outages (event ledger)'!$E$2:$E$65,"&lt;="&amp;$B119,'Outages (event ledger)'!$G$2:$G$65,"&gt;="&amp;$B119)</f>
        <v>0</v>
      </c>
      <c r="AY119" s="29" t="n">
        <f aca="false">SUMIFS('Outages (event ledger)'!$H$2:$H$65,'Outages (event ledger)'!$A$2:$A$65,AY$2,'Outages (event ledger)'!$E$2:$E$65,"&lt;="&amp;$B119,'Outages (event ledger)'!$G$2:$G$65,"&gt;="&amp;$B119)</f>
        <v>0</v>
      </c>
      <c r="AZ119" s="29" t="n">
        <f aca="false">SUMIFS('Outages (event ledger)'!$H$2:$H$65,'Outages (event ledger)'!$A$2:$A$65,AZ$2,'Outages (event ledger)'!$E$2:$E$65,"&lt;="&amp;$B119,'Outages (event ledger)'!$G$2:$G$65,"&gt;="&amp;$B119)</f>
        <v>0</v>
      </c>
      <c r="BA119" s="29" t="n">
        <f aca="false">SUMIFS('Outages (event ledger)'!$H$2:$H$65,'Outages (event ledger)'!$A$2:$A$65,BA$2,'Outages (event ledger)'!$E$2:$E$65,"&lt;="&amp;$B119,'Outages (event ledger)'!$G$2:$G$65,"&gt;="&amp;$B119)</f>
        <v>0</v>
      </c>
      <c r="BB119" s="29" t="n">
        <f aca="false">SUMIFS('Outages (event ledger)'!$H$2:$H$65,'Outages (event ledger)'!$A$2:$A$65,BB$2,'Outages (event ledger)'!$E$2:$E$65,"&lt;="&amp;$B119,'Outages (event ledger)'!$G$2:$G$65,"&gt;="&amp;$B119)</f>
        <v>0</v>
      </c>
      <c r="BC119" s="29" t="n">
        <f aca="false">SUMIFS('Outages (event ledger)'!$H$2:$H$65,'Outages (event ledger)'!$A$2:$A$65,BC$2,'Outages (event ledger)'!$E$2:$E$65,"&lt;="&amp;$B119,'Outages (event ledger)'!$G$2:$G$65,"&gt;="&amp;$B119)</f>
        <v>0</v>
      </c>
      <c r="BD119" s="29" t="n">
        <f aca="false">SUMIFS('Outages (event ledger)'!$H$2:$H$65,'Outages (event ledger)'!$A$2:$A$65,BD$2,'Outages (event ledger)'!$E$2:$E$65,"&lt;="&amp;$B119,'Outages (event ledger)'!$G$2:$G$65,"&gt;="&amp;$B119)</f>
        <v>0</v>
      </c>
      <c r="BE119" s="29" t="n">
        <f aca="false">SUMIFS('Outages (event ledger)'!$H$2:$H$65,'Outages (event ledger)'!$A$2:$A$65,BE$2,'Outages (event ledger)'!$E$2:$E$65,"&lt;="&amp;$B119,'Outages (event ledger)'!$G$2:$G$65,"&gt;="&amp;$B119)</f>
        <v>0</v>
      </c>
      <c r="BF119" s="29" t="n">
        <f aca="false">SUMIFS('Outages (event ledger)'!$H$2:$H$65,'Outages (event ledger)'!$A$2:$A$65,BF$2,'Outages (event ledger)'!$E$2:$E$65,"&lt;="&amp;$B119,'Outages (event ledger)'!$G$2:$G$65,"&gt;="&amp;$B119)</f>
        <v>0</v>
      </c>
      <c r="BG119" s="29" t="n">
        <f aca="false">SUMIFS('Outages (event ledger)'!$H$2:$H$65,'Outages (event ledger)'!$A$2:$A$65,BG$2,'Outages (event ledger)'!$E$2:$E$65,"&lt;="&amp;$B119,'Outages (event ledger)'!$G$2:$G$65,"&gt;="&amp;$B119)</f>
        <v>0</v>
      </c>
      <c r="BH119" s="29" t="n">
        <f aca="false">SUMIFS('Outages (event ledger)'!$H$2:$H$65,'Outages (event ledger)'!$A$2:$A$65,BH$2,'Outages (event ledger)'!$E$2:$E$65,"&lt;="&amp;$B119,'Outages (event ledger)'!$G$2:$G$65,"&gt;="&amp;$B119)</f>
        <v>0</v>
      </c>
      <c r="BI119" s="29" t="n">
        <f aca="false">SUMIFS('Outages (event ledger)'!$H$2:$H$65,'Outages (event ledger)'!$A$2:$A$65,BI$2,'Outages (event ledger)'!$E$2:$E$65,"&lt;="&amp;$B119,'Outages (event ledger)'!$G$2:$G$65,"&gt;="&amp;$B119)</f>
        <v>6.7</v>
      </c>
    </row>
    <row r="120" customFormat="false" ht="15" hidden="false" customHeight="false" outlineLevel="0" collapsed="false">
      <c r="A120" s="27" t="n">
        <v>43739</v>
      </c>
      <c r="B120" s="28" t="n">
        <v>201910</v>
      </c>
      <c r="C120" s="25" t="n">
        <f aca="false">SUM(D120:BI120)</f>
        <v>20.2</v>
      </c>
      <c r="D120" s="29" t="n">
        <f aca="false">SUMIFS('Outages (event ledger)'!$H$2:$H$65,'Outages (event ledger)'!$A$2:$A$65,D$2,'Outages (event ledger)'!$E$2:$E$65,"&lt;="&amp;$B120,'Outages (event ledger)'!$G$2:$G$65,"&gt;="&amp;$B120)</f>
        <v>0</v>
      </c>
      <c r="E120" s="29" t="n">
        <f aca="false">SUMIFS('Outages (event ledger)'!$H$2:$H$65,'Outages (event ledger)'!$A$2:$A$65,E$2,'Outages (event ledger)'!$E$2:$E$65,"&lt;="&amp;$B120,'Outages (event ledger)'!$G$2:$G$65,"&gt;="&amp;$B120)</f>
        <v>0</v>
      </c>
      <c r="F120" s="29" t="n">
        <f aca="false">SUMIFS('Outages (event ledger)'!$H$2:$H$65,'Outages (event ledger)'!$A$2:$A$65,F$2,'Outages (event ledger)'!$E$2:$E$65,"&lt;="&amp;$B120,'Outages (event ledger)'!$G$2:$G$65,"&gt;="&amp;$B120)</f>
        <v>0</v>
      </c>
      <c r="G120" s="29" t="n">
        <f aca="false">SUMIFS('Outages (event ledger)'!$H$2:$H$65,'Outages (event ledger)'!$A$2:$A$65,G$2,'Outages (event ledger)'!$E$2:$E$65,"&lt;="&amp;$B120,'Outages (event ledger)'!$G$2:$G$65,"&gt;="&amp;$B120)</f>
        <v>0</v>
      </c>
      <c r="H120" s="29" t="n">
        <f aca="false">SUMIFS('Outages (event ledger)'!$H$2:$H$65,'Outages (event ledger)'!$A$2:$A$65,H$2,'Outages (event ledger)'!$E$2:$E$65,"&lt;="&amp;$B120,'Outages (event ledger)'!$G$2:$G$65,"&gt;="&amp;$B120)</f>
        <v>0</v>
      </c>
      <c r="I120" s="29" t="n">
        <f aca="false">SUMIFS('Outages (event ledger)'!$H$2:$H$65,'Outages (event ledger)'!$A$2:$A$65,I$2,'Outages (event ledger)'!$E$2:$E$65,"&lt;="&amp;$B120,'Outages (event ledger)'!$G$2:$G$65,"&gt;="&amp;$B120)</f>
        <v>0</v>
      </c>
      <c r="J120" s="29" t="n">
        <f aca="false">SUMIFS('Outages (event ledger)'!$H$2:$H$65,'Outages (event ledger)'!$A$2:$A$65,J$2,'Outages (event ledger)'!$E$2:$E$65,"&lt;="&amp;$B120,'Outages (event ledger)'!$G$2:$G$65,"&gt;="&amp;$B120)</f>
        <v>0</v>
      </c>
      <c r="K120" s="29" t="n">
        <f aca="false">SUMIFS('Outages (event ledger)'!$H$2:$H$65,'Outages (event ledger)'!$A$2:$A$65,K$2,'Outages (event ledger)'!$E$2:$E$65,"&lt;="&amp;$B120,'Outages (event ledger)'!$G$2:$G$65,"&gt;="&amp;$B120)</f>
        <v>0</v>
      </c>
      <c r="L120" s="29" t="n">
        <f aca="false">SUMIFS('Outages (event ledger)'!$H$2:$H$65,'Outages (event ledger)'!$A$2:$A$65,L$2,'Outages (event ledger)'!$E$2:$E$65,"&lt;="&amp;$B120,'Outages (event ledger)'!$G$2:$G$65,"&gt;="&amp;$B120)</f>
        <v>0</v>
      </c>
      <c r="M120" s="29" t="n">
        <f aca="false">SUMIFS('Outages (event ledger)'!$H$2:$H$65,'Outages (event ledger)'!$A$2:$A$65,M$2,'Outages (event ledger)'!$E$2:$E$65,"&lt;="&amp;$B120,'Outages (event ledger)'!$G$2:$G$65,"&gt;="&amp;$B120)</f>
        <v>0</v>
      </c>
      <c r="N120" s="29" t="n">
        <f aca="false">SUMIFS('Outages (event ledger)'!$H$2:$H$65,'Outages (event ledger)'!$A$2:$A$65,N$2,'Outages (event ledger)'!$E$2:$E$65,"&lt;="&amp;$B120,'Outages (event ledger)'!$G$2:$G$65,"&gt;="&amp;$B120)</f>
        <v>0</v>
      </c>
      <c r="O120" s="29" t="n">
        <f aca="false">SUMIFS('Outages (event ledger)'!$H$2:$H$65,'Outages (event ledger)'!$A$2:$A$65,O$2,'Outages (event ledger)'!$E$2:$E$65,"&lt;="&amp;$B120,'Outages (event ledger)'!$G$2:$G$65,"&gt;="&amp;$B120)</f>
        <v>0</v>
      </c>
      <c r="P120" s="29" t="n">
        <f aca="false">SUMIFS('Outages (event ledger)'!$H$2:$H$65,'Outages (event ledger)'!$A$2:$A$65,P$2,'Outages (event ledger)'!$E$2:$E$65,"&lt;="&amp;$B120,'Outages (event ledger)'!$G$2:$G$65,"&gt;="&amp;$B120)</f>
        <v>0</v>
      </c>
      <c r="Q120" s="29" t="n">
        <f aca="false">SUMIFS('Outages (event ledger)'!$H$2:$H$65,'Outages (event ledger)'!$A$2:$A$65,Q$2,'Outages (event ledger)'!$E$2:$E$65,"&lt;="&amp;$B120,'Outages (event ledger)'!$G$2:$G$65,"&gt;="&amp;$B120)</f>
        <v>0</v>
      </c>
      <c r="R120" s="29" t="n">
        <f aca="false">SUMIFS('Outages (event ledger)'!$H$2:$H$65,'Outages (event ledger)'!$A$2:$A$65,R$2,'Outages (event ledger)'!$E$2:$E$65,"&lt;="&amp;$B120,'Outages (event ledger)'!$G$2:$G$65,"&gt;="&amp;$B120)</f>
        <v>0</v>
      </c>
      <c r="S120" s="29" t="n">
        <f aca="false">SUMIFS('Outages (event ledger)'!$H$2:$H$65,'Outages (event ledger)'!$A$2:$A$65,S$2,'Outages (event ledger)'!$E$2:$E$65,"&lt;="&amp;$B120,'Outages (event ledger)'!$G$2:$G$65,"&gt;="&amp;$B120)</f>
        <v>0</v>
      </c>
      <c r="T120" s="29" t="n">
        <f aca="false">SUMIFS('Outages (event ledger)'!$H$2:$H$65,'Outages (event ledger)'!$A$2:$A$65,T$2,'Outages (event ledger)'!$E$2:$E$65,"&lt;="&amp;$B120,'Outages (event ledger)'!$G$2:$G$65,"&gt;="&amp;$B120)</f>
        <v>0</v>
      </c>
      <c r="U120" s="29" t="n">
        <f aca="false">SUMIFS('Outages (event ledger)'!$H$2:$H$65,'Outages (event ledger)'!$A$2:$A$65,U$2,'Outages (event ledger)'!$E$2:$E$65,"&lt;="&amp;$B120,'Outages (event ledger)'!$G$2:$G$65,"&gt;="&amp;$B120)</f>
        <v>0</v>
      </c>
      <c r="V120" s="29" t="n">
        <f aca="false">SUMIFS('Outages (event ledger)'!$H$2:$H$65,'Outages (event ledger)'!$A$2:$A$65,V$2,'Outages (event ledger)'!$E$2:$E$65,"&lt;="&amp;$B120,'Outages (event ledger)'!$G$2:$G$65,"&gt;="&amp;$B120)</f>
        <v>0</v>
      </c>
      <c r="W120" s="29" t="n">
        <f aca="false">SUMIFS('Outages (event ledger)'!$H$2:$H$65,'Outages (event ledger)'!$A$2:$A$65,W$2,'Outages (event ledger)'!$E$2:$E$65,"&lt;="&amp;$B120,'Outages (event ledger)'!$G$2:$G$65,"&gt;="&amp;$B120)</f>
        <v>0</v>
      </c>
      <c r="X120" s="29" t="n">
        <f aca="false">SUMIFS('Outages (event ledger)'!$H$2:$H$65,'Outages (event ledger)'!$A$2:$A$65,X$2,'Outages (event ledger)'!$E$2:$E$65,"&lt;="&amp;$B120,'Outages (event ledger)'!$G$2:$G$65,"&gt;="&amp;$B120)</f>
        <v>0</v>
      </c>
      <c r="Y120" s="29" t="n">
        <f aca="false">SUMIFS('Outages (event ledger)'!$H$2:$H$65,'Outages (event ledger)'!$A$2:$A$65,Y$2,'Outages (event ledger)'!$E$2:$E$65,"&lt;="&amp;$B120,'Outages (event ledger)'!$G$2:$G$65,"&gt;="&amp;$B120)</f>
        <v>5</v>
      </c>
      <c r="Z120" s="29" t="n">
        <f aca="false">SUMIFS('Outages (event ledger)'!$H$2:$H$65,'Outages (event ledger)'!$A$2:$A$65,Z$2,'Outages (event ledger)'!$E$2:$E$65,"&lt;="&amp;$B120,'Outages (event ledger)'!$G$2:$G$65,"&gt;="&amp;$B120)</f>
        <v>0</v>
      </c>
      <c r="AA120" s="29" t="n">
        <f aca="false">SUMIFS('Outages (event ledger)'!$H$2:$H$65,'Outages (event ledger)'!$A$2:$A$65,AA$2,'Outages (event ledger)'!$E$2:$E$65,"&lt;="&amp;$B120,'Outages (event ledger)'!$G$2:$G$65,"&gt;="&amp;$B120)</f>
        <v>0</v>
      </c>
      <c r="AB120" s="29" t="n">
        <f aca="false">SUMIFS('Outages (event ledger)'!$H$2:$H$65,'Outages (event ledger)'!$A$2:$A$65,AB$2,'Outages (event ledger)'!$E$2:$E$65,"&lt;="&amp;$B120,'Outages (event ledger)'!$G$2:$G$65,"&gt;="&amp;$B120)</f>
        <v>8</v>
      </c>
      <c r="AC120" s="29" t="n">
        <f aca="false">SUMIFS('Outages (event ledger)'!$H$2:$H$65,'Outages (event ledger)'!$A$2:$A$65,AC$2,'Outages (event ledger)'!$E$2:$E$65,"&lt;="&amp;$B120,'Outages (event ledger)'!$G$2:$G$65,"&gt;="&amp;$B120)</f>
        <v>0</v>
      </c>
      <c r="AD120" s="29" t="n">
        <f aca="false">SUMIFS('Outages (event ledger)'!$H$2:$H$65,'Outages (event ledger)'!$A$2:$A$65,AD$2,'Outages (event ledger)'!$E$2:$E$65,"&lt;="&amp;$B120,'Outages (event ledger)'!$G$2:$G$65,"&gt;="&amp;$B120)</f>
        <v>0</v>
      </c>
      <c r="AE120" s="29" t="n">
        <f aca="false">SUMIFS('Outages (event ledger)'!$H$2:$H$65,'Outages (event ledger)'!$A$2:$A$65,AE$2,'Outages (event ledger)'!$E$2:$E$65,"&lt;="&amp;$B120,'Outages (event ledger)'!$G$2:$G$65,"&gt;="&amp;$B120)</f>
        <v>0</v>
      </c>
      <c r="AF120" s="29" t="n">
        <f aca="false">SUMIFS('Outages (event ledger)'!$H$2:$H$65,'Outages (event ledger)'!$A$2:$A$65,AF$2,'Outages (event ledger)'!$E$2:$E$65,"&lt;="&amp;$B120,'Outages (event ledger)'!$G$2:$G$65,"&gt;="&amp;$B120)</f>
        <v>0</v>
      </c>
      <c r="AG120" s="29" t="n">
        <f aca="false">SUMIFS('Outages (event ledger)'!$H$2:$H$65,'Outages (event ledger)'!$A$2:$A$65,AG$2,'Outages (event ledger)'!$E$2:$E$65,"&lt;="&amp;$B120,'Outages (event ledger)'!$G$2:$G$65,"&gt;="&amp;$B120)</f>
        <v>0</v>
      </c>
      <c r="AH120" s="29" t="n">
        <f aca="false">SUMIFS('Outages (event ledger)'!$H$2:$H$65,'Outages (event ledger)'!$A$2:$A$65,AH$2,'Outages (event ledger)'!$E$2:$E$65,"&lt;="&amp;$B120,'Outages (event ledger)'!$G$2:$G$65,"&gt;="&amp;$B120)</f>
        <v>0</v>
      </c>
      <c r="AI120" s="29" t="n">
        <f aca="false">SUMIFS('Outages (event ledger)'!$H$2:$H$65,'Outages (event ledger)'!$A$2:$A$65,AI$2,'Outages (event ledger)'!$E$2:$E$65,"&lt;="&amp;$B120,'Outages (event ledger)'!$G$2:$G$65,"&gt;="&amp;$B120)</f>
        <v>0</v>
      </c>
      <c r="AJ120" s="29" t="n">
        <f aca="false">SUMIFS('Outages (event ledger)'!$H$2:$H$65,'Outages (event ledger)'!$A$2:$A$65,AJ$2,'Outages (event ledger)'!$E$2:$E$65,"&lt;="&amp;$B120,'Outages (event ledger)'!$G$2:$G$65,"&gt;="&amp;$B120)</f>
        <v>0</v>
      </c>
      <c r="AK120" s="29" t="n">
        <f aca="false">SUMIFS('Outages (event ledger)'!$H$2:$H$65,'Outages (event ledger)'!$A$2:$A$65,AK$2,'Outages (event ledger)'!$E$2:$E$65,"&lt;="&amp;$B120,'Outages (event ledger)'!$G$2:$G$65,"&gt;="&amp;$B120)</f>
        <v>0</v>
      </c>
      <c r="AL120" s="29" t="n">
        <f aca="false">SUMIFS('Outages (event ledger)'!$H$2:$H$65,'Outages (event ledger)'!$A$2:$A$65,AL$2,'Outages (event ledger)'!$E$2:$E$65,"&lt;="&amp;$B120,'Outages (event ledger)'!$G$2:$G$65,"&gt;="&amp;$B120)</f>
        <v>0</v>
      </c>
      <c r="AM120" s="29" t="n">
        <f aca="false">SUMIFS('Outages (event ledger)'!$H$2:$H$65,'Outages (event ledger)'!$A$2:$A$65,AM$2,'Outages (event ledger)'!$E$2:$E$65,"&lt;="&amp;$B120,'Outages (event ledger)'!$G$2:$G$65,"&gt;="&amp;$B120)</f>
        <v>0</v>
      </c>
      <c r="AN120" s="29" t="n">
        <f aca="false">SUMIFS('Outages (event ledger)'!$H$2:$H$65,'Outages (event ledger)'!$A$2:$A$65,AN$2,'Outages (event ledger)'!$E$2:$E$65,"&lt;="&amp;$B120,'Outages (event ledger)'!$G$2:$G$65,"&gt;="&amp;$B120)</f>
        <v>0</v>
      </c>
      <c r="AO120" s="29" t="n">
        <f aca="false">SUMIFS('Outages (event ledger)'!$H$2:$H$65,'Outages (event ledger)'!$A$2:$A$65,AO$2,'Outages (event ledger)'!$E$2:$E$65,"&lt;="&amp;$B120,'Outages (event ledger)'!$G$2:$G$65,"&gt;="&amp;$B120)</f>
        <v>0</v>
      </c>
      <c r="AP120" s="29" t="n">
        <f aca="false">SUMIFS('Outages (event ledger)'!$H$2:$H$65,'Outages (event ledger)'!$A$2:$A$65,AP$2,'Outages (event ledger)'!$E$2:$E$65,"&lt;="&amp;$B120,'Outages (event ledger)'!$G$2:$G$65,"&gt;="&amp;$B120)</f>
        <v>0</v>
      </c>
      <c r="AQ120" s="29" t="n">
        <f aca="false">SUMIFS('Outages (event ledger)'!$H$2:$H$65,'Outages (event ledger)'!$A$2:$A$65,AQ$2,'Outages (event ledger)'!$E$2:$E$65,"&lt;="&amp;$B120,'Outages (event ledger)'!$G$2:$G$65,"&gt;="&amp;$B120)</f>
        <v>0</v>
      </c>
      <c r="AR120" s="29" t="n">
        <f aca="false">SUMIFS('Outages (event ledger)'!$H$2:$H$65,'Outages (event ledger)'!$A$2:$A$65,AR$2,'Outages (event ledger)'!$E$2:$E$65,"&lt;="&amp;$B120,'Outages (event ledger)'!$G$2:$G$65,"&gt;="&amp;$B120)</f>
        <v>0</v>
      </c>
      <c r="AS120" s="29" t="n">
        <f aca="false">SUMIFS('Outages (event ledger)'!$H$2:$H$65,'Outages (event ledger)'!$A$2:$A$65,AS$2,'Outages (event ledger)'!$E$2:$E$65,"&lt;="&amp;$B120,'Outages (event ledger)'!$G$2:$G$65,"&gt;="&amp;$B120)</f>
        <v>0</v>
      </c>
      <c r="AT120" s="29" t="n">
        <f aca="false">SUMIFS('Outages (event ledger)'!$H$2:$H$65,'Outages (event ledger)'!$A$2:$A$65,AT$2,'Outages (event ledger)'!$E$2:$E$65,"&lt;="&amp;$B120,'Outages (event ledger)'!$G$2:$G$65,"&gt;="&amp;$B120)</f>
        <v>0</v>
      </c>
      <c r="AU120" s="29" t="n">
        <f aca="false">SUMIFS('Outages (event ledger)'!$H$2:$H$65,'Outages (event ledger)'!$A$2:$A$65,AU$2,'Outages (event ledger)'!$E$2:$E$65,"&lt;="&amp;$B120,'Outages (event ledger)'!$G$2:$G$65,"&gt;="&amp;$B120)</f>
        <v>0</v>
      </c>
      <c r="AV120" s="29" t="n">
        <f aca="false">SUMIFS('Outages (event ledger)'!$H$2:$H$65,'Outages (event ledger)'!$A$2:$A$65,AV$2,'Outages (event ledger)'!$E$2:$E$65,"&lt;="&amp;$B120,'Outages (event ledger)'!$G$2:$G$65,"&gt;="&amp;$B120)</f>
        <v>0</v>
      </c>
      <c r="AW120" s="29" t="n">
        <f aca="false">SUMIFS('Outages (event ledger)'!$H$2:$H$65,'Outages (event ledger)'!$A$2:$A$65,AW$2,'Outages (event ledger)'!$E$2:$E$65,"&lt;="&amp;$B120,'Outages (event ledger)'!$G$2:$G$65,"&gt;="&amp;$B120)</f>
        <v>0.5</v>
      </c>
      <c r="AX120" s="29" t="n">
        <f aca="false">SUMIFS('Outages (event ledger)'!$H$2:$H$65,'Outages (event ledger)'!$A$2:$A$65,AX$2,'Outages (event ledger)'!$E$2:$E$65,"&lt;="&amp;$B120,'Outages (event ledger)'!$G$2:$G$65,"&gt;="&amp;$B120)</f>
        <v>0</v>
      </c>
      <c r="AY120" s="29" t="n">
        <f aca="false">SUMIFS('Outages (event ledger)'!$H$2:$H$65,'Outages (event ledger)'!$A$2:$A$65,AY$2,'Outages (event ledger)'!$E$2:$E$65,"&lt;="&amp;$B120,'Outages (event ledger)'!$G$2:$G$65,"&gt;="&amp;$B120)</f>
        <v>0</v>
      </c>
      <c r="AZ120" s="29" t="n">
        <f aca="false">SUMIFS('Outages (event ledger)'!$H$2:$H$65,'Outages (event ledger)'!$A$2:$A$65,AZ$2,'Outages (event ledger)'!$E$2:$E$65,"&lt;="&amp;$B120,'Outages (event ledger)'!$G$2:$G$65,"&gt;="&amp;$B120)</f>
        <v>0</v>
      </c>
      <c r="BA120" s="29" t="n">
        <f aca="false">SUMIFS('Outages (event ledger)'!$H$2:$H$65,'Outages (event ledger)'!$A$2:$A$65,BA$2,'Outages (event ledger)'!$E$2:$E$65,"&lt;="&amp;$B120,'Outages (event ledger)'!$G$2:$G$65,"&gt;="&amp;$B120)</f>
        <v>0</v>
      </c>
      <c r="BB120" s="29" t="n">
        <f aca="false">SUMIFS('Outages (event ledger)'!$H$2:$H$65,'Outages (event ledger)'!$A$2:$A$65,BB$2,'Outages (event ledger)'!$E$2:$E$65,"&lt;="&amp;$B120,'Outages (event ledger)'!$G$2:$G$65,"&gt;="&amp;$B120)</f>
        <v>0</v>
      </c>
      <c r="BC120" s="29" t="n">
        <f aca="false">SUMIFS('Outages (event ledger)'!$H$2:$H$65,'Outages (event ledger)'!$A$2:$A$65,BC$2,'Outages (event ledger)'!$E$2:$E$65,"&lt;="&amp;$B120,'Outages (event ledger)'!$G$2:$G$65,"&gt;="&amp;$B120)</f>
        <v>0</v>
      </c>
      <c r="BD120" s="29" t="n">
        <f aca="false">SUMIFS('Outages (event ledger)'!$H$2:$H$65,'Outages (event ledger)'!$A$2:$A$65,BD$2,'Outages (event ledger)'!$E$2:$E$65,"&lt;="&amp;$B120,'Outages (event ledger)'!$G$2:$G$65,"&gt;="&amp;$B120)</f>
        <v>0</v>
      </c>
      <c r="BE120" s="29" t="n">
        <f aca="false">SUMIFS('Outages (event ledger)'!$H$2:$H$65,'Outages (event ledger)'!$A$2:$A$65,BE$2,'Outages (event ledger)'!$E$2:$E$65,"&lt;="&amp;$B120,'Outages (event ledger)'!$G$2:$G$65,"&gt;="&amp;$B120)</f>
        <v>0</v>
      </c>
      <c r="BF120" s="29" t="n">
        <f aca="false">SUMIFS('Outages (event ledger)'!$H$2:$H$65,'Outages (event ledger)'!$A$2:$A$65,BF$2,'Outages (event ledger)'!$E$2:$E$65,"&lt;="&amp;$B120,'Outages (event ledger)'!$G$2:$G$65,"&gt;="&amp;$B120)</f>
        <v>0</v>
      </c>
      <c r="BG120" s="29" t="n">
        <f aca="false">SUMIFS('Outages (event ledger)'!$H$2:$H$65,'Outages (event ledger)'!$A$2:$A$65,BG$2,'Outages (event ledger)'!$E$2:$E$65,"&lt;="&amp;$B120,'Outages (event ledger)'!$G$2:$G$65,"&gt;="&amp;$B120)</f>
        <v>0</v>
      </c>
      <c r="BH120" s="29" t="n">
        <f aca="false">SUMIFS('Outages (event ledger)'!$H$2:$H$65,'Outages (event ledger)'!$A$2:$A$65,BH$2,'Outages (event ledger)'!$E$2:$E$65,"&lt;="&amp;$B120,'Outages (event ledger)'!$G$2:$G$65,"&gt;="&amp;$B120)</f>
        <v>0</v>
      </c>
      <c r="BI120" s="29" t="n">
        <f aca="false">SUMIFS('Outages (event ledger)'!$H$2:$H$65,'Outages (event ledger)'!$A$2:$A$65,BI$2,'Outages (event ledger)'!$E$2:$E$65,"&lt;="&amp;$B120,'Outages (event ledger)'!$G$2:$G$65,"&gt;="&amp;$B120)</f>
        <v>6.7</v>
      </c>
    </row>
    <row r="121" customFormat="false" ht="15" hidden="false" customHeight="false" outlineLevel="0" collapsed="false">
      <c r="A121" s="27" t="n">
        <v>43770</v>
      </c>
      <c r="B121" s="28" t="n">
        <v>201911</v>
      </c>
      <c r="C121" s="25" t="n">
        <f aca="false">SUM(D121:BI121)</f>
        <v>20.2</v>
      </c>
      <c r="D121" s="29" t="n">
        <f aca="false">SUMIFS('Outages (event ledger)'!$H$2:$H$65,'Outages (event ledger)'!$A$2:$A$65,D$2,'Outages (event ledger)'!$E$2:$E$65,"&lt;="&amp;$B121,'Outages (event ledger)'!$G$2:$G$65,"&gt;="&amp;$B121)</f>
        <v>0</v>
      </c>
      <c r="E121" s="29" t="n">
        <f aca="false">SUMIFS('Outages (event ledger)'!$H$2:$H$65,'Outages (event ledger)'!$A$2:$A$65,E$2,'Outages (event ledger)'!$E$2:$E$65,"&lt;="&amp;$B121,'Outages (event ledger)'!$G$2:$G$65,"&gt;="&amp;$B121)</f>
        <v>0</v>
      </c>
      <c r="F121" s="29" t="n">
        <f aca="false">SUMIFS('Outages (event ledger)'!$H$2:$H$65,'Outages (event ledger)'!$A$2:$A$65,F$2,'Outages (event ledger)'!$E$2:$E$65,"&lt;="&amp;$B121,'Outages (event ledger)'!$G$2:$G$65,"&gt;="&amp;$B121)</f>
        <v>0</v>
      </c>
      <c r="G121" s="29" t="n">
        <f aca="false">SUMIFS('Outages (event ledger)'!$H$2:$H$65,'Outages (event ledger)'!$A$2:$A$65,G$2,'Outages (event ledger)'!$E$2:$E$65,"&lt;="&amp;$B121,'Outages (event ledger)'!$G$2:$G$65,"&gt;="&amp;$B121)</f>
        <v>0</v>
      </c>
      <c r="H121" s="29" t="n">
        <f aca="false">SUMIFS('Outages (event ledger)'!$H$2:$H$65,'Outages (event ledger)'!$A$2:$A$65,H$2,'Outages (event ledger)'!$E$2:$E$65,"&lt;="&amp;$B121,'Outages (event ledger)'!$G$2:$G$65,"&gt;="&amp;$B121)</f>
        <v>0</v>
      </c>
      <c r="I121" s="29" t="n">
        <f aca="false">SUMIFS('Outages (event ledger)'!$H$2:$H$65,'Outages (event ledger)'!$A$2:$A$65,I$2,'Outages (event ledger)'!$E$2:$E$65,"&lt;="&amp;$B121,'Outages (event ledger)'!$G$2:$G$65,"&gt;="&amp;$B121)</f>
        <v>0</v>
      </c>
      <c r="J121" s="29" t="n">
        <f aca="false">SUMIFS('Outages (event ledger)'!$H$2:$H$65,'Outages (event ledger)'!$A$2:$A$65,J$2,'Outages (event ledger)'!$E$2:$E$65,"&lt;="&amp;$B121,'Outages (event ledger)'!$G$2:$G$65,"&gt;="&amp;$B121)</f>
        <v>0</v>
      </c>
      <c r="K121" s="29" t="n">
        <f aca="false">SUMIFS('Outages (event ledger)'!$H$2:$H$65,'Outages (event ledger)'!$A$2:$A$65,K$2,'Outages (event ledger)'!$E$2:$E$65,"&lt;="&amp;$B121,'Outages (event ledger)'!$G$2:$G$65,"&gt;="&amp;$B121)</f>
        <v>0</v>
      </c>
      <c r="L121" s="29" t="n">
        <f aca="false">SUMIFS('Outages (event ledger)'!$H$2:$H$65,'Outages (event ledger)'!$A$2:$A$65,L$2,'Outages (event ledger)'!$E$2:$E$65,"&lt;="&amp;$B121,'Outages (event ledger)'!$G$2:$G$65,"&gt;="&amp;$B121)</f>
        <v>0</v>
      </c>
      <c r="M121" s="29" t="n">
        <f aca="false">SUMIFS('Outages (event ledger)'!$H$2:$H$65,'Outages (event ledger)'!$A$2:$A$65,M$2,'Outages (event ledger)'!$E$2:$E$65,"&lt;="&amp;$B121,'Outages (event ledger)'!$G$2:$G$65,"&gt;="&amp;$B121)</f>
        <v>0</v>
      </c>
      <c r="N121" s="29" t="n">
        <f aca="false">SUMIFS('Outages (event ledger)'!$H$2:$H$65,'Outages (event ledger)'!$A$2:$A$65,N$2,'Outages (event ledger)'!$E$2:$E$65,"&lt;="&amp;$B121,'Outages (event ledger)'!$G$2:$G$65,"&gt;="&amp;$B121)</f>
        <v>0</v>
      </c>
      <c r="O121" s="29" t="n">
        <f aca="false">SUMIFS('Outages (event ledger)'!$H$2:$H$65,'Outages (event ledger)'!$A$2:$A$65,O$2,'Outages (event ledger)'!$E$2:$E$65,"&lt;="&amp;$B121,'Outages (event ledger)'!$G$2:$G$65,"&gt;="&amp;$B121)</f>
        <v>0</v>
      </c>
      <c r="P121" s="29" t="n">
        <f aca="false">SUMIFS('Outages (event ledger)'!$H$2:$H$65,'Outages (event ledger)'!$A$2:$A$65,P$2,'Outages (event ledger)'!$E$2:$E$65,"&lt;="&amp;$B121,'Outages (event ledger)'!$G$2:$G$65,"&gt;="&amp;$B121)</f>
        <v>0</v>
      </c>
      <c r="Q121" s="29" t="n">
        <f aca="false">SUMIFS('Outages (event ledger)'!$H$2:$H$65,'Outages (event ledger)'!$A$2:$A$65,Q$2,'Outages (event ledger)'!$E$2:$E$65,"&lt;="&amp;$B121,'Outages (event ledger)'!$G$2:$G$65,"&gt;="&amp;$B121)</f>
        <v>0</v>
      </c>
      <c r="R121" s="29" t="n">
        <f aca="false">SUMIFS('Outages (event ledger)'!$H$2:$H$65,'Outages (event ledger)'!$A$2:$A$65,R$2,'Outages (event ledger)'!$E$2:$E$65,"&lt;="&amp;$B121,'Outages (event ledger)'!$G$2:$G$65,"&gt;="&amp;$B121)</f>
        <v>0</v>
      </c>
      <c r="S121" s="29" t="n">
        <f aca="false">SUMIFS('Outages (event ledger)'!$H$2:$H$65,'Outages (event ledger)'!$A$2:$A$65,S$2,'Outages (event ledger)'!$E$2:$E$65,"&lt;="&amp;$B121,'Outages (event ledger)'!$G$2:$G$65,"&gt;="&amp;$B121)</f>
        <v>0</v>
      </c>
      <c r="T121" s="29" t="n">
        <f aca="false">SUMIFS('Outages (event ledger)'!$H$2:$H$65,'Outages (event ledger)'!$A$2:$A$65,T$2,'Outages (event ledger)'!$E$2:$E$65,"&lt;="&amp;$B121,'Outages (event ledger)'!$G$2:$G$65,"&gt;="&amp;$B121)</f>
        <v>0</v>
      </c>
      <c r="U121" s="29" t="n">
        <f aca="false">SUMIFS('Outages (event ledger)'!$H$2:$H$65,'Outages (event ledger)'!$A$2:$A$65,U$2,'Outages (event ledger)'!$E$2:$E$65,"&lt;="&amp;$B121,'Outages (event ledger)'!$G$2:$G$65,"&gt;="&amp;$B121)</f>
        <v>0</v>
      </c>
      <c r="V121" s="29" t="n">
        <f aca="false">SUMIFS('Outages (event ledger)'!$H$2:$H$65,'Outages (event ledger)'!$A$2:$A$65,V$2,'Outages (event ledger)'!$E$2:$E$65,"&lt;="&amp;$B121,'Outages (event ledger)'!$G$2:$G$65,"&gt;="&amp;$B121)</f>
        <v>0</v>
      </c>
      <c r="W121" s="29" t="n">
        <f aca="false">SUMIFS('Outages (event ledger)'!$H$2:$H$65,'Outages (event ledger)'!$A$2:$A$65,W$2,'Outages (event ledger)'!$E$2:$E$65,"&lt;="&amp;$B121,'Outages (event ledger)'!$G$2:$G$65,"&gt;="&amp;$B121)</f>
        <v>0</v>
      </c>
      <c r="X121" s="29" t="n">
        <f aca="false">SUMIFS('Outages (event ledger)'!$H$2:$H$65,'Outages (event ledger)'!$A$2:$A$65,X$2,'Outages (event ledger)'!$E$2:$E$65,"&lt;="&amp;$B121,'Outages (event ledger)'!$G$2:$G$65,"&gt;="&amp;$B121)</f>
        <v>0</v>
      </c>
      <c r="Y121" s="29" t="n">
        <f aca="false">SUMIFS('Outages (event ledger)'!$H$2:$H$65,'Outages (event ledger)'!$A$2:$A$65,Y$2,'Outages (event ledger)'!$E$2:$E$65,"&lt;="&amp;$B121,'Outages (event ledger)'!$G$2:$G$65,"&gt;="&amp;$B121)</f>
        <v>5</v>
      </c>
      <c r="Z121" s="29" t="n">
        <f aca="false">SUMIFS('Outages (event ledger)'!$H$2:$H$65,'Outages (event ledger)'!$A$2:$A$65,Z$2,'Outages (event ledger)'!$E$2:$E$65,"&lt;="&amp;$B121,'Outages (event ledger)'!$G$2:$G$65,"&gt;="&amp;$B121)</f>
        <v>0</v>
      </c>
      <c r="AA121" s="29" t="n">
        <f aca="false">SUMIFS('Outages (event ledger)'!$H$2:$H$65,'Outages (event ledger)'!$A$2:$A$65,AA$2,'Outages (event ledger)'!$E$2:$E$65,"&lt;="&amp;$B121,'Outages (event ledger)'!$G$2:$G$65,"&gt;="&amp;$B121)</f>
        <v>0</v>
      </c>
      <c r="AB121" s="29" t="n">
        <f aca="false">SUMIFS('Outages (event ledger)'!$H$2:$H$65,'Outages (event ledger)'!$A$2:$A$65,AB$2,'Outages (event ledger)'!$E$2:$E$65,"&lt;="&amp;$B121,'Outages (event ledger)'!$G$2:$G$65,"&gt;="&amp;$B121)</f>
        <v>8</v>
      </c>
      <c r="AC121" s="29" t="n">
        <f aca="false">SUMIFS('Outages (event ledger)'!$H$2:$H$65,'Outages (event ledger)'!$A$2:$A$65,AC$2,'Outages (event ledger)'!$E$2:$E$65,"&lt;="&amp;$B121,'Outages (event ledger)'!$G$2:$G$65,"&gt;="&amp;$B121)</f>
        <v>0</v>
      </c>
      <c r="AD121" s="29" t="n">
        <f aca="false">SUMIFS('Outages (event ledger)'!$H$2:$H$65,'Outages (event ledger)'!$A$2:$A$65,AD$2,'Outages (event ledger)'!$E$2:$E$65,"&lt;="&amp;$B121,'Outages (event ledger)'!$G$2:$G$65,"&gt;="&amp;$B121)</f>
        <v>0</v>
      </c>
      <c r="AE121" s="29" t="n">
        <f aca="false">SUMIFS('Outages (event ledger)'!$H$2:$H$65,'Outages (event ledger)'!$A$2:$A$65,AE$2,'Outages (event ledger)'!$E$2:$E$65,"&lt;="&amp;$B121,'Outages (event ledger)'!$G$2:$G$65,"&gt;="&amp;$B121)</f>
        <v>0</v>
      </c>
      <c r="AF121" s="29" t="n">
        <f aca="false">SUMIFS('Outages (event ledger)'!$H$2:$H$65,'Outages (event ledger)'!$A$2:$A$65,AF$2,'Outages (event ledger)'!$E$2:$E$65,"&lt;="&amp;$B121,'Outages (event ledger)'!$G$2:$G$65,"&gt;="&amp;$B121)</f>
        <v>0</v>
      </c>
      <c r="AG121" s="29" t="n">
        <f aca="false">SUMIFS('Outages (event ledger)'!$H$2:$H$65,'Outages (event ledger)'!$A$2:$A$65,AG$2,'Outages (event ledger)'!$E$2:$E$65,"&lt;="&amp;$B121,'Outages (event ledger)'!$G$2:$G$65,"&gt;="&amp;$B121)</f>
        <v>0</v>
      </c>
      <c r="AH121" s="29" t="n">
        <f aca="false">SUMIFS('Outages (event ledger)'!$H$2:$H$65,'Outages (event ledger)'!$A$2:$A$65,AH$2,'Outages (event ledger)'!$E$2:$E$65,"&lt;="&amp;$B121,'Outages (event ledger)'!$G$2:$G$65,"&gt;="&amp;$B121)</f>
        <v>0</v>
      </c>
      <c r="AI121" s="29" t="n">
        <f aca="false">SUMIFS('Outages (event ledger)'!$H$2:$H$65,'Outages (event ledger)'!$A$2:$A$65,AI$2,'Outages (event ledger)'!$E$2:$E$65,"&lt;="&amp;$B121,'Outages (event ledger)'!$G$2:$G$65,"&gt;="&amp;$B121)</f>
        <v>0</v>
      </c>
      <c r="AJ121" s="29" t="n">
        <f aca="false">SUMIFS('Outages (event ledger)'!$H$2:$H$65,'Outages (event ledger)'!$A$2:$A$65,AJ$2,'Outages (event ledger)'!$E$2:$E$65,"&lt;="&amp;$B121,'Outages (event ledger)'!$G$2:$G$65,"&gt;="&amp;$B121)</f>
        <v>0</v>
      </c>
      <c r="AK121" s="29" t="n">
        <f aca="false">SUMIFS('Outages (event ledger)'!$H$2:$H$65,'Outages (event ledger)'!$A$2:$A$65,AK$2,'Outages (event ledger)'!$E$2:$E$65,"&lt;="&amp;$B121,'Outages (event ledger)'!$G$2:$G$65,"&gt;="&amp;$B121)</f>
        <v>0</v>
      </c>
      <c r="AL121" s="29" t="n">
        <f aca="false">SUMIFS('Outages (event ledger)'!$H$2:$H$65,'Outages (event ledger)'!$A$2:$A$65,AL$2,'Outages (event ledger)'!$E$2:$E$65,"&lt;="&amp;$B121,'Outages (event ledger)'!$G$2:$G$65,"&gt;="&amp;$B121)</f>
        <v>0</v>
      </c>
      <c r="AM121" s="29" t="n">
        <f aca="false">SUMIFS('Outages (event ledger)'!$H$2:$H$65,'Outages (event ledger)'!$A$2:$A$65,AM$2,'Outages (event ledger)'!$E$2:$E$65,"&lt;="&amp;$B121,'Outages (event ledger)'!$G$2:$G$65,"&gt;="&amp;$B121)</f>
        <v>0</v>
      </c>
      <c r="AN121" s="29" t="n">
        <f aca="false">SUMIFS('Outages (event ledger)'!$H$2:$H$65,'Outages (event ledger)'!$A$2:$A$65,AN$2,'Outages (event ledger)'!$E$2:$E$65,"&lt;="&amp;$B121,'Outages (event ledger)'!$G$2:$G$65,"&gt;="&amp;$B121)</f>
        <v>0</v>
      </c>
      <c r="AO121" s="29" t="n">
        <f aca="false">SUMIFS('Outages (event ledger)'!$H$2:$H$65,'Outages (event ledger)'!$A$2:$A$65,AO$2,'Outages (event ledger)'!$E$2:$E$65,"&lt;="&amp;$B121,'Outages (event ledger)'!$G$2:$G$65,"&gt;="&amp;$B121)</f>
        <v>0</v>
      </c>
      <c r="AP121" s="29" t="n">
        <f aca="false">SUMIFS('Outages (event ledger)'!$H$2:$H$65,'Outages (event ledger)'!$A$2:$A$65,AP$2,'Outages (event ledger)'!$E$2:$E$65,"&lt;="&amp;$B121,'Outages (event ledger)'!$G$2:$G$65,"&gt;="&amp;$B121)</f>
        <v>0</v>
      </c>
      <c r="AQ121" s="29" t="n">
        <f aca="false">SUMIFS('Outages (event ledger)'!$H$2:$H$65,'Outages (event ledger)'!$A$2:$A$65,AQ$2,'Outages (event ledger)'!$E$2:$E$65,"&lt;="&amp;$B121,'Outages (event ledger)'!$G$2:$G$65,"&gt;="&amp;$B121)</f>
        <v>0</v>
      </c>
      <c r="AR121" s="29" t="n">
        <f aca="false">SUMIFS('Outages (event ledger)'!$H$2:$H$65,'Outages (event ledger)'!$A$2:$A$65,AR$2,'Outages (event ledger)'!$E$2:$E$65,"&lt;="&amp;$B121,'Outages (event ledger)'!$G$2:$G$65,"&gt;="&amp;$B121)</f>
        <v>0</v>
      </c>
      <c r="AS121" s="29" t="n">
        <f aca="false">SUMIFS('Outages (event ledger)'!$H$2:$H$65,'Outages (event ledger)'!$A$2:$A$65,AS$2,'Outages (event ledger)'!$E$2:$E$65,"&lt;="&amp;$B121,'Outages (event ledger)'!$G$2:$G$65,"&gt;="&amp;$B121)</f>
        <v>0</v>
      </c>
      <c r="AT121" s="29" t="n">
        <f aca="false">SUMIFS('Outages (event ledger)'!$H$2:$H$65,'Outages (event ledger)'!$A$2:$A$65,AT$2,'Outages (event ledger)'!$E$2:$E$65,"&lt;="&amp;$B121,'Outages (event ledger)'!$G$2:$G$65,"&gt;="&amp;$B121)</f>
        <v>0</v>
      </c>
      <c r="AU121" s="29" t="n">
        <f aca="false">SUMIFS('Outages (event ledger)'!$H$2:$H$65,'Outages (event ledger)'!$A$2:$A$65,AU$2,'Outages (event ledger)'!$E$2:$E$65,"&lt;="&amp;$B121,'Outages (event ledger)'!$G$2:$G$65,"&gt;="&amp;$B121)</f>
        <v>0</v>
      </c>
      <c r="AV121" s="29" t="n">
        <f aca="false">SUMIFS('Outages (event ledger)'!$H$2:$H$65,'Outages (event ledger)'!$A$2:$A$65,AV$2,'Outages (event ledger)'!$E$2:$E$65,"&lt;="&amp;$B121,'Outages (event ledger)'!$G$2:$G$65,"&gt;="&amp;$B121)</f>
        <v>0</v>
      </c>
      <c r="AW121" s="29" t="n">
        <f aca="false">SUMIFS('Outages (event ledger)'!$H$2:$H$65,'Outages (event ledger)'!$A$2:$A$65,AW$2,'Outages (event ledger)'!$E$2:$E$65,"&lt;="&amp;$B121,'Outages (event ledger)'!$G$2:$G$65,"&gt;="&amp;$B121)</f>
        <v>0.5</v>
      </c>
      <c r="AX121" s="29" t="n">
        <f aca="false">SUMIFS('Outages (event ledger)'!$H$2:$H$65,'Outages (event ledger)'!$A$2:$A$65,AX$2,'Outages (event ledger)'!$E$2:$E$65,"&lt;="&amp;$B121,'Outages (event ledger)'!$G$2:$G$65,"&gt;="&amp;$B121)</f>
        <v>0</v>
      </c>
      <c r="AY121" s="29" t="n">
        <f aca="false">SUMIFS('Outages (event ledger)'!$H$2:$H$65,'Outages (event ledger)'!$A$2:$A$65,AY$2,'Outages (event ledger)'!$E$2:$E$65,"&lt;="&amp;$B121,'Outages (event ledger)'!$G$2:$G$65,"&gt;="&amp;$B121)</f>
        <v>0</v>
      </c>
      <c r="AZ121" s="29" t="n">
        <f aca="false">SUMIFS('Outages (event ledger)'!$H$2:$H$65,'Outages (event ledger)'!$A$2:$A$65,AZ$2,'Outages (event ledger)'!$E$2:$E$65,"&lt;="&amp;$B121,'Outages (event ledger)'!$G$2:$G$65,"&gt;="&amp;$B121)</f>
        <v>0</v>
      </c>
      <c r="BA121" s="29" t="n">
        <f aca="false">SUMIFS('Outages (event ledger)'!$H$2:$H$65,'Outages (event ledger)'!$A$2:$A$65,BA$2,'Outages (event ledger)'!$E$2:$E$65,"&lt;="&amp;$B121,'Outages (event ledger)'!$G$2:$G$65,"&gt;="&amp;$B121)</f>
        <v>0</v>
      </c>
      <c r="BB121" s="29" t="n">
        <f aca="false">SUMIFS('Outages (event ledger)'!$H$2:$H$65,'Outages (event ledger)'!$A$2:$A$65,BB$2,'Outages (event ledger)'!$E$2:$E$65,"&lt;="&amp;$B121,'Outages (event ledger)'!$G$2:$G$65,"&gt;="&amp;$B121)</f>
        <v>0</v>
      </c>
      <c r="BC121" s="29" t="n">
        <f aca="false">SUMIFS('Outages (event ledger)'!$H$2:$H$65,'Outages (event ledger)'!$A$2:$A$65,BC$2,'Outages (event ledger)'!$E$2:$E$65,"&lt;="&amp;$B121,'Outages (event ledger)'!$G$2:$G$65,"&gt;="&amp;$B121)</f>
        <v>0</v>
      </c>
      <c r="BD121" s="29" t="n">
        <f aca="false">SUMIFS('Outages (event ledger)'!$H$2:$H$65,'Outages (event ledger)'!$A$2:$A$65,BD$2,'Outages (event ledger)'!$E$2:$E$65,"&lt;="&amp;$B121,'Outages (event ledger)'!$G$2:$G$65,"&gt;="&amp;$B121)</f>
        <v>0</v>
      </c>
      <c r="BE121" s="29" t="n">
        <f aca="false">SUMIFS('Outages (event ledger)'!$H$2:$H$65,'Outages (event ledger)'!$A$2:$A$65,BE$2,'Outages (event ledger)'!$E$2:$E$65,"&lt;="&amp;$B121,'Outages (event ledger)'!$G$2:$G$65,"&gt;="&amp;$B121)</f>
        <v>0</v>
      </c>
      <c r="BF121" s="29" t="n">
        <f aca="false">SUMIFS('Outages (event ledger)'!$H$2:$H$65,'Outages (event ledger)'!$A$2:$A$65,BF$2,'Outages (event ledger)'!$E$2:$E$65,"&lt;="&amp;$B121,'Outages (event ledger)'!$G$2:$G$65,"&gt;="&amp;$B121)</f>
        <v>0</v>
      </c>
      <c r="BG121" s="29" t="n">
        <f aca="false">SUMIFS('Outages (event ledger)'!$H$2:$H$65,'Outages (event ledger)'!$A$2:$A$65,BG$2,'Outages (event ledger)'!$E$2:$E$65,"&lt;="&amp;$B121,'Outages (event ledger)'!$G$2:$G$65,"&gt;="&amp;$B121)</f>
        <v>0</v>
      </c>
      <c r="BH121" s="29" t="n">
        <f aca="false">SUMIFS('Outages (event ledger)'!$H$2:$H$65,'Outages (event ledger)'!$A$2:$A$65,BH$2,'Outages (event ledger)'!$E$2:$E$65,"&lt;="&amp;$B121,'Outages (event ledger)'!$G$2:$G$65,"&gt;="&amp;$B121)</f>
        <v>0</v>
      </c>
      <c r="BI121" s="29" t="n">
        <f aca="false">SUMIFS('Outages (event ledger)'!$H$2:$H$65,'Outages (event ledger)'!$A$2:$A$65,BI$2,'Outages (event ledger)'!$E$2:$E$65,"&lt;="&amp;$B121,'Outages (event ledger)'!$G$2:$G$65,"&gt;="&amp;$B121)</f>
        <v>6.7</v>
      </c>
    </row>
    <row r="122" customFormat="false" ht="15" hidden="false" customHeight="false" outlineLevel="0" collapsed="false">
      <c r="A122" s="27" t="n">
        <v>43800</v>
      </c>
      <c r="B122" s="28" t="n">
        <v>201912</v>
      </c>
      <c r="C122" s="25" t="n">
        <f aca="false">SUM(D122:BI122)</f>
        <v>20.2</v>
      </c>
      <c r="D122" s="29" t="n">
        <f aca="false">SUMIFS('Outages (event ledger)'!$H$2:$H$65,'Outages (event ledger)'!$A$2:$A$65,D$2,'Outages (event ledger)'!$E$2:$E$65,"&lt;="&amp;$B122,'Outages (event ledger)'!$G$2:$G$65,"&gt;="&amp;$B122)</f>
        <v>0</v>
      </c>
      <c r="E122" s="29" t="n">
        <f aca="false">SUMIFS('Outages (event ledger)'!$H$2:$H$65,'Outages (event ledger)'!$A$2:$A$65,E$2,'Outages (event ledger)'!$E$2:$E$65,"&lt;="&amp;$B122,'Outages (event ledger)'!$G$2:$G$65,"&gt;="&amp;$B122)</f>
        <v>0</v>
      </c>
      <c r="F122" s="29" t="n">
        <f aca="false">SUMIFS('Outages (event ledger)'!$H$2:$H$65,'Outages (event ledger)'!$A$2:$A$65,F$2,'Outages (event ledger)'!$E$2:$E$65,"&lt;="&amp;$B122,'Outages (event ledger)'!$G$2:$G$65,"&gt;="&amp;$B122)</f>
        <v>0</v>
      </c>
      <c r="G122" s="29" t="n">
        <f aca="false">SUMIFS('Outages (event ledger)'!$H$2:$H$65,'Outages (event ledger)'!$A$2:$A$65,G$2,'Outages (event ledger)'!$E$2:$E$65,"&lt;="&amp;$B122,'Outages (event ledger)'!$G$2:$G$65,"&gt;="&amp;$B122)</f>
        <v>0</v>
      </c>
      <c r="H122" s="29" t="n">
        <f aca="false">SUMIFS('Outages (event ledger)'!$H$2:$H$65,'Outages (event ledger)'!$A$2:$A$65,H$2,'Outages (event ledger)'!$E$2:$E$65,"&lt;="&amp;$B122,'Outages (event ledger)'!$G$2:$G$65,"&gt;="&amp;$B122)</f>
        <v>0</v>
      </c>
      <c r="I122" s="29" t="n">
        <f aca="false">SUMIFS('Outages (event ledger)'!$H$2:$H$65,'Outages (event ledger)'!$A$2:$A$65,I$2,'Outages (event ledger)'!$E$2:$E$65,"&lt;="&amp;$B122,'Outages (event ledger)'!$G$2:$G$65,"&gt;="&amp;$B122)</f>
        <v>0</v>
      </c>
      <c r="J122" s="29" t="n">
        <f aca="false">SUMIFS('Outages (event ledger)'!$H$2:$H$65,'Outages (event ledger)'!$A$2:$A$65,J$2,'Outages (event ledger)'!$E$2:$E$65,"&lt;="&amp;$B122,'Outages (event ledger)'!$G$2:$G$65,"&gt;="&amp;$B122)</f>
        <v>0</v>
      </c>
      <c r="K122" s="29" t="n">
        <f aca="false">SUMIFS('Outages (event ledger)'!$H$2:$H$65,'Outages (event ledger)'!$A$2:$A$65,K$2,'Outages (event ledger)'!$E$2:$E$65,"&lt;="&amp;$B122,'Outages (event ledger)'!$G$2:$G$65,"&gt;="&amp;$B122)</f>
        <v>0</v>
      </c>
      <c r="L122" s="29" t="n">
        <f aca="false">SUMIFS('Outages (event ledger)'!$H$2:$H$65,'Outages (event ledger)'!$A$2:$A$65,L$2,'Outages (event ledger)'!$E$2:$E$65,"&lt;="&amp;$B122,'Outages (event ledger)'!$G$2:$G$65,"&gt;="&amp;$B122)</f>
        <v>0</v>
      </c>
      <c r="M122" s="29" t="n">
        <f aca="false">SUMIFS('Outages (event ledger)'!$H$2:$H$65,'Outages (event ledger)'!$A$2:$A$65,M$2,'Outages (event ledger)'!$E$2:$E$65,"&lt;="&amp;$B122,'Outages (event ledger)'!$G$2:$G$65,"&gt;="&amp;$B122)</f>
        <v>0</v>
      </c>
      <c r="N122" s="29" t="n">
        <f aca="false">SUMIFS('Outages (event ledger)'!$H$2:$H$65,'Outages (event ledger)'!$A$2:$A$65,N$2,'Outages (event ledger)'!$E$2:$E$65,"&lt;="&amp;$B122,'Outages (event ledger)'!$G$2:$G$65,"&gt;="&amp;$B122)</f>
        <v>0</v>
      </c>
      <c r="O122" s="29" t="n">
        <f aca="false">SUMIFS('Outages (event ledger)'!$H$2:$H$65,'Outages (event ledger)'!$A$2:$A$65,O$2,'Outages (event ledger)'!$E$2:$E$65,"&lt;="&amp;$B122,'Outages (event ledger)'!$G$2:$G$65,"&gt;="&amp;$B122)</f>
        <v>0</v>
      </c>
      <c r="P122" s="29" t="n">
        <f aca="false">SUMIFS('Outages (event ledger)'!$H$2:$H$65,'Outages (event ledger)'!$A$2:$A$65,P$2,'Outages (event ledger)'!$E$2:$E$65,"&lt;="&amp;$B122,'Outages (event ledger)'!$G$2:$G$65,"&gt;="&amp;$B122)</f>
        <v>0</v>
      </c>
      <c r="Q122" s="29" t="n">
        <f aca="false">SUMIFS('Outages (event ledger)'!$H$2:$H$65,'Outages (event ledger)'!$A$2:$A$65,Q$2,'Outages (event ledger)'!$E$2:$E$65,"&lt;="&amp;$B122,'Outages (event ledger)'!$G$2:$G$65,"&gt;="&amp;$B122)</f>
        <v>0</v>
      </c>
      <c r="R122" s="29" t="n">
        <f aca="false">SUMIFS('Outages (event ledger)'!$H$2:$H$65,'Outages (event ledger)'!$A$2:$A$65,R$2,'Outages (event ledger)'!$E$2:$E$65,"&lt;="&amp;$B122,'Outages (event ledger)'!$G$2:$G$65,"&gt;="&amp;$B122)</f>
        <v>0</v>
      </c>
      <c r="S122" s="29" t="n">
        <f aca="false">SUMIFS('Outages (event ledger)'!$H$2:$H$65,'Outages (event ledger)'!$A$2:$A$65,S$2,'Outages (event ledger)'!$E$2:$E$65,"&lt;="&amp;$B122,'Outages (event ledger)'!$G$2:$G$65,"&gt;="&amp;$B122)</f>
        <v>0</v>
      </c>
      <c r="T122" s="29" t="n">
        <f aca="false">SUMIFS('Outages (event ledger)'!$H$2:$H$65,'Outages (event ledger)'!$A$2:$A$65,T$2,'Outages (event ledger)'!$E$2:$E$65,"&lt;="&amp;$B122,'Outages (event ledger)'!$G$2:$G$65,"&gt;="&amp;$B122)</f>
        <v>0</v>
      </c>
      <c r="U122" s="29" t="n">
        <f aca="false">SUMIFS('Outages (event ledger)'!$H$2:$H$65,'Outages (event ledger)'!$A$2:$A$65,U$2,'Outages (event ledger)'!$E$2:$E$65,"&lt;="&amp;$B122,'Outages (event ledger)'!$G$2:$G$65,"&gt;="&amp;$B122)</f>
        <v>0</v>
      </c>
      <c r="V122" s="29" t="n">
        <f aca="false">SUMIFS('Outages (event ledger)'!$H$2:$H$65,'Outages (event ledger)'!$A$2:$A$65,V$2,'Outages (event ledger)'!$E$2:$E$65,"&lt;="&amp;$B122,'Outages (event ledger)'!$G$2:$G$65,"&gt;="&amp;$B122)</f>
        <v>0</v>
      </c>
      <c r="W122" s="29" t="n">
        <f aca="false">SUMIFS('Outages (event ledger)'!$H$2:$H$65,'Outages (event ledger)'!$A$2:$A$65,W$2,'Outages (event ledger)'!$E$2:$E$65,"&lt;="&amp;$B122,'Outages (event ledger)'!$G$2:$G$65,"&gt;="&amp;$B122)</f>
        <v>0</v>
      </c>
      <c r="X122" s="29" t="n">
        <f aca="false">SUMIFS('Outages (event ledger)'!$H$2:$H$65,'Outages (event ledger)'!$A$2:$A$65,X$2,'Outages (event ledger)'!$E$2:$E$65,"&lt;="&amp;$B122,'Outages (event ledger)'!$G$2:$G$65,"&gt;="&amp;$B122)</f>
        <v>0</v>
      </c>
      <c r="Y122" s="29" t="n">
        <f aca="false">SUMIFS('Outages (event ledger)'!$H$2:$H$65,'Outages (event ledger)'!$A$2:$A$65,Y$2,'Outages (event ledger)'!$E$2:$E$65,"&lt;="&amp;$B122,'Outages (event ledger)'!$G$2:$G$65,"&gt;="&amp;$B122)</f>
        <v>5</v>
      </c>
      <c r="Z122" s="29" t="n">
        <f aca="false">SUMIFS('Outages (event ledger)'!$H$2:$H$65,'Outages (event ledger)'!$A$2:$A$65,Z$2,'Outages (event ledger)'!$E$2:$E$65,"&lt;="&amp;$B122,'Outages (event ledger)'!$G$2:$G$65,"&gt;="&amp;$B122)</f>
        <v>0</v>
      </c>
      <c r="AA122" s="29" t="n">
        <f aca="false">SUMIFS('Outages (event ledger)'!$H$2:$H$65,'Outages (event ledger)'!$A$2:$A$65,AA$2,'Outages (event ledger)'!$E$2:$E$65,"&lt;="&amp;$B122,'Outages (event ledger)'!$G$2:$G$65,"&gt;="&amp;$B122)</f>
        <v>0</v>
      </c>
      <c r="AB122" s="29" t="n">
        <f aca="false">SUMIFS('Outages (event ledger)'!$H$2:$H$65,'Outages (event ledger)'!$A$2:$A$65,AB$2,'Outages (event ledger)'!$E$2:$E$65,"&lt;="&amp;$B122,'Outages (event ledger)'!$G$2:$G$65,"&gt;="&amp;$B122)</f>
        <v>8</v>
      </c>
      <c r="AC122" s="29" t="n">
        <f aca="false">SUMIFS('Outages (event ledger)'!$H$2:$H$65,'Outages (event ledger)'!$A$2:$A$65,AC$2,'Outages (event ledger)'!$E$2:$E$65,"&lt;="&amp;$B122,'Outages (event ledger)'!$G$2:$G$65,"&gt;="&amp;$B122)</f>
        <v>0</v>
      </c>
      <c r="AD122" s="29" t="n">
        <f aca="false">SUMIFS('Outages (event ledger)'!$H$2:$H$65,'Outages (event ledger)'!$A$2:$A$65,AD$2,'Outages (event ledger)'!$E$2:$E$65,"&lt;="&amp;$B122,'Outages (event ledger)'!$G$2:$G$65,"&gt;="&amp;$B122)</f>
        <v>0</v>
      </c>
      <c r="AE122" s="29" t="n">
        <f aca="false">SUMIFS('Outages (event ledger)'!$H$2:$H$65,'Outages (event ledger)'!$A$2:$A$65,AE$2,'Outages (event ledger)'!$E$2:$E$65,"&lt;="&amp;$B122,'Outages (event ledger)'!$G$2:$G$65,"&gt;="&amp;$B122)</f>
        <v>0</v>
      </c>
      <c r="AF122" s="29" t="n">
        <f aca="false">SUMIFS('Outages (event ledger)'!$H$2:$H$65,'Outages (event ledger)'!$A$2:$A$65,AF$2,'Outages (event ledger)'!$E$2:$E$65,"&lt;="&amp;$B122,'Outages (event ledger)'!$G$2:$G$65,"&gt;="&amp;$B122)</f>
        <v>0</v>
      </c>
      <c r="AG122" s="29" t="n">
        <f aca="false">SUMIFS('Outages (event ledger)'!$H$2:$H$65,'Outages (event ledger)'!$A$2:$A$65,AG$2,'Outages (event ledger)'!$E$2:$E$65,"&lt;="&amp;$B122,'Outages (event ledger)'!$G$2:$G$65,"&gt;="&amp;$B122)</f>
        <v>0</v>
      </c>
      <c r="AH122" s="29" t="n">
        <f aca="false">SUMIFS('Outages (event ledger)'!$H$2:$H$65,'Outages (event ledger)'!$A$2:$A$65,AH$2,'Outages (event ledger)'!$E$2:$E$65,"&lt;="&amp;$B122,'Outages (event ledger)'!$G$2:$G$65,"&gt;="&amp;$B122)</f>
        <v>0</v>
      </c>
      <c r="AI122" s="29" t="n">
        <f aca="false">SUMIFS('Outages (event ledger)'!$H$2:$H$65,'Outages (event ledger)'!$A$2:$A$65,AI$2,'Outages (event ledger)'!$E$2:$E$65,"&lt;="&amp;$B122,'Outages (event ledger)'!$G$2:$G$65,"&gt;="&amp;$B122)</f>
        <v>0</v>
      </c>
      <c r="AJ122" s="29" t="n">
        <f aca="false">SUMIFS('Outages (event ledger)'!$H$2:$H$65,'Outages (event ledger)'!$A$2:$A$65,AJ$2,'Outages (event ledger)'!$E$2:$E$65,"&lt;="&amp;$B122,'Outages (event ledger)'!$G$2:$G$65,"&gt;="&amp;$B122)</f>
        <v>0</v>
      </c>
      <c r="AK122" s="29" t="n">
        <f aca="false">SUMIFS('Outages (event ledger)'!$H$2:$H$65,'Outages (event ledger)'!$A$2:$A$65,AK$2,'Outages (event ledger)'!$E$2:$E$65,"&lt;="&amp;$B122,'Outages (event ledger)'!$G$2:$G$65,"&gt;="&amp;$B122)</f>
        <v>0</v>
      </c>
      <c r="AL122" s="29" t="n">
        <f aca="false">SUMIFS('Outages (event ledger)'!$H$2:$H$65,'Outages (event ledger)'!$A$2:$A$65,AL$2,'Outages (event ledger)'!$E$2:$E$65,"&lt;="&amp;$B122,'Outages (event ledger)'!$G$2:$G$65,"&gt;="&amp;$B122)</f>
        <v>0</v>
      </c>
      <c r="AM122" s="29" t="n">
        <f aca="false">SUMIFS('Outages (event ledger)'!$H$2:$H$65,'Outages (event ledger)'!$A$2:$A$65,AM$2,'Outages (event ledger)'!$E$2:$E$65,"&lt;="&amp;$B122,'Outages (event ledger)'!$G$2:$G$65,"&gt;="&amp;$B122)</f>
        <v>0</v>
      </c>
      <c r="AN122" s="29" t="n">
        <f aca="false">SUMIFS('Outages (event ledger)'!$H$2:$H$65,'Outages (event ledger)'!$A$2:$A$65,AN$2,'Outages (event ledger)'!$E$2:$E$65,"&lt;="&amp;$B122,'Outages (event ledger)'!$G$2:$G$65,"&gt;="&amp;$B122)</f>
        <v>0</v>
      </c>
      <c r="AO122" s="29" t="n">
        <f aca="false">SUMIFS('Outages (event ledger)'!$H$2:$H$65,'Outages (event ledger)'!$A$2:$A$65,AO$2,'Outages (event ledger)'!$E$2:$E$65,"&lt;="&amp;$B122,'Outages (event ledger)'!$G$2:$G$65,"&gt;="&amp;$B122)</f>
        <v>0</v>
      </c>
      <c r="AP122" s="29" t="n">
        <f aca="false">SUMIFS('Outages (event ledger)'!$H$2:$H$65,'Outages (event ledger)'!$A$2:$A$65,AP$2,'Outages (event ledger)'!$E$2:$E$65,"&lt;="&amp;$B122,'Outages (event ledger)'!$G$2:$G$65,"&gt;="&amp;$B122)</f>
        <v>0</v>
      </c>
      <c r="AQ122" s="29" t="n">
        <f aca="false">SUMIFS('Outages (event ledger)'!$H$2:$H$65,'Outages (event ledger)'!$A$2:$A$65,AQ$2,'Outages (event ledger)'!$E$2:$E$65,"&lt;="&amp;$B122,'Outages (event ledger)'!$G$2:$G$65,"&gt;="&amp;$B122)</f>
        <v>0</v>
      </c>
      <c r="AR122" s="29" t="n">
        <f aca="false">SUMIFS('Outages (event ledger)'!$H$2:$H$65,'Outages (event ledger)'!$A$2:$A$65,AR$2,'Outages (event ledger)'!$E$2:$E$65,"&lt;="&amp;$B122,'Outages (event ledger)'!$G$2:$G$65,"&gt;="&amp;$B122)</f>
        <v>0</v>
      </c>
      <c r="AS122" s="29" t="n">
        <f aca="false">SUMIFS('Outages (event ledger)'!$H$2:$H$65,'Outages (event ledger)'!$A$2:$A$65,AS$2,'Outages (event ledger)'!$E$2:$E$65,"&lt;="&amp;$B122,'Outages (event ledger)'!$G$2:$G$65,"&gt;="&amp;$B122)</f>
        <v>0</v>
      </c>
      <c r="AT122" s="29" t="n">
        <f aca="false">SUMIFS('Outages (event ledger)'!$H$2:$H$65,'Outages (event ledger)'!$A$2:$A$65,AT$2,'Outages (event ledger)'!$E$2:$E$65,"&lt;="&amp;$B122,'Outages (event ledger)'!$G$2:$G$65,"&gt;="&amp;$B122)</f>
        <v>0</v>
      </c>
      <c r="AU122" s="29" t="n">
        <f aca="false">SUMIFS('Outages (event ledger)'!$H$2:$H$65,'Outages (event ledger)'!$A$2:$A$65,AU$2,'Outages (event ledger)'!$E$2:$E$65,"&lt;="&amp;$B122,'Outages (event ledger)'!$G$2:$G$65,"&gt;="&amp;$B122)</f>
        <v>0</v>
      </c>
      <c r="AV122" s="29" t="n">
        <f aca="false">SUMIFS('Outages (event ledger)'!$H$2:$H$65,'Outages (event ledger)'!$A$2:$A$65,AV$2,'Outages (event ledger)'!$E$2:$E$65,"&lt;="&amp;$B122,'Outages (event ledger)'!$G$2:$G$65,"&gt;="&amp;$B122)</f>
        <v>0</v>
      </c>
      <c r="AW122" s="29" t="n">
        <f aca="false">SUMIFS('Outages (event ledger)'!$H$2:$H$65,'Outages (event ledger)'!$A$2:$A$65,AW$2,'Outages (event ledger)'!$E$2:$E$65,"&lt;="&amp;$B122,'Outages (event ledger)'!$G$2:$G$65,"&gt;="&amp;$B122)</f>
        <v>0.5</v>
      </c>
      <c r="AX122" s="29" t="n">
        <f aca="false">SUMIFS('Outages (event ledger)'!$H$2:$H$65,'Outages (event ledger)'!$A$2:$A$65,AX$2,'Outages (event ledger)'!$E$2:$E$65,"&lt;="&amp;$B122,'Outages (event ledger)'!$G$2:$G$65,"&gt;="&amp;$B122)</f>
        <v>0</v>
      </c>
      <c r="AY122" s="29" t="n">
        <f aca="false">SUMIFS('Outages (event ledger)'!$H$2:$H$65,'Outages (event ledger)'!$A$2:$A$65,AY$2,'Outages (event ledger)'!$E$2:$E$65,"&lt;="&amp;$B122,'Outages (event ledger)'!$G$2:$G$65,"&gt;="&amp;$B122)</f>
        <v>0</v>
      </c>
      <c r="AZ122" s="29" t="n">
        <f aca="false">SUMIFS('Outages (event ledger)'!$H$2:$H$65,'Outages (event ledger)'!$A$2:$A$65,AZ$2,'Outages (event ledger)'!$E$2:$E$65,"&lt;="&amp;$B122,'Outages (event ledger)'!$G$2:$G$65,"&gt;="&amp;$B122)</f>
        <v>0</v>
      </c>
      <c r="BA122" s="29" t="n">
        <f aca="false">SUMIFS('Outages (event ledger)'!$H$2:$H$65,'Outages (event ledger)'!$A$2:$A$65,BA$2,'Outages (event ledger)'!$E$2:$E$65,"&lt;="&amp;$B122,'Outages (event ledger)'!$G$2:$G$65,"&gt;="&amp;$B122)</f>
        <v>0</v>
      </c>
      <c r="BB122" s="29" t="n">
        <f aca="false">SUMIFS('Outages (event ledger)'!$H$2:$H$65,'Outages (event ledger)'!$A$2:$A$65,BB$2,'Outages (event ledger)'!$E$2:$E$65,"&lt;="&amp;$B122,'Outages (event ledger)'!$G$2:$G$65,"&gt;="&amp;$B122)</f>
        <v>0</v>
      </c>
      <c r="BC122" s="29" t="n">
        <f aca="false">SUMIFS('Outages (event ledger)'!$H$2:$H$65,'Outages (event ledger)'!$A$2:$A$65,BC$2,'Outages (event ledger)'!$E$2:$E$65,"&lt;="&amp;$B122,'Outages (event ledger)'!$G$2:$G$65,"&gt;="&amp;$B122)</f>
        <v>0</v>
      </c>
      <c r="BD122" s="29" t="n">
        <f aca="false">SUMIFS('Outages (event ledger)'!$H$2:$H$65,'Outages (event ledger)'!$A$2:$A$65,BD$2,'Outages (event ledger)'!$E$2:$E$65,"&lt;="&amp;$B122,'Outages (event ledger)'!$G$2:$G$65,"&gt;="&amp;$B122)</f>
        <v>0</v>
      </c>
      <c r="BE122" s="29" t="n">
        <f aca="false">SUMIFS('Outages (event ledger)'!$H$2:$H$65,'Outages (event ledger)'!$A$2:$A$65,BE$2,'Outages (event ledger)'!$E$2:$E$65,"&lt;="&amp;$B122,'Outages (event ledger)'!$G$2:$G$65,"&gt;="&amp;$B122)</f>
        <v>0</v>
      </c>
      <c r="BF122" s="29" t="n">
        <f aca="false">SUMIFS('Outages (event ledger)'!$H$2:$H$65,'Outages (event ledger)'!$A$2:$A$65,BF$2,'Outages (event ledger)'!$E$2:$E$65,"&lt;="&amp;$B122,'Outages (event ledger)'!$G$2:$G$65,"&gt;="&amp;$B122)</f>
        <v>0</v>
      </c>
      <c r="BG122" s="29" t="n">
        <f aca="false">SUMIFS('Outages (event ledger)'!$H$2:$H$65,'Outages (event ledger)'!$A$2:$A$65,BG$2,'Outages (event ledger)'!$E$2:$E$65,"&lt;="&amp;$B122,'Outages (event ledger)'!$G$2:$G$65,"&gt;="&amp;$B122)</f>
        <v>0</v>
      </c>
      <c r="BH122" s="29" t="n">
        <f aca="false">SUMIFS('Outages (event ledger)'!$H$2:$H$65,'Outages (event ledger)'!$A$2:$A$65,BH$2,'Outages (event ledger)'!$E$2:$E$65,"&lt;="&amp;$B122,'Outages (event ledger)'!$G$2:$G$65,"&gt;="&amp;$B122)</f>
        <v>0</v>
      </c>
      <c r="BI122" s="29" t="n">
        <f aca="false">SUMIFS('Outages (event ledger)'!$H$2:$H$65,'Outages (event ledger)'!$A$2:$A$65,BI$2,'Outages (event ledger)'!$E$2:$E$65,"&lt;="&amp;$B122,'Outages (event ledger)'!$G$2:$G$65,"&gt;="&amp;$B122)</f>
        <v>6.7</v>
      </c>
    </row>
    <row r="123" customFormat="false" ht="15" hidden="false" customHeight="false" outlineLevel="0" collapsed="false">
      <c r="A123" s="23" t="n">
        <v>43831</v>
      </c>
      <c r="B123" s="24" t="n">
        <v>202001</v>
      </c>
      <c r="C123" s="25" t="n">
        <f aca="false">SUM(D123:BI123)</f>
        <v>19.7</v>
      </c>
      <c r="D123" s="26" t="n">
        <f aca="false">SUMIFS('Outages (event ledger)'!$H$2:$H$65,'Outages (event ledger)'!$A$2:$A$65,D$2,'Outages (event ledger)'!$E$2:$E$65,"&lt;="&amp;$B123,'Outages (event ledger)'!$G$2:$G$65,"&gt;="&amp;$B123)</f>
        <v>0</v>
      </c>
      <c r="E123" s="26" t="n">
        <f aca="false">SUMIFS('Outages (event ledger)'!$H$2:$H$65,'Outages (event ledger)'!$A$2:$A$65,E$2,'Outages (event ledger)'!$E$2:$E$65,"&lt;="&amp;$B123,'Outages (event ledger)'!$G$2:$G$65,"&gt;="&amp;$B123)</f>
        <v>0</v>
      </c>
      <c r="F123" s="26" t="n">
        <f aca="false">SUMIFS('Outages (event ledger)'!$H$2:$H$65,'Outages (event ledger)'!$A$2:$A$65,F$2,'Outages (event ledger)'!$E$2:$E$65,"&lt;="&amp;$B123,'Outages (event ledger)'!$G$2:$G$65,"&gt;="&amp;$B123)</f>
        <v>0</v>
      </c>
      <c r="G123" s="26" t="n">
        <f aca="false">SUMIFS('Outages (event ledger)'!$H$2:$H$65,'Outages (event ledger)'!$A$2:$A$65,G$2,'Outages (event ledger)'!$E$2:$E$65,"&lt;="&amp;$B123,'Outages (event ledger)'!$G$2:$G$65,"&gt;="&amp;$B123)</f>
        <v>0</v>
      </c>
      <c r="H123" s="26" t="n">
        <f aca="false">SUMIFS('Outages (event ledger)'!$H$2:$H$65,'Outages (event ledger)'!$A$2:$A$65,H$2,'Outages (event ledger)'!$E$2:$E$65,"&lt;="&amp;$B123,'Outages (event ledger)'!$G$2:$G$65,"&gt;="&amp;$B123)</f>
        <v>0</v>
      </c>
      <c r="I123" s="26" t="n">
        <f aca="false">SUMIFS('Outages (event ledger)'!$H$2:$H$65,'Outages (event ledger)'!$A$2:$A$65,I$2,'Outages (event ledger)'!$E$2:$E$65,"&lt;="&amp;$B123,'Outages (event ledger)'!$G$2:$G$65,"&gt;="&amp;$B123)</f>
        <v>0</v>
      </c>
      <c r="J123" s="26" t="n">
        <f aca="false">SUMIFS('Outages (event ledger)'!$H$2:$H$65,'Outages (event ledger)'!$A$2:$A$65,J$2,'Outages (event ledger)'!$E$2:$E$65,"&lt;="&amp;$B123,'Outages (event ledger)'!$G$2:$G$65,"&gt;="&amp;$B123)</f>
        <v>0</v>
      </c>
      <c r="K123" s="26" t="n">
        <f aca="false">SUMIFS('Outages (event ledger)'!$H$2:$H$65,'Outages (event ledger)'!$A$2:$A$65,K$2,'Outages (event ledger)'!$E$2:$E$65,"&lt;="&amp;$B123,'Outages (event ledger)'!$G$2:$G$65,"&gt;="&amp;$B123)</f>
        <v>0</v>
      </c>
      <c r="L123" s="26" t="n">
        <f aca="false">SUMIFS('Outages (event ledger)'!$H$2:$H$65,'Outages (event ledger)'!$A$2:$A$65,L$2,'Outages (event ledger)'!$E$2:$E$65,"&lt;="&amp;$B123,'Outages (event ledger)'!$G$2:$G$65,"&gt;="&amp;$B123)</f>
        <v>0</v>
      </c>
      <c r="M123" s="26" t="n">
        <f aca="false">SUMIFS('Outages (event ledger)'!$H$2:$H$65,'Outages (event ledger)'!$A$2:$A$65,M$2,'Outages (event ledger)'!$E$2:$E$65,"&lt;="&amp;$B123,'Outages (event ledger)'!$G$2:$G$65,"&gt;="&amp;$B123)</f>
        <v>0</v>
      </c>
      <c r="N123" s="26" t="n">
        <f aca="false">SUMIFS('Outages (event ledger)'!$H$2:$H$65,'Outages (event ledger)'!$A$2:$A$65,N$2,'Outages (event ledger)'!$E$2:$E$65,"&lt;="&amp;$B123,'Outages (event ledger)'!$G$2:$G$65,"&gt;="&amp;$B123)</f>
        <v>0</v>
      </c>
      <c r="O123" s="26" t="n">
        <f aca="false">SUMIFS('Outages (event ledger)'!$H$2:$H$65,'Outages (event ledger)'!$A$2:$A$65,O$2,'Outages (event ledger)'!$E$2:$E$65,"&lt;="&amp;$B123,'Outages (event ledger)'!$G$2:$G$65,"&gt;="&amp;$B123)</f>
        <v>0</v>
      </c>
      <c r="P123" s="26" t="n">
        <f aca="false">SUMIFS('Outages (event ledger)'!$H$2:$H$65,'Outages (event ledger)'!$A$2:$A$65,P$2,'Outages (event ledger)'!$E$2:$E$65,"&lt;="&amp;$B123,'Outages (event ledger)'!$G$2:$G$65,"&gt;="&amp;$B123)</f>
        <v>0</v>
      </c>
      <c r="Q123" s="26" t="n">
        <f aca="false">SUMIFS('Outages (event ledger)'!$H$2:$H$65,'Outages (event ledger)'!$A$2:$A$65,Q$2,'Outages (event ledger)'!$E$2:$E$65,"&lt;="&amp;$B123,'Outages (event ledger)'!$G$2:$G$65,"&gt;="&amp;$B123)</f>
        <v>0</v>
      </c>
      <c r="R123" s="26" t="n">
        <f aca="false">SUMIFS('Outages (event ledger)'!$H$2:$H$65,'Outages (event ledger)'!$A$2:$A$65,R$2,'Outages (event ledger)'!$E$2:$E$65,"&lt;="&amp;$B123,'Outages (event ledger)'!$G$2:$G$65,"&gt;="&amp;$B123)</f>
        <v>0</v>
      </c>
      <c r="S123" s="26" t="n">
        <f aca="false">SUMIFS('Outages (event ledger)'!$H$2:$H$65,'Outages (event ledger)'!$A$2:$A$65,S$2,'Outages (event ledger)'!$E$2:$E$65,"&lt;="&amp;$B123,'Outages (event ledger)'!$G$2:$G$65,"&gt;="&amp;$B123)</f>
        <v>0</v>
      </c>
      <c r="T123" s="26" t="n">
        <f aca="false">SUMIFS('Outages (event ledger)'!$H$2:$H$65,'Outages (event ledger)'!$A$2:$A$65,T$2,'Outages (event ledger)'!$E$2:$E$65,"&lt;="&amp;$B123,'Outages (event ledger)'!$G$2:$G$65,"&gt;="&amp;$B123)</f>
        <v>0</v>
      </c>
      <c r="U123" s="26" t="n">
        <f aca="false">SUMIFS('Outages (event ledger)'!$H$2:$H$65,'Outages (event ledger)'!$A$2:$A$65,U$2,'Outages (event ledger)'!$E$2:$E$65,"&lt;="&amp;$B123,'Outages (event ledger)'!$G$2:$G$65,"&gt;="&amp;$B123)</f>
        <v>0</v>
      </c>
      <c r="V123" s="26" t="n">
        <f aca="false">SUMIFS('Outages (event ledger)'!$H$2:$H$65,'Outages (event ledger)'!$A$2:$A$65,V$2,'Outages (event ledger)'!$E$2:$E$65,"&lt;="&amp;$B123,'Outages (event ledger)'!$G$2:$G$65,"&gt;="&amp;$B123)</f>
        <v>0</v>
      </c>
      <c r="W123" s="26" t="n">
        <f aca="false">SUMIFS('Outages (event ledger)'!$H$2:$H$65,'Outages (event ledger)'!$A$2:$A$65,W$2,'Outages (event ledger)'!$E$2:$E$65,"&lt;="&amp;$B123,'Outages (event ledger)'!$G$2:$G$65,"&gt;="&amp;$B123)</f>
        <v>0</v>
      </c>
      <c r="X123" s="26" t="n">
        <f aca="false">SUMIFS('Outages (event ledger)'!$H$2:$H$65,'Outages (event ledger)'!$A$2:$A$65,X$2,'Outages (event ledger)'!$E$2:$E$65,"&lt;="&amp;$B123,'Outages (event ledger)'!$G$2:$G$65,"&gt;="&amp;$B123)</f>
        <v>0</v>
      </c>
      <c r="Y123" s="26" t="n">
        <f aca="false">SUMIFS('Outages (event ledger)'!$H$2:$H$65,'Outages (event ledger)'!$A$2:$A$65,Y$2,'Outages (event ledger)'!$E$2:$E$65,"&lt;="&amp;$B123,'Outages (event ledger)'!$G$2:$G$65,"&gt;="&amp;$B123)</f>
        <v>5</v>
      </c>
      <c r="Z123" s="26" t="n">
        <f aca="false">SUMIFS('Outages (event ledger)'!$H$2:$H$65,'Outages (event ledger)'!$A$2:$A$65,Z$2,'Outages (event ledger)'!$E$2:$E$65,"&lt;="&amp;$B123,'Outages (event ledger)'!$G$2:$G$65,"&gt;="&amp;$B123)</f>
        <v>0</v>
      </c>
      <c r="AA123" s="26" t="n">
        <f aca="false">SUMIFS('Outages (event ledger)'!$H$2:$H$65,'Outages (event ledger)'!$A$2:$A$65,AA$2,'Outages (event ledger)'!$E$2:$E$65,"&lt;="&amp;$B123,'Outages (event ledger)'!$G$2:$G$65,"&gt;="&amp;$B123)</f>
        <v>0</v>
      </c>
      <c r="AB123" s="26" t="n">
        <f aca="false">SUMIFS('Outages (event ledger)'!$H$2:$H$65,'Outages (event ledger)'!$A$2:$A$65,AB$2,'Outages (event ledger)'!$E$2:$E$65,"&lt;="&amp;$B123,'Outages (event ledger)'!$G$2:$G$65,"&gt;="&amp;$B123)</f>
        <v>8</v>
      </c>
      <c r="AC123" s="26" t="n">
        <f aca="false">SUMIFS('Outages (event ledger)'!$H$2:$H$65,'Outages (event ledger)'!$A$2:$A$65,AC$2,'Outages (event ledger)'!$E$2:$E$65,"&lt;="&amp;$B123,'Outages (event ledger)'!$G$2:$G$65,"&gt;="&amp;$B123)</f>
        <v>0</v>
      </c>
      <c r="AD123" s="26" t="n">
        <f aca="false">SUMIFS('Outages (event ledger)'!$H$2:$H$65,'Outages (event ledger)'!$A$2:$A$65,AD$2,'Outages (event ledger)'!$E$2:$E$65,"&lt;="&amp;$B123,'Outages (event ledger)'!$G$2:$G$65,"&gt;="&amp;$B123)</f>
        <v>0</v>
      </c>
      <c r="AE123" s="26" t="n">
        <f aca="false">SUMIFS('Outages (event ledger)'!$H$2:$H$65,'Outages (event ledger)'!$A$2:$A$65,AE$2,'Outages (event ledger)'!$E$2:$E$65,"&lt;="&amp;$B123,'Outages (event ledger)'!$G$2:$G$65,"&gt;="&amp;$B123)</f>
        <v>0</v>
      </c>
      <c r="AF123" s="26" t="n">
        <f aca="false">SUMIFS('Outages (event ledger)'!$H$2:$H$65,'Outages (event ledger)'!$A$2:$A$65,AF$2,'Outages (event ledger)'!$E$2:$E$65,"&lt;="&amp;$B123,'Outages (event ledger)'!$G$2:$G$65,"&gt;="&amp;$B123)</f>
        <v>0</v>
      </c>
      <c r="AG123" s="26" t="n">
        <f aca="false">SUMIFS('Outages (event ledger)'!$H$2:$H$65,'Outages (event ledger)'!$A$2:$A$65,AG$2,'Outages (event ledger)'!$E$2:$E$65,"&lt;="&amp;$B123,'Outages (event ledger)'!$G$2:$G$65,"&gt;="&amp;$B123)</f>
        <v>0</v>
      </c>
      <c r="AH123" s="26" t="n">
        <f aca="false">SUMIFS('Outages (event ledger)'!$H$2:$H$65,'Outages (event ledger)'!$A$2:$A$65,AH$2,'Outages (event ledger)'!$E$2:$E$65,"&lt;="&amp;$B123,'Outages (event ledger)'!$G$2:$G$65,"&gt;="&amp;$B123)</f>
        <v>0</v>
      </c>
      <c r="AI123" s="26" t="n">
        <f aca="false">SUMIFS('Outages (event ledger)'!$H$2:$H$65,'Outages (event ledger)'!$A$2:$A$65,AI$2,'Outages (event ledger)'!$E$2:$E$65,"&lt;="&amp;$B123,'Outages (event ledger)'!$G$2:$G$65,"&gt;="&amp;$B123)</f>
        <v>0</v>
      </c>
      <c r="AJ123" s="26" t="n">
        <f aca="false">SUMIFS('Outages (event ledger)'!$H$2:$H$65,'Outages (event ledger)'!$A$2:$A$65,AJ$2,'Outages (event ledger)'!$E$2:$E$65,"&lt;="&amp;$B123,'Outages (event ledger)'!$G$2:$G$65,"&gt;="&amp;$B123)</f>
        <v>0</v>
      </c>
      <c r="AK123" s="26" t="n">
        <f aca="false">SUMIFS('Outages (event ledger)'!$H$2:$H$65,'Outages (event ledger)'!$A$2:$A$65,AK$2,'Outages (event ledger)'!$E$2:$E$65,"&lt;="&amp;$B123,'Outages (event ledger)'!$G$2:$G$65,"&gt;="&amp;$B123)</f>
        <v>0</v>
      </c>
      <c r="AL123" s="26" t="n">
        <f aca="false">SUMIFS('Outages (event ledger)'!$H$2:$H$65,'Outages (event ledger)'!$A$2:$A$65,AL$2,'Outages (event ledger)'!$E$2:$E$65,"&lt;="&amp;$B123,'Outages (event ledger)'!$G$2:$G$65,"&gt;="&amp;$B123)</f>
        <v>0</v>
      </c>
      <c r="AM123" s="26" t="n">
        <f aca="false">SUMIFS('Outages (event ledger)'!$H$2:$H$65,'Outages (event ledger)'!$A$2:$A$65,AM$2,'Outages (event ledger)'!$E$2:$E$65,"&lt;="&amp;$B123,'Outages (event ledger)'!$G$2:$G$65,"&gt;="&amp;$B123)</f>
        <v>0</v>
      </c>
      <c r="AN123" s="26" t="n">
        <f aca="false">SUMIFS('Outages (event ledger)'!$H$2:$H$65,'Outages (event ledger)'!$A$2:$A$65,AN$2,'Outages (event ledger)'!$E$2:$E$65,"&lt;="&amp;$B123,'Outages (event ledger)'!$G$2:$G$65,"&gt;="&amp;$B123)</f>
        <v>0</v>
      </c>
      <c r="AO123" s="26" t="n">
        <f aca="false">SUMIFS('Outages (event ledger)'!$H$2:$H$65,'Outages (event ledger)'!$A$2:$A$65,AO$2,'Outages (event ledger)'!$E$2:$E$65,"&lt;="&amp;$B123,'Outages (event ledger)'!$G$2:$G$65,"&gt;="&amp;$B123)</f>
        <v>0</v>
      </c>
      <c r="AP123" s="26" t="n">
        <f aca="false">SUMIFS('Outages (event ledger)'!$H$2:$H$65,'Outages (event ledger)'!$A$2:$A$65,AP$2,'Outages (event ledger)'!$E$2:$E$65,"&lt;="&amp;$B123,'Outages (event ledger)'!$G$2:$G$65,"&gt;="&amp;$B123)</f>
        <v>0</v>
      </c>
      <c r="AQ123" s="26" t="n">
        <f aca="false">SUMIFS('Outages (event ledger)'!$H$2:$H$65,'Outages (event ledger)'!$A$2:$A$65,AQ$2,'Outages (event ledger)'!$E$2:$E$65,"&lt;="&amp;$B123,'Outages (event ledger)'!$G$2:$G$65,"&gt;="&amp;$B123)</f>
        <v>0</v>
      </c>
      <c r="AR123" s="26" t="n">
        <f aca="false">SUMIFS('Outages (event ledger)'!$H$2:$H$65,'Outages (event ledger)'!$A$2:$A$65,AR$2,'Outages (event ledger)'!$E$2:$E$65,"&lt;="&amp;$B123,'Outages (event ledger)'!$G$2:$G$65,"&gt;="&amp;$B123)</f>
        <v>0</v>
      </c>
      <c r="AS123" s="26" t="n">
        <f aca="false">SUMIFS('Outages (event ledger)'!$H$2:$H$65,'Outages (event ledger)'!$A$2:$A$65,AS$2,'Outages (event ledger)'!$E$2:$E$65,"&lt;="&amp;$B123,'Outages (event ledger)'!$G$2:$G$65,"&gt;="&amp;$B123)</f>
        <v>0</v>
      </c>
      <c r="AT123" s="26" t="n">
        <f aca="false">SUMIFS('Outages (event ledger)'!$H$2:$H$65,'Outages (event ledger)'!$A$2:$A$65,AT$2,'Outages (event ledger)'!$E$2:$E$65,"&lt;="&amp;$B123,'Outages (event ledger)'!$G$2:$G$65,"&gt;="&amp;$B123)</f>
        <v>0</v>
      </c>
      <c r="AU123" s="26" t="n">
        <f aca="false">SUMIFS('Outages (event ledger)'!$H$2:$H$65,'Outages (event ledger)'!$A$2:$A$65,AU$2,'Outages (event ledger)'!$E$2:$E$65,"&lt;="&amp;$B123,'Outages (event ledger)'!$G$2:$G$65,"&gt;="&amp;$B123)</f>
        <v>0</v>
      </c>
      <c r="AV123" s="26" t="n">
        <f aca="false">SUMIFS('Outages (event ledger)'!$H$2:$H$65,'Outages (event ledger)'!$A$2:$A$65,AV$2,'Outages (event ledger)'!$E$2:$E$65,"&lt;="&amp;$B123,'Outages (event ledger)'!$G$2:$G$65,"&gt;="&amp;$B123)</f>
        <v>0</v>
      </c>
      <c r="AW123" s="26" t="n">
        <f aca="false">SUMIFS('Outages (event ledger)'!$H$2:$H$65,'Outages (event ledger)'!$A$2:$A$65,AW$2,'Outages (event ledger)'!$E$2:$E$65,"&lt;="&amp;$B123,'Outages (event ledger)'!$G$2:$G$65,"&gt;="&amp;$B123)</f>
        <v>0</v>
      </c>
      <c r="AX123" s="26" t="n">
        <f aca="false">SUMIFS('Outages (event ledger)'!$H$2:$H$65,'Outages (event ledger)'!$A$2:$A$65,AX$2,'Outages (event ledger)'!$E$2:$E$65,"&lt;="&amp;$B123,'Outages (event ledger)'!$G$2:$G$65,"&gt;="&amp;$B123)</f>
        <v>0</v>
      </c>
      <c r="AY123" s="26" t="n">
        <f aca="false">SUMIFS('Outages (event ledger)'!$H$2:$H$65,'Outages (event ledger)'!$A$2:$A$65,AY$2,'Outages (event ledger)'!$E$2:$E$65,"&lt;="&amp;$B123,'Outages (event ledger)'!$G$2:$G$65,"&gt;="&amp;$B123)</f>
        <v>0</v>
      </c>
      <c r="AZ123" s="26" t="n">
        <f aca="false">SUMIFS('Outages (event ledger)'!$H$2:$H$65,'Outages (event ledger)'!$A$2:$A$65,AZ$2,'Outages (event ledger)'!$E$2:$E$65,"&lt;="&amp;$B123,'Outages (event ledger)'!$G$2:$G$65,"&gt;="&amp;$B123)</f>
        <v>0</v>
      </c>
      <c r="BA123" s="26" t="n">
        <f aca="false">SUMIFS('Outages (event ledger)'!$H$2:$H$65,'Outages (event ledger)'!$A$2:$A$65,BA$2,'Outages (event ledger)'!$E$2:$E$65,"&lt;="&amp;$B123,'Outages (event ledger)'!$G$2:$G$65,"&gt;="&amp;$B123)</f>
        <v>0</v>
      </c>
      <c r="BB123" s="26" t="n">
        <f aca="false">SUMIFS('Outages (event ledger)'!$H$2:$H$65,'Outages (event ledger)'!$A$2:$A$65,BB$2,'Outages (event ledger)'!$E$2:$E$65,"&lt;="&amp;$B123,'Outages (event ledger)'!$G$2:$G$65,"&gt;="&amp;$B123)</f>
        <v>0</v>
      </c>
      <c r="BC123" s="26" t="n">
        <f aca="false">SUMIFS('Outages (event ledger)'!$H$2:$H$65,'Outages (event ledger)'!$A$2:$A$65,BC$2,'Outages (event ledger)'!$E$2:$E$65,"&lt;="&amp;$B123,'Outages (event ledger)'!$G$2:$G$65,"&gt;="&amp;$B123)</f>
        <v>0</v>
      </c>
      <c r="BD123" s="26" t="n">
        <f aca="false">SUMIFS('Outages (event ledger)'!$H$2:$H$65,'Outages (event ledger)'!$A$2:$A$65,BD$2,'Outages (event ledger)'!$E$2:$E$65,"&lt;="&amp;$B123,'Outages (event ledger)'!$G$2:$G$65,"&gt;="&amp;$B123)</f>
        <v>0</v>
      </c>
      <c r="BE123" s="26" t="n">
        <f aca="false">SUMIFS('Outages (event ledger)'!$H$2:$H$65,'Outages (event ledger)'!$A$2:$A$65,BE$2,'Outages (event ledger)'!$E$2:$E$65,"&lt;="&amp;$B123,'Outages (event ledger)'!$G$2:$G$65,"&gt;="&amp;$B123)</f>
        <v>0</v>
      </c>
      <c r="BF123" s="26" t="n">
        <f aca="false">SUMIFS('Outages (event ledger)'!$H$2:$H$65,'Outages (event ledger)'!$A$2:$A$65,BF$2,'Outages (event ledger)'!$E$2:$E$65,"&lt;="&amp;$B123,'Outages (event ledger)'!$G$2:$G$65,"&gt;="&amp;$B123)</f>
        <v>0</v>
      </c>
      <c r="BG123" s="26" t="n">
        <f aca="false">SUMIFS('Outages (event ledger)'!$H$2:$H$65,'Outages (event ledger)'!$A$2:$A$65,BG$2,'Outages (event ledger)'!$E$2:$E$65,"&lt;="&amp;$B123,'Outages (event ledger)'!$G$2:$G$65,"&gt;="&amp;$B123)</f>
        <v>0</v>
      </c>
      <c r="BH123" s="26" t="n">
        <f aca="false">SUMIFS('Outages (event ledger)'!$H$2:$H$65,'Outages (event ledger)'!$A$2:$A$65,BH$2,'Outages (event ledger)'!$E$2:$E$65,"&lt;="&amp;$B123,'Outages (event ledger)'!$G$2:$G$65,"&gt;="&amp;$B123)</f>
        <v>0</v>
      </c>
      <c r="BI123" s="26" t="n">
        <f aca="false">SUMIFS('Outages (event ledger)'!$H$2:$H$65,'Outages (event ledger)'!$A$2:$A$65,BI$2,'Outages (event ledger)'!$E$2:$E$65,"&lt;="&amp;$B123,'Outages (event ledger)'!$G$2:$G$65,"&gt;="&amp;$B123)</f>
        <v>6.7</v>
      </c>
    </row>
    <row r="124" customFormat="false" ht="15" hidden="false" customHeight="false" outlineLevel="0" collapsed="false">
      <c r="A124" s="23" t="n">
        <v>43862</v>
      </c>
      <c r="B124" s="24" t="n">
        <v>202002</v>
      </c>
      <c r="C124" s="25" t="n">
        <f aca="false">SUM(D124:BI124)</f>
        <v>23.3</v>
      </c>
      <c r="D124" s="26" t="n">
        <f aca="false">SUMIFS('Outages (event ledger)'!$H$2:$H$65,'Outages (event ledger)'!$A$2:$A$65,D$2,'Outages (event ledger)'!$E$2:$E$65,"&lt;="&amp;$B124,'Outages (event ledger)'!$G$2:$G$65,"&gt;="&amp;$B124)</f>
        <v>0</v>
      </c>
      <c r="E124" s="26" t="n">
        <f aca="false">SUMIFS('Outages (event ledger)'!$H$2:$H$65,'Outages (event ledger)'!$A$2:$A$65,E$2,'Outages (event ledger)'!$E$2:$E$65,"&lt;="&amp;$B124,'Outages (event ledger)'!$G$2:$G$65,"&gt;="&amp;$B124)</f>
        <v>0</v>
      </c>
      <c r="F124" s="26" t="n">
        <f aca="false">SUMIFS('Outages (event ledger)'!$H$2:$H$65,'Outages (event ledger)'!$A$2:$A$65,F$2,'Outages (event ledger)'!$E$2:$E$65,"&lt;="&amp;$B124,'Outages (event ledger)'!$G$2:$G$65,"&gt;="&amp;$B124)</f>
        <v>0</v>
      </c>
      <c r="G124" s="26" t="n">
        <f aca="false">SUMIFS('Outages (event ledger)'!$H$2:$H$65,'Outages (event ledger)'!$A$2:$A$65,G$2,'Outages (event ledger)'!$E$2:$E$65,"&lt;="&amp;$B124,'Outages (event ledger)'!$G$2:$G$65,"&gt;="&amp;$B124)</f>
        <v>0</v>
      </c>
      <c r="H124" s="26" t="n">
        <f aca="false">SUMIFS('Outages (event ledger)'!$H$2:$H$65,'Outages (event ledger)'!$A$2:$A$65,H$2,'Outages (event ledger)'!$E$2:$E$65,"&lt;="&amp;$B124,'Outages (event ledger)'!$G$2:$G$65,"&gt;="&amp;$B124)</f>
        <v>0</v>
      </c>
      <c r="I124" s="26" t="n">
        <f aca="false">SUMIFS('Outages (event ledger)'!$H$2:$H$65,'Outages (event ledger)'!$A$2:$A$65,I$2,'Outages (event ledger)'!$E$2:$E$65,"&lt;="&amp;$B124,'Outages (event ledger)'!$G$2:$G$65,"&gt;="&amp;$B124)</f>
        <v>0</v>
      </c>
      <c r="J124" s="26" t="n">
        <f aca="false">SUMIFS('Outages (event ledger)'!$H$2:$H$65,'Outages (event ledger)'!$A$2:$A$65,J$2,'Outages (event ledger)'!$E$2:$E$65,"&lt;="&amp;$B124,'Outages (event ledger)'!$G$2:$G$65,"&gt;="&amp;$B124)</f>
        <v>0</v>
      </c>
      <c r="K124" s="26" t="n">
        <f aca="false">SUMIFS('Outages (event ledger)'!$H$2:$H$65,'Outages (event ledger)'!$A$2:$A$65,K$2,'Outages (event ledger)'!$E$2:$E$65,"&lt;="&amp;$B124,'Outages (event ledger)'!$G$2:$G$65,"&gt;="&amp;$B124)</f>
        <v>0</v>
      </c>
      <c r="L124" s="26" t="n">
        <f aca="false">SUMIFS('Outages (event ledger)'!$H$2:$H$65,'Outages (event ledger)'!$A$2:$A$65,L$2,'Outages (event ledger)'!$E$2:$E$65,"&lt;="&amp;$B124,'Outages (event ledger)'!$G$2:$G$65,"&gt;="&amp;$B124)</f>
        <v>0</v>
      </c>
      <c r="M124" s="26" t="n">
        <f aca="false">SUMIFS('Outages (event ledger)'!$H$2:$H$65,'Outages (event ledger)'!$A$2:$A$65,M$2,'Outages (event ledger)'!$E$2:$E$65,"&lt;="&amp;$B124,'Outages (event ledger)'!$G$2:$G$65,"&gt;="&amp;$B124)</f>
        <v>0</v>
      </c>
      <c r="N124" s="26" t="n">
        <f aca="false">SUMIFS('Outages (event ledger)'!$H$2:$H$65,'Outages (event ledger)'!$A$2:$A$65,N$2,'Outages (event ledger)'!$E$2:$E$65,"&lt;="&amp;$B124,'Outages (event ledger)'!$G$2:$G$65,"&gt;="&amp;$B124)</f>
        <v>0</v>
      </c>
      <c r="O124" s="26" t="n">
        <f aca="false">SUMIFS('Outages (event ledger)'!$H$2:$H$65,'Outages (event ledger)'!$A$2:$A$65,O$2,'Outages (event ledger)'!$E$2:$E$65,"&lt;="&amp;$B124,'Outages (event ledger)'!$G$2:$G$65,"&gt;="&amp;$B124)</f>
        <v>0</v>
      </c>
      <c r="P124" s="26" t="n">
        <f aca="false">SUMIFS('Outages (event ledger)'!$H$2:$H$65,'Outages (event ledger)'!$A$2:$A$65,P$2,'Outages (event ledger)'!$E$2:$E$65,"&lt;="&amp;$B124,'Outages (event ledger)'!$G$2:$G$65,"&gt;="&amp;$B124)</f>
        <v>3.6</v>
      </c>
      <c r="Q124" s="26" t="n">
        <f aca="false">SUMIFS('Outages (event ledger)'!$H$2:$H$65,'Outages (event ledger)'!$A$2:$A$65,Q$2,'Outages (event ledger)'!$E$2:$E$65,"&lt;="&amp;$B124,'Outages (event ledger)'!$G$2:$G$65,"&gt;="&amp;$B124)</f>
        <v>0</v>
      </c>
      <c r="R124" s="26" t="n">
        <f aca="false">SUMIFS('Outages (event ledger)'!$H$2:$H$65,'Outages (event ledger)'!$A$2:$A$65,R$2,'Outages (event ledger)'!$E$2:$E$65,"&lt;="&amp;$B124,'Outages (event ledger)'!$G$2:$G$65,"&gt;="&amp;$B124)</f>
        <v>0</v>
      </c>
      <c r="S124" s="26" t="n">
        <f aca="false">SUMIFS('Outages (event ledger)'!$H$2:$H$65,'Outages (event ledger)'!$A$2:$A$65,S$2,'Outages (event ledger)'!$E$2:$E$65,"&lt;="&amp;$B124,'Outages (event ledger)'!$G$2:$G$65,"&gt;="&amp;$B124)</f>
        <v>0</v>
      </c>
      <c r="T124" s="26" t="n">
        <f aca="false">SUMIFS('Outages (event ledger)'!$H$2:$H$65,'Outages (event ledger)'!$A$2:$A$65,T$2,'Outages (event ledger)'!$E$2:$E$65,"&lt;="&amp;$B124,'Outages (event ledger)'!$G$2:$G$65,"&gt;="&amp;$B124)</f>
        <v>0</v>
      </c>
      <c r="U124" s="26" t="n">
        <f aca="false">SUMIFS('Outages (event ledger)'!$H$2:$H$65,'Outages (event ledger)'!$A$2:$A$65,U$2,'Outages (event ledger)'!$E$2:$E$65,"&lt;="&amp;$B124,'Outages (event ledger)'!$G$2:$G$65,"&gt;="&amp;$B124)</f>
        <v>0</v>
      </c>
      <c r="V124" s="26" t="n">
        <f aca="false">SUMIFS('Outages (event ledger)'!$H$2:$H$65,'Outages (event ledger)'!$A$2:$A$65,V$2,'Outages (event ledger)'!$E$2:$E$65,"&lt;="&amp;$B124,'Outages (event ledger)'!$G$2:$G$65,"&gt;="&amp;$B124)</f>
        <v>0</v>
      </c>
      <c r="W124" s="26" t="n">
        <f aca="false">SUMIFS('Outages (event ledger)'!$H$2:$H$65,'Outages (event ledger)'!$A$2:$A$65,W$2,'Outages (event ledger)'!$E$2:$E$65,"&lt;="&amp;$B124,'Outages (event ledger)'!$G$2:$G$65,"&gt;="&amp;$B124)</f>
        <v>0</v>
      </c>
      <c r="X124" s="26" t="n">
        <f aca="false">SUMIFS('Outages (event ledger)'!$H$2:$H$65,'Outages (event ledger)'!$A$2:$A$65,X$2,'Outages (event ledger)'!$E$2:$E$65,"&lt;="&amp;$B124,'Outages (event ledger)'!$G$2:$G$65,"&gt;="&amp;$B124)</f>
        <v>0</v>
      </c>
      <c r="Y124" s="26" t="n">
        <f aca="false">SUMIFS('Outages (event ledger)'!$H$2:$H$65,'Outages (event ledger)'!$A$2:$A$65,Y$2,'Outages (event ledger)'!$E$2:$E$65,"&lt;="&amp;$B124,'Outages (event ledger)'!$G$2:$G$65,"&gt;="&amp;$B124)</f>
        <v>5</v>
      </c>
      <c r="Z124" s="26" t="n">
        <f aca="false">SUMIFS('Outages (event ledger)'!$H$2:$H$65,'Outages (event ledger)'!$A$2:$A$65,Z$2,'Outages (event ledger)'!$E$2:$E$65,"&lt;="&amp;$B124,'Outages (event ledger)'!$G$2:$G$65,"&gt;="&amp;$B124)</f>
        <v>0</v>
      </c>
      <c r="AA124" s="26" t="n">
        <f aca="false">SUMIFS('Outages (event ledger)'!$H$2:$H$65,'Outages (event ledger)'!$A$2:$A$65,AA$2,'Outages (event ledger)'!$E$2:$E$65,"&lt;="&amp;$B124,'Outages (event ledger)'!$G$2:$G$65,"&gt;="&amp;$B124)</f>
        <v>0</v>
      </c>
      <c r="AB124" s="26" t="n">
        <f aca="false">SUMIFS('Outages (event ledger)'!$H$2:$H$65,'Outages (event ledger)'!$A$2:$A$65,AB$2,'Outages (event ledger)'!$E$2:$E$65,"&lt;="&amp;$B124,'Outages (event ledger)'!$G$2:$G$65,"&gt;="&amp;$B124)</f>
        <v>8</v>
      </c>
      <c r="AC124" s="26" t="n">
        <f aca="false">SUMIFS('Outages (event ledger)'!$H$2:$H$65,'Outages (event ledger)'!$A$2:$A$65,AC$2,'Outages (event ledger)'!$E$2:$E$65,"&lt;="&amp;$B124,'Outages (event ledger)'!$G$2:$G$65,"&gt;="&amp;$B124)</f>
        <v>0</v>
      </c>
      <c r="AD124" s="26" t="n">
        <f aca="false">SUMIFS('Outages (event ledger)'!$H$2:$H$65,'Outages (event ledger)'!$A$2:$A$65,AD$2,'Outages (event ledger)'!$E$2:$E$65,"&lt;="&amp;$B124,'Outages (event ledger)'!$G$2:$G$65,"&gt;="&amp;$B124)</f>
        <v>0</v>
      </c>
      <c r="AE124" s="26" t="n">
        <f aca="false">SUMIFS('Outages (event ledger)'!$H$2:$H$65,'Outages (event ledger)'!$A$2:$A$65,AE$2,'Outages (event ledger)'!$E$2:$E$65,"&lt;="&amp;$B124,'Outages (event ledger)'!$G$2:$G$65,"&gt;="&amp;$B124)</f>
        <v>0</v>
      </c>
      <c r="AF124" s="26" t="n">
        <f aca="false">SUMIFS('Outages (event ledger)'!$H$2:$H$65,'Outages (event ledger)'!$A$2:$A$65,AF$2,'Outages (event ledger)'!$E$2:$E$65,"&lt;="&amp;$B124,'Outages (event ledger)'!$G$2:$G$65,"&gt;="&amp;$B124)</f>
        <v>0</v>
      </c>
      <c r="AG124" s="26" t="n">
        <f aca="false">SUMIFS('Outages (event ledger)'!$H$2:$H$65,'Outages (event ledger)'!$A$2:$A$65,AG$2,'Outages (event ledger)'!$E$2:$E$65,"&lt;="&amp;$B124,'Outages (event ledger)'!$G$2:$G$65,"&gt;="&amp;$B124)</f>
        <v>0</v>
      </c>
      <c r="AH124" s="26" t="n">
        <f aca="false">SUMIFS('Outages (event ledger)'!$H$2:$H$65,'Outages (event ledger)'!$A$2:$A$65,AH$2,'Outages (event ledger)'!$E$2:$E$65,"&lt;="&amp;$B124,'Outages (event ledger)'!$G$2:$G$65,"&gt;="&amp;$B124)</f>
        <v>0</v>
      </c>
      <c r="AI124" s="26" t="n">
        <f aca="false">SUMIFS('Outages (event ledger)'!$H$2:$H$65,'Outages (event ledger)'!$A$2:$A$65,AI$2,'Outages (event ledger)'!$E$2:$E$65,"&lt;="&amp;$B124,'Outages (event ledger)'!$G$2:$G$65,"&gt;="&amp;$B124)</f>
        <v>0</v>
      </c>
      <c r="AJ124" s="26" t="n">
        <f aca="false">SUMIFS('Outages (event ledger)'!$H$2:$H$65,'Outages (event ledger)'!$A$2:$A$65,AJ$2,'Outages (event ledger)'!$E$2:$E$65,"&lt;="&amp;$B124,'Outages (event ledger)'!$G$2:$G$65,"&gt;="&amp;$B124)</f>
        <v>0</v>
      </c>
      <c r="AK124" s="26" t="n">
        <f aca="false">SUMIFS('Outages (event ledger)'!$H$2:$H$65,'Outages (event ledger)'!$A$2:$A$65,AK$2,'Outages (event ledger)'!$E$2:$E$65,"&lt;="&amp;$B124,'Outages (event ledger)'!$G$2:$G$65,"&gt;="&amp;$B124)</f>
        <v>0</v>
      </c>
      <c r="AL124" s="26" t="n">
        <f aca="false">SUMIFS('Outages (event ledger)'!$H$2:$H$65,'Outages (event ledger)'!$A$2:$A$65,AL$2,'Outages (event ledger)'!$E$2:$E$65,"&lt;="&amp;$B124,'Outages (event ledger)'!$G$2:$G$65,"&gt;="&amp;$B124)</f>
        <v>0</v>
      </c>
      <c r="AM124" s="26" t="n">
        <f aca="false">SUMIFS('Outages (event ledger)'!$H$2:$H$65,'Outages (event ledger)'!$A$2:$A$65,AM$2,'Outages (event ledger)'!$E$2:$E$65,"&lt;="&amp;$B124,'Outages (event ledger)'!$G$2:$G$65,"&gt;="&amp;$B124)</f>
        <v>0</v>
      </c>
      <c r="AN124" s="26" t="n">
        <f aca="false">SUMIFS('Outages (event ledger)'!$H$2:$H$65,'Outages (event ledger)'!$A$2:$A$65,AN$2,'Outages (event ledger)'!$E$2:$E$65,"&lt;="&amp;$B124,'Outages (event ledger)'!$G$2:$G$65,"&gt;="&amp;$B124)</f>
        <v>0</v>
      </c>
      <c r="AO124" s="26" t="n">
        <f aca="false">SUMIFS('Outages (event ledger)'!$H$2:$H$65,'Outages (event ledger)'!$A$2:$A$65,AO$2,'Outages (event ledger)'!$E$2:$E$65,"&lt;="&amp;$B124,'Outages (event ledger)'!$G$2:$G$65,"&gt;="&amp;$B124)</f>
        <v>0</v>
      </c>
      <c r="AP124" s="26" t="n">
        <f aca="false">SUMIFS('Outages (event ledger)'!$H$2:$H$65,'Outages (event ledger)'!$A$2:$A$65,AP$2,'Outages (event ledger)'!$E$2:$E$65,"&lt;="&amp;$B124,'Outages (event ledger)'!$G$2:$G$65,"&gt;="&amp;$B124)</f>
        <v>0</v>
      </c>
      <c r="AQ124" s="26" t="n">
        <f aca="false">SUMIFS('Outages (event ledger)'!$H$2:$H$65,'Outages (event ledger)'!$A$2:$A$65,AQ$2,'Outages (event ledger)'!$E$2:$E$65,"&lt;="&amp;$B124,'Outages (event ledger)'!$G$2:$G$65,"&gt;="&amp;$B124)</f>
        <v>0</v>
      </c>
      <c r="AR124" s="26" t="n">
        <f aca="false">SUMIFS('Outages (event ledger)'!$H$2:$H$65,'Outages (event ledger)'!$A$2:$A$65,AR$2,'Outages (event ledger)'!$E$2:$E$65,"&lt;="&amp;$B124,'Outages (event ledger)'!$G$2:$G$65,"&gt;="&amp;$B124)</f>
        <v>0</v>
      </c>
      <c r="AS124" s="26" t="n">
        <f aca="false">SUMIFS('Outages (event ledger)'!$H$2:$H$65,'Outages (event ledger)'!$A$2:$A$65,AS$2,'Outages (event ledger)'!$E$2:$E$65,"&lt;="&amp;$B124,'Outages (event ledger)'!$G$2:$G$65,"&gt;="&amp;$B124)</f>
        <v>0</v>
      </c>
      <c r="AT124" s="26" t="n">
        <f aca="false">SUMIFS('Outages (event ledger)'!$H$2:$H$65,'Outages (event ledger)'!$A$2:$A$65,AT$2,'Outages (event ledger)'!$E$2:$E$65,"&lt;="&amp;$B124,'Outages (event ledger)'!$G$2:$G$65,"&gt;="&amp;$B124)</f>
        <v>0</v>
      </c>
      <c r="AU124" s="26" t="n">
        <f aca="false">SUMIFS('Outages (event ledger)'!$H$2:$H$65,'Outages (event ledger)'!$A$2:$A$65,AU$2,'Outages (event ledger)'!$E$2:$E$65,"&lt;="&amp;$B124,'Outages (event ledger)'!$G$2:$G$65,"&gt;="&amp;$B124)</f>
        <v>0</v>
      </c>
      <c r="AV124" s="26" t="n">
        <f aca="false">SUMIFS('Outages (event ledger)'!$H$2:$H$65,'Outages (event ledger)'!$A$2:$A$65,AV$2,'Outages (event ledger)'!$E$2:$E$65,"&lt;="&amp;$B124,'Outages (event ledger)'!$G$2:$G$65,"&gt;="&amp;$B124)</f>
        <v>0</v>
      </c>
      <c r="AW124" s="26" t="n">
        <f aca="false">SUMIFS('Outages (event ledger)'!$H$2:$H$65,'Outages (event ledger)'!$A$2:$A$65,AW$2,'Outages (event ledger)'!$E$2:$E$65,"&lt;="&amp;$B124,'Outages (event ledger)'!$G$2:$G$65,"&gt;="&amp;$B124)</f>
        <v>0</v>
      </c>
      <c r="AX124" s="26" t="n">
        <f aca="false">SUMIFS('Outages (event ledger)'!$H$2:$H$65,'Outages (event ledger)'!$A$2:$A$65,AX$2,'Outages (event ledger)'!$E$2:$E$65,"&lt;="&amp;$B124,'Outages (event ledger)'!$G$2:$G$65,"&gt;="&amp;$B124)</f>
        <v>0</v>
      </c>
      <c r="AY124" s="26" t="n">
        <f aca="false">SUMIFS('Outages (event ledger)'!$H$2:$H$65,'Outages (event ledger)'!$A$2:$A$65,AY$2,'Outages (event ledger)'!$E$2:$E$65,"&lt;="&amp;$B124,'Outages (event ledger)'!$G$2:$G$65,"&gt;="&amp;$B124)</f>
        <v>0</v>
      </c>
      <c r="AZ124" s="26" t="n">
        <f aca="false">SUMIFS('Outages (event ledger)'!$H$2:$H$65,'Outages (event ledger)'!$A$2:$A$65,AZ$2,'Outages (event ledger)'!$E$2:$E$65,"&lt;="&amp;$B124,'Outages (event ledger)'!$G$2:$G$65,"&gt;="&amp;$B124)</f>
        <v>0</v>
      </c>
      <c r="BA124" s="26" t="n">
        <f aca="false">SUMIFS('Outages (event ledger)'!$H$2:$H$65,'Outages (event ledger)'!$A$2:$A$65,BA$2,'Outages (event ledger)'!$E$2:$E$65,"&lt;="&amp;$B124,'Outages (event ledger)'!$G$2:$G$65,"&gt;="&amp;$B124)</f>
        <v>0</v>
      </c>
      <c r="BB124" s="26" t="n">
        <f aca="false">SUMIFS('Outages (event ledger)'!$H$2:$H$65,'Outages (event ledger)'!$A$2:$A$65,BB$2,'Outages (event ledger)'!$E$2:$E$65,"&lt;="&amp;$B124,'Outages (event ledger)'!$G$2:$G$65,"&gt;="&amp;$B124)</f>
        <v>0</v>
      </c>
      <c r="BC124" s="26" t="n">
        <f aca="false">SUMIFS('Outages (event ledger)'!$H$2:$H$65,'Outages (event ledger)'!$A$2:$A$65,BC$2,'Outages (event ledger)'!$E$2:$E$65,"&lt;="&amp;$B124,'Outages (event ledger)'!$G$2:$G$65,"&gt;="&amp;$B124)</f>
        <v>0</v>
      </c>
      <c r="BD124" s="26" t="n">
        <f aca="false">SUMIFS('Outages (event ledger)'!$H$2:$H$65,'Outages (event ledger)'!$A$2:$A$65,BD$2,'Outages (event ledger)'!$E$2:$E$65,"&lt;="&amp;$B124,'Outages (event ledger)'!$G$2:$G$65,"&gt;="&amp;$B124)</f>
        <v>0</v>
      </c>
      <c r="BE124" s="26" t="n">
        <f aca="false">SUMIFS('Outages (event ledger)'!$H$2:$H$65,'Outages (event ledger)'!$A$2:$A$65,BE$2,'Outages (event ledger)'!$E$2:$E$65,"&lt;="&amp;$B124,'Outages (event ledger)'!$G$2:$G$65,"&gt;="&amp;$B124)</f>
        <v>0</v>
      </c>
      <c r="BF124" s="26" t="n">
        <f aca="false">SUMIFS('Outages (event ledger)'!$H$2:$H$65,'Outages (event ledger)'!$A$2:$A$65,BF$2,'Outages (event ledger)'!$E$2:$E$65,"&lt;="&amp;$B124,'Outages (event ledger)'!$G$2:$G$65,"&gt;="&amp;$B124)</f>
        <v>0</v>
      </c>
      <c r="BG124" s="26" t="n">
        <f aca="false">SUMIFS('Outages (event ledger)'!$H$2:$H$65,'Outages (event ledger)'!$A$2:$A$65,BG$2,'Outages (event ledger)'!$E$2:$E$65,"&lt;="&amp;$B124,'Outages (event ledger)'!$G$2:$G$65,"&gt;="&amp;$B124)</f>
        <v>0</v>
      </c>
      <c r="BH124" s="26" t="n">
        <f aca="false">SUMIFS('Outages (event ledger)'!$H$2:$H$65,'Outages (event ledger)'!$A$2:$A$65,BH$2,'Outages (event ledger)'!$E$2:$E$65,"&lt;="&amp;$B124,'Outages (event ledger)'!$G$2:$G$65,"&gt;="&amp;$B124)</f>
        <v>0</v>
      </c>
      <c r="BI124" s="26" t="n">
        <f aca="false">SUMIFS('Outages (event ledger)'!$H$2:$H$65,'Outages (event ledger)'!$A$2:$A$65,BI$2,'Outages (event ledger)'!$E$2:$E$65,"&lt;="&amp;$B124,'Outages (event ledger)'!$G$2:$G$65,"&gt;="&amp;$B124)</f>
        <v>6.7</v>
      </c>
    </row>
    <row r="125" customFormat="false" ht="15" hidden="false" customHeight="false" outlineLevel="0" collapsed="false">
      <c r="A125" s="23" t="n">
        <v>43891</v>
      </c>
      <c r="B125" s="24" t="n">
        <v>202003</v>
      </c>
      <c r="C125" s="25" t="n">
        <f aca="false">SUM(D125:BI125)</f>
        <v>23.3</v>
      </c>
      <c r="D125" s="26" t="n">
        <f aca="false">SUMIFS('Outages (event ledger)'!$H$2:$H$65,'Outages (event ledger)'!$A$2:$A$65,D$2,'Outages (event ledger)'!$E$2:$E$65,"&lt;="&amp;$B125,'Outages (event ledger)'!$G$2:$G$65,"&gt;="&amp;$B125)</f>
        <v>0</v>
      </c>
      <c r="E125" s="26" t="n">
        <f aca="false">SUMIFS('Outages (event ledger)'!$H$2:$H$65,'Outages (event ledger)'!$A$2:$A$65,E$2,'Outages (event ledger)'!$E$2:$E$65,"&lt;="&amp;$B125,'Outages (event ledger)'!$G$2:$G$65,"&gt;="&amp;$B125)</f>
        <v>0</v>
      </c>
      <c r="F125" s="26" t="n">
        <f aca="false">SUMIFS('Outages (event ledger)'!$H$2:$H$65,'Outages (event ledger)'!$A$2:$A$65,F$2,'Outages (event ledger)'!$E$2:$E$65,"&lt;="&amp;$B125,'Outages (event ledger)'!$G$2:$G$65,"&gt;="&amp;$B125)</f>
        <v>0</v>
      </c>
      <c r="G125" s="26" t="n">
        <f aca="false">SUMIFS('Outages (event ledger)'!$H$2:$H$65,'Outages (event ledger)'!$A$2:$A$65,G$2,'Outages (event ledger)'!$E$2:$E$65,"&lt;="&amp;$B125,'Outages (event ledger)'!$G$2:$G$65,"&gt;="&amp;$B125)</f>
        <v>0</v>
      </c>
      <c r="H125" s="26" t="n">
        <f aca="false">SUMIFS('Outages (event ledger)'!$H$2:$H$65,'Outages (event ledger)'!$A$2:$A$65,H$2,'Outages (event ledger)'!$E$2:$E$65,"&lt;="&amp;$B125,'Outages (event ledger)'!$G$2:$G$65,"&gt;="&amp;$B125)</f>
        <v>0</v>
      </c>
      <c r="I125" s="26" t="n">
        <f aca="false">SUMIFS('Outages (event ledger)'!$H$2:$H$65,'Outages (event ledger)'!$A$2:$A$65,I$2,'Outages (event ledger)'!$E$2:$E$65,"&lt;="&amp;$B125,'Outages (event ledger)'!$G$2:$G$65,"&gt;="&amp;$B125)</f>
        <v>0</v>
      </c>
      <c r="J125" s="26" t="n">
        <f aca="false">SUMIFS('Outages (event ledger)'!$H$2:$H$65,'Outages (event ledger)'!$A$2:$A$65,J$2,'Outages (event ledger)'!$E$2:$E$65,"&lt;="&amp;$B125,'Outages (event ledger)'!$G$2:$G$65,"&gt;="&amp;$B125)</f>
        <v>0</v>
      </c>
      <c r="K125" s="26" t="n">
        <f aca="false">SUMIFS('Outages (event ledger)'!$H$2:$H$65,'Outages (event ledger)'!$A$2:$A$65,K$2,'Outages (event ledger)'!$E$2:$E$65,"&lt;="&amp;$B125,'Outages (event ledger)'!$G$2:$G$65,"&gt;="&amp;$B125)</f>
        <v>0</v>
      </c>
      <c r="L125" s="26" t="n">
        <f aca="false">SUMIFS('Outages (event ledger)'!$H$2:$H$65,'Outages (event ledger)'!$A$2:$A$65,L$2,'Outages (event ledger)'!$E$2:$E$65,"&lt;="&amp;$B125,'Outages (event ledger)'!$G$2:$G$65,"&gt;="&amp;$B125)</f>
        <v>0</v>
      </c>
      <c r="M125" s="26" t="n">
        <f aca="false">SUMIFS('Outages (event ledger)'!$H$2:$H$65,'Outages (event ledger)'!$A$2:$A$65,M$2,'Outages (event ledger)'!$E$2:$E$65,"&lt;="&amp;$B125,'Outages (event ledger)'!$G$2:$G$65,"&gt;="&amp;$B125)</f>
        <v>0</v>
      </c>
      <c r="N125" s="26" t="n">
        <f aca="false">SUMIFS('Outages (event ledger)'!$H$2:$H$65,'Outages (event ledger)'!$A$2:$A$65,N$2,'Outages (event ledger)'!$E$2:$E$65,"&lt;="&amp;$B125,'Outages (event ledger)'!$G$2:$G$65,"&gt;="&amp;$B125)</f>
        <v>0</v>
      </c>
      <c r="O125" s="26" t="n">
        <f aca="false">SUMIFS('Outages (event ledger)'!$H$2:$H$65,'Outages (event ledger)'!$A$2:$A$65,O$2,'Outages (event ledger)'!$E$2:$E$65,"&lt;="&amp;$B125,'Outages (event ledger)'!$G$2:$G$65,"&gt;="&amp;$B125)</f>
        <v>0</v>
      </c>
      <c r="P125" s="26" t="n">
        <f aca="false">SUMIFS('Outages (event ledger)'!$H$2:$H$65,'Outages (event ledger)'!$A$2:$A$65,P$2,'Outages (event ledger)'!$E$2:$E$65,"&lt;="&amp;$B125,'Outages (event ledger)'!$G$2:$G$65,"&gt;="&amp;$B125)</f>
        <v>3.6</v>
      </c>
      <c r="Q125" s="26" t="n">
        <f aca="false">SUMIFS('Outages (event ledger)'!$H$2:$H$65,'Outages (event ledger)'!$A$2:$A$65,Q$2,'Outages (event ledger)'!$E$2:$E$65,"&lt;="&amp;$B125,'Outages (event ledger)'!$G$2:$G$65,"&gt;="&amp;$B125)</f>
        <v>0</v>
      </c>
      <c r="R125" s="26" t="n">
        <f aca="false">SUMIFS('Outages (event ledger)'!$H$2:$H$65,'Outages (event ledger)'!$A$2:$A$65,R$2,'Outages (event ledger)'!$E$2:$E$65,"&lt;="&amp;$B125,'Outages (event ledger)'!$G$2:$G$65,"&gt;="&amp;$B125)</f>
        <v>0</v>
      </c>
      <c r="S125" s="26" t="n">
        <f aca="false">SUMIFS('Outages (event ledger)'!$H$2:$H$65,'Outages (event ledger)'!$A$2:$A$65,S$2,'Outages (event ledger)'!$E$2:$E$65,"&lt;="&amp;$B125,'Outages (event ledger)'!$G$2:$G$65,"&gt;="&amp;$B125)</f>
        <v>0</v>
      </c>
      <c r="T125" s="26" t="n">
        <f aca="false">SUMIFS('Outages (event ledger)'!$H$2:$H$65,'Outages (event ledger)'!$A$2:$A$65,T$2,'Outages (event ledger)'!$E$2:$E$65,"&lt;="&amp;$B125,'Outages (event ledger)'!$G$2:$G$65,"&gt;="&amp;$B125)</f>
        <v>0</v>
      </c>
      <c r="U125" s="26" t="n">
        <f aca="false">SUMIFS('Outages (event ledger)'!$H$2:$H$65,'Outages (event ledger)'!$A$2:$A$65,U$2,'Outages (event ledger)'!$E$2:$E$65,"&lt;="&amp;$B125,'Outages (event ledger)'!$G$2:$G$65,"&gt;="&amp;$B125)</f>
        <v>0</v>
      </c>
      <c r="V125" s="26" t="n">
        <f aca="false">SUMIFS('Outages (event ledger)'!$H$2:$H$65,'Outages (event ledger)'!$A$2:$A$65,V$2,'Outages (event ledger)'!$E$2:$E$65,"&lt;="&amp;$B125,'Outages (event ledger)'!$G$2:$G$65,"&gt;="&amp;$B125)</f>
        <v>0</v>
      </c>
      <c r="W125" s="26" t="n">
        <f aca="false">SUMIFS('Outages (event ledger)'!$H$2:$H$65,'Outages (event ledger)'!$A$2:$A$65,W$2,'Outages (event ledger)'!$E$2:$E$65,"&lt;="&amp;$B125,'Outages (event ledger)'!$G$2:$G$65,"&gt;="&amp;$B125)</f>
        <v>0</v>
      </c>
      <c r="X125" s="26" t="n">
        <f aca="false">SUMIFS('Outages (event ledger)'!$H$2:$H$65,'Outages (event ledger)'!$A$2:$A$65,X$2,'Outages (event ledger)'!$E$2:$E$65,"&lt;="&amp;$B125,'Outages (event ledger)'!$G$2:$G$65,"&gt;="&amp;$B125)</f>
        <v>0</v>
      </c>
      <c r="Y125" s="26" t="n">
        <f aca="false">SUMIFS('Outages (event ledger)'!$H$2:$H$65,'Outages (event ledger)'!$A$2:$A$65,Y$2,'Outages (event ledger)'!$E$2:$E$65,"&lt;="&amp;$B125,'Outages (event ledger)'!$G$2:$G$65,"&gt;="&amp;$B125)</f>
        <v>5</v>
      </c>
      <c r="Z125" s="26" t="n">
        <f aca="false">SUMIFS('Outages (event ledger)'!$H$2:$H$65,'Outages (event ledger)'!$A$2:$A$65,Z$2,'Outages (event ledger)'!$E$2:$E$65,"&lt;="&amp;$B125,'Outages (event ledger)'!$G$2:$G$65,"&gt;="&amp;$B125)</f>
        <v>0</v>
      </c>
      <c r="AA125" s="26" t="n">
        <f aca="false">SUMIFS('Outages (event ledger)'!$H$2:$H$65,'Outages (event ledger)'!$A$2:$A$65,AA$2,'Outages (event ledger)'!$E$2:$E$65,"&lt;="&amp;$B125,'Outages (event ledger)'!$G$2:$G$65,"&gt;="&amp;$B125)</f>
        <v>0</v>
      </c>
      <c r="AB125" s="26" t="n">
        <f aca="false">SUMIFS('Outages (event ledger)'!$H$2:$H$65,'Outages (event ledger)'!$A$2:$A$65,AB$2,'Outages (event ledger)'!$E$2:$E$65,"&lt;="&amp;$B125,'Outages (event ledger)'!$G$2:$G$65,"&gt;="&amp;$B125)</f>
        <v>8</v>
      </c>
      <c r="AC125" s="26" t="n">
        <f aca="false">SUMIFS('Outages (event ledger)'!$H$2:$H$65,'Outages (event ledger)'!$A$2:$A$65,AC$2,'Outages (event ledger)'!$E$2:$E$65,"&lt;="&amp;$B125,'Outages (event ledger)'!$G$2:$G$65,"&gt;="&amp;$B125)</f>
        <v>0</v>
      </c>
      <c r="AD125" s="26" t="n">
        <f aca="false">SUMIFS('Outages (event ledger)'!$H$2:$H$65,'Outages (event ledger)'!$A$2:$A$65,AD$2,'Outages (event ledger)'!$E$2:$E$65,"&lt;="&amp;$B125,'Outages (event ledger)'!$G$2:$G$65,"&gt;="&amp;$B125)</f>
        <v>0</v>
      </c>
      <c r="AE125" s="26" t="n">
        <f aca="false">SUMIFS('Outages (event ledger)'!$H$2:$H$65,'Outages (event ledger)'!$A$2:$A$65,AE$2,'Outages (event ledger)'!$E$2:$E$65,"&lt;="&amp;$B125,'Outages (event ledger)'!$G$2:$G$65,"&gt;="&amp;$B125)</f>
        <v>0</v>
      </c>
      <c r="AF125" s="26" t="n">
        <f aca="false">SUMIFS('Outages (event ledger)'!$H$2:$H$65,'Outages (event ledger)'!$A$2:$A$65,AF$2,'Outages (event ledger)'!$E$2:$E$65,"&lt;="&amp;$B125,'Outages (event ledger)'!$G$2:$G$65,"&gt;="&amp;$B125)</f>
        <v>0</v>
      </c>
      <c r="AG125" s="26" t="n">
        <f aca="false">SUMIFS('Outages (event ledger)'!$H$2:$H$65,'Outages (event ledger)'!$A$2:$A$65,AG$2,'Outages (event ledger)'!$E$2:$E$65,"&lt;="&amp;$B125,'Outages (event ledger)'!$G$2:$G$65,"&gt;="&amp;$B125)</f>
        <v>0</v>
      </c>
      <c r="AH125" s="26" t="n">
        <f aca="false">SUMIFS('Outages (event ledger)'!$H$2:$H$65,'Outages (event ledger)'!$A$2:$A$65,AH$2,'Outages (event ledger)'!$E$2:$E$65,"&lt;="&amp;$B125,'Outages (event ledger)'!$G$2:$G$65,"&gt;="&amp;$B125)</f>
        <v>0</v>
      </c>
      <c r="AI125" s="26" t="n">
        <f aca="false">SUMIFS('Outages (event ledger)'!$H$2:$H$65,'Outages (event ledger)'!$A$2:$A$65,AI$2,'Outages (event ledger)'!$E$2:$E$65,"&lt;="&amp;$B125,'Outages (event ledger)'!$G$2:$G$65,"&gt;="&amp;$B125)</f>
        <v>0</v>
      </c>
      <c r="AJ125" s="26" t="n">
        <f aca="false">SUMIFS('Outages (event ledger)'!$H$2:$H$65,'Outages (event ledger)'!$A$2:$A$65,AJ$2,'Outages (event ledger)'!$E$2:$E$65,"&lt;="&amp;$B125,'Outages (event ledger)'!$G$2:$G$65,"&gt;="&amp;$B125)</f>
        <v>0</v>
      </c>
      <c r="AK125" s="26" t="n">
        <f aca="false">SUMIFS('Outages (event ledger)'!$H$2:$H$65,'Outages (event ledger)'!$A$2:$A$65,AK$2,'Outages (event ledger)'!$E$2:$E$65,"&lt;="&amp;$B125,'Outages (event ledger)'!$G$2:$G$65,"&gt;="&amp;$B125)</f>
        <v>0</v>
      </c>
      <c r="AL125" s="26" t="n">
        <f aca="false">SUMIFS('Outages (event ledger)'!$H$2:$H$65,'Outages (event ledger)'!$A$2:$A$65,AL$2,'Outages (event ledger)'!$E$2:$E$65,"&lt;="&amp;$B125,'Outages (event ledger)'!$G$2:$G$65,"&gt;="&amp;$B125)</f>
        <v>0</v>
      </c>
      <c r="AM125" s="26" t="n">
        <f aca="false">SUMIFS('Outages (event ledger)'!$H$2:$H$65,'Outages (event ledger)'!$A$2:$A$65,AM$2,'Outages (event ledger)'!$E$2:$E$65,"&lt;="&amp;$B125,'Outages (event ledger)'!$G$2:$G$65,"&gt;="&amp;$B125)</f>
        <v>0</v>
      </c>
      <c r="AN125" s="26" t="n">
        <f aca="false">SUMIFS('Outages (event ledger)'!$H$2:$H$65,'Outages (event ledger)'!$A$2:$A$65,AN$2,'Outages (event ledger)'!$E$2:$E$65,"&lt;="&amp;$B125,'Outages (event ledger)'!$G$2:$G$65,"&gt;="&amp;$B125)</f>
        <v>0</v>
      </c>
      <c r="AO125" s="26" t="n">
        <f aca="false">SUMIFS('Outages (event ledger)'!$H$2:$H$65,'Outages (event ledger)'!$A$2:$A$65,AO$2,'Outages (event ledger)'!$E$2:$E$65,"&lt;="&amp;$B125,'Outages (event ledger)'!$G$2:$G$65,"&gt;="&amp;$B125)</f>
        <v>0</v>
      </c>
      <c r="AP125" s="26" t="n">
        <f aca="false">SUMIFS('Outages (event ledger)'!$H$2:$H$65,'Outages (event ledger)'!$A$2:$A$65,AP$2,'Outages (event ledger)'!$E$2:$E$65,"&lt;="&amp;$B125,'Outages (event ledger)'!$G$2:$G$65,"&gt;="&amp;$B125)</f>
        <v>0</v>
      </c>
      <c r="AQ125" s="26" t="n">
        <f aca="false">SUMIFS('Outages (event ledger)'!$H$2:$H$65,'Outages (event ledger)'!$A$2:$A$65,AQ$2,'Outages (event ledger)'!$E$2:$E$65,"&lt;="&amp;$B125,'Outages (event ledger)'!$G$2:$G$65,"&gt;="&amp;$B125)</f>
        <v>0</v>
      </c>
      <c r="AR125" s="26" t="n">
        <f aca="false">SUMIFS('Outages (event ledger)'!$H$2:$H$65,'Outages (event ledger)'!$A$2:$A$65,AR$2,'Outages (event ledger)'!$E$2:$E$65,"&lt;="&amp;$B125,'Outages (event ledger)'!$G$2:$G$65,"&gt;="&amp;$B125)</f>
        <v>0</v>
      </c>
      <c r="AS125" s="26" t="n">
        <f aca="false">SUMIFS('Outages (event ledger)'!$H$2:$H$65,'Outages (event ledger)'!$A$2:$A$65,AS$2,'Outages (event ledger)'!$E$2:$E$65,"&lt;="&amp;$B125,'Outages (event ledger)'!$G$2:$G$65,"&gt;="&amp;$B125)</f>
        <v>0</v>
      </c>
      <c r="AT125" s="26" t="n">
        <f aca="false">SUMIFS('Outages (event ledger)'!$H$2:$H$65,'Outages (event ledger)'!$A$2:$A$65,AT$2,'Outages (event ledger)'!$E$2:$E$65,"&lt;="&amp;$B125,'Outages (event ledger)'!$G$2:$G$65,"&gt;="&amp;$B125)</f>
        <v>0</v>
      </c>
      <c r="AU125" s="26" t="n">
        <f aca="false">SUMIFS('Outages (event ledger)'!$H$2:$H$65,'Outages (event ledger)'!$A$2:$A$65,AU$2,'Outages (event ledger)'!$E$2:$E$65,"&lt;="&amp;$B125,'Outages (event ledger)'!$G$2:$G$65,"&gt;="&amp;$B125)</f>
        <v>0</v>
      </c>
      <c r="AV125" s="26" t="n">
        <f aca="false">SUMIFS('Outages (event ledger)'!$H$2:$H$65,'Outages (event ledger)'!$A$2:$A$65,AV$2,'Outages (event ledger)'!$E$2:$E$65,"&lt;="&amp;$B125,'Outages (event ledger)'!$G$2:$G$65,"&gt;="&amp;$B125)</f>
        <v>0</v>
      </c>
      <c r="AW125" s="26" t="n">
        <f aca="false">SUMIFS('Outages (event ledger)'!$H$2:$H$65,'Outages (event ledger)'!$A$2:$A$65,AW$2,'Outages (event ledger)'!$E$2:$E$65,"&lt;="&amp;$B125,'Outages (event ledger)'!$G$2:$G$65,"&gt;="&amp;$B125)</f>
        <v>0</v>
      </c>
      <c r="AX125" s="26" t="n">
        <f aca="false">SUMIFS('Outages (event ledger)'!$H$2:$H$65,'Outages (event ledger)'!$A$2:$A$65,AX$2,'Outages (event ledger)'!$E$2:$E$65,"&lt;="&amp;$B125,'Outages (event ledger)'!$G$2:$G$65,"&gt;="&amp;$B125)</f>
        <v>0</v>
      </c>
      <c r="AY125" s="26" t="n">
        <f aca="false">SUMIFS('Outages (event ledger)'!$H$2:$H$65,'Outages (event ledger)'!$A$2:$A$65,AY$2,'Outages (event ledger)'!$E$2:$E$65,"&lt;="&amp;$B125,'Outages (event ledger)'!$G$2:$G$65,"&gt;="&amp;$B125)</f>
        <v>0</v>
      </c>
      <c r="AZ125" s="26" t="n">
        <f aca="false">SUMIFS('Outages (event ledger)'!$H$2:$H$65,'Outages (event ledger)'!$A$2:$A$65,AZ$2,'Outages (event ledger)'!$E$2:$E$65,"&lt;="&amp;$B125,'Outages (event ledger)'!$G$2:$G$65,"&gt;="&amp;$B125)</f>
        <v>0</v>
      </c>
      <c r="BA125" s="26" t="n">
        <f aca="false">SUMIFS('Outages (event ledger)'!$H$2:$H$65,'Outages (event ledger)'!$A$2:$A$65,BA$2,'Outages (event ledger)'!$E$2:$E$65,"&lt;="&amp;$B125,'Outages (event ledger)'!$G$2:$G$65,"&gt;="&amp;$B125)</f>
        <v>0</v>
      </c>
      <c r="BB125" s="26" t="n">
        <f aca="false">SUMIFS('Outages (event ledger)'!$H$2:$H$65,'Outages (event ledger)'!$A$2:$A$65,BB$2,'Outages (event ledger)'!$E$2:$E$65,"&lt;="&amp;$B125,'Outages (event ledger)'!$G$2:$G$65,"&gt;="&amp;$B125)</f>
        <v>0</v>
      </c>
      <c r="BC125" s="26" t="n">
        <f aca="false">SUMIFS('Outages (event ledger)'!$H$2:$H$65,'Outages (event ledger)'!$A$2:$A$65,BC$2,'Outages (event ledger)'!$E$2:$E$65,"&lt;="&amp;$B125,'Outages (event ledger)'!$G$2:$G$65,"&gt;="&amp;$B125)</f>
        <v>0</v>
      </c>
      <c r="BD125" s="26" t="n">
        <f aca="false">SUMIFS('Outages (event ledger)'!$H$2:$H$65,'Outages (event ledger)'!$A$2:$A$65,BD$2,'Outages (event ledger)'!$E$2:$E$65,"&lt;="&amp;$B125,'Outages (event ledger)'!$G$2:$G$65,"&gt;="&amp;$B125)</f>
        <v>0</v>
      </c>
      <c r="BE125" s="26" t="n">
        <f aca="false">SUMIFS('Outages (event ledger)'!$H$2:$H$65,'Outages (event ledger)'!$A$2:$A$65,BE$2,'Outages (event ledger)'!$E$2:$E$65,"&lt;="&amp;$B125,'Outages (event ledger)'!$G$2:$G$65,"&gt;="&amp;$B125)</f>
        <v>0</v>
      </c>
      <c r="BF125" s="26" t="n">
        <f aca="false">SUMIFS('Outages (event ledger)'!$H$2:$H$65,'Outages (event ledger)'!$A$2:$A$65,BF$2,'Outages (event ledger)'!$E$2:$E$65,"&lt;="&amp;$B125,'Outages (event ledger)'!$G$2:$G$65,"&gt;="&amp;$B125)</f>
        <v>0</v>
      </c>
      <c r="BG125" s="26" t="n">
        <f aca="false">SUMIFS('Outages (event ledger)'!$H$2:$H$65,'Outages (event ledger)'!$A$2:$A$65,BG$2,'Outages (event ledger)'!$E$2:$E$65,"&lt;="&amp;$B125,'Outages (event ledger)'!$G$2:$G$65,"&gt;="&amp;$B125)</f>
        <v>0</v>
      </c>
      <c r="BH125" s="26" t="n">
        <f aca="false">SUMIFS('Outages (event ledger)'!$H$2:$H$65,'Outages (event ledger)'!$A$2:$A$65,BH$2,'Outages (event ledger)'!$E$2:$E$65,"&lt;="&amp;$B125,'Outages (event ledger)'!$G$2:$G$65,"&gt;="&amp;$B125)</f>
        <v>0</v>
      </c>
      <c r="BI125" s="26" t="n">
        <f aca="false">SUMIFS('Outages (event ledger)'!$H$2:$H$65,'Outages (event ledger)'!$A$2:$A$65,BI$2,'Outages (event ledger)'!$E$2:$E$65,"&lt;="&amp;$B125,'Outages (event ledger)'!$G$2:$G$65,"&gt;="&amp;$B125)</f>
        <v>6.7</v>
      </c>
    </row>
    <row r="126" customFormat="false" ht="15" hidden="false" customHeight="false" outlineLevel="0" collapsed="false">
      <c r="A126" s="23" t="n">
        <v>43922</v>
      </c>
      <c r="B126" s="24" t="n">
        <v>202004</v>
      </c>
      <c r="C126" s="25" t="n">
        <f aca="false">SUM(D126:BI126)</f>
        <v>24.3</v>
      </c>
      <c r="D126" s="26" t="n">
        <f aca="false">SUMIFS('Outages (event ledger)'!$H$2:$H$65,'Outages (event ledger)'!$A$2:$A$65,D$2,'Outages (event ledger)'!$E$2:$E$65,"&lt;="&amp;$B126,'Outages (event ledger)'!$G$2:$G$65,"&gt;="&amp;$B126)</f>
        <v>0</v>
      </c>
      <c r="E126" s="26" t="n">
        <f aca="false">SUMIFS('Outages (event ledger)'!$H$2:$H$65,'Outages (event ledger)'!$A$2:$A$65,E$2,'Outages (event ledger)'!$E$2:$E$65,"&lt;="&amp;$B126,'Outages (event ledger)'!$G$2:$G$65,"&gt;="&amp;$B126)</f>
        <v>0</v>
      </c>
      <c r="F126" s="26" t="n">
        <f aca="false">SUMIFS('Outages (event ledger)'!$H$2:$H$65,'Outages (event ledger)'!$A$2:$A$65,F$2,'Outages (event ledger)'!$E$2:$E$65,"&lt;="&amp;$B126,'Outages (event ledger)'!$G$2:$G$65,"&gt;="&amp;$B126)</f>
        <v>0</v>
      </c>
      <c r="G126" s="26" t="n">
        <f aca="false">SUMIFS('Outages (event ledger)'!$H$2:$H$65,'Outages (event ledger)'!$A$2:$A$65,G$2,'Outages (event ledger)'!$E$2:$E$65,"&lt;="&amp;$B126,'Outages (event ledger)'!$G$2:$G$65,"&gt;="&amp;$B126)</f>
        <v>0</v>
      </c>
      <c r="H126" s="26" t="n">
        <f aca="false">SUMIFS('Outages (event ledger)'!$H$2:$H$65,'Outages (event ledger)'!$A$2:$A$65,H$2,'Outages (event ledger)'!$E$2:$E$65,"&lt;="&amp;$B126,'Outages (event ledger)'!$G$2:$G$65,"&gt;="&amp;$B126)</f>
        <v>0</v>
      </c>
      <c r="I126" s="26" t="n">
        <f aca="false">SUMIFS('Outages (event ledger)'!$H$2:$H$65,'Outages (event ledger)'!$A$2:$A$65,I$2,'Outages (event ledger)'!$E$2:$E$65,"&lt;="&amp;$B126,'Outages (event ledger)'!$G$2:$G$65,"&gt;="&amp;$B126)</f>
        <v>0</v>
      </c>
      <c r="J126" s="26" t="n">
        <f aca="false">SUMIFS('Outages (event ledger)'!$H$2:$H$65,'Outages (event ledger)'!$A$2:$A$65,J$2,'Outages (event ledger)'!$E$2:$E$65,"&lt;="&amp;$B126,'Outages (event ledger)'!$G$2:$G$65,"&gt;="&amp;$B126)</f>
        <v>0</v>
      </c>
      <c r="K126" s="26" t="n">
        <f aca="false">SUMIFS('Outages (event ledger)'!$H$2:$H$65,'Outages (event ledger)'!$A$2:$A$65,K$2,'Outages (event ledger)'!$E$2:$E$65,"&lt;="&amp;$B126,'Outages (event ledger)'!$G$2:$G$65,"&gt;="&amp;$B126)</f>
        <v>0</v>
      </c>
      <c r="L126" s="26" t="n">
        <f aca="false">SUMIFS('Outages (event ledger)'!$H$2:$H$65,'Outages (event ledger)'!$A$2:$A$65,L$2,'Outages (event ledger)'!$E$2:$E$65,"&lt;="&amp;$B126,'Outages (event ledger)'!$G$2:$G$65,"&gt;="&amp;$B126)</f>
        <v>0</v>
      </c>
      <c r="M126" s="26" t="n">
        <f aca="false">SUMIFS('Outages (event ledger)'!$H$2:$H$65,'Outages (event ledger)'!$A$2:$A$65,M$2,'Outages (event ledger)'!$E$2:$E$65,"&lt;="&amp;$B126,'Outages (event ledger)'!$G$2:$G$65,"&gt;="&amp;$B126)</f>
        <v>0</v>
      </c>
      <c r="N126" s="26" t="n">
        <f aca="false">SUMIFS('Outages (event ledger)'!$H$2:$H$65,'Outages (event ledger)'!$A$2:$A$65,N$2,'Outages (event ledger)'!$E$2:$E$65,"&lt;="&amp;$B126,'Outages (event ledger)'!$G$2:$G$65,"&gt;="&amp;$B126)</f>
        <v>0</v>
      </c>
      <c r="O126" s="26" t="n">
        <f aca="false">SUMIFS('Outages (event ledger)'!$H$2:$H$65,'Outages (event ledger)'!$A$2:$A$65,O$2,'Outages (event ledger)'!$E$2:$E$65,"&lt;="&amp;$B126,'Outages (event ledger)'!$G$2:$G$65,"&gt;="&amp;$B126)</f>
        <v>0</v>
      </c>
      <c r="P126" s="26" t="n">
        <f aca="false">SUMIFS('Outages (event ledger)'!$H$2:$H$65,'Outages (event ledger)'!$A$2:$A$65,P$2,'Outages (event ledger)'!$E$2:$E$65,"&lt;="&amp;$B126,'Outages (event ledger)'!$G$2:$G$65,"&gt;="&amp;$B126)</f>
        <v>3.6</v>
      </c>
      <c r="Q126" s="26" t="n">
        <f aca="false">SUMIFS('Outages (event ledger)'!$H$2:$H$65,'Outages (event ledger)'!$A$2:$A$65,Q$2,'Outages (event ledger)'!$E$2:$E$65,"&lt;="&amp;$B126,'Outages (event ledger)'!$G$2:$G$65,"&gt;="&amp;$B126)</f>
        <v>0</v>
      </c>
      <c r="R126" s="26" t="n">
        <f aca="false">SUMIFS('Outages (event ledger)'!$H$2:$H$65,'Outages (event ledger)'!$A$2:$A$65,R$2,'Outages (event ledger)'!$E$2:$E$65,"&lt;="&amp;$B126,'Outages (event ledger)'!$G$2:$G$65,"&gt;="&amp;$B126)</f>
        <v>0</v>
      </c>
      <c r="S126" s="26" t="n">
        <f aca="false">SUMIFS('Outages (event ledger)'!$H$2:$H$65,'Outages (event ledger)'!$A$2:$A$65,S$2,'Outages (event ledger)'!$E$2:$E$65,"&lt;="&amp;$B126,'Outages (event ledger)'!$G$2:$G$65,"&gt;="&amp;$B126)</f>
        <v>0</v>
      </c>
      <c r="T126" s="26" t="n">
        <f aca="false">SUMIFS('Outages (event ledger)'!$H$2:$H$65,'Outages (event ledger)'!$A$2:$A$65,T$2,'Outages (event ledger)'!$E$2:$E$65,"&lt;="&amp;$B126,'Outages (event ledger)'!$G$2:$G$65,"&gt;="&amp;$B126)</f>
        <v>0</v>
      </c>
      <c r="U126" s="26" t="n">
        <f aca="false">SUMIFS('Outages (event ledger)'!$H$2:$H$65,'Outages (event ledger)'!$A$2:$A$65,U$2,'Outages (event ledger)'!$E$2:$E$65,"&lt;="&amp;$B126,'Outages (event ledger)'!$G$2:$G$65,"&gt;="&amp;$B126)</f>
        <v>0</v>
      </c>
      <c r="V126" s="26" t="n">
        <f aca="false">SUMIFS('Outages (event ledger)'!$H$2:$H$65,'Outages (event ledger)'!$A$2:$A$65,V$2,'Outages (event ledger)'!$E$2:$E$65,"&lt;="&amp;$B126,'Outages (event ledger)'!$G$2:$G$65,"&gt;="&amp;$B126)</f>
        <v>0</v>
      </c>
      <c r="W126" s="26" t="n">
        <f aca="false">SUMIFS('Outages (event ledger)'!$H$2:$H$65,'Outages (event ledger)'!$A$2:$A$65,W$2,'Outages (event ledger)'!$E$2:$E$65,"&lt;="&amp;$B126,'Outages (event ledger)'!$G$2:$G$65,"&gt;="&amp;$B126)</f>
        <v>0</v>
      </c>
      <c r="X126" s="26" t="n">
        <f aca="false">SUMIFS('Outages (event ledger)'!$H$2:$H$65,'Outages (event ledger)'!$A$2:$A$65,X$2,'Outages (event ledger)'!$E$2:$E$65,"&lt;="&amp;$B126,'Outages (event ledger)'!$G$2:$G$65,"&gt;="&amp;$B126)</f>
        <v>0</v>
      </c>
      <c r="Y126" s="26" t="n">
        <f aca="false">SUMIFS('Outages (event ledger)'!$H$2:$H$65,'Outages (event ledger)'!$A$2:$A$65,Y$2,'Outages (event ledger)'!$E$2:$E$65,"&lt;="&amp;$B126,'Outages (event ledger)'!$G$2:$G$65,"&gt;="&amp;$B126)</f>
        <v>5</v>
      </c>
      <c r="Z126" s="26" t="n">
        <f aca="false">SUMIFS('Outages (event ledger)'!$H$2:$H$65,'Outages (event ledger)'!$A$2:$A$65,Z$2,'Outages (event ledger)'!$E$2:$E$65,"&lt;="&amp;$B126,'Outages (event ledger)'!$G$2:$G$65,"&gt;="&amp;$B126)</f>
        <v>0</v>
      </c>
      <c r="AA126" s="26" t="n">
        <f aca="false">SUMIFS('Outages (event ledger)'!$H$2:$H$65,'Outages (event ledger)'!$A$2:$A$65,AA$2,'Outages (event ledger)'!$E$2:$E$65,"&lt;="&amp;$B126,'Outages (event ledger)'!$G$2:$G$65,"&gt;="&amp;$B126)</f>
        <v>0</v>
      </c>
      <c r="AB126" s="26" t="n">
        <f aca="false">SUMIFS('Outages (event ledger)'!$H$2:$H$65,'Outages (event ledger)'!$A$2:$A$65,AB$2,'Outages (event ledger)'!$E$2:$E$65,"&lt;="&amp;$B126,'Outages (event ledger)'!$G$2:$G$65,"&gt;="&amp;$B126)</f>
        <v>8</v>
      </c>
      <c r="AC126" s="26" t="n">
        <f aca="false">SUMIFS('Outages (event ledger)'!$H$2:$H$65,'Outages (event ledger)'!$A$2:$A$65,AC$2,'Outages (event ledger)'!$E$2:$E$65,"&lt;="&amp;$B126,'Outages (event ledger)'!$G$2:$G$65,"&gt;="&amp;$B126)</f>
        <v>0</v>
      </c>
      <c r="AD126" s="26" t="n">
        <f aca="false">SUMIFS('Outages (event ledger)'!$H$2:$H$65,'Outages (event ledger)'!$A$2:$A$65,AD$2,'Outages (event ledger)'!$E$2:$E$65,"&lt;="&amp;$B126,'Outages (event ledger)'!$G$2:$G$65,"&gt;="&amp;$B126)</f>
        <v>0</v>
      </c>
      <c r="AE126" s="26" t="n">
        <f aca="false">SUMIFS('Outages (event ledger)'!$H$2:$H$65,'Outages (event ledger)'!$A$2:$A$65,AE$2,'Outages (event ledger)'!$E$2:$E$65,"&lt;="&amp;$B126,'Outages (event ledger)'!$G$2:$G$65,"&gt;="&amp;$B126)</f>
        <v>0</v>
      </c>
      <c r="AF126" s="26" t="n">
        <f aca="false">SUMIFS('Outages (event ledger)'!$H$2:$H$65,'Outages (event ledger)'!$A$2:$A$65,AF$2,'Outages (event ledger)'!$E$2:$E$65,"&lt;="&amp;$B126,'Outages (event ledger)'!$G$2:$G$65,"&gt;="&amp;$B126)</f>
        <v>0</v>
      </c>
      <c r="AG126" s="26" t="n">
        <f aca="false">SUMIFS('Outages (event ledger)'!$H$2:$H$65,'Outages (event ledger)'!$A$2:$A$65,AG$2,'Outages (event ledger)'!$E$2:$E$65,"&lt;="&amp;$B126,'Outages (event ledger)'!$G$2:$G$65,"&gt;="&amp;$B126)</f>
        <v>0</v>
      </c>
      <c r="AH126" s="26" t="n">
        <f aca="false">SUMIFS('Outages (event ledger)'!$H$2:$H$65,'Outages (event ledger)'!$A$2:$A$65,AH$2,'Outages (event ledger)'!$E$2:$E$65,"&lt;="&amp;$B126,'Outages (event ledger)'!$G$2:$G$65,"&gt;="&amp;$B126)</f>
        <v>0</v>
      </c>
      <c r="AI126" s="26" t="n">
        <f aca="false">SUMIFS('Outages (event ledger)'!$H$2:$H$65,'Outages (event ledger)'!$A$2:$A$65,AI$2,'Outages (event ledger)'!$E$2:$E$65,"&lt;="&amp;$B126,'Outages (event ledger)'!$G$2:$G$65,"&gt;="&amp;$B126)</f>
        <v>0</v>
      </c>
      <c r="AJ126" s="26" t="n">
        <f aca="false">SUMIFS('Outages (event ledger)'!$H$2:$H$65,'Outages (event ledger)'!$A$2:$A$65,AJ$2,'Outages (event ledger)'!$E$2:$E$65,"&lt;="&amp;$B126,'Outages (event ledger)'!$G$2:$G$65,"&gt;="&amp;$B126)</f>
        <v>0</v>
      </c>
      <c r="AK126" s="26" t="n">
        <f aca="false">SUMIFS('Outages (event ledger)'!$H$2:$H$65,'Outages (event ledger)'!$A$2:$A$65,AK$2,'Outages (event ledger)'!$E$2:$E$65,"&lt;="&amp;$B126,'Outages (event ledger)'!$G$2:$G$65,"&gt;="&amp;$B126)</f>
        <v>0</v>
      </c>
      <c r="AL126" s="26" t="n">
        <f aca="false">SUMIFS('Outages (event ledger)'!$H$2:$H$65,'Outages (event ledger)'!$A$2:$A$65,AL$2,'Outages (event ledger)'!$E$2:$E$65,"&lt;="&amp;$B126,'Outages (event ledger)'!$G$2:$G$65,"&gt;="&amp;$B126)</f>
        <v>0</v>
      </c>
      <c r="AM126" s="26" t="n">
        <f aca="false">SUMIFS('Outages (event ledger)'!$H$2:$H$65,'Outages (event ledger)'!$A$2:$A$65,AM$2,'Outages (event ledger)'!$E$2:$E$65,"&lt;="&amp;$B126,'Outages (event ledger)'!$G$2:$G$65,"&gt;="&amp;$B126)</f>
        <v>0</v>
      </c>
      <c r="AN126" s="26" t="n">
        <f aca="false">SUMIFS('Outages (event ledger)'!$H$2:$H$65,'Outages (event ledger)'!$A$2:$A$65,AN$2,'Outages (event ledger)'!$E$2:$E$65,"&lt;="&amp;$B126,'Outages (event ledger)'!$G$2:$G$65,"&gt;="&amp;$B126)</f>
        <v>0</v>
      </c>
      <c r="AO126" s="26" t="n">
        <f aca="false">SUMIFS('Outages (event ledger)'!$H$2:$H$65,'Outages (event ledger)'!$A$2:$A$65,AO$2,'Outages (event ledger)'!$E$2:$E$65,"&lt;="&amp;$B126,'Outages (event ledger)'!$G$2:$G$65,"&gt;="&amp;$B126)</f>
        <v>0</v>
      </c>
      <c r="AP126" s="26" t="n">
        <f aca="false">SUMIFS('Outages (event ledger)'!$H$2:$H$65,'Outages (event ledger)'!$A$2:$A$65,AP$2,'Outages (event ledger)'!$E$2:$E$65,"&lt;="&amp;$B126,'Outages (event ledger)'!$G$2:$G$65,"&gt;="&amp;$B126)</f>
        <v>0</v>
      </c>
      <c r="AQ126" s="26" t="n">
        <f aca="false">SUMIFS('Outages (event ledger)'!$H$2:$H$65,'Outages (event ledger)'!$A$2:$A$65,AQ$2,'Outages (event ledger)'!$E$2:$E$65,"&lt;="&amp;$B126,'Outages (event ledger)'!$G$2:$G$65,"&gt;="&amp;$B126)</f>
        <v>1</v>
      </c>
      <c r="AR126" s="26" t="n">
        <f aca="false">SUMIFS('Outages (event ledger)'!$H$2:$H$65,'Outages (event ledger)'!$A$2:$A$65,AR$2,'Outages (event ledger)'!$E$2:$E$65,"&lt;="&amp;$B126,'Outages (event ledger)'!$G$2:$G$65,"&gt;="&amp;$B126)</f>
        <v>0</v>
      </c>
      <c r="AS126" s="26" t="n">
        <f aca="false">SUMIFS('Outages (event ledger)'!$H$2:$H$65,'Outages (event ledger)'!$A$2:$A$65,AS$2,'Outages (event ledger)'!$E$2:$E$65,"&lt;="&amp;$B126,'Outages (event ledger)'!$G$2:$G$65,"&gt;="&amp;$B126)</f>
        <v>0</v>
      </c>
      <c r="AT126" s="26" t="n">
        <f aca="false">SUMIFS('Outages (event ledger)'!$H$2:$H$65,'Outages (event ledger)'!$A$2:$A$65,AT$2,'Outages (event ledger)'!$E$2:$E$65,"&lt;="&amp;$B126,'Outages (event ledger)'!$G$2:$G$65,"&gt;="&amp;$B126)</f>
        <v>0</v>
      </c>
      <c r="AU126" s="26" t="n">
        <f aca="false">SUMIFS('Outages (event ledger)'!$H$2:$H$65,'Outages (event ledger)'!$A$2:$A$65,AU$2,'Outages (event ledger)'!$E$2:$E$65,"&lt;="&amp;$B126,'Outages (event ledger)'!$G$2:$G$65,"&gt;="&amp;$B126)</f>
        <v>0</v>
      </c>
      <c r="AV126" s="26" t="n">
        <f aca="false">SUMIFS('Outages (event ledger)'!$H$2:$H$65,'Outages (event ledger)'!$A$2:$A$65,AV$2,'Outages (event ledger)'!$E$2:$E$65,"&lt;="&amp;$B126,'Outages (event ledger)'!$G$2:$G$65,"&gt;="&amp;$B126)</f>
        <v>0</v>
      </c>
      <c r="AW126" s="26" t="n">
        <f aca="false">SUMIFS('Outages (event ledger)'!$H$2:$H$65,'Outages (event ledger)'!$A$2:$A$65,AW$2,'Outages (event ledger)'!$E$2:$E$65,"&lt;="&amp;$B126,'Outages (event ledger)'!$G$2:$G$65,"&gt;="&amp;$B126)</f>
        <v>0</v>
      </c>
      <c r="AX126" s="26" t="n">
        <f aca="false">SUMIFS('Outages (event ledger)'!$H$2:$H$65,'Outages (event ledger)'!$A$2:$A$65,AX$2,'Outages (event ledger)'!$E$2:$E$65,"&lt;="&amp;$B126,'Outages (event ledger)'!$G$2:$G$65,"&gt;="&amp;$B126)</f>
        <v>0</v>
      </c>
      <c r="AY126" s="26" t="n">
        <f aca="false">SUMIFS('Outages (event ledger)'!$H$2:$H$65,'Outages (event ledger)'!$A$2:$A$65,AY$2,'Outages (event ledger)'!$E$2:$E$65,"&lt;="&amp;$B126,'Outages (event ledger)'!$G$2:$G$65,"&gt;="&amp;$B126)</f>
        <v>0</v>
      </c>
      <c r="AZ126" s="26" t="n">
        <f aca="false">SUMIFS('Outages (event ledger)'!$H$2:$H$65,'Outages (event ledger)'!$A$2:$A$65,AZ$2,'Outages (event ledger)'!$E$2:$E$65,"&lt;="&amp;$B126,'Outages (event ledger)'!$G$2:$G$65,"&gt;="&amp;$B126)</f>
        <v>0</v>
      </c>
      <c r="BA126" s="26" t="n">
        <f aca="false">SUMIFS('Outages (event ledger)'!$H$2:$H$65,'Outages (event ledger)'!$A$2:$A$65,BA$2,'Outages (event ledger)'!$E$2:$E$65,"&lt;="&amp;$B126,'Outages (event ledger)'!$G$2:$G$65,"&gt;="&amp;$B126)</f>
        <v>0</v>
      </c>
      <c r="BB126" s="26" t="n">
        <f aca="false">SUMIFS('Outages (event ledger)'!$H$2:$H$65,'Outages (event ledger)'!$A$2:$A$65,BB$2,'Outages (event ledger)'!$E$2:$E$65,"&lt;="&amp;$B126,'Outages (event ledger)'!$G$2:$G$65,"&gt;="&amp;$B126)</f>
        <v>0</v>
      </c>
      <c r="BC126" s="26" t="n">
        <f aca="false">SUMIFS('Outages (event ledger)'!$H$2:$H$65,'Outages (event ledger)'!$A$2:$A$65,BC$2,'Outages (event ledger)'!$E$2:$E$65,"&lt;="&amp;$B126,'Outages (event ledger)'!$G$2:$G$65,"&gt;="&amp;$B126)</f>
        <v>0</v>
      </c>
      <c r="BD126" s="26" t="n">
        <f aca="false">SUMIFS('Outages (event ledger)'!$H$2:$H$65,'Outages (event ledger)'!$A$2:$A$65,BD$2,'Outages (event ledger)'!$E$2:$E$65,"&lt;="&amp;$B126,'Outages (event ledger)'!$G$2:$G$65,"&gt;="&amp;$B126)</f>
        <v>0</v>
      </c>
      <c r="BE126" s="26" t="n">
        <f aca="false">SUMIFS('Outages (event ledger)'!$H$2:$H$65,'Outages (event ledger)'!$A$2:$A$65,BE$2,'Outages (event ledger)'!$E$2:$E$65,"&lt;="&amp;$B126,'Outages (event ledger)'!$G$2:$G$65,"&gt;="&amp;$B126)</f>
        <v>0</v>
      </c>
      <c r="BF126" s="26" t="n">
        <f aca="false">SUMIFS('Outages (event ledger)'!$H$2:$H$65,'Outages (event ledger)'!$A$2:$A$65,BF$2,'Outages (event ledger)'!$E$2:$E$65,"&lt;="&amp;$B126,'Outages (event ledger)'!$G$2:$G$65,"&gt;="&amp;$B126)</f>
        <v>0</v>
      </c>
      <c r="BG126" s="26" t="n">
        <f aca="false">SUMIFS('Outages (event ledger)'!$H$2:$H$65,'Outages (event ledger)'!$A$2:$A$65,BG$2,'Outages (event ledger)'!$E$2:$E$65,"&lt;="&amp;$B126,'Outages (event ledger)'!$G$2:$G$65,"&gt;="&amp;$B126)</f>
        <v>0</v>
      </c>
      <c r="BH126" s="26" t="n">
        <f aca="false">SUMIFS('Outages (event ledger)'!$H$2:$H$65,'Outages (event ledger)'!$A$2:$A$65,BH$2,'Outages (event ledger)'!$E$2:$E$65,"&lt;="&amp;$B126,'Outages (event ledger)'!$G$2:$G$65,"&gt;="&amp;$B126)</f>
        <v>0</v>
      </c>
      <c r="BI126" s="26" t="n">
        <f aca="false">SUMIFS('Outages (event ledger)'!$H$2:$H$65,'Outages (event ledger)'!$A$2:$A$65,BI$2,'Outages (event ledger)'!$E$2:$E$65,"&lt;="&amp;$B126,'Outages (event ledger)'!$G$2:$G$65,"&gt;="&amp;$B126)</f>
        <v>6.7</v>
      </c>
    </row>
    <row r="127" customFormat="false" ht="15" hidden="false" customHeight="false" outlineLevel="0" collapsed="false">
      <c r="A127" s="23" t="n">
        <v>43952</v>
      </c>
      <c r="B127" s="24" t="n">
        <v>202005</v>
      </c>
      <c r="C127" s="25" t="n">
        <f aca="false">SUM(D127:BI127)</f>
        <v>30.25</v>
      </c>
      <c r="D127" s="26" t="n">
        <f aca="false">SUMIFS('Outages (event ledger)'!$H$2:$H$65,'Outages (event ledger)'!$A$2:$A$65,D$2,'Outages (event ledger)'!$E$2:$E$65,"&lt;="&amp;$B127,'Outages (event ledger)'!$G$2:$G$65,"&gt;="&amp;$B127)</f>
        <v>0</v>
      </c>
      <c r="E127" s="26" t="n">
        <f aca="false">SUMIFS('Outages (event ledger)'!$H$2:$H$65,'Outages (event ledger)'!$A$2:$A$65,E$2,'Outages (event ledger)'!$E$2:$E$65,"&lt;="&amp;$B127,'Outages (event ledger)'!$G$2:$G$65,"&gt;="&amp;$B127)</f>
        <v>0</v>
      </c>
      <c r="F127" s="26" t="n">
        <f aca="false">SUMIFS('Outages (event ledger)'!$H$2:$H$65,'Outages (event ledger)'!$A$2:$A$65,F$2,'Outages (event ledger)'!$E$2:$E$65,"&lt;="&amp;$B127,'Outages (event ledger)'!$G$2:$G$65,"&gt;="&amp;$B127)</f>
        <v>0</v>
      </c>
      <c r="G127" s="26" t="n">
        <f aca="false">SUMIFS('Outages (event ledger)'!$H$2:$H$65,'Outages (event ledger)'!$A$2:$A$65,G$2,'Outages (event ledger)'!$E$2:$E$65,"&lt;="&amp;$B127,'Outages (event ledger)'!$G$2:$G$65,"&gt;="&amp;$B127)</f>
        <v>0</v>
      </c>
      <c r="H127" s="26" t="n">
        <f aca="false">SUMIFS('Outages (event ledger)'!$H$2:$H$65,'Outages (event ledger)'!$A$2:$A$65,H$2,'Outages (event ledger)'!$E$2:$E$65,"&lt;="&amp;$B127,'Outages (event ledger)'!$G$2:$G$65,"&gt;="&amp;$B127)</f>
        <v>0</v>
      </c>
      <c r="I127" s="26" t="n">
        <f aca="false">SUMIFS('Outages (event ledger)'!$H$2:$H$65,'Outages (event ledger)'!$A$2:$A$65,I$2,'Outages (event ledger)'!$E$2:$E$65,"&lt;="&amp;$B127,'Outages (event ledger)'!$G$2:$G$65,"&gt;="&amp;$B127)</f>
        <v>0</v>
      </c>
      <c r="J127" s="26" t="n">
        <f aca="false">SUMIFS('Outages (event ledger)'!$H$2:$H$65,'Outages (event ledger)'!$A$2:$A$65,J$2,'Outages (event ledger)'!$E$2:$E$65,"&lt;="&amp;$B127,'Outages (event ledger)'!$G$2:$G$65,"&gt;="&amp;$B127)</f>
        <v>0</v>
      </c>
      <c r="K127" s="26" t="n">
        <f aca="false">SUMIFS('Outages (event ledger)'!$H$2:$H$65,'Outages (event ledger)'!$A$2:$A$65,K$2,'Outages (event ledger)'!$E$2:$E$65,"&lt;="&amp;$B127,'Outages (event ledger)'!$G$2:$G$65,"&gt;="&amp;$B127)</f>
        <v>0</v>
      </c>
      <c r="L127" s="26" t="n">
        <f aca="false">SUMIFS('Outages (event ledger)'!$H$2:$H$65,'Outages (event ledger)'!$A$2:$A$65,L$2,'Outages (event ledger)'!$E$2:$E$65,"&lt;="&amp;$B127,'Outages (event ledger)'!$G$2:$G$65,"&gt;="&amp;$B127)</f>
        <v>5.2</v>
      </c>
      <c r="M127" s="26" t="n">
        <f aca="false">SUMIFS('Outages (event ledger)'!$H$2:$H$65,'Outages (event ledger)'!$A$2:$A$65,M$2,'Outages (event ledger)'!$E$2:$E$65,"&lt;="&amp;$B127,'Outages (event ledger)'!$G$2:$G$65,"&gt;="&amp;$B127)</f>
        <v>0</v>
      </c>
      <c r="N127" s="26" t="n">
        <f aca="false">SUMIFS('Outages (event ledger)'!$H$2:$H$65,'Outages (event ledger)'!$A$2:$A$65,N$2,'Outages (event ledger)'!$E$2:$E$65,"&lt;="&amp;$B127,'Outages (event ledger)'!$G$2:$G$65,"&gt;="&amp;$B127)</f>
        <v>0</v>
      </c>
      <c r="O127" s="26" t="n">
        <f aca="false">SUMIFS('Outages (event ledger)'!$H$2:$H$65,'Outages (event ledger)'!$A$2:$A$65,O$2,'Outages (event ledger)'!$E$2:$E$65,"&lt;="&amp;$B127,'Outages (event ledger)'!$G$2:$G$65,"&gt;="&amp;$B127)</f>
        <v>0</v>
      </c>
      <c r="P127" s="26" t="n">
        <f aca="false">SUMIFS('Outages (event ledger)'!$H$2:$H$65,'Outages (event ledger)'!$A$2:$A$65,P$2,'Outages (event ledger)'!$E$2:$E$65,"&lt;="&amp;$B127,'Outages (event ledger)'!$G$2:$G$65,"&gt;="&amp;$B127)</f>
        <v>3.6</v>
      </c>
      <c r="Q127" s="26" t="n">
        <f aca="false">SUMIFS('Outages (event ledger)'!$H$2:$H$65,'Outages (event ledger)'!$A$2:$A$65,Q$2,'Outages (event ledger)'!$E$2:$E$65,"&lt;="&amp;$B127,'Outages (event ledger)'!$G$2:$G$65,"&gt;="&amp;$B127)</f>
        <v>0</v>
      </c>
      <c r="R127" s="26" t="n">
        <f aca="false">SUMIFS('Outages (event ledger)'!$H$2:$H$65,'Outages (event ledger)'!$A$2:$A$65,R$2,'Outages (event ledger)'!$E$2:$E$65,"&lt;="&amp;$B127,'Outages (event ledger)'!$G$2:$G$65,"&gt;="&amp;$B127)</f>
        <v>0</v>
      </c>
      <c r="S127" s="26" t="n">
        <f aca="false">SUMIFS('Outages (event ledger)'!$H$2:$H$65,'Outages (event ledger)'!$A$2:$A$65,S$2,'Outages (event ledger)'!$E$2:$E$65,"&lt;="&amp;$B127,'Outages (event ledger)'!$G$2:$G$65,"&gt;="&amp;$B127)</f>
        <v>0</v>
      </c>
      <c r="T127" s="26" t="n">
        <f aca="false">SUMIFS('Outages (event ledger)'!$H$2:$H$65,'Outages (event ledger)'!$A$2:$A$65,T$2,'Outages (event ledger)'!$E$2:$E$65,"&lt;="&amp;$B127,'Outages (event ledger)'!$G$2:$G$65,"&gt;="&amp;$B127)</f>
        <v>0</v>
      </c>
      <c r="U127" s="26" t="n">
        <f aca="false">SUMIFS('Outages (event ledger)'!$H$2:$H$65,'Outages (event ledger)'!$A$2:$A$65,U$2,'Outages (event ledger)'!$E$2:$E$65,"&lt;="&amp;$B127,'Outages (event ledger)'!$G$2:$G$65,"&gt;="&amp;$B127)</f>
        <v>0</v>
      </c>
      <c r="V127" s="26" t="n">
        <f aca="false">SUMIFS('Outages (event ledger)'!$H$2:$H$65,'Outages (event ledger)'!$A$2:$A$65,V$2,'Outages (event ledger)'!$E$2:$E$65,"&lt;="&amp;$B127,'Outages (event ledger)'!$G$2:$G$65,"&gt;="&amp;$B127)</f>
        <v>0</v>
      </c>
      <c r="W127" s="26" t="n">
        <f aca="false">SUMIFS('Outages (event ledger)'!$H$2:$H$65,'Outages (event ledger)'!$A$2:$A$65,W$2,'Outages (event ledger)'!$E$2:$E$65,"&lt;="&amp;$B127,'Outages (event ledger)'!$G$2:$G$65,"&gt;="&amp;$B127)</f>
        <v>0</v>
      </c>
      <c r="X127" s="26" t="n">
        <f aca="false">SUMIFS('Outages (event ledger)'!$H$2:$H$65,'Outages (event ledger)'!$A$2:$A$65,X$2,'Outages (event ledger)'!$E$2:$E$65,"&lt;="&amp;$B127,'Outages (event ledger)'!$G$2:$G$65,"&gt;="&amp;$B127)</f>
        <v>0</v>
      </c>
      <c r="Y127" s="26" t="n">
        <f aca="false">SUMIFS('Outages (event ledger)'!$H$2:$H$65,'Outages (event ledger)'!$A$2:$A$65,Y$2,'Outages (event ledger)'!$E$2:$E$65,"&lt;="&amp;$B127,'Outages (event ledger)'!$G$2:$G$65,"&gt;="&amp;$B127)</f>
        <v>5</v>
      </c>
      <c r="Z127" s="26" t="n">
        <f aca="false">SUMIFS('Outages (event ledger)'!$H$2:$H$65,'Outages (event ledger)'!$A$2:$A$65,Z$2,'Outages (event ledger)'!$E$2:$E$65,"&lt;="&amp;$B127,'Outages (event ledger)'!$G$2:$G$65,"&gt;="&amp;$B127)</f>
        <v>0</v>
      </c>
      <c r="AA127" s="26" t="n">
        <f aca="false">SUMIFS('Outages (event ledger)'!$H$2:$H$65,'Outages (event ledger)'!$A$2:$A$65,AA$2,'Outages (event ledger)'!$E$2:$E$65,"&lt;="&amp;$B127,'Outages (event ledger)'!$G$2:$G$65,"&gt;="&amp;$B127)</f>
        <v>0</v>
      </c>
      <c r="AB127" s="26" t="n">
        <f aca="false">SUMIFS('Outages (event ledger)'!$H$2:$H$65,'Outages (event ledger)'!$A$2:$A$65,AB$2,'Outages (event ledger)'!$E$2:$E$65,"&lt;="&amp;$B127,'Outages (event ledger)'!$G$2:$G$65,"&gt;="&amp;$B127)</f>
        <v>8</v>
      </c>
      <c r="AC127" s="26" t="n">
        <f aca="false">SUMIFS('Outages (event ledger)'!$H$2:$H$65,'Outages (event ledger)'!$A$2:$A$65,AC$2,'Outages (event ledger)'!$E$2:$E$65,"&lt;="&amp;$B127,'Outages (event ledger)'!$G$2:$G$65,"&gt;="&amp;$B127)</f>
        <v>0</v>
      </c>
      <c r="AD127" s="26" t="n">
        <f aca="false">SUMIFS('Outages (event ledger)'!$H$2:$H$65,'Outages (event ledger)'!$A$2:$A$65,AD$2,'Outages (event ledger)'!$E$2:$E$65,"&lt;="&amp;$B127,'Outages (event ledger)'!$G$2:$G$65,"&gt;="&amp;$B127)</f>
        <v>0</v>
      </c>
      <c r="AE127" s="26" t="n">
        <f aca="false">SUMIFS('Outages (event ledger)'!$H$2:$H$65,'Outages (event ledger)'!$A$2:$A$65,AE$2,'Outages (event ledger)'!$E$2:$E$65,"&lt;="&amp;$B127,'Outages (event ledger)'!$G$2:$G$65,"&gt;="&amp;$B127)</f>
        <v>0</v>
      </c>
      <c r="AF127" s="26" t="n">
        <f aca="false">SUMIFS('Outages (event ledger)'!$H$2:$H$65,'Outages (event ledger)'!$A$2:$A$65,AF$2,'Outages (event ledger)'!$E$2:$E$65,"&lt;="&amp;$B127,'Outages (event ledger)'!$G$2:$G$65,"&gt;="&amp;$B127)</f>
        <v>0</v>
      </c>
      <c r="AG127" s="26" t="n">
        <f aca="false">SUMIFS('Outages (event ledger)'!$H$2:$H$65,'Outages (event ledger)'!$A$2:$A$65,AG$2,'Outages (event ledger)'!$E$2:$E$65,"&lt;="&amp;$B127,'Outages (event ledger)'!$G$2:$G$65,"&gt;="&amp;$B127)</f>
        <v>0</v>
      </c>
      <c r="AH127" s="26" t="n">
        <f aca="false">SUMIFS('Outages (event ledger)'!$H$2:$H$65,'Outages (event ledger)'!$A$2:$A$65,AH$2,'Outages (event ledger)'!$E$2:$E$65,"&lt;="&amp;$B127,'Outages (event ledger)'!$G$2:$G$65,"&gt;="&amp;$B127)</f>
        <v>0</v>
      </c>
      <c r="AI127" s="26" t="n">
        <f aca="false">SUMIFS('Outages (event ledger)'!$H$2:$H$65,'Outages (event ledger)'!$A$2:$A$65,AI$2,'Outages (event ledger)'!$E$2:$E$65,"&lt;="&amp;$B127,'Outages (event ledger)'!$G$2:$G$65,"&gt;="&amp;$B127)</f>
        <v>0</v>
      </c>
      <c r="AJ127" s="26" t="n">
        <f aca="false">SUMIFS('Outages (event ledger)'!$H$2:$H$65,'Outages (event ledger)'!$A$2:$A$65,AJ$2,'Outages (event ledger)'!$E$2:$E$65,"&lt;="&amp;$B127,'Outages (event ledger)'!$G$2:$G$65,"&gt;="&amp;$B127)</f>
        <v>0</v>
      </c>
      <c r="AK127" s="26" t="n">
        <f aca="false">SUMIFS('Outages (event ledger)'!$H$2:$H$65,'Outages (event ledger)'!$A$2:$A$65,AK$2,'Outages (event ledger)'!$E$2:$E$65,"&lt;="&amp;$B127,'Outages (event ledger)'!$G$2:$G$65,"&gt;="&amp;$B127)</f>
        <v>0</v>
      </c>
      <c r="AL127" s="26" t="n">
        <f aca="false">SUMIFS('Outages (event ledger)'!$H$2:$H$65,'Outages (event ledger)'!$A$2:$A$65,AL$2,'Outages (event ledger)'!$E$2:$E$65,"&lt;="&amp;$B127,'Outages (event ledger)'!$G$2:$G$65,"&gt;="&amp;$B127)</f>
        <v>0</v>
      </c>
      <c r="AM127" s="26" t="n">
        <f aca="false">SUMIFS('Outages (event ledger)'!$H$2:$H$65,'Outages (event ledger)'!$A$2:$A$65,AM$2,'Outages (event ledger)'!$E$2:$E$65,"&lt;="&amp;$B127,'Outages (event ledger)'!$G$2:$G$65,"&gt;="&amp;$B127)</f>
        <v>0</v>
      </c>
      <c r="AN127" s="26" t="n">
        <f aca="false">SUMIFS('Outages (event ledger)'!$H$2:$H$65,'Outages (event ledger)'!$A$2:$A$65,AN$2,'Outages (event ledger)'!$E$2:$E$65,"&lt;="&amp;$B127,'Outages (event ledger)'!$G$2:$G$65,"&gt;="&amp;$B127)</f>
        <v>0</v>
      </c>
      <c r="AO127" s="26" t="n">
        <f aca="false">SUMIFS('Outages (event ledger)'!$H$2:$H$65,'Outages (event ledger)'!$A$2:$A$65,AO$2,'Outages (event ledger)'!$E$2:$E$65,"&lt;="&amp;$B127,'Outages (event ledger)'!$G$2:$G$65,"&gt;="&amp;$B127)</f>
        <v>0</v>
      </c>
      <c r="AP127" s="26" t="n">
        <f aca="false">SUMIFS('Outages (event ledger)'!$H$2:$H$65,'Outages (event ledger)'!$A$2:$A$65,AP$2,'Outages (event ledger)'!$E$2:$E$65,"&lt;="&amp;$B127,'Outages (event ledger)'!$G$2:$G$65,"&gt;="&amp;$B127)</f>
        <v>0</v>
      </c>
      <c r="AQ127" s="26" t="n">
        <f aca="false">SUMIFS('Outages (event ledger)'!$H$2:$H$65,'Outages (event ledger)'!$A$2:$A$65,AQ$2,'Outages (event ledger)'!$E$2:$E$65,"&lt;="&amp;$B127,'Outages (event ledger)'!$G$2:$G$65,"&gt;="&amp;$B127)</f>
        <v>1</v>
      </c>
      <c r="AR127" s="26" t="n">
        <f aca="false">SUMIFS('Outages (event ledger)'!$H$2:$H$65,'Outages (event ledger)'!$A$2:$A$65,AR$2,'Outages (event ledger)'!$E$2:$E$65,"&lt;="&amp;$B127,'Outages (event ledger)'!$G$2:$G$65,"&gt;="&amp;$B127)</f>
        <v>0</v>
      </c>
      <c r="AS127" s="26" t="n">
        <f aca="false">SUMIFS('Outages (event ledger)'!$H$2:$H$65,'Outages (event ledger)'!$A$2:$A$65,AS$2,'Outages (event ledger)'!$E$2:$E$65,"&lt;="&amp;$B127,'Outages (event ledger)'!$G$2:$G$65,"&gt;="&amp;$B127)</f>
        <v>0</v>
      </c>
      <c r="AT127" s="26" t="n">
        <f aca="false">SUMIFS('Outages (event ledger)'!$H$2:$H$65,'Outages (event ledger)'!$A$2:$A$65,AT$2,'Outages (event ledger)'!$E$2:$E$65,"&lt;="&amp;$B127,'Outages (event ledger)'!$G$2:$G$65,"&gt;="&amp;$B127)</f>
        <v>0</v>
      </c>
      <c r="AU127" s="26" t="n">
        <f aca="false">SUMIFS('Outages (event ledger)'!$H$2:$H$65,'Outages (event ledger)'!$A$2:$A$65,AU$2,'Outages (event ledger)'!$E$2:$E$65,"&lt;="&amp;$B127,'Outages (event ledger)'!$G$2:$G$65,"&gt;="&amp;$B127)</f>
        <v>0</v>
      </c>
      <c r="AV127" s="26" t="n">
        <f aca="false">SUMIFS('Outages (event ledger)'!$H$2:$H$65,'Outages (event ledger)'!$A$2:$A$65,AV$2,'Outages (event ledger)'!$E$2:$E$65,"&lt;="&amp;$B127,'Outages (event ledger)'!$G$2:$G$65,"&gt;="&amp;$B127)</f>
        <v>0</v>
      </c>
      <c r="AW127" s="26" t="n">
        <f aca="false">SUMIFS('Outages (event ledger)'!$H$2:$H$65,'Outages (event ledger)'!$A$2:$A$65,AW$2,'Outages (event ledger)'!$E$2:$E$65,"&lt;="&amp;$B127,'Outages (event ledger)'!$G$2:$G$65,"&gt;="&amp;$B127)</f>
        <v>0</v>
      </c>
      <c r="AX127" s="26" t="n">
        <f aca="false">SUMIFS('Outages (event ledger)'!$H$2:$H$65,'Outages (event ledger)'!$A$2:$A$65,AX$2,'Outages (event ledger)'!$E$2:$E$65,"&lt;="&amp;$B127,'Outages (event ledger)'!$G$2:$G$65,"&gt;="&amp;$B127)</f>
        <v>0</v>
      </c>
      <c r="AY127" s="26" t="n">
        <f aca="false">SUMIFS('Outages (event ledger)'!$H$2:$H$65,'Outages (event ledger)'!$A$2:$A$65,AY$2,'Outages (event ledger)'!$E$2:$E$65,"&lt;="&amp;$B127,'Outages (event ledger)'!$G$2:$G$65,"&gt;="&amp;$B127)</f>
        <v>0</v>
      </c>
      <c r="AZ127" s="26" t="n">
        <f aca="false">SUMIFS('Outages (event ledger)'!$H$2:$H$65,'Outages (event ledger)'!$A$2:$A$65,AZ$2,'Outages (event ledger)'!$E$2:$E$65,"&lt;="&amp;$B127,'Outages (event ledger)'!$G$2:$G$65,"&gt;="&amp;$B127)</f>
        <v>0</v>
      </c>
      <c r="BA127" s="26" t="n">
        <f aca="false">SUMIFS('Outages (event ledger)'!$H$2:$H$65,'Outages (event ledger)'!$A$2:$A$65,BA$2,'Outages (event ledger)'!$E$2:$E$65,"&lt;="&amp;$B127,'Outages (event ledger)'!$G$2:$G$65,"&gt;="&amp;$B127)</f>
        <v>0</v>
      </c>
      <c r="BB127" s="26" t="n">
        <f aca="false">SUMIFS('Outages (event ledger)'!$H$2:$H$65,'Outages (event ledger)'!$A$2:$A$65,BB$2,'Outages (event ledger)'!$E$2:$E$65,"&lt;="&amp;$B127,'Outages (event ledger)'!$G$2:$G$65,"&gt;="&amp;$B127)</f>
        <v>0</v>
      </c>
      <c r="BC127" s="26" t="n">
        <f aca="false">SUMIFS('Outages (event ledger)'!$H$2:$H$65,'Outages (event ledger)'!$A$2:$A$65,BC$2,'Outages (event ledger)'!$E$2:$E$65,"&lt;="&amp;$B127,'Outages (event ledger)'!$G$2:$G$65,"&gt;="&amp;$B127)</f>
        <v>0</v>
      </c>
      <c r="BD127" s="26" t="n">
        <f aca="false">SUMIFS('Outages (event ledger)'!$H$2:$H$65,'Outages (event ledger)'!$A$2:$A$65,BD$2,'Outages (event ledger)'!$E$2:$E$65,"&lt;="&amp;$B127,'Outages (event ledger)'!$G$2:$G$65,"&gt;="&amp;$B127)</f>
        <v>0.75</v>
      </c>
      <c r="BE127" s="26" t="n">
        <f aca="false">SUMIFS('Outages (event ledger)'!$H$2:$H$65,'Outages (event ledger)'!$A$2:$A$65,BE$2,'Outages (event ledger)'!$E$2:$E$65,"&lt;="&amp;$B127,'Outages (event ledger)'!$G$2:$G$65,"&gt;="&amp;$B127)</f>
        <v>0</v>
      </c>
      <c r="BF127" s="26" t="n">
        <f aca="false">SUMIFS('Outages (event ledger)'!$H$2:$H$65,'Outages (event ledger)'!$A$2:$A$65,BF$2,'Outages (event ledger)'!$E$2:$E$65,"&lt;="&amp;$B127,'Outages (event ledger)'!$G$2:$G$65,"&gt;="&amp;$B127)</f>
        <v>0</v>
      </c>
      <c r="BG127" s="26" t="n">
        <f aca="false">SUMIFS('Outages (event ledger)'!$H$2:$H$65,'Outages (event ledger)'!$A$2:$A$65,BG$2,'Outages (event ledger)'!$E$2:$E$65,"&lt;="&amp;$B127,'Outages (event ledger)'!$G$2:$G$65,"&gt;="&amp;$B127)</f>
        <v>0</v>
      </c>
      <c r="BH127" s="26" t="n">
        <f aca="false">SUMIFS('Outages (event ledger)'!$H$2:$H$65,'Outages (event ledger)'!$A$2:$A$65,BH$2,'Outages (event ledger)'!$E$2:$E$65,"&lt;="&amp;$B127,'Outages (event ledger)'!$G$2:$G$65,"&gt;="&amp;$B127)</f>
        <v>0</v>
      </c>
      <c r="BI127" s="26" t="n">
        <f aca="false">SUMIFS('Outages (event ledger)'!$H$2:$H$65,'Outages (event ledger)'!$A$2:$A$65,BI$2,'Outages (event ledger)'!$E$2:$E$65,"&lt;="&amp;$B127,'Outages (event ledger)'!$G$2:$G$65,"&gt;="&amp;$B127)</f>
        <v>6.7</v>
      </c>
    </row>
    <row r="128" customFormat="false" ht="15" hidden="false" customHeight="false" outlineLevel="0" collapsed="false">
      <c r="A128" s="23" t="n">
        <v>43983</v>
      </c>
      <c r="B128" s="24" t="n">
        <v>202006</v>
      </c>
      <c r="C128" s="25" t="n">
        <f aca="false">SUM(D128:BI128)</f>
        <v>30.25</v>
      </c>
      <c r="D128" s="26" t="n">
        <f aca="false">SUMIFS('Outages (event ledger)'!$H$2:$H$65,'Outages (event ledger)'!$A$2:$A$65,D$2,'Outages (event ledger)'!$E$2:$E$65,"&lt;="&amp;$B128,'Outages (event ledger)'!$G$2:$G$65,"&gt;="&amp;$B128)</f>
        <v>0</v>
      </c>
      <c r="E128" s="26" t="n">
        <f aca="false">SUMIFS('Outages (event ledger)'!$H$2:$H$65,'Outages (event ledger)'!$A$2:$A$65,E$2,'Outages (event ledger)'!$E$2:$E$65,"&lt;="&amp;$B128,'Outages (event ledger)'!$G$2:$G$65,"&gt;="&amp;$B128)</f>
        <v>0</v>
      </c>
      <c r="F128" s="26" t="n">
        <f aca="false">SUMIFS('Outages (event ledger)'!$H$2:$H$65,'Outages (event ledger)'!$A$2:$A$65,F$2,'Outages (event ledger)'!$E$2:$E$65,"&lt;="&amp;$B128,'Outages (event ledger)'!$G$2:$G$65,"&gt;="&amp;$B128)</f>
        <v>0</v>
      </c>
      <c r="G128" s="26" t="n">
        <f aca="false">SUMIFS('Outages (event ledger)'!$H$2:$H$65,'Outages (event ledger)'!$A$2:$A$65,G$2,'Outages (event ledger)'!$E$2:$E$65,"&lt;="&amp;$B128,'Outages (event ledger)'!$G$2:$G$65,"&gt;="&amp;$B128)</f>
        <v>0</v>
      </c>
      <c r="H128" s="26" t="n">
        <f aca="false">SUMIFS('Outages (event ledger)'!$H$2:$H$65,'Outages (event ledger)'!$A$2:$A$65,H$2,'Outages (event ledger)'!$E$2:$E$65,"&lt;="&amp;$B128,'Outages (event ledger)'!$G$2:$G$65,"&gt;="&amp;$B128)</f>
        <v>0</v>
      </c>
      <c r="I128" s="26" t="n">
        <f aca="false">SUMIFS('Outages (event ledger)'!$H$2:$H$65,'Outages (event ledger)'!$A$2:$A$65,I$2,'Outages (event ledger)'!$E$2:$E$65,"&lt;="&amp;$B128,'Outages (event ledger)'!$G$2:$G$65,"&gt;="&amp;$B128)</f>
        <v>0</v>
      </c>
      <c r="J128" s="26" t="n">
        <f aca="false">SUMIFS('Outages (event ledger)'!$H$2:$H$65,'Outages (event ledger)'!$A$2:$A$65,J$2,'Outages (event ledger)'!$E$2:$E$65,"&lt;="&amp;$B128,'Outages (event ledger)'!$G$2:$G$65,"&gt;="&amp;$B128)</f>
        <v>0</v>
      </c>
      <c r="K128" s="26" t="n">
        <f aca="false">SUMIFS('Outages (event ledger)'!$H$2:$H$65,'Outages (event ledger)'!$A$2:$A$65,K$2,'Outages (event ledger)'!$E$2:$E$65,"&lt;="&amp;$B128,'Outages (event ledger)'!$G$2:$G$65,"&gt;="&amp;$B128)</f>
        <v>0</v>
      </c>
      <c r="L128" s="26" t="n">
        <f aca="false">SUMIFS('Outages (event ledger)'!$H$2:$H$65,'Outages (event ledger)'!$A$2:$A$65,L$2,'Outages (event ledger)'!$E$2:$E$65,"&lt;="&amp;$B128,'Outages (event ledger)'!$G$2:$G$65,"&gt;="&amp;$B128)</f>
        <v>5.2</v>
      </c>
      <c r="M128" s="26" t="n">
        <f aca="false">SUMIFS('Outages (event ledger)'!$H$2:$H$65,'Outages (event ledger)'!$A$2:$A$65,M$2,'Outages (event ledger)'!$E$2:$E$65,"&lt;="&amp;$B128,'Outages (event ledger)'!$G$2:$G$65,"&gt;="&amp;$B128)</f>
        <v>0</v>
      </c>
      <c r="N128" s="26" t="n">
        <f aca="false">SUMIFS('Outages (event ledger)'!$H$2:$H$65,'Outages (event ledger)'!$A$2:$A$65,N$2,'Outages (event ledger)'!$E$2:$E$65,"&lt;="&amp;$B128,'Outages (event ledger)'!$G$2:$G$65,"&gt;="&amp;$B128)</f>
        <v>0</v>
      </c>
      <c r="O128" s="26" t="n">
        <f aca="false">SUMIFS('Outages (event ledger)'!$H$2:$H$65,'Outages (event ledger)'!$A$2:$A$65,O$2,'Outages (event ledger)'!$E$2:$E$65,"&lt;="&amp;$B128,'Outages (event ledger)'!$G$2:$G$65,"&gt;="&amp;$B128)</f>
        <v>0</v>
      </c>
      <c r="P128" s="26" t="n">
        <f aca="false">SUMIFS('Outages (event ledger)'!$H$2:$H$65,'Outages (event ledger)'!$A$2:$A$65,P$2,'Outages (event ledger)'!$E$2:$E$65,"&lt;="&amp;$B128,'Outages (event ledger)'!$G$2:$G$65,"&gt;="&amp;$B128)</f>
        <v>3.6</v>
      </c>
      <c r="Q128" s="26" t="n">
        <f aca="false">SUMIFS('Outages (event ledger)'!$H$2:$H$65,'Outages (event ledger)'!$A$2:$A$65,Q$2,'Outages (event ledger)'!$E$2:$E$65,"&lt;="&amp;$B128,'Outages (event ledger)'!$G$2:$G$65,"&gt;="&amp;$B128)</f>
        <v>0</v>
      </c>
      <c r="R128" s="26" t="n">
        <f aca="false">SUMIFS('Outages (event ledger)'!$H$2:$H$65,'Outages (event ledger)'!$A$2:$A$65,R$2,'Outages (event ledger)'!$E$2:$E$65,"&lt;="&amp;$B128,'Outages (event ledger)'!$G$2:$G$65,"&gt;="&amp;$B128)</f>
        <v>0</v>
      </c>
      <c r="S128" s="26" t="n">
        <f aca="false">SUMIFS('Outages (event ledger)'!$H$2:$H$65,'Outages (event ledger)'!$A$2:$A$65,S$2,'Outages (event ledger)'!$E$2:$E$65,"&lt;="&amp;$B128,'Outages (event ledger)'!$G$2:$G$65,"&gt;="&amp;$B128)</f>
        <v>0</v>
      </c>
      <c r="T128" s="26" t="n">
        <f aca="false">SUMIFS('Outages (event ledger)'!$H$2:$H$65,'Outages (event ledger)'!$A$2:$A$65,T$2,'Outages (event ledger)'!$E$2:$E$65,"&lt;="&amp;$B128,'Outages (event ledger)'!$G$2:$G$65,"&gt;="&amp;$B128)</f>
        <v>0</v>
      </c>
      <c r="U128" s="26" t="n">
        <f aca="false">SUMIFS('Outages (event ledger)'!$H$2:$H$65,'Outages (event ledger)'!$A$2:$A$65,U$2,'Outages (event ledger)'!$E$2:$E$65,"&lt;="&amp;$B128,'Outages (event ledger)'!$G$2:$G$65,"&gt;="&amp;$B128)</f>
        <v>0</v>
      </c>
      <c r="V128" s="26" t="n">
        <f aca="false">SUMIFS('Outages (event ledger)'!$H$2:$H$65,'Outages (event ledger)'!$A$2:$A$65,V$2,'Outages (event ledger)'!$E$2:$E$65,"&lt;="&amp;$B128,'Outages (event ledger)'!$G$2:$G$65,"&gt;="&amp;$B128)</f>
        <v>0</v>
      </c>
      <c r="W128" s="26" t="n">
        <f aca="false">SUMIFS('Outages (event ledger)'!$H$2:$H$65,'Outages (event ledger)'!$A$2:$A$65,W$2,'Outages (event ledger)'!$E$2:$E$65,"&lt;="&amp;$B128,'Outages (event ledger)'!$G$2:$G$65,"&gt;="&amp;$B128)</f>
        <v>0</v>
      </c>
      <c r="X128" s="26" t="n">
        <f aca="false">SUMIFS('Outages (event ledger)'!$H$2:$H$65,'Outages (event ledger)'!$A$2:$A$65,X$2,'Outages (event ledger)'!$E$2:$E$65,"&lt;="&amp;$B128,'Outages (event ledger)'!$G$2:$G$65,"&gt;="&amp;$B128)</f>
        <v>0</v>
      </c>
      <c r="Y128" s="26" t="n">
        <f aca="false">SUMIFS('Outages (event ledger)'!$H$2:$H$65,'Outages (event ledger)'!$A$2:$A$65,Y$2,'Outages (event ledger)'!$E$2:$E$65,"&lt;="&amp;$B128,'Outages (event ledger)'!$G$2:$G$65,"&gt;="&amp;$B128)</f>
        <v>5</v>
      </c>
      <c r="Z128" s="26" t="n">
        <f aca="false">SUMIFS('Outages (event ledger)'!$H$2:$H$65,'Outages (event ledger)'!$A$2:$A$65,Z$2,'Outages (event ledger)'!$E$2:$E$65,"&lt;="&amp;$B128,'Outages (event ledger)'!$G$2:$G$65,"&gt;="&amp;$B128)</f>
        <v>0</v>
      </c>
      <c r="AA128" s="26" t="n">
        <f aca="false">SUMIFS('Outages (event ledger)'!$H$2:$H$65,'Outages (event ledger)'!$A$2:$A$65,AA$2,'Outages (event ledger)'!$E$2:$E$65,"&lt;="&amp;$B128,'Outages (event ledger)'!$G$2:$G$65,"&gt;="&amp;$B128)</f>
        <v>0</v>
      </c>
      <c r="AB128" s="26" t="n">
        <f aca="false">SUMIFS('Outages (event ledger)'!$H$2:$H$65,'Outages (event ledger)'!$A$2:$A$65,AB$2,'Outages (event ledger)'!$E$2:$E$65,"&lt;="&amp;$B128,'Outages (event ledger)'!$G$2:$G$65,"&gt;="&amp;$B128)</f>
        <v>8</v>
      </c>
      <c r="AC128" s="26" t="n">
        <f aca="false">SUMIFS('Outages (event ledger)'!$H$2:$H$65,'Outages (event ledger)'!$A$2:$A$65,AC$2,'Outages (event ledger)'!$E$2:$E$65,"&lt;="&amp;$B128,'Outages (event ledger)'!$G$2:$G$65,"&gt;="&amp;$B128)</f>
        <v>0</v>
      </c>
      <c r="AD128" s="26" t="n">
        <f aca="false">SUMIFS('Outages (event ledger)'!$H$2:$H$65,'Outages (event ledger)'!$A$2:$A$65,AD$2,'Outages (event ledger)'!$E$2:$E$65,"&lt;="&amp;$B128,'Outages (event ledger)'!$G$2:$G$65,"&gt;="&amp;$B128)</f>
        <v>0</v>
      </c>
      <c r="AE128" s="26" t="n">
        <f aca="false">SUMIFS('Outages (event ledger)'!$H$2:$H$65,'Outages (event ledger)'!$A$2:$A$65,AE$2,'Outages (event ledger)'!$E$2:$E$65,"&lt;="&amp;$B128,'Outages (event ledger)'!$G$2:$G$65,"&gt;="&amp;$B128)</f>
        <v>0</v>
      </c>
      <c r="AF128" s="26" t="n">
        <f aca="false">SUMIFS('Outages (event ledger)'!$H$2:$H$65,'Outages (event ledger)'!$A$2:$A$65,AF$2,'Outages (event ledger)'!$E$2:$E$65,"&lt;="&amp;$B128,'Outages (event ledger)'!$G$2:$G$65,"&gt;="&amp;$B128)</f>
        <v>0</v>
      </c>
      <c r="AG128" s="26" t="n">
        <f aca="false">SUMIFS('Outages (event ledger)'!$H$2:$H$65,'Outages (event ledger)'!$A$2:$A$65,AG$2,'Outages (event ledger)'!$E$2:$E$65,"&lt;="&amp;$B128,'Outages (event ledger)'!$G$2:$G$65,"&gt;="&amp;$B128)</f>
        <v>0</v>
      </c>
      <c r="AH128" s="26" t="n">
        <f aca="false">SUMIFS('Outages (event ledger)'!$H$2:$H$65,'Outages (event ledger)'!$A$2:$A$65,AH$2,'Outages (event ledger)'!$E$2:$E$65,"&lt;="&amp;$B128,'Outages (event ledger)'!$G$2:$G$65,"&gt;="&amp;$B128)</f>
        <v>0</v>
      </c>
      <c r="AI128" s="26" t="n">
        <f aca="false">SUMIFS('Outages (event ledger)'!$H$2:$H$65,'Outages (event ledger)'!$A$2:$A$65,AI$2,'Outages (event ledger)'!$E$2:$E$65,"&lt;="&amp;$B128,'Outages (event ledger)'!$G$2:$G$65,"&gt;="&amp;$B128)</f>
        <v>0</v>
      </c>
      <c r="AJ128" s="26" t="n">
        <f aca="false">SUMIFS('Outages (event ledger)'!$H$2:$H$65,'Outages (event ledger)'!$A$2:$A$65,AJ$2,'Outages (event ledger)'!$E$2:$E$65,"&lt;="&amp;$B128,'Outages (event ledger)'!$G$2:$G$65,"&gt;="&amp;$B128)</f>
        <v>0</v>
      </c>
      <c r="AK128" s="26" t="n">
        <f aca="false">SUMIFS('Outages (event ledger)'!$H$2:$H$65,'Outages (event ledger)'!$A$2:$A$65,AK$2,'Outages (event ledger)'!$E$2:$E$65,"&lt;="&amp;$B128,'Outages (event ledger)'!$G$2:$G$65,"&gt;="&amp;$B128)</f>
        <v>0</v>
      </c>
      <c r="AL128" s="26" t="n">
        <f aca="false">SUMIFS('Outages (event ledger)'!$H$2:$H$65,'Outages (event ledger)'!$A$2:$A$65,AL$2,'Outages (event ledger)'!$E$2:$E$65,"&lt;="&amp;$B128,'Outages (event ledger)'!$G$2:$G$65,"&gt;="&amp;$B128)</f>
        <v>0</v>
      </c>
      <c r="AM128" s="26" t="n">
        <f aca="false">SUMIFS('Outages (event ledger)'!$H$2:$H$65,'Outages (event ledger)'!$A$2:$A$65,AM$2,'Outages (event ledger)'!$E$2:$E$65,"&lt;="&amp;$B128,'Outages (event ledger)'!$G$2:$G$65,"&gt;="&amp;$B128)</f>
        <v>0</v>
      </c>
      <c r="AN128" s="26" t="n">
        <f aca="false">SUMIFS('Outages (event ledger)'!$H$2:$H$65,'Outages (event ledger)'!$A$2:$A$65,AN$2,'Outages (event ledger)'!$E$2:$E$65,"&lt;="&amp;$B128,'Outages (event ledger)'!$G$2:$G$65,"&gt;="&amp;$B128)</f>
        <v>0</v>
      </c>
      <c r="AO128" s="26" t="n">
        <f aca="false">SUMIFS('Outages (event ledger)'!$H$2:$H$65,'Outages (event ledger)'!$A$2:$A$65,AO$2,'Outages (event ledger)'!$E$2:$E$65,"&lt;="&amp;$B128,'Outages (event ledger)'!$G$2:$G$65,"&gt;="&amp;$B128)</f>
        <v>0</v>
      </c>
      <c r="AP128" s="26" t="n">
        <f aca="false">SUMIFS('Outages (event ledger)'!$H$2:$H$65,'Outages (event ledger)'!$A$2:$A$65,AP$2,'Outages (event ledger)'!$E$2:$E$65,"&lt;="&amp;$B128,'Outages (event ledger)'!$G$2:$G$65,"&gt;="&amp;$B128)</f>
        <v>0</v>
      </c>
      <c r="AQ128" s="26" t="n">
        <f aca="false">SUMIFS('Outages (event ledger)'!$H$2:$H$65,'Outages (event ledger)'!$A$2:$A$65,AQ$2,'Outages (event ledger)'!$E$2:$E$65,"&lt;="&amp;$B128,'Outages (event ledger)'!$G$2:$G$65,"&gt;="&amp;$B128)</f>
        <v>1</v>
      </c>
      <c r="AR128" s="26" t="n">
        <f aca="false">SUMIFS('Outages (event ledger)'!$H$2:$H$65,'Outages (event ledger)'!$A$2:$A$65,AR$2,'Outages (event ledger)'!$E$2:$E$65,"&lt;="&amp;$B128,'Outages (event ledger)'!$G$2:$G$65,"&gt;="&amp;$B128)</f>
        <v>0</v>
      </c>
      <c r="AS128" s="26" t="n">
        <f aca="false">SUMIFS('Outages (event ledger)'!$H$2:$H$65,'Outages (event ledger)'!$A$2:$A$65,AS$2,'Outages (event ledger)'!$E$2:$E$65,"&lt;="&amp;$B128,'Outages (event ledger)'!$G$2:$G$65,"&gt;="&amp;$B128)</f>
        <v>0</v>
      </c>
      <c r="AT128" s="26" t="n">
        <f aca="false">SUMIFS('Outages (event ledger)'!$H$2:$H$65,'Outages (event ledger)'!$A$2:$A$65,AT$2,'Outages (event ledger)'!$E$2:$E$65,"&lt;="&amp;$B128,'Outages (event ledger)'!$G$2:$G$65,"&gt;="&amp;$B128)</f>
        <v>0</v>
      </c>
      <c r="AU128" s="26" t="n">
        <f aca="false">SUMIFS('Outages (event ledger)'!$H$2:$H$65,'Outages (event ledger)'!$A$2:$A$65,AU$2,'Outages (event ledger)'!$E$2:$E$65,"&lt;="&amp;$B128,'Outages (event ledger)'!$G$2:$G$65,"&gt;="&amp;$B128)</f>
        <v>0</v>
      </c>
      <c r="AV128" s="26" t="n">
        <f aca="false">SUMIFS('Outages (event ledger)'!$H$2:$H$65,'Outages (event ledger)'!$A$2:$A$65,AV$2,'Outages (event ledger)'!$E$2:$E$65,"&lt;="&amp;$B128,'Outages (event ledger)'!$G$2:$G$65,"&gt;="&amp;$B128)</f>
        <v>0</v>
      </c>
      <c r="AW128" s="26" t="n">
        <f aca="false">SUMIFS('Outages (event ledger)'!$H$2:$H$65,'Outages (event ledger)'!$A$2:$A$65,AW$2,'Outages (event ledger)'!$E$2:$E$65,"&lt;="&amp;$B128,'Outages (event ledger)'!$G$2:$G$65,"&gt;="&amp;$B128)</f>
        <v>0</v>
      </c>
      <c r="AX128" s="26" t="n">
        <f aca="false">SUMIFS('Outages (event ledger)'!$H$2:$H$65,'Outages (event ledger)'!$A$2:$A$65,AX$2,'Outages (event ledger)'!$E$2:$E$65,"&lt;="&amp;$B128,'Outages (event ledger)'!$G$2:$G$65,"&gt;="&amp;$B128)</f>
        <v>0</v>
      </c>
      <c r="AY128" s="26" t="n">
        <f aca="false">SUMIFS('Outages (event ledger)'!$H$2:$H$65,'Outages (event ledger)'!$A$2:$A$65,AY$2,'Outages (event ledger)'!$E$2:$E$65,"&lt;="&amp;$B128,'Outages (event ledger)'!$G$2:$G$65,"&gt;="&amp;$B128)</f>
        <v>0</v>
      </c>
      <c r="AZ128" s="26" t="n">
        <f aca="false">SUMIFS('Outages (event ledger)'!$H$2:$H$65,'Outages (event ledger)'!$A$2:$A$65,AZ$2,'Outages (event ledger)'!$E$2:$E$65,"&lt;="&amp;$B128,'Outages (event ledger)'!$G$2:$G$65,"&gt;="&amp;$B128)</f>
        <v>0</v>
      </c>
      <c r="BA128" s="26" t="n">
        <f aca="false">SUMIFS('Outages (event ledger)'!$H$2:$H$65,'Outages (event ledger)'!$A$2:$A$65,BA$2,'Outages (event ledger)'!$E$2:$E$65,"&lt;="&amp;$B128,'Outages (event ledger)'!$G$2:$G$65,"&gt;="&amp;$B128)</f>
        <v>0</v>
      </c>
      <c r="BB128" s="26" t="n">
        <f aca="false">SUMIFS('Outages (event ledger)'!$H$2:$H$65,'Outages (event ledger)'!$A$2:$A$65,BB$2,'Outages (event ledger)'!$E$2:$E$65,"&lt;="&amp;$B128,'Outages (event ledger)'!$G$2:$G$65,"&gt;="&amp;$B128)</f>
        <v>0</v>
      </c>
      <c r="BC128" s="26" t="n">
        <f aca="false">SUMIFS('Outages (event ledger)'!$H$2:$H$65,'Outages (event ledger)'!$A$2:$A$65,BC$2,'Outages (event ledger)'!$E$2:$E$65,"&lt;="&amp;$B128,'Outages (event ledger)'!$G$2:$G$65,"&gt;="&amp;$B128)</f>
        <v>0</v>
      </c>
      <c r="BD128" s="26" t="n">
        <f aca="false">SUMIFS('Outages (event ledger)'!$H$2:$H$65,'Outages (event ledger)'!$A$2:$A$65,BD$2,'Outages (event ledger)'!$E$2:$E$65,"&lt;="&amp;$B128,'Outages (event ledger)'!$G$2:$G$65,"&gt;="&amp;$B128)</f>
        <v>0.75</v>
      </c>
      <c r="BE128" s="26" t="n">
        <f aca="false">SUMIFS('Outages (event ledger)'!$H$2:$H$65,'Outages (event ledger)'!$A$2:$A$65,BE$2,'Outages (event ledger)'!$E$2:$E$65,"&lt;="&amp;$B128,'Outages (event ledger)'!$G$2:$G$65,"&gt;="&amp;$B128)</f>
        <v>0</v>
      </c>
      <c r="BF128" s="26" t="n">
        <f aca="false">SUMIFS('Outages (event ledger)'!$H$2:$H$65,'Outages (event ledger)'!$A$2:$A$65,BF$2,'Outages (event ledger)'!$E$2:$E$65,"&lt;="&amp;$B128,'Outages (event ledger)'!$G$2:$G$65,"&gt;="&amp;$B128)</f>
        <v>0</v>
      </c>
      <c r="BG128" s="26" t="n">
        <f aca="false">SUMIFS('Outages (event ledger)'!$H$2:$H$65,'Outages (event ledger)'!$A$2:$A$65,BG$2,'Outages (event ledger)'!$E$2:$E$65,"&lt;="&amp;$B128,'Outages (event ledger)'!$G$2:$G$65,"&gt;="&amp;$B128)</f>
        <v>0</v>
      </c>
      <c r="BH128" s="26" t="n">
        <f aca="false">SUMIFS('Outages (event ledger)'!$H$2:$H$65,'Outages (event ledger)'!$A$2:$A$65,BH$2,'Outages (event ledger)'!$E$2:$E$65,"&lt;="&amp;$B128,'Outages (event ledger)'!$G$2:$G$65,"&gt;="&amp;$B128)</f>
        <v>0</v>
      </c>
      <c r="BI128" s="26" t="n">
        <f aca="false">SUMIFS('Outages (event ledger)'!$H$2:$H$65,'Outages (event ledger)'!$A$2:$A$65,BI$2,'Outages (event ledger)'!$E$2:$E$65,"&lt;="&amp;$B128,'Outages (event ledger)'!$G$2:$G$65,"&gt;="&amp;$B128)</f>
        <v>6.7</v>
      </c>
    </row>
    <row r="129" customFormat="false" ht="15" hidden="false" customHeight="false" outlineLevel="0" collapsed="false">
      <c r="A129" s="23" t="n">
        <v>44013</v>
      </c>
      <c r="B129" s="24" t="n">
        <v>202007</v>
      </c>
      <c r="C129" s="25" t="n">
        <f aca="false">SUM(D129:BI129)</f>
        <v>29.25</v>
      </c>
      <c r="D129" s="26" t="n">
        <f aca="false">SUMIFS('Outages (event ledger)'!$H$2:$H$65,'Outages (event ledger)'!$A$2:$A$65,D$2,'Outages (event ledger)'!$E$2:$E$65,"&lt;="&amp;$B129,'Outages (event ledger)'!$G$2:$G$65,"&gt;="&amp;$B129)</f>
        <v>0</v>
      </c>
      <c r="E129" s="26" t="n">
        <f aca="false">SUMIFS('Outages (event ledger)'!$H$2:$H$65,'Outages (event ledger)'!$A$2:$A$65,E$2,'Outages (event ledger)'!$E$2:$E$65,"&lt;="&amp;$B129,'Outages (event ledger)'!$G$2:$G$65,"&gt;="&amp;$B129)</f>
        <v>0</v>
      </c>
      <c r="F129" s="26" t="n">
        <f aca="false">SUMIFS('Outages (event ledger)'!$H$2:$H$65,'Outages (event ledger)'!$A$2:$A$65,F$2,'Outages (event ledger)'!$E$2:$E$65,"&lt;="&amp;$B129,'Outages (event ledger)'!$G$2:$G$65,"&gt;="&amp;$B129)</f>
        <v>0</v>
      </c>
      <c r="G129" s="26" t="n">
        <f aca="false">SUMIFS('Outages (event ledger)'!$H$2:$H$65,'Outages (event ledger)'!$A$2:$A$65,G$2,'Outages (event ledger)'!$E$2:$E$65,"&lt;="&amp;$B129,'Outages (event ledger)'!$G$2:$G$65,"&gt;="&amp;$B129)</f>
        <v>0</v>
      </c>
      <c r="H129" s="26" t="n">
        <f aca="false">SUMIFS('Outages (event ledger)'!$H$2:$H$65,'Outages (event ledger)'!$A$2:$A$65,H$2,'Outages (event ledger)'!$E$2:$E$65,"&lt;="&amp;$B129,'Outages (event ledger)'!$G$2:$G$65,"&gt;="&amp;$B129)</f>
        <v>0</v>
      </c>
      <c r="I129" s="26" t="n">
        <f aca="false">SUMIFS('Outages (event ledger)'!$H$2:$H$65,'Outages (event ledger)'!$A$2:$A$65,I$2,'Outages (event ledger)'!$E$2:$E$65,"&lt;="&amp;$B129,'Outages (event ledger)'!$G$2:$G$65,"&gt;="&amp;$B129)</f>
        <v>0</v>
      </c>
      <c r="J129" s="26" t="n">
        <f aca="false">SUMIFS('Outages (event ledger)'!$H$2:$H$65,'Outages (event ledger)'!$A$2:$A$65,J$2,'Outages (event ledger)'!$E$2:$E$65,"&lt;="&amp;$B129,'Outages (event ledger)'!$G$2:$G$65,"&gt;="&amp;$B129)</f>
        <v>0</v>
      </c>
      <c r="K129" s="26" t="n">
        <f aca="false">SUMIFS('Outages (event ledger)'!$H$2:$H$65,'Outages (event ledger)'!$A$2:$A$65,K$2,'Outages (event ledger)'!$E$2:$E$65,"&lt;="&amp;$B129,'Outages (event ledger)'!$G$2:$G$65,"&gt;="&amp;$B129)</f>
        <v>0</v>
      </c>
      <c r="L129" s="26" t="n">
        <f aca="false">SUMIFS('Outages (event ledger)'!$H$2:$H$65,'Outages (event ledger)'!$A$2:$A$65,L$2,'Outages (event ledger)'!$E$2:$E$65,"&lt;="&amp;$B129,'Outages (event ledger)'!$G$2:$G$65,"&gt;="&amp;$B129)</f>
        <v>5.2</v>
      </c>
      <c r="M129" s="26" t="n">
        <f aca="false">SUMIFS('Outages (event ledger)'!$H$2:$H$65,'Outages (event ledger)'!$A$2:$A$65,M$2,'Outages (event ledger)'!$E$2:$E$65,"&lt;="&amp;$B129,'Outages (event ledger)'!$G$2:$G$65,"&gt;="&amp;$B129)</f>
        <v>0</v>
      </c>
      <c r="N129" s="26" t="n">
        <f aca="false">SUMIFS('Outages (event ledger)'!$H$2:$H$65,'Outages (event ledger)'!$A$2:$A$65,N$2,'Outages (event ledger)'!$E$2:$E$65,"&lt;="&amp;$B129,'Outages (event ledger)'!$G$2:$G$65,"&gt;="&amp;$B129)</f>
        <v>0</v>
      </c>
      <c r="O129" s="26" t="n">
        <f aca="false">SUMIFS('Outages (event ledger)'!$H$2:$H$65,'Outages (event ledger)'!$A$2:$A$65,O$2,'Outages (event ledger)'!$E$2:$E$65,"&lt;="&amp;$B129,'Outages (event ledger)'!$G$2:$G$65,"&gt;="&amp;$B129)</f>
        <v>0</v>
      </c>
      <c r="P129" s="26" t="n">
        <f aca="false">SUMIFS('Outages (event ledger)'!$H$2:$H$65,'Outages (event ledger)'!$A$2:$A$65,P$2,'Outages (event ledger)'!$E$2:$E$65,"&lt;="&amp;$B129,'Outages (event ledger)'!$G$2:$G$65,"&gt;="&amp;$B129)</f>
        <v>3.6</v>
      </c>
      <c r="Q129" s="26" t="n">
        <f aca="false">SUMIFS('Outages (event ledger)'!$H$2:$H$65,'Outages (event ledger)'!$A$2:$A$65,Q$2,'Outages (event ledger)'!$E$2:$E$65,"&lt;="&amp;$B129,'Outages (event ledger)'!$G$2:$G$65,"&gt;="&amp;$B129)</f>
        <v>0</v>
      </c>
      <c r="R129" s="26" t="n">
        <f aca="false">SUMIFS('Outages (event ledger)'!$H$2:$H$65,'Outages (event ledger)'!$A$2:$A$65,R$2,'Outages (event ledger)'!$E$2:$E$65,"&lt;="&amp;$B129,'Outages (event ledger)'!$G$2:$G$65,"&gt;="&amp;$B129)</f>
        <v>0</v>
      </c>
      <c r="S129" s="26" t="n">
        <f aca="false">SUMIFS('Outages (event ledger)'!$H$2:$H$65,'Outages (event ledger)'!$A$2:$A$65,S$2,'Outages (event ledger)'!$E$2:$E$65,"&lt;="&amp;$B129,'Outages (event ledger)'!$G$2:$G$65,"&gt;="&amp;$B129)</f>
        <v>0</v>
      </c>
      <c r="T129" s="26" t="n">
        <f aca="false">SUMIFS('Outages (event ledger)'!$H$2:$H$65,'Outages (event ledger)'!$A$2:$A$65,T$2,'Outages (event ledger)'!$E$2:$E$65,"&lt;="&amp;$B129,'Outages (event ledger)'!$G$2:$G$65,"&gt;="&amp;$B129)</f>
        <v>0</v>
      </c>
      <c r="U129" s="26" t="n">
        <f aca="false">SUMIFS('Outages (event ledger)'!$H$2:$H$65,'Outages (event ledger)'!$A$2:$A$65,U$2,'Outages (event ledger)'!$E$2:$E$65,"&lt;="&amp;$B129,'Outages (event ledger)'!$G$2:$G$65,"&gt;="&amp;$B129)</f>
        <v>0</v>
      </c>
      <c r="V129" s="26" t="n">
        <f aca="false">SUMIFS('Outages (event ledger)'!$H$2:$H$65,'Outages (event ledger)'!$A$2:$A$65,V$2,'Outages (event ledger)'!$E$2:$E$65,"&lt;="&amp;$B129,'Outages (event ledger)'!$G$2:$G$65,"&gt;="&amp;$B129)</f>
        <v>0</v>
      </c>
      <c r="W129" s="26" t="n">
        <f aca="false">SUMIFS('Outages (event ledger)'!$H$2:$H$65,'Outages (event ledger)'!$A$2:$A$65,W$2,'Outages (event ledger)'!$E$2:$E$65,"&lt;="&amp;$B129,'Outages (event ledger)'!$G$2:$G$65,"&gt;="&amp;$B129)</f>
        <v>0</v>
      </c>
      <c r="X129" s="26" t="n">
        <f aca="false">SUMIFS('Outages (event ledger)'!$H$2:$H$65,'Outages (event ledger)'!$A$2:$A$65,X$2,'Outages (event ledger)'!$E$2:$E$65,"&lt;="&amp;$B129,'Outages (event ledger)'!$G$2:$G$65,"&gt;="&amp;$B129)</f>
        <v>0</v>
      </c>
      <c r="Y129" s="26" t="n">
        <f aca="false">SUMIFS('Outages (event ledger)'!$H$2:$H$65,'Outages (event ledger)'!$A$2:$A$65,Y$2,'Outages (event ledger)'!$E$2:$E$65,"&lt;="&amp;$B129,'Outages (event ledger)'!$G$2:$G$65,"&gt;="&amp;$B129)</f>
        <v>5</v>
      </c>
      <c r="Z129" s="26" t="n">
        <f aca="false">SUMIFS('Outages (event ledger)'!$H$2:$H$65,'Outages (event ledger)'!$A$2:$A$65,Z$2,'Outages (event ledger)'!$E$2:$E$65,"&lt;="&amp;$B129,'Outages (event ledger)'!$G$2:$G$65,"&gt;="&amp;$B129)</f>
        <v>0</v>
      </c>
      <c r="AA129" s="26" t="n">
        <f aca="false">SUMIFS('Outages (event ledger)'!$H$2:$H$65,'Outages (event ledger)'!$A$2:$A$65,AA$2,'Outages (event ledger)'!$E$2:$E$65,"&lt;="&amp;$B129,'Outages (event ledger)'!$G$2:$G$65,"&gt;="&amp;$B129)</f>
        <v>0</v>
      </c>
      <c r="AB129" s="26" t="n">
        <f aca="false">SUMIFS('Outages (event ledger)'!$H$2:$H$65,'Outages (event ledger)'!$A$2:$A$65,AB$2,'Outages (event ledger)'!$E$2:$E$65,"&lt;="&amp;$B129,'Outages (event ledger)'!$G$2:$G$65,"&gt;="&amp;$B129)</f>
        <v>8</v>
      </c>
      <c r="AC129" s="26" t="n">
        <f aca="false">SUMIFS('Outages (event ledger)'!$H$2:$H$65,'Outages (event ledger)'!$A$2:$A$65,AC$2,'Outages (event ledger)'!$E$2:$E$65,"&lt;="&amp;$B129,'Outages (event ledger)'!$G$2:$G$65,"&gt;="&amp;$B129)</f>
        <v>0</v>
      </c>
      <c r="AD129" s="26" t="n">
        <f aca="false">SUMIFS('Outages (event ledger)'!$H$2:$H$65,'Outages (event ledger)'!$A$2:$A$65,AD$2,'Outages (event ledger)'!$E$2:$E$65,"&lt;="&amp;$B129,'Outages (event ledger)'!$G$2:$G$65,"&gt;="&amp;$B129)</f>
        <v>0</v>
      </c>
      <c r="AE129" s="26" t="n">
        <f aca="false">SUMIFS('Outages (event ledger)'!$H$2:$H$65,'Outages (event ledger)'!$A$2:$A$65,AE$2,'Outages (event ledger)'!$E$2:$E$65,"&lt;="&amp;$B129,'Outages (event ledger)'!$G$2:$G$65,"&gt;="&amp;$B129)</f>
        <v>0</v>
      </c>
      <c r="AF129" s="26" t="n">
        <f aca="false">SUMIFS('Outages (event ledger)'!$H$2:$H$65,'Outages (event ledger)'!$A$2:$A$65,AF$2,'Outages (event ledger)'!$E$2:$E$65,"&lt;="&amp;$B129,'Outages (event ledger)'!$G$2:$G$65,"&gt;="&amp;$B129)</f>
        <v>0</v>
      </c>
      <c r="AG129" s="26" t="n">
        <f aca="false">SUMIFS('Outages (event ledger)'!$H$2:$H$65,'Outages (event ledger)'!$A$2:$A$65,AG$2,'Outages (event ledger)'!$E$2:$E$65,"&lt;="&amp;$B129,'Outages (event ledger)'!$G$2:$G$65,"&gt;="&amp;$B129)</f>
        <v>0</v>
      </c>
      <c r="AH129" s="26" t="n">
        <f aca="false">SUMIFS('Outages (event ledger)'!$H$2:$H$65,'Outages (event ledger)'!$A$2:$A$65,AH$2,'Outages (event ledger)'!$E$2:$E$65,"&lt;="&amp;$B129,'Outages (event ledger)'!$G$2:$G$65,"&gt;="&amp;$B129)</f>
        <v>0</v>
      </c>
      <c r="AI129" s="26" t="n">
        <f aca="false">SUMIFS('Outages (event ledger)'!$H$2:$H$65,'Outages (event ledger)'!$A$2:$A$65,AI$2,'Outages (event ledger)'!$E$2:$E$65,"&lt;="&amp;$B129,'Outages (event ledger)'!$G$2:$G$65,"&gt;="&amp;$B129)</f>
        <v>0</v>
      </c>
      <c r="AJ129" s="26" t="n">
        <f aca="false">SUMIFS('Outages (event ledger)'!$H$2:$H$65,'Outages (event ledger)'!$A$2:$A$65,AJ$2,'Outages (event ledger)'!$E$2:$E$65,"&lt;="&amp;$B129,'Outages (event ledger)'!$G$2:$G$65,"&gt;="&amp;$B129)</f>
        <v>0</v>
      </c>
      <c r="AK129" s="26" t="n">
        <f aca="false">SUMIFS('Outages (event ledger)'!$H$2:$H$65,'Outages (event ledger)'!$A$2:$A$65,AK$2,'Outages (event ledger)'!$E$2:$E$65,"&lt;="&amp;$B129,'Outages (event ledger)'!$G$2:$G$65,"&gt;="&amp;$B129)</f>
        <v>0</v>
      </c>
      <c r="AL129" s="26" t="n">
        <f aca="false">SUMIFS('Outages (event ledger)'!$H$2:$H$65,'Outages (event ledger)'!$A$2:$A$65,AL$2,'Outages (event ledger)'!$E$2:$E$65,"&lt;="&amp;$B129,'Outages (event ledger)'!$G$2:$G$65,"&gt;="&amp;$B129)</f>
        <v>0</v>
      </c>
      <c r="AM129" s="26" t="n">
        <f aca="false">SUMIFS('Outages (event ledger)'!$H$2:$H$65,'Outages (event ledger)'!$A$2:$A$65,AM$2,'Outages (event ledger)'!$E$2:$E$65,"&lt;="&amp;$B129,'Outages (event ledger)'!$G$2:$G$65,"&gt;="&amp;$B129)</f>
        <v>0</v>
      </c>
      <c r="AN129" s="26" t="n">
        <f aca="false">SUMIFS('Outages (event ledger)'!$H$2:$H$65,'Outages (event ledger)'!$A$2:$A$65,AN$2,'Outages (event ledger)'!$E$2:$E$65,"&lt;="&amp;$B129,'Outages (event ledger)'!$G$2:$G$65,"&gt;="&amp;$B129)</f>
        <v>0</v>
      </c>
      <c r="AO129" s="26" t="n">
        <f aca="false">SUMIFS('Outages (event ledger)'!$H$2:$H$65,'Outages (event ledger)'!$A$2:$A$65,AO$2,'Outages (event ledger)'!$E$2:$E$65,"&lt;="&amp;$B129,'Outages (event ledger)'!$G$2:$G$65,"&gt;="&amp;$B129)</f>
        <v>0</v>
      </c>
      <c r="AP129" s="26" t="n">
        <f aca="false">SUMIFS('Outages (event ledger)'!$H$2:$H$65,'Outages (event ledger)'!$A$2:$A$65,AP$2,'Outages (event ledger)'!$E$2:$E$65,"&lt;="&amp;$B129,'Outages (event ledger)'!$G$2:$G$65,"&gt;="&amp;$B129)</f>
        <v>0</v>
      </c>
      <c r="AQ129" s="26" t="n">
        <f aca="false">SUMIFS('Outages (event ledger)'!$H$2:$H$65,'Outages (event ledger)'!$A$2:$A$65,AQ$2,'Outages (event ledger)'!$E$2:$E$65,"&lt;="&amp;$B129,'Outages (event ledger)'!$G$2:$G$65,"&gt;="&amp;$B129)</f>
        <v>0</v>
      </c>
      <c r="AR129" s="26" t="n">
        <f aca="false">SUMIFS('Outages (event ledger)'!$H$2:$H$65,'Outages (event ledger)'!$A$2:$A$65,AR$2,'Outages (event ledger)'!$E$2:$E$65,"&lt;="&amp;$B129,'Outages (event ledger)'!$G$2:$G$65,"&gt;="&amp;$B129)</f>
        <v>0</v>
      </c>
      <c r="AS129" s="26" t="n">
        <f aca="false">SUMIFS('Outages (event ledger)'!$H$2:$H$65,'Outages (event ledger)'!$A$2:$A$65,AS$2,'Outages (event ledger)'!$E$2:$E$65,"&lt;="&amp;$B129,'Outages (event ledger)'!$G$2:$G$65,"&gt;="&amp;$B129)</f>
        <v>0</v>
      </c>
      <c r="AT129" s="26" t="n">
        <f aca="false">SUMIFS('Outages (event ledger)'!$H$2:$H$65,'Outages (event ledger)'!$A$2:$A$65,AT$2,'Outages (event ledger)'!$E$2:$E$65,"&lt;="&amp;$B129,'Outages (event ledger)'!$G$2:$G$65,"&gt;="&amp;$B129)</f>
        <v>0</v>
      </c>
      <c r="AU129" s="26" t="n">
        <f aca="false">SUMIFS('Outages (event ledger)'!$H$2:$H$65,'Outages (event ledger)'!$A$2:$A$65,AU$2,'Outages (event ledger)'!$E$2:$E$65,"&lt;="&amp;$B129,'Outages (event ledger)'!$G$2:$G$65,"&gt;="&amp;$B129)</f>
        <v>0</v>
      </c>
      <c r="AV129" s="26" t="n">
        <f aca="false">SUMIFS('Outages (event ledger)'!$H$2:$H$65,'Outages (event ledger)'!$A$2:$A$65,AV$2,'Outages (event ledger)'!$E$2:$E$65,"&lt;="&amp;$B129,'Outages (event ledger)'!$G$2:$G$65,"&gt;="&amp;$B129)</f>
        <v>0</v>
      </c>
      <c r="AW129" s="26" t="n">
        <f aca="false">SUMIFS('Outages (event ledger)'!$H$2:$H$65,'Outages (event ledger)'!$A$2:$A$65,AW$2,'Outages (event ledger)'!$E$2:$E$65,"&lt;="&amp;$B129,'Outages (event ledger)'!$G$2:$G$65,"&gt;="&amp;$B129)</f>
        <v>0</v>
      </c>
      <c r="AX129" s="26" t="n">
        <f aca="false">SUMIFS('Outages (event ledger)'!$H$2:$H$65,'Outages (event ledger)'!$A$2:$A$65,AX$2,'Outages (event ledger)'!$E$2:$E$65,"&lt;="&amp;$B129,'Outages (event ledger)'!$G$2:$G$65,"&gt;="&amp;$B129)</f>
        <v>0</v>
      </c>
      <c r="AY129" s="26" t="n">
        <f aca="false">SUMIFS('Outages (event ledger)'!$H$2:$H$65,'Outages (event ledger)'!$A$2:$A$65,AY$2,'Outages (event ledger)'!$E$2:$E$65,"&lt;="&amp;$B129,'Outages (event ledger)'!$G$2:$G$65,"&gt;="&amp;$B129)</f>
        <v>0</v>
      </c>
      <c r="AZ129" s="26" t="n">
        <f aca="false">SUMIFS('Outages (event ledger)'!$H$2:$H$65,'Outages (event ledger)'!$A$2:$A$65,AZ$2,'Outages (event ledger)'!$E$2:$E$65,"&lt;="&amp;$B129,'Outages (event ledger)'!$G$2:$G$65,"&gt;="&amp;$B129)</f>
        <v>0</v>
      </c>
      <c r="BA129" s="26" t="n">
        <f aca="false">SUMIFS('Outages (event ledger)'!$H$2:$H$65,'Outages (event ledger)'!$A$2:$A$65,BA$2,'Outages (event ledger)'!$E$2:$E$65,"&lt;="&amp;$B129,'Outages (event ledger)'!$G$2:$G$65,"&gt;="&amp;$B129)</f>
        <v>0</v>
      </c>
      <c r="BB129" s="26" t="n">
        <f aca="false">SUMIFS('Outages (event ledger)'!$H$2:$H$65,'Outages (event ledger)'!$A$2:$A$65,BB$2,'Outages (event ledger)'!$E$2:$E$65,"&lt;="&amp;$B129,'Outages (event ledger)'!$G$2:$G$65,"&gt;="&amp;$B129)</f>
        <v>0</v>
      </c>
      <c r="BC129" s="26" t="n">
        <f aca="false">SUMIFS('Outages (event ledger)'!$H$2:$H$65,'Outages (event ledger)'!$A$2:$A$65,BC$2,'Outages (event ledger)'!$E$2:$E$65,"&lt;="&amp;$B129,'Outages (event ledger)'!$G$2:$G$65,"&gt;="&amp;$B129)</f>
        <v>0</v>
      </c>
      <c r="BD129" s="26" t="n">
        <f aca="false">SUMIFS('Outages (event ledger)'!$H$2:$H$65,'Outages (event ledger)'!$A$2:$A$65,BD$2,'Outages (event ledger)'!$E$2:$E$65,"&lt;="&amp;$B129,'Outages (event ledger)'!$G$2:$G$65,"&gt;="&amp;$B129)</f>
        <v>0.75</v>
      </c>
      <c r="BE129" s="26" t="n">
        <f aca="false">SUMIFS('Outages (event ledger)'!$H$2:$H$65,'Outages (event ledger)'!$A$2:$A$65,BE$2,'Outages (event ledger)'!$E$2:$E$65,"&lt;="&amp;$B129,'Outages (event ledger)'!$G$2:$G$65,"&gt;="&amp;$B129)</f>
        <v>0</v>
      </c>
      <c r="BF129" s="26" t="n">
        <f aca="false">SUMIFS('Outages (event ledger)'!$H$2:$H$65,'Outages (event ledger)'!$A$2:$A$65,BF$2,'Outages (event ledger)'!$E$2:$E$65,"&lt;="&amp;$B129,'Outages (event ledger)'!$G$2:$G$65,"&gt;="&amp;$B129)</f>
        <v>0</v>
      </c>
      <c r="BG129" s="26" t="n">
        <f aca="false">SUMIFS('Outages (event ledger)'!$H$2:$H$65,'Outages (event ledger)'!$A$2:$A$65,BG$2,'Outages (event ledger)'!$E$2:$E$65,"&lt;="&amp;$B129,'Outages (event ledger)'!$G$2:$G$65,"&gt;="&amp;$B129)</f>
        <v>0</v>
      </c>
      <c r="BH129" s="26" t="n">
        <f aca="false">SUMIFS('Outages (event ledger)'!$H$2:$H$65,'Outages (event ledger)'!$A$2:$A$65,BH$2,'Outages (event ledger)'!$E$2:$E$65,"&lt;="&amp;$B129,'Outages (event ledger)'!$G$2:$G$65,"&gt;="&amp;$B129)</f>
        <v>0</v>
      </c>
      <c r="BI129" s="26" t="n">
        <f aca="false">SUMIFS('Outages (event ledger)'!$H$2:$H$65,'Outages (event ledger)'!$A$2:$A$65,BI$2,'Outages (event ledger)'!$E$2:$E$65,"&lt;="&amp;$B129,'Outages (event ledger)'!$G$2:$G$65,"&gt;="&amp;$B129)</f>
        <v>6.7</v>
      </c>
    </row>
    <row r="130" customFormat="false" ht="15" hidden="false" customHeight="false" outlineLevel="0" collapsed="false">
      <c r="A130" s="23" t="n">
        <v>44044</v>
      </c>
      <c r="B130" s="24" t="n">
        <v>202008</v>
      </c>
      <c r="C130" s="25" t="n">
        <f aca="false">SUM(D130:BI130)</f>
        <v>32.25</v>
      </c>
      <c r="D130" s="26" t="n">
        <f aca="false">SUMIFS('Outages (event ledger)'!$H$2:$H$65,'Outages (event ledger)'!$A$2:$A$65,D$2,'Outages (event ledger)'!$E$2:$E$65,"&lt;="&amp;$B130,'Outages (event ledger)'!$G$2:$G$65,"&gt;="&amp;$B130)</f>
        <v>0</v>
      </c>
      <c r="E130" s="26" t="n">
        <f aca="false">SUMIFS('Outages (event ledger)'!$H$2:$H$65,'Outages (event ledger)'!$A$2:$A$65,E$2,'Outages (event ledger)'!$E$2:$E$65,"&lt;="&amp;$B130,'Outages (event ledger)'!$G$2:$G$65,"&gt;="&amp;$B130)</f>
        <v>0</v>
      </c>
      <c r="F130" s="26" t="n">
        <f aca="false">SUMIFS('Outages (event ledger)'!$H$2:$H$65,'Outages (event ledger)'!$A$2:$A$65,F$2,'Outages (event ledger)'!$E$2:$E$65,"&lt;="&amp;$B130,'Outages (event ledger)'!$G$2:$G$65,"&gt;="&amp;$B130)</f>
        <v>0</v>
      </c>
      <c r="G130" s="26" t="n">
        <f aca="false">SUMIFS('Outages (event ledger)'!$H$2:$H$65,'Outages (event ledger)'!$A$2:$A$65,G$2,'Outages (event ledger)'!$E$2:$E$65,"&lt;="&amp;$B130,'Outages (event ledger)'!$G$2:$G$65,"&gt;="&amp;$B130)</f>
        <v>0</v>
      </c>
      <c r="H130" s="26" t="n">
        <f aca="false">SUMIFS('Outages (event ledger)'!$H$2:$H$65,'Outages (event ledger)'!$A$2:$A$65,H$2,'Outages (event ledger)'!$E$2:$E$65,"&lt;="&amp;$B130,'Outages (event ledger)'!$G$2:$G$65,"&gt;="&amp;$B130)</f>
        <v>0</v>
      </c>
      <c r="I130" s="26" t="n">
        <f aca="false">SUMIFS('Outages (event ledger)'!$H$2:$H$65,'Outages (event ledger)'!$A$2:$A$65,I$2,'Outages (event ledger)'!$E$2:$E$65,"&lt;="&amp;$B130,'Outages (event ledger)'!$G$2:$G$65,"&gt;="&amp;$B130)</f>
        <v>0</v>
      </c>
      <c r="J130" s="26" t="n">
        <f aca="false">SUMIFS('Outages (event ledger)'!$H$2:$H$65,'Outages (event ledger)'!$A$2:$A$65,J$2,'Outages (event ledger)'!$E$2:$E$65,"&lt;="&amp;$B130,'Outages (event ledger)'!$G$2:$G$65,"&gt;="&amp;$B130)</f>
        <v>0</v>
      </c>
      <c r="K130" s="26" t="n">
        <f aca="false">SUMIFS('Outages (event ledger)'!$H$2:$H$65,'Outages (event ledger)'!$A$2:$A$65,K$2,'Outages (event ledger)'!$E$2:$E$65,"&lt;="&amp;$B130,'Outages (event ledger)'!$G$2:$G$65,"&gt;="&amp;$B130)</f>
        <v>0</v>
      </c>
      <c r="L130" s="26" t="n">
        <f aca="false">SUMIFS('Outages (event ledger)'!$H$2:$H$65,'Outages (event ledger)'!$A$2:$A$65,L$2,'Outages (event ledger)'!$E$2:$E$65,"&lt;="&amp;$B130,'Outages (event ledger)'!$G$2:$G$65,"&gt;="&amp;$B130)</f>
        <v>5.2</v>
      </c>
      <c r="M130" s="26" t="n">
        <f aca="false">SUMIFS('Outages (event ledger)'!$H$2:$H$65,'Outages (event ledger)'!$A$2:$A$65,M$2,'Outages (event ledger)'!$E$2:$E$65,"&lt;="&amp;$B130,'Outages (event ledger)'!$G$2:$G$65,"&gt;="&amp;$B130)</f>
        <v>0</v>
      </c>
      <c r="N130" s="26" t="n">
        <f aca="false">SUMIFS('Outages (event ledger)'!$H$2:$H$65,'Outages (event ledger)'!$A$2:$A$65,N$2,'Outages (event ledger)'!$E$2:$E$65,"&lt;="&amp;$B130,'Outages (event ledger)'!$G$2:$G$65,"&gt;="&amp;$B130)</f>
        <v>0</v>
      </c>
      <c r="O130" s="26" t="n">
        <f aca="false">SUMIFS('Outages (event ledger)'!$H$2:$H$65,'Outages (event ledger)'!$A$2:$A$65,O$2,'Outages (event ledger)'!$E$2:$E$65,"&lt;="&amp;$B130,'Outages (event ledger)'!$G$2:$G$65,"&gt;="&amp;$B130)</f>
        <v>0</v>
      </c>
      <c r="P130" s="26" t="n">
        <f aca="false">SUMIFS('Outages (event ledger)'!$H$2:$H$65,'Outages (event ledger)'!$A$2:$A$65,P$2,'Outages (event ledger)'!$E$2:$E$65,"&lt;="&amp;$B130,'Outages (event ledger)'!$G$2:$G$65,"&gt;="&amp;$B130)</f>
        <v>3.6</v>
      </c>
      <c r="Q130" s="26" t="n">
        <f aca="false">SUMIFS('Outages (event ledger)'!$H$2:$H$65,'Outages (event ledger)'!$A$2:$A$65,Q$2,'Outages (event ledger)'!$E$2:$E$65,"&lt;="&amp;$B130,'Outages (event ledger)'!$G$2:$G$65,"&gt;="&amp;$B130)</f>
        <v>0</v>
      </c>
      <c r="R130" s="26" t="n">
        <f aca="false">SUMIFS('Outages (event ledger)'!$H$2:$H$65,'Outages (event ledger)'!$A$2:$A$65,R$2,'Outages (event ledger)'!$E$2:$E$65,"&lt;="&amp;$B130,'Outages (event ledger)'!$G$2:$G$65,"&gt;="&amp;$B130)</f>
        <v>0</v>
      </c>
      <c r="S130" s="26" t="n">
        <f aca="false">SUMIFS('Outages (event ledger)'!$H$2:$H$65,'Outages (event ledger)'!$A$2:$A$65,S$2,'Outages (event ledger)'!$E$2:$E$65,"&lt;="&amp;$B130,'Outages (event ledger)'!$G$2:$G$65,"&gt;="&amp;$B130)</f>
        <v>0</v>
      </c>
      <c r="T130" s="26" t="n">
        <f aca="false">SUMIFS('Outages (event ledger)'!$H$2:$H$65,'Outages (event ledger)'!$A$2:$A$65,T$2,'Outages (event ledger)'!$E$2:$E$65,"&lt;="&amp;$B130,'Outages (event ledger)'!$G$2:$G$65,"&gt;="&amp;$B130)</f>
        <v>0</v>
      </c>
      <c r="U130" s="26" t="n">
        <f aca="false">SUMIFS('Outages (event ledger)'!$H$2:$H$65,'Outages (event ledger)'!$A$2:$A$65,U$2,'Outages (event ledger)'!$E$2:$E$65,"&lt;="&amp;$B130,'Outages (event ledger)'!$G$2:$G$65,"&gt;="&amp;$B130)</f>
        <v>0</v>
      </c>
      <c r="V130" s="26" t="n">
        <f aca="false">SUMIFS('Outages (event ledger)'!$H$2:$H$65,'Outages (event ledger)'!$A$2:$A$65,V$2,'Outages (event ledger)'!$E$2:$E$65,"&lt;="&amp;$B130,'Outages (event ledger)'!$G$2:$G$65,"&gt;="&amp;$B130)</f>
        <v>0</v>
      </c>
      <c r="W130" s="26" t="n">
        <f aca="false">SUMIFS('Outages (event ledger)'!$H$2:$H$65,'Outages (event ledger)'!$A$2:$A$65,W$2,'Outages (event ledger)'!$E$2:$E$65,"&lt;="&amp;$B130,'Outages (event ledger)'!$G$2:$G$65,"&gt;="&amp;$B130)</f>
        <v>0</v>
      </c>
      <c r="X130" s="26" t="n">
        <f aca="false">SUMIFS('Outages (event ledger)'!$H$2:$H$65,'Outages (event ledger)'!$A$2:$A$65,X$2,'Outages (event ledger)'!$E$2:$E$65,"&lt;="&amp;$B130,'Outages (event ledger)'!$G$2:$G$65,"&gt;="&amp;$B130)</f>
        <v>0</v>
      </c>
      <c r="Y130" s="26" t="n">
        <f aca="false">SUMIFS('Outages (event ledger)'!$H$2:$H$65,'Outages (event ledger)'!$A$2:$A$65,Y$2,'Outages (event ledger)'!$E$2:$E$65,"&lt;="&amp;$B130,'Outages (event ledger)'!$G$2:$G$65,"&gt;="&amp;$B130)</f>
        <v>5</v>
      </c>
      <c r="Z130" s="26" t="n">
        <f aca="false">SUMIFS('Outages (event ledger)'!$H$2:$H$65,'Outages (event ledger)'!$A$2:$A$65,Z$2,'Outages (event ledger)'!$E$2:$E$65,"&lt;="&amp;$B130,'Outages (event ledger)'!$G$2:$G$65,"&gt;="&amp;$B130)</f>
        <v>0</v>
      </c>
      <c r="AA130" s="26" t="n">
        <f aca="false">SUMIFS('Outages (event ledger)'!$H$2:$H$65,'Outages (event ledger)'!$A$2:$A$65,AA$2,'Outages (event ledger)'!$E$2:$E$65,"&lt;="&amp;$B130,'Outages (event ledger)'!$G$2:$G$65,"&gt;="&amp;$B130)</f>
        <v>0</v>
      </c>
      <c r="AB130" s="26" t="n">
        <f aca="false">SUMIFS('Outages (event ledger)'!$H$2:$H$65,'Outages (event ledger)'!$A$2:$A$65,AB$2,'Outages (event ledger)'!$E$2:$E$65,"&lt;="&amp;$B130,'Outages (event ledger)'!$G$2:$G$65,"&gt;="&amp;$B130)</f>
        <v>8</v>
      </c>
      <c r="AC130" s="26" t="n">
        <f aca="false">SUMIFS('Outages (event ledger)'!$H$2:$H$65,'Outages (event ledger)'!$A$2:$A$65,AC$2,'Outages (event ledger)'!$E$2:$E$65,"&lt;="&amp;$B130,'Outages (event ledger)'!$G$2:$G$65,"&gt;="&amp;$B130)</f>
        <v>0</v>
      </c>
      <c r="AD130" s="26" t="n">
        <f aca="false">SUMIFS('Outages (event ledger)'!$H$2:$H$65,'Outages (event ledger)'!$A$2:$A$65,AD$2,'Outages (event ledger)'!$E$2:$E$65,"&lt;="&amp;$B130,'Outages (event ledger)'!$G$2:$G$65,"&gt;="&amp;$B130)</f>
        <v>0</v>
      </c>
      <c r="AE130" s="26" t="n">
        <f aca="false">SUMIFS('Outages (event ledger)'!$H$2:$H$65,'Outages (event ledger)'!$A$2:$A$65,AE$2,'Outages (event ledger)'!$E$2:$E$65,"&lt;="&amp;$B130,'Outages (event ledger)'!$G$2:$G$65,"&gt;="&amp;$B130)</f>
        <v>0</v>
      </c>
      <c r="AF130" s="26" t="n">
        <f aca="false">SUMIFS('Outages (event ledger)'!$H$2:$H$65,'Outages (event ledger)'!$A$2:$A$65,AF$2,'Outages (event ledger)'!$E$2:$E$65,"&lt;="&amp;$B130,'Outages (event ledger)'!$G$2:$G$65,"&gt;="&amp;$B130)</f>
        <v>0</v>
      </c>
      <c r="AG130" s="26" t="n">
        <f aca="false">SUMIFS('Outages (event ledger)'!$H$2:$H$65,'Outages (event ledger)'!$A$2:$A$65,AG$2,'Outages (event ledger)'!$E$2:$E$65,"&lt;="&amp;$B130,'Outages (event ledger)'!$G$2:$G$65,"&gt;="&amp;$B130)</f>
        <v>0</v>
      </c>
      <c r="AH130" s="26" t="n">
        <f aca="false">SUMIFS('Outages (event ledger)'!$H$2:$H$65,'Outages (event ledger)'!$A$2:$A$65,AH$2,'Outages (event ledger)'!$E$2:$E$65,"&lt;="&amp;$B130,'Outages (event ledger)'!$G$2:$G$65,"&gt;="&amp;$B130)</f>
        <v>0</v>
      </c>
      <c r="AI130" s="26" t="n">
        <f aca="false">SUMIFS('Outages (event ledger)'!$H$2:$H$65,'Outages (event ledger)'!$A$2:$A$65,AI$2,'Outages (event ledger)'!$E$2:$E$65,"&lt;="&amp;$B130,'Outages (event ledger)'!$G$2:$G$65,"&gt;="&amp;$B130)</f>
        <v>0</v>
      </c>
      <c r="AJ130" s="26" t="n">
        <f aca="false">SUMIFS('Outages (event ledger)'!$H$2:$H$65,'Outages (event ledger)'!$A$2:$A$65,AJ$2,'Outages (event ledger)'!$E$2:$E$65,"&lt;="&amp;$B130,'Outages (event ledger)'!$G$2:$G$65,"&gt;="&amp;$B130)</f>
        <v>0</v>
      </c>
      <c r="AK130" s="26" t="n">
        <f aca="false">SUMIFS('Outages (event ledger)'!$H$2:$H$65,'Outages (event ledger)'!$A$2:$A$65,AK$2,'Outages (event ledger)'!$E$2:$E$65,"&lt;="&amp;$B130,'Outages (event ledger)'!$G$2:$G$65,"&gt;="&amp;$B130)</f>
        <v>0</v>
      </c>
      <c r="AL130" s="26" t="n">
        <f aca="false">SUMIFS('Outages (event ledger)'!$H$2:$H$65,'Outages (event ledger)'!$A$2:$A$65,AL$2,'Outages (event ledger)'!$E$2:$E$65,"&lt;="&amp;$B130,'Outages (event ledger)'!$G$2:$G$65,"&gt;="&amp;$B130)</f>
        <v>0</v>
      </c>
      <c r="AM130" s="26" t="n">
        <f aca="false">SUMIFS('Outages (event ledger)'!$H$2:$H$65,'Outages (event ledger)'!$A$2:$A$65,AM$2,'Outages (event ledger)'!$E$2:$E$65,"&lt;="&amp;$B130,'Outages (event ledger)'!$G$2:$G$65,"&gt;="&amp;$B130)</f>
        <v>0</v>
      </c>
      <c r="AN130" s="26" t="n">
        <f aca="false">SUMIFS('Outages (event ledger)'!$H$2:$H$65,'Outages (event ledger)'!$A$2:$A$65,AN$2,'Outages (event ledger)'!$E$2:$E$65,"&lt;="&amp;$B130,'Outages (event ledger)'!$G$2:$G$65,"&gt;="&amp;$B130)</f>
        <v>0</v>
      </c>
      <c r="AO130" s="26" t="n">
        <f aca="false">SUMIFS('Outages (event ledger)'!$H$2:$H$65,'Outages (event ledger)'!$A$2:$A$65,AO$2,'Outages (event ledger)'!$E$2:$E$65,"&lt;="&amp;$B130,'Outages (event ledger)'!$G$2:$G$65,"&gt;="&amp;$B130)</f>
        <v>0</v>
      </c>
      <c r="AP130" s="26" t="n">
        <f aca="false">SUMIFS('Outages (event ledger)'!$H$2:$H$65,'Outages (event ledger)'!$A$2:$A$65,AP$2,'Outages (event ledger)'!$E$2:$E$65,"&lt;="&amp;$B130,'Outages (event ledger)'!$G$2:$G$65,"&gt;="&amp;$B130)</f>
        <v>0</v>
      </c>
      <c r="AQ130" s="26" t="n">
        <f aca="false">SUMIFS('Outages (event ledger)'!$H$2:$H$65,'Outages (event ledger)'!$A$2:$A$65,AQ$2,'Outages (event ledger)'!$E$2:$E$65,"&lt;="&amp;$B130,'Outages (event ledger)'!$G$2:$G$65,"&gt;="&amp;$B130)</f>
        <v>0</v>
      </c>
      <c r="AR130" s="26" t="n">
        <f aca="false">SUMIFS('Outages (event ledger)'!$H$2:$H$65,'Outages (event ledger)'!$A$2:$A$65,AR$2,'Outages (event ledger)'!$E$2:$E$65,"&lt;="&amp;$B130,'Outages (event ledger)'!$G$2:$G$65,"&gt;="&amp;$B130)</f>
        <v>0</v>
      </c>
      <c r="AS130" s="26" t="n">
        <f aca="false">SUMIFS('Outages (event ledger)'!$H$2:$H$65,'Outages (event ledger)'!$A$2:$A$65,AS$2,'Outages (event ledger)'!$E$2:$E$65,"&lt;="&amp;$B130,'Outages (event ledger)'!$G$2:$G$65,"&gt;="&amp;$B130)</f>
        <v>0</v>
      </c>
      <c r="AT130" s="26" t="n">
        <f aca="false">SUMIFS('Outages (event ledger)'!$H$2:$H$65,'Outages (event ledger)'!$A$2:$A$65,AT$2,'Outages (event ledger)'!$E$2:$E$65,"&lt;="&amp;$B130,'Outages (event ledger)'!$G$2:$G$65,"&gt;="&amp;$B130)</f>
        <v>0</v>
      </c>
      <c r="AU130" s="26" t="n">
        <f aca="false">SUMIFS('Outages (event ledger)'!$H$2:$H$65,'Outages (event ledger)'!$A$2:$A$65,AU$2,'Outages (event ledger)'!$E$2:$E$65,"&lt;="&amp;$B130,'Outages (event ledger)'!$G$2:$G$65,"&gt;="&amp;$B130)</f>
        <v>0</v>
      </c>
      <c r="AV130" s="26" t="n">
        <f aca="false">SUMIFS('Outages (event ledger)'!$H$2:$H$65,'Outages (event ledger)'!$A$2:$A$65,AV$2,'Outages (event ledger)'!$E$2:$E$65,"&lt;="&amp;$B130,'Outages (event ledger)'!$G$2:$G$65,"&gt;="&amp;$B130)</f>
        <v>0</v>
      </c>
      <c r="AW130" s="26" t="n">
        <f aca="false">SUMIFS('Outages (event ledger)'!$H$2:$H$65,'Outages (event ledger)'!$A$2:$A$65,AW$2,'Outages (event ledger)'!$E$2:$E$65,"&lt;="&amp;$B130,'Outages (event ledger)'!$G$2:$G$65,"&gt;="&amp;$B130)</f>
        <v>0</v>
      </c>
      <c r="AX130" s="26" t="n">
        <f aca="false">SUMIFS('Outages (event ledger)'!$H$2:$H$65,'Outages (event ledger)'!$A$2:$A$65,AX$2,'Outages (event ledger)'!$E$2:$E$65,"&lt;="&amp;$B130,'Outages (event ledger)'!$G$2:$G$65,"&gt;="&amp;$B130)</f>
        <v>0</v>
      </c>
      <c r="AY130" s="26" t="n">
        <f aca="false">SUMIFS('Outages (event ledger)'!$H$2:$H$65,'Outages (event ledger)'!$A$2:$A$65,AY$2,'Outages (event ledger)'!$E$2:$E$65,"&lt;="&amp;$B130,'Outages (event ledger)'!$G$2:$G$65,"&gt;="&amp;$B130)</f>
        <v>0</v>
      </c>
      <c r="AZ130" s="26" t="n">
        <f aca="false">SUMIFS('Outages (event ledger)'!$H$2:$H$65,'Outages (event ledger)'!$A$2:$A$65,AZ$2,'Outages (event ledger)'!$E$2:$E$65,"&lt;="&amp;$B130,'Outages (event ledger)'!$G$2:$G$65,"&gt;="&amp;$B130)</f>
        <v>0</v>
      </c>
      <c r="BA130" s="26" t="n">
        <f aca="false">SUMIFS('Outages (event ledger)'!$H$2:$H$65,'Outages (event ledger)'!$A$2:$A$65,BA$2,'Outages (event ledger)'!$E$2:$E$65,"&lt;="&amp;$B130,'Outages (event ledger)'!$G$2:$G$65,"&gt;="&amp;$B130)</f>
        <v>3</v>
      </c>
      <c r="BB130" s="26" t="n">
        <f aca="false">SUMIFS('Outages (event ledger)'!$H$2:$H$65,'Outages (event ledger)'!$A$2:$A$65,BB$2,'Outages (event ledger)'!$E$2:$E$65,"&lt;="&amp;$B130,'Outages (event ledger)'!$G$2:$G$65,"&gt;="&amp;$B130)</f>
        <v>0</v>
      </c>
      <c r="BC130" s="26" t="n">
        <f aca="false">SUMIFS('Outages (event ledger)'!$H$2:$H$65,'Outages (event ledger)'!$A$2:$A$65,BC$2,'Outages (event ledger)'!$E$2:$E$65,"&lt;="&amp;$B130,'Outages (event ledger)'!$G$2:$G$65,"&gt;="&amp;$B130)</f>
        <v>0</v>
      </c>
      <c r="BD130" s="26" t="n">
        <f aca="false">SUMIFS('Outages (event ledger)'!$H$2:$H$65,'Outages (event ledger)'!$A$2:$A$65,BD$2,'Outages (event ledger)'!$E$2:$E$65,"&lt;="&amp;$B130,'Outages (event ledger)'!$G$2:$G$65,"&gt;="&amp;$B130)</f>
        <v>0.75</v>
      </c>
      <c r="BE130" s="26" t="n">
        <f aca="false">SUMIFS('Outages (event ledger)'!$H$2:$H$65,'Outages (event ledger)'!$A$2:$A$65,BE$2,'Outages (event ledger)'!$E$2:$E$65,"&lt;="&amp;$B130,'Outages (event ledger)'!$G$2:$G$65,"&gt;="&amp;$B130)</f>
        <v>0</v>
      </c>
      <c r="BF130" s="26" t="n">
        <f aca="false">SUMIFS('Outages (event ledger)'!$H$2:$H$65,'Outages (event ledger)'!$A$2:$A$65,BF$2,'Outages (event ledger)'!$E$2:$E$65,"&lt;="&amp;$B130,'Outages (event ledger)'!$G$2:$G$65,"&gt;="&amp;$B130)</f>
        <v>0</v>
      </c>
      <c r="BG130" s="26" t="n">
        <f aca="false">SUMIFS('Outages (event ledger)'!$H$2:$H$65,'Outages (event ledger)'!$A$2:$A$65,BG$2,'Outages (event ledger)'!$E$2:$E$65,"&lt;="&amp;$B130,'Outages (event ledger)'!$G$2:$G$65,"&gt;="&amp;$B130)</f>
        <v>0</v>
      </c>
      <c r="BH130" s="26" t="n">
        <f aca="false">SUMIFS('Outages (event ledger)'!$H$2:$H$65,'Outages (event ledger)'!$A$2:$A$65,BH$2,'Outages (event ledger)'!$E$2:$E$65,"&lt;="&amp;$B130,'Outages (event ledger)'!$G$2:$G$65,"&gt;="&amp;$B130)</f>
        <v>0</v>
      </c>
      <c r="BI130" s="26" t="n">
        <f aca="false">SUMIFS('Outages (event ledger)'!$H$2:$H$65,'Outages (event ledger)'!$A$2:$A$65,BI$2,'Outages (event ledger)'!$E$2:$E$65,"&lt;="&amp;$B130,'Outages (event ledger)'!$G$2:$G$65,"&gt;="&amp;$B130)</f>
        <v>6.7</v>
      </c>
    </row>
    <row r="131" customFormat="false" ht="15" hidden="false" customHeight="false" outlineLevel="0" collapsed="false">
      <c r="A131" s="23" t="n">
        <v>44075</v>
      </c>
      <c r="B131" s="24" t="n">
        <v>202009</v>
      </c>
      <c r="C131" s="25" t="n">
        <f aca="false">SUM(D131:BI131)</f>
        <v>47.05</v>
      </c>
      <c r="D131" s="26" t="n">
        <f aca="false">SUMIFS('Outages (event ledger)'!$H$2:$H$65,'Outages (event ledger)'!$A$2:$A$65,D$2,'Outages (event ledger)'!$E$2:$E$65,"&lt;="&amp;$B131,'Outages (event ledger)'!$G$2:$G$65,"&gt;="&amp;$B131)</f>
        <v>0</v>
      </c>
      <c r="E131" s="26" t="n">
        <f aca="false">SUMIFS('Outages (event ledger)'!$H$2:$H$65,'Outages (event ledger)'!$A$2:$A$65,E$2,'Outages (event ledger)'!$E$2:$E$65,"&lt;="&amp;$B131,'Outages (event ledger)'!$G$2:$G$65,"&gt;="&amp;$B131)</f>
        <v>0</v>
      </c>
      <c r="F131" s="26" t="n">
        <f aca="false">SUMIFS('Outages (event ledger)'!$H$2:$H$65,'Outages (event ledger)'!$A$2:$A$65,F$2,'Outages (event ledger)'!$E$2:$E$65,"&lt;="&amp;$B131,'Outages (event ledger)'!$G$2:$G$65,"&gt;="&amp;$B131)</f>
        <v>0</v>
      </c>
      <c r="G131" s="26" t="n">
        <f aca="false">SUMIFS('Outages (event ledger)'!$H$2:$H$65,'Outages (event ledger)'!$A$2:$A$65,G$2,'Outages (event ledger)'!$E$2:$E$65,"&lt;="&amp;$B131,'Outages (event ledger)'!$G$2:$G$65,"&gt;="&amp;$B131)</f>
        <v>0</v>
      </c>
      <c r="H131" s="26" t="n">
        <f aca="false">SUMIFS('Outages (event ledger)'!$H$2:$H$65,'Outages (event ledger)'!$A$2:$A$65,H$2,'Outages (event ledger)'!$E$2:$E$65,"&lt;="&amp;$B131,'Outages (event ledger)'!$G$2:$G$65,"&gt;="&amp;$B131)</f>
        <v>0</v>
      </c>
      <c r="I131" s="26" t="n">
        <f aca="false">SUMIFS('Outages (event ledger)'!$H$2:$H$65,'Outages (event ledger)'!$A$2:$A$65,I$2,'Outages (event ledger)'!$E$2:$E$65,"&lt;="&amp;$B131,'Outages (event ledger)'!$G$2:$G$65,"&gt;="&amp;$B131)</f>
        <v>0</v>
      </c>
      <c r="J131" s="26" t="n">
        <f aca="false">SUMIFS('Outages (event ledger)'!$H$2:$H$65,'Outages (event ledger)'!$A$2:$A$65,J$2,'Outages (event ledger)'!$E$2:$E$65,"&lt;="&amp;$B131,'Outages (event ledger)'!$G$2:$G$65,"&gt;="&amp;$B131)</f>
        <v>0</v>
      </c>
      <c r="K131" s="26" t="n">
        <f aca="false">SUMIFS('Outages (event ledger)'!$H$2:$H$65,'Outages (event ledger)'!$A$2:$A$65,K$2,'Outages (event ledger)'!$E$2:$E$65,"&lt;="&amp;$B131,'Outages (event ledger)'!$G$2:$G$65,"&gt;="&amp;$B131)</f>
        <v>0</v>
      </c>
      <c r="L131" s="26" t="n">
        <f aca="false">SUMIFS('Outages (event ledger)'!$H$2:$H$65,'Outages (event ledger)'!$A$2:$A$65,L$2,'Outages (event ledger)'!$E$2:$E$65,"&lt;="&amp;$B131,'Outages (event ledger)'!$G$2:$G$65,"&gt;="&amp;$B131)</f>
        <v>5.2</v>
      </c>
      <c r="M131" s="26" t="n">
        <f aca="false">SUMIFS('Outages (event ledger)'!$H$2:$H$65,'Outages (event ledger)'!$A$2:$A$65,M$2,'Outages (event ledger)'!$E$2:$E$65,"&lt;="&amp;$B131,'Outages (event ledger)'!$G$2:$G$65,"&gt;="&amp;$B131)</f>
        <v>0</v>
      </c>
      <c r="N131" s="26" t="n">
        <f aca="false">SUMIFS('Outages (event ledger)'!$H$2:$H$65,'Outages (event ledger)'!$A$2:$A$65,N$2,'Outages (event ledger)'!$E$2:$E$65,"&lt;="&amp;$B131,'Outages (event ledger)'!$G$2:$G$65,"&gt;="&amp;$B131)</f>
        <v>0</v>
      </c>
      <c r="O131" s="26" t="n">
        <f aca="false">SUMIFS('Outages (event ledger)'!$H$2:$H$65,'Outages (event ledger)'!$A$2:$A$65,O$2,'Outages (event ledger)'!$E$2:$E$65,"&lt;="&amp;$B131,'Outages (event ledger)'!$G$2:$G$65,"&gt;="&amp;$B131)</f>
        <v>0</v>
      </c>
      <c r="P131" s="26" t="n">
        <f aca="false">SUMIFS('Outages (event ledger)'!$H$2:$H$65,'Outages (event ledger)'!$A$2:$A$65,P$2,'Outages (event ledger)'!$E$2:$E$65,"&lt;="&amp;$B131,'Outages (event ledger)'!$G$2:$G$65,"&gt;="&amp;$B131)</f>
        <v>3.6</v>
      </c>
      <c r="Q131" s="26" t="n">
        <f aca="false">SUMIFS('Outages (event ledger)'!$H$2:$H$65,'Outages (event ledger)'!$A$2:$A$65,Q$2,'Outages (event ledger)'!$E$2:$E$65,"&lt;="&amp;$B131,'Outages (event ledger)'!$G$2:$G$65,"&gt;="&amp;$B131)</f>
        <v>0</v>
      </c>
      <c r="R131" s="26" t="n">
        <f aca="false">SUMIFS('Outages (event ledger)'!$H$2:$H$65,'Outages (event ledger)'!$A$2:$A$65,R$2,'Outages (event ledger)'!$E$2:$E$65,"&lt;="&amp;$B131,'Outages (event ledger)'!$G$2:$G$65,"&gt;="&amp;$B131)</f>
        <v>0</v>
      </c>
      <c r="S131" s="26" t="n">
        <f aca="false">SUMIFS('Outages (event ledger)'!$H$2:$H$65,'Outages (event ledger)'!$A$2:$A$65,S$2,'Outages (event ledger)'!$E$2:$E$65,"&lt;="&amp;$B131,'Outages (event ledger)'!$G$2:$G$65,"&gt;="&amp;$B131)</f>
        <v>0</v>
      </c>
      <c r="T131" s="26" t="n">
        <f aca="false">SUMIFS('Outages (event ledger)'!$H$2:$H$65,'Outages (event ledger)'!$A$2:$A$65,T$2,'Outages (event ledger)'!$E$2:$E$65,"&lt;="&amp;$B131,'Outages (event ledger)'!$G$2:$G$65,"&gt;="&amp;$B131)</f>
        <v>0</v>
      </c>
      <c r="U131" s="26" t="n">
        <f aca="false">SUMIFS('Outages (event ledger)'!$H$2:$H$65,'Outages (event ledger)'!$A$2:$A$65,U$2,'Outages (event ledger)'!$E$2:$E$65,"&lt;="&amp;$B131,'Outages (event ledger)'!$G$2:$G$65,"&gt;="&amp;$B131)</f>
        <v>0</v>
      </c>
      <c r="V131" s="26" t="n">
        <f aca="false">SUMIFS('Outages (event ledger)'!$H$2:$H$65,'Outages (event ledger)'!$A$2:$A$65,V$2,'Outages (event ledger)'!$E$2:$E$65,"&lt;="&amp;$B131,'Outages (event ledger)'!$G$2:$G$65,"&gt;="&amp;$B131)</f>
        <v>0</v>
      </c>
      <c r="W131" s="26" t="n">
        <f aca="false">SUMIFS('Outages (event ledger)'!$H$2:$H$65,'Outages (event ledger)'!$A$2:$A$65,W$2,'Outages (event ledger)'!$E$2:$E$65,"&lt;="&amp;$B131,'Outages (event ledger)'!$G$2:$G$65,"&gt;="&amp;$B131)</f>
        <v>0</v>
      </c>
      <c r="X131" s="26" t="n">
        <f aca="false">SUMIFS('Outages (event ledger)'!$H$2:$H$65,'Outages (event ledger)'!$A$2:$A$65,X$2,'Outages (event ledger)'!$E$2:$E$65,"&lt;="&amp;$B131,'Outages (event ledger)'!$G$2:$G$65,"&gt;="&amp;$B131)</f>
        <v>0</v>
      </c>
      <c r="Y131" s="26" t="n">
        <f aca="false">SUMIFS('Outages (event ledger)'!$H$2:$H$65,'Outages (event ledger)'!$A$2:$A$65,Y$2,'Outages (event ledger)'!$E$2:$E$65,"&lt;="&amp;$B131,'Outages (event ledger)'!$G$2:$G$65,"&gt;="&amp;$B131)</f>
        <v>5</v>
      </c>
      <c r="Z131" s="26" t="n">
        <f aca="false">SUMIFS('Outages (event ledger)'!$H$2:$H$65,'Outages (event ledger)'!$A$2:$A$65,Z$2,'Outages (event ledger)'!$E$2:$E$65,"&lt;="&amp;$B131,'Outages (event ledger)'!$G$2:$G$65,"&gt;="&amp;$B131)</f>
        <v>0</v>
      </c>
      <c r="AA131" s="26" t="n">
        <f aca="false">SUMIFS('Outages (event ledger)'!$H$2:$H$65,'Outages (event ledger)'!$A$2:$A$65,AA$2,'Outages (event ledger)'!$E$2:$E$65,"&lt;="&amp;$B131,'Outages (event ledger)'!$G$2:$G$65,"&gt;="&amp;$B131)</f>
        <v>0</v>
      </c>
      <c r="AB131" s="26" t="n">
        <f aca="false">SUMIFS('Outages (event ledger)'!$H$2:$H$65,'Outages (event ledger)'!$A$2:$A$65,AB$2,'Outages (event ledger)'!$E$2:$E$65,"&lt;="&amp;$B131,'Outages (event ledger)'!$G$2:$G$65,"&gt;="&amp;$B131)</f>
        <v>8</v>
      </c>
      <c r="AC131" s="26" t="n">
        <f aca="false">SUMIFS('Outages (event ledger)'!$H$2:$H$65,'Outages (event ledger)'!$A$2:$A$65,AC$2,'Outages (event ledger)'!$E$2:$E$65,"&lt;="&amp;$B131,'Outages (event ledger)'!$G$2:$G$65,"&gt;="&amp;$B131)</f>
        <v>0</v>
      </c>
      <c r="AD131" s="26" t="n">
        <f aca="false">SUMIFS('Outages (event ledger)'!$H$2:$H$65,'Outages (event ledger)'!$A$2:$A$65,AD$2,'Outages (event ledger)'!$E$2:$E$65,"&lt;="&amp;$B131,'Outages (event ledger)'!$G$2:$G$65,"&gt;="&amp;$B131)</f>
        <v>0</v>
      </c>
      <c r="AE131" s="26" t="n">
        <f aca="false">SUMIFS('Outages (event ledger)'!$H$2:$H$65,'Outages (event ledger)'!$A$2:$A$65,AE$2,'Outages (event ledger)'!$E$2:$E$65,"&lt;="&amp;$B131,'Outages (event ledger)'!$G$2:$G$65,"&gt;="&amp;$B131)</f>
        <v>0</v>
      </c>
      <c r="AF131" s="26" t="n">
        <f aca="false">SUMIFS('Outages (event ledger)'!$H$2:$H$65,'Outages (event ledger)'!$A$2:$A$65,AF$2,'Outages (event ledger)'!$E$2:$E$65,"&lt;="&amp;$B131,'Outages (event ledger)'!$G$2:$G$65,"&gt;="&amp;$B131)</f>
        <v>0</v>
      </c>
      <c r="AG131" s="26" t="n">
        <f aca="false">SUMIFS('Outages (event ledger)'!$H$2:$H$65,'Outages (event ledger)'!$A$2:$A$65,AG$2,'Outages (event ledger)'!$E$2:$E$65,"&lt;="&amp;$B131,'Outages (event ledger)'!$G$2:$G$65,"&gt;="&amp;$B131)</f>
        <v>0</v>
      </c>
      <c r="AH131" s="26" t="n">
        <f aca="false">SUMIFS('Outages (event ledger)'!$H$2:$H$65,'Outages (event ledger)'!$A$2:$A$65,AH$2,'Outages (event ledger)'!$E$2:$E$65,"&lt;="&amp;$B131,'Outages (event ledger)'!$G$2:$G$65,"&gt;="&amp;$B131)</f>
        <v>0</v>
      </c>
      <c r="AI131" s="26" t="n">
        <f aca="false">SUMIFS('Outages (event ledger)'!$H$2:$H$65,'Outages (event ledger)'!$A$2:$A$65,AI$2,'Outages (event ledger)'!$E$2:$E$65,"&lt;="&amp;$B131,'Outages (event ledger)'!$G$2:$G$65,"&gt;="&amp;$B131)</f>
        <v>0</v>
      </c>
      <c r="AJ131" s="26" t="n">
        <f aca="false">SUMIFS('Outages (event ledger)'!$H$2:$H$65,'Outages (event ledger)'!$A$2:$A$65,AJ$2,'Outages (event ledger)'!$E$2:$E$65,"&lt;="&amp;$B131,'Outages (event ledger)'!$G$2:$G$65,"&gt;="&amp;$B131)</f>
        <v>0</v>
      </c>
      <c r="AK131" s="26" t="n">
        <f aca="false">SUMIFS('Outages (event ledger)'!$H$2:$H$65,'Outages (event ledger)'!$A$2:$A$65,AK$2,'Outages (event ledger)'!$E$2:$E$65,"&lt;="&amp;$B131,'Outages (event ledger)'!$G$2:$G$65,"&gt;="&amp;$B131)</f>
        <v>0</v>
      </c>
      <c r="AL131" s="26" t="n">
        <f aca="false">SUMIFS('Outages (event ledger)'!$H$2:$H$65,'Outages (event ledger)'!$A$2:$A$65,AL$2,'Outages (event ledger)'!$E$2:$E$65,"&lt;="&amp;$B131,'Outages (event ledger)'!$G$2:$G$65,"&gt;="&amp;$B131)</f>
        <v>0</v>
      </c>
      <c r="AM131" s="26" t="n">
        <f aca="false">SUMIFS('Outages (event ledger)'!$H$2:$H$65,'Outages (event ledger)'!$A$2:$A$65,AM$2,'Outages (event ledger)'!$E$2:$E$65,"&lt;="&amp;$B131,'Outages (event ledger)'!$G$2:$G$65,"&gt;="&amp;$B131)</f>
        <v>0</v>
      </c>
      <c r="AN131" s="26" t="n">
        <f aca="false">SUMIFS('Outages (event ledger)'!$H$2:$H$65,'Outages (event ledger)'!$A$2:$A$65,AN$2,'Outages (event ledger)'!$E$2:$E$65,"&lt;="&amp;$B131,'Outages (event ledger)'!$G$2:$G$65,"&gt;="&amp;$B131)</f>
        <v>4.3</v>
      </c>
      <c r="AO131" s="26" t="n">
        <f aca="false">SUMIFS('Outages (event ledger)'!$H$2:$H$65,'Outages (event ledger)'!$A$2:$A$65,AO$2,'Outages (event ledger)'!$E$2:$E$65,"&lt;="&amp;$B131,'Outages (event ledger)'!$G$2:$G$65,"&gt;="&amp;$B131)</f>
        <v>0</v>
      </c>
      <c r="AP131" s="26" t="n">
        <f aca="false">SUMIFS('Outages (event ledger)'!$H$2:$H$65,'Outages (event ledger)'!$A$2:$A$65,AP$2,'Outages (event ledger)'!$E$2:$E$65,"&lt;="&amp;$B131,'Outages (event ledger)'!$G$2:$G$65,"&gt;="&amp;$B131)</f>
        <v>0</v>
      </c>
      <c r="AQ131" s="26" t="n">
        <f aca="false">SUMIFS('Outages (event ledger)'!$H$2:$H$65,'Outages (event ledger)'!$A$2:$A$65,AQ$2,'Outages (event ledger)'!$E$2:$E$65,"&lt;="&amp;$B131,'Outages (event ledger)'!$G$2:$G$65,"&gt;="&amp;$B131)</f>
        <v>0</v>
      </c>
      <c r="AR131" s="26" t="n">
        <f aca="false">SUMIFS('Outages (event ledger)'!$H$2:$H$65,'Outages (event ledger)'!$A$2:$A$65,AR$2,'Outages (event ledger)'!$E$2:$E$65,"&lt;="&amp;$B131,'Outages (event ledger)'!$G$2:$G$65,"&gt;="&amp;$B131)</f>
        <v>0</v>
      </c>
      <c r="AS131" s="26" t="n">
        <f aca="false">SUMIFS('Outages (event ledger)'!$H$2:$H$65,'Outages (event ledger)'!$A$2:$A$65,AS$2,'Outages (event ledger)'!$E$2:$E$65,"&lt;="&amp;$B131,'Outages (event ledger)'!$G$2:$G$65,"&gt;="&amp;$B131)</f>
        <v>0</v>
      </c>
      <c r="AT131" s="26" t="n">
        <f aca="false">SUMIFS('Outages (event ledger)'!$H$2:$H$65,'Outages (event ledger)'!$A$2:$A$65,AT$2,'Outages (event ledger)'!$E$2:$E$65,"&lt;="&amp;$B131,'Outages (event ledger)'!$G$2:$G$65,"&gt;="&amp;$B131)</f>
        <v>0</v>
      </c>
      <c r="AU131" s="26" t="n">
        <f aca="false">SUMIFS('Outages (event ledger)'!$H$2:$H$65,'Outages (event ledger)'!$A$2:$A$65,AU$2,'Outages (event ledger)'!$E$2:$E$65,"&lt;="&amp;$B131,'Outages (event ledger)'!$G$2:$G$65,"&gt;="&amp;$B131)</f>
        <v>0</v>
      </c>
      <c r="AV131" s="26" t="n">
        <f aca="false">SUMIFS('Outages (event ledger)'!$H$2:$H$65,'Outages (event ledger)'!$A$2:$A$65,AV$2,'Outages (event ledger)'!$E$2:$E$65,"&lt;="&amp;$B131,'Outages (event ledger)'!$G$2:$G$65,"&gt;="&amp;$B131)</f>
        <v>0</v>
      </c>
      <c r="AW131" s="26" t="n">
        <f aca="false">SUMIFS('Outages (event ledger)'!$H$2:$H$65,'Outages (event ledger)'!$A$2:$A$65,AW$2,'Outages (event ledger)'!$E$2:$E$65,"&lt;="&amp;$B131,'Outages (event ledger)'!$G$2:$G$65,"&gt;="&amp;$B131)</f>
        <v>0</v>
      </c>
      <c r="AX131" s="26" t="n">
        <f aca="false">SUMIFS('Outages (event ledger)'!$H$2:$H$65,'Outages (event ledger)'!$A$2:$A$65,AX$2,'Outages (event ledger)'!$E$2:$E$65,"&lt;="&amp;$B131,'Outages (event ledger)'!$G$2:$G$65,"&gt;="&amp;$B131)</f>
        <v>0</v>
      </c>
      <c r="AY131" s="26" t="n">
        <f aca="false">SUMIFS('Outages (event ledger)'!$H$2:$H$65,'Outages (event ledger)'!$A$2:$A$65,AY$2,'Outages (event ledger)'!$E$2:$E$65,"&lt;="&amp;$B131,'Outages (event ledger)'!$G$2:$G$65,"&gt;="&amp;$B131)</f>
        <v>0</v>
      </c>
      <c r="AZ131" s="26" t="n">
        <f aca="false">SUMIFS('Outages (event ledger)'!$H$2:$H$65,'Outages (event ledger)'!$A$2:$A$65,AZ$2,'Outages (event ledger)'!$E$2:$E$65,"&lt;="&amp;$B131,'Outages (event ledger)'!$G$2:$G$65,"&gt;="&amp;$B131)</f>
        <v>0</v>
      </c>
      <c r="BA131" s="26" t="n">
        <f aca="false">SUMIFS('Outages (event ledger)'!$H$2:$H$65,'Outages (event ledger)'!$A$2:$A$65,BA$2,'Outages (event ledger)'!$E$2:$E$65,"&lt;="&amp;$B131,'Outages (event ledger)'!$G$2:$G$65,"&gt;="&amp;$B131)</f>
        <v>13.5</v>
      </c>
      <c r="BB131" s="26" t="n">
        <f aca="false">SUMIFS('Outages (event ledger)'!$H$2:$H$65,'Outages (event ledger)'!$A$2:$A$65,BB$2,'Outages (event ledger)'!$E$2:$E$65,"&lt;="&amp;$B131,'Outages (event ledger)'!$G$2:$G$65,"&gt;="&amp;$B131)</f>
        <v>0</v>
      </c>
      <c r="BC131" s="26" t="n">
        <f aca="false">SUMIFS('Outages (event ledger)'!$H$2:$H$65,'Outages (event ledger)'!$A$2:$A$65,BC$2,'Outages (event ledger)'!$E$2:$E$65,"&lt;="&amp;$B131,'Outages (event ledger)'!$G$2:$G$65,"&gt;="&amp;$B131)</f>
        <v>0</v>
      </c>
      <c r="BD131" s="26" t="n">
        <f aca="false">SUMIFS('Outages (event ledger)'!$H$2:$H$65,'Outages (event ledger)'!$A$2:$A$65,BD$2,'Outages (event ledger)'!$E$2:$E$65,"&lt;="&amp;$B131,'Outages (event ledger)'!$G$2:$G$65,"&gt;="&amp;$B131)</f>
        <v>0.75</v>
      </c>
      <c r="BE131" s="26" t="n">
        <f aca="false">SUMIFS('Outages (event ledger)'!$H$2:$H$65,'Outages (event ledger)'!$A$2:$A$65,BE$2,'Outages (event ledger)'!$E$2:$E$65,"&lt;="&amp;$B131,'Outages (event ledger)'!$G$2:$G$65,"&gt;="&amp;$B131)</f>
        <v>0</v>
      </c>
      <c r="BF131" s="26" t="n">
        <f aca="false">SUMIFS('Outages (event ledger)'!$H$2:$H$65,'Outages (event ledger)'!$A$2:$A$65,BF$2,'Outages (event ledger)'!$E$2:$E$65,"&lt;="&amp;$B131,'Outages (event ledger)'!$G$2:$G$65,"&gt;="&amp;$B131)</f>
        <v>0</v>
      </c>
      <c r="BG131" s="26" t="n">
        <f aca="false">SUMIFS('Outages (event ledger)'!$H$2:$H$65,'Outages (event ledger)'!$A$2:$A$65,BG$2,'Outages (event ledger)'!$E$2:$E$65,"&lt;="&amp;$B131,'Outages (event ledger)'!$G$2:$G$65,"&gt;="&amp;$B131)</f>
        <v>0</v>
      </c>
      <c r="BH131" s="26" t="n">
        <f aca="false">SUMIFS('Outages (event ledger)'!$H$2:$H$65,'Outages (event ledger)'!$A$2:$A$65,BH$2,'Outages (event ledger)'!$E$2:$E$65,"&lt;="&amp;$B131,'Outages (event ledger)'!$G$2:$G$65,"&gt;="&amp;$B131)</f>
        <v>0</v>
      </c>
      <c r="BI131" s="26" t="n">
        <f aca="false">SUMIFS('Outages (event ledger)'!$H$2:$H$65,'Outages (event ledger)'!$A$2:$A$65,BI$2,'Outages (event ledger)'!$E$2:$E$65,"&lt;="&amp;$B131,'Outages (event ledger)'!$G$2:$G$65,"&gt;="&amp;$B131)</f>
        <v>6.7</v>
      </c>
    </row>
    <row r="132" customFormat="false" ht="15" hidden="false" customHeight="false" outlineLevel="0" collapsed="false">
      <c r="A132" s="23" t="n">
        <v>44105</v>
      </c>
      <c r="B132" s="24" t="n">
        <v>202010</v>
      </c>
      <c r="C132" s="25" t="n">
        <f aca="false">SUM(D132:BI132)</f>
        <v>40.55</v>
      </c>
      <c r="D132" s="26" t="n">
        <f aca="false">SUMIFS('Outages (event ledger)'!$H$2:$H$65,'Outages (event ledger)'!$A$2:$A$65,D$2,'Outages (event ledger)'!$E$2:$E$65,"&lt;="&amp;$B132,'Outages (event ledger)'!$G$2:$G$65,"&gt;="&amp;$B132)</f>
        <v>0</v>
      </c>
      <c r="E132" s="26" t="n">
        <f aca="false">SUMIFS('Outages (event ledger)'!$H$2:$H$65,'Outages (event ledger)'!$A$2:$A$65,E$2,'Outages (event ledger)'!$E$2:$E$65,"&lt;="&amp;$B132,'Outages (event ledger)'!$G$2:$G$65,"&gt;="&amp;$B132)</f>
        <v>0</v>
      </c>
      <c r="F132" s="26" t="n">
        <f aca="false">SUMIFS('Outages (event ledger)'!$H$2:$H$65,'Outages (event ledger)'!$A$2:$A$65,F$2,'Outages (event ledger)'!$E$2:$E$65,"&lt;="&amp;$B132,'Outages (event ledger)'!$G$2:$G$65,"&gt;="&amp;$B132)</f>
        <v>0</v>
      </c>
      <c r="G132" s="26" t="n">
        <f aca="false">SUMIFS('Outages (event ledger)'!$H$2:$H$65,'Outages (event ledger)'!$A$2:$A$65,G$2,'Outages (event ledger)'!$E$2:$E$65,"&lt;="&amp;$B132,'Outages (event ledger)'!$G$2:$G$65,"&gt;="&amp;$B132)</f>
        <v>0</v>
      </c>
      <c r="H132" s="26" t="n">
        <f aca="false">SUMIFS('Outages (event ledger)'!$H$2:$H$65,'Outages (event ledger)'!$A$2:$A$65,H$2,'Outages (event ledger)'!$E$2:$E$65,"&lt;="&amp;$B132,'Outages (event ledger)'!$G$2:$G$65,"&gt;="&amp;$B132)</f>
        <v>0</v>
      </c>
      <c r="I132" s="26" t="n">
        <f aca="false">SUMIFS('Outages (event ledger)'!$H$2:$H$65,'Outages (event ledger)'!$A$2:$A$65,I$2,'Outages (event ledger)'!$E$2:$E$65,"&lt;="&amp;$B132,'Outages (event ledger)'!$G$2:$G$65,"&gt;="&amp;$B132)</f>
        <v>0</v>
      </c>
      <c r="J132" s="26" t="n">
        <f aca="false">SUMIFS('Outages (event ledger)'!$H$2:$H$65,'Outages (event ledger)'!$A$2:$A$65,J$2,'Outages (event ledger)'!$E$2:$E$65,"&lt;="&amp;$B132,'Outages (event ledger)'!$G$2:$G$65,"&gt;="&amp;$B132)</f>
        <v>0</v>
      </c>
      <c r="K132" s="26" t="n">
        <f aca="false">SUMIFS('Outages (event ledger)'!$H$2:$H$65,'Outages (event ledger)'!$A$2:$A$65,K$2,'Outages (event ledger)'!$E$2:$E$65,"&lt;="&amp;$B132,'Outages (event ledger)'!$G$2:$G$65,"&gt;="&amp;$B132)</f>
        <v>0</v>
      </c>
      <c r="L132" s="26" t="n">
        <f aca="false">SUMIFS('Outages (event ledger)'!$H$2:$H$65,'Outages (event ledger)'!$A$2:$A$65,L$2,'Outages (event ledger)'!$E$2:$E$65,"&lt;="&amp;$B132,'Outages (event ledger)'!$G$2:$G$65,"&gt;="&amp;$B132)</f>
        <v>5.2</v>
      </c>
      <c r="M132" s="26" t="n">
        <f aca="false">SUMIFS('Outages (event ledger)'!$H$2:$H$65,'Outages (event ledger)'!$A$2:$A$65,M$2,'Outages (event ledger)'!$E$2:$E$65,"&lt;="&amp;$B132,'Outages (event ledger)'!$G$2:$G$65,"&gt;="&amp;$B132)</f>
        <v>0</v>
      </c>
      <c r="N132" s="26" t="n">
        <f aca="false">SUMIFS('Outages (event ledger)'!$H$2:$H$65,'Outages (event ledger)'!$A$2:$A$65,N$2,'Outages (event ledger)'!$E$2:$E$65,"&lt;="&amp;$B132,'Outages (event ledger)'!$G$2:$G$65,"&gt;="&amp;$B132)</f>
        <v>0</v>
      </c>
      <c r="O132" s="26" t="n">
        <f aca="false">SUMIFS('Outages (event ledger)'!$H$2:$H$65,'Outages (event ledger)'!$A$2:$A$65,O$2,'Outages (event ledger)'!$E$2:$E$65,"&lt;="&amp;$B132,'Outages (event ledger)'!$G$2:$G$65,"&gt;="&amp;$B132)</f>
        <v>0</v>
      </c>
      <c r="P132" s="26" t="n">
        <f aca="false">SUMIFS('Outages (event ledger)'!$H$2:$H$65,'Outages (event ledger)'!$A$2:$A$65,P$2,'Outages (event ledger)'!$E$2:$E$65,"&lt;="&amp;$B132,'Outages (event ledger)'!$G$2:$G$65,"&gt;="&amp;$B132)</f>
        <v>3.6</v>
      </c>
      <c r="Q132" s="26" t="n">
        <f aca="false">SUMIFS('Outages (event ledger)'!$H$2:$H$65,'Outages (event ledger)'!$A$2:$A$65,Q$2,'Outages (event ledger)'!$E$2:$E$65,"&lt;="&amp;$B132,'Outages (event ledger)'!$G$2:$G$65,"&gt;="&amp;$B132)</f>
        <v>0</v>
      </c>
      <c r="R132" s="26" t="n">
        <f aca="false">SUMIFS('Outages (event ledger)'!$H$2:$H$65,'Outages (event ledger)'!$A$2:$A$65,R$2,'Outages (event ledger)'!$E$2:$E$65,"&lt;="&amp;$B132,'Outages (event ledger)'!$G$2:$G$65,"&gt;="&amp;$B132)</f>
        <v>0</v>
      </c>
      <c r="S132" s="26" t="n">
        <f aca="false">SUMIFS('Outages (event ledger)'!$H$2:$H$65,'Outages (event ledger)'!$A$2:$A$65,S$2,'Outages (event ledger)'!$E$2:$E$65,"&lt;="&amp;$B132,'Outages (event ledger)'!$G$2:$G$65,"&gt;="&amp;$B132)</f>
        <v>0</v>
      </c>
      <c r="T132" s="26" t="n">
        <f aca="false">SUMIFS('Outages (event ledger)'!$H$2:$H$65,'Outages (event ledger)'!$A$2:$A$65,T$2,'Outages (event ledger)'!$E$2:$E$65,"&lt;="&amp;$B132,'Outages (event ledger)'!$G$2:$G$65,"&gt;="&amp;$B132)</f>
        <v>0</v>
      </c>
      <c r="U132" s="26" t="n">
        <f aca="false">SUMIFS('Outages (event ledger)'!$H$2:$H$65,'Outages (event ledger)'!$A$2:$A$65,U$2,'Outages (event ledger)'!$E$2:$E$65,"&lt;="&amp;$B132,'Outages (event ledger)'!$G$2:$G$65,"&gt;="&amp;$B132)</f>
        <v>0</v>
      </c>
      <c r="V132" s="26" t="n">
        <f aca="false">SUMIFS('Outages (event ledger)'!$H$2:$H$65,'Outages (event ledger)'!$A$2:$A$65,V$2,'Outages (event ledger)'!$E$2:$E$65,"&lt;="&amp;$B132,'Outages (event ledger)'!$G$2:$G$65,"&gt;="&amp;$B132)</f>
        <v>0</v>
      </c>
      <c r="W132" s="26" t="n">
        <f aca="false">SUMIFS('Outages (event ledger)'!$H$2:$H$65,'Outages (event ledger)'!$A$2:$A$65,W$2,'Outages (event ledger)'!$E$2:$E$65,"&lt;="&amp;$B132,'Outages (event ledger)'!$G$2:$G$65,"&gt;="&amp;$B132)</f>
        <v>0</v>
      </c>
      <c r="X132" s="26" t="n">
        <f aca="false">SUMIFS('Outages (event ledger)'!$H$2:$H$65,'Outages (event ledger)'!$A$2:$A$65,X$2,'Outages (event ledger)'!$E$2:$E$65,"&lt;="&amp;$B132,'Outages (event ledger)'!$G$2:$G$65,"&gt;="&amp;$B132)</f>
        <v>0</v>
      </c>
      <c r="Y132" s="26" t="n">
        <f aca="false">SUMIFS('Outages (event ledger)'!$H$2:$H$65,'Outages (event ledger)'!$A$2:$A$65,Y$2,'Outages (event ledger)'!$E$2:$E$65,"&lt;="&amp;$B132,'Outages (event ledger)'!$G$2:$G$65,"&gt;="&amp;$B132)</f>
        <v>5</v>
      </c>
      <c r="Z132" s="26" t="n">
        <f aca="false">SUMIFS('Outages (event ledger)'!$H$2:$H$65,'Outages (event ledger)'!$A$2:$A$65,Z$2,'Outages (event ledger)'!$E$2:$E$65,"&lt;="&amp;$B132,'Outages (event ledger)'!$G$2:$G$65,"&gt;="&amp;$B132)</f>
        <v>0</v>
      </c>
      <c r="AA132" s="26" t="n">
        <f aca="false">SUMIFS('Outages (event ledger)'!$H$2:$H$65,'Outages (event ledger)'!$A$2:$A$65,AA$2,'Outages (event ledger)'!$E$2:$E$65,"&lt;="&amp;$B132,'Outages (event ledger)'!$G$2:$G$65,"&gt;="&amp;$B132)</f>
        <v>0</v>
      </c>
      <c r="AB132" s="26" t="n">
        <f aca="false">SUMIFS('Outages (event ledger)'!$H$2:$H$65,'Outages (event ledger)'!$A$2:$A$65,AB$2,'Outages (event ledger)'!$E$2:$E$65,"&lt;="&amp;$B132,'Outages (event ledger)'!$G$2:$G$65,"&gt;="&amp;$B132)</f>
        <v>8</v>
      </c>
      <c r="AC132" s="26" t="n">
        <f aca="false">SUMIFS('Outages (event ledger)'!$H$2:$H$65,'Outages (event ledger)'!$A$2:$A$65,AC$2,'Outages (event ledger)'!$E$2:$E$65,"&lt;="&amp;$B132,'Outages (event ledger)'!$G$2:$G$65,"&gt;="&amp;$B132)</f>
        <v>0</v>
      </c>
      <c r="AD132" s="26" t="n">
        <f aca="false">SUMIFS('Outages (event ledger)'!$H$2:$H$65,'Outages (event ledger)'!$A$2:$A$65,AD$2,'Outages (event ledger)'!$E$2:$E$65,"&lt;="&amp;$B132,'Outages (event ledger)'!$G$2:$G$65,"&gt;="&amp;$B132)</f>
        <v>0</v>
      </c>
      <c r="AE132" s="26" t="n">
        <f aca="false">SUMIFS('Outages (event ledger)'!$H$2:$H$65,'Outages (event ledger)'!$A$2:$A$65,AE$2,'Outages (event ledger)'!$E$2:$E$65,"&lt;="&amp;$B132,'Outages (event ledger)'!$G$2:$G$65,"&gt;="&amp;$B132)</f>
        <v>0</v>
      </c>
      <c r="AF132" s="26" t="n">
        <f aca="false">SUMIFS('Outages (event ledger)'!$H$2:$H$65,'Outages (event ledger)'!$A$2:$A$65,AF$2,'Outages (event ledger)'!$E$2:$E$65,"&lt;="&amp;$B132,'Outages (event ledger)'!$G$2:$G$65,"&gt;="&amp;$B132)</f>
        <v>0</v>
      </c>
      <c r="AG132" s="26" t="n">
        <f aca="false">SUMIFS('Outages (event ledger)'!$H$2:$H$65,'Outages (event ledger)'!$A$2:$A$65,AG$2,'Outages (event ledger)'!$E$2:$E$65,"&lt;="&amp;$B132,'Outages (event ledger)'!$G$2:$G$65,"&gt;="&amp;$B132)</f>
        <v>0</v>
      </c>
      <c r="AH132" s="26" t="n">
        <f aca="false">SUMIFS('Outages (event ledger)'!$H$2:$H$65,'Outages (event ledger)'!$A$2:$A$65,AH$2,'Outages (event ledger)'!$E$2:$E$65,"&lt;="&amp;$B132,'Outages (event ledger)'!$G$2:$G$65,"&gt;="&amp;$B132)</f>
        <v>0</v>
      </c>
      <c r="AI132" s="26" t="n">
        <f aca="false">SUMIFS('Outages (event ledger)'!$H$2:$H$65,'Outages (event ledger)'!$A$2:$A$65,AI$2,'Outages (event ledger)'!$E$2:$E$65,"&lt;="&amp;$B132,'Outages (event ledger)'!$G$2:$G$65,"&gt;="&amp;$B132)</f>
        <v>0</v>
      </c>
      <c r="AJ132" s="26" t="n">
        <f aca="false">SUMIFS('Outages (event ledger)'!$H$2:$H$65,'Outages (event ledger)'!$A$2:$A$65,AJ$2,'Outages (event ledger)'!$E$2:$E$65,"&lt;="&amp;$B132,'Outages (event ledger)'!$G$2:$G$65,"&gt;="&amp;$B132)</f>
        <v>0</v>
      </c>
      <c r="AK132" s="26" t="n">
        <f aca="false">SUMIFS('Outages (event ledger)'!$H$2:$H$65,'Outages (event ledger)'!$A$2:$A$65,AK$2,'Outages (event ledger)'!$E$2:$E$65,"&lt;="&amp;$B132,'Outages (event ledger)'!$G$2:$G$65,"&gt;="&amp;$B132)</f>
        <v>0</v>
      </c>
      <c r="AL132" s="26" t="n">
        <f aca="false">SUMIFS('Outages (event ledger)'!$H$2:$H$65,'Outages (event ledger)'!$A$2:$A$65,AL$2,'Outages (event ledger)'!$E$2:$E$65,"&lt;="&amp;$B132,'Outages (event ledger)'!$G$2:$G$65,"&gt;="&amp;$B132)</f>
        <v>0</v>
      </c>
      <c r="AM132" s="26" t="n">
        <f aca="false">SUMIFS('Outages (event ledger)'!$H$2:$H$65,'Outages (event ledger)'!$A$2:$A$65,AM$2,'Outages (event ledger)'!$E$2:$E$65,"&lt;="&amp;$B132,'Outages (event ledger)'!$G$2:$G$65,"&gt;="&amp;$B132)</f>
        <v>0</v>
      </c>
      <c r="AN132" s="26" t="n">
        <f aca="false">SUMIFS('Outages (event ledger)'!$H$2:$H$65,'Outages (event ledger)'!$A$2:$A$65,AN$2,'Outages (event ledger)'!$E$2:$E$65,"&lt;="&amp;$B132,'Outages (event ledger)'!$G$2:$G$65,"&gt;="&amp;$B132)</f>
        <v>4.3</v>
      </c>
      <c r="AO132" s="26" t="n">
        <f aca="false">SUMIFS('Outages (event ledger)'!$H$2:$H$65,'Outages (event ledger)'!$A$2:$A$65,AO$2,'Outages (event ledger)'!$E$2:$E$65,"&lt;="&amp;$B132,'Outages (event ledger)'!$G$2:$G$65,"&gt;="&amp;$B132)</f>
        <v>0</v>
      </c>
      <c r="AP132" s="26" t="n">
        <f aca="false">SUMIFS('Outages (event ledger)'!$H$2:$H$65,'Outages (event ledger)'!$A$2:$A$65,AP$2,'Outages (event ledger)'!$E$2:$E$65,"&lt;="&amp;$B132,'Outages (event ledger)'!$G$2:$G$65,"&gt;="&amp;$B132)</f>
        <v>0</v>
      </c>
      <c r="AQ132" s="26" t="n">
        <f aca="false">SUMIFS('Outages (event ledger)'!$H$2:$H$65,'Outages (event ledger)'!$A$2:$A$65,AQ$2,'Outages (event ledger)'!$E$2:$E$65,"&lt;="&amp;$B132,'Outages (event ledger)'!$G$2:$G$65,"&gt;="&amp;$B132)</f>
        <v>0</v>
      </c>
      <c r="AR132" s="26" t="n">
        <f aca="false">SUMIFS('Outages (event ledger)'!$H$2:$H$65,'Outages (event ledger)'!$A$2:$A$65,AR$2,'Outages (event ledger)'!$E$2:$E$65,"&lt;="&amp;$B132,'Outages (event ledger)'!$G$2:$G$65,"&gt;="&amp;$B132)</f>
        <v>0</v>
      </c>
      <c r="AS132" s="26" t="n">
        <f aca="false">SUMIFS('Outages (event ledger)'!$H$2:$H$65,'Outages (event ledger)'!$A$2:$A$65,AS$2,'Outages (event ledger)'!$E$2:$E$65,"&lt;="&amp;$B132,'Outages (event ledger)'!$G$2:$G$65,"&gt;="&amp;$B132)</f>
        <v>0</v>
      </c>
      <c r="AT132" s="26" t="n">
        <f aca="false">SUMIFS('Outages (event ledger)'!$H$2:$H$65,'Outages (event ledger)'!$A$2:$A$65,AT$2,'Outages (event ledger)'!$E$2:$E$65,"&lt;="&amp;$B132,'Outages (event ledger)'!$G$2:$G$65,"&gt;="&amp;$B132)</f>
        <v>0</v>
      </c>
      <c r="AU132" s="26" t="n">
        <f aca="false">SUMIFS('Outages (event ledger)'!$H$2:$H$65,'Outages (event ledger)'!$A$2:$A$65,AU$2,'Outages (event ledger)'!$E$2:$E$65,"&lt;="&amp;$B132,'Outages (event ledger)'!$G$2:$G$65,"&gt;="&amp;$B132)</f>
        <v>0</v>
      </c>
      <c r="AV132" s="26" t="n">
        <f aca="false">SUMIFS('Outages (event ledger)'!$H$2:$H$65,'Outages (event ledger)'!$A$2:$A$65,AV$2,'Outages (event ledger)'!$E$2:$E$65,"&lt;="&amp;$B132,'Outages (event ledger)'!$G$2:$G$65,"&gt;="&amp;$B132)</f>
        <v>0</v>
      </c>
      <c r="AW132" s="26" t="n">
        <f aca="false">SUMIFS('Outages (event ledger)'!$H$2:$H$65,'Outages (event ledger)'!$A$2:$A$65,AW$2,'Outages (event ledger)'!$E$2:$E$65,"&lt;="&amp;$B132,'Outages (event ledger)'!$G$2:$G$65,"&gt;="&amp;$B132)</f>
        <v>0</v>
      </c>
      <c r="AX132" s="26" t="n">
        <f aca="false">SUMIFS('Outages (event ledger)'!$H$2:$H$65,'Outages (event ledger)'!$A$2:$A$65,AX$2,'Outages (event ledger)'!$E$2:$E$65,"&lt;="&amp;$B132,'Outages (event ledger)'!$G$2:$G$65,"&gt;="&amp;$B132)</f>
        <v>0</v>
      </c>
      <c r="AY132" s="26" t="n">
        <f aca="false">SUMIFS('Outages (event ledger)'!$H$2:$H$65,'Outages (event ledger)'!$A$2:$A$65,AY$2,'Outages (event ledger)'!$E$2:$E$65,"&lt;="&amp;$B132,'Outages (event ledger)'!$G$2:$G$65,"&gt;="&amp;$B132)</f>
        <v>0</v>
      </c>
      <c r="AZ132" s="26" t="n">
        <f aca="false">SUMIFS('Outages (event ledger)'!$H$2:$H$65,'Outages (event ledger)'!$A$2:$A$65,AZ$2,'Outages (event ledger)'!$E$2:$E$65,"&lt;="&amp;$B132,'Outages (event ledger)'!$G$2:$G$65,"&gt;="&amp;$B132)</f>
        <v>0</v>
      </c>
      <c r="BA132" s="26" t="n">
        <f aca="false">SUMIFS('Outages (event ledger)'!$H$2:$H$65,'Outages (event ledger)'!$A$2:$A$65,BA$2,'Outages (event ledger)'!$E$2:$E$65,"&lt;="&amp;$B132,'Outages (event ledger)'!$G$2:$G$65,"&gt;="&amp;$B132)</f>
        <v>7</v>
      </c>
      <c r="BB132" s="26" t="n">
        <f aca="false">SUMIFS('Outages (event ledger)'!$H$2:$H$65,'Outages (event ledger)'!$A$2:$A$65,BB$2,'Outages (event ledger)'!$E$2:$E$65,"&lt;="&amp;$B132,'Outages (event ledger)'!$G$2:$G$65,"&gt;="&amp;$B132)</f>
        <v>0</v>
      </c>
      <c r="BC132" s="26" t="n">
        <f aca="false">SUMIFS('Outages (event ledger)'!$H$2:$H$65,'Outages (event ledger)'!$A$2:$A$65,BC$2,'Outages (event ledger)'!$E$2:$E$65,"&lt;="&amp;$B132,'Outages (event ledger)'!$G$2:$G$65,"&gt;="&amp;$B132)</f>
        <v>0</v>
      </c>
      <c r="BD132" s="26" t="n">
        <f aca="false">SUMIFS('Outages (event ledger)'!$H$2:$H$65,'Outages (event ledger)'!$A$2:$A$65,BD$2,'Outages (event ledger)'!$E$2:$E$65,"&lt;="&amp;$B132,'Outages (event ledger)'!$G$2:$G$65,"&gt;="&amp;$B132)</f>
        <v>0.75</v>
      </c>
      <c r="BE132" s="26" t="n">
        <f aca="false">SUMIFS('Outages (event ledger)'!$H$2:$H$65,'Outages (event ledger)'!$A$2:$A$65,BE$2,'Outages (event ledger)'!$E$2:$E$65,"&lt;="&amp;$B132,'Outages (event ledger)'!$G$2:$G$65,"&gt;="&amp;$B132)</f>
        <v>0</v>
      </c>
      <c r="BF132" s="26" t="n">
        <f aca="false">SUMIFS('Outages (event ledger)'!$H$2:$H$65,'Outages (event ledger)'!$A$2:$A$65,BF$2,'Outages (event ledger)'!$E$2:$E$65,"&lt;="&amp;$B132,'Outages (event ledger)'!$G$2:$G$65,"&gt;="&amp;$B132)</f>
        <v>0</v>
      </c>
      <c r="BG132" s="26" t="n">
        <f aca="false">SUMIFS('Outages (event ledger)'!$H$2:$H$65,'Outages (event ledger)'!$A$2:$A$65,BG$2,'Outages (event ledger)'!$E$2:$E$65,"&lt;="&amp;$B132,'Outages (event ledger)'!$G$2:$G$65,"&gt;="&amp;$B132)</f>
        <v>0</v>
      </c>
      <c r="BH132" s="26" t="n">
        <f aca="false">SUMIFS('Outages (event ledger)'!$H$2:$H$65,'Outages (event ledger)'!$A$2:$A$65,BH$2,'Outages (event ledger)'!$E$2:$E$65,"&lt;="&amp;$B132,'Outages (event ledger)'!$G$2:$G$65,"&gt;="&amp;$B132)</f>
        <v>0</v>
      </c>
      <c r="BI132" s="26" t="n">
        <f aca="false">SUMIFS('Outages (event ledger)'!$H$2:$H$65,'Outages (event ledger)'!$A$2:$A$65,BI$2,'Outages (event ledger)'!$E$2:$E$65,"&lt;="&amp;$B132,'Outages (event ledger)'!$G$2:$G$65,"&gt;="&amp;$B132)</f>
        <v>6.7</v>
      </c>
    </row>
    <row r="133" customFormat="false" ht="15" hidden="false" customHeight="false" outlineLevel="0" collapsed="false">
      <c r="A133" s="23" t="n">
        <v>44136</v>
      </c>
      <c r="B133" s="24" t="n">
        <v>202011</v>
      </c>
      <c r="C133" s="25" t="n">
        <f aca="false">SUM(D133:BI133)</f>
        <v>33.55</v>
      </c>
      <c r="D133" s="26" t="n">
        <f aca="false">SUMIFS('Outages (event ledger)'!$H$2:$H$65,'Outages (event ledger)'!$A$2:$A$65,D$2,'Outages (event ledger)'!$E$2:$E$65,"&lt;="&amp;$B133,'Outages (event ledger)'!$G$2:$G$65,"&gt;="&amp;$B133)</f>
        <v>0</v>
      </c>
      <c r="E133" s="26" t="n">
        <f aca="false">SUMIFS('Outages (event ledger)'!$H$2:$H$65,'Outages (event ledger)'!$A$2:$A$65,E$2,'Outages (event ledger)'!$E$2:$E$65,"&lt;="&amp;$B133,'Outages (event ledger)'!$G$2:$G$65,"&gt;="&amp;$B133)</f>
        <v>0</v>
      </c>
      <c r="F133" s="26" t="n">
        <f aca="false">SUMIFS('Outages (event ledger)'!$H$2:$H$65,'Outages (event ledger)'!$A$2:$A$65,F$2,'Outages (event ledger)'!$E$2:$E$65,"&lt;="&amp;$B133,'Outages (event ledger)'!$G$2:$G$65,"&gt;="&amp;$B133)</f>
        <v>0</v>
      </c>
      <c r="G133" s="26" t="n">
        <f aca="false">SUMIFS('Outages (event ledger)'!$H$2:$H$65,'Outages (event ledger)'!$A$2:$A$65,G$2,'Outages (event ledger)'!$E$2:$E$65,"&lt;="&amp;$B133,'Outages (event ledger)'!$G$2:$G$65,"&gt;="&amp;$B133)</f>
        <v>0</v>
      </c>
      <c r="H133" s="26" t="n">
        <f aca="false">SUMIFS('Outages (event ledger)'!$H$2:$H$65,'Outages (event ledger)'!$A$2:$A$65,H$2,'Outages (event ledger)'!$E$2:$E$65,"&lt;="&amp;$B133,'Outages (event ledger)'!$G$2:$G$65,"&gt;="&amp;$B133)</f>
        <v>0</v>
      </c>
      <c r="I133" s="26" t="n">
        <f aca="false">SUMIFS('Outages (event ledger)'!$H$2:$H$65,'Outages (event ledger)'!$A$2:$A$65,I$2,'Outages (event ledger)'!$E$2:$E$65,"&lt;="&amp;$B133,'Outages (event ledger)'!$G$2:$G$65,"&gt;="&amp;$B133)</f>
        <v>0</v>
      </c>
      <c r="J133" s="26" t="n">
        <f aca="false">SUMIFS('Outages (event ledger)'!$H$2:$H$65,'Outages (event ledger)'!$A$2:$A$65,J$2,'Outages (event ledger)'!$E$2:$E$65,"&lt;="&amp;$B133,'Outages (event ledger)'!$G$2:$G$65,"&gt;="&amp;$B133)</f>
        <v>0</v>
      </c>
      <c r="K133" s="26" t="n">
        <f aca="false">SUMIFS('Outages (event ledger)'!$H$2:$H$65,'Outages (event ledger)'!$A$2:$A$65,K$2,'Outages (event ledger)'!$E$2:$E$65,"&lt;="&amp;$B133,'Outages (event ledger)'!$G$2:$G$65,"&gt;="&amp;$B133)</f>
        <v>0</v>
      </c>
      <c r="L133" s="26" t="n">
        <f aca="false">SUMIFS('Outages (event ledger)'!$H$2:$H$65,'Outages (event ledger)'!$A$2:$A$65,L$2,'Outages (event ledger)'!$E$2:$E$65,"&lt;="&amp;$B133,'Outages (event ledger)'!$G$2:$G$65,"&gt;="&amp;$B133)</f>
        <v>5.2</v>
      </c>
      <c r="M133" s="26" t="n">
        <f aca="false">SUMIFS('Outages (event ledger)'!$H$2:$H$65,'Outages (event ledger)'!$A$2:$A$65,M$2,'Outages (event ledger)'!$E$2:$E$65,"&lt;="&amp;$B133,'Outages (event ledger)'!$G$2:$G$65,"&gt;="&amp;$B133)</f>
        <v>0</v>
      </c>
      <c r="N133" s="26" t="n">
        <f aca="false">SUMIFS('Outages (event ledger)'!$H$2:$H$65,'Outages (event ledger)'!$A$2:$A$65,N$2,'Outages (event ledger)'!$E$2:$E$65,"&lt;="&amp;$B133,'Outages (event ledger)'!$G$2:$G$65,"&gt;="&amp;$B133)</f>
        <v>0</v>
      </c>
      <c r="O133" s="26" t="n">
        <f aca="false">SUMIFS('Outages (event ledger)'!$H$2:$H$65,'Outages (event ledger)'!$A$2:$A$65,O$2,'Outages (event ledger)'!$E$2:$E$65,"&lt;="&amp;$B133,'Outages (event ledger)'!$G$2:$G$65,"&gt;="&amp;$B133)</f>
        <v>0</v>
      </c>
      <c r="P133" s="26" t="n">
        <f aca="false">SUMIFS('Outages (event ledger)'!$H$2:$H$65,'Outages (event ledger)'!$A$2:$A$65,P$2,'Outages (event ledger)'!$E$2:$E$65,"&lt;="&amp;$B133,'Outages (event ledger)'!$G$2:$G$65,"&gt;="&amp;$B133)</f>
        <v>3.6</v>
      </c>
      <c r="Q133" s="26" t="n">
        <f aca="false">SUMIFS('Outages (event ledger)'!$H$2:$H$65,'Outages (event ledger)'!$A$2:$A$65,Q$2,'Outages (event ledger)'!$E$2:$E$65,"&lt;="&amp;$B133,'Outages (event ledger)'!$G$2:$G$65,"&gt;="&amp;$B133)</f>
        <v>0</v>
      </c>
      <c r="R133" s="26" t="n">
        <f aca="false">SUMIFS('Outages (event ledger)'!$H$2:$H$65,'Outages (event ledger)'!$A$2:$A$65,R$2,'Outages (event ledger)'!$E$2:$E$65,"&lt;="&amp;$B133,'Outages (event ledger)'!$G$2:$G$65,"&gt;="&amp;$B133)</f>
        <v>0</v>
      </c>
      <c r="S133" s="26" t="n">
        <f aca="false">SUMIFS('Outages (event ledger)'!$H$2:$H$65,'Outages (event ledger)'!$A$2:$A$65,S$2,'Outages (event ledger)'!$E$2:$E$65,"&lt;="&amp;$B133,'Outages (event ledger)'!$G$2:$G$65,"&gt;="&amp;$B133)</f>
        <v>0</v>
      </c>
      <c r="T133" s="26" t="n">
        <f aca="false">SUMIFS('Outages (event ledger)'!$H$2:$H$65,'Outages (event ledger)'!$A$2:$A$65,T$2,'Outages (event ledger)'!$E$2:$E$65,"&lt;="&amp;$B133,'Outages (event ledger)'!$G$2:$G$65,"&gt;="&amp;$B133)</f>
        <v>0</v>
      </c>
      <c r="U133" s="26" t="n">
        <f aca="false">SUMIFS('Outages (event ledger)'!$H$2:$H$65,'Outages (event ledger)'!$A$2:$A$65,U$2,'Outages (event ledger)'!$E$2:$E$65,"&lt;="&amp;$B133,'Outages (event ledger)'!$G$2:$G$65,"&gt;="&amp;$B133)</f>
        <v>0</v>
      </c>
      <c r="V133" s="26" t="n">
        <f aca="false">SUMIFS('Outages (event ledger)'!$H$2:$H$65,'Outages (event ledger)'!$A$2:$A$65,V$2,'Outages (event ledger)'!$E$2:$E$65,"&lt;="&amp;$B133,'Outages (event ledger)'!$G$2:$G$65,"&gt;="&amp;$B133)</f>
        <v>0</v>
      </c>
      <c r="W133" s="26" t="n">
        <f aca="false">SUMIFS('Outages (event ledger)'!$H$2:$H$65,'Outages (event ledger)'!$A$2:$A$65,W$2,'Outages (event ledger)'!$E$2:$E$65,"&lt;="&amp;$B133,'Outages (event ledger)'!$G$2:$G$65,"&gt;="&amp;$B133)</f>
        <v>0</v>
      </c>
      <c r="X133" s="26" t="n">
        <f aca="false">SUMIFS('Outages (event ledger)'!$H$2:$H$65,'Outages (event ledger)'!$A$2:$A$65,X$2,'Outages (event ledger)'!$E$2:$E$65,"&lt;="&amp;$B133,'Outages (event ledger)'!$G$2:$G$65,"&gt;="&amp;$B133)</f>
        <v>0</v>
      </c>
      <c r="Y133" s="26" t="n">
        <f aca="false">SUMIFS('Outages (event ledger)'!$H$2:$H$65,'Outages (event ledger)'!$A$2:$A$65,Y$2,'Outages (event ledger)'!$E$2:$E$65,"&lt;="&amp;$B133,'Outages (event ledger)'!$G$2:$G$65,"&gt;="&amp;$B133)</f>
        <v>5</v>
      </c>
      <c r="Z133" s="26" t="n">
        <f aca="false">SUMIFS('Outages (event ledger)'!$H$2:$H$65,'Outages (event ledger)'!$A$2:$A$65,Z$2,'Outages (event ledger)'!$E$2:$E$65,"&lt;="&amp;$B133,'Outages (event ledger)'!$G$2:$G$65,"&gt;="&amp;$B133)</f>
        <v>0</v>
      </c>
      <c r="AA133" s="26" t="n">
        <f aca="false">SUMIFS('Outages (event ledger)'!$H$2:$H$65,'Outages (event ledger)'!$A$2:$A$65,AA$2,'Outages (event ledger)'!$E$2:$E$65,"&lt;="&amp;$B133,'Outages (event ledger)'!$G$2:$G$65,"&gt;="&amp;$B133)</f>
        <v>0</v>
      </c>
      <c r="AB133" s="26" t="n">
        <f aca="false">SUMIFS('Outages (event ledger)'!$H$2:$H$65,'Outages (event ledger)'!$A$2:$A$65,AB$2,'Outages (event ledger)'!$E$2:$E$65,"&lt;="&amp;$B133,'Outages (event ledger)'!$G$2:$G$65,"&gt;="&amp;$B133)</f>
        <v>8</v>
      </c>
      <c r="AC133" s="26" t="n">
        <f aca="false">SUMIFS('Outages (event ledger)'!$H$2:$H$65,'Outages (event ledger)'!$A$2:$A$65,AC$2,'Outages (event ledger)'!$E$2:$E$65,"&lt;="&amp;$B133,'Outages (event ledger)'!$G$2:$G$65,"&gt;="&amp;$B133)</f>
        <v>0</v>
      </c>
      <c r="AD133" s="26" t="n">
        <f aca="false">SUMIFS('Outages (event ledger)'!$H$2:$H$65,'Outages (event ledger)'!$A$2:$A$65,AD$2,'Outages (event ledger)'!$E$2:$E$65,"&lt;="&amp;$B133,'Outages (event ledger)'!$G$2:$G$65,"&gt;="&amp;$B133)</f>
        <v>0</v>
      </c>
      <c r="AE133" s="26" t="n">
        <f aca="false">SUMIFS('Outages (event ledger)'!$H$2:$H$65,'Outages (event ledger)'!$A$2:$A$65,AE$2,'Outages (event ledger)'!$E$2:$E$65,"&lt;="&amp;$B133,'Outages (event ledger)'!$G$2:$G$65,"&gt;="&amp;$B133)</f>
        <v>0</v>
      </c>
      <c r="AF133" s="26" t="n">
        <f aca="false">SUMIFS('Outages (event ledger)'!$H$2:$H$65,'Outages (event ledger)'!$A$2:$A$65,AF$2,'Outages (event ledger)'!$E$2:$E$65,"&lt;="&amp;$B133,'Outages (event ledger)'!$G$2:$G$65,"&gt;="&amp;$B133)</f>
        <v>0</v>
      </c>
      <c r="AG133" s="26" t="n">
        <f aca="false">SUMIFS('Outages (event ledger)'!$H$2:$H$65,'Outages (event ledger)'!$A$2:$A$65,AG$2,'Outages (event ledger)'!$E$2:$E$65,"&lt;="&amp;$B133,'Outages (event ledger)'!$G$2:$G$65,"&gt;="&amp;$B133)</f>
        <v>0</v>
      </c>
      <c r="AH133" s="26" t="n">
        <f aca="false">SUMIFS('Outages (event ledger)'!$H$2:$H$65,'Outages (event ledger)'!$A$2:$A$65,AH$2,'Outages (event ledger)'!$E$2:$E$65,"&lt;="&amp;$B133,'Outages (event ledger)'!$G$2:$G$65,"&gt;="&amp;$B133)</f>
        <v>0</v>
      </c>
      <c r="AI133" s="26" t="n">
        <f aca="false">SUMIFS('Outages (event ledger)'!$H$2:$H$65,'Outages (event ledger)'!$A$2:$A$65,AI$2,'Outages (event ledger)'!$E$2:$E$65,"&lt;="&amp;$B133,'Outages (event ledger)'!$G$2:$G$65,"&gt;="&amp;$B133)</f>
        <v>0</v>
      </c>
      <c r="AJ133" s="26" t="n">
        <f aca="false">SUMIFS('Outages (event ledger)'!$H$2:$H$65,'Outages (event ledger)'!$A$2:$A$65,AJ$2,'Outages (event ledger)'!$E$2:$E$65,"&lt;="&amp;$B133,'Outages (event ledger)'!$G$2:$G$65,"&gt;="&amp;$B133)</f>
        <v>0</v>
      </c>
      <c r="AK133" s="26" t="n">
        <f aca="false">SUMIFS('Outages (event ledger)'!$H$2:$H$65,'Outages (event ledger)'!$A$2:$A$65,AK$2,'Outages (event ledger)'!$E$2:$E$65,"&lt;="&amp;$B133,'Outages (event ledger)'!$G$2:$G$65,"&gt;="&amp;$B133)</f>
        <v>0</v>
      </c>
      <c r="AL133" s="26" t="n">
        <f aca="false">SUMIFS('Outages (event ledger)'!$H$2:$H$65,'Outages (event ledger)'!$A$2:$A$65,AL$2,'Outages (event ledger)'!$E$2:$E$65,"&lt;="&amp;$B133,'Outages (event ledger)'!$G$2:$G$65,"&gt;="&amp;$B133)</f>
        <v>0</v>
      </c>
      <c r="AM133" s="26" t="n">
        <f aca="false">SUMIFS('Outages (event ledger)'!$H$2:$H$65,'Outages (event ledger)'!$A$2:$A$65,AM$2,'Outages (event ledger)'!$E$2:$E$65,"&lt;="&amp;$B133,'Outages (event ledger)'!$G$2:$G$65,"&gt;="&amp;$B133)</f>
        <v>0</v>
      </c>
      <c r="AN133" s="26" t="n">
        <f aca="false">SUMIFS('Outages (event ledger)'!$H$2:$H$65,'Outages (event ledger)'!$A$2:$A$65,AN$2,'Outages (event ledger)'!$E$2:$E$65,"&lt;="&amp;$B133,'Outages (event ledger)'!$G$2:$G$65,"&gt;="&amp;$B133)</f>
        <v>4.3</v>
      </c>
      <c r="AO133" s="26" t="n">
        <f aca="false">SUMIFS('Outages (event ledger)'!$H$2:$H$65,'Outages (event ledger)'!$A$2:$A$65,AO$2,'Outages (event ledger)'!$E$2:$E$65,"&lt;="&amp;$B133,'Outages (event ledger)'!$G$2:$G$65,"&gt;="&amp;$B133)</f>
        <v>0</v>
      </c>
      <c r="AP133" s="26" t="n">
        <f aca="false">SUMIFS('Outages (event ledger)'!$H$2:$H$65,'Outages (event ledger)'!$A$2:$A$65,AP$2,'Outages (event ledger)'!$E$2:$E$65,"&lt;="&amp;$B133,'Outages (event ledger)'!$G$2:$G$65,"&gt;="&amp;$B133)</f>
        <v>0</v>
      </c>
      <c r="AQ133" s="26" t="n">
        <f aca="false">SUMIFS('Outages (event ledger)'!$H$2:$H$65,'Outages (event ledger)'!$A$2:$A$65,AQ$2,'Outages (event ledger)'!$E$2:$E$65,"&lt;="&amp;$B133,'Outages (event ledger)'!$G$2:$G$65,"&gt;="&amp;$B133)</f>
        <v>0</v>
      </c>
      <c r="AR133" s="26" t="n">
        <f aca="false">SUMIFS('Outages (event ledger)'!$H$2:$H$65,'Outages (event ledger)'!$A$2:$A$65,AR$2,'Outages (event ledger)'!$E$2:$E$65,"&lt;="&amp;$B133,'Outages (event ledger)'!$G$2:$G$65,"&gt;="&amp;$B133)</f>
        <v>0</v>
      </c>
      <c r="AS133" s="26" t="n">
        <f aca="false">SUMIFS('Outages (event ledger)'!$H$2:$H$65,'Outages (event ledger)'!$A$2:$A$65,AS$2,'Outages (event ledger)'!$E$2:$E$65,"&lt;="&amp;$B133,'Outages (event ledger)'!$G$2:$G$65,"&gt;="&amp;$B133)</f>
        <v>0</v>
      </c>
      <c r="AT133" s="26" t="n">
        <f aca="false">SUMIFS('Outages (event ledger)'!$H$2:$H$65,'Outages (event ledger)'!$A$2:$A$65,AT$2,'Outages (event ledger)'!$E$2:$E$65,"&lt;="&amp;$B133,'Outages (event ledger)'!$G$2:$G$65,"&gt;="&amp;$B133)</f>
        <v>0</v>
      </c>
      <c r="AU133" s="26" t="n">
        <f aca="false">SUMIFS('Outages (event ledger)'!$H$2:$H$65,'Outages (event ledger)'!$A$2:$A$65,AU$2,'Outages (event ledger)'!$E$2:$E$65,"&lt;="&amp;$B133,'Outages (event ledger)'!$G$2:$G$65,"&gt;="&amp;$B133)</f>
        <v>0</v>
      </c>
      <c r="AV133" s="26" t="n">
        <f aca="false">SUMIFS('Outages (event ledger)'!$H$2:$H$65,'Outages (event ledger)'!$A$2:$A$65,AV$2,'Outages (event ledger)'!$E$2:$E$65,"&lt;="&amp;$B133,'Outages (event ledger)'!$G$2:$G$65,"&gt;="&amp;$B133)</f>
        <v>0</v>
      </c>
      <c r="AW133" s="26" t="n">
        <f aca="false">SUMIFS('Outages (event ledger)'!$H$2:$H$65,'Outages (event ledger)'!$A$2:$A$65,AW$2,'Outages (event ledger)'!$E$2:$E$65,"&lt;="&amp;$B133,'Outages (event ledger)'!$G$2:$G$65,"&gt;="&amp;$B133)</f>
        <v>0</v>
      </c>
      <c r="AX133" s="26" t="n">
        <f aca="false">SUMIFS('Outages (event ledger)'!$H$2:$H$65,'Outages (event ledger)'!$A$2:$A$65,AX$2,'Outages (event ledger)'!$E$2:$E$65,"&lt;="&amp;$B133,'Outages (event ledger)'!$G$2:$G$65,"&gt;="&amp;$B133)</f>
        <v>0</v>
      </c>
      <c r="AY133" s="26" t="n">
        <f aca="false">SUMIFS('Outages (event ledger)'!$H$2:$H$65,'Outages (event ledger)'!$A$2:$A$65,AY$2,'Outages (event ledger)'!$E$2:$E$65,"&lt;="&amp;$B133,'Outages (event ledger)'!$G$2:$G$65,"&gt;="&amp;$B133)</f>
        <v>0</v>
      </c>
      <c r="AZ133" s="26" t="n">
        <f aca="false">SUMIFS('Outages (event ledger)'!$H$2:$H$65,'Outages (event ledger)'!$A$2:$A$65,AZ$2,'Outages (event ledger)'!$E$2:$E$65,"&lt;="&amp;$B133,'Outages (event ledger)'!$G$2:$G$65,"&gt;="&amp;$B133)</f>
        <v>0</v>
      </c>
      <c r="BA133" s="26" t="n">
        <f aca="false">SUMIFS('Outages (event ledger)'!$H$2:$H$65,'Outages (event ledger)'!$A$2:$A$65,BA$2,'Outages (event ledger)'!$E$2:$E$65,"&lt;="&amp;$B133,'Outages (event ledger)'!$G$2:$G$65,"&gt;="&amp;$B133)</f>
        <v>0</v>
      </c>
      <c r="BB133" s="26" t="n">
        <f aca="false">SUMIFS('Outages (event ledger)'!$H$2:$H$65,'Outages (event ledger)'!$A$2:$A$65,BB$2,'Outages (event ledger)'!$E$2:$E$65,"&lt;="&amp;$B133,'Outages (event ledger)'!$G$2:$G$65,"&gt;="&amp;$B133)</f>
        <v>0</v>
      </c>
      <c r="BC133" s="26" t="n">
        <f aca="false">SUMIFS('Outages (event ledger)'!$H$2:$H$65,'Outages (event ledger)'!$A$2:$A$65,BC$2,'Outages (event ledger)'!$E$2:$E$65,"&lt;="&amp;$B133,'Outages (event ledger)'!$G$2:$G$65,"&gt;="&amp;$B133)</f>
        <v>0</v>
      </c>
      <c r="BD133" s="26" t="n">
        <f aca="false">SUMIFS('Outages (event ledger)'!$H$2:$H$65,'Outages (event ledger)'!$A$2:$A$65,BD$2,'Outages (event ledger)'!$E$2:$E$65,"&lt;="&amp;$B133,'Outages (event ledger)'!$G$2:$G$65,"&gt;="&amp;$B133)</f>
        <v>0.75</v>
      </c>
      <c r="BE133" s="26" t="n">
        <f aca="false">SUMIFS('Outages (event ledger)'!$H$2:$H$65,'Outages (event ledger)'!$A$2:$A$65,BE$2,'Outages (event ledger)'!$E$2:$E$65,"&lt;="&amp;$B133,'Outages (event ledger)'!$G$2:$G$65,"&gt;="&amp;$B133)</f>
        <v>0</v>
      </c>
      <c r="BF133" s="26" t="n">
        <f aca="false">SUMIFS('Outages (event ledger)'!$H$2:$H$65,'Outages (event ledger)'!$A$2:$A$65,BF$2,'Outages (event ledger)'!$E$2:$E$65,"&lt;="&amp;$B133,'Outages (event ledger)'!$G$2:$G$65,"&gt;="&amp;$B133)</f>
        <v>0</v>
      </c>
      <c r="BG133" s="26" t="n">
        <f aca="false">SUMIFS('Outages (event ledger)'!$H$2:$H$65,'Outages (event ledger)'!$A$2:$A$65,BG$2,'Outages (event ledger)'!$E$2:$E$65,"&lt;="&amp;$B133,'Outages (event ledger)'!$G$2:$G$65,"&gt;="&amp;$B133)</f>
        <v>0</v>
      </c>
      <c r="BH133" s="26" t="n">
        <f aca="false">SUMIFS('Outages (event ledger)'!$H$2:$H$65,'Outages (event ledger)'!$A$2:$A$65,BH$2,'Outages (event ledger)'!$E$2:$E$65,"&lt;="&amp;$B133,'Outages (event ledger)'!$G$2:$G$65,"&gt;="&amp;$B133)</f>
        <v>0</v>
      </c>
      <c r="BI133" s="26" t="n">
        <f aca="false">SUMIFS('Outages (event ledger)'!$H$2:$H$65,'Outages (event ledger)'!$A$2:$A$65,BI$2,'Outages (event ledger)'!$E$2:$E$65,"&lt;="&amp;$B133,'Outages (event ledger)'!$G$2:$G$65,"&gt;="&amp;$B133)</f>
        <v>6.7</v>
      </c>
    </row>
    <row r="134" customFormat="false" ht="15" hidden="false" customHeight="false" outlineLevel="0" collapsed="false">
      <c r="A134" s="23" t="n">
        <v>44166</v>
      </c>
      <c r="B134" s="24" t="n">
        <v>202012</v>
      </c>
      <c r="C134" s="25" t="n">
        <f aca="false">SUM(D134:BI134)</f>
        <v>36.1</v>
      </c>
      <c r="D134" s="26" t="n">
        <f aca="false">SUMIFS('Outages (event ledger)'!$H$2:$H$65,'Outages (event ledger)'!$A$2:$A$65,D$2,'Outages (event ledger)'!$E$2:$E$65,"&lt;="&amp;$B134,'Outages (event ledger)'!$G$2:$G$65,"&gt;="&amp;$B134)</f>
        <v>0</v>
      </c>
      <c r="E134" s="26" t="n">
        <f aca="false">SUMIFS('Outages (event ledger)'!$H$2:$H$65,'Outages (event ledger)'!$A$2:$A$65,E$2,'Outages (event ledger)'!$E$2:$E$65,"&lt;="&amp;$B134,'Outages (event ledger)'!$G$2:$G$65,"&gt;="&amp;$B134)</f>
        <v>0</v>
      </c>
      <c r="F134" s="26" t="n">
        <f aca="false">SUMIFS('Outages (event ledger)'!$H$2:$H$65,'Outages (event ledger)'!$A$2:$A$65,F$2,'Outages (event ledger)'!$E$2:$E$65,"&lt;="&amp;$B134,'Outages (event ledger)'!$G$2:$G$65,"&gt;="&amp;$B134)</f>
        <v>0</v>
      </c>
      <c r="G134" s="26" t="n">
        <f aca="false">SUMIFS('Outages (event ledger)'!$H$2:$H$65,'Outages (event ledger)'!$A$2:$A$65,G$2,'Outages (event ledger)'!$E$2:$E$65,"&lt;="&amp;$B134,'Outages (event ledger)'!$G$2:$G$65,"&gt;="&amp;$B134)</f>
        <v>0</v>
      </c>
      <c r="H134" s="26" t="n">
        <f aca="false">SUMIFS('Outages (event ledger)'!$H$2:$H$65,'Outages (event ledger)'!$A$2:$A$65,H$2,'Outages (event ledger)'!$E$2:$E$65,"&lt;="&amp;$B134,'Outages (event ledger)'!$G$2:$G$65,"&gt;="&amp;$B134)</f>
        <v>0</v>
      </c>
      <c r="I134" s="26" t="n">
        <f aca="false">SUMIFS('Outages (event ledger)'!$H$2:$H$65,'Outages (event ledger)'!$A$2:$A$65,I$2,'Outages (event ledger)'!$E$2:$E$65,"&lt;="&amp;$B134,'Outages (event ledger)'!$G$2:$G$65,"&gt;="&amp;$B134)</f>
        <v>0</v>
      </c>
      <c r="J134" s="26" t="n">
        <f aca="false">SUMIFS('Outages (event ledger)'!$H$2:$H$65,'Outages (event ledger)'!$A$2:$A$65,J$2,'Outages (event ledger)'!$E$2:$E$65,"&lt;="&amp;$B134,'Outages (event ledger)'!$G$2:$G$65,"&gt;="&amp;$B134)</f>
        <v>0</v>
      </c>
      <c r="K134" s="26" t="n">
        <f aca="false">SUMIFS('Outages (event ledger)'!$H$2:$H$65,'Outages (event ledger)'!$A$2:$A$65,K$2,'Outages (event ledger)'!$E$2:$E$65,"&lt;="&amp;$B134,'Outages (event ledger)'!$G$2:$G$65,"&gt;="&amp;$B134)</f>
        <v>0</v>
      </c>
      <c r="L134" s="26" t="n">
        <f aca="false">SUMIFS('Outages (event ledger)'!$H$2:$H$65,'Outages (event ledger)'!$A$2:$A$65,L$2,'Outages (event ledger)'!$E$2:$E$65,"&lt;="&amp;$B134,'Outages (event ledger)'!$G$2:$G$65,"&gt;="&amp;$B134)</f>
        <v>5.2</v>
      </c>
      <c r="M134" s="26" t="n">
        <f aca="false">SUMIFS('Outages (event ledger)'!$H$2:$H$65,'Outages (event ledger)'!$A$2:$A$65,M$2,'Outages (event ledger)'!$E$2:$E$65,"&lt;="&amp;$B134,'Outages (event ledger)'!$G$2:$G$65,"&gt;="&amp;$B134)</f>
        <v>0</v>
      </c>
      <c r="N134" s="26" t="n">
        <f aca="false">SUMIFS('Outages (event ledger)'!$H$2:$H$65,'Outages (event ledger)'!$A$2:$A$65,N$2,'Outages (event ledger)'!$E$2:$E$65,"&lt;="&amp;$B134,'Outages (event ledger)'!$G$2:$G$65,"&gt;="&amp;$B134)</f>
        <v>0</v>
      </c>
      <c r="O134" s="26" t="n">
        <f aca="false">SUMIFS('Outages (event ledger)'!$H$2:$H$65,'Outages (event ledger)'!$A$2:$A$65,O$2,'Outages (event ledger)'!$E$2:$E$65,"&lt;="&amp;$B134,'Outages (event ledger)'!$G$2:$G$65,"&gt;="&amp;$B134)</f>
        <v>0</v>
      </c>
      <c r="P134" s="26" t="n">
        <f aca="false">SUMIFS('Outages (event ledger)'!$H$2:$H$65,'Outages (event ledger)'!$A$2:$A$65,P$2,'Outages (event ledger)'!$E$2:$E$65,"&lt;="&amp;$B134,'Outages (event ledger)'!$G$2:$G$65,"&gt;="&amp;$B134)</f>
        <v>3.6</v>
      </c>
      <c r="Q134" s="26" t="n">
        <f aca="false">SUMIFS('Outages (event ledger)'!$H$2:$H$65,'Outages (event ledger)'!$A$2:$A$65,Q$2,'Outages (event ledger)'!$E$2:$E$65,"&lt;="&amp;$B134,'Outages (event ledger)'!$G$2:$G$65,"&gt;="&amp;$B134)</f>
        <v>0</v>
      </c>
      <c r="R134" s="26" t="n">
        <f aca="false">SUMIFS('Outages (event ledger)'!$H$2:$H$65,'Outages (event ledger)'!$A$2:$A$65,R$2,'Outages (event ledger)'!$E$2:$E$65,"&lt;="&amp;$B134,'Outages (event ledger)'!$G$2:$G$65,"&gt;="&amp;$B134)</f>
        <v>0</v>
      </c>
      <c r="S134" s="26" t="n">
        <f aca="false">SUMIFS('Outages (event ledger)'!$H$2:$H$65,'Outages (event ledger)'!$A$2:$A$65,S$2,'Outages (event ledger)'!$E$2:$E$65,"&lt;="&amp;$B134,'Outages (event ledger)'!$G$2:$G$65,"&gt;="&amp;$B134)</f>
        <v>0</v>
      </c>
      <c r="T134" s="26" t="n">
        <f aca="false">SUMIFS('Outages (event ledger)'!$H$2:$H$65,'Outages (event ledger)'!$A$2:$A$65,T$2,'Outages (event ledger)'!$E$2:$E$65,"&lt;="&amp;$B134,'Outages (event ledger)'!$G$2:$G$65,"&gt;="&amp;$B134)</f>
        <v>0</v>
      </c>
      <c r="U134" s="26" t="n">
        <f aca="false">SUMIFS('Outages (event ledger)'!$H$2:$H$65,'Outages (event ledger)'!$A$2:$A$65,U$2,'Outages (event ledger)'!$E$2:$E$65,"&lt;="&amp;$B134,'Outages (event ledger)'!$G$2:$G$65,"&gt;="&amp;$B134)</f>
        <v>0</v>
      </c>
      <c r="V134" s="26" t="n">
        <f aca="false">SUMIFS('Outages (event ledger)'!$H$2:$H$65,'Outages (event ledger)'!$A$2:$A$65,V$2,'Outages (event ledger)'!$E$2:$E$65,"&lt;="&amp;$B134,'Outages (event ledger)'!$G$2:$G$65,"&gt;="&amp;$B134)</f>
        <v>0</v>
      </c>
      <c r="W134" s="26" t="n">
        <f aca="false">SUMIFS('Outages (event ledger)'!$H$2:$H$65,'Outages (event ledger)'!$A$2:$A$65,W$2,'Outages (event ledger)'!$E$2:$E$65,"&lt;="&amp;$B134,'Outages (event ledger)'!$G$2:$G$65,"&gt;="&amp;$B134)</f>
        <v>0</v>
      </c>
      <c r="X134" s="26" t="n">
        <f aca="false">SUMIFS('Outages (event ledger)'!$H$2:$H$65,'Outages (event ledger)'!$A$2:$A$65,X$2,'Outages (event ledger)'!$E$2:$E$65,"&lt;="&amp;$B134,'Outages (event ledger)'!$G$2:$G$65,"&gt;="&amp;$B134)</f>
        <v>0</v>
      </c>
      <c r="Y134" s="26" t="n">
        <f aca="false">SUMIFS('Outages (event ledger)'!$H$2:$H$65,'Outages (event ledger)'!$A$2:$A$65,Y$2,'Outages (event ledger)'!$E$2:$E$65,"&lt;="&amp;$B134,'Outages (event ledger)'!$G$2:$G$65,"&gt;="&amp;$B134)</f>
        <v>5</v>
      </c>
      <c r="Z134" s="26" t="n">
        <f aca="false">SUMIFS('Outages (event ledger)'!$H$2:$H$65,'Outages (event ledger)'!$A$2:$A$65,Z$2,'Outages (event ledger)'!$E$2:$E$65,"&lt;="&amp;$B134,'Outages (event ledger)'!$G$2:$G$65,"&gt;="&amp;$B134)</f>
        <v>0</v>
      </c>
      <c r="AA134" s="26" t="n">
        <f aca="false">SUMIFS('Outages (event ledger)'!$H$2:$H$65,'Outages (event ledger)'!$A$2:$A$65,AA$2,'Outages (event ledger)'!$E$2:$E$65,"&lt;="&amp;$B134,'Outages (event ledger)'!$G$2:$G$65,"&gt;="&amp;$B134)</f>
        <v>0</v>
      </c>
      <c r="AB134" s="26" t="n">
        <f aca="false">SUMIFS('Outages (event ledger)'!$H$2:$H$65,'Outages (event ledger)'!$A$2:$A$65,AB$2,'Outages (event ledger)'!$E$2:$E$65,"&lt;="&amp;$B134,'Outages (event ledger)'!$G$2:$G$65,"&gt;="&amp;$B134)</f>
        <v>8</v>
      </c>
      <c r="AC134" s="26" t="n">
        <f aca="false">SUMIFS('Outages (event ledger)'!$H$2:$H$65,'Outages (event ledger)'!$A$2:$A$65,AC$2,'Outages (event ledger)'!$E$2:$E$65,"&lt;="&amp;$B134,'Outages (event ledger)'!$G$2:$G$65,"&gt;="&amp;$B134)</f>
        <v>0</v>
      </c>
      <c r="AD134" s="26" t="n">
        <f aca="false">SUMIFS('Outages (event ledger)'!$H$2:$H$65,'Outages (event ledger)'!$A$2:$A$65,AD$2,'Outages (event ledger)'!$E$2:$E$65,"&lt;="&amp;$B134,'Outages (event ledger)'!$G$2:$G$65,"&gt;="&amp;$B134)</f>
        <v>0</v>
      </c>
      <c r="AE134" s="26" t="n">
        <f aca="false">SUMIFS('Outages (event ledger)'!$H$2:$H$65,'Outages (event ledger)'!$A$2:$A$65,AE$2,'Outages (event ledger)'!$E$2:$E$65,"&lt;="&amp;$B134,'Outages (event ledger)'!$G$2:$G$65,"&gt;="&amp;$B134)</f>
        <v>0</v>
      </c>
      <c r="AF134" s="26" t="n">
        <f aca="false">SUMIFS('Outages (event ledger)'!$H$2:$H$65,'Outages (event ledger)'!$A$2:$A$65,AF$2,'Outages (event ledger)'!$E$2:$E$65,"&lt;="&amp;$B134,'Outages (event ledger)'!$G$2:$G$65,"&gt;="&amp;$B134)</f>
        <v>0</v>
      </c>
      <c r="AG134" s="26" t="n">
        <f aca="false">SUMIFS('Outages (event ledger)'!$H$2:$H$65,'Outages (event ledger)'!$A$2:$A$65,AG$2,'Outages (event ledger)'!$E$2:$E$65,"&lt;="&amp;$B134,'Outages (event ledger)'!$G$2:$G$65,"&gt;="&amp;$B134)</f>
        <v>0</v>
      </c>
      <c r="AH134" s="26" t="n">
        <f aca="false">SUMIFS('Outages (event ledger)'!$H$2:$H$65,'Outages (event ledger)'!$A$2:$A$65,AH$2,'Outages (event ledger)'!$E$2:$E$65,"&lt;="&amp;$B134,'Outages (event ledger)'!$G$2:$G$65,"&gt;="&amp;$B134)</f>
        <v>0</v>
      </c>
      <c r="AI134" s="26" t="n">
        <f aca="false">SUMIFS('Outages (event ledger)'!$H$2:$H$65,'Outages (event ledger)'!$A$2:$A$65,AI$2,'Outages (event ledger)'!$E$2:$E$65,"&lt;="&amp;$B134,'Outages (event ledger)'!$G$2:$G$65,"&gt;="&amp;$B134)</f>
        <v>0</v>
      </c>
      <c r="AJ134" s="26" t="n">
        <f aca="false">SUMIFS('Outages (event ledger)'!$H$2:$H$65,'Outages (event ledger)'!$A$2:$A$65,AJ$2,'Outages (event ledger)'!$E$2:$E$65,"&lt;="&amp;$B134,'Outages (event ledger)'!$G$2:$G$65,"&gt;="&amp;$B134)</f>
        <v>0</v>
      </c>
      <c r="AK134" s="26" t="n">
        <f aca="false">SUMIFS('Outages (event ledger)'!$H$2:$H$65,'Outages (event ledger)'!$A$2:$A$65,AK$2,'Outages (event ledger)'!$E$2:$E$65,"&lt;="&amp;$B134,'Outages (event ledger)'!$G$2:$G$65,"&gt;="&amp;$B134)</f>
        <v>0</v>
      </c>
      <c r="AL134" s="26" t="n">
        <f aca="false">SUMIFS('Outages (event ledger)'!$H$2:$H$65,'Outages (event ledger)'!$A$2:$A$65,AL$2,'Outages (event ledger)'!$E$2:$E$65,"&lt;="&amp;$B134,'Outages (event ledger)'!$G$2:$G$65,"&gt;="&amp;$B134)</f>
        <v>0</v>
      </c>
      <c r="AM134" s="26" t="n">
        <f aca="false">SUMIFS('Outages (event ledger)'!$H$2:$H$65,'Outages (event ledger)'!$A$2:$A$65,AM$2,'Outages (event ledger)'!$E$2:$E$65,"&lt;="&amp;$B134,'Outages (event ledger)'!$G$2:$G$65,"&gt;="&amp;$B134)</f>
        <v>0</v>
      </c>
      <c r="AN134" s="26" t="n">
        <f aca="false">SUMIFS('Outages (event ledger)'!$H$2:$H$65,'Outages (event ledger)'!$A$2:$A$65,AN$2,'Outages (event ledger)'!$E$2:$E$65,"&lt;="&amp;$B134,'Outages (event ledger)'!$G$2:$G$65,"&gt;="&amp;$B134)</f>
        <v>4.3</v>
      </c>
      <c r="AO134" s="26" t="n">
        <f aca="false">SUMIFS('Outages (event ledger)'!$H$2:$H$65,'Outages (event ledger)'!$A$2:$A$65,AO$2,'Outages (event ledger)'!$E$2:$E$65,"&lt;="&amp;$B134,'Outages (event ledger)'!$G$2:$G$65,"&gt;="&amp;$B134)</f>
        <v>0</v>
      </c>
      <c r="AP134" s="26" t="n">
        <f aca="false">SUMIFS('Outages (event ledger)'!$H$2:$H$65,'Outages (event ledger)'!$A$2:$A$65,AP$2,'Outages (event ledger)'!$E$2:$E$65,"&lt;="&amp;$B134,'Outages (event ledger)'!$G$2:$G$65,"&gt;="&amp;$B134)</f>
        <v>0</v>
      </c>
      <c r="AQ134" s="26" t="n">
        <f aca="false">SUMIFS('Outages (event ledger)'!$H$2:$H$65,'Outages (event ledger)'!$A$2:$A$65,AQ$2,'Outages (event ledger)'!$E$2:$E$65,"&lt;="&amp;$B134,'Outages (event ledger)'!$G$2:$G$65,"&gt;="&amp;$B134)</f>
        <v>0</v>
      </c>
      <c r="AR134" s="26" t="n">
        <f aca="false">SUMIFS('Outages (event ledger)'!$H$2:$H$65,'Outages (event ledger)'!$A$2:$A$65,AR$2,'Outages (event ledger)'!$E$2:$E$65,"&lt;="&amp;$B134,'Outages (event ledger)'!$G$2:$G$65,"&gt;="&amp;$B134)</f>
        <v>0</v>
      </c>
      <c r="AS134" s="26" t="n">
        <f aca="false">SUMIFS('Outages (event ledger)'!$H$2:$H$65,'Outages (event ledger)'!$A$2:$A$65,AS$2,'Outages (event ledger)'!$E$2:$E$65,"&lt;="&amp;$B134,'Outages (event ledger)'!$G$2:$G$65,"&gt;="&amp;$B134)</f>
        <v>0</v>
      </c>
      <c r="AT134" s="26" t="n">
        <f aca="false">SUMIFS('Outages (event ledger)'!$H$2:$H$65,'Outages (event ledger)'!$A$2:$A$65,AT$2,'Outages (event ledger)'!$E$2:$E$65,"&lt;="&amp;$B134,'Outages (event ledger)'!$G$2:$G$65,"&gt;="&amp;$B134)</f>
        <v>0</v>
      </c>
      <c r="AU134" s="26" t="n">
        <f aca="false">SUMIFS('Outages (event ledger)'!$H$2:$H$65,'Outages (event ledger)'!$A$2:$A$65,AU$2,'Outages (event ledger)'!$E$2:$E$65,"&lt;="&amp;$B134,'Outages (event ledger)'!$G$2:$G$65,"&gt;="&amp;$B134)</f>
        <v>0</v>
      </c>
      <c r="AV134" s="26" t="n">
        <f aca="false">SUMIFS('Outages (event ledger)'!$H$2:$H$65,'Outages (event ledger)'!$A$2:$A$65,AV$2,'Outages (event ledger)'!$E$2:$E$65,"&lt;="&amp;$B134,'Outages (event ledger)'!$G$2:$G$65,"&gt;="&amp;$B134)</f>
        <v>0</v>
      </c>
      <c r="AW134" s="26" t="n">
        <f aca="false">SUMIFS('Outages (event ledger)'!$H$2:$H$65,'Outages (event ledger)'!$A$2:$A$65,AW$2,'Outages (event ledger)'!$E$2:$E$65,"&lt;="&amp;$B134,'Outages (event ledger)'!$G$2:$G$65,"&gt;="&amp;$B134)</f>
        <v>0</v>
      </c>
      <c r="AX134" s="26" t="n">
        <f aca="false">SUMIFS('Outages (event ledger)'!$H$2:$H$65,'Outages (event ledger)'!$A$2:$A$65,AX$2,'Outages (event ledger)'!$E$2:$E$65,"&lt;="&amp;$B134,'Outages (event ledger)'!$G$2:$G$65,"&gt;="&amp;$B134)</f>
        <v>3.3</v>
      </c>
      <c r="AY134" s="26" t="n">
        <f aca="false">SUMIFS('Outages (event ledger)'!$H$2:$H$65,'Outages (event ledger)'!$A$2:$A$65,AY$2,'Outages (event ledger)'!$E$2:$E$65,"&lt;="&amp;$B134,'Outages (event ledger)'!$G$2:$G$65,"&gt;="&amp;$B134)</f>
        <v>0</v>
      </c>
      <c r="AZ134" s="26" t="n">
        <f aca="false">SUMIFS('Outages (event ledger)'!$H$2:$H$65,'Outages (event ledger)'!$A$2:$A$65,AZ$2,'Outages (event ledger)'!$E$2:$E$65,"&lt;="&amp;$B134,'Outages (event ledger)'!$G$2:$G$65,"&gt;="&amp;$B134)</f>
        <v>0</v>
      </c>
      <c r="BA134" s="26" t="n">
        <f aca="false">SUMIFS('Outages (event ledger)'!$H$2:$H$65,'Outages (event ledger)'!$A$2:$A$65,BA$2,'Outages (event ledger)'!$E$2:$E$65,"&lt;="&amp;$B134,'Outages (event ledger)'!$G$2:$G$65,"&gt;="&amp;$B134)</f>
        <v>0</v>
      </c>
      <c r="BB134" s="26" t="n">
        <f aca="false">SUMIFS('Outages (event ledger)'!$H$2:$H$65,'Outages (event ledger)'!$A$2:$A$65,BB$2,'Outages (event ledger)'!$E$2:$E$65,"&lt;="&amp;$B134,'Outages (event ledger)'!$G$2:$G$65,"&gt;="&amp;$B134)</f>
        <v>0</v>
      </c>
      <c r="BC134" s="26" t="n">
        <f aca="false">SUMIFS('Outages (event ledger)'!$H$2:$H$65,'Outages (event ledger)'!$A$2:$A$65,BC$2,'Outages (event ledger)'!$E$2:$E$65,"&lt;="&amp;$B134,'Outages (event ledger)'!$G$2:$G$65,"&gt;="&amp;$B134)</f>
        <v>0</v>
      </c>
      <c r="BD134" s="26" t="n">
        <f aca="false">SUMIFS('Outages (event ledger)'!$H$2:$H$65,'Outages (event ledger)'!$A$2:$A$65,BD$2,'Outages (event ledger)'!$E$2:$E$65,"&lt;="&amp;$B134,'Outages (event ledger)'!$G$2:$G$65,"&gt;="&amp;$B134)</f>
        <v>0</v>
      </c>
      <c r="BE134" s="26" t="n">
        <f aca="false">SUMIFS('Outages (event ledger)'!$H$2:$H$65,'Outages (event ledger)'!$A$2:$A$65,BE$2,'Outages (event ledger)'!$E$2:$E$65,"&lt;="&amp;$B134,'Outages (event ledger)'!$G$2:$G$65,"&gt;="&amp;$B134)</f>
        <v>0</v>
      </c>
      <c r="BF134" s="26" t="n">
        <f aca="false">SUMIFS('Outages (event ledger)'!$H$2:$H$65,'Outages (event ledger)'!$A$2:$A$65,BF$2,'Outages (event ledger)'!$E$2:$E$65,"&lt;="&amp;$B134,'Outages (event ledger)'!$G$2:$G$65,"&gt;="&amp;$B134)</f>
        <v>0</v>
      </c>
      <c r="BG134" s="26" t="n">
        <f aca="false">SUMIFS('Outages (event ledger)'!$H$2:$H$65,'Outages (event ledger)'!$A$2:$A$65,BG$2,'Outages (event ledger)'!$E$2:$E$65,"&lt;="&amp;$B134,'Outages (event ledger)'!$G$2:$G$65,"&gt;="&amp;$B134)</f>
        <v>0</v>
      </c>
      <c r="BH134" s="26" t="n">
        <f aca="false">SUMIFS('Outages (event ledger)'!$H$2:$H$65,'Outages (event ledger)'!$A$2:$A$65,BH$2,'Outages (event ledger)'!$E$2:$E$65,"&lt;="&amp;$B134,'Outages (event ledger)'!$G$2:$G$65,"&gt;="&amp;$B134)</f>
        <v>0</v>
      </c>
      <c r="BI134" s="26" t="n">
        <f aca="false">SUMIFS('Outages (event ledger)'!$H$2:$H$65,'Outages (event ledger)'!$A$2:$A$65,BI$2,'Outages (event ledger)'!$E$2:$E$65,"&lt;="&amp;$B134,'Outages (event ledger)'!$G$2:$G$65,"&gt;="&amp;$B134)</f>
        <v>6.7</v>
      </c>
    </row>
    <row r="135" customFormat="false" ht="15" hidden="false" customHeight="false" outlineLevel="0" collapsed="false">
      <c r="A135" s="27" t="n">
        <v>44197</v>
      </c>
      <c r="B135" s="28" t="n">
        <v>202101</v>
      </c>
      <c r="C135" s="25" t="n">
        <f aca="false">SUM(D135:BI135)</f>
        <v>43.4</v>
      </c>
      <c r="D135" s="29" t="n">
        <f aca="false">SUMIFS('Outages (event ledger)'!$H$2:$H$65,'Outages (event ledger)'!$A$2:$A$65,D$2,'Outages (event ledger)'!$E$2:$E$65,"&lt;="&amp;$B135,'Outages (event ledger)'!$G$2:$G$65,"&gt;="&amp;$B135)</f>
        <v>0</v>
      </c>
      <c r="E135" s="29" t="n">
        <f aca="false">SUMIFS('Outages (event ledger)'!$H$2:$H$65,'Outages (event ledger)'!$A$2:$A$65,E$2,'Outages (event ledger)'!$E$2:$E$65,"&lt;="&amp;$B135,'Outages (event ledger)'!$G$2:$G$65,"&gt;="&amp;$B135)</f>
        <v>0</v>
      </c>
      <c r="F135" s="29" t="n">
        <f aca="false">SUMIFS('Outages (event ledger)'!$H$2:$H$65,'Outages (event ledger)'!$A$2:$A$65,F$2,'Outages (event ledger)'!$E$2:$E$65,"&lt;="&amp;$B135,'Outages (event ledger)'!$G$2:$G$65,"&gt;="&amp;$B135)</f>
        <v>0</v>
      </c>
      <c r="G135" s="29" t="n">
        <f aca="false">SUMIFS('Outages (event ledger)'!$H$2:$H$65,'Outages (event ledger)'!$A$2:$A$65,G$2,'Outages (event ledger)'!$E$2:$E$65,"&lt;="&amp;$B135,'Outages (event ledger)'!$G$2:$G$65,"&gt;="&amp;$B135)</f>
        <v>0</v>
      </c>
      <c r="H135" s="29" t="n">
        <f aca="false">SUMIFS('Outages (event ledger)'!$H$2:$H$65,'Outages (event ledger)'!$A$2:$A$65,H$2,'Outages (event ledger)'!$E$2:$E$65,"&lt;="&amp;$B135,'Outages (event ledger)'!$G$2:$G$65,"&gt;="&amp;$B135)</f>
        <v>0</v>
      </c>
      <c r="I135" s="29" t="n">
        <f aca="false">SUMIFS('Outages (event ledger)'!$H$2:$H$65,'Outages (event ledger)'!$A$2:$A$65,I$2,'Outages (event ledger)'!$E$2:$E$65,"&lt;="&amp;$B135,'Outages (event ledger)'!$G$2:$G$65,"&gt;="&amp;$B135)</f>
        <v>0</v>
      </c>
      <c r="J135" s="29" t="n">
        <f aca="false">SUMIFS('Outages (event ledger)'!$H$2:$H$65,'Outages (event ledger)'!$A$2:$A$65,J$2,'Outages (event ledger)'!$E$2:$E$65,"&lt;="&amp;$B135,'Outages (event ledger)'!$G$2:$G$65,"&gt;="&amp;$B135)</f>
        <v>0</v>
      </c>
      <c r="K135" s="29" t="n">
        <f aca="false">SUMIFS('Outages (event ledger)'!$H$2:$H$65,'Outages (event ledger)'!$A$2:$A$65,K$2,'Outages (event ledger)'!$E$2:$E$65,"&lt;="&amp;$B135,'Outages (event ledger)'!$G$2:$G$65,"&gt;="&amp;$B135)</f>
        <v>0</v>
      </c>
      <c r="L135" s="29" t="n">
        <f aca="false">SUMIFS('Outages (event ledger)'!$H$2:$H$65,'Outages (event ledger)'!$A$2:$A$65,L$2,'Outages (event ledger)'!$E$2:$E$65,"&lt;="&amp;$B135,'Outages (event ledger)'!$G$2:$G$65,"&gt;="&amp;$B135)</f>
        <v>5.2</v>
      </c>
      <c r="M135" s="29" t="n">
        <f aca="false">SUMIFS('Outages (event ledger)'!$H$2:$H$65,'Outages (event ledger)'!$A$2:$A$65,M$2,'Outages (event ledger)'!$E$2:$E$65,"&lt;="&amp;$B135,'Outages (event ledger)'!$G$2:$G$65,"&gt;="&amp;$B135)</f>
        <v>0</v>
      </c>
      <c r="N135" s="29" t="n">
        <f aca="false">SUMIFS('Outages (event ledger)'!$H$2:$H$65,'Outages (event ledger)'!$A$2:$A$65,N$2,'Outages (event ledger)'!$E$2:$E$65,"&lt;="&amp;$B135,'Outages (event ledger)'!$G$2:$G$65,"&gt;="&amp;$B135)</f>
        <v>0</v>
      </c>
      <c r="O135" s="29" t="n">
        <f aca="false">SUMIFS('Outages (event ledger)'!$H$2:$H$65,'Outages (event ledger)'!$A$2:$A$65,O$2,'Outages (event ledger)'!$E$2:$E$65,"&lt;="&amp;$B135,'Outages (event ledger)'!$G$2:$G$65,"&gt;="&amp;$B135)</f>
        <v>0</v>
      </c>
      <c r="P135" s="29" t="n">
        <f aca="false">SUMIFS('Outages (event ledger)'!$H$2:$H$65,'Outages (event ledger)'!$A$2:$A$65,P$2,'Outages (event ledger)'!$E$2:$E$65,"&lt;="&amp;$B135,'Outages (event ledger)'!$G$2:$G$65,"&gt;="&amp;$B135)</f>
        <v>3.6</v>
      </c>
      <c r="Q135" s="29" t="n">
        <f aca="false">SUMIFS('Outages (event ledger)'!$H$2:$H$65,'Outages (event ledger)'!$A$2:$A$65,Q$2,'Outages (event ledger)'!$E$2:$E$65,"&lt;="&amp;$B135,'Outages (event ledger)'!$G$2:$G$65,"&gt;="&amp;$B135)</f>
        <v>0</v>
      </c>
      <c r="R135" s="29" t="n">
        <f aca="false">SUMIFS('Outages (event ledger)'!$H$2:$H$65,'Outages (event ledger)'!$A$2:$A$65,R$2,'Outages (event ledger)'!$E$2:$E$65,"&lt;="&amp;$B135,'Outages (event ledger)'!$G$2:$G$65,"&gt;="&amp;$B135)</f>
        <v>0</v>
      </c>
      <c r="S135" s="29" t="n">
        <f aca="false">SUMIFS('Outages (event ledger)'!$H$2:$H$65,'Outages (event ledger)'!$A$2:$A$65,S$2,'Outages (event ledger)'!$E$2:$E$65,"&lt;="&amp;$B135,'Outages (event ledger)'!$G$2:$G$65,"&gt;="&amp;$B135)</f>
        <v>0</v>
      </c>
      <c r="T135" s="29" t="n">
        <f aca="false">SUMIFS('Outages (event ledger)'!$H$2:$H$65,'Outages (event ledger)'!$A$2:$A$65,T$2,'Outages (event ledger)'!$E$2:$E$65,"&lt;="&amp;$B135,'Outages (event ledger)'!$G$2:$G$65,"&gt;="&amp;$B135)</f>
        <v>0</v>
      </c>
      <c r="U135" s="29" t="n">
        <f aca="false">SUMIFS('Outages (event ledger)'!$H$2:$H$65,'Outages (event ledger)'!$A$2:$A$65,U$2,'Outages (event ledger)'!$E$2:$E$65,"&lt;="&amp;$B135,'Outages (event ledger)'!$G$2:$G$65,"&gt;="&amp;$B135)</f>
        <v>0</v>
      </c>
      <c r="V135" s="29" t="n">
        <f aca="false">SUMIFS('Outages (event ledger)'!$H$2:$H$65,'Outages (event ledger)'!$A$2:$A$65,V$2,'Outages (event ledger)'!$E$2:$E$65,"&lt;="&amp;$B135,'Outages (event ledger)'!$G$2:$G$65,"&gt;="&amp;$B135)</f>
        <v>0</v>
      </c>
      <c r="W135" s="29" t="n">
        <f aca="false">SUMIFS('Outages (event ledger)'!$H$2:$H$65,'Outages (event ledger)'!$A$2:$A$65,W$2,'Outages (event ledger)'!$E$2:$E$65,"&lt;="&amp;$B135,'Outages (event ledger)'!$G$2:$G$65,"&gt;="&amp;$B135)</f>
        <v>0</v>
      </c>
      <c r="X135" s="29" t="n">
        <f aca="false">SUMIFS('Outages (event ledger)'!$H$2:$H$65,'Outages (event ledger)'!$A$2:$A$65,X$2,'Outages (event ledger)'!$E$2:$E$65,"&lt;="&amp;$B135,'Outages (event ledger)'!$G$2:$G$65,"&gt;="&amp;$B135)</f>
        <v>0</v>
      </c>
      <c r="Y135" s="29" t="n">
        <f aca="false">SUMIFS('Outages (event ledger)'!$H$2:$H$65,'Outages (event ledger)'!$A$2:$A$65,Y$2,'Outages (event ledger)'!$E$2:$E$65,"&lt;="&amp;$B135,'Outages (event ledger)'!$G$2:$G$65,"&gt;="&amp;$B135)</f>
        <v>5</v>
      </c>
      <c r="Z135" s="29" t="n">
        <f aca="false">SUMIFS('Outages (event ledger)'!$H$2:$H$65,'Outages (event ledger)'!$A$2:$A$65,Z$2,'Outages (event ledger)'!$E$2:$E$65,"&lt;="&amp;$B135,'Outages (event ledger)'!$G$2:$G$65,"&gt;="&amp;$B135)</f>
        <v>0</v>
      </c>
      <c r="AA135" s="29" t="n">
        <f aca="false">SUMIFS('Outages (event ledger)'!$H$2:$H$65,'Outages (event ledger)'!$A$2:$A$65,AA$2,'Outages (event ledger)'!$E$2:$E$65,"&lt;="&amp;$B135,'Outages (event ledger)'!$G$2:$G$65,"&gt;="&amp;$B135)</f>
        <v>0</v>
      </c>
      <c r="AB135" s="29" t="n">
        <f aca="false">SUMIFS('Outages (event ledger)'!$H$2:$H$65,'Outages (event ledger)'!$A$2:$A$65,AB$2,'Outages (event ledger)'!$E$2:$E$65,"&lt;="&amp;$B135,'Outages (event ledger)'!$G$2:$G$65,"&gt;="&amp;$B135)</f>
        <v>8</v>
      </c>
      <c r="AC135" s="29" t="n">
        <f aca="false">SUMIFS('Outages (event ledger)'!$H$2:$H$65,'Outages (event ledger)'!$A$2:$A$65,AC$2,'Outages (event ledger)'!$E$2:$E$65,"&lt;="&amp;$B135,'Outages (event ledger)'!$G$2:$G$65,"&gt;="&amp;$B135)</f>
        <v>0</v>
      </c>
      <c r="AD135" s="29" t="n">
        <f aca="false">SUMIFS('Outages (event ledger)'!$H$2:$H$65,'Outages (event ledger)'!$A$2:$A$65,AD$2,'Outages (event ledger)'!$E$2:$E$65,"&lt;="&amp;$B135,'Outages (event ledger)'!$G$2:$G$65,"&gt;="&amp;$B135)</f>
        <v>0</v>
      </c>
      <c r="AE135" s="29" t="n">
        <f aca="false">SUMIFS('Outages (event ledger)'!$H$2:$H$65,'Outages (event ledger)'!$A$2:$A$65,AE$2,'Outages (event ledger)'!$E$2:$E$65,"&lt;="&amp;$B135,'Outages (event ledger)'!$G$2:$G$65,"&gt;="&amp;$B135)</f>
        <v>0</v>
      </c>
      <c r="AF135" s="29" t="n">
        <f aca="false">SUMIFS('Outages (event ledger)'!$H$2:$H$65,'Outages (event ledger)'!$A$2:$A$65,AF$2,'Outages (event ledger)'!$E$2:$E$65,"&lt;="&amp;$B135,'Outages (event ledger)'!$G$2:$G$65,"&gt;="&amp;$B135)</f>
        <v>0</v>
      </c>
      <c r="AG135" s="29" t="n">
        <f aca="false">SUMIFS('Outages (event ledger)'!$H$2:$H$65,'Outages (event ledger)'!$A$2:$A$65,AG$2,'Outages (event ledger)'!$E$2:$E$65,"&lt;="&amp;$B135,'Outages (event ledger)'!$G$2:$G$65,"&gt;="&amp;$B135)</f>
        <v>0</v>
      </c>
      <c r="AH135" s="29" t="n">
        <f aca="false">SUMIFS('Outages (event ledger)'!$H$2:$H$65,'Outages (event ledger)'!$A$2:$A$65,AH$2,'Outages (event ledger)'!$E$2:$E$65,"&lt;="&amp;$B135,'Outages (event ledger)'!$G$2:$G$65,"&gt;="&amp;$B135)</f>
        <v>0</v>
      </c>
      <c r="AI135" s="29" t="n">
        <f aca="false">SUMIFS('Outages (event ledger)'!$H$2:$H$65,'Outages (event ledger)'!$A$2:$A$65,AI$2,'Outages (event ledger)'!$E$2:$E$65,"&lt;="&amp;$B135,'Outages (event ledger)'!$G$2:$G$65,"&gt;="&amp;$B135)</f>
        <v>0</v>
      </c>
      <c r="AJ135" s="29" t="n">
        <f aca="false">SUMIFS('Outages (event ledger)'!$H$2:$H$65,'Outages (event ledger)'!$A$2:$A$65,AJ$2,'Outages (event ledger)'!$E$2:$E$65,"&lt;="&amp;$B135,'Outages (event ledger)'!$G$2:$G$65,"&gt;="&amp;$B135)</f>
        <v>0</v>
      </c>
      <c r="AK135" s="29" t="n">
        <f aca="false">SUMIFS('Outages (event ledger)'!$H$2:$H$65,'Outages (event ledger)'!$A$2:$A$65,AK$2,'Outages (event ledger)'!$E$2:$E$65,"&lt;="&amp;$B135,'Outages (event ledger)'!$G$2:$G$65,"&gt;="&amp;$B135)</f>
        <v>0</v>
      </c>
      <c r="AL135" s="29" t="n">
        <f aca="false">SUMIFS('Outages (event ledger)'!$H$2:$H$65,'Outages (event ledger)'!$A$2:$A$65,AL$2,'Outages (event ledger)'!$E$2:$E$65,"&lt;="&amp;$B135,'Outages (event ledger)'!$G$2:$G$65,"&gt;="&amp;$B135)</f>
        <v>4</v>
      </c>
      <c r="AM135" s="29" t="n">
        <f aca="false">SUMIFS('Outages (event ledger)'!$H$2:$H$65,'Outages (event ledger)'!$A$2:$A$65,AM$2,'Outages (event ledger)'!$E$2:$E$65,"&lt;="&amp;$B135,'Outages (event ledger)'!$G$2:$G$65,"&gt;="&amp;$B135)</f>
        <v>0</v>
      </c>
      <c r="AN135" s="29" t="n">
        <f aca="false">SUMIFS('Outages (event ledger)'!$H$2:$H$65,'Outages (event ledger)'!$A$2:$A$65,AN$2,'Outages (event ledger)'!$E$2:$E$65,"&lt;="&amp;$B135,'Outages (event ledger)'!$G$2:$G$65,"&gt;="&amp;$B135)</f>
        <v>4.3</v>
      </c>
      <c r="AO135" s="29" t="n">
        <f aca="false">SUMIFS('Outages (event ledger)'!$H$2:$H$65,'Outages (event ledger)'!$A$2:$A$65,AO$2,'Outages (event ledger)'!$E$2:$E$65,"&lt;="&amp;$B135,'Outages (event ledger)'!$G$2:$G$65,"&gt;="&amp;$B135)</f>
        <v>0</v>
      </c>
      <c r="AP135" s="29" t="n">
        <f aca="false">SUMIFS('Outages (event ledger)'!$H$2:$H$65,'Outages (event ledger)'!$A$2:$A$65,AP$2,'Outages (event ledger)'!$E$2:$E$65,"&lt;="&amp;$B135,'Outages (event ledger)'!$G$2:$G$65,"&gt;="&amp;$B135)</f>
        <v>0</v>
      </c>
      <c r="AQ135" s="29" t="n">
        <f aca="false">SUMIFS('Outages (event ledger)'!$H$2:$H$65,'Outages (event ledger)'!$A$2:$A$65,AQ$2,'Outages (event ledger)'!$E$2:$E$65,"&lt;="&amp;$B135,'Outages (event ledger)'!$G$2:$G$65,"&gt;="&amp;$B135)</f>
        <v>0</v>
      </c>
      <c r="AR135" s="29" t="n">
        <f aca="false">SUMIFS('Outages (event ledger)'!$H$2:$H$65,'Outages (event ledger)'!$A$2:$A$65,AR$2,'Outages (event ledger)'!$E$2:$E$65,"&lt;="&amp;$B135,'Outages (event ledger)'!$G$2:$G$65,"&gt;="&amp;$B135)</f>
        <v>0</v>
      </c>
      <c r="AS135" s="29" t="n">
        <f aca="false">SUMIFS('Outages (event ledger)'!$H$2:$H$65,'Outages (event ledger)'!$A$2:$A$65,AS$2,'Outages (event ledger)'!$E$2:$E$65,"&lt;="&amp;$B135,'Outages (event ledger)'!$G$2:$G$65,"&gt;="&amp;$B135)</f>
        <v>0</v>
      </c>
      <c r="AT135" s="29" t="n">
        <f aca="false">SUMIFS('Outages (event ledger)'!$H$2:$H$65,'Outages (event ledger)'!$A$2:$A$65,AT$2,'Outages (event ledger)'!$E$2:$E$65,"&lt;="&amp;$B135,'Outages (event ledger)'!$G$2:$G$65,"&gt;="&amp;$B135)</f>
        <v>0</v>
      </c>
      <c r="AU135" s="29" t="n">
        <f aca="false">SUMIFS('Outages (event ledger)'!$H$2:$H$65,'Outages (event ledger)'!$A$2:$A$65,AU$2,'Outages (event ledger)'!$E$2:$E$65,"&lt;="&amp;$B135,'Outages (event ledger)'!$G$2:$G$65,"&gt;="&amp;$B135)</f>
        <v>0</v>
      </c>
      <c r="AV135" s="29" t="n">
        <f aca="false">SUMIFS('Outages (event ledger)'!$H$2:$H$65,'Outages (event ledger)'!$A$2:$A$65,AV$2,'Outages (event ledger)'!$E$2:$E$65,"&lt;="&amp;$B135,'Outages (event ledger)'!$G$2:$G$65,"&gt;="&amp;$B135)</f>
        <v>0</v>
      </c>
      <c r="AW135" s="29" t="n">
        <f aca="false">SUMIFS('Outages (event ledger)'!$H$2:$H$65,'Outages (event ledger)'!$A$2:$A$65,AW$2,'Outages (event ledger)'!$E$2:$E$65,"&lt;="&amp;$B135,'Outages (event ledger)'!$G$2:$G$65,"&gt;="&amp;$B135)</f>
        <v>0</v>
      </c>
      <c r="AX135" s="29" t="n">
        <f aca="false">SUMIFS('Outages (event ledger)'!$H$2:$H$65,'Outages (event ledger)'!$A$2:$A$65,AX$2,'Outages (event ledger)'!$E$2:$E$65,"&lt;="&amp;$B135,'Outages (event ledger)'!$G$2:$G$65,"&gt;="&amp;$B135)</f>
        <v>6.6</v>
      </c>
      <c r="AY135" s="29" t="n">
        <f aca="false">SUMIFS('Outages (event ledger)'!$H$2:$H$65,'Outages (event ledger)'!$A$2:$A$65,AY$2,'Outages (event ledger)'!$E$2:$E$65,"&lt;="&amp;$B135,'Outages (event ledger)'!$G$2:$G$65,"&gt;="&amp;$B135)</f>
        <v>0</v>
      </c>
      <c r="AZ135" s="29" t="n">
        <f aca="false">SUMIFS('Outages (event ledger)'!$H$2:$H$65,'Outages (event ledger)'!$A$2:$A$65,AZ$2,'Outages (event ledger)'!$E$2:$E$65,"&lt;="&amp;$B135,'Outages (event ledger)'!$G$2:$G$65,"&gt;="&amp;$B135)</f>
        <v>0</v>
      </c>
      <c r="BA135" s="29" t="n">
        <f aca="false">SUMIFS('Outages (event ledger)'!$H$2:$H$65,'Outages (event ledger)'!$A$2:$A$65,BA$2,'Outages (event ledger)'!$E$2:$E$65,"&lt;="&amp;$B135,'Outages (event ledger)'!$G$2:$G$65,"&gt;="&amp;$B135)</f>
        <v>0</v>
      </c>
      <c r="BB135" s="29" t="n">
        <f aca="false">SUMIFS('Outages (event ledger)'!$H$2:$H$65,'Outages (event ledger)'!$A$2:$A$65,BB$2,'Outages (event ledger)'!$E$2:$E$65,"&lt;="&amp;$B135,'Outages (event ledger)'!$G$2:$G$65,"&gt;="&amp;$B135)</f>
        <v>0</v>
      </c>
      <c r="BC135" s="29" t="n">
        <f aca="false">SUMIFS('Outages (event ledger)'!$H$2:$H$65,'Outages (event ledger)'!$A$2:$A$65,BC$2,'Outages (event ledger)'!$E$2:$E$65,"&lt;="&amp;$B135,'Outages (event ledger)'!$G$2:$G$65,"&gt;="&amp;$B135)</f>
        <v>0</v>
      </c>
      <c r="BD135" s="29" t="n">
        <f aca="false">SUMIFS('Outages (event ledger)'!$H$2:$H$65,'Outages (event ledger)'!$A$2:$A$65,BD$2,'Outages (event ledger)'!$E$2:$E$65,"&lt;="&amp;$B135,'Outages (event ledger)'!$G$2:$G$65,"&gt;="&amp;$B135)</f>
        <v>0</v>
      </c>
      <c r="BE135" s="29" t="n">
        <f aca="false">SUMIFS('Outages (event ledger)'!$H$2:$H$65,'Outages (event ledger)'!$A$2:$A$65,BE$2,'Outages (event ledger)'!$E$2:$E$65,"&lt;="&amp;$B135,'Outages (event ledger)'!$G$2:$G$65,"&gt;="&amp;$B135)</f>
        <v>0</v>
      </c>
      <c r="BF135" s="29" t="n">
        <f aca="false">SUMIFS('Outages (event ledger)'!$H$2:$H$65,'Outages (event ledger)'!$A$2:$A$65,BF$2,'Outages (event ledger)'!$E$2:$E$65,"&lt;="&amp;$B135,'Outages (event ledger)'!$G$2:$G$65,"&gt;="&amp;$B135)</f>
        <v>0</v>
      </c>
      <c r="BG135" s="29" t="n">
        <f aca="false">SUMIFS('Outages (event ledger)'!$H$2:$H$65,'Outages (event ledger)'!$A$2:$A$65,BG$2,'Outages (event ledger)'!$E$2:$E$65,"&lt;="&amp;$B135,'Outages (event ledger)'!$G$2:$G$65,"&gt;="&amp;$B135)</f>
        <v>0</v>
      </c>
      <c r="BH135" s="29" t="n">
        <f aca="false">SUMIFS('Outages (event ledger)'!$H$2:$H$65,'Outages (event ledger)'!$A$2:$A$65,BH$2,'Outages (event ledger)'!$E$2:$E$65,"&lt;="&amp;$B135,'Outages (event ledger)'!$G$2:$G$65,"&gt;="&amp;$B135)</f>
        <v>0</v>
      </c>
      <c r="BI135" s="29" t="n">
        <f aca="false">SUMIFS('Outages (event ledger)'!$H$2:$H$65,'Outages (event ledger)'!$A$2:$A$65,BI$2,'Outages (event ledger)'!$E$2:$E$65,"&lt;="&amp;$B135,'Outages (event ledger)'!$G$2:$G$65,"&gt;="&amp;$B135)</f>
        <v>6.7</v>
      </c>
    </row>
    <row r="136" customFormat="false" ht="15" hidden="false" customHeight="false" outlineLevel="0" collapsed="false">
      <c r="A136" s="27" t="n">
        <v>44228</v>
      </c>
      <c r="B136" s="28" t="n">
        <v>202102</v>
      </c>
      <c r="C136" s="25" t="n">
        <f aca="false">SUM(D136:BI136)</f>
        <v>46.8</v>
      </c>
      <c r="D136" s="29" t="n">
        <f aca="false">SUMIFS('Outages (event ledger)'!$H$2:$H$65,'Outages (event ledger)'!$A$2:$A$65,D$2,'Outages (event ledger)'!$E$2:$E$65,"&lt;="&amp;$B136,'Outages (event ledger)'!$G$2:$G$65,"&gt;="&amp;$B136)</f>
        <v>0</v>
      </c>
      <c r="E136" s="29" t="n">
        <f aca="false">SUMIFS('Outages (event ledger)'!$H$2:$H$65,'Outages (event ledger)'!$A$2:$A$65,E$2,'Outages (event ledger)'!$E$2:$E$65,"&lt;="&amp;$B136,'Outages (event ledger)'!$G$2:$G$65,"&gt;="&amp;$B136)</f>
        <v>0</v>
      </c>
      <c r="F136" s="29" t="n">
        <f aca="false">SUMIFS('Outages (event ledger)'!$H$2:$H$65,'Outages (event ledger)'!$A$2:$A$65,F$2,'Outages (event ledger)'!$E$2:$E$65,"&lt;="&amp;$B136,'Outages (event ledger)'!$G$2:$G$65,"&gt;="&amp;$B136)</f>
        <v>0</v>
      </c>
      <c r="G136" s="29" t="n">
        <f aca="false">SUMIFS('Outages (event ledger)'!$H$2:$H$65,'Outages (event ledger)'!$A$2:$A$65,G$2,'Outages (event ledger)'!$E$2:$E$65,"&lt;="&amp;$B136,'Outages (event ledger)'!$G$2:$G$65,"&gt;="&amp;$B136)</f>
        <v>0</v>
      </c>
      <c r="H136" s="29" t="n">
        <f aca="false">SUMIFS('Outages (event ledger)'!$H$2:$H$65,'Outages (event ledger)'!$A$2:$A$65,H$2,'Outages (event ledger)'!$E$2:$E$65,"&lt;="&amp;$B136,'Outages (event ledger)'!$G$2:$G$65,"&gt;="&amp;$B136)</f>
        <v>0</v>
      </c>
      <c r="I136" s="29" t="n">
        <f aca="false">SUMIFS('Outages (event ledger)'!$H$2:$H$65,'Outages (event ledger)'!$A$2:$A$65,I$2,'Outages (event ledger)'!$E$2:$E$65,"&lt;="&amp;$B136,'Outages (event ledger)'!$G$2:$G$65,"&gt;="&amp;$B136)</f>
        <v>0</v>
      </c>
      <c r="J136" s="29" t="n">
        <f aca="false">SUMIFS('Outages (event ledger)'!$H$2:$H$65,'Outages (event ledger)'!$A$2:$A$65,J$2,'Outages (event ledger)'!$E$2:$E$65,"&lt;="&amp;$B136,'Outages (event ledger)'!$G$2:$G$65,"&gt;="&amp;$B136)</f>
        <v>0</v>
      </c>
      <c r="K136" s="29" t="n">
        <f aca="false">SUMIFS('Outages (event ledger)'!$H$2:$H$65,'Outages (event ledger)'!$A$2:$A$65,K$2,'Outages (event ledger)'!$E$2:$E$65,"&lt;="&amp;$B136,'Outages (event ledger)'!$G$2:$G$65,"&gt;="&amp;$B136)</f>
        <v>0</v>
      </c>
      <c r="L136" s="29" t="n">
        <f aca="false">SUMIFS('Outages (event ledger)'!$H$2:$H$65,'Outages (event ledger)'!$A$2:$A$65,L$2,'Outages (event ledger)'!$E$2:$E$65,"&lt;="&amp;$B136,'Outages (event ledger)'!$G$2:$G$65,"&gt;="&amp;$B136)</f>
        <v>5.2</v>
      </c>
      <c r="M136" s="29" t="n">
        <f aca="false">SUMIFS('Outages (event ledger)'!$H$2:$H$65,'Outages (event ledger)'!$A$2:$A$65,M$2,'Outages (event ledger)'!$E$2:$E$65,"&lt;="&amp;$B136,'Outages (event ledger)'!$G$2:$G$65,"&gt;="&amp;$B136)</f>
        <v>0</v>
      </c>
      <c r="N136" s="29" t="n">
        <f aca="false">SUMIFS('Outages (event ledger)'!$H$2:$H$65,'Outages (event ledger)'!$A$2:$A$65,N$2,'Outages (event ledger)'!$E$2:$E$65,"&lt;="&amp;$B136,'Outages (event ledger)'!$G$2:$G$65,"&gt;="&amp;$B136)</f>
        <v>0</v>
      </c>
      <c r="O136" s="29" t="n">
        <f aca="false">SUMIFS('Outages (event ledger)'!$H$2:$H$65,'Outages (event ledger)'!$A$2:$A$65,O$2,'Outages (event ledger)'!$E$2:$E$65,"&lt;="&amp;$B136,'Outages (event ledger)'!$G$2:$G$65,"&gt;="&amp;$B136)</f>
        <v>0</v>
      </c>
      <c r="P136" s="29" t="n">
        <f aca="false">SUMIFS('Outages (event ledger)'!$H$2:$H$65,'Outages (event ledger)'!$A$2:$A$65,P$2,'Outages (event ledger)'!$E$2:$E$65,"&lt;="&amp;$B136,'Outages (event ledger)'!$G$2:$G$65,"&gt;="&amp;$B136)</f>
        <v>0</v>
      </c>
      <c r="Q136" s="29" t="n">
        <f aca="false">SUMIFS('Outages (event ledger)'!$H$2:$H$65,'Outages (event ledger)'!$A$2:$A$65,Q$2,'Outages (event ledger)'!$E$2:$E$65,"&lt;="&amp;$B136,'Outages (event ledger)'!$G$2:$G$65,"&gt;="&amp;$B136)</f>
        <v>0</v>
      </c>
      <c r="R136" s="29" t="n">
        <f aca="false">SUMIFS('Outages (event ledger)'!$H$2:$H$65,'Outages (event ledger)'!$A$2:$A$65,R$2,'Outages (event ledger)'!$E$2:$E$65,"&lt;="&amp;$B136,'Outages (event ledger)'!$G$2:$G$65,"&gt;="&amp;$B136)</f>
        <v>0</v>
      </c>
      <c r="S136" s="29" t="n">
        <f aca="false">SUMIFS('Outages (event ledger)'!$H$2:$H$65,'Outages (event ledger)'!$A$2:$A$65,S$2,'Outages (event ledger)'!$E$2:$E$65,"&lt;="&amp;$B136,'Outages (event ledger)'!$G$2:$G$65,"&gt;="&amp;$B136)</f>
        <v>0</v>
      </c>
      <c r="T136" s="29" t="n">
        <f aca="false">SUMIFS('Outages (event ledger)'!$H$2:$H$65,'Outages (event ledger)'!$A$2:$A$65,T$2,'Outages (event ledger)'!$E$2:$E$65,"&lt;="&amp;$B136,'Outages (event ledger)'!$G$2:$G$65,"&gt;="&amp;$B136)</f>
        <v>0</v>
      </c>
      <c r="U136" s="29" t="n">
        <f aca="false">SUMIFS('Outages (event ledger)'!$H$2:$H$65,'Outages (event ledger)'!$A$2:$A$65,U$2,'Outages (event ledger)'!$E$2:$E$65,"&lt;="&amp;$B136,'Outages (event ledger)'!$G$2:$G$65,"&gt;="&amp;$B136)</f>
        <v>0</v>
      </c>
      <c r="V136" s="29" t="n">
        <f aca="false">SUMIFS('Outages (event ledger)'!$H$2:$H$65,'Outages (event ledger)'!$A$2:$A$65,V$2,'Outages (event ledger)'!$E$2:$E$65,"&lt;="&amp;$B136,'Outages (event ledger)'!$G$2:$G$65,"&gt;="&amp;$B136)</f>
        <v>0</v>
      </c>
      <c r="W136" s="29" t="n">
        <f aca="false">SUMIFS('Outages (event ledger)'!$H$2:$H$65,'Outages (event ledger)'!$A$2:$A$65,W$2,'Outages (event ledger)'!$E$2:$E$65,"&lt;="&amp;$B136,'Outages (event ledger)'!$G$2:$G$65,"&gt;="&amp;$B136)</f>
        <v>0</v>
      </c>
      <c r="X136" s="29" t="n">
        <f aca="false">SUMIFS('Outages (event ledger)'!$H$2:$H$65,'Outages (event ledger)'!$A$2:$A$65,X$2,'Outages (event ledger)'!$E$2:$E$65,"&lt;="&amp;$B136,'Outages (event ledger)'!$G$2:$G$65,"&gt;="&amp;$B136)</f>
        <v>0</v>
      </c>
      <c r="Y136" s="29" t="n">
        <f aca="false">SUMIFS('Outages (event ledger)'!$H$2:$H$65,'Outages (event ledger)'!$A$2:$A$65,Y$2,'Outages (event ledger)'!$E$2:$E$65,"&lt;="&amp;$B136,'Outages (event ledger)'!$G$2:$G$65,"&gt;="&amp;$B136)</f>
        <v>5</v>
      </c>
      <c r="Z136" s="29" t="n">
        <f aca="false">SUMIFS('Outages (event ledger)'!$H$2:$H$65,'Outages (event ledger)'!$A$2:$A$65,Z$2,'Outages (event ledger)'!$E$2:$E$65,"&lt;="&amp;$B136,'Outages (event ledger)'!$G$2:$G$65,"&gt;="&amp;$B136)</f>
        <v>0</v>
      </c>
      <c r="AA136" s="29" t="n">
        <f aca="false">SUMIFS('Outages (event ledger)'!$H$2:$H$65,'Outages (event ledger)'!$A$2:$A$65,AA$2,'Outages (event ledger)'!$E$2:$E$65,"&lt;="&amp;$B136,'Outages (event ledger)'!$G$2:$G$65,"&gt;="&amp;$B136)</f>
        <v>0</v>
      </c>
      <c r="AB136" s="29" t="n">
        <f aca="false">SUMIFS('Outages (event ledger)'!$H$2:$H$65,'Outages (event ledger)'!$A$2:$A$65,AB$2,'Outages (event ledger)'!$E$2:$E$65,"&lt;="&amp;$B136,'Outages (event ledger)'!$G$2:$G$65,"&gt;="&amp;$B136)</f>
        <v>8</v>
      </c>
      <c r="AC136" s="29" t="n">
        <f aca="false">SUMIFS('Outages (event ledger)'!$H$2:$H$65,'Outages (event ledger)'!$A$2:$A$65,AC$2,'Outages (event ledger)'!$E$2:$E$65,"&lt;="&amp;$B136,'Outages (event ledger)'!$G$2:$G$65,"&gt;="&amp;$B136)</f>
        <v>0</v>
      </c>
      <c r="AD136" s="29" t="n">
        <f aca="false">SUMIFS('Outages (event ledger)'!$H$2:$H$65,'Outages (event ledger)'!$A$2:$A$65,AD$2,'Outages (event ledger)'!$E$2:$E$65,"&lt;="&amp;$B136,'Outages (event ledger)'!$G$2:$G$65,"&gt;="&amp;$B136)</f>
        <v>0</v>
      </c>
      <c r="AE136" s="29" t="n">
        <f aca="false">SUMIFS('Outages (event ledger)'!$H$2:$H$65,'Outages (event ledger)'!$A$2:$A$65,AE$2,'Outages (event ledger)'!$E$2:$E$65,"&lt;="&amp;$B136,'Outages (event ledger)'!$G$2:$G$65,"&gt;="&amp;$B136)</f>
        <v>0</v>
      </c>
      <c r="AF136" s="29" t="n">
        <f aca="false">SUMIFS('Outages (event ledger)'!$H$2:$H$65,'Outages (event ledger)'!$A$2:$A$65,AF$2,'Outages (event ledger)'!$E$2:$E$65,"&lt;="&amp;$B136,'Outages (event ledger)'!$G$2:$G$65,"&gt;="&amp;$B136)</f>
        <v>0</v>
      </c>
      <c r="AG136" s="29" t="n">
        <f aca="false">SUMIFS('Outages (event ledger)'!$H$2:$H$65,'Outages (event ledger)'!$A$2:$A$65,AG$2,'Outages (event ledger)'!$E$2:$E$65,"&lt;="&amp;$B136,'Outages (event ledger)'!$G$2:$G$65,"&gt;="&amp;$B136)</f>
        <v>0</v>
      </c>
      <c r="AH136" s="29" t="n">
        <f aca="false">SUMIFS('Outages (event ledger)'!$H$2:$H$65,'Outages (event ledger)'!$A$2:$A$65,AH$2,'Outages (event ledger)'!$E$2:$E$65,"&lt;="&amp;$B136,'Outages (event ledger)'!$G$2:$G$65,"&gt;="&amp;$B136)</f>
        <v>0</v>
      </c>
      <c r="AI136" s="29" t="n">
        <f aca="false">SUMIFS('Outages (event ledger)'!$H$2:$H$65,'Outages (event ledger)'!$A$2:$A$65,AI$2,'Outages (event ledger)'!$E$2:$E$65,"&lt;="&amp;$B136,'Outages (event ledger)'!$G$2:$G$65,"&gt;="&amp;$B136)</f>
        <v>0</v>
      </c>
      <c r="AJ136" s="29" t="n">
        <f aca="false">SUMIFS('Outages (event ledger)'!$H$2:$H$65,'Outages (event ledger)'!$A$2:$A$65,AJ$2,'Outages (event ledger)'!$E$2:$E$65,"&lt;="&amp;$B136,'Outages (event ledger)'!$G$2:$G$65,"&gt;="&amp;$B136)</f>
        <v>0</v>
      </c>
      <c r="AK136" s="29" t="n">
        <f aca="false">SUMIFS('Outages (event ledger)'!$H$2:$H$65,'Outages (event ledger)'!$A$2:$A$65,AK$2,'Outages (event ledger)'!$E$2:$E$65,"&lt;="&amp;$B136,'Outages (event ledger)'!$G$2:$G$65,"&gt;="&amp;$B136)</f>
        <v>0</v>
      </c>
      <c r="AL136" s="29" t="n">
        <f aca="false">SUMIFS('Outages (event ledger)'!$H$2:$H$65,'Outages (event ledger)'!$A$2:$A$65,AL$2,'Outages (event ledger)'!$E$2:$E$65,"&lt;="&amp;$B136,'Outages (event ledger)'!$G$2:$G$65,"&gt;="&amp;$B136)</f>
        <v>4</v>
      </c>
      <c r="AM136" s="29" t="n">
        <f aca="false">SUMIFS('Outages (event ledger)'!$H$2:$H$65,'Outages (event ledger)'!$A$2:$A$65,AM$2,'Outages (event ledger)'!$E$2:$E$65,"&lt;="&amp;$B136,'Outages (event ledger)'!$G$2:$G$65,"&gt;="&amp;$B136)</f>
        <v>0</v>
      </c>
      <c r="AN136" s="29" t="n">
        <f aca="false">SUMIFS('Outages (event ledger)'!$H$2:$H$65,'Outages (event ledger)'!$A$2:$A$65,AN$2,'Outages (event ledger)'!$E$2:$E$65,"&lt;="&amp;$B136,'Outages (event ledger)'!$G$2:$G$65,"&gt;="&amp;$B136)</f>
        <v>4.3</v>
      </c>
      <c r="AO136" s="29" t="n">
        <f aca="false">SUMIFS('Outages (event ledger)'!$H$2:$H$65,'Outages (event ledger)'!$A$2:$A$65,AO$2,'Outages (event ledger)'!$E$2:$E$65,"&lt;="&amp;$B136,'Outages (event ledger)'!$G$2:$G$65,"&gt;="&amp;$B136)</f>
        <v>0</v>
      </c>
      <c r="AP136" s="29" t="n">
        <f aca="false">SUMIFS('Outages (event ledger)'!$H$2:$H$65,'Outages (event ledger)'!$A$2:$A$65,AP$2,'Outages (event ledger)'!$E$2:$E$65,"&lt;="&amp;$B136,'Outages (event ledger)'!$G$2:$G$65,"&gt;="&amp;$B136)</f>
        <v>0</v>
      </c>
      <c r="AQ136" s="29" t="n">
        <f aca="false">SUMIFS('Outages (event ledger)'!$H$2:$H$65,'Outages (event ledger)'!$A$2:$A$65,AQ$2,'Outages (event ledger)'!$E$2:$E$65,"&lt;="&amp;$B136,'Outages (event ledger)'!$G$2:$G$65,"&gt;="&amp;$B136)</f>
        <v>0</v>
      </c>
      <c r="AR136" s="29" t="n">
        <f aca="false">SUMIFS('Outages (event ledger)'!$H$2:$H$65,'Outages (event ledger)'!$A$2:$A$65,AR$2,'Outages (event ledger)'!$E$2:$E$65,"&lt;="&amp;$B136,'Outages (event ledger)'!$G$2:$G$65,"&gt;="&amp;$B136)</f>
        <v>0</v>
      </c>
      <c r="AS136" s="29" t="n">
        <f aca="false">SUMIFS('Outages (event ledger)'!$H$2:$H$65,'Outages (event ledger)'!$A$2:$A$65,AS$2,'Outages (event ledger)'!$E$2:$E$65,"&lt;="&amp;$B136,'Outages (event ledger)'!$G$2:$G$65,"&gt;="&amp;$B136)</f>
        <v>0</v>
      </c>
      <c r="AT136" s="29" t="n">
        <f aca="false">SUMIFS('Outages (event ledger)'!$H$2:$H$65,'Outages (event ledger)'!$A$2:$A$65,AT$2,'Outages (event ledger)'!$E$2:$E$65,"&lt;="&amp;$B136,'Outages (event ledger)'!$G$2:$G$65,"&gt;="&amp;$B136)</f>
        <v>0</v>
      </c>
      <c r="AU136" s="29" t="n">
        <f aca="false">SUMIFS('Outages (event ledger)'!$H$2:$H$65,'Outages (event ledger)'!$A$2:$A$65,AU$2,'Outages (event ledger)'!$E$2:$E$65,"&lt;="&amp;$B136,'Outages (event ledger)'!$G$2:$G$65,"&gt;="&amp;$B136)</f>
        <v>0</v>
      </c>
      <c r="AV136" s="29" t="n">
        <f aca="false">SUMIFS('Outages (event ledger)'!$H$2:$H$65,'Outages (event ledger)'!$A$2:$A$65,AV$2,'Outages (event ledger)'!$E$2:$E$65,"&lt;="&amp;$B136,'Outages (event ledger)'!$G$2:$G$65,"&gt;="&amp;$B136)</f>
        <v>0</v>
      </c>
      <c r="AW136" s="29" t="n">
        <f aca="false">SUMIFS('Outages (event ledger)'!$H$2:$H$65,'Outages (event ledger)'!$A$2:$A$65,AW$2,'Outages (event ledger)'!$E$2:$E$65,"&lt;="&amp;$B136,'Outages (event ledger)'!$G$2:$G$65,"&gt;="&amp;$B136)</f>
        <v>0</v>
      </c>
      <c r="AX136" s="29" t="n">
        <f aca="false">SUMIFS('Outages (event ledger)'!$H$2:$H$65,'Outages (event ledger)'!$A$2:$A$65,AX$2,'Outages (event ledger)'!$E$2:$E$65,"&lt;="&amp;$B136,'Outages (event ledger)'!$G$2:$G$65,"&gt;="&amp;$B136)</f>
        <v>6.6</v>
      </c>
      <c r="AY136" s="29" t="n">
        <f aca="false">SUMIFS('Outages (event ledger)'!$H$2:$H$65,'Outages (event ledger)'!$A$2:$A$65,AY$2,'Outages (event ledger)'!$E$2:$E$65,"&lt;="&amp;$B136,'Outages (event ledger)'!$G$2:$G$65,"&gt;="&amp;$B136)</f>
        <v>0</v>
      </c>
      <c r="AZ136" s="29" t="n">
        <f aca="false">SUMIFS('Outages (event ledger)'!$H$2:$H$65,'Outages (event ledger)'!$A$2:$A$65,AZ$2,'Outages (event ledger)'!$E$2:$E$65,"&lt;="&amp;$B136,'Outages (event ledger)'!$G$2:$G$65,"&gt;="&amp;$B136)</f>
        <v>0</v>
      </c>
      <c r="BA136" s="29" t="n">
        <f aca="false">SUMIFS('Outages (event ledger)'!$H$2:$H$65,'Outages (event ledger)'!$A$2:$A$65,BA$2,'Outages (event ledger)'!$E$2:$E$65,"&lt;="&amp;$B136,'Outages (event ledger)'!$G$2:$G$65,"&gt;="&amp;$B136)</f>
        <v>0</v>
      </c>
      <c r="BB136" s="29" t="n">
        <f aca="false">SUMIFS('Outages (event ledger)'!$H$2:$H$65,'Outages (event ledger)'!$A$2:$A$65,BB$2,'Outages (event ledger)'!$E$2:$E$65,"&lt;="&amp;$B136,'Outages (event ledger)'!$G$2:$G$65,"&gt;="&amp;$B136)</f>
        <v>3</v>
      </c>
      <c r="BC136" s="29" t="n">
        <f aca="false">SUMIFS('Outages (event ledger)'!$H$2:$H$65,'Outages (event ledger)'!$A$2:$A$65,BC$2,'Outages (event ledger)'!$E$2:$E$65,"&lt;="&amp;$B136,'Outages (event ledger)'!$G$2:$G$65,"&gt;="&amp;$B136)</f>
        <v>0</v>
      </c>
      <c r="BD136" s="29" t="n">
        <f aca="false">SUMIFS('Outages (event ledger)'!$H$2:$H$65,'Outages (event ledger)'!$A$2:$A$65,BD$2,'Outages (event ledger)'!$E$2:$E$65,"&lt;="&amp;$B136,'Outages (event ledger)'!$G$2:$G$65,"&gt;="&amp;$B136)</f>
        <v>0</v>
      </c>
      <c r="BE136" s="29" t="n">
        <f aca="false">SUMIFS('Outages (event ledger)'!$H$2:$H$65,'Outages (event ledger)'!$A$2:$A$65,BE$2,'Outages (event ledger)'!$E$2:$E$65,"&lt;="&amp;$B136,'Outages (event ledger)'!$G$2:$G$65,"&gt;="&amp;$B136)</f>
        <v>0</v>
      </c>
      <c r="BF136" s="29" t="n">
        <f aca="false">SUMIFS('Outages (event ledger)'!$H$2:$H$65,'Outages (event ledger)'!$A$2:$A$65,BF$2,'Outages (event ledger)'!$E$2:$E$65,"&lt;="&amp;$B136,'Outages (event ledger)'!$G$2:$G$65,"&gt;="&amp;$B136)</f>
        <v>0</v>
      </c>
      <c r="BG136" s="29" t="n">
        <f aca="false">SUMIFS('Outages (event ledger)'!$H$2:$H$65,'Outages (event ledger)'!$A$2:$A$65,BG$2,'Outages (event ledger)'!$E$2:$E$65,"&lt;="&amp;$B136,'Outages (event ledger)'!$G$2:$G$65,"&gt;="&amp;$B136)</f>
        <v>0</v>
      </c>
      <c r="BH136" s="29" t="n">
        <f aca="false">SUMIFS('Outages (event ledger)'!$H$2:$H$65,'Outages (event ledger)'!$A$2:$A$65,BH$2,'Outages (event ledger)'!$E$2:$E$65,"&lt;="&amp;$B136,'Outages (event ledger)'!$G$2:$G$65,"&gt;="&amp;$B136)</f>
        <v>4</v>
      </c>
      <c r="BI136" s="29" t="n">
        <f aca="false">SUMIFS('Outages (event ledger)'!$H$2:$H$65,'Outages (event ledger)'!$A$2:$A$65,BI$2,'Outages (event ledger)'!$E$2:$E$65,"&lt;="&amp;$B136,'Outages (event ledger)'!$G$2:$G$65,"&gt;="&amp;$B136)</f>
        <v>6.7</v>
      </c>
    </row>
    <row r="137" customFormat="false" ht="15" hidden="false" customHeight="false" outlineLevel="0" collapsed="false">
      <c r="A137" s="27" t="n">
        <v>44256</v>
      </c>
      <c r="B137" s="28" t="n">
        <v>202103</v>
      </c>
      <c r="C137" s="25" t="n">
        <f aca="false">SUM(D137:BI137)</f>
        <v>34.8</v>
      </c>
      <c r="D137" s="29" t="n">
        <f aca="false">SUMIFS('Outages (event ledger)'!$H$2:$H$65,'Outages (event ledger)'!$A$2:$A$65,D$2,'Outages (event ledger)'!$E$2:$E$65,"&lt;="&amp;$B137,'Outages (event ledger)'!$G$2:$G$65,"&gt;="&amp;$B137)</f>
        <v>0</v>
      </c>
      <c r="E137" s="29" t="n">
        <f aca="false">SUMIFS('Outages (event ledger)'!$H$2:$H$65,'Outages (event ledger)'!$A$2:$A$65,E$2,'Outages (event ledger)'!$E$2:$E$65,"&lt;="&amp;$B137,'Outages (event ledger)'!$G$2:$G$65,"&gt;="&amp;$B137)</f>
        <v>0</v>
      </c>
      <c r="F137" s="29" t="n">
        <f aca="false">SUMIFS('Outages (event ledger)'!$H$2:$H$65,'Outages (event ledger)'!$A$2:$A$65,F$2,'Outages (event ledger)'!$E$2:$E$65,"&lt;="&amp;$B137,'Outages (event ledger)'!$G$2:$G$65,"&gt;="&amp;$B137)</f>
        <v>0</v>
      </c>
      <c r="G137" s="29" t="n">
        <f aca="false">SUMIFS('Outages (event ledger)'!$H$2:$H$65,'Outages (event ledger)'!$A$2:$A$65,G$2,'Outages (event ledger)'!$E$2:$E$65,"&lt;="&amp;$B137,'Outages (event ledger)'!$G$2:$G$65,"&gt;="&amp;$B137)</f>
        <v>0</v>
      </c>
      <c r="H137" s="29" t="n">
        <f aca="false">SUMIFS('Outages (event ledger)'!$H$2:$H$65,'Outages (event ledger)'!$A$2:$A$65,H$2,'Outages (event ledger)'!$E$2:$E$65,"&lt;="&amp;$B137,'Outages (event ledger)'!$G$2:$G$65,"&gt;="&amp;$B137)</f>
        <v>0</v>
      </c>
      <c r="I137" s="29" t="n">
        <f aca="false">SUMIFS('Outages (event ledger)'!$H$2:$H$65,'Outages (event ledger)'!$A$2:$A$65,I$2,'Outages (event ledger)'!$E$2:$E$65,"&lt;="&amp;$B137,'Outages (event ledger)'!$G$2:$G$65,"&gt;="&amp;$B137)</f>
        <v>0</v>
      </c>
      <c r="J137" s="29" t="n">
        <f aca="false">SUMIFS('Outages (event ledger)'!$H$2:$H$65,'Outages (event ledger)'!$A$2:$A$65,J$2,'Outages (event ledger)'!$E$2:$E$65,"&lt;="&amp;$B137,'Outages (event ledger)'!$G$2:$G$65,"&gt;="&amp;$B137)</f>
        <v>0</v>
      </c>
      <c r="K137" s="29" t="n">
        <f aca="false">SUMIFS('Outages (event ledger)'!$H$2:$H$65,'Outages (event ledger)'!$A$2:$A$65,K$2,'Outages (event ledger)'!$E$2:$E$65,"&lt;="&amp;$B137,'Outages (event ledger)'!$G$2:$G$65,"&gt;="&amp;$B137)</f>
        <v>0</v>
      </c>
      <c r="L137" s="29" t="n">
        <f aca="false">SUMIFS('Outages (event ledger)'!$H$2:$H$65,'Outages (event ledger)'!$A$2:$A$65,L$2,'Outages (event ledger)'!$E$2:$E$65,"&lt;="&amp;$B137,'Outages (event ledger)'!$G$2:$G$65,"&gt;="&amp;$B137)</f>
        <v>5.2</v>
      </c>
      <c r="M137" s="29" t="n">
        <f aca="false">SUMIFS('Outages (event ledger)'!$H$2:$H$65,'Outages (event ledger)'!$A$2:$A$65,M$2,'Outages (event ledger)'!$E$2:$E$65,"&lt;="&amp;$B137,'Outages (event ledger)'!$G$2:$G$65,"&gt;="&amp;$B137)</f>
        <v>0</v>
      </c>
      <c r="N137" s="29" t="n">
        <f aca="false">SUMIFS('Outages (event ledger)'!$H$2:$H$65,'Outages (event ledger)'!$A$2:$A$65,N$2,'Outages (event ledger)'!$E$2:$E$65,"&lt;="&amp;$B137,'Outages (event ledger)'!$G$2:$G$65,"&gt;="&amp;$B137)</f>
        <v>0</v>
      </c>
      <c r="O137" s="29" t="n">
        <f aca="false">SUMIFS('Outages (event ledger)'!$H$2:$H$65,'Outages (event ledger)'!$A$2:$A$65,O$2,'Outages (event ledger)'!$E$2:$E$65,"&lt;="&amp;$B137,'Outages (event ledger)'!$G$2:$G$65,"&gt;="&amp;$B137)</f>
        <v>0</v>
      </c>
      <c r="P137" s="29" t="n">
        <f aca="false">SUMIFS('Outages (event ledger)'!$H$2:$H$65,'Outages (event ledger)'!$A$2:$A$65,P$2,'Outages (event ledger)'!$E$2:$E$65,"&lt;="&amp;$B137,'Outages (event ledger)'!$G$2:$G$65,"&gt;="&amp;$B137)</f>
        <v>0</v>
      </c>
      <c r="Q137" s="29" t="n">
        <f aca="false">SUMIFS('Outages (event ledger)'!$H$2:$H$65,'Outages (event ledger)'!$A$2:$A$65,Q$2,'Outages (event ledger)'!$E$2:$E$65,"&lt;="&amp;$B137,'Outages (event ledger)'!$G$2:$G$65,"&gt;="&amp;$B137)</f>
        <v>0</v>
      </c>
      <c r="R137" s="29" t="n">
        <f aca="false">SUMIFS('Outages (event ledger)'!$H$2:$H$65,'Outages (event ledger)'!$A$2:$A$65,R$2,'Outages (event ledger)'!$E$2:$E$65,"&lt;="&amp;$B137,'Outages (event ledger)'!$G$2:$G$65,"&gt;="&amp;$B137)</f>
        <v>0</v>
      </c>
      <c r="S137" s="29" t="n">
        <f aca="false">SUMIFS('Outages (event ledger)'!$H$2:$H$65,'Outages (event ledger)'!$A$2:$A$65,S$2,'Outages (event ledger)'!$E$2:$E$65,"&lt;="&amp;$B137,'Outages (event ledger)'!$G$2:$G$65,"&gt;="&amp;$B137)</f>
        <v>0</v>
      </c>
      <c r="T137" s="29" t="n">
        <f aca="false">SUMIFS('Outages (event ledger)'!$H$2:$H$65,'Outages (event ledger)'!$A$2:$A$65,T$2,'Outages (event ledger)'!$E$2:$E$65,"&lt;="&amp;$B137,'Outages (event ledger)'!$G$2:$G$65,"&gt;="&amp;$B137)</f>
        <v>0</v>
      </c>
      <c r="U137" s="29" t="n">
        <f aca="false">SUMIFS('Outages (event ledger)'!$H$2:$H$65,'Outages (event ledger)'!$A$2:$A$65,U$2,'Outages (event ledger)'!$E$2:$E$65,"&lt;="&amp;$B137,'Outages (event ledger)'!$G$2:$G$65,"&gt;="&amp;$B137)</f>
        <v>0</v>
      </c>
      <c r="V137" s="29" t="n">
        <f aca="false">SUMIFS('Outages (event ledger)'!$H$2:$H$65,'Outages (event ledger)'!$A$2:$A$65,V$2,'Outages (event ledger)'!$E$2:$E$65,"&lt;="&amp;$B137,'Outages (event ledger)'!$G$2:$G$65,"&gt;="&amp;$B137)</f>
        <v>0</v>
      </c>
      <c r="W137" s="29" t="n">
        <f aca="false">SUMIFS('Outages (event ledger)'!$H$2:$H$65,'Outages (event ledger)'!$A$2:$A$65,W$2,'Outages (event ledger)'!$E$2:$E$65,"&lt;="&amp;$B137,'Outages (event ledger)'!$G$2:$G$65,"&gt;="&amp;$B137)</f>
        <v>0</v>
      </c>
      <c r="X137" s="29" t="n">
        <f aca="false">SUMIFS('Outages (event ledger)'!$H$2:$H$65,'Outages (event ledger)'!$A$2:$A$65,X$2,'Outages (event ledger)'!$E$2:$E$65,"&lt;="&amp;$B137,'Outages (event ledger)'!$G$2:$G$65,"&gt;="&amp;$B137)</f>
        <v>0</v>
      </c>
      <c r="Y137" s="29" t="n">
        <f aca="false">SUMIFS('Outages (event ledger)'!$H$2:$H$65,'Outages (event ledger)'!$A$2:$A$65,Y$2,'Outages (event ledger)'!$E$2:$E$65,"&lt;="&amp;$B137,'Outages (event ledger)'!$G$2:$G$65,"&gt;="&amp;$B137)</f>
        <v>0</v>
      </c>
      <c r="Z137" s="29" t="n">
        <f aca="false">SUMIFS('Outages (event ledger)'!$H$2:$H$65,'Outages (event ledger)'!$A$2:$A$65,Z$2,'Outages (event ledger)'!$E$2:$E$65,"&lt;="&amp;$B137,'Outages (event ledger)'!$G$2:$G$65,"&gt;="&amp;$B137)</f>
        <v>0</v>
      </c>
      <c r="AA137" s="29" t="n">
        <f aca="false">SUMIFS('Outages (event ledger)'!$H$2:$H$65,'Outages (event ledger)'!$A$2:$A$65,AA$2,'Outages (event ledger)'!$E$2:$E$65,"&lt;="&amp;$B137,'Outages (event ledger)'!$G$2:$G$65,"&gt;="&amp;$B137)</f>
        <v>0</v>
      </c>
      <c r="AB137" s="29" t="n">
        <f aca="false">SUMIFS('Outages (event ledger)'!$H$2:$H$65,'Outages (event ledger)'!$A$2:$A$65,AB$2,'Outages (event ledger)'!$E$2:$E$65,"&lt;="&amp;$B137,'Outages (event ledger)'!$G$2:$G$65,"&gt;="&amp;$B137)</f>
        <v>8</v>
      </c>
      <c r="AC137" s="29" t="n">
        <f aca="false">SUMIFS('Outages (event ledger)'!$H$2:$H$65,'Outages (event ledger)'!$A$2:$A$65,AC$2,'Outages (event ledger)'!$E$2:$E$65,"&lt;="&amp;$B137,'Outages (event ledger)'!$G$2:$G$65,"&gt;="&amp;$B137)</f>
        <v>0</v>
      </c>
      <c r="AD137" s="29" t="n">
        <f aca="false">SUMIFS('Outages (event ledger)'!$H$2:$H$65,'Outages (event ledger)'!$A$2:$A$65,AD$2,'Outages (event ledger)'!$E$2:$E$65,"&lt;="&amp;$B137,'Outages (event ledger)'!$G$2:$G$65,"&gt;="&amp;$B137)</f>
        <v>0</v>
      </c>
      <c r="AE137" s="29" t="n">
        <f aca="false">SUMIFS('Outages (event ledger)'!$H$2:$H$65,'Outages (event ledger)'!$A$2:$A$65,AE$2,'Outages (event ledger)'!$E$2:$E$65,"&lt;="&amp;$B137,'Outages (event ledger)'!$G$2:$G$65,"&gt;="&amp;$B137)</f>
        <v>0</v>
      </c>
      <c r="AF137" s="29" t="n">
        <f aca="false">SUMIFS('Outages (event ledger)'!$H$2:$H$65,'Outages (event ledger)'!$A$2:$A$65,AF$2,'Outages (event ledger)'!$E$2:$E$65,"&lt;="&amp;$B137,'Outages (event ledger)'!$G$2:$G$65,"&gt;="&amp;$B137)</f>
        <v>0</v>
      </c>
      <c r="AG137" s="29" t="n">
        <f aca="false">SUMIFS('Outages (event ledger)'!$H$2:$H$65,'Outages (event ledger)'!$A$2:$A$65,AG$2,'Outages (event ledger)'!$E$2:$E$65,"&lt;="&amp;$B137,'Outages (event ledger)'!$G$2:$G$65,"&gt;="&amp;$B137)</f>
        <v>0</v>
      </c>
      <c r="AH137" s="29" t="n">
        <f aca="false">SUMIFS('Outages (event ledger)'!$H$2:$H$65,'Outages (event ledger)'!$A$2:$A$65,AH$2,'Outages (event ledger)'!$E$2:$E$65,"&lt;="&amp;$B137,'Outages (event ledger)'!$G$2:$G$65,"&gt;="&amp;$B137)</f>
        <v>0</v>
      </c>
      <c r="AI137" s="29" t="n">
        <f aca="false">SUMIFS('Outages (event ledger)'!$H$2:$H$65,'Outages (event ledger)'!$A$2:$A$65,AI$2,'Outages (event ledger)'!$E$2:$E$65,"&lt;="&amp;$B137,'Outages (event ledger)'!$G$2:$G$65,"&gt;="&amp;$B137)</f>
        <v>0</v>
      </c>
      <c r="AJ137" s="29" t="n">
        <f aca="false">SUMIFS('Outages (event ledger)'!$H$2:$H$65,'Outages (event ledger)'!$A$2:$A$65,AJ$2,'Outages (event ledger)'!$E$2:$E$65,"&lt;="&amp;$B137,'Outages (event ledger)'!$G$2:$G$65,"&gt;="&amp;$B137)</f>
        <v>0</v>
      </c>
      <c r="AK137" s="29" t="n">
        <f aca="false">SUMIFS('Outages (event ledger)'!$H$2:$H$65,'Outages (event ledger)'!$A$2:$A$65,AK$2,'Outages (event ledger)'!$E$2:$E$65,"&lt;="&amp;$B137,'Outages (event ledger)'!$G$2:$G$65,"&gt;="&amp;$B137)</f>
        <v>0</v>
      </c>
      <c r="AL137" s="29" t="n">
        <f aca="false">SUMIFS('Outages (event ledger)'!$H$2:$H$65,'Outages (event ledger)'!$A$2:$A$65,AL$2,'Outages (event ledger)'!$E$2:$E$65,"&lt;="&amp;$B137,'Outages (event ledger)'!$G$2:$G$65,"&gt;="&amp;$B137)</f>
        <v>4</v>
      </c>
      <c r="AM137" s="29" t="n">
        <f aca="false">SUMIFS('Outages (event ledger)'!$H$2:$H$65,'Outages (event ledger)'!$A$2:$A$65,AM$2,'Outages (event ledger)'!$E$2:$E$65,"&lt;="&amp;$B137,'Outages (event ledger)'!$G$2:$G$65,"&gt;="&amp;$B137)</f>
        <v>0</v>
      </c>
      <c r="AN137" s="29" t="n">
        <f aca="false">SUMIFS('Outages (event ledger)'!$H$2:$H$65,'Outages (event ledger)'!$A$2:$A$65,AN$2,'Outages (event ledger)'!$E$2:$E$65,"&lt;="&amp;$B137,'Outages (event ledger)'!$G$2:$G$65,"&gt;="&amp;$B137)</f>
        <v>4.3</v>
      </c>
      <c r="AO137" s="29" t="n">
        <f aca="false">SUMIFS('Outages (event ledger)'!$H$2:$H$65,'Outages (event ledger)'!$A$2:$A$65,AO$2,'Outages (event ledger)'!$E$2:$E$65,"&lt;="&amp;$B137,'Outages (event ledger)'!$G$2:$G$65,"&gt;="&amp;$B137)</f>
        <v>0</v>
      </c>
      <c r="AP137" s="29" t="n">
        <f aca="false">SUMIFS('Outages (event ledger)'!$H$2:$H$65,'Outages (event ledger)'!$A$2:$A$65,AP$2,'Outages (event ledger)'!$E$2:$E$65,"&lt;="&amp;$B137,'Outages (event ledger)'!$G$2:$G$65,"&gt;="&amp;$B137)</f>
        <v>0</v>
      </c>
      <c r="AQ137" s="29" t="n">
        <f aca="false">SUMIFS('Outages (event ledger)'!$H$2:$H$65,'Outages (event ledger)'!$A$2:$A$65,AQ$2,'Outages (event ledger)'!$E$2:$E$65,"&lt;="&amp;$B137,'Outages (event ledger)'!$G$2:$G$65,"&gt;="&amp;$B137)</f>
        <v>0</v>
      </c>
      <c r="AR137" s="29" t="n">
        <f aca="false">SUMIFS('Outages (event ledger)'!$H$2:$H$65,'Outages (event ledger)'!$A$2:$A$65,AR$2,'Outages (event ledger)'!$E$2:$E$65,"&lt;="&amp;$B137,'Outages (event ledger)'!$G$2:$G$65,"&gt;="&amp;$B137)</f>
        <v>0</v>
      </c>
      <c r="AS137" s="29" t="n">
        <f aca="false">SUMIFS('Outages (event ledger)'!$H$2:$H$65,'Outages (event ledger)'!$A$2:$A$65,AS$2,'Outages (event ledger)'!$E$2:$E$65,"&lt;="&amp;$B137,'Outages (event ledger)'!$G$2:$G$65,"&gt;="&amp;$B137)</f>
        <v>0</v>
      </c>
      <c r="AT137" s="29" t="n">
        <f aca="false">SUMIFS('Outages (event ledger)'!$H$2:$H$65,'Outages (event ledger)'!$A$2:$A$65,AT$2,'Outages (event ledger)'!$E$2:$E$65,"&lt;="&amp;$B137,'Outages (event ledger)'!$G$2:$G$65,"&gt;="&amp;$B137)</f>
        <v>0</v>
      </c>
      <c r="AU137" s="29" t="n">
        <f aca="false">SUMIFS('Outages (event ledger)'!$H$2:$H$65,'Outages (event ledger)'!$A$2:$A$65,AU$2,'Outages (event ledger)'!$E$2:$E$65,"&lt;="&amp;$B137,'Outages (event ledger)'!$G$2:$G$65,"&gt;="&amp;$B137)</f>
        <v>0</v>
      </c>
      <c r="AV137" s="29" t="n">
        <f aca="false">SUMIFS('Outages (event ledger)'!$H$2:$H$65,'Outages (event ledger)'!$A$2:$A$65,AV$2,'Outages (event ledger)'!$E$2:$E$65,"&lt;="&amp;$B137,'Outages (event ledger)'!$G$2:$G$65,"&gt;="&amp;$B137)</f>
        <v>0</v>
      </c>
      <c r="AW137" s="29" t="n">
        <f aca="false">SUMIFS('Outages (event ledger)'!$H$2:$H$65,'Outages (event ledger)'!$A$2:$A$65,AW$2,'Outages (event ledger)'!$E$2:$E$65,"&lt;="&amp;$B137,'Outages (event ledger)'!$G$2:$G$65,"&gt;="&amp;$B137)</f>
        <v>0</v>
      </c>
      <c r="AX137" s="29" t="n">
        <f aca="false">SUMIFS('Outages (event ledger)'!$H$2:$H$65,'Outages (event ledger)'!$A$2:$A$65,AX$2,'Outages (event ledger)'!$E$2:$E$65,"&lt;="&amp;$B137,'Outages (event ledger)'!$G$2:$G$65,"&gt;="&amp;$B137)</f>
        <v>6.6</v>
      </c>
      <c r="AY137" s="29" t="n">
        <f aca="false">SUMIFS('Outages (event ledger)'!$H$2:$H$65,'Outages (event ledger)'!$A$2:$A$65,AY$2,'Outages (event ledger)'!$E$2:$E$65,"&lt;="&amp;$B137,'Outages (event ledger)'!$G$2:$G$65,"&gt;="&amp;$B137)</f>
        <v>0</v>
      </c>
      <c r="AZ137" s="29" t="n">
        <f aca="false">SUMIFS('Outages (event ledger)'!$H$2:$H$65,'Outages (event ledger)'!$A$2:$A$65,AZ$2,'Outages (event ledger)'!$E$2:$E$65,"&lt;="&amp;$B137,'Outages (event ledger)'!$G$2:$G$65,"&gt;="&amp;$B137)</f>
        <v>0</v>
      </c>
      <c r="BA137" s="29" t="n">
        <f aca="false">SUMIFS('Outages (event ledger)'!$H$2:$H$65,'Outages (event ledger)'!$A$2:$A$65,BA$2,'Outages (event ledger)'!$E$2:$E$65,"&lt;="&amp;$B137,'Outages (event ledger)'!$G$2:$G$65,"&gt;="&amp;$B137)</f>
        <v>0</v>
      </c>
      <c r="BB137" s="29" t="n">
        <f aca="false">SUMIFS('Outages (event ledger)'!$H$2:$H$65,'Outages (event ledger)'!$A$2:$A$65,BB$2,'Outages (event ledger)'!$E$2:$E$65,"&lt;="&amp;$B137,'Outages (event ledger)'!$G$2:$G$65,"&gt;="&amp;$B137)</f>
        <v>0</v>
      </c>
      <c r="BC137" s="29" t="n">
        <f aca="false">SUMIFS('Outages (event ledger)'!$H$2:$H$65,'Outages (event ledger)'!$A$2:$A$65,BC$2,'Outages (event ledger)'!$E$2:$E$65,"&lt;="&amp;$B137,'Outages (event ledger)'!$G$2:$G$65,"&gt;="&amp;$B137)</f>
        <v>0</v>
      </c>
      <c r="BD137" s="29" t="n">
        <f aca="false">SUMIFS('Outages (event ledger)'!$H$2:$H$65,'Outages (event ledger)'!$A$2:$A$65,BD$2,'Outages (event ledger)'!$E$2:$E$65,"&lt;="&amp;$B137,'Outages (event ledger)'!$G$2:$G$65,"&gt;="&amp;$B137)</f>
        <v>0</v>
      </c>
      <c r="BE137" s="29" t="n">
        <f aca="false">SUMIFS('Outages (event ledger)'!$H$2:$H$65,'Outages (event ledger)'!$A$2:$A$65,BE$2,'Outages (event ledger)'!$E$2:$E$65,"&lt;="&amp;$B137,'Outages (event ledger)'!$G$2:$G$65,"&gt;="&amp;$B137)</f>
        <v>0</v>
      </c>
      <c r="BF137" s="29" t="n">
        <f aca="false">SUMIFS('Outages (event ledger)'!$H$2:$H$65,'Outages (event ledger)'!$A$2:$A$65,BF$2,'Outages (event ledger)'!$E$2:$E$65,"&lt;="&amp;$B137,'Outages (event ledger)'!$G$2:$G$65,"&gt;="&amp;$B137)</f>
        <v>0</v>
      </c>
      <c r="BG137" s="29" t="n">
        <f aca="false">SUMIFS('Outages (event ledger)'!$H$2:$H$65,'Outages (event ledger)'!$A$2:$A$65,BG$2,'Outages (event ledger)'!$E$2:$E$65,"&lt;="&amp;$B137,'Outages (event ledger)'!$G$2:$G$65,"&gt;="&amp;$B137)</f>
        <v>0</v>
      </c>
      <c r="BH137" s="29" t="n">
        <f aca="false">SUMIFS('Outages (event ledger)'!$H$2:$H$65,'Outages (event ledger)'!$A$2:$A$65,BH$2,'Outages (event ledger)'!$E$2:$E$65,"&lt;="&amp;$B137,'Outages (event ledger)'!$G$2:$G$65,"&gt;="&amp;$B137)</f>
        <v>0</v>
      </c>
      <c r="BI137" s="29" t="n">
        <f aca="false">SUMIFS('Outages (event ledger)'!$H$2:$H$65,'Outages (event ledger)'!$A$2:$A$65,BI$2,'Outages (event ledger)'!$E$2:$E$65,"&lt;="&amp;$B137,'Outages (event ledger)'!$G$2:$G$65,"&gt;="&amp;$B137)</f>
        <v>6.7</v>
      </c>
    </row>
    <row r="138" customFormat="false" ht="15" hidden="false" customHeight="false" outlineLevel="0" collapsed="false">
      <c r="A138" s="27" t="n">
        <v>44287</v>
      </c>
      <c r="B138" s="28" t="n">
        <v>202104</v>
      </c>
      <c r="C138" s="25" t="n">
        <f aca="false">SUM(D138:BI138)</f>
        <v>29.6</v>
      </c>
      <c r="D138" s="29" t="n">
        <f aca="false">SUMIFS('Outages (event ledger)'!$H$2:$H$65,'Outages (event ledger)'!$A$2:$A$65,D$2,'Outages (event ledger)'!$E$2:$E$65,"&lt;="&amp;$B138,'Outages (event ledger)'!$G$2:$G$65,"&gt;="&amp;$B138)</f>
        <v>0</v>
      </c>
      <c r="E138" s="29" t="n">
        <f aca="false">SUMIFS('Outages (event ledger)'!$H$2:$H$65,'Outages (event ledger)'!$A$2:$A$65,E$2,'Outages (event ledger)'!$E$2:$E$65,"&lt;="&amp;$B138,'Outages (event ledger)'!$G$2:$G$65,"&gt;="&amp;$B138)</f>
        <v>0</v>
      </c>
      <c r="F138" s="29" t="n">
        <f aca="false">SUMIFS('Outages (event ledger)'!$H$2:$H$65,'Outages (event ledger)'!$A$2:$A$65,F$2,'Outages (event ledger)'!$E$2:$E$65,"&lt;="&amp;$B138,'Outages (event ledger)'!$G$2:$G$65,"&gt;="&amp;$B138)</f>
        <v>0</v>
      </c>
      <c r="G138" s="29" t="n">
        <f aca="false">SUMIFS('Outages (event ledger)'!$H$2:$H$65,'Outages (event ledger)'!$A$2:$A$65,G$2,'Outages (event ledger)'!$E$2:$E$65,"&lt;="&amp;$B138,'Outages (event ledger)'!$G$2:$G$65,"&gt;="&amp;$B138)</f>
        <v>0</v>
      </c>
      <c r="H138" s="29" t="n">
        <f aca="false">SUMIFS('Outages (event ledger)'!$H$2:$H$65,'Outages (event ledger)'!$A$2:$A$65,H$2,'Outages (event ledger)'!$E$2:$E$65,"&lt;="&amp;$B138,'Outages (event ledger)'!$G$2:$G$65,"&gt;="&amp;$B138)</f>
        <v>0</v>
      </c>
      <c r="I138" s="29" t="n">
        <f aca="false">SUMIFS('Outages (event ledger)'!$H$2:$H$65,'Outages (event ledger)'!$A$2:$A$65,I$2,'Outages (event ledger)'!$E$2:$E$65,"&lt;="&amp;$B138,'Outages (event ledger)'!$G$2:$G$65,"&gt;="&amp;$B138)</f>
        <v>0</v>
      </c>
      <c r="J138" s="29" t="n">
        <f aca="false">SUMIFS('Outages (event ledger)'!$H$2:$H$65,'Outages (event ledger)'!$A$2:$A$65,J$2,'Outages (event ledger)'!$E$2:$E$65,"&lt;="&amp;$B138,'Outages (event ledger)'!$G$2:$G$65,"&gt;="&amp;$B138)</f>
        <v>0</v>
      </c>
      <c r="K138" s="29" t="n">
        <f aca="false">SUMIFS('Outages (event ledger)'!$H$2:$H$65,'Outages (event ledger)'!$A$2:$A$65,K$2,'Outages (event ledger)'!$E$2:$E$65,"&lt;="&amp;$B138,'Outages (event ledger)'!$G$2:$G$65,"&gt;="&amp;$B138)</f>
        <v>0</v>
      </c>
      <c r="L138" s="29" t="n">
        <f aca="false">SUMIFS('Outages (event ledger)'!$H$2:$H$65,'Outages (event ledger)'!$A$2:$A$65,L$2,'Outages (event ledger)'!$E$2:$E$65,"&lt;="&amp;$B138,'Outages (event ledger)'!$G$2:$G$65,"&gt;="&amp;$B138)</f>
        <v>0</v>
      </c>
      <c r="M138" s="29" t="n">
        <f aca="false">SUMIFS('Outages (event ledger)'!$H$2:$H$65,'Outages (event ledger)'!$A$2:$A$65,M$2,'Outages (event ledger)'!$E$2:$E$65,"&lt;="&amp;$B138,'Outages (event ledger)'!$G$2:$G$65,"&gt;="&amp;$B138)</f>
        <v>0</v>
      </c>
      <c r="N138" s="29" t="n">
        <f aca="false">SUMIFS('Outages (event ledger)'!$H$2:$H$65,'Outages (event ledger)'!$A$2:$A$65,N$2,'Outages (event ledger)'!$E$2:$E$65,"&lt;="&amp;$B138,'Outages (event ledger)'!$G$2:$G$65,"&gt;="&amp;$B138)</f>
        <v>0</v>
      </c>
      <c r="O138" s="29" t="n">
        <f aca="false">SUMIFS('Outages (event ledger)'!$H$2:$H$65,'Outages (event ledger)'!$A$2:$A$65,O$2,'Outages (event ledger)'!$E$2:$E$65,"&lt;="&amp;$B138,'Outages (event ledger)'!$G$2:$G$65,"&gt;="&amp;$B138)</f>
        <v>0</v>
      </c>
      <c r="P138" s="29" t="n">
        <f aca="false">SUMIFS('Outages (event ledger)'!$H$2:$H$65,'Outages (event ledger)'!$A$2:$A$65,P$2,'Outages (event ledger)'!$E$2:$E$65,"&lt;="&amp;$B138,'Outages (event ledger)'!$G$2:$G$65,"&gt;="&amp;$B138)</f>
        <v>0</v>
      </c>
      <c r="Q138" s="29" t="n">
        <f aca="false">SUMIFS('Outages (event ledger)'!$H$2:$H$65,'Outages (event ledger)'!$A$2:$A$65,Q$2,'Outages (event ledger)'!$E$2:$E$65,"&lt;="&amp;$B138,'Outages (event ledger)'!$G$2:$G$65,"&gt;="&amp;$B138)</f>
        <v>0</v>
      </c>
      <c r="R138" s="29" t="n">
        <f aca="false">SUMIFS('Outages (event ledger)'!$H$2:$H$65,'Outages (event ledger)'!$A$2:$A$65,R$2,'Outages (event ledger)'!$E$2:$E$65,"&lt;="&amp;$B138,'Outages (event ledger)'!$G$2:$G$65,"&gt;="&amp;$B138)</f>
        <v>0</v>
      </c>
      <c r="S138" s="29" t="n">
        <f aca="false">SUMIFS('Outages (event ledger)'!$H$2:$H$65,'Outages (event ledger)'!$A$2:$A$65,S$2,'Outages (event ledger)'!$E$2:$E$65,"&lt;="&amp;$B138,'Outages (event ledger)'!$G$2:$G$65,"&gt;="&amp;$B138)</f>
        <v>0</v>
      </c>
      <c r="T138" s="29" t="n">
        <f aca="false">SUMIFS('Outages (event ledger)'!$H$2:$H$65,'Outages (event ledger)'!$A$2:$A$65,T$2,'Outages (event ledger)'!$E$2:$E$65,"&lt;="&amp;$B138,'Outages (event ledger)'!$G$2:$G$65,"&gt;="&amp;$B138)</f>
        <v>0</v>
      </c>
      <c r="U138" s="29" t="n">
        <f aca="false">SUMIFS('Outages (event ledger)'!$H$2:$H$65,'Outages (event ledger)'!$A$2:$A$65,U$2,'Outages (event ledger)'!$E$2:$E$65,"&lt;="&amp;$B138,'Outages (event ledger)'!$G$2:$G$65,"&gt;="&amp;$B138)</f>
        <v>0</v>
      </c>
      <c r="V138" s="29" t="n">
        <f aca="false">SUMIFS('Outages (event ledger)'!$H$2:$H$65,'Outages (event ledger)'!$A$2:$A$65,V$2,'Outages (event ledger)'!$E$2:$E$65,"&lt;="&amp;$B138,'Outages (event ledger)'!$G$2:$G$65,"&gt;="&amp;$B138)</f>
        <v>0</v>
      </c>
      <c r="W138" s="29" t="n">
        <f aca="false">SUMIFS('Outages (event ledger)'!$H$2:$H$65,'Outages (event ledger)'!$A$2:$A$65,W$2,'Outages (event ledger)'!$E$2:$E$65,"&lt;="&amp;$B138,'Outages (event ledger)'!$G$2:$G$65,"&gt;="&amp;$B138)</f>
        <v>0</v>
      </c>
      <c r="X138" s="29" t="n">
        <f aca="false">SUMIFS('Outages (event ledger)'!$H$2:$H$65,'Outages (event ledger)'!$A$2:$A$65,X$2,'Outages (event ledger)'!$E$2:$E$65,"&lt;="&amp;$B138,'Outages (event ledger)'!$G$2:$G$65,"&gt;="&amp;$B138)</f>
        <v>0</v>
      </c>
      <c r="Y138" s="29" t="n">
        <f aca="false">SUMIFS('Outages (event ledger)'!$H$2:$H$65,'Outages (event ledger)'!$A$2:$A$65,Y$2,'Outages (event ledger)'!$E$2:$E$65,"&lt;="&amp;$B138,'Outages (event ledger)'!$G$2:$G$65,"&gt;="&amp;$B138)</f>
        <v>0</v>
      </c>
      <c r="Z138" s="29" t="n">
        <f aca="false">SUMIFS('Outages (event ledger)'!$H$2:$H$65,'Outages (event ledger)'!$A$2:$A$65,Z$2,'Outages (event ledger)'!$E$2:$E$65,"&lt;="&amp;$B138,'Outages (event ledger)'!$G$2:$G$65,"&gt;="&amp;$B138)</f>
        <v>0</v>
      </c>
      <c r="AA138" s="29" t="n">
        <f aca="false">SUMIFS('Outages (event ledger)'!$H$2:$H$65,'Outages (event ledger)'!$A$2:$A$65,AA$2,'Outages (event ledger)'!$E$2:$E$65,"&lt;="&amp;$B138,'Outages (event ledger)'!$G$2:$G$65,"&gt;="&amp;$B138)</f>
        <v>0</v>
      </c>
      <c r="AB138" s="29" t="n">
        <f aca="false">SUMIFS('Outages (event ledger)'!$H$2:$H$65,'Outages (event ledger)'!$A$2:$A$65,AB$2,'Outages (event ledger)'!$E$2:$E$65,"&lt;="&amp;$B138,'Outages (event ledger)'!$G$2:$G$65,"&gt;="&amp;$B138)</f>
        <v>8</v>
      </c>
      <c r="AC138" s="29" t="n">
        <f aca="false">SUMIFS('Outages (event ledger)'!$H$2:$H$65,'Outages (event ledger)'!$A$2:$A$65,AC$2,'Outages (event ledger)'!$E$2:$E$65,"&lt;="&amp;$B138,'Outages (event ledger)'!$G$2:$G$65,"&gt;="&amp;$B138)</f>
        <v>0</v>
      </c>
      <c r="AD138" s="29" t="n">
        <f aca="false">SUMIFS('Outages (event ledger)'!$H$2:$H$65,'Outages (event ledger)'!$A$2:$A$65,AD$2,'Outages (event ledger)'!$E$2:$E$65,"&lt;="&amp;$B138,'Outages (event ledger)'!$G$2:$G$65,"&gt;="&amp;$B138)</f>
        <v>0</v>
      </c>
      <c r="AE138" s="29" t="n">
        <f aca="false">SUMIFS('Outages (event ledger)'!$H$2:$H$65,'Outages (event ledger)'!$A$2:$A$65,AE$2,'Outages (event ledger)'!$E$2:$E$65,"&lt;="&amp;$B138,'Outages (event ledger)'!$G$2:$G$65,"&gt;="&amp;$B138)</f>
        <v>0</v>
      </c>
      <c r="AF138" s="29" t="n">
        <f aca="false">SUMIFS('Outages (event ledger)'!$H$2:$H$65,'Outages (event ledger)'!$A$2:$A$65,AF$2,'Outages (event ledger)'!$E$2:$E$65,"&lt;="&amp;$B138,'Outages (event ledger)'!$G$2:$G$65,"&gt;="&amp;$B138)</f>
        <v>0</v>
      </c>
      <c r="AG138" s="29" t="n">
        <f aca="false">SUMIFS('Outages (event ledger)'!$H$2:$H$65,'Outages (event ledger)'!$A$2:$A$65,AG$2,'Outages (event ledger)'!$E$2:$E$65,"&lt;="&amp;$B138,'Outages (event ledger)'!$G$2:$G$65,"&gt;="&amp;$B138)</f>
        <v>0</v>
      </c>
      <c r="AH138" s="29" t="n">
        <f aca="false">SUMIFS('Outages (event ledger)'!$H$2:$H$65,'Outages (event ledger)'!$A$2:$A$65,AH$2,'Outages (event ledger)'!$E$2:$E$65,"&lt;="&amp;$B138,'Outages (event ledger)'!$G$2:$G$65,"&gt;="&amp;$B138)</f>
        <v>0</v>
      </c>
      <c r="AI138" s="29" t="n">
        <f aca="false">SUMIFS('Outages (event ledger)'!$H$2:$H$65,'Outages (event ledger)'!$A$2:$A$65,AI$2,'Outages (event ledger)'!$E$2:$E$65,"&lt;="&amp;$B138,'Outages (event ledger)'!$G$2:$G$65,"&gt;="&amp;$B138)</f>
        <v>0</v>
      </c>
      <c r="AJ138" s="29" t="n">
        <f aca="false">SUMIFS('Outages (event ledger)'!$H$2:$H$65,'Outages (event ledger)'!$A$2:$A$65,AJ$2,'Outages (event ledger)'!$E$2:$E$65,"&lt;="&amp;$B138,'Outages (event ledger)'!$G$2:$G$65,"&gt;="&amp;$B138)</f>
        <v>0</v>
      </c>
      <c r="AK138" s="29" t="n">
        <f aca="false">SUMIFS('Outages (event ledger)'!$H$2:$H$65,'Outages (event ledger)'!$A$2:$A$65,AK$2,'Outages (event ledger)'!$E$2:$E$65,"&lt;="&amp;$B138,'Outages (event ledger)'!$G$2:$G$65,"&gt;="&amp;$B138)</f>
        <v>0</v>
      </c>
      <c r="AL138" s="29" t="n">
        <f aca="false">SUMIFS('Outages (event ledger)'!$H$2:$H$65,'Outages (event ledger)'!$A$2:$A$65,AL$2,'Outages (event ledger)'!$E$2:$E$65,"&lt;="&amp;$B138,'Outages (event ledger)'!$G$2:$G$65,"&gt;="&amp;$B138)</f>
        <v>4</v>
      </c>
      <c r="AM138" s="29" t="n">
        <f aca="false">SUMIFS('Outages (event ledger)'!$H$2:$H$65,'Outages (event ledger)'!$A$2:$A$65,AM$2,'Outages (event ledger)'!$E$2:$E$65,"&lt;="&amp;$B138,'Outages (event ledger)'!$G$2:$G$65,"&gt;="&amp;$B138)</f>
        <v>0</v>
      </c>
      <c r="AN138" s="29" t="n">
        <f aca="false">SUMIFS('Outages (event ledger)'!$H$2:$H$65,'Outages (event ledger)'!$A$2:$A$65,AN$2,'Outages (event ledger)'!$E$2:$E$65,"&lt;="&amp;$B138,'Outages (event ledger)'!$G$2:$G$65,"&gt;="&amp;$B138)</f>
        <v>4.3</v>
      </c>
      <c r="AO138" s="29" t="n">
        <f aca="false">SUMIFS('Outages (event ledger)'!$H$2:$H$65,'Outages (event ledger)'!$A$2:$A$65,AO$2,'Outages (event ledger)'!$E$2:$E$65,"&lt;="&amp;$B138,'Outages (event ledger)'!$G$2:$G$65,"&gt;="&amp;$B138)</f>
        <v>0</v>
      </c>
      <c r="AP138" s="29" t="n">
        <f aca="false">SUMIFS('Outages (event ledger)'!$H$2:$H$65,'Outages (event ledger)'!$A$2:$A$65,AP$2,'Outages (event ledger)'!$E$2:$E$65,"&lt;="&amp;$B138,'Outages (event ledger)'!$G$2:$G$65,"&gt;="&amp;$B138)</f>
        <v>0</v>
      </c>
      <c r="AQ138" s="29" t="n">
        <f aca="false">SUMIFS('Outages (event ledger)'!$H$2:$H$65,'Outages (event ledger)'!$A$2:$A$65,AQ$2,'Outages (event ledger)'!$E$2:$E$65,"&lt;="&amp;$B138,'Outages (event ledger)'!$G$2:$G$65,"&gt;="&amp;$B138)</f>
        <v>0</v>
      </c>
      <c r="AR138" s="29" t="n">
        <f aca="false">SUMIFS('Outages (event ledger)'!$H$2:$H$65,'Outages (event ledger)'!$A$2:$A$65,AR$2,'Outages (event ledger)'!$E$2:$E$65,"&lt;="&amp;$B138,'Outages (event ledger)'!$G$2:$G$65,"&gt;="&amp;$B138)</f>
        <v>0</v>
      </c>
      <c r="AS138" s="29" t="n">
        <f aca="false">SUMIFS('Outages (event ledger)'!$H$2:$H$65,'Outages (event ledger)'!$A$2:$A$65,AS$2,'Outages (event ledger)'!$E$2:$E$65,"&lt;="&amp;$B138,'Outages (event ledger)'!$G$2:$G$65,"&gt;="&amp;$B138)</f>
        <v>0</v>
      </c>
      <c r="AT138" s="29" t="n">
        <f aca="false">SUMIFS('Outages (event ledger)'!$H$2:$H$65,'Outages (event ledger)'!$A$2:$A$65,AT$2,'Outages (event ledger)'!$E$2:$E$65,"&lt;="&amp;$B138,'Outages (event ledger)'!$G$2:$G$65,"&gt;="&amp;$B138)</f>
        <v>0</v>
      </c>
      <c r="AU138" s="29" t="n">
        <f aca="false">SUMIFS('Outages (event ledger)'!$H$2:$H$65,'Outages (event ledger)'!$A$2:$A$65,AU$2,'Outages (event ledger)'!$E$2:$E$65,"&lt;="&amp;$B138,'Outages (event ledger)'!$G$2:$G$65,"&gt;="&amp;$B138)</f>
        <v>0</v>
      </c>
      <c r="AV138" s="29" t="n">
        <f aca="false">SUMIFS('Outages (event ledger)'!$H$2:$H$65,'Outages (event ledger)'!$A$2:$A$65,AV$2,'Outages (event ledger)'!$E$2:$E$65,"&lt;="&amp;$B138,'Outages (event ledger)'!$G$2:$G$65,"&gt;="&amp;$B138)</f>
        <v>0</v>
      </c>
      <c r="AW138" s="29" t="n">
        <f aca="false">SUMIFS('Outages (event ledger)'!$H$2:$H$65,'Outages (event ledger)'!$A$2:$A$65,AW$2,'Outages (event ledger)'!$E$2:$E$65,"&lt;="&amp;$B138,'Outages (event ledger)'!$G$2:$G$65,"&gt;="&amp;$B138)</f>
        <v>0</v>
      </c>
      <c r="AX138" s="29" t="n">
        <f aca="false">SUMIFS('Outages (event ledger)'!$H$2:$H$65,'Outages (event ledger)'!$A$2:$A$65,AX$2,'Outages (event ledger)'!$E$2:$E$65,"&lt;="&amp;$B138,'Outages (event ledger)'!$G$2:$G$65,"&gt;="&amp;$B138)</f>
        <v>6.6</v>
      </c>
      <c r="AY138" s="29" t="n">
        <f aca="false">SUMIFS('Outages (event ledger)'!$H$2:$H$65,'Outages (event ledger)'!$A$2:$A$65,AY$2,'Outages (event ledger)'!$E$2:$E$65,"&lt;="&amp;$B138,'Outages (event ledger)'!$G$2:$G$65,"&gt;="&amp;$B138)</f>
        <v>0</v>
      </c>
      <c r="AZ138" s="29" t="n">
        <f aca="false">SUMIFS('Outages (event ledger)'!$H$2:$H$65,'Outages (event ledger)'!$A$2:$A$65,AZ$2,'Outages (event ledger)'!$E$2:$E$65,"&lt;="&amp;$B138,'Outages (event ledger)'!$G$2:$G$65,"&gt;="&amp;$B138)</f>
        <v>0</v>
      </c>
      <c r="BA138" s="29" t="n">
        <f aca="false">SUMIFS('Outages (event ledger)'!$H$2:$H$65,'Outages (event ledger)'!$A$2:$A$65,BA$2,'Outages (event ledger)'!$E$2:$E$65,"&lt;="&amp;$B138,'Outages (event ledger)'!$G$2:$G$65,"&gt;="&amp;$B138)</f>
        <v>0</v>
      </c>
      <c r="BB138" s="29" t="n">
        <f aca="false">SUMIFS('Outages (event ledger)'!$H$2:$H$65,'Outages (event ledger)'!$A$2:$A$65,BB$2,'Outages (event ledger)'!$E$2:$E$65,"&lt;="&amp;$B138,'Outages (event ledger)'!$G$2:$G$65,"&gt;="&amp;$B138)</f>
        <v>0</v>
      </c>
      <c r="BC138" s="29" t="n">
        <f aca="false">SUMIFS('Outages (event ledger)'!$H$2:$H$65,'Outages (event ledger)'!$A$2:$A$65,BC$2,'Outages (event ledger)'!$E$2:$E$65,"&lt;="&amp;$B138,'Outages (event ledger)'!$G$2:$G$65,"&gt;="&amp;$B138)</f>
        <v>0</v>
      </c>
      <c r="BD138" s="29" t="n">
        <f aca="false">SUMIFS('Outages (event ledger)'!$H$2:$H$65,'Outages (event ledger)'!$A$2:$A$65,BD$2,'Outages (event ledger)'!$E$2:$E$65,"&lt;="&amp;$B138,'Outages (event ledger)'!$G$2:$G$65,"&gt;="&amp;$B138)</f>
        <v>0</v>
      </c>
      <c r="BE138" s="29" t="n">
        <f aca="false">SUMIFS('Outages (event ledger)'!$H$2:$H$65,'Outages (event ledger)'!$A$2:$A$65,BE$2,'Outages (event ledger)'!$E$2:$E$65,"&lt;="&amp;$B138,'Outages (event ledger)'!$G$2:$G$65,"&gt;="&amp;$B138)</f>
        <v>0</v>
      </c>
      <c r="BF138" s="29" t="n">
        <f aca="false">SUMIFS('Outages (event ledger)'!$H$2:$H$65,'Outages (event ledger)'!$A$2:$A$65,BF$2,'Outages (event ledger)'!$E$2:$E$65,"&lt;="&amp;$B138,'Outages (event ledger)'!$G$2:$G$65,"&gt;="&amp;$B138)</f>
        <v>0</v>
      </c>
      <c r="BG138" s="29" t="n">
        <f aca="false">SUMIFS('Outages (event ledger)'!$H$2:$H$65,'Outages (event ledger)'!$A$2:$A$65,BG$2,'Outages (event ledger)'!$E$2:$E$65,"&lt;="&amp;$B138,'Outages (event ledger)'!$G$2:$G$65,"&gt;="&amp;$B138)</f>
        <v>0</v>
      </c>
      <c r="BH138" s="29" t="n">
        <f aca="false">SUMIFS('Outages (event ledger)'!$H$2:$H$65,'Outages (event ledger)'!$A$2:$A$65,BH$2,'Outages (event ledger)'!$E$2:$E$65,"&lt;="&amp;$B138,'Outages (event ledger)'!$G$2:$G$65,"&gt;="&amp;$B138)</f>
        <v>0</v>
      </c>
      <c r="BI138" s="29" t="n">
        <f aca="false">SUMIFS('Outages (event ledger)'!$H$2:$H$65,'Outages (event ledger)'!$A$2:$A$65,BI$2,'Outages (event ledger)'!$E$2:$E$65,"&lt;="&amp;$B138,'Outages (event ledger)'!$G$2:$G$65,"&gt;="&amp;$B138)</f>
        <v>6.7</v>
      </c>
    </row>
    <row r="139" customFormat="false" ht="15" hidden="false" customHeight="false" outlineLevel="0" collapsed="false">
      <c r="A139" s="27" t="n">
        <v>44317</v>
      </c>
      <c r="B139" s="28" t="n">
        <v>202105</v>
      </c>
      <c r="C139" s="25" t="n">
        <f aca="false">SUM(D139:BI139)</f>
        <v>32.9</v>
      </c>
      <c r="D139" s="29" t="n">
        <f aca="false">SUMIFS('Outages (event ledger)'!$H$2:$H$65,'Outages (event ledger)'!$A$2:$A$65,D$2,'Outages (event ledger)'!$E$2:$E$65,"&lt;="&amp;$B139,'Outages (event ledger)'!$G$2:$G$65,"&gt;="&amp;$B139)</f>
        <v>0</v>
      </c>
      <c r="E139" s="29" t="n">
        <f aca="false">SUMIFS('Outages (event ledger)'!$H$2:$H$65,'Outages (event ledger)'!$A$2:$A$65,E$2,'Outages (event ledger)'!$E$2:$E$65,"&lt;="&amp;$B139,'Outages (event ledger)'!$G$2:$G$65,"&gt;="&amp;$B139)</f>
        <v>0</v>
      </c>
      <c r="F139" s="29" t="n">
        <f aca="false">SUMIFS('Outages (event ledger)'!$H$2:$H$65,'Outages (event ledger)'!$A$2:$A$65,F$2,'Outages (event ledger)'!$E$2:$E$65,"&lt;="&amp;$B139,'Outages (event ledger)'!$G$2:$G$65,"&gt;="&amp;$B139)</f>
        <v>0</v>
      </c>
      <c r="G139" s="29" t="n">
        <f aca="false">SUMIFS('Outages (event ledger)'!$H$2:$H$65,'Outages (event ledger)'!$A$2:$A$65,G$2,'Outages (event ledger)'!$E$2:$E$65,"&lt;="&amp;$B139,'Outages (event ledger)'!$G$2:$G$65,"&gt;="&amp;$B139)</f>
        <v>0</v>
      </c>
      <c r="H139" s="29" t="n">
        <f aca="false">SUMIFS('Outages (event ledger)'!$H$2:$H$65,'Outages (event ledger)'!$A$2:$A$65,H$2,'Outages (event ledger)'!$E$2:$E$65,"&lt;="&amp;$B139,'Outages (event ledger)'!$G$2:$G$65,"&gt;="&amp;$B139)</f>
        <v>0</v>
      </c>
      <c r="I139" s="29" t="n">
        <f aca="false">SUMIFS('Outages (event ledger)'!$H$2:$H$65,'Outages (event ledger)'!$A$2:$A$65,I$2,'Outages (event ledger)'!$E$2:$E$65,"&lt;="&amp;$B139,'Outages (event ledger)'!$G$2:$G$65,"&gt;="&amp;$B139)</f>
        <v>0</v>
      </c>
      <c r="J139" s="29" t="n">
        <f aca="false">SUMIFS('Outages (event ledger)'!$H$2:$H$65,'Outages (event ledger)'!$A$2:$A$65,J$2,'Outages (event ledger)'!$E$2:$E$65,"&lt;="&amp;$B139,'Outages (event ledger)'!$G$2:$G$65,"&gt;="&amp;$B139)</f>
        <v>0</v>
      </c>
      <c r="K139" s="29" t="n">
        <f aca="false">SUMIFS('Outages (event ledger)'!$H$2:$H$65,'Outages (event ledger)'!$A$2:$A$65,K$2,'Outages (event ledger)'!$E$2:$E$65,"&lt;="&amp;$B139,'Outages (event ledger)'!$G$2:$G$65,"&gt;="&amp;$B139)</f>
        <v>0</v>
      </c>
      <c r="L139" s="29" t="n">
        <f aca="false">SUMIFS('Outages (event ledger)'!$H$2:$H$65,'Outages (event ledger)'!$A$2:$A$65,L$2,'Outages (event ledger)'!$E$2:$E$65,"&lt;="&amp;$B139,'Outages (event ledger)'!$G$2:$G$65,"&gt;="&amp;$B139)</f>
        <v>0</v>
      </c>
      <c r="M139" s="29" t="n">
        <f aca="false">SUMIFS('Outages (event ledger)'!$H$2:$H$65,'Outages (event ledger)'!$A$2:$A$65,M$2,'Outages (event ledger)'!$E$2:$E$65,"&lt;="&amp;$B139,'Outages (event ledger)'!$G$2:$G$65,"&gt;="&amp;$B139)</f>
        <v>0</v>
      </c>
      <c r="N139" s="29" t="n">
        <f aca="false">SUMIFS('Outages (event ledger)'!$H$2:$H$65,'Outages (event ledger)'!$A$2:$A$65,N$2,'Outages (event ledger)'!$E$2:$E$65,"&lt;="&amp;$B139,'Outages (event ledger)'!$G$2:$G$65,"&gt;="&amp;$B139)</f>
        <v>0</v>
      </c>
      <c r="O139" s="29" t="n">
        <f aca="false">SUMIFS('Outages (event ledger)'!$H$2:$H$65,'Outages (event ledger)'!$A$2:$A$65,O$2,'Outages (event ledger)'!$E$2:$E$65,"&lt;="&amp;$B139,'Outages (event ledger)'!$G$2:$G$65,"&gt;="&amp;$B139)</f>
        <v>0</v>
      </c>
      <c r="P139" s="29" t="n">
        <f aca="false">SUMIFS('Outages (event ledger)'!$H$2:$H$65,'Outages (event ledger)'!$A$2:$A$65,P$2,'Outages (event ledger)'!$E$2:$E$65,"&lt;="&amp;$B139,'Outages (event ledger)'!$G$2:$G$65,"&gt;="&amp;$B139)</f>
        <v>0</v>
      </c>
      <c r="Q139" s="29" t="n">
        <f aca="false">SUMIFS('Outages (event ledger)'!$H$2:$H$65,'Outages (event ledger)'!$A$2:$A$65,Q$2,'Outages (event ledger)'!$E$2:$E$65,"&lt;="&amp;$B139,'Outages (event ledger)'!$G$2:$G$65,"&gt;="&amp;$B139)</f>
        <v>0</v>
      </c>
      <c r="R139" s="29" t="n">
        <f aca="false">SUMIFS('Outages (event ledger)'!$H$2:$H$65,'Outages (event ledger)'!$A$2:$A$65,R$2,'Outages (event ledger)'!$E$2:$E$65,"&lt;="&amp;$B139,'Outages (event ledger)'!$G$2:$G$65,"&gt;="&amp;$B139)</f>
        <v>0</v>
      </c>
      <c r="S139" s="29" t="n">
        <f aca="false">SUMIFS('Outages (event ledger)'!$H$2:$H$65,'Outages (event ledger)'!$A$2:$A$65,S$2,'Outages (event ledger)'!$E$2:$E$65,"&lt;="&amp;$B139,'Outages (event ledger)'!$G$2:$G$65,"&gt;="&amp;$B139)</f>
        <v>0</v>
      </c>
      <c r="T139" s="29" t="n">
        <f aca="false">SUMIFS('Outages (event ledger)'!$H$2:$H$65,'Outages (event ledger)'!$A$2:$A$65,T$2,'Outages (event ledger)'!$E$2:$E$65,"&lt;="&amp;$B139,'Outages (event ledger)'!$G$2:$G$65,"&gt;="&amp;$B139)</f>
        <v>0</v>
      </c>
      <c r="U139" s="29" t="n">
        <f aca="false">SUMIFS('Outages (event ledger)'!$H$2:$H$65,'Outages (event ledger)'!$A$2:$A$65,U$2,'Outages (event ledger)'!$E$2:$E$65,"&lt;="&amp;$B139,'Outages (event ledger)'!$G$2:$G$65,"&gt;="&amp;$B139)</f>
        <v>0</v>
      </c>
      <c r="V139" s="29" t="n">
        <f aca="false">SUMIFS('Outages (event ledger)'!$H$2:$H$65,'Outages (event ledger)'!$A$2:$A$65,V$2,'Outages (event ledger)'!$E$2:$E$65,"&lt;="&amp;$B139,'Outages (event ledger)'!$G$2:$G$65,"&gt;="&amp;$B139)</f>
        <v>0</v>
      </c>
      <c r="W139" s="29" t="n">
        <f aca="false">SUMIFS('Outages (event ledger)'!$H$2:$H$65,'Outages (event ledger)'!$A$2:$A$65,W$2,'Outages (event ledger)'!$E$2:$E$65,"&lt;="&amp;$B139,'Outages (event ledger)'!$G$2:$G$65,"&gt;="&amp;$B139)</f>
        <v>0</v>
      </c>
      <c r="X139" s="29" t="n">
        <f aca="false">SUMIFS('Outages (event ledger)'!$H$2:$H$65,'Outages (event ledger)'!$A$2:$A$65,X$2,'Outages (event ledger)'!$E$2:$E$65,"&lt;="&amp;$B139,'Outages (event ledger)'!$G$2:$G$65,"&gt;="&amp;$B139)</f>
        <v>0</v>
      </c>
      <c r="Y139" s="29" t="n">
        <f aca="false">SUMIFS('Outages (event ledger)'!$H$2:$H$65,'Outages (event ledger)'!$A$2:$A$65,Y$2,'Outages (event ledger)'!$E$2:$E$65,"&lt;="&amp;$B139,'Outages (event ledger)'!$G$2:$G$65,"&gt;="&amp;$B139)</f>
        <v>0</v>
      </c>
      <c r="Z139" s="29" t="n">
        <f aca="false">SUMIFS('Outages (event ledger)'!$H$2:$H$65,'Outages (event ledger)'!$A$2:$A$65,Z$2,'Outages (event ledger)'!$E$2:$E$65,"&lt;="&amp;$B139,'Outages (event ledger)'!$G$2:$G$65,"&gt;="&amp;$B139)</f>
        <v>0</v>
      </c>
      <c r="AA139" s="29" t="n">
        <f aca="false">SUMIFS('Outages (event ledger)'!$H$2:$H$65,'Outages (event ledger)'!$A$2:$A$65,AA$2,'Outages (event ledger)'!$E$2:$E$65,"&lt;="&amp;$B139,'Outages (event ledger)'!$G$2:$G$65,"&gt;="&amp;$B139)</f>
        <v>0</v>
      </c>
      <c r="AB139" s="29" t="n">
        <f aca="false">SUMIFS('Outages (event ledger)'!$H$2:$H$65,'Outages (event ledger)'!$A$2:$A$65,AB$2,'Outages (event ledger)'!$E$2:$E$65,"&lt;="&amp;$B139,'Outages (event ledger)'!$G$2:$G$65,"&gt;="&amp;$B139)</f>
        <v>8</v>
      </c>
      <c r="AC139" s="29" t="n">
        <f aca="false">SUMIFS('Outages (event ledger)'!$H$2:$H$65,'Outages (event ledger)'!$A$2:$A$65,AC$2,'Outages (event ledger)'!$E$2:$E$65,"&lt;="&amp;$B139,'Outages (event ledger)'!$G$2:$G$65,"&gt;="&amp;$B139)</f>
        <v>0</v>
      </c>
      <c r="AD139" s="29" t="n">
        <f aca="false">SUMIFS('Outages (event ledger)'!$H$2:$H$65,'Outages (event ledger)'!$A$2:$A$65,AD$2,'Outages (event ledger)'!$E$2:$E$65,"&lt;="&amp;$B139,'Outages (event ledger)'!$G$2:$G$65,"&gt;="&amp;$B139)</f>
        <v>0</v>
      </c>
      <c r="AE139" s="29" t="n">
        <f aca="false">SUMIFS('Outages (event ledger)'!$H$2:$H$65,'Outages (event ledger)'!$A$2:$A$65,AE$2,'Outages (event ledger)'!$E$2:$E$65,"&lt;="&amp;$B139,'Outages (event ledger)'!$G$2:$G$65,"&gt;="&amp;$B139)</f>
        <v>0</v>
      </c>
      <c r="AF139" s="29" t="n">
        <f aca="false">SUMIFS('Outages (event ledger)'!$H$2:$H$65,'Outages (event ledger)'!$A$2:$A$65,AF$2,'Outages (event ledger)'!$E$2:$E$65,"&lt;="&amp;$B139,'Outages (event ledger)'!$G$2:$G$65,"&gt;="&amp;$B139)</f>
        <v>0</v>
      </c>
      <c r="AG139" s="29" t="n">
        <f aca="false">SUMIFS('Outages (event ledger)'!$H$2:$H$65,'Outages (event ledger)'!$A$2:$A$65,AG$2,'Outages (event ledger)'!$E$2:$E$65,"&lt;="&amp;$B139,'Outages (event ledger)'!$G$2:$G$65,"&gt;="&amp;$B139)</f>
        <v>0</v>
      </c>
      <c r="AH139" s="29" t="n">
        <f aca="false">SUMIFS('Outages (event ledger)'!$H$2:$H$65,'Outages (event ledger)'!$A$2:$A$65,AH$2,'Outages (event ledger)'!$E$2:$E$65,"&lt;="&amp;$B139,'Outages (event ledger)'!$G$2:$G$65,"&gt;="&amp;$B139)</f>
        <v>0</v>
      </c>
      <c r="AI139" s="29" t="n">
        <f aca="false">SUMIFS('Outages (event ledger)'!$H$2:$H$65,'Outages (event ledger)'!$A$2:$A$65,AI$2,'Outages (event ledger)'!$E$2:$E$65,"&lt;="&amp;$B139,'Outages (event ledger)'!$G$2:$G$65,"&gt;="&amp;$B139)</f>
        <v>0</v>
      </c>
      <c r="AJ139" s="29" t="n">
        <f aca="false">SUMIFS('Outages (event ledger)'!$H$2:$H$65,'Outages (event ledger)'!$A$2:$A$65,AJ$2,'Outages (event ledger)'!$E$2:$E$65,"&lt;="&amp;$B139,'Outages (event ledger)'!$G$2:$G$65,"&gt;="&amp;$B139)</f>
        <v>0</v>
      </c>
      <c r="AK139" s="29" t="n">
        <f aca="false">SUMIFS('Outages (event ledger)'!$H$2:$H$65,'Outages (event ledger)'!$A$2:$A$65,AK$2,'Outages (event ledger)'!$E$2:$E$65,"&lt;="&amp;$B139,'Outages (event ledger)'!$G$2:$G$65,"&gt;="&amp;$B139)</f>
        <v>0</v>
      </c>
      <c r="AL139" s="29" t="n">
        <f aca="false">SUMIFS('Outages (event ledger)'!$H$2:$H$65,'Outages (event ledger)'!$A$2:$A$65,AL$2,'Outages (event ledger)'!$E$2:$E$65,"&lt;="&amp;$B139,'Outages (event ledger)'!$G$2:$G$65,"&gt;="&amp;$B139)</f>
        <v>4</v>
      </c>
      <c r="AM139" s="29" t="n">
        <f aca="false">SUMIFS('Outages (event ledger)'!$H$2:$H$65,'Outages (event ledger)'!$A$2:$A$65,AM$2,'Outages (event ledger)'!$E$2:$E$65,"&lt;="&amp;$B139,'Outages (event ledger)'!$G$2:$G$65,"&gt;="&amp;$B139)</f>
        <v>0</v>
      </c>
      <c r="AN139" s="29" t="n">
        <f aca="false">SUMIFS('Outages (event ledger)'!$H$2:$H$65,'Outages (event ledger)'!$A$2:$A$65,AN$2,'Outages (event ledger)'!$E$2:$E$65,"&lt;="&amp;$B139,'Outages (event ledger)'!$G$2:$G$65,"&gt;="&amp;$B139)</f>
        <v>4.3</v>
      </c>
      <c r="AO139" s="29" t="n">
        <f aca="false">SUMIFS('Outages (event ledger)'!$H$2:$H$65,'Outages (event ledger)'!$A$2:$A$65,AO$2,'Outages (event ledger)'!$E$2:$E$65,"&lt;="&amp;$B139,'Outages (event ledger)'!$G$2:$G$65,"&gt;="&amp;$B139)</f>
        <v>0</v>
      </c>
      <c r="AP139" s="29" t="n">
        <f aca="false">SUMIFS('Outages (event ledger)'!$H$2:$H$65,'Outages (event ledger)'!$A$2:$A$65,AP$2,'Outages (event ledger)'!$E$2:$E$65,"&lt;="&amp;$B139,'Outages (event ledger)'!$G$2:$G$65,"&gt;="&amp;$B139)</f>
        <v>0</v>
      </c>
      <c r="AQ139" s="29" t="n">
        <f aca="false">SUMIFS('Outages (event ledger)'!$H$2:$H$65,'Outages (event ledger)'!$A$2:$A$65,AQ$2,'Outages (event ledger)'!$E$2:$E$65,"&lt;="&amp;$B139,'Outages (event ledger)'!$G$2:$G$65,"&gt;="&amp;$B139)</f>
        <v>3.3</v>
      </c>
      <c r="AR139" s="29" t="n">
        <f aca="false">SUMIFS('Outages (event ledger)'!$H$2:$H$65,'Outages (event ledger)'!$A$2:$A$65,AR$2,'Outages (event ledger)'!$E$2:$E$65,"&lt;="&amp;$B139,'Outages (event ledger)'!$G$2:$G$65,"&gt;="&amp;$B139)</f>
        <v>0</v>
      </c>
      <c r="AS139" s="29" t="n">
        <f aca="false">SUMIFS('Outages (event ledger)'!$H$2:$H$65,'Outages (event ledger)'!$A$2:$A$65,AS$2,'Outages (event ledger)'!$E$2:$E$65,"&lt;="&amp;$B139,'Outages (event ledger)'!$G$2:$G$65,"&gt;="&amp;$B139)</f>
        <v>0</v>
      </c>
      <c r="AT139" s="29" t="n">
        <f aca="false">SUMIFS('Outages (event ledger)'!$H$2:$H$65,'Outages (event ledger)'!$A$2:$A$65,AT$2,'Outages (event ledger)'!$E$2:$E$65,"&lt;="&amp;$B139,'Outages (event ledger)'!$G$2:$G$65,"&gt;="&amp;$B139)</f>
        <v>0</v>
      </c>
      <c r="AU139" s="29" t="n">
        <f aca="false">SUMIFS('Outages (event ledger)'!$H$2:$H$65,'Outages (event ledger)'!$A$2:$A$65,AU$2,'Outages (event ledger)'!$E$2:$E$65,"&lt;="&amp;$B139,'Outages (event ledger)'!$G$2:$G$65,"&gt;="&amp;$B139)</f>
        <v>0</v>
      </c>
      <c r="AV139" s="29" t="n">
        <f aca="false">SUMIFS('Outages (event ledger)'!$H$2:$H$65,'Outages (event ledger)'!$A$2:$A$65,AV$2,'Outages (event ledger)'!$E$2:$E$65,"&lt;="&amp;$B139,'Outages (event ledger)'!$G$2:$G$65,"&gt;="&amp;$B139)</f>
        <v>0</v>
      </c>
      <c r="AW139" s="29" t="n">
        <f aca="false">SUMIFS('Outages (event ledger)'!$H$2:$H$65,'Outages (event ledger)'!$A$2:$A$65,AW$2,'Outages (event ledger)'!$E$2:$E$65,"&lt;="&amp;$B139,'Outages (event ledger)'!$G$2:$G$65,"&gt;="&amp;$B139)</f>
        <v>0</v>
      </c>
      <c r="AX139" s="29" t="n">
        <f aca="false">SUMIFS('Outages (event ledger)'!$H$2:$H$65,'Outages (event ledger)'!$A$2:$A$65,AX$2,'Outages (event ledger)'!$E$2:$E$65,"&lt;="&amp;$B139,'Outages (event ledger)'!$G$2:$G$65,"&gt;="&amp;$B139)</f>
        <v>6.6</v>
      </c>
      <c r="AY139" s="29" t="n">
        <f aca="false">SUMIFS('Outages (event ledger)'!$H$2:$H$65,'Outages (event ledger)'!$A$2:$A$65,AY$2,'Outages (event ledger)'!$E$2:$E$65,"&lt;="&amp;$B139,'Outages (event ledger)'!$G$2:$G$65,"&gt;="&amp;$B139)</f>
        <v>0</v>
      </c>
      <c r="AZ139" s="29" t="n">
        <f aca="false">SUMIFS('Outages (event ledger)'!$H$2:$H$65,'Outages (event ledger)'!$A$2:$A$65,AZ$2,'Outages (event ledger)'!$E$2:$E$65,"&lt;="&amp;$B139,'Outages (event ledger)'!$G$2:$G$65,"&gt;="&amp;$B139)</f>
        <v>0</v>
      </c>
      <c r="BA139" s="29" t="n">
        <f aca="false">SUMIFS('Outages (event ledger)'!$H$2:$H$65,'Outages (event ledger)'!$A$2:$A$65,BA$2,'Outages (event ledger)'!$E$2:$E$65,"&lt;="&amp;$B139,'Outages (event ledger)'!$G$2:$G$65,"&gt;="&amp;$B139)</f>
        <v>0</v>
      </c>
      <c r="BB139" s="29" t="n">
        <f aca="false">SUMIFS('Outages (event ledger)'!$H$2:$H$65,'Outages (event ledger)'!$A$2:$A$65,BB$2,'Outages (event ledger)'!$E$2:$E$65,"&lt;="&amp;$B139,'Outages (event ledger)'!$G$2:$G$65,"&gt;="&amp;$B139)</f>
        <v>0</v>
      </c>
      <c r="BC139" s="29" t="n">
        <f aca="false">SUMIFS('Outages (event ledger)'!$H$2:$H$65,'Outages (event ledger)'!$A$2:$A$65,BC$2,'Outages (event ledger)'!$E$2:$E$65,"&lt;="&amp;$B139,'Outages (event ledger)'!$G$2:$G$65,"&gt;="&amp;$B139)</f>
        <v>0</v>
      </c>
      <c r="BD139" s="29" t="n">
        <f aca="false">SUMIFS('Outages (event ledger)'!$H$2:$H$65,'Outages (event ledger)'!$A$2:$A$65,BD$2,'Outages (event ledger)'!$E$2:$E$65,"&lt;="&amp;$B139,'Outages (event ledger)'!$G$2:$G$65,"&gt;="&amp;$B139)</f>
        <v>0</v>
      </c>
      <c r="BE139" s="29" t="n">
        <f aca="false">SUMIFS('Outages (event ledger)'!$H$2:$H$65,'Outages (event ledger)'!$A$2:$A$65,BE$2,'Outages (event ledger)'!$E$2:$E$65,"&lt;="&amp;$B139,'Outages (event ledger)'!$G$2:$G$65,"&gt;="&amp;$B139)</f>
        <v>0</v>
      </c>
      <c r="BF139" s="29" t="n">
        <f aca="false">SUMIFS('Outages (event ledger)'!$H$2:$H$65,'Outages (event ledger)'!$A$2:$A$65,BF$2,'Outages (event ledger)'!$E$2:$E$65,"&lt;="&amp;$B139,'Outages (event ledger)'!$G$2:$G$65,"&gt;="&amp;$B139)</f>
        <v>0</v>
      </c>
      <c r="BG139" s="29" t="n">
        <f aca="false">SUMIFS('Outages (event ledger)'!$H$2:$H$65,'Outages (event ledger)'!$A$2:$A$65,BG$2,'Outages (event ledger)'!$E$2:$E$65,"&lt;="&amp;$B139,'Outages (event ledger)'!$G$2:$G$65,"&gt;="&amp;$B139)</f>
        <v>0</v>
      </c>
      <c r="BH139" s="29" t="n">
        <f aca="false">SUMIFS('Outages (event ledger)'!$H$2:$H$65,'Outages (event ledger)'!$A$2:$A$65,BH$2,'Outages (event ledger)'!$E$2:$E$65,"&lt;="&amp;$B139,'Outages (event ledger)'!$G$2:$G$65,"&gt;="&amp;$B139)</f>
        <v>0</v>
      </c>
      <c r="BI139" s="29" t="n">
        <f aca="false">SUMIFS('Outages (event ledger)'!$H$2:$H$65,'Outages (event ledger)'!$A$2:$A$65,BI$2,'Outages (event ledger)'!$E$2:$E$65,"&lt;="&amp;$B139,'Outages (event ledger)'!$G$2:$G$65,"&gt;="&amp;$B139)</f>
        <v>6.7</v>
      </c>
    </row>
    <row r="140" customFormat="false" ht="15" hidden="false" customHeight="false" outlineLevel="0" collapsed="false">
      <c r="A140" s="27" t="n">
        <v>44348</v>
      </c>
      <c r="B140" s="28" t="n">
        <v>202106</v>
      </c>
      <c r="C140" s="25" t="n">
        <f aca="false">SUM(D140:BI140)</f>
        <v>29.6</v>
      </c>
      <c r="D140" s="29" t="n">
        <f aca="false">SUMIFS('Outages (event ledger)'!$H$2:$H$65,'Outages (event ledger)'!$A$2:$A$65,D$2,'Outages (event ledger)'!$E$2:$E$65,"&lt;="&amp;$B140,'Outages (event ledger)'!$G$2:$G$65,"&gt;="&amp;$B140)</f>
        <v>0</v>
      </c>
      <c r="E140" s="29" t="n">
        <f aca="false">SUMIFS('Outages (event ledger)'!$H$2:$H$65,'Outages (event ledger)'!$A$2:$A$65,E$2,'Outages (event ledger)'!$E$2:$E$65,"&lt;="&amp;$B140,'Outages (event ledger)'!$G$2:$G$65,"&gt;="&amp;$B140)</f>
        <v>0</v>
      </c>
      <c r="F140" s="29" t="n">
        <f aca="false">SUMIFS('Outages (event ledger)'!$H$2:$H$65,'Outages (event ledger)'!$A$2:$A$65,F$2,'Outages (event ledger)'!$E$2:$E$65,"&lt;="&amp;$B140,'Outages (event ledger)'!$G$2:$G$65,"&gt;="&amp;$B140)</f>
        <v>0</v>
      </c>
      <c r="G140" s="29" t="n">
        <f aca="false">SUMIFS('Outages (event ledger)'!$H$2:$H$65,'Outages (event ledger)'!$A$2:$A$65,G$2,'Outages (event ledger)'!$E$2:$E$65,"&lt;="&amp;$B140,'Outages (event ledger)'!$G$2:$G$65,"&gt;="&amp;$B140)</f>
        <v>0</v>
      </c>
      <c r="H140" s="29" t="n">
        <f aca="false">SUMIFS('Outages (event ledger)'!$H$2:$H$65,'Outages (event ledger)'!$A$2:$A$65,H$2,'Outages (event ledger)'!$E$2:$E$65,"&lt;="&amp;$B140,'Outages (event ledger)'!$G$2:$G$65,"&gt;="&amp;$B140)</f>
        <v>0</v>
      </c>
      <c r="I140" s="29" t="n">
        <f aca="false">SUMIFS('Outages (event ledger)'!$H$2:$H$65,'Outages (event ledger)'!$A$2:$A$65,I$2,'Outages (event ledger)'!$E$2:$E$65,"&lt;="&amp;$B140,'Outages (event ledger)'!$G$2:$G$65,"&gt;="&amp;$B140)</f>
        <v>0</v>
      </c>
      <c r="J140" s="29" t="n">
        <f aca="false">SUMIFS('Outages (event ledger)'!$H$2:$H$65,'Outages (event ledger)'!$A$2:$A$65,J$2,'Outages (event ledger)'!$E$2:$E$65,"&lt;="&amp;$B140,'Outages (event ledger)'!$G$2:$G$65,"&gt;="&amp;$B140)</f>
        <v>0</v>
      </c>
      <c r="K140" s="29" t="n">
        <f aca="false">SUMIFS('Outages (event ledger)'!$H$2:$H$65,'Outages (event ledger)'!$A$2:$A$65,K$2,'Outages (event ledger)'!$E$2:$E$65,"&lt;="&amp;$B140,'Outages (event ledger)'!$G$2:$G$65,"&gt;="&amp;$B140)</f>
        <v>0</v>
      </c>
      <c r="L140" s="29" t="n">
        <f aca="false">SUMIFS('Outages (event ledger)'!$H$2:$H$65,'Outages (event ledger)'!$A$2:$A$65,L$2,'Outages (event ledger)'!$E$2:$E$65,"&lt;="&amp;$B140,'Outages (event ledger)'!$G$2:$G$65,"&gt;="&amp;$B140)</f>
        <v>0</v>
      </c>
      <c r="M140" s="29" t="n">
        <f aca="false">SUMIFS('Outages (event ledger)'!$H$2:$H$65,'Outages (event ledger)'!$A$2:$A$65,M$2,'Outages (event ledger)'!$E$2:$E$65,"&lt;="&amp;$B140,'Outages (event ledger)'!$G$2:$G$65,"&gt;="&amp;$B140)</f>
        <v>0</v>
      </c>
      <c r="N140" s="29" t="n">
        <f aca="false">SUMIFS('Outages (event ledger)'!$H$2:$H$65,'Outages (event ledger)'!$A$2:$A$65,N$2,'Outages (event ledger)'!$E$2:$E$65,"&lt;="&amp;$B140,'Outages (event ledger)'!$G$2:$G$65,"&gt;="&amp;$B140)</f>
        <v>0</v>
      </c>
      <c r="O140" s="29" t="n">
        <f aca="false">SUMIFS('Outages (event ledger)'!$H$2:$H$65,'Outages (event ledger)'!$A$2:$A$65,O$2,'Outages (event ledger)'!$E$2:$E$65,"&lt;="&amp;$B140,'Outages (event ledger)'!$G$2:$G$65,"&gt;="&amp;$B140)</f>
        <v>0</v>
      </c>
      <c r="P140" s="29" t="n">
        <f aca="false">SUMIFS('Outages (event ledger)'!$H$2:$H$65,'Outages (event ledger)'!$A$2:$A$65,P$2,'Outages (event ledger)'!$E$2:$E$65,"&lt;="&amp;$B140,'Outages (event ledger)'!$G$2:$G$65,"&gt;="&amp;$B140)</f>
        <v>0</v>
      </c>
      <c r="Q140" s="29" t="n">
        <f aca="false">SUMIFS('Outages (event ledger)'!$H$2:$H$65,'Outages (event ledger)'!$A$2:$A$65,Q$2,'Outages (event ledger)'!$E$2:$E$65,"&lt;="&amp;$B140,'Outages (event ledger)'!$G$2:$G$65,"&gt;="&amp;$B140)</f>
        <v>0</v>
      </c>
      <c r="R140" s="29" t="n">
        <f aca="false">SUMIFS('Outages (event ledger)'!$H$2:$H$65,'Outages (event ledger)'!$A$2:$A$65,R$2,'Outages (event ledger)'!$E$2:$E$65,"&lt;="&amp;$B140,'Outages (event ledger)'!$G$2:$G$65,"&gt;="&amp;$B140)</f>
        <v>0</v>
      </c>
      <c r="S140" s="29" t="n">
        <f aca="false">SUMIFS('Outages (event ledger)'!$H$2:$H$65,'Outages (event ledger)'!$A$2:$A$65,S$2,'Outages (event ledger)'!$E$2:$E$65,"&lt;="&amp;$B140,'Outages (event ledger)'!$G$2:$G$65,"&gt;="&amp;$B140)</f>
        <v>0</v>
      </c>
      <c r="T140" s="29" t="n">
        <f aca="false">SUMIFS('Outages (event ledger)'!$H$2:$H$65,'Outages (event ledger)'!$A$2:$A$65,T$2,'Outages (event ledger)'!$E$2:$E$65,"&lt;="&amp;$B140,'Outages (event ledger)'!$G$2:$G$65,"&gt;="&amp;$B140)</f>
        <v>0</v>
      </c>
      <c r="U140" s="29" t="n">
        <f aca="false">SUMIFS('Outages (event ledger)'!$H$2:$H$65,'Outages (event ledger)'!$A$2:$A$65,U$2,'Outages (event ledger)'!$E$2:$E$65,"&lt;="&amp;$B140,'Outages (event ledger)'!$G$2:$G$65,"&gt;="&amp;$B140)</f>
        <v>0</v>
      </c>
      <c r="V140" s="29" t="n">
        <f aca="false">SUMIFS('Outages (event ledger)'!$H$2:$H$65,'Outages (event ledger)'!$A$2:$A$65,V$2,'Outages (event ledger)'!$E$2:$E$65,"&lt;="&amp;$B140,'Outages (event ledger)'!$G$2:$G$65,"&gt;="&amp;$B140)</f>
        <v>0</v>
      </c>
      <c r="W140" s="29" t="n">
        <f aca="false">SUMIFS('Outages (event ledger)'!$H$2:$H$65,'Outages (event ledger)'!$A$2:$A$65,W$2,'Outages (event ledger)'!$E$2:$E$65,"&lt;="&amp;$B140,'Outages (event ledger)'!$G$2:$G$65,"&gt;="&amp;$B140)</f>
        <v>0</v>
      </c>
      <c r="X140" s="29" t="n">
        <f aca="false">SUMIFS('Outages (event ledger)'!$H$2:$H$65,'Outages (event ledger)'!$A$2:$A$65,X$2,'Outages (event ledger)'!$E$2:$E$65,"&lt;="&amp;$B140,'Outages (event ledger)'!$G$2:$G$65,"&gt;="&amp;$B140)</f>
        <v>0</v>
      </c>
      <c r="Y140" s="29" t="n">
        <f aca="false">SUMIFS('Outages (event ledger)'!$H$2:$H$65,'Outages (event ledger)'!$A$2:$A$65,Y$2,'Outages (event ledger)'!$E$2:$E$65,"&lt;="&amp;$B140,'Outages (event ledger)'!$G$2:$G$65,"&gt;="&amp;$B140)</f>
        <v>0</v>
      </c>
      <c r="Z140" s="29" t="n">
        <f aca="false">SUMIFS('Outages (event ledger)'!$H$2:$H$65,'Outages (event ledger)'!$A$2:$A$65,Z$2,'Outages (event ledger)'!$E$2:$E$65,"&lt;="&amp;$B140,'Outages (event ledger)'!$G$2:$G$65,"&gt;="&amp;$B140)</f>
        <v>0</v>
      </c>
      <c r="AA140" s="29" t="n">
        <f aca="false">SUMIFS('Outages (event ledger)'!$H$2:$H$65,'Outages (event ledger)'!$A$2:$A$65,AA$2,'Outages (event ledger)'!$E$2:$E$65,"&lt;="&amp;$B140,'Outages (event ledger)'!$G$2:$G$65,"&gt;="&amp;$B140)</f>
        <v>0</v>
      </c>
      <c r="AB140" s="29" t="n">
        <f aca="false">SUMIFS('Outages (event ledger)'!$H$2:$H$65,'Outages (event ledger)'!$A$2:$A$65,AB$2,'Outages (event ledger)'!$E$2:$E$65,"&lt;="&amp;$B140,'Outages (event ledger)'!$G$2:$G$65,"&gt;="&amp;$B140)</f>
        <v>8</v>
      </c>
      <c r="AC140" s="29" t="n">
        <f aca="false">SUMIFS('Outages (event ledger)'!$H$2:$H$65,'Outages (event ledger)'!$A$2:$A$65,AC$2,'Outages (event ledger)'!$E$2:$E$65,"&lt;="&amp;$B140,'Outages (event ledger)'!$G$2:$G$65,"&gt;="&amp;$B140)</f>
        <v>0</v>
      </c>
      <c r="AD140" s="29" t="n">
        <f aca="false">SUMIFS('Outages (event ledger)'!$H$2:$H$65,'Outages (event ledger)'!$A$2:$A$65,AD$2,'Outages (event ledger)'!$E$2:$E$65,"&lt;="&amp;$B140,'Outages (event ledger)'!$G$2:$G$65,"&gt;="&amp;$B140)</f>
        <v>0</v>
      </c>
      <c r="AE140" s="29" t="n">
        <f aca="false">SUMIFS('Outages (event ledger)'!$H$2:$H$65,'Outages (event ledger)'!$A$2:$A$65,AE$2,'Outages (event ledger)'!$E$2:$E$65,"&lt;="&amp;$B140,'Outages (event ledger)'!$G$2:$G$65,"&gt;="&amp;$B140)</f>
        <v>0</v>
      </c>
      <c r="AF140" s="29" t="n">
        <f aca="false">SUMIFS('Outages (event ledger)'!$H$2:$H$65,'Outages (event ledger)'!$A$2:$A$65,AF$2,'Outages (event ledger)'!$E$2:$E$65,"&lt;="&amp;$B140,'Outages (event ledger)'!$G$2:$G$65,"&gt;="&amp;$B140)</f>
        <v>0</v>
      </c>
      <c r="AG140" s="29" t="n">
        <f aca="false">SUMIFS('Outages (event ledger)'!$H$2:$H$65,'Outages (event ledger)'!$A$2:$A$65,AG$2,'Outages (event ledger)'!$E$2:$E$65,"&lt;="&amp;$B140,'Outages (event ledger)'!$G$2:$G$65,"&gt;="&amp;$B140)</f>
        <v>0</v>
      </c>
      <c r="AH140" s="29" t="n">
        <f aca="false">SUMIFS('Outages (event ledger)'!$H$2:$H$65,'Outages (event ledger)'!$A$2:$A$65,AH$2,'Outages (event ledger)'!$E$2:$E$65,"&lt;="&amp;$B140,'Outages (event ledger)'!$G$2:$G$65,"&gt;="&amp;$B140)</f>
        <v>0</v>
      </c>
      <c r="AI140" s="29" t="n">
        <f aca="false">SUMIFS('Outages (event ledger)'!$H$2:$H$65,'Outages (event ledger)'!$A$2:$A$65,AI$2,'Outages (event ledger)'!$E$2:$E$65,"&lt;="&amp;$B140,'Outages (event ledger)'!$G$2:$G$65,"&gt;="&amp;$B140)</f>
        <v>0</v>
      </c>
      <c r="AJ140" s="29" t="n">
        <f aca="false">SUMIFS('Outages (event ledger)'!$H$2:$H$65,'Outages (event ledger)'!$A$2:$A$65,AJ$2,'Outages (event ledger)'!$E$2:$E$65,"&lt;="&amp;$B140,'Outages (event ledger)'!$G$2:$G$65,"&gt;="&amp;$B140)</f>
        <v>0</v>
      </c>
      <c r="AK140" s="29" t="n">
        <f aca="false">SUMIFS('Outages (event ledger)'!$H$2:$H$65,'Outages (event ledger)'!$A$2:$A$65,AK$2,'Outages (event ledger)'!$E$2:$E$65,"&lt;="&amp;$B140,'Outages (event ledger)'!$G$2:$G$65,"&gt;="&amp;$B140)</f>
        <v>0</v>
      </c>
      <c r="AL140" s="29" t="n">
        <f aca="false">SUMIFS('Outages (event ledger)'!$H$2:$H$65,'Outages (event ledger)'!$A$2:$A$65,AL$2,'Outages (event ledger)'!$E$2:$E$65,"&lt;="&amp;$B140,'Outages (event ledger)'!$G$2:$G$65,"&gt;="&amp;$B140)</f>
        <v>4</v>
      </c>
      <c r="AM140" s="29" t="n">
        <f aca="false">SUMIFS('Outages (event ledger)'!$H$2:$H$65,'Outages (event ledger)'!$A$2:$A$65,AM$2,'Outages (event ledger)'!$E$2:$E$65,"&lt;="&amp;$B140,'Outages (event ledger)'!$G$2:$G$65,"&gt;="&amp;$B140)</f>
        <v>0</v>
      </c>
      <c r="AN140" s="29" t="n">
        <f aca="false">SUMIFS('Outages (event ledger)'!$H$2:$H$65,'Outages (event ledger)'!$A$2:$A$65,AN$2,'Outages (event ledger)'!$E$2:$E$65,"&lt;="&amp;$B140,'Outages (event ledger)'!$G$2:$G$65,"&gt;="&amp;$B140)</f>
        <v>4.3</v>
      </c>
      <c r="AO140" s="29" t="n">
        <f aca="false">SUMIFS('Outages (event ledger)'!$H$2:$H$65,'Outages (event ledger)'!$A$2:$A$65,AO$2,'Outages (event ledger)'!$E$2:$E$65,"&lt;="&amp;$B140,'Outages (event ledger)'!$G$2:$G$65,"&gt;="&amp;$B140)</f>
        <v>0</v>
      </c>
      <c r="AP140" s="29" t="n">
        <f aca="false">SUMIFS('Outages (event ledger)'!$H$2:$H$65,'Outages (event ledger)'!$A$2:$A$65,AP$2,'Outages (event ledger)'!$E$2:$E$65,"&lt;="&amp;$B140,'Outages (event ledger)'!$G$2:$G$65,"&gt;="&amp;$B140)</f>
        <v>0</v>
      </c>
      <c r="AQ140" s="29" t="n">
        <f aca="false">SUMIFS('Outages (event ledger)'!$H$2:$H$65,'Outages (event ledger)'!$A$2:$A$65,AQ$2,'Outages (event ledger)'!$E$2:$E$65,"&lt;="&amp;$B140,'Outages (event ledger)'!$G$2:$G$65,"&gt;="&amp;$B140)</f>
        <v>0</v>
      </c>
      <c r="AR140" s="29" t="n">
        <f aca="false">SUMIFS('Outages (event ledger)'!$H$2:$H$65,'Outages (event ledger)'!$A$2:$A$65,AR$2,'Outages (event ledger)'!$E$2:$E$65,"&lt;="&amp;$B140,'Outages (event ledger)'!$G$2:$G$65,"&gt;="&amp;$B140)</f>
        <v>0</v>
      </c>
      <c r="AS140" s="29" t="n">
        <f aca="false">SUMIFS('Outages (event ledger)'!$H$2:$H$65,'Outages (event ledger)'!$A$2:$A$65,AS$2,'Outages (event ledger)'!$E$2:$E$65,"&lt;="&amp;$B140,'Outages (event ledger)'!$G$2:$G$65,"&gt;="&amp;$B140)</f>
        <v>0</v>
      </c>
      <c r="AT140" s="29" t="n">
        <f aca="false">SUMIFS('Outages (event ledger)'!$H$2:$H$65,'Outages (event ledger)'!$A$2:$A$65,AT$2,'Outages (event ledger)'!$E$2:$E$65,"&lt;="&amp;$B140,'Outages (event ledger)'!$G$2:$G$65,"&gt;="&amp;$B140)</f>
        <v>0</v>
      </c>
      <c r="AU140" s="29" t="n">
        <f aca="false">SUMIFS('Outages (event ledger)'!$H$2:$H$65,'Outages (event ledger)'!$A$2:$A$65,AU$2,'Outages (event ledger)'!$E$2:$E$65,"&lt;="&amp;$B140,'Outages (event ledger)'!$G$2:$G$65,"&gt;="&amp;$B140)</f>
        <v>0</v>
      </c>
      <c r="AV140" s="29" t="n">
        <f aca="false">SUMIFS('Outages (event ledger)'!$H$2:$H$65,'Outages (event ledger)'!$A$2:$A$65,AV$2,'Outages (event ledger)'!$E$2:$E$65,"&lt;="&amp;$B140,'Outages (event ledger)'!$G$2:$G$65,"&gt;="&amp;$B140)</f>
        <v>0</v>
      </c>
      <c r="AW140" s="29" t="n">
        <f aca="false">SUMIFS('Outages (event ledger)'!$H$2:$H$65,'Outages (event ledger)'!$A$2:$A$65,AW$2,'Outages (event ledger)'!$E$2:$E$65,"&lt;="&amp;$B140,'Outages (event ledger)'!$G$2:$G$65,"&gt;="&amp;$B140)</f>
        <v>0</v>
      </c>
      <c r="AX140" s="29" t="n">
        <f aca="false">SUMIFS('Outages (event ledger)'!$H$2:$H$65,'Outages (event ledger)'!$A$2:$A$65,AX$2,'Outages (event ledger)'!$E$2:$E$65,"&lt;="&amp;$B140,'Outages (event ledger)'!$G$2:$G$65,"&gt;="&amp;$B140)</f>
        <v>6.6</v>
      </c>
      <c r="AY140" s="29" t="n">
        <f aca="false">SUMIFS('Outages (event ledger)'!$H$2:$H$65,'Outages (event ledger)'!$A$2:$A$65,AY$2,'Outages (event ledger)'!$E$2:$E$65,"&lt;="&amp;$B140,'Outages (event ledger)'!$G$2:$G$65,"&gt;="&amp;$B140)</f>
        <v>0</v>
      </c>
      <c r="AZ140" s="29" t="n">
        <f aca="false">SUMIFS('Outages (event ledger)'!$H$2:$H$65,'Outages (event ledger)'!$A$2:$A$65,AZ$2,'Outages (event ledger)'!$E$2:$E$65,"&lt;="&amp;$B140,'Outages (event ledger)'!$G$2:$G$65,"&gt;="&amp;$B140)</f>
        <v>0</v>
      </c>
      <c r="BA140" s="29" t="n">
        <f aca="false">SUMIFS('Outages (event ledger)'!$H$2:$H$65,'Outages (event ledger)'!$A$2:$A$65,BA$2,'Outages (event ledger)'!$E$2:$E$65,"&lt;="&amp;$B140,'Outages (event ledger)'!$G$2:$G$65,"&gt;="&amp;$B140)</f>
        <v>0</v>
      </c>
      <c r="BB140" s="29" t="n">
        <f aca="false">SUMIFS('Outages (event ledger)'!$H$2:$H$65,'Outages (event ledger)'!$A$2:$A$65,BB$2,'Outages (event ledger)'!$E$2:$E$65,"&lt;="&amp;$B140,'Outages (event ledger)'!$G$2:$G$65,"&gt;="&amp;$B140)</f>
        <v>0</v>
      </c>
      <c r="BC140" s="29" t="n">
        <f aca="false">SUMIFS('Outages (event ledger)'!$H$2:$H$65,'Outages (event ledger)'!$A$2:$A$65,BC$2,'Outages (event ledger)'!$E$2:$E$65,"&lt;="&amp;$B140,'Outages (event ledger)'!$G$2:$G$65,"&gt;="&amp;$B140)</f>
        <v>0</v>
      </c>
      <c r="BD140" s="29" t="n">
        <f aca="false">SUMIFS('Outages (event ledger)'!$H$2:$H$65,'Outages (event ledger)'!$A$2:$A$65,BD$2,'Outages (event ledger)'!$E$2:$E$65,"&lt;="&amp;$B140,'Outages (event ledger)'!$G$2:$G$65,"&gt;="&amp;$B140)</f>
        <v>0</v>
      </c>
      <c r="BE140" s="29" t="n">
        <f aca="false">SUMIFS('Outages (event ledger)'!$H$2:$H$65,'Outages (event ledger)'!$A$2:$A$65,BE$2,'Outages (event ledger)'!$E$2:$E$65,"&lt;="&amp;$B140,'Outages (event ledger)'!$G$2:$G$65,"&gt;="&amp;$B140)</f>
        <v>0</v>
      </c>
      <c r="BF140" s="29" t="n">
        <f aca="false">SUMIFS('Outages (event ledger)'!$H$2:$H$65,'Outages (event ledger)'!$A$2:$A$65,BF$2,'Outages (event ledger)'!$E$2:$E$65,"&lt;="&amp;$B140,'Outages (event ledger)'!$G$2:$G$65,"&gt;="&amp;$B140)</f>
        <v>0</v>
      </c>
      <c r="BG140" s="29" t="n">
        <f aca="false">SUMIFS('Outages (event ledger)'!$H$2:$H$65,'Outages (event ledger)'!$A$2:$A$65,BG$2,'Outages (event ledger)'!$E$2:$E$65,"&lt;="&amp;$B140,'Outages (event ledger)'!$G$2:$G$65,"&gt;="&amp;$B140)</f>
        <v>0</v>
      </c>
      <c r="BH140" s="29" t="n">
        <f aca="false">SUMIFS('Outages (event ledger)'!$H$2:$H$65,'Outages (event ledger)'!$A$2:$A$65,BH$2,'Outages (event ledger)'!$E$2:$E$65,"&lt;="&amp;$B140,'Outages (event ledger)'!$G$2:$G$65,"&gt;="&amp;$B140)</f>
        <v>0</v>
      </c>
      <c r="BI140" s="29" t="n">
        <f aca="false">SUMIFS('Outages (event ledger)'!$H$2:$H$65,'Outages (event ledger)'!$A$2:$A$65,BI$2,'Outages (event ledger)'!$E$2:$E$65,"&lt;="&amp;$B140,'Outages (event ledger)'!$G$2:$G$65,"&gt;="&amp;$B140)</f>
        <v>6.7</v>
      </c>
    </row>
    <row r="141" customFormat="false" ht="15" hidden="false" customHeight="false" outlineLevel="0" collapsed="false">
      <c r="A141" s="27" t="n">
        <v>44378</v>
      </c>
      <c r="B141" s="28" t="n">
        <v>202107</v>
      </c>
      <c r="C141" s="25" t="n">
        <f aca="false">SUM(D141:BI141)</f>
        <v>29.6</v>
      </c>
      <c r="D141" s="29" t="n">
        <f aca="false">SUMIFS('Outages (event ledger)'!$H$2:$H$65,'Outages (event ledger)'!$A$2:$A$65,D$2,'Outages (event ledger)'!$E$2:$E$65,"&lt;="&amp;$B141,'Outages (event ledger)'!$G$2:$G$65,"&gt;="&amp;$B141)</f>
        <v>0</v>
      </c>
      <c r="E141" s="29" t="n">
        <f aca="false">SUMIFS('Outages (event ledger)'!$H$2:$H$65,'Outages (event ledger)'!$A$2:$A$65,E$2,'Outages (event ledger)'!$E$2:$E$65,"&lt;="&amp;$B141,'Outages (event ledger)'!$G$2:$G$65,"&gt;="&amp;$B141)</f>
        <v>0</v>
      </c>
      <c r="F141" s="29" t="n">
        <f aca="false">SUMIFS('Outages (event ledger)'!$H$2:$H$65,'Outages (event ledger)'!$A$2:$A$65,F$2,'Outages (event ledger)'!$E$2:$E$65,"&lt;="&amp;$B141,'Outages (event ledger)'!$G$2:$G$65,"&gt;="&amp;$B141)</f>
        <v>0</v>
      </c>
      <c r="G141" s="29" t="n">
        <f aca="false">SUMIFS('Outages (event ledger)'!$H$2:$H$65,'Outages (event ledger)'!$A$2:$A$65,G$2,'Outages (event ledger)'!$E$2:$E$65,"&lt;="&amp;$B141,'Outages (event ledger)'!$G$2:$G$65,"&gt;="&amp;$B141)</f>
        <v>0</v>
      </c>
      <c r="H141" s="29" t="n">
        <f aca="false">SUMIFS('Outages (event ledger)'!$H$2:$H$65,'Outages (event ledger)'!$A$2:$A$65,H$2,'Outages (event ledger)'!$E$2:$E$65,"&lt;="&amp;$B141,'Outages (event ledger)'!$G$2:$G$65,"&gt;="&amp;$B141)</f>
        <v>0</v>
      </c>
      <c r="I141" s="29" t="n">
        <f aca="false">SUMIFS('Outages (event ledger)'!$H$2:$H$65,'Outages (event ledger)'!$A$2:$A$65,I$2,'Outages (event ledger)'!$E$2:$E$65,"&lt;="&amp;$B141,'Outages (event ledger)'!$G$2:$G$65,"&gt;="&amp;$B141)</f>
        <v>0</v>
      </c>
      <c r="J141" s="29" t="n">
        <f aca="false">SUMIFS('Outages (event ledger)'!$H$2:$H$65,'Outages (event ledger)'!$A$2:$A$65,J$2,'Outages (event ledger)'!$E$2:$E$65,"&lt;="&amp;$B141,'Outages (event ledger)'!$G$2:$G$65,"&gt;="&amp;$B141)</f>
        <v>0</v>
      </c>
      <c r="K141" s="29" t="n">
        <f aca="false">SUMIFS('Outages (event ledger)'!$H$2:$H$65,'Outages (event ledger)'!$A$2:$A$65,K$2,'Outages (event ledger)'!$E$2:$E$65,"&lt;="&amp;$B141,'Outages (event ledger)'!$G$2:$G$65,"&gt;="&amp;$B141)</f>
        <v>0</v>
      </c>
      <c r="L141" s="29" t="n">
        <f aca="false">SUMIFS('Outages (event ledger)'!$H$2:$H$65,'Outages (event ledger)'!$A$2:$A$65,L$2,'Outages (event ledger)'!$E$2:$E$65,"&lt;="&amp;$B141,'Outages (event ledger)'!$G$2:$G$65,"&gt;="&amp;$B141)</f>
        <v>0</v>
      </c>
      <c r="M141" s="29" t="n">
        <f aca="false">SUMIFS('Outages (event ledger)'!$H$2:$H$65,'Outages (event ledger)'!$A$2:$A$65,M$2,'Outages (event ledger)'!$E$2:$E$65,"&lt;="&amp;$B141,'Outages (event ledger)'!$G$2:$G$65,"&gt;="&amp;$B141)</f>
        <v>0</v>
      </c>
      <c r="N141" s="29" t="n">
        <f aca="false">SUMIFS('Outages (event ledger)'!$H$2:$H$65,'Outages (event ledger)'!$A$2:$A$65,N$2,'Outages (event ledger)'!$E$2:$E$65,"&lt;="&amp;$B141,'Outages (event ledger)'!$G$2:$G$65,"&gt;="&amp;$B141)</f>
        <v>0</v>
      </c>
      <c r="O141" s="29" t="n">
        <f aca="false">SUMIFS('Outages (event ledger)'!$H$2:$H$65,'Outages (event ledger)'!$A$2:$A$65,O$2,'Outages (event ledger)'!$E$2:$E$65,"&lt;="&amp;$B141,'Outages (event ledger)'!$G$2:$G$65,"&gt;="&amp;$B141)</f>
        <v>0</v>
      </c>
      <c r="P141" s="29" t="n">
        <f aca="false">SUMIFS('Outages (event ledger)'!$H$2:$H$65,'Outages (event ledger)'!$A$2:$A$65,P$2,'Outages (event ledger)'!$E$2:$E$65,"&lt;="&amp;$B141,'Outages (event ledger)'!$G$2:$G$65,"&gt;="&amp;$B141)</f>
        <v>0</v>
      </c>
      <c r="Q141" s="29" t="n">
        <f aca="false">SUMIFS('Outages (event ledger)'!$H$2:$H$65,'Outages (event ledger)'!$A$2:$A$65,Q$2,'Outages (event ledger)'!$E$2:$E$65,"&lt;="&amp;$B141,'Outages (event ledger)'!$G$2:$G$65,"&gt;="&amp;$B141)</f>
        <v>0</v>
      </c>
      <c r="R141" s="29" t="n">
        <f aca="false">SUMIFS('Outages (event ledger)'!$H$2:$H$65,'Outages (event ledger)'!$A$2:$A$65,R$2,'Outages (event ledger)'!$E$2:$E$65,"&lt;="&amp;$B141,'Outages (event ledger)'!$G$2:$G$65,"&gt;="&amp;$B141)</f>
        <v>0</v>
      </c>
      <c r="S141" s="29" t="n">
        <f aca="false">SUMIFS('Outages (event ledger)'!$H$2:$H$65,'Outages (event ledger)'!$A$2:$A$65,S$2,'Outages (event ledger)'!$E$2:$E$65,"&lt;="&amp;$B141,'Outages (event ledger)'!$G$2:$G$65,"&gt;="&amp;$B141)</f>
        <v>0</v>
      </c>
      <c r="T141" s="29" t="n">
        <f aca="false">SUMIFS('Outages (event ledger)'!$H$2:$H$65,'Outages (event ledger)'!$A$2:$A$65,T$2,'Outages (event ledger)'!$E$2:$E$65,"&lt;="&amp;$B141,'Outages (event ledger)'!$G$2:$G$65,"&gt;="&amp;$B141)</f>
        <v>0</v>
      </c>
      <c r="U141" s="29" t="n">
        <f aca="false">SUMIFS('Outages (event ledger)'!$H$2:$H$65,'Outages (event ledger)'!$A$2:$A$65,U$2,'Outages (event ledger)'!$E$2:$E$65,"&lt;="&amp;$B141,'Outages (event ledger)'!$G$2:$G$65,"&gt;="&amp;$B141)</f>
        <v>0</v>
      </c>
      <c r="V141" s="29" t="n">
        <f aca="false">SUMIFS('Outages (event ledger)'!$H$2:$H$65,'Outages (event ledger)'!$A$2:$A$65,V$2,'Outages (event ledger)'!$E$2:$E$65,"&lt;="&amp;$B141,'Outages (event ledger)'!$G$2:$G$65,"&gt;="&amp;$B141)</f>
        <v>0</v>
      </c>
      <c r="W141" s="29" t="n">
        <f aca="false">SUMIFS('Outages (event ledger)'!$H$2:$H$65,'Outages (event ledger)'!$A$2:$A$65,W$2,'Outages (event ledger)'!$E$2:$E$65,"&lt;="&amp;$B141,'Outages (event ledger)'!$G$2:$G$65,"&gt;="&amp;$B141)</f>
        <v>0</v>
      </c>
      <c r="X141" s="29" t="n">
        <f aca="false">SUMIFS('Outages (event ledger)'!$H$2:$H$65,'Outages (event ledger)'!$A$2:$A$65,X$2,'Outages (event ledger)'!$E$2:$E$65,"&lt;="&amp;$B141,'Outages (event ledger)'!$G$2:$G$65,"&gt;="&amp;$B141)</f>
        <v>0</v>
      </c>
      <c r="Y141" s="29" t="n">
        <f aca="false">SUMIFS('Outages (event ledger)'!$H$2:$H$65,'Outages (event ledger)'!$A$2:$A$65,Y$2,'Outages (event ledger)'!$E$2:$E$65,"&lt;="&amp;$B141,'Outages (event ledger)'!$G$2:$G$65,"&gt;="&amp;$B141)</f>
        <v>0</v>
      </c>
      <c r="Z141" s="29" t="n">
        <f aca="false">SUMIFS('Outages (event ledger)'!$H$2:$H$65,'Outages (event ledger)'!$A$2:$A$65,Z$2,'Outages (event ledger)'!$E$2:$E$65,"&lt;="&amp;$B141,'Outages (event ledger)'!$G$2:$G$65,"&gt;="&amp;$B141)</f>
        <v>0</v>
      </c>
      <c r="AA141" s="29" t="n">
        <f aca="false">SUMIFS('Outages (event ledger)'!$H$2:$H$65,'Outages (event ledger)'!$A$2:$A$65,AA$2,'Outages (event ledger)'!$E$2:$E$65,"&lt;="&amp;$B141,'Outages (event ledger)'!$G$2:$G$65,"&gt;="&amp;$B141)</f>
        <v>0</v>
      </c>
      <c r="AB141" s="29" t="n">
        <f aca="false">SUMIFS('Outages (event ledger)'!$H$2:$H$65,'Outages (event ledger)'!$A$2:$A$65,AB$2,'Outages (event ledger)'!$E$2:$E$65,"&lt;="&amp;$B141,'Outages (event ledger)'!$G$2:$G$65,"&gt;="&amp;$B141)</f>
        <v>8</v>
      </c>
      <c r="AC141" s="29" t="n">
        <f aca="false">SUMIFS('Outages (event ledger)'!$H$2:$H$65,'Outages (event ledger)'!$A$2:$A$65,AC$2,'Outages (event ledger)'!$E$2:$E$65,"&lt;="&amp;$B141,'Outages (event ledger)'!$G$2:$G$65,"&gt;="&amp;$B141)</f>
        <v>0</v>
      </c>
      <c r="AD141" s="29" t="n">
        <f aca="false">SUMIFS('Outages (event ledger)'!$H$2:$H$65,'Outages (event ledger)'!$A$2:$A$65,AD$2,'Outages (event ledger)'!$E$2:$E$65,"&lt;="&amp;$B141,'Outages (event ledger)'!$G$2:$G$65,"&gt;="&amp;$B141)</f>
        <v>0</v>
      </c>
      <c r="AE141" s="29" t="n">
        <f aca="false">SUMIFS('Outages (event ledger)'!$H$2:$H$65,'Outages (event ledger)'!$A$2:$A$65,AE$2,'Outages (event ledger)'!$E$2:$E$65,"&lt;="&amp;$B141,'Outages (event ledger)'!$G$2:$G$65,"&gt;="&amp;$B141)</f>
        <v>0</v>
      </c>
      <c r="AF141" s="29" t="n">
        <f aca="false">SUMIFS('Outages (event ledger)'!$H$2:$H$65,'Outages (event ledger)'!$A$2:$A$65,AF$2,'Outages (event ledger)'!$E$2:$E$65,"&lt;="&amp;$B141,'Outages (event ledger)'!$G$2:$G$65,"&gt;="&amp;$B141)</f>
        <v>0</v>
      </c>
      <c r="AG141" s="29" t="n">
        <f aca="false">SUMIFS('Outages (event ledger)'!$H$2:$H$65,'Outages (event ledger)'!$A$2:$A$65,AG$2,'Outages (event ledger)'!$E$2:$E$65,"&lt;="&amp;$B141,'Outages (event ledger)'!$G$2:$G$65,"&gt;="&amp;$B141)</f>
        <v>0</v>
      </c>
      <c r="AH141" s="29" t="n">
        <f aca="false">SUMIFS('Outages (event ledger)'!$H$2:$H$65,'Outages (event ledger)'!$A$2:$A$65,AH$2,'Outages (event ledger)'!$E$2:$E$65,"&lt;="&amp;$B141,'Outages (event ledger)'!$G$2:$G$65,"&gt;="&amp;$B141)</f>
        <v>0</v>
      </c>
      <c r="AI141" s="29" t="n">
        <f aca="false">SUMIFS('Outages (event ledger)'!$H$2:$H$65,'Outages (event ledger)'!$A$2:$A$65,AI$2,'Outages (event ledger)'!$E$2:$E$65,"&lt;="&amp;$B141,'Outages (event ledger)'!$G$2:$G$65,"&gt;="&amp;$B141)</f>
        <v>0</v>
      </c>
      <c r="AJ141" s="29" t="n">
        <f aca="false">SUMIFS('Outages (event ledger)'!$H$2:$H$65,'Outages (event ledger)'!$A$2:$A$65,AJ$2,'Outages (event ledger)'!$E$2:$E$65,"&lt;="&amp;$B141,'Outages (event ledger)'!$G$2:$G$65,"&gt;="&amp;$B141)</f>
        <v>0</v>
      </c>
      <c r="AK141" s="29" t="n">
        <f aca="false">SUMIFS('Outages (event ledger)'!$H$2:$H$65,'Outages (event ledger)'!$A$2:$A$65,AK$2,'Outages (event ledger)'!$E$2:$E$65,"&lt;="&amp;$B141,'Outages (event ledger)'!$G$2:$G$65,"&gt;="&amp;$B141)</f>
        <v>0</v>
      </c>
      <c r="AL141" s="29" t="n">
        <f aca="false">SUMIFS('Outages (event ledger)'!$H$2:$H$65,'Outages (event ledger)'!$A$2:$A$65,AL$2,'Outages (event ledger)'!$E$2:$E$65,"&lt;="&amp;$B141,'Outages (event ledger)'!$G$2:$G$65,"&gt;="&amp;$B141)</f>
        <v>4</v>
      </c>
      <c r="AM141" s="29" t="n">
        <f aca="false">SUMIFS('Outages (event ledger)'!$H$2:$H$65,'Outages (event ledger)'!$A$2:$A$65,AM$2,'Outages (event ledger)'!$E$2:$E$65,"&lt;="&amp;$B141,'Outages (event ledger)'!$G$2:$G$65,"&gt;="&amp;$B141)</f>
        <v>0</v>
      </c>
      <c r="AN141" s="29" t="n">
        <f aca="false">SUMIFS('Outages (event ledger)'!$H$2:$H$65,'Outages (event ledger)'!$A$2:$A$65,AN$2,'Outages (event ledger)'!$E$2:$E$65,"&lt;="&amp;$B141,'Outages (event ledger)'!$G$2:$G$65,"&gt;="&amp;$B141)</f>
        <v>4.3</v>
      </c>
      <c r="AO141" s="29" t="n">
        <f aca="false">SUMIFS('Outages (event ledger)'!$H$2:$H$65,'Outages (event ledger)'!$A$2:$A$65,AO$2,'Outages (event ledger)'!$E$2:$E$65,"&lt;="&amp;$B141,'Outages (event ledger)'!$G$2:$G$65,"&gt;="&amp;$B141)</f>
        <v>0</v>
      </c>
      <c r="AP141" s="29" t="n">
        <f aca="false">SUMIFS('Outages (event ledger)'!$H$2:$H$65,'Outages (event ledger)'!$A$2:$A$65,AP$2,'Outages (event ledger)'!$E$2:$E$65,"&lt;="&amp;$B141,'Outages (event ledger)'!$G$2:$G$65,"&gt;="&amp;$B141)</f>
        <v>0</v>
      </c>
      <c r="AQ141" s="29" t="n">
        <f aca="false">SUMIFS('Outages (event ledger)'!$H$2:$H$65,'Outages (event ledger)'!$A$2:$A$65,AQ$2,'Outages (event ledger)'!$E$2:$E$65,"&lt;="&amp;$B141,'Outages (event ledger)'!$G$2:$G$65,"&gt;="&amp;$B141)</f>
        <v>0</v>
      </c>
      <c r="AR141" s="29" t="n">
        <f aca="false">SUMIFS('Outages (event ledger)'!$H$2:$H$65,'Outages (event ledger)'!$A$2:$A$65,AR$2,'Outages (event ledger)'!$E$2:$E$65,"&lt;="&amp;$B141,'Outages (event ledger)'!$G$2:$G$65,"&gt;="&amp;$B141)</f>
        <v>0</v>
      </c>
      <c r="AS141" s="29" t="n">
        <f aca="false">SUMIFS('Outages (event ledger)'!$H$2:$H$65,'Outages (event ledger)'!$A$2:$A$65,AS$2,'Outages (event ledger)'!$E$2:$E$65,"&lt;="&amp;$B141,'Outages (event ledger)'!$G$2:$G$65,"&gt;="&amp;$B141)</f>
        <v>0</v>
      </c>
      <c r="AT141" s="29" t="n">
        <f aca="false">SUMIFS('Outages (event ledger)'!$H$2:$H$65,'Outages (event ledger)'!$A$2:$A$65,AT$2,'Outages (event ledger)'!$E$2:$E$65,"&lt;="&amp;$B141,'Outages (event ledger)'!$G$2:$G$65,"&gt;="&amp;$B141)</f>
        <v>0</v>
      </c>
      <c r="AU141" s="29" t="n">
        <f aca="false">SUMIFS('Outages (event ledger)'!$H$2:$H$65,'Outages (event ledger)'!$A$2:$A$65,AU$2,'Outages (event ledger)'!$E$2:$E$65,"&lt;="&amp;$B141,'Outages (event ledger)'!$G$2:$G$65,"&gt;="&amp;$B141)</f>
        <v>0</v>
      </c>
      <c r="AV141" s="29" t="n">
        <f aca="false">SUMIFS('Outages (event ledger)'!$H$2:$H$65,'Outages (event ledger)'!$A$2:$A$65,AV$2,'Outages (event ledger)'!$E$2:$E$65,"&lt;="&amp;$B141,'Outages (event ledger)'!$G$2:$G$65,"&gt;="&amp;$B141)</f>
        <v>0</v>
      </c>
      <c r="AW141" s="29" t="n">
        <f aca="false">SUMIFS('Outages (event ledger)'!$H$2:$H$65,'Outages (event ledger)'!$A$2:$A$65,AW$2,'Outages (event ledger)'!$E$2:$E$65,"&lt;="&amp;$B141,'Outages (event ledger)'!$G$2:$G$65,"&gt;="&amp;$B141)</f>
        <v>0</v>
      </c>
      <c r="AX141" s="29" t="n">
        <f aca="false">SUMIFS('Outages (event ledger)'!$H$2:$H$65,'Outages (event ledger)'!$A$2:$A$65,AX$2,'Outages (event ledger)'!$E$2:$E$65,"&lt;="&amp;$B141,'Outages (event ledger)'!$G$2:$G$65,"&gt;="&amp;$B141)</f>
        <v>6.6</v>
      </c>
      <c r="AY141" s="29" t="n">
        <f aca="false">SUMIFS('Outages (event ledger)'!$H$2:$H$65,'Outages (event ledger)'!$A$2:$A$65,AY$2,'Outages (event ledger)'!$E$2:$E$65,"&lt;="&amp;$B141,'Outages (event ledger)'!$G$2:$G$65,"&gt;="&amp;$B141)</f>
        <v>0</v>
      </c>
      <c r="AZ141" s="29" t="n">
        <f aca="false">SUMIFS('Outages (event ledger)'!$H$2:$H$65,'Outages (event ledger)'!$A$2:$A$65,AZ$2,'Outages (event ledger)'!$E$2:$E$65,"&lt;="&amp;$B141,'Outages (event ledger)'!$G$2:$G$65,"&gt;="&amp;$B141)</f>
        <v>0</v>
      </c>
      <c r="BA141" s="29" t="n">
        <f aca="false">SUMIFS('Outages (event ledger)'!$H$2:$H$65,'Outages (event ledger)'!$A$2:$A$65,BA$2,'Outages (event ledger)'!$E$2:$E$65,"&lt;="&amp;$B141,'Outages (event ledger)'!$G$2:$G$65,"&gt;="&amp;$B141)</f>
        <v>0</v>
      </c>
      <c r="BB141" s="29" t="n">
        <f aca="false">SUMIFS('Outages (event ledger)'!$H$2:$H$65,'Outages (event ledger)'!$A$2:$A$65,BB$2,'Outages (event ledger)'!$E$2:$E$65,"&lt;="&amp;$B141,'Outages (event ledger)'!$G$2:$G$65,"&gt;="&amp;$B141)</f>
        <v>0</v>
      </c>
      <c r="BC141" s="29" t="n">
        <f aca="false">SUMIFS('Outages (event ledger)'!$H$2:$H$65,'Outages (event ledger)'!$A$2:$A$65,BC$2,'Outages (event ledger)'!$E$2:$E$65,"&lt;="&amp;$B141,'Outages (event ledger)'!$G$2:$G$65,"&gt;="&amp;$B141)</f>
        <v>0</v>
      </c>
      <c r="BD141" s="29" t="n">
        <f aca="false">SUMIFS('Outages (event ledger)'!$H$2:$H$65,'Outages (event ledger)'!$A$2:$A$65,BD$2,'Outages (event ledger)'!$E$2:$E$65,"&lt;="&amp;$B141,'Outages (event ledger)'!$G$2:$G$65,"&gt;="&amp;$B141)</f>
        <v>0</v>
      </c>
      <c r="BE141" s="29" t="n">
        <f aca="false">SUMIFS('Outages (event ledger)'!$H$2:$H$65,'Outages (event ledger)'!$A$2:$A$65,BE$2,'Outages (event ledger)'!$E$2:$E$65,"&lt;="&amp;$B141,'Outages (event ledger)'!$G$2:$G$65,"&gt;="&amp;$B141)</f>
        <v>0</v>
      </c>
      <c r="BF141" s="29" t="n">
        <f aca="false">SUMIFS('Outages (event ledger)'!$H$2:$H$65,'Outages (event ledger)'!$A$2:$A$65,BF$2,'Outages (event ledger)'!$E$2:$E$65,"&lt;="&amp;$B141,'Outages (event ledger)'!$G$2:$G$65,"&gt;="&amp;$B141)</f>
        <v>0</v>
      </c>
      <c r="BG141" s="29" t="n">
        <f aca="false">SUMIFS('Outages (event ledger)'!$H$2:$H$65,'Outages (event ledger)'!$A$2:$A$65,BG$2,'Outages (event ledger)'!$E$2:$E$65,"&lt;="&amp;$B141,'Outages (event ledger)'!$G$2:$G$65,"&gt;="&amp;$B141)</f>
        <v>0</v>
      </c>
      <c r="BH141" s="29" t="n">
        <f aca="false">SUMIFS('Outages (event ledger)'!$H$2:$H$65,'Outages (event ledger)'!$A$2:$A$65,BH$2,'Outages (event ledger)'!$E$2:$E$65,"&lt;="&amp;$B141,'Outages (event ledger)'!$G$2:$G$65,"&gt;="&amp;$B141)</f>
        <v>0</v>
      </c>
      <c r="BI141" s="29" t="n">
        <f aca="false">SUMIFS('Outages (event ledger)'!$H$2:$H$65,'Outages (event ledger)'!$A$2:$A$65,BI$2,'Outages (event ledger)'!$E$2:$E$65,"&lt;="&amp;$B141,'Outages (event ledger)'!$G$2:$G$65,"&gt;="&amp;$B141)</f>
        <v>6.7</v>
      </c>
    </row>
    <row r="142" customFormat="false" ht="15" hidden="false" customHeight="false" outlineLevel="0" collapsed="false">
      <c r="A142" s="27" t="n">
        <v>44409</v>
      </c>
      <c r="B142" s="28" t="n">
        <v>202108</v>
      </c>
      <c r="C142" s="25" t="n">
        <f aca="false">SUM(D142:BI142)</f>
        <v>29.6</v>
      </c>
      <c r="D142" s="29" t="n">
        <f aca="false">SUMIFS('Outages (event ledger)'!$H$2:$H$65,'Outages (event ledger)'!$A$2:$A$65,D$2,'Outages (event ledger)'!$E$2:$E$65,"&lt;="&amp;$B142,'Outages (event ledger)'!$G$2:$G$65,"&gt;="&amp;$B142)</f>
        <v>0</v>
      </c>
      <c r="E142" s="29" t="n">
        <f aca="false">SUMIFS('Outages (event ledger)'!$H$2:$H$65,'Outages (event ledger)'!$A$2:$A$65,E$2,'Outages (event ledger)'!$E$2:$E$65,"&lt;="&amp;$B142,'Outages (event ledger)'!$G$2:$G$65,"&gt;="&amp;$B142)</f>
        <v>0</v>
      </c>
      <c r="F142" s="29" t="n">
        <f aca="false">SUMIFS('Outages (event ledger)'!$H$2:$H$65,'Outages (event ledger)'!$A$2:$A$65,F$2,'Outages (event ledger)'!$E$2:$E$65,"&lt;="&amp;$B142,'Outages (event ledger)'!$G$2:$G$65,"&gt;="&amp;$B142)</f>
        <v>0</v>
      </c>
      <c r="G142" s="29" t="n">
        <f aca="false">SUMIFS('Outages (event ledger)'!$H$2:$H$65,'Outages (event ledger)'!$A$2:$A$65,G$2,'Outages (event ledger)'!$E$2:$E$65,"&lt;="&amp;$B142,'Outages (event ledger)'!$G$2:$G$65,"&gt;="&amp;$B142)</f>
        <v>0</v>
      </c>
      <c r="H142" s="29" t="n">
        <f aca="false">SUMIFS('Outages (event ledger)'!$H$2:$H$65,'Outages (event ledger)'!$A$2:$A$65,H$2,'Outages (event ledger)'!$E$2:$E$65,"&lt;="&amp;$B142,'Outages (event ledger)'!$G$2:$G$65,"&gt;="&amp;$B142)</f>
        <v>0</v>
      </c>
      <c r="I142" s="29" t="n">
        <f aca="false">SUMIFS('Outages (event ledger)'!$H$2:$H$65,'Outages (event ledger)'!$A$2:$A$65,I$2,'Outages (event ledger)'!$E$2:$E$65,"&lt;="&amp;$B142,'Outages (event ledger)'!$G$2:$G$65,"&gt;="&amp;$B142)</f>
        <v>0</v>
      </c>
      <c r="J142" s="29" t="n">
        <f aca="false">SUMIFS('Outages (event ledger)'!$H$2:$H$65,'Outages (event ledger)'!$A$2:$A$65,J$2,'Outages (event ledger)'!$E$2:$E$65,"&lt;="&amp;$B142,'Outages (event ledger)'!$G$2:$G$65,"&gt;="&amp;$B142)</f>
        <v>0</v>
      </c>
      <c r="K142" s="29" t="n">
        <f aca="false">SUMIFS('Outages (event ledger)'!$H$2:$H$65,'Outages (event ledger)'!$A$2:$A$65,K$2,'Outages (event ledger)'!$E$2:$E$65,"&lt;="&amp;$B142,'Outages (event ledger)'!$G$2:$G$65,"&gt;="&amp;$B142)</f>
        <v>0</v>
      </c>
      <c r="L142" s="29" t="n">
        <f aca="false">SUMIFS('Outages (event ledger)'!$H$2:$H$65,'Outages (event ledger)'!$A$2:$A$65,L$2,'Outages (event ledger)'!$E$2:$E$65,"&lt;="&amp;$B142,'Outages (event ledger)'!$G$2:$G$65,"&gt;="&amp;$B142)</f>
        <v>0</v>
      </c>
      <c r="M142" s="29" t="n">
        <f aca="false">SUMIFS('Outages (event ledger)'!$H$2:$H$65,'Outages (event ledger)'!$A$2:$A$65,M$2,'Outages (event ledger)'!$E$2:$E$65,"&lt;="&amp;$B142,'Outages (event ledger)'!$G$2:$G$65,"&gt;="&amp;$B142)</f>
        <v>0</v>
      </c>
      <c r="N142" s="29" t="n">
        <f aca="false">SUMIFS('Outages (event ledger)'!$H$2:$H$65,'Outages (event ledger)'!$A$2:$A$65,N$2,'Outages (event ledger)'!$E$2:$E$65,"&lt;="&amp;$B142,'Outages (event ledger)'!$G$2:$G$65,"&gt;="&amp;$B142)</f>
        <v>0</v>
      </c>
      <c r="O142" s="29" t="n">
        <f aca="false">SUMIFS('Outages (event ledger)'!$H$2:$H$65,'Outages (event ledger)'!$A$2:$A$65,O$2,'Outages (event ledger)'!$E$2:$E$65,"&lt;="&amp;$B142,'Outages (event ledger)'!$G$2:$G$65,"&gt;="&amp;$B142)</f>
        <v>0</v>
      </c>
      <c r="P142" s="29" t="n">
        <f aca="false">SUMIFS('Outages (event ledger)'!$H$2:$H$65,'Outages (event ledger)'!$A$2:$A$65,P$2,'Outages (event ledger)'!$E$2:$E$65,"&lt;="&amp;$B142,'Outages (event ledger)'!$G$2:$G$65,"&gt;="&amp;$B142)</f>
        <v>0</v>
      </c>
      <c r="Q142" s="29" t="n">
        <f aca="false">SUMIFS('Outages (event ledger)'!$H$2:$H$65,'Outages (event ledger)'!$A$2:$A$65,Q$2,'Outages (event ledger)'!$E$2:$E$65,"&lt;="&amp;$B142,'Outages (event ledger)'!$G$2:$G$65,"&gt;="&amp;$B142)</f>
        <v>0</v>
      </c>
      <c r="R142" s="29" t="n">
        <f aca="false">SUMIFS('Outages (event ledger)'!$H$2:$H$65,'Outages (event ledger)'!$A$2:$A$65,R$2,'Outages (event ledger)'!$E$2:$E$65,"&lt;="&amp;$B142,'Outages (event ledger)'!$G$2:$G$65,"&gt;="&amp;$B142)</f>
        <v>0</v>
      </c>
      <c r="S142" s="29" t="n">
        <f aca="false">SUMIFS('Outages (event ledger)'!$H$2:$H$65,'Outages (event ledger)'!$A$2:$A$65,S$2,'Outages (event ledger)'!$E$2:$E$65,"&lt;="&amp;$B142,'Outages (event ledger)'!$G$2:$G$65,"&gt;="&amp;$B142)</f>
        <v>0</v>
      </c>
      <c r="T142" s="29" t="n">
        <f aca="false">SUMIFS('Outages (event ledger)'!$H$2:$H$65,'Outages (event ledger)'!$A$2:$A$65,T$2,'Outages (event ledger)'!$E$2:$E$65,"&lt;="&amp;$B142,'Outages (event ledger)'!$G$2:$G$65,"&gt;="&amp;$B142)</f>
        <v>0</v>
      </c>
      <c r="U142" s="29" t="n">
        <f aca="false">SUMIFS('Outages (event ledger)'!$H$2:$H$65,'Outages (event ledger)'!$A$2:$A$65,U$2,'Outages (event ledger)'!$E$2:$E$65,"&lt;="&amp;$B142,'Outages (event ledger)'!$G$2:$G$65,"&gt;="&amp;$B142)</f>
        <v>0</v>
      </c>
      <c r="V142" s="29" t="n">
        <f aca="false">SUMIFS('Outages (event ledger)'!$H$2:$H$65,'Outages (event ledger)'!$A$2:$A$65,V$2,'Outages (event ledger)'!$E$2:$E$65,"&lt;="&amp;$B142,'Outages (event ledger)'!$G$2:$G$65,"&gt;="&amp;$B142)</f>
        <v>0</v>
      </c>
      <c r="W142" s="29" t="n">
        <f aca="false">SUMIFS('Outages (event ledger)'!$H$2:$H$65,'Outages (event ledger)'!$A$2:$A$65,W$2,'Outages (event ledger)'!$E$2:$E$65,"&lt;="&amp;$B142,'Outages (event ledger)'!$G$2:$G$65,"&gt;="&amp;$B142)</f>
        <v>0</v>
      </c>
      <c r="X142" s="29" t="n">
        <f aca="false">SUMIFS('Outages (event ledger)'!$H$2:$H$65,'Outages (event ledger)'!$A$2:$A$65,X$2,'Outages (event ledger)'!$E$2:$E$65,"&lt;="&amp;$B142,'Outages (event ledger)'!$G$2:$G$65,"&gt;="&amp;$B142)</f>
        <v>0</v>
      </c>
      <c r="Y142" s="29" t="n">
        <f aca="false">SUMIFS('Outages (event ledger)'!$H$2:$H$65,'Outages (event ledger)'!$A$2:$A$65,Y$2,'Outages (event ledger)'!$E$2:$E$65,"&lt;="&amp;$B142,'Outages (event ledger)'!$G$2:$G$65,"&gt;="&amp;$B142)</f>
        <v>0</v>
      </c>
      <c r="Z142" s="29" t="n">
        <f aca="false">SUMIFS('Outages (event ledger)'!$H$2:$H$65,'Outages (event ledger)'!$A$2:$A$65,Z$2,'Outages (event ledger)'!$E$2:$E$65,"&lt;="&amp;$B142,'Outages (event ledger)'!$G$2:$G$65,"&gt;="&amp;$B142)</f>
        <v>0</v>
      </c>
      <c r="AA142" s="29" t="n">
        <f aca="false">SUMIFS('Outages (event ledger)'!$H$2:$H$65,'Outages (event ledger)'!$A$2:$A$65,AA$2,'Outages (event ledger)'!$E$2:$E$65,"&lt;="&amp;$B142,'Outages (event ledger)'!$G$2:$G$65,"&gt;="&amp;$B142)</f>
        <v>0</v>
      </c>
      <c r="AB142" s="29" t="n">
        <f aca="false">SUMIFS('Outages (event ledger)'!$H$2:$H$65,'Outages (event ledger)'!$A$2:$A$65,AB$2,'Outages (event ledger)'!$E$2:$E$65,"&lt;="&amp;$B142,'Outages (event ledger)'!$G$2:$G$65,"&gt;="&amp;$B142)</f>
        <v>8</v>
      </c>
      <c r="AC142" s="29" t="n">
        <f aca="false">SUMIFS('Outages (event ledger)'!$H$2:$H$65,'Outages (event ledger)'!$A$2:$A$65,AC$2,'Outages (event ledger)'!$E$2:$E$65,"&lt;="&amp;$B142,'Outages (event ledger)'!$G$2:$G$65,"&gt;="&amp;$B142)</f>
        <v>0</v>
      </c>
      <c r="AD142" s="29" t="n">
        <f aca="false">SUMIFS('Outages (event ledger)'!$H$2:$H$65,'Outages (event ledger)'!$A$2:$A$65,AD$2,'Outages (event ledger)'!$E$2:$E$65,"&lt;="&amp;$B142,'Outages (event ledger)'!$G$2:$G$65,"&gt;="&amp;$B142)</f>
        <v>0</v>
      </c>
      <c r="AE142" s="29" t="n">
        <f aca="false">SUMIFS('Outages (event ledger)'!$H$2:$H$65,'Outages (event ledger)'!$A$2:$A$65,AE$2,'Outages (event ledger)'!$E$2:$E$65,"&lt;="&amp;$B142,'Outages (event ledger)'!$G$2:$G$65,"&gt;="&amp;$B142)</f>
        <v>0</v>
      </c>
      <c r="AF142" s="29" t="n">
        <f aca="false">SUMIFS('Outages (event ledger)'!$H$2:$H$65,'Outages (event ledger)'!$A$2:$A$65,AF$2,'Outages (event ledger)'!$E$2:$E$65,"&lt;="&amp;$B142,'Outages (event ledger)'!$G$2:$G$65,"&gt;="&amp;$B142)</f>
        <v>0</v>
      </c>
      <c r="AG142" s="29" t="n">
        <f aca="false">SUMIFS('Outages (event ledger)'!$H$2:$H$65,'Outages (event ledger)'!$A$2:$A$65,AG$2,'Outages (event ledger)'!$E$2:$E$65,"&lt;="&amp;$B142,'Outages (event ledger)'!$G$2:$G$65,"&gt;="&amp;$B142)</f>
        <v>0</v>
      </c>
      <c r="AH142" s="29" t="n">
        <f aca="false">SUMIFS('Outages (event ledger)'!$H$2:$H$65,'Outages (event ledger)'!$A$2:$A$65,AH$2,'Outages (event ledger)'!$E$2:$E$65,"&lt;="&amp;$B142,'Outages (event ledger)'!$G$2:$G$65,"&gt;="&amp;$B142)</f>
        <v>0</v>
      </c>
      <c r="AI142" s="29" t="n">
        <f aca="false">SUMIFS('Outages (event ledger)'!$H$2:$H$65,'Outages (event ledger)'!$A$2:$A$65,AI$2,'Outages (event ledger)'!$E$2:$E$65,"&lt;="&amp;$B142,'Outages (event ledger)'!$G$2:$G$65,"&gt;="&amp;$B142)</f>
        <v>0</v>
      </c>
      <c r="AJ142" s="29" t="n">
        <f aca="false">SUMIFS('Outages (event ledger)'!$H$2:$H$65,'Outages (event ledger)'!$A$2:$A$65,AJ$2,'Outages (event ledger)'!$E$2:$E$65,"&lt;="&amp;$B142,'Outages (event ledger)'!$G$2:$G$65,"&gt;="&amp;$B142)</f>
        <v>0</v>
      </c>
      <c r="AK142" s="29" t="n">
        <f aca="false">SUMIFS('Outages (event ledger)'!$H$2:$H$65,'Outages (event ledger)'!$A$2:$A$65,AK$2,'Outages (event ledger)'!$E$2:$E$65,"&lt;="&amp;$B142,'Outages (event ledger)'!$G$2:$G$65,"&gt;="&amp;$B142)</f>
        <v>0</v>
      </c>
      <c r="AL142" s="29" t="n">
        <f aca="false">SUMIFS('Outages (event ledger)'!$H$2:$H$65,'Outages (event ledger)'!$A$2:$A$65,AL$2,'Outages (event ledger)'!$E$2:$E$65,"&lt;="&amp;$B142,'Outages (event ledger)'!$G$2:$G$65,"&gt;="&amp;$B142)</f>
        <v>4</v>
      </c>
      <c r="AM142" s="29" t="n">
        <f aca="false">SUMIFS('Outages (event ledger)'!$H$2:$H$65,'Outages (event ledger)'!$A$2:$A$65,AM$2,'Outages (event ledger)'!$E$2:$E$65,"&lt;="&amp;$B142,'Outages (event ledger)'!$G$2:$G$65,"&gt;="&amp;$B142)</f>
        <v>0</v>
      </c>
      <c r="AN142" s="29" t="n">
        <f aca="false">SUMIFS('Outages (event ledger)'!$H$2:$H$65,'Outages (event ledger)'!$A$2:$A$65,AN$2,'Outages (event ledger)'!$E$2:$E$65,"&lt;="&amp;$B142,'Outages (event ledger)'!$G$2:$G$65,"&gt;="&amp;$B142)</f>
        <v>4.3</v>
      </c>
      <c r="AO142" s="29" t="n">
        <f aca="false">SUMIFS('Outages (event ledger)'!$H$2:$H$65,'Outages (event ledger)'!$A$2:$A$65,AO$2,'Outages (event ledger)'!$E$2:$E$65,"&lt;="&amp;$B142,'Outages (event ledger)'!$G$2:$G$65,"&gt;="&amp;$B142)</f>
        <v>0</v>
      </c>
      <c r="AP142" s="29" t="n">
        <f aca="false">SUMIFS('Outages (event ledger)'!$H$2:$H$65,'Outages (event ledger)'!$A$2:$A$65,AP$2,'Outages (event ledger)'!$E$2:$E$65,"&lt;="&amp;$B142,'Outages (event ledger)'!$G$2:$G$65,"&gt;="&amp;$B142)</f>
        <v>0</v>
      </c>
      <c r="AQ142" s="29" t="n">
        <f aca="false">SUMIFS('Outages (event ledger)'!$H$2:$H$65,'Outages (event ledger)'!$A$2:$A$65,AQ$2,'Outages (event ledger)'!$E$2:$E$65,"&lt;="&amp;$B142,'Outages (event ledger)'!$G$2:$G$65,"&gt;="&amp;$B142)</f>
        <v>0</v>
      </c>
      <c r="AR142" s="29" t="n">
        <f aca="false">SUMIFS('Outages (event ledger)'!$H$2:$H$65,'Outages (event ledger)'!$A$2:$A$65,AR$2,'Outages (event ledger)'!$E$2:$E$65,"&lt;="&amp;$B142,'Outages (event ledger)'!$G$2:$G$65,"&gt;="&amp;$B142)</f>
        <v>0</v>
      </c>
      <c r="AS142" s="29" t="n">
        <f aca="false">SUMIFS('Outages (event ledger)'!$H$2:$H$65,'Outages (event ledger)'!$A$2:$A$65,AS$2,'Outages (event ledger)'!$E$2:$E$65,"&lt;="&amp;$B142,'Outages (event ledger)'!$G$2:$G$65,"&gt;="&amp;$B142)</f>
        <v>0</v>
      </c>
      <c r="AT142" s="29" t="n">
        <f aca="false">SUMIFS('Outages (event ledger)'!$H$2:$H$65,'Outages (event ledger)'!$A$2:$A$65,AT$2,'Outages (event ledger)'!$E$2:$E$65,"&lt;="&amp;$B142,'Outages (event ledger)'!$G$2:$G$65,"&gt;="&amp;$B142)</f>
        <v>0</v>
      </c>
      <c r="AU142" s="29" t="n">
        <f aca="false">SUMIFS('Outages (event ledger)'!$H$2:$H$65,'Outages (event ledger)'!$A$2:$A$65,AU$2,'Outages (event ledger)'!$E$2:$E$65,"&lt;="&amp;$B142,'Outages (event ledger)'!$G$2:$G$65,"&gt;="&amp;$B142)</f>
        <v>0</v>
      </c>
      <c r="AV142" s="29" t="n">
        <f aca="false">SUMIFS('Outages (event ledger)'!$H$2:$H$65,'Outages (event ledger)'!$A$2:$A$65,AV$2,'Outages (event ledger)'!$E$2:$E$65,"&lt;="&amp;$B142,'Outages (event ledger)'!$G$2:$G$65,"&gt;="&amp;$B142)</f>
        <v>0</v>
      </c>
      <c r="AW142" s="29" t="n">
        <f aca="false">SUMIFS('Outages (event ledger)'!$H$2:$H$65,'Outages (event ledger)'!$A$2:$A$65,AW$2,'Outages (event ledger)'!$E$2:$E$65,"&lt;="&amp;$B142,'Outages (event ledger)'!$G$2:$G$65,"&gt;="&amp;$B142)</f>
        <v>0</v>
      </c>
      <c r="AX142" s="29" t="n">
        <f aca="false">SUMIFS('Outages (event ledger)'!$H$2:$H$65,'Outages (event ledger)'!$A$2:$A$65,AX$2,'Outages (event ledger)'!$E$2:$E$65,"&lt;="&amp;$B142,'Outages (event ledger)'!$G$2:$G$65,"&gt;="&amp;$B142)</f>
        <v>6.6</v>
      </c>
      <c r="AY142" s="29" t="n">
        <f aca="false">SUMIFS('Outages (event ledger)'!$H$2:$H$65,'Outages (event ledger)'!$A$2:$A$65,AY$2,'Outages (event ledger)'!$E$2:$E$65,"&lt;="&amp;$B142,'Outages (event ledger)'!$G$2:$G$65,"&gt;="&amp;$B142)</f>
        <v>0</v>
      </c>
      <c r="AZ142" s="29" t="n">
        <f aca="false">SUMIFS('Outages (event ledger)'!$H$2:$H$65,'Outages (event ledger)'!$A$2:$A$65,AZ$2,'Outages (event ledger)'!$E$2:$E$65,"&lt;="&amp;$B142,'Outages (event ledger)'!$G$2:$G$65,"&gt;="&amp;$B142)</f>
        <v>0</v>
      </c>
      <c r="BA142" s="29" t="n">
        <f aca="false">SUMIFS('Outages (event ledger)'!$H$2:$H$65,'Outages (event ledger)'!$A$2:$A$65,BA$2,'Outages (event ledger)'!$E$2:$E$65,"&lt;="&amp;$B142,'Outages (event ledger)'!$G$2:$G$65,"&gt;="&amp;$B142)</f>
        <v>0</v>
      </c>
      <c r="BB142" s="29" t="n">
        <f aca="false">SUMIFS('Outages (event ledger)'!$H$2:$H$65,'Outages (event ledger)'!$A$2:$A$65,BB$2,'Outages (event ledger)'!$E$2:$E$65,"&lt;="&amp;$B142,'Outages (event ledger)'!$G$2:$G$65,"&gt;="&amp;$B142)</f>
        <v>0</v>
      </c>
      <c r="BC142" s="29" t="n">
        <f aca="false">SUMIFS('Outages (event ledger)'!$H$2:$H$65,'Outages (event ledger)'!$A$2:$A$65,BC$2,'Outages (event ledger)'!$E$2:$E$65,"&lt;="&amp;$B142,'Outages (event ledger)'!$G$2:$G$65,"&gt;="&amp;$B142)</f>
        <v>0</v>
      </c>
      <c r="BD142" s="29" t="n">
        <f aca="false">SUMIFS('Outages (event ledger)'!$H$2:$H$65,'Outages (event ledger)'!$A$2:$A$65,BD$2,'Outages (event ledger)'!$E$2:$E$65,"&lt;="&amp;$B142,'Outages (event ledger)'!$G$2:$G$65,"&gt;="&amp;$B142)</f>
        <v>0</v>
      </c>
      <c r="BE142" s="29" t="n">
        <f aca="false">SUMIFS('Outages (event ledger)'!$H$2:$H$65,'Outages (event ledger)'!$A$2:$A$65,BE$2,'Outages (event ledger)'!$E$2:$E$65,"&lt;="&amp;$B142,'Outages (event ledger)'!$G$2:$G$65,"&gt;="&amp;$B142)</f>
        <v>0</v>
      </c>
      <c r="BF142" s="29" t="n">
        <f aca="false">SUMIFS('Outages (event ledger)'!$H$2:$H$65,'Outages (event ledger)'!$A$2:$A$65,BF$2,'Outages (event ledger)'!$E$2:$E$65,"&lt;="&amp;$B142,'Outages (event ledger)'!$G$2:$G$65,"&gt;="&amp;$B142)</f>
        <v>0</v>
      </c>
      <c r="BG142" s="29" t="n">
        <f aca="false">SUMIFS('Outages (event ledger)'!$H$2:$H$65,'Outages (event ledger)'!$A$2:$A$65,BG$2,'Outages (event ledger)'!$E$2:$E$65,"&lt;="&amp;$B142,'Outages (event ledger)'!$G$2:$G$65,"&gt;="&amp;$B142)</f>
        <v>0</v>
      </c>
      <c r="BH142" s="29" t="n">
        <f aca="false">SUMIFS('Outages (event ledger)'!$H$2:$H$65,'Outages (event ledger)'!$A$2:$A$65,BH$2,'Outages (event ledger)'!$E$2:$E$65,"&lt;="&amp;$B142,'Outages (event ledger)'!$G$2:$G$65,"&gt;="&amp;$B142)</f>
        <v>0</v>
      </c>
      <c r="BI142" s="29" t="n">
        <f aca="false">SUMIFS('Outages (event ledger)'!$H$2:$H$65,'Outages (event ledger)'!$A$2:$A$65,BI$2,'Outages (event ledger)'!$E$2:$E$65,"&lt;="&amp;$B142,'Outages (event ledger)'!$G$2:$G$65,"&gt;="&amp;$B142)</f>
        <v>6.7</v>
      </c>
    </row>
    <row r="143" customFormat="false" ht="15" hidden="false" customHeight="false" outlineLevel="0" collapsed="false">
      <c r="A143" s="27" t="n">
        <v>44440</v>
      </c>
      <c r="B143" s="28" t="n">
        <v>202109</v>
      </c>
      <c r="C143" s="25" t="n">
        <f aca="false">SUM(D143:BI143)</f>
        <v>29.6</v>
      </c>
      <c r="D143" s="29" t="n">
        <f aca="false">SUMIFS('Outages (event ledger)'!$H$2:$H$65,'Outages (event ledger)'!$A$2:$A$65,D$2,'Outages (event ledger)'!$E$2:$E$65,"&lt;="&amp;$B143,'Outages (event ledger)'!$G$2:$G$65,"&gt;="&amp;$B143)</f>
        <v>0</v>
      </c>
      <c r="E143" s="29" t="n">
        <f aca="false">SUMIFS('Outages (event ledger)'!$H$2:$H$65,'Outages (event ledger)'!$A$2:$A$65,E$2,'Outages (event ledger)'!$E$2:$E$65,"&lt;="&amp;$B143,'Outages (event ledger)'!$G$2:$G$65,"&gt;="&amp;$B143)</f>
        <v>0</v>
      </c>
      <c r="F143" s="29" t="n">
        <f aca="false">SUMIFS('Outages (event ledger)'!$H$2:$H$65,'Outages (event ledger)'!$A$2:$A$65,F$2,'Outages (event ledger)'!$E$2:$E$65,"&lt;="&amp;$B143,'Outages (event ledger)'!$G$2:$G$65,"&gt;="&amp;$B143)</f>
        <v>0</v>
      </c>
      <c r="G143" s="29" t="n">
        <f aca="false">SUMIFS('Outages (event ledger)'!$H$2:$H$65,'Outages (event ledger)'!$A$2:$A$65,G$2,'Outages (event ledger)'!$E$2:$E$65,"&lt;="&amp;$B143,'Outages (event ledger)'!$G$2:$G$65,"&gt;="&amp;$B143)</f>
        <v>0</v>
      </c>
      <c r="H143" s="29" t="n">
        <f aca="false">SUMIFS('Outages (event ledger)'!$H$2:$H$65,'Outages (event ledger)'!$A$2:$A$65,H$2,'Outages (event ledger)'!$E$2:$E$65,"&lt;="&amp;$B143,'Outages (event ledger)'!$G$2:$G$65,"&gt;="&amp;$B143)</f>
        <v>0</v>
      </c>
      <c r="I143" s="29" t="n">
        <f aca="false">SUMIFS('Outages (event ledger)'!$H$2:$H$65,'Outages (event ledger)'!$A$2:$A$65,I$2,'Outages (event ledger)'!$E$2:$E$65,"&lt;="&amp;$B143,'Outages (event ledger)'!$G$2:$G$65,"&gt;="&amp;$B143)</f>
        <v>0</v>
      </c>
      <c r="J143" s="29" t="n">
        <f aca="false">SUMIFS('Outages (event ledger)'!$H$2:$H$65,'Outages (event ledger)'!$A$2:$A$65,J$2,'Outages (event ledger)'!$E$2:$E$65,"&lt;="&amp;$B143,'Outages (event ledger)'!$G$2:$G$65,"&gt;="&amp;$B143)</f>
        <v>0</v>
      </c>
      <c r="K143" s="29" t="n">
        <f aca="false">SUMIFS('Outages (event ledger)'!$H$2:$H$65,'Outages (event ledger)'!$A$2:$A$65,K$2,'Outages (event ledger)'!$E$2:$E$65,"&lt;="&amp;$B143,'Outages (event ledger)'!$G$2:$G$65,"&gt;="&amp;$B143)</f>
        <v>0</v>
      </c>
      <c r="L143" s="29" t="n">
        <f aca="false">SUMIFS('Outages (event ledger)'!$H$2:$H$65,'Outages (event ledger)'!$A$2:$A$65,L$2,'Outages (event ledger)'!$E$2:$E$65,"&lt;="&amp;$B143,'Outages (event ledger)'!$G$2:$G$65,"&gt;="&amp;$B143)</f>
        <v>0</v>
      </c>
      <c r="M143" s="29" t="n">
        <f aca="false">SUMIFS('Outages (event ledger)'!$H$2:$H$65,'Outages (event ledger)'!$A$2:$A$65,M$2,'Outages (event ledger)'!$E$2:$E$65,"&lt;="&amp;$B143,'Outages (event ledger)'!$G$2:$G$65,"&gt;="&amp;$B143)</f>
        <v>0</v>
      </c>
      <c r="N143" s="29" t="n">
        <f aca="false">SUMIFS('Outages (event ledger)'!$H$2:$H$65,'Outages (event ledger)'!$A$2:$A$65,N$2,'Outages (event ledger)'!$E$2:$E$65,"&lt;="&amp;$B143,'Outages (event ledger)'!$G$2:$G$65,"&gt;="&amp;$B143)</f>
        <v>0</v>
      </c>
      <c r="O143" s="29" t="n">
        <f aca="false">SUMIFS('Outages (event ledger)'!$H$2:$H$65,'Outages (event ledger)'!$A$2:$A$65,O$2,'Outages (event ledger)'!$E$2:$E$65,"&lt;="&amp;$B143,'Outages (event ledger)'!$G$2:$G$65,"&gt;="&amp;$B143)</f>
        <v>0</v>
      </c>
      <c r="P143" s="29" t="n">
        <f aca="false">SUMIFS('Outages (event ledger)'!$H$2:$H$65,'Outages (event ledger)'!$A$2:$A$65,P$2,'Outages (event ledger)'!$E$2:$E$65,"&lt;="&amp;$B143,'Outages (event ledger)'!$G$2:$G$65,"&gt;="&amp;$B143)</f>
        <v>0</v>
      </c>
      <c r="Q143" s="29" t="n">
        <f aca="false">SUMIFS('Outages (event ledger)'!$H$2:$H$65,'Outages (event ledger)'!$A$2:$A$65,Q$2,'Outages (event ledger)'!$E$2:$E$65,"&lt;="&amp;$B143,'Outages (event ledger)'!$G$2:$G$65,"&gt;="&amp;$B143)</f>
        <v>0</v>
      </c>
      <c r="R143" s="29" t="n">
        <f aca="false">SUMIFS('Outages (event ledger)'!$H$2:$H$65,'Outages (event ledger)'!$A$2:$A$65,R$2,'Outages (event ledger)'!$E$2:$E$65,"&lt;="&amp;$B143,'Outages (event ledger)'!$G$2:$G$65,"&gt;="&amp;$B143)</f>
        <v>0</v>
      </c>
      <c r="S143" s="29" t="n">
        <f aca="false">SUMIFS('Outages (event ledger)'!$H$2:$H$65,'Outages (event ledger)'!$A$2:$A$65,S$2,'Outages (event ledger)'!$E$2:$E$65,"&lt;="&amp;$B143,'Outages (event ledger)'!$G$2:$G$65,"&gt;="&amp;$B143)</f>
        <v>0</v>
      </c>
      <c r="T143" s="29" t="n">
        <f aca="false">SUMIFS('Outages (event ledger)'!$H$2:$H$65,'Outages (event ledger)'!$A$2:$A$65,T$2,'Outages (event ledger)'!$E$2:$E$65,"&lt;="&amp;$B143,'Outages (event ledger)'!$G$2:$G$65,"&gt;="&amp;$B143)</f>
        <v>0</v>
      </c>
      <c r="U143" s="29" t="n">
        <f aca="false">SUMIFS('Outages (event ledger)'!$H$2:$H$65,'Outages (event ledger)'!$A$2:$A$65,U$2,'Outages (event ledger)'!$E$2:$E$65,"&lt;="&amp;$B143,'Outages (event ledger)'!$G$2:$G$65,"&gt;="&amp;$B143)</f>
        <v>0</v>
      </c>
      <c r="V143" s="29" t="n">
        <f aca="false">SUMIFS('Outages (event ledger)'!$H$2:$H$65,'Outages (event ledger)'!$A$2:$A$65,V$2,'Outages (event ledger)'!$E$2:$E$65,"&lt;="&amp;$B143,'Outages (event ledger)'!$G$2:$G$65,"&gt;="&amp;$B143)</f>
        <v>0</v>
      </c>
      <c r="W143" s="29" t="n">
        <f aca="false">SUMIFS('Outages (event ledger)'!$H$2:$H$65,'Outages (event ledger)'!$A$2:$A$65,W$2,'Outages (event ledger)'!$E$2:$E$65,"&lt;="&amp;$B143,'Outages (event ledger)'!$G$2:$G$65,"&gt;="&amp;$B143)</f>
        <v>0</v>
      </c>
      <c r="X143" s="29" t="n">
        <f aca="false">SUMIFS('Outages (event ledger)'!$H$2:$H$65,'Outages (event ledger)'!$A$2:$A$65,X$2,'Outages (event ledger)'!$E$2:$E$65,"&lt;="&amp;$B143,'Outages (event ledger)'!$G$2:$G$65,"&gt;="&amp;$B143)</f>
        <v>0</v>
      </c>
      <c r="Y143" s="29" t="n">
        <f aca="false">SUMIFS('Outages (event ledger)'!$H$2:$H$65,'Outages (event ledger)'!$A$2:$A$65,Y$2,'Outages (event ledger)'!$E$2:$E$65,"&lt;="&amp;$B143,'Outages (event ledger)'!$G$2:$G$65,"&gt;="&amp;$B143)</f>
        <v>0</v>
      </c>
      <c r="Z143" s="29" t="n">
        <f aca="false">SUMIFS('Outages (event ledger)'!$H$2:$H$65,'Outages (event ledger)'!$A$2:$A$65,Z$2,'Outages (event ledger)'!$E$2:$E$65,"&lt;="&amp;$B143,'Outages (event ledger)'!$G$2:$G$65,"&gt;="&amp;$B143)</f>
        <v>0</v>
      </c>
      <c r="AA143" s="29" t="n">
        <f aca="false">SUMIFS('Outages (event ledger)'!$H$2:$H$65,'Outages (event ledger)'!$A$2:$A$65,AA$2,'Outages (event ledger)'!$E$2:$E$65,"&lt;="&amp;$B143,'Outages (event ledger)'!$G$2:$G$65,"&gt;="&amp;$B143)</f>
        <v>0</v>
      </c>
      <c r="AB143" s="29" t="n">
        <f aca="false">SUMIFS('Outages (event ledger)'!$H$2:$H$65,'Outages (event ledger)'!$A$2:$A$65,AB$2,'Outages (event ledger)'!$E$2:$E$65,"&lt;="&amp;$B143,'Outages (event ledger)'!$G$2:$G$65,"&gt;="&amp;$B143)</f>
        <v>8</v>
      </c>
      <c r="AC143" s="29" t="n">
        <f aca="false">SUMIFS('Outages (event ledger)'!$H$2:$H$65,'Outages (event ledger)'!$A$2:$A$65,AC$2,'Outages (event ledger)'!$E$2:$E$65,"&lt;="&amp;$B143,'Outages (event ledger)'!$G$2:$G$65,"&gt;="&amp;$B143)</f>
        <v>0</v>
      </c>
      <c r="AD143" s="29" t="n">
        <f aca="false">SUMIFS('Outages (event ledger)'!$H$2:$H$65,'Outages (event ledger)'!$A$2:$A$65,AD$2,'Outages (event ledger)'!$E$2:$E$65,"&lt;="&amp;$B143,'Outages (event ledger)'!$G$2:$G$65,"&gt;="&amp;$B143)</f>
        <v>0</v>
      </c>
      <c r="AE143" s="29" t="n">
        <f aca="false">SUMIFS('Outages (event ledger)'!$H$2:$H$65,'Outages (event ledger)'!$A$2:$A$65,AE$2,'Outages (event ledger)'!$E$2:$E$65,"&lt;="&amp;$B143,'Outages (event ledger)'!$G$2:$G$65,"&gt;="&amp;$B143)</f>
        <v>0</v>
      </c>
      <c r="AF143" s="29" t="n">
        <f aca="false">SUMIFS('Outages (event ledger)'!$H$2:$H$65,'Outages (event ledger)'!$A$2:$A$65,AF$2,'Outages (event ledger)'!$E$2:$E$65,"&lt;="&amp;$B143,'Outages (event ledger)'!$G$2:$G$65,"&gt;="&amp;$B143)</f>
        <v>0</v>
      </c>
      <c r="AG143" s="29" t="n">
        <f aca="false">SUMIFS('Outages (event ledger)'!$H$2:$H$65,'Outages (event ledger)'!$A$2:$A$65,AG$2,'Outages (event ledger)'!$E$2:$E$65,"&lt;="&amp;$B143,'Outages (event ledger)'!$G$2:$G$65,"&gt;="&amp;$B143)</f>
        <v>0</v>
      </c>
      <c r="AH143" s="29" t="n">
        <f aca="false">SUMIFS('Outages (event ledger)'!$H$2:$H$65,'Outages (event ledger)'!$A$2:$A$65,AH$2,'Outages (event ledger)'!$E$2:$E$65,"&lt;="&amp;$B143,'Outages (event ledger)'!$G$2:$G$65,"&gt;="&amp;$B143)</f>
        <v>0</v>
      </c>
      <c r="AI143" s="29" t="n">
        <f aca="false">SUMIFS('Outages (event ledger)'!$H$2:$H$65,'Outages (event ledger)'!$A$2:$A$65,AI$2,'Outages (event ledger)'!$E$2:$E$65,"&lt;="&amp;$B143,'Outages (event ledger)'!$G$2:$G$65,"&gt;="&amp;$B143)</f>
        <v>0</v>
      </c>
      <c r="AJ143" s="29" t="n">
        <f aca="false">SUMIFS('Outages (event ledger)'!$H$2:$H$65,'Outages (event ledger)'!$A$2:$A$65,AJ$2,'Outages (event ledger)'!$E$2:$E$65,"&lt;="&amp;$B143,'Outages (event ledger)'!$G$2:$G$65,"&gt;="&amp;$B143)</f>
        <v>0</v>
      </c>
      <c r="AK143" s="29" t="n">
        <f aca="false">SUMIFS('Outages (event ledger)'!$H$2:$H$65,'Outages (event ledger)'!$A$2:$A$65,AK$2,'Outages (event ledger)'!$E$2:$E$65,"&lt;="&amp;$B143,'Outages (event ledger)'!$G$2:$G$65,"&gt;="&amp;$B143)</f>
        <v>0</v>
      </c>
      <c r="AL143" s="29" t="n">
        <f aca="false">SUMIFS('Outages (event ledger)'!$H$2:$H$65,'Outages (event ledger)'!$A$2:$A$65,AL$2,'Outages (event ledger)'!$E$2:$E$65,"&lt;="&amp;$B143,'Outages (event ledger)'!$G$2:$G$65,"&gt;="&amp;$B143)</f>
        <v>4</v>
      </c>
      <c r="AM143" s="29" t="n">
        <f aca="false">SUMIFS('Outages (event ledger)'!$H$2:$H$65,'Outages (event ledger)'!$A$2:$A$65,AM$2,'Outages (event ledger)'!$E$2:$E$65,"&lt;="&amp;$B143,'Outages (event ledger)'!$G$2:$G$65,"&gt;="&amp;$B143)</f>
        <v>0</v>
      </c>
      <c r="AN143" s="29" t="n">
        <f aca="false">SUMIFS('Outages (event ledger)'!$H$2:$H$65,'Outages (event ledger)'!$A$2:$A$65,AN$2,'Outages (event ledger)'!$E$2:$E$65,"&lt;="&amp;$B143,'Outages (event ledger)'!$G$2:$G$65,"&gt;="&amp;$B143)</f>
        <v>4.3</v>
      </c>
      <c r="AO143" s="29" t="n">
        <f aca="false">SUMIFS('Outages (event ledger)'!$H$2:$H$65,'Outages (event ledger)'!$A$2:$A$65,AO$2,'Outages (event ledger)'!$E$2:$E$65,"&lt;="&amp;$B143,'Outages (event ledger)'!$G$2:$G$65,"&gt;="&amp;$B143)</f>
        <v>0</v>
      </c>
      <c r="AP143" s="29" t="n">
        <f aca="false">SUMIFS('Outages (event ledger)'!$H$2:$H$65,'Outages (event ledger)'!$A$2:$A$65,AP$2,'Outages (event ledger)'!$E$2:$E$65,"&lt;="&amp;$B143,'Outages (event ledger)'!$G$2:$G$65,"&gt;="&amp;$B143)</f>
        <v>0</v>
      </c>
      <c r="AQ143" s="29" t="n">
        <f aca="false">SUMIFS('Outages (event ledger)'!$H$2:$H$65,'Outages (event ledger)'!$A$2:$A$65,AQ$2,'Outages (event ledger)'!$E$2:$E$65,"&lt;="&amp;$B143,'Outages (event ledger)'!$G$2:$G$65,"&gt;="&amp;$B143)</f>
        <v>0</v>
      </c>
      <c r="AR143" s="29" t="n">
        <f aca="false">SUMIFS('Outages (event ledger)'!$H$2:$H$65,'Outages (event ledger)'!$A$2:$A$65,AR$2,'Outages (event ledger)'!$E$2:$E$65,"&lt;="&amp;$B143,'Outages (event ledger)'!$G$2:$G$65,"&gt;="&amp;$B143)</f>
        <v>0</v>
      </c>
      <c r="AS143" s="29" t="n">
        <f aca="false">SUMIFS('Outages (event ledger)'!$H$2:$H$65,'Outages (event ledger)'!$A$2:$A$65,AS$2,'Outages (event ledger)'!$E$2:$E$65,"&lt;="&amp;$B143,'Outages (event ledger)'!$G$2:$G$65,"&gt;="&amp;$B143)</f>
        <v>0</v>
      </c>
      <c r="AT143" s="29" t="n">
        <f aca="false">SUMIFS('Outages (event ledger)'!$H$2:$H$65,'Outages (event ledger)'!$A$2:$A$65,AT$2,'Outages (event ledger)'!$E$2:$E$65,"&lt;="&amp;$B143,'Outages (event ledger)'!$G$2:$G$65,"&gt;="&amp;$B143)</f>
        <v>0</v>
      </c>
      <c r="AU143" s="29" t="n">
        <f aca="false">SUMIFS('Outages (event ledger)'!$H$2:$H$65,'Outages (event ledger)'!$A$2:$A$65,AU$2,'Outages (event ledger)'!$E$2:$E$65,"&lt;="&amp;$B143,'Outages (event ledger)'!$G$2:$G$65,"&gt;="&amp;$B143)</f>
        <v>0</v>
      </c>
      <c r="AV143" s="29" t="n">
        <f aca="false">SUMIFS('Outages (event ledger)'!$H$2:$H$65,'Outages (event ledger)'!$A$2:$A$65,AV$2,'Outages (event ledger)'!$E$2:$E$65,"&lt;="&amp;$B143,'Outages (event ledger)'!$G$2:$G$65,"&gt;="&amp;$B143)</f>
        <v>0</v>
      </c>
      <c r="AW143" s="29" t="n">
        <f aca="false">SUMIFS('Outages (event ledger)'!$H$2:$H$65,'Outages (event ledger)'!$A$2:$A$65,AW$2,'Outages (event ledger)'!$E$2:$E$65,"&lt;="&amp;$B143,'Outages (event ledger)'!$G$2:$G$65,"&gt;="&amp;$B143)</f>
        <v>0</v>
      </c>
      <c r="AX143" s="29" t="n">
        <f aca="false">SUMIFS('Outages (event ledger)'!$H$2:$H$65,'Outages (event ledger)'!$A$2:$A$65,AX$2,'Outages (event ledger)'!$E$2:$E$65,"&lt;="&amp;$B143,'Outages (event ledger)'!$G$2:$G$65,"&gt;="&amp;$B143)</f>
        <v>6.6</v>
      </c>
      <c r="AY143" s="29" t="n">
        <f aca="false">SUMIFS('Outages (event ledger)'!$H$2:$H$65,'Outages (event ledger)'!$A$2:$A$65,AY$2,'Outages (event ledger)'!$E$2:$E$65,"&lt;="&amp;$B143,'Outages (event ledger)'!$G$2:$G$65,"&gt;="&amp;$B143)</f>
        <v>0</v>
      </c>
      <c r="AZ143" s="29" t="n">
        <f aca="false">SUMIFS('Outages (event ledger)'!$H$2:$H$65,'Outages (event ledger)'!$A$2:$A$65,AZ$2,'Outages (event ledger)'!$E$2:$E$65,"&lt;="&amp;$B143,'Outages (event ledger)'!$G$2:$G$65,"&gt;="&amp;$B143)</f>
        <v>0</v>
      </c>
      <c r="BA143" s="29" t="n">
        <f aca="false">SUMIFS('Outages (event ledger)'!$H$2:$H$65,'Outages (event ledger)'!$A$2:$A$65,BA$2,'Outages (event ledger)'!$E$2:$E$65,"&lt;="&amp;$B143,'Outages (event ledger)'!$G$2:$G$65,"&gt;="&amp;$B143)</f>
        <v>0</v>
      </c>
      <c r="BB143" s="29" t="n">
        <f aca="false">SUMIFS('Outages (event ledger)'!$H$2:$H$65,'Outages (event ledger)'!$A$2:$A$65,BB$2,'Outages (event ledger)'!$E$2:$E$65,"&lt;="&amp;$B143,'Outages (event ledger)'!$G$2:$G$65,"&gt;="&amp;$B143)</f>
        <v>0</v>
      </c>
      <c r="BC143" s="29" t="n">
        <f aca="false">SUMIFS('Outages (event ledger)'!$H$2:$H$65,'Outages (event ledger)'!$A$2:$A$65,BC$2,'Outages (event ledger)'!$E$2:$E$65,"&lt;="&amp;$B143,'Outages (event ledger)'!$G$2:$G$65,"&gt;="&amp;$B143)</f>
        <v>0</v>
      </c>
      <c r="BD143" s="29" t="n">
        <f aca="false">SUMIFS('Outages (event ledger)'!$H$2:$H$65,'Outages (event ledger)'!$A$2:$A$65,BD$2,'Outages (event ledger)'!$E$2:$E$65,"&lt;="&amp;$B143,'Outages (event ledger)'!$G$2:$G$65,"&gt;="&amp;$B143)</f>
        <v>0</v>
      </c>
      <c r="BE143" s="29" t="n">
        <f aca="false">SUMIFS('Outages (event ledger)'!$H$2:$H$65,'Outages (event ledger)'!$A$2:$A$65,BE$2,'Outages (event ledger)'!$E$2:$E$65,"&lt;="&amp;$B143,'Outages (event ledger)'!$G$2:$G$65,"&gt;="&amp;$B143)</f>
        <v>0</v>
      </c>
      <c r="BF143" s="29" t="n">
        <f aca="false">SUMIFS('Outages (event ledger)'!$H$2:$H$65,'Outages (event ledger)'!$A$2:$A$65,BF$2,'Outages (event ledger)'!$E$2:$E$65,"&lt;="&amp;$B143,'Outages (event ledger)'!$G$2:$G$65,"&gt;="&amp;$B143)</f>
        <v>0</v>
      </c>
      <c r="BG143" s="29" t="n">
        <f aca="false">SUMIFS('Outages (event ledger)'!$H$2:$H$65,'Outages (event ledger)'!$A$2:$A$65,BG$2,'Outages (event ledger)'!$E$2:$E$65,"&lt;="&amp;$B143,'Outages (event ledger)'!$G$2:$G$65,"&gt;="&amp;$B143)</f>
        <v>0</v>
      </c>
      <c r="BH143" s="29" t="n">
        <f aca="false">SUMIFS('Outages (event ledger)'!$H$2:$H$65,'Outages (event ledger)'!$A$2:$A$65,BH$2,'Outages (event ledger)'!$E$2:$E$65,"&lt;="&amp;$B143,'Outages (event ledger)'!$G$2:$G$65,"&gt;="&amp;$B143)</f>
        <v>0</v>
      </c>
      <c r="BI143" s="29" t="n">
        <f aca="false">SUMIFS('Outages (event ledger)'!$H$2:$H$65,'Outages (event ledger)'!$A$2:$A$65,BI$2,'Outages (event ledger)'!$E$2:$E$65,"&lt;="&amp;$B143,'Outages (event ledger)'!$G$2:$G$65,"&gt;="&amp;$B143)</f>
        <v>6.7</v>
      </c>
    </row>
    <row r="144" customFormat="false" ht="15" hidden="false" customHeight="false" outlineLevel="0" collapsed="false">
      <c r="A144" s="27" t="n">
        <v>44470</v>
      </c>
      <c r="B144" s="28" t="n">
        <v>202110</v>
      </c>
      <c r="C144" s="25" t="n">
        <f aca="false">SUM(D144:BI144)</f>
        <v>29.6</v>
      </c>
      <c r="D144" s="29" t="n">
        <f aca="false">SUMIFS('Outages (event ledger)'!$H$2:$H$65,'Outages (event ledger)'!$A$2:$A$65,D$2,'Outages (event ledger)'!$E$2:$E$65,"&lt;="&amp;$B144,'Outages (event ledger)'!$G$2:$G$65,"&gt;="&amp;$B144)</f>
        <v>0</v>
      </c>
      <c r="E144" s="29" t="n">
        <f aca="false">SUMIFS('Outages (event ledger)'!$H$2:$H$65,'Outages (event ledger)'!$A$2:$A$65,E$2,'Outages (event ledger)'!$E$2:$E$65,"&lt;="&amp;$B144,'Outages (event ledger)'!$G$2:$G$65,"&gt;="&amp;$B144)</f>
        <v>0</v>
      </c>
      <c r="F144" s="29" t="n">
        <f aca="false">SUMIFS('Outages (event ledger)'!$H$2:$H$65,'Outages (event ledger)'!$A$2:$A$65,F$2,'Outages (event ledger)'!$E$2:$E$65,"&lt;="&amp;$B144,'Outages (event ledger)'!$G$2:$G$65,"&gt;="&amp;$B144)</f>
        <v>0</v>
      </c>
      <c r="G144" s="29" t="n">
        <f aca="false">SUMIFS('Outages (event ledger)'!$H$2:$H$65,'Outages (event ledger)'!$A$2:$A$65,G$2,'Outages (event ledger)'!$E$2:$E$65,"&lt;="&amp;$B144,'Outages (event ledger)'!$G$2:$G$65,"&gt;="&amp;$B144)</f>
        <v>0</v>
      </c>
      <c r="H144" s="29" t="n">
        <f aca="false">SUMIFS('Outages (event ledger)'!$H$2:$H$65,'Outages (event ledger)'!$A$2:$A$65,H$2,'Outages (event ledger)'!$E$2:$E$65,"&lt;="&amp;$B144,'Outages (event ledger)'!$G$2:$G$65,"&gt;="&amp;$B144)</f>
        <v>0</v>
      </c>
      <c r="I144" s="29" t="n">
        <f aca="false">SUMIFS('Outages (event ledger)'!$H$2:$H$65,'Outages (event ledger)'!$A$2:$A$65,I$2,'Outages (event ledger)'!$E$2:$E$65,"&lt;="&amp;$B144,'Outages (event ledger)'!$G$2:$G$65,"&gt;="&amp;$B144)</f>
        <v>0</v>
      </c>
      <c r="J144" s="29" t="n">
        <f aca="false">SUMIFS('Outages (event ledger)'!$H$2:$H$65,'Outages (event ledger)'!$A$2:$A$65,J$2,'Outages (event ledger)'!$E$2:$E$65,"&lt;="&amp;$B144,'Outages (event ledger)'!$G$2:$G$65,"&gt;="&amp;$B144)</f>
        <v>0</v>
      </c>
      <c r="K144" s="29" t="n">
        <f aca="false">SUMIFS('Outages (event ledger)'!$H$2:$H$65,'Outages (event ledger)'!$A$2:$A$65,K$2,'Outages (event ledger)'!$E$2:$E$65,"&lt;="&amp;$B144,'Outages (event ledger)'!$G$2:$G$65,"&gt;="&amp;$B144)</f>
        <v>0</v>
      </c>
      <c r="L144" s="29" t="n">
        <f aca="false">SUMIFS('Outages (event ledger)'!$H$2:$H$65,'Outages (event ledger)'!$A$2:$A$65,L$2,'Outages (event ledger)'!$E$2:$E$65,"&lt;="&amp;$B144,'Outages (event ledger)'!$G$2:$G$65,"&gt;="&amp;$B144)</f>
        <v>0</v>
      </c>
      <c r="M144" s="29" t="n">
        <f aca="false">SUMIFS('Outages (event ledger)'!$H$2:$H$65,'Outages (event ledger)'!$A$2:$A$65,M$2,'Outages (event ledger)'!$E$2:$E$65,"&lt;="&amp;$B144,'Outages (event ledger)'!$G$2:$G$65,"&gt;="&amp;$B144)</f>
        <v>0</v>
      </c>
      <c r="N144" s="29" t="n">
        <f aca="false">SUMIFS('Outages (event ledger)'!$H$2:$H$65,'Outages (event ledger)'!$A$2:$A$65,N$2,'Outages (event ledger)'!$E$2:$E$65,"&lt;="&amp;$B144,'Outages (event ledger)'!$G$2:$G$65,"&gt;="&amp;$B144)</f>
        <v>0</v>
      </c>
      <c r="O144" s="29" t="n">
        <f aca="false">SUMIFS('Outages (event ledger)'!$H$2:$H$65,'Outages (event ledger)'!$A$2:$A$65,O$2,'Outages (event ledger)'!$E$2:$E$65,"&lt;="&amp;$B144,'Outages (event ledger)'!$G$2:$G$65,"&gt;="&amp;$B144)</f>
        <v>0</v>
      </c>
      <c r="P144" s="29" t="n">
        <f aca="false">SUMIFS('Outages (event ledger)'!$H$2:$H$65,'Outages (event ledger)'!$A$2:$A$65,P$2,'Outages (event ledger)'!$E$2:$E$65,"&lt;="&amp;$B144,'Outages (event ledger)'!$G$2:$G$65,"&gt;="&amp;$B144)</f>
        <v>0</v>
      </c>
      <c r="Q144" s="29" t="n">
        <f aca="false">SUMIFS('Outages (event ledger)'!$H$2:$H$65,'Outages (event ledger)'!$A$2:$A$65,Q$2,'Outages (event ledger)'!$E$2:$E$65,"&lt;="&amp;$B144,'Outages (event ledger)'!$G$2:$G$65,"&gt;="&amp;$B144)</f>
        <v>0</v>
      </c>
      <c r="R144" s="29" t="n">
        <f aca="false">SUMIFS('Outages (event ledger)'!$H$2:$H$65,'Outages (event ledger)'!$A$2:$A$65,R$2,'Outages (event ledger)'!$E$2:$E$65,"&lt;="&amp;$B144,'Outages (event ledger)'!$G$2:$G$65,"&gt;="&amp;$B144)</f>
        <v>0</v>
      </c>
      <c r="S144" s="29" t="n">
        <f aca="false">SUMIFS('Outages (event ledger)'!$H$2:$H$65,'Outages (event ledger)'!$A$2:$A$65,S$2,'Outages (event ledger)'!$E$2:$E$65,"&lt;="&amp;$B144,'Outages (event ledger)'!$G$2:$G$65,"&gt;="&amp;$B144)</f>
        <v>0</v>
      </c>
      <c r="T144" s="29" t="n">
        <f aca="false">SUMIFS('Outages (event ledger)'!$H$2:$H$65,'Outages (event ledger)'!$A$2:$A$65,T$2,'Outages (event ledger)'!$E$2:$E$65,"&lt;="&amp;$B144,'Outages (event ledger)'!$G$2:$G$65,"&gt;="&amp;$B144)</f>
        <v>0</v>
      </c>
      <c r="U144" s="29" t="n">
        <f aca="false">SUMIFS('Outages (event ledger)'!$H$2:$H$65,'Outages (event ledger)'!$A$2:$A$65,U$2,'Outages (event ledger)'!$E$2:$E$65,"&lt;="&amp;$B144,'Outages (event ledger)'!$G$2:$G$65,"&gt;="&amp;$B144)</f>
        <v>0</v>
      </c>
      <c r="V144" s="29" t="n">
        <f aca="false">SUMIFS('Outages (event ledger)'!$H$2:$H$65,'Outages (event ledger)'!$A$2:$A$65,V$2,'Outages (event ledger)'!$E$2:$E$65,"&lt;="&amp;$B144,'Outages (event ledger)'!$G$2:$G$65,"&gt;="&amp;$B144)</f>
        <v>0</v>
      </c>
      <c r="W144" s="29" t="n">
        <f aca="false">SUMIFS('Outages (event ledger)'!$H$2:$H$65,'Outages (event ledger)'!$A$2:$A$65,W$2,'Outages (event ledger)'!$E$2:$E$65,"&lt;="&amp;$B144,'Outages (event ledger)'!$G$2:$G$65,"&gt;="&amp;$B144)</f>
        <v>0</v>
      </c>
      <c r="X144" s="29" t="n">
        <f aca="false">SUMIFS('Outages (event ledger)'!$H$2:$H$65,'Outages (event ledger)'!$A$2:$A$65,X$2,'Outages (event ledger)'!$E$2:$E$65,"&lt;="&amp;$B144,'Outages (event ledger)'!$G$2:$G$65,"&gt;="&amp;$B144)</f>
        <v>0</v>
      </c>
      <c r="Y144" s="29" t="n">
        <f aca="false">SUMIFS('Outages (event ledger)'!$H$2:$H$65,'Outages (event ledger)'!$A$2:$A$65,Y$2,'Outages (event ledger)'!$E$2:$E$65,"&lt;="&amp;$B144,'Outages (event ledger)'!$G$2:$G$65,"&gt;="&amp;$B144)</f>
        <v>0</v>
      </c>
      <c r="Z144" s="29" t="n">
        <f aca="false">SUMIFS('Outages (event ledger)'!$H$2:$H$65,'Outages (event ledger)'!$A$2:$A$65,Z$2,'Outages (event ledger)'!$E$2:$E$65,"&lt;="&amp;$B144,'Outages (event ledger)'!$G$2:$G$65,"&gt;="&amp;$B144)</f>
        <v>0</v>
      </c>
      <c r="AA144" s="29" t="n">
        <f aca="false">SUMIFS('Outages (event ledger)'!$H$2:$H$65,'Outages (event ledger)'!$A$2:$A$65,AA$2,'Outages (event ledger)'!$E$2:$E$65,"&lt;="&amp;$B144,'Outages (event ledger)'!$G$2:$G$65,"&gt;="&amp;$B144)</f>
        <v>0</v>
      </c>
      <c r="AB144" s="29" t="n">
        <f aca="false">SUMIFS('Outages (event ledger)'!$H$2:$H$65,'Outages (event ledger)'!$A$2:$A$65,AB$2,'Outages (event ledger)'!$E$2:$E$65,"&lt;="&amp;$B144,'Outages (event ledger)'!$G$2:$G$65,"&gt;="&amp;$B144)</f>
        <v>8</v>
      </c>
      <c r="AC144" s="29" t="n">
        <f aca="false">SUMIFS('Outages (event ledger)'!$H$2:$H$65,'Outages (event ledger)'!$A$2:$A$65,AC$2,'Outages (event ledger)'!$E$2:$E$65,"&lt;="&amp;$B144,'Outages (event ledger)'!$G$2:$G$65,"&gt;="&amp;$B144)</f>
        <v>0</v>
      </c>
      <c r="AD144" s="29" t="n">
        <f aca="false">SUMIFS('Outages (event ledger)'!$H$2:$H$65,'Outages (event ledger)'!$A$2:$A$65,AD$2,'Outages (event ledger)'!$E$2:$E$65,"&lt;="&amp;$B144,'Outages (event ledger)'!$G$2:$G$65,"&gt;="&amp;$B144)</f>
        <v>0</v>
      </c>
      <c r="AE144" s="29" t="n">
        <f aca="false">SUMIFS('Outages (event ledger)'!$H$2:$H$65,'Outages (event ledger)'!$A$2:$A$65,AE$2,'Outages (event ledger)'!$E$2:$E$65,"&lt;="&amp;$B144,'Outages (event ledger)'!$G$2:$G$65,"&gt;="&amp;$B144)</f>
        <v>0</v>
      </c>
      <c r="AF144" s="29" t="n">
        <f aca="false">SUMIFS('Outages (event ledger)'!$H$2:$H$65,'Outages (event ledger)'!$A$2:$A$65,AF$2,'Outages (event ledger)'!$E$2:$E$65,"&lt;="&amp;$B144,'Outages (event ledger)'!$G$2:$G$65,"&gt;="&amp;$B144)</f>
        <v>0</v>
      </c>
      <c r="AG144" s="29" t="n">
        <f aca="false">SUMIFS('Outages (event ledger)'!$H$2:$H$65,'Outages (event ledger)'!$A$2:$A$65,AG$2,'Outages (event ledger)'!$E$2:$E$65,"&lt;="&amp;$B144,'Outages (event ledger)'!$G$2:$G$65,"&gt;="&amp;$B144)</f>
        <v>0</v>
      </c>
      <c r="AH144" s="29" t="n">
        <f aca="false">SUMIFS('Outages (event ledger)'!$H$2:$H$65,'Outages (event ledger)'!$A$2:$A$65,AH$2,'Outages (event ledger)'!$E$2:$E$65,"&lt;="&amp;$B144,'Outages (event ledger)'!$G$2:$G$65,"&gt;="&amp;$B144)</f>
        <v>0</v>
      </c>
      <c r="AI144" s="29" t="n">
        <f aca="false">SUMIFS('Outages (event ledger)'!$H$2:$H$65,'Outages (event ledger)'!$A$2:$A$65,AI$2,'Outages (event ledger)'!$E$2:$E$65,"&lt;="&amp;$B144,'Outages (event ledger)'!$G$2:$G$65,"&gt;="&amp;$B144)</f>
        <v>0</v>
      </c>
      <c r="AJ144" s="29" t="n">
        <f aca="false">SUMIFS('Outages (event ledger)'!$H$2:$H$65,'Outages (event ledger)'!$A$2:$A$65,AJ$2,'Outages (event ledger)'!$E$2:$E$65,"&lt;="&amp;$B144,'Outages (event ledger)'!$G$2:$G$65,"&gt;="&amp;$B144)</f>
        <v>0</v>
      </c>
      <c r="AK144" s="29" t="n">
        <f aca="false">SUMIFS('Outages (event ledger)'!$H$2:$H$65,'Outages (event ledger)'!$A$2:$A$65,AK$2,'Outages (event ledger)'!$E$2:$E$65,"&lt;="&amp;$B144,'Outages (event ledger)'!$G$2:$G$65,"&gt;="&amp;$B144)</f>
        <v>0</v>
      </c>
      <c r="AL144" s="29" t="n">
        <f aca="false">SUMIFS('Outages (event ledger)'!$H$2:$H$65,'Outages (event ledger)'!$A$2:$A$65,AL$2,'Outages (event ledger)'!$E$2:$E$65,"&lt;="&amp;$B144,'Outages (event ledger)'!$G$2:$G$65,"&gt;="&amp;$B144)</f>
        <v>4</v>
      </c>
      <c r="AM144" s="29" t="n">
        <f aca="false">SUMIFS('Outages (event ledger)'!$H$2:$H$65,'Outages (event ledger)'!$A$2:$A$65,AM$2,'Outages (event ledger)'!$E$2:$E$65,"&lt;="&amp;$B144,'Outages (event ledger)'!$G$2:$G$65,"&gt;="&amp;$B144)</f>
        <v>0</v>
      </c>
      <c r="AN144" s="29" t="n">
        <f aca="false">SUMIFS('Outages (event ledger)'!$H$2:$H$65,'Outages (event ledger)'!$A$2:$A$65,AN$2,'Outages (event ledger)'!$E$2:$E$65,"&lt;="&amp;$B144,'Outages (event ledger)'!$G$2:$G$65,"&gt;="&amp;$B144)</f>
        <v>4.3</v>
      </c>
      <c r="AO144" s="29" t="n">
        <f aca="false">SUMIFS('Outages (event ledger)'!$H$2:$H$65,'Outages (event ledger)'!$A$2:$A$65,AO$2,'Outages (event ledger)'!$E$2:$E$65,"&lt;="&amp;$B144,'Outages (event ledger)'!$G$2:$G$65,"&gt;="&amp;$B144)</f>
        <v>0</v>
      </c>
      <c r="AP144" s="29" t="n">
        <f aca="false">SUMIFS('Outages (event ledger)'!$H$2:$H$65,'Outages (event ledger)'!$A$2:$A$65,AP$2,'Outages (event ledger)'!$E$2:$E$65,"&lt;="&amp;$B144,'Outages (event ledger)'!$G$2:$G$65,"&gt;="&amp;$B144)</f>
        <v>0</v>
      </c>
      <c r="AQ144" s="29" t="n">
        <f aca="false">SUMIFS('Outages (event ledger)'!$H$2:$H$65,'Outages (event ledger)'!$A$2:$A$65,AQ$2,'Outages (event ledger)'!$E$2:$E$65,"&lt;="&amp;$B144,'Outages (event ledger)'!$G$2:$G$65,"&gt;="&amp;$B144)</f>
        <v>0</v>
      </c>
      <c r="AR144" s="29" t="n">
        <f aca="false">SUMIFS('Outages (event ledger)'!$H$2:$H$65,'Outages (event ledger)'!$A$2:$A$65,AR$2,'Outages (event ledger)'!$E$2:$E$65,"&lt;="&amp;$B144,'Outages (event ledger)'!$G$2:$G$65,"&gt;="&amp;$B144)</f>
        <v>0</v>
      </c>
      <c r="AS144" s="29" t="n">
        <f aca="false">SUMIFS('Outages (event ledger)'!$H$2:$H$65,'Outages (event ledger)'!$A$2:$A$65,AS$2,'Outages (event ledger)'!$E$2:$E$65,"&lt;="&amp;$B144,'Outages (event ledger)'!$G$2:$G$65,"&gt;="&amp;$B144)</f>
        <v>0</v>
      </c>
      <c r="AT144" s="29" t="n">
        <f aca="false">SUMIFS('Outages (event ledger)'!$H$2:$H$65,'Outages (event ledger)'!$A$2:$A$65,AT$2,'Outages (event ledger)'!$E$2:$E$65,"&lt;="&amp;$B144,'Outages (event ledger)'!$G$2:$G$65,"&gt;="&amp;$B144)</f>
        <v>0</v>
      </c>
      <c r="AU144" s="29" t="n">
        <f aca="false">SUMIFS('Outages (event ledger)'!$H$2:$H$65,'Outages (event ledger)'!$A$2:$A$65,AU$2,'Outages (event ledger)'!$E$2:$E$65,"&lt;="&amp;$B144,'Outages (event ledger)'!$G$2:$G$65,"&gt;="&amp;$B144)</f>
        <v>0</v>
      </c>
      <c r="AV144" s="29" t="n">
        <f aca="false">SUMIFS('Outages (event ledger)'!$H$2:$H$65,'Outages (event ledger)'!$A$2:$A$65,AV$2,'Outages (event ledger)'!$E$2:$E$65,"&lt;="&amp;$B144,'Outages (event ledger)'!$G$2:$G$65,"&gt;="&amp;$B144)</f>
        <v>0</v>
      </c>
      <c r="AW144" s="29" t="n">
        <f aca="false">SUMIFS('Outages (event ledger)'!$H$2:$H$65,'Outages (event ledger)'!$A$2:$A$65,AW$2,'Outages (event ledger)'!$E$2:$E$65,"&lt;="&amp;$B144,'Outages (event ledger)'!$G$2:$G$65,"&gt;="&amp;$B144)</f>
        <v>0</v>
      </c>
      <c r="AX144" s="29" t="n">
        <f aca="false">SUMIFS('Outages (event ledger)'!$H$2:$H$65,'Outages (event ledger)'!$A$2:$A$65,AX$2,'Outages (event ledger)'!$E$2:$E$65,"&lt;="&amp;$B144,'Outages (event ledger)'!$G$2:$G$65,"&gt;="&amp;$B144)</f>
        <v>6.6</v>
      </c>
      <c r="AY144" s="29" t="n">
        <f aca="false">SUMIFS('Outages (event ledger)'!$H$2:$H$65,'Outages (event ledger)'!$A$2:$A$65,AY$2,'Outages (event ledger)'!$E$2:$E$65,"&lt;="&amp;$B144,'Outages (event ledger)'!$G$2:$G$65,"&gt;="&amp;$B144)</f>
        <v>0</v>
      </c>
      <c r="AZ144" s="29" t="n">
        <f aca="false">SUMIFS('Outages (event ledger)'!$H$2:$H$65,'Outages (event ledger)'!$A$2:$A$65,AZ$2,'Outages (event ledger)'!$E$2:$E$65,"&lt;="&amp;$B144,'Outages (event ledger)'!$G$2:$G$65,"&gt;="&amp;$B144)</f>
        <v>0</v>
      </c>
      <c r="BA144" s="29" t="n">
        <f aca="false">SUMIFS('Outages (event ledger)'!$H$2:$H$65,'Outages (event ledger)'!$A$2:$A$65,BA$2,'Outages (event ledger)'!$E$2:$E$65,"&lt;="&amp;$B144,'Outages (event ledger)'!$G$2:$G$65,"&gt;="&amp;$B144)</f>
        <v>0</v>
      </c>
      <c r="BB144" s="29" t="n">
        <f aca="false">SUMIFS('Outages (event ledger)'!$H$2:$H$65,'Outages (event ledger)'!$A$2:$A$65,BB$2,'Outages (event ledger)'!$E$2:$E$65,"&lt;="&amp;$B144,'Outages (event ledger)'!$G$2:$G$65,"&gt;="&amp;$B144)</f>
        <v>0</v>
      </c>
      <c r="BC144" s="29" t="n">
        <f aca="false">SUMIFS('Outages (event ledger)'!$H$2:$H$65,'Outages (event ledger)'!$A$2:$A$65,BC$2,'Outages (event ledger)'!$E$2:$E$65,"&lt;="&amp;$B144,'Outages (event ledger)'!$G$2:$G$65,"&gt;="&amp;$B144)</f>
        <v>0</v>
      </c>
      <c r="BD144" s="29" t="n">
        <f aca="false">SUMIFS('Outages (event ledger)'!$H$2:$H$65,'Outages (event ledger)'!$A$2:$A$65,BD$2,'Outages (event ledger)'!$E$2:$E$65,"&lt;="&amp;$B144,'Outages (event ledger)'!$G$2:$G$65,"&gt;="&amp;$B144)</f>
        <v>0</v>
      </c>
      <c r="BE144" s="29" t="n">
        <f aca="false">SUMIFS('Outages (event ledger)'!$H$2:$H$65,'Outages (event ledger)'!$A$2:$A$65,BE$2,'Outages (event ledger)'!$E$2:$E$65,"&lt;="&amp;$B144,'Outages (event ledger)'!$G$2:$G$65,"&gt;="&amp;$B144)</f>
        <v>0</v>
      </c>
      <c r="BF144" s="29" t="n">
        <f aca="false">SUMIFS('Outages (event ledger)'!$H$2:$H$65,'Outages (event ledger)'!$A$2:$A$65,BF$2,'Outages (event ledger)'!$E$2:$E$65,"&lt;="&amp;$B144,'Outages (event ledger)'!$G$2:$G$65,"&gt;="&amp;$B144)</f>
        <v>0</v>
      </c>
      <c r="BG144" s="29" t="n">
        <f aca="false">SUMIFS('Outages (event ledger)'!$H$2:$H$65,'Outages (event ledger)'!$A$2:$A$65,BG$2,'Outages (event ledger)'!$E$2:$E$65,"&lt;="&amp;$B144,'Outages (event ledger)'!$G$2:$G$65,"&gt;="&amp;$B144)</f>
        <v>0</v>
      </c>
      <c r="BH144" s="29" t="n">
        <f aca="false">SUMIFS('Outages (event ledger)'!$H$2:$H$65,'Outages (event ledger)'!$A$2:$A$65,BH$2,'Outages (event ledger)'!$E$2:$E$65,"&lt;="&amp;$B144,'Outages (event ledger)'!$G$2:$G$65,"&gt;="&amp;$B144)</f>
        <v>0</v>
      </c>
      <c r="BI144" s="29" t="n">
        <f aca="false">SUMIFS('Outages (event ledger)'!$H$2:$H$65,'Outages (event ledger)'!$A$2:$A$65,BI$2,'Outages (event ledger)'!$E$2:$E$65,"&lt;="&amp;$B144,'Outages (event ledger)'!$G$2:$G$65,"&gt;="&amp;$B144)</f>
        <v>6.7</v>
      </c>
    </row>
    <row r="145" customFormat="false" ht="15" hidden="false" customHeight="false" outlineLevel="0" collapsed="false">
      <c r="A145" s="27" t="n">
        <v>44501</v>
      </c>
      <c r="B145" s="28" t="n">
        <v>202111</v>
      </c>
      <c r="C145" s="25" t="n">
        <f aca="false">SUM(D145:BI145)</f>
        <v>32.1</v>
      </c>
      <c r="D145" s="29" t="n">
        <f aca="false">SUMIFS('Outages (event ledger)'!$H$2:$H$65,'Outages (event ledger)'!$A$2:$A$65,D$2,'Outages (event ledger)'!$E$2:$E$65,"&lt;="&amp;$B145,'Outages (event ledger)'!$G$2:$G$65,"&gt;="&amp;$B145)</f>
        <v>0</v>
      </c>
      <c r="E145" s="29" t="n">
        <f aca="false">SUMIFS('Outages (event ledger)'!$H$2:$H$65,'Outages (event ledger)'!$A$2:$A$65,E$2,'Outages (event ledger)'!$E$2:$E$65,"&lt;="&amp;$B145,'Outages (event ledger)'!$G$2:$G$65,"&gt;="&amp;$B145)</f>
        <v>0</v>
      </c>
      <c r="F145" s="29" t="n">
        <f aca="false">SUMIFS('Outages (event ledger)'!$H$2:$H$65,'Outages (event ledger)'!$A$2:$A$65,F$2,'Outages (event ledger)'!$E$2:$E$65,"&lt;="&amp;$B145,'Outages (event ledger)'!$G$2:$G$65,"&gt;="&amp;$B145)</f>
        <v>0</v>
      </c>
      <c r="G145" s="29" t="n">
        <f aca="false">SUMIFS('Outages (event ledger)'!$H$2:$H$65,'Outages (event ledger)'!$A$2:$A$65,G$2,'Outages (event ledger)'!$E$2:$E$65,"&lt;="&amp;$B145,'Outages (event ledger)'!$G$2:$G$65,"&gt;="&amp;$B145)</f>
        <v>0</v>
      </c>
      <c r="H145" s="29" t="n">
        <f aca="false">SUMIFS('Outages (event ledger)'!$H$2:$H$65,'Outages (event ledger)'!$A$2:$A$65,H$2,'Outages (event ledger)'!$E$2:$E$65,"&lt;="&amp;$B145,'Outages (event ledger)'!$G$2:$G$65,"&gt;="&amp;$B145)</f>
        <v>0</v>
      </c>
      <c r="I145" s="29" t="n">
        <f aca="false">SUMIFS('Outages (event ledger)'!$H$2:$H$65,'Outages (event ledger)'!$A$2:$A$65,I$2,'Outages (event ledger)'!$E$2:$E$65,"&lt;="&amp;$B145,'Outages (event ledger)'!$G$2:$G$65,"&gt;="&amp;$B145)</f>
        <v>0</v>
      </c>
      <c r="J145" s="29" t="n">
        <f aca="false">SUMIFS('Outages (event ledger)'!$H$2:$H$65,'Outages (event ledger)'!$A$2:$A$65,J$2,'Outages (event ledger)'!$E$2:$E$65,"&lt;="&amp;$B145,'Outages (event ledger)'!$G$2:$G$65,"&gt;="&amp;$B145)</f>
        <v>0</v>
      </c>
      <c r="K145" s="29" t="n">
        <f aca="false">SUMIFS('Outages (event ledger)'!$H$2:$H$65,'Outages (event ledger)'!$A$2:$A$65,K$2,'Outages (event ledger)'!$E$2:$E$65,"&lt;="&amp;$B145,'Outages (event ledger)'!$G$2:$G$65,"&gt;="&amp;$B145)</f>
        <v>0</v>
      </c>
      <c r="L145" s="29" t="n">
        <f aca="false">SUMIFS('Outages (event ledger)'!$H$2:$H$65,'Outages (event ledger)'!$A$2:$A$65,L$2,'Outages (event ledger)'!$E$2:$E$65,"&lt;="&amp;$B145,'Outages (event ledger)'!$G$2:$G$65,"&gt;="&amp;$B145)</f>
        <v>2.5</v>
      </c>
      <c r="M145" s="29" t="n">
        <f aca="false">SUMIFS('Outages (event ledger)'!$H$2:$H$65,'Outages (event ledger)'!$A$2:$A$65,M$2,'Outages (event ledger)'!$E$2:$E$65,"&lt;="&amp;$B145,'Outages (event ledger)'!$G$2:$G$65,"&gt;="&amp;$B145)</f>
        <v>0</v>
      </c>
      <c r="N145" s="29" t="n">
        <f aca="false">SUMIFS('Outages (event ledger)'!$H$2:$H$65,'Outages (event ledger)'!$A$2:$A$65,N$2,'Outages (event ledger)'!$E$2:$E$65,"&lt;="&amp;$B145,'Outages (event ledger)'!$G$2:$G$65,"&gt;="&amp;$B145)</f>
        <v>0</v>
      </c>
      <c r="O145" s="29" t="n">
        <f aca="false">SUMIFS('Outages (event ledger)'!$H$2:$H$65,'Outages (event ledger)'!$A$2:$A$65,O$2,'Outages (event ledger)'!$E$2:$E$65,"&lt;="&amp;$B145,'Outages (event ledger)'!$G$2:$G$65,"&gt;="&amp;$B145)</f>
        <v>0</v>
      </c>
      <c r="P145" s="29" t="n">
        <f aca="false">SUMIFS('Outages (event ledger)'!$H$2:$H$65,'Outages (event ledger)'!$A$2:$A$65,P$2,'Outages (event ledger)'!$E$2:$E$65,"&lt;="&amp;$B145,'Outages (event ledger)'!$G$2:$G$65,"&gt;="&amp;$B145)</f>
        <v>0</v>
      </c>
      <c r="Q145" s="29" t="n">
        <f aca="false">SUMIFS('Outages (event ledger)'!$H$2:$H$65,'Outages (event ledger)'!$A$2:$A$65,Q$2,'Outages (event ledger)'!$E$2:$E$65,"&lt;="&amp;$B145,'Outages (event ledger)'!$G$2:$G$65,"&gt;="&amp;$B145)</f>
        <v>0</v>
      </c>
      <c r="R145" s="29" t="n">
        <f aca="false">SUMIFS('Outages (event ledger)'!$H$2:$H$65,'Outages (event ledger)'!$A$2:$A$65,R$2,'Outages (event ledger)'!$E$2:$E$65,"&lt;="&amp;$B145,'Outages (event ledger)'!$G$2:$G$65,"&gt;="&amp;$B145)</f>
        <v>0</v>
      </c>
      <c r="S145" s="29" t="n">
        <f aca="false">SUMIFS('Outages (event ledger)'!$H$2:$H$65,'Outages (event ledger)'!$A$2:$A$65,S$2,'Outages (event ledger)'!$E$2:$E$65,"&lt;="&amp;$B145,'Outages (event ledger)'!$G$2:$G$65,"&gt;="&amp;$B145)</f>
        <v>0</v>
      </c>
      <c r="T145" s="29" t="n">
        <f aca="false">SUMIFS('Outages (event ledger)'!$H$2:$H$65,'Outages (event ledger)'!$A$2:$A$65,T$2,'Outages (event ledger)'!$E$2:$E$65,"&lt;="&amp;$B145,'Outages (event ledger)'!$G$2:$G$65,"&gt;="&amp;$B145)</f>
        <v>0</v>
      </c>
      <c r="U145" s="29" t="n">
        <f aca="false">SUMIFS('Outages (event ledger)'!$H$2:$H$65,'Outages (event ledger)'!$A$2:$A$65,U$2,'Outages (event ledger)'!$E$2:$E$65,"&lt;="&amp;$B145,'Outages (event ledger)'!$G$2:$G$65,"&gt;="&amp;$B145)</f>
        <v>0</v>
      </c>
      <c r="V145" s="29" t="n">
        <f aca="false">SUMIFS('Outages (event ledger)'!$H$2:$H$65,'Outages (event ledger)'!$A$2:$A$65,V$2,'Outages (event ledger)'!$E$2:$E$65,"&lt;="&amp;$B145,'Outages (event ledger)'!$G$2:$G$65,"&gt;="&amp;$B145)</f>
        <v>0</v>
      </c>
      <c r="W145" s="29" t="n">
        <f aca="false">SUMIFS('Outages (event ledger)'!$H$2:$H$65,'Outages (event ledger)'!$A$2:$A$65,W$2,'Outages (event ledger)'!$E$2:$E$65,"&lt;="&amp;$B145,'Outages (event ledger)'!$G$2:$G$65,"&gt;="&amp;$B145)</f>
        <v>0</v>
      </c>
      <c r="X145" s="29" t="n">
        <f aca="false">SUMIFS('Outages (event ledger)'!$H$2:$H$65,'Outages (event ledger)'!$A$2:$A$65,X$2,'Outages (event ledger)'!$E$2:$E$65,"&lt;="&amp;$B145,'Outages (event ledger)'!$G$2:$G$65,"&gt;="&amp;$B145)</f>
        <v>0</v>
      </c>
      <c r="Y145" s="29" t="n">
        <f aca="false">SUMIFS('Outages (event ledger)'!$H$2:$H$65,'Outages (event ledger)'!$A$2:$A$65,Y$2,'Outages (event ledger)'!$E$2:$E$65,"&lt;="&amp;$B145,'Outages (event ledger)'!$G$2:$G$65,"&gt;="&amp;$B145)</f>
        <v>0</v>
      </c>
      <c r="Z145" s="29" t="n">
        <f aca="false">SUMIFS('Outages (event ledger)'!$H$2:$H$65,'Outages (event ledger)'!$A$2:$A$65,Z$2,'Outages (event ledger)'!$E$2:$E$65,"&lt;="&amp;$B145,'Outages (event ledger)'!$G$2:$G$65,"&gt;="&amp;$B145)</f>
        <v>0</v>
      </c>
      <c r="AA145" s="29" t="n">
        <f aca="false">SUMIFS('Outages (event ledger)'!$H$2:$H$65,'Outages (event ledger)'!$A$2:$A$65,AA$2,'Outages (event ledger)'!$E$2:$E$65,"&lt;="&amp;$B145,'Outages (event ledger)'!$G$2:$G$65,"&gt;="&amp;$B145)</f>
        <v>0</v>
      </c>
      <c r="AB145" s="29" t="n">
        <f aca="false">SUMIFS('Outages (event ledger)'!$H$2:$H$65,'Outages (event ledger)'!$A$2:$A$65,AB$2,'Outages (event ledger)'!$E$2:$E$65,"&lt;="&amp;$B145,'Outages (event ledger)'!$G$2:$G$65,"&gt;="&amp;$B145)</f>
        <v>8</v>
      </c>
      <c r="AC145" s="29" t="n">
        <f aca="false">SUMIFS('Outages (event ledger)'!$H$2:$H$65,'Outages (event ledger)'!$A$2:$A$65,AC$2,'Outages (event ledger)'!$E$2:$E$65,"&lt;="&amp;$B145,'Outages (event ledger)'!$G$2:$G$65,"&gt;="&amp;$B145)</f>
        <v>0</v>
      </c>
      <c r="AD145" s="29" t="n">
        <f aca="false">SUMIFS('Outages (event ledger)'!$H$2:$H$65,'Outages (event ledger)'!$A$2:$A$65,AD$2,'Outages (event ledger)'!$E$2:$E$65,"&lt;="&amp;$B145,'Outages (event ledger)'!$G$2:$G$65,"&gt;="&amp;$B145)</f>
        <v>0</v>
      </c>
      <c r="AE145" s="29" t="n">
        <f aca="false">SUMIFS('Outages (event ledger)'!$H$2:$H$65,'Outages (event ledger)'!$A$2:$A$65,AE$2,'Outages (event ledger)'!$E$2:$E$65,"&lt;="&amp;$B145,'Outages (event ledger)'!$G$2:$G$65,"&gt;="&amp;$B145)</f>
        <v>0</v>
      </c>
      <c r="AF145" s="29" t="n">
        <f aca="false">SUMIFS('Outages (event ledger)'!$H$2:$H$65,'Outages (event ledger)'!$A$2:$A$65,AF$2,'Outages (event ledger)'!$E$2:$E$65,"&lt;="&amp;$B145,'Outages (event ledger)'!$G$2:$G$65,"&gt;="&amp;$B145)</f>
        <v>0</v>
      </c>
      <c r="AG145" s="29" t="n">
        <f aca="false">SUMIFS('Outages (event ledger)'!$H$2:$H$65,'Outages (event ledger)'!$A$2:$A$65,AG$2,'Outages (event ledger)'!$E$2:$E$65,"&lt;="&amp;$B145,'Outages (event ledger)'!$G$2:$G$65,"&gt;="&amp;$B145)</f>
        <v>0</v>
      </c>
      <c r="AH145" s="29" t="n">
        <f aca="false">SUMIFS('Outages (event ledger)'!$H$2:$H$65,'Outages (event ledger)'!$A$2:$A$65,AH$2,'Outages (event ledger)'!$E$2:$E$65,"&lt;="&amp;$B145,'Outages (event ledger)'!$G$2:$G$65,"&gt;="&amp;$B145)</f>
        <v>0</v>
      </c>
      <c r="AI145" s="29" t="n">
        <f aca="false">SUMIFS('Outages (event ledger)'!$H$2:$H$65,'Outages (event ledger)'!$A$2:$A$65,AI$2,'Outages (event ledger)'!$E$2:$E$65,"&lt;="&amp;$B145,'Outages (event ledger)'!$G$2:$G$65,"&gt;="&amp;$B145)</f>
        <v>0</v>
      </c>
      <c r="AJ145" s="29" t="n">
        <f aca="false">SUMIFS('Outages (event ledger)'!$H$2:$H$65,'Outages (event ledger)'!$A$2:$A$65,AJ$2,'Outages (event ledger)'!$E$2:$E$65,"&lt;="&amp;$B145,'Outages (event ledger)'!$G$2:$G$65,"&gt;="&amp;$B145)</f>
        <v>0</v>
      </c>
      <c r="AK145" s="29" t="n">
        <f aca="false">SUMIFS('Outages (event ledger)'!$H$2:$H$65,'Outages (event ledger)'!$A$2:$A$65,AK$2,'Outages (event ledger)'!$E$2:$E$65,"&lt;="&amp;$B145,'Outages (event ledger)'!$G$2:$G$65,"&gt;="&amp;$B145)</f>
        <v>0</v>
      </c>
      <c r="AL145" s="29" t="n">
        <f aca="false">SUMIFS('Outages (event ledger)'!$H$2:$H$65,'Outages (event ledger)'!$A$2:$A$65,AL$2,'Outages (event ledger)'!$E$2:$E$65,"&lt;="&amp;$B145,'Outages (event ledger)'!$G$2:$G$65,"&gt;="&amp;$B145)</f>
        <v>4</v>
      </c>
      <c r="AM145" s="29" t="n">
        <f aca="false">SUMIFS('Outages (event ledger)'!$H$2:$H$65,'Outages (event ledger)'!$A$2:$A$65,AM$2,'Outages (event ledger)'!$E$2:$E$65,"&lt;="&amp;$B145,'Outages (event ledger)'!$G$2:$G$65,"&gt;="&amp;$B145)</f>
        <v>0</v>
      </c>
      <c r="AN145" s="29" t="n">
        <f aca="false">SUMIFS('Outages (event ledger)'!$H$2:$H$65,'Outages (event ledger)'!$A$2:$A$65,AN$2,'Outages (event ledger)'!$E$2:$E$65,"&lt;="&amp;$B145,'Outages (event ledger)'!$G$2:$G$65,"&gt;="&amp;$B145)</f>
        <v>4.3</v>
      </c>
      <c r="AO145" s="29" t="n">
        <f aca="false">SUMIFS('Outages (event ledger)'!$H$2:$H$65,'Outages (event ledger)'!$A$2:$A$65,AO$2,'Outages (event ledger)'!$E$2:$E$65,"&lt;="&amp;$B145,'Outages (event ledger)'!$G$2:$G$65,"&gt;="&amp;$B145)</f>
        <v>0</v>
      </c>
      <c r="AP145" s="29" t="n">
        <f aca="false">SUMIFS('Outages (event ledger)'!$H$2:$H$65,'Outages (event ledger)'!$A$2:$A$65,AP$2,'Outages (event ledger)'!$E$2:$E$65,"&lt;="&amp;$B145,'Outages (event ledger)'!$G$2:$G$65,"&gt;="&amp;$B145)</f>
        <v>0</v>
      </c>
      <c r="AQ145" s="29" t="n">
        <f aca="false">SUMIFS('Outages (event ledger)'!$H$2:$H$65,'Outages (event ledger)'!$A$2:$A$65,AQ$2,'Outages (event ledger)'!$E$2:$E$65,"&lt;="&amp;$B145,'Outages (event ledger)'!$G$2:$G$65,"&gt;="&amp;$B145)</f>
        <v>0</v>
      </c>
      <c r="AR145" s="29" t="n">
        <f aca="false">SUMIFS('Outages (event ledger)'!$H$2:$H$65,'Outages (event ledger)'!$A$2:$A$65,AR$2,'Outages (event ledger)'!$E$2:$E$65,"&lt;="&amp;$B145,'Outages (event ledger)'!$G$2:$G$65,"&gt;="&amp;$B145)</f>
        <v>0</v>
      </c>
      <c r="AS145" s="29" t="n">
        <f aca="false">SUMIFS('Outages (event ledger)'!$H$2:$H$65,'Outages (event ledger)'!$A$2:$A$65,AS$2,'Outages (event ledger)'!$E$2:$E$65,"&lt;="&amp;$B145,'Outages (event ledger)'!$G$2:$G$65,"&gt;="&amp;$B145)</f>
        <v>0</v>
      </c>
      <c r="AT145" s="29" t="n">
        <f aca="false">SUMIFS('Outages (event ledger)'!$H$2:$H$65,'Outages (event ledger)'!$A$2:$A$65,AT$2,'Outages (event ledger)'!$E$2:$E$65,"&lt;="&amp;$B145,'Outages (event ledger)'!$G$2:$G$65,"&gt;="&amp;$B145)</f>
        <v>0</v>
      </c>
      <c r="AU145" s="29" t="n">
        <f aca="false">SUMIFS('Outages (event ledger)'!$H$2:$H$65,'Outages (event ledger)'!$A$2:$A$65,AU$2,'Outages (event ledger)'!$E$2:$E$65,"&lt;="&amp;$B145,'Outages (event ledger)'!$G$2:$G$65,"&gt;="&amp;$B145)</f>
        <v>0</v>
      </c>
      <c r="AV145" s="29" t="n">
        <f aca="false">SUMIFS('Outages (event ledger)'!$H$2:$H$65,'Outages (event ledger)'!$A$2:$A$65,AV$2,'Outages (event ledger)'!$E$2:$E$65,"&lt;="&amp;$B145,'Outages (event ledger)'!$G$2:$G$65,"&gt;="&amp;$B145)</f>
        <v>0</v>
      </c>
      <c r="AW145" s="29" t="n">
        <f aca="false">SUMIFS('Outages (event ledger)'!$H$2:$H$65,'Outages (event ledger)'!$A$2:$A$65,AW$2,'Outages (event ledger)'!$E$2:$E$65,"&lt;="&amp;$B145,'Outages (event ledger)'!$G$2:$G$65,"&gt;="&amp;$B145)</f>
        <v>0</v>
      </c>
      <c r="AX145" s="29" t="n">
        <f aca="false">SUMIFS('Outages (event ledger)'!$H$2:$H$65,'Outages (event ledger)'!$A$2:$A$65,AX$2,'Outages (event ledger)'!$E$2:$E$65,"&lt;="&amp;$B145,'Outages (event ledger)'!$G$2:$G$65,"&gt;="&amp;$B145)</f>
        <v>6.6</v>
      </c>
      <c r="AY145" s="29" t="n">
        <f aca="false">SUMIFS('Outages (event ledger)'!$H$2:$H$65,'Outages (event ledger)'!$A$2:$A$65,AY$2,'Outages (event ledger)'!$E$2:$E$65,"&lt;="&amp;$B145,'Outages (event ledger)'!$G$2:$G$65,"&gt;="&amp;$B145)</f>
        <v>0</v>
      </c>
      <c r="AZ145" s="29" t="n">
        <f aca="false">SUMIFS('Outages (event ledger)'!$H$2:$H$65,'Outages (event ledger)'!$A$2:$A$65,AZ$2,'Outages (event ledger)'!$E$2:$E$65,"&lt;="&amp;$B145,'Outages (event ledger)'!$G$2:$G$65,"&gt;="&amp;$B145)</f>
        <v>0</v>
      </c>
      <c r="BA145" s="29" t="n">
        <f aca="false">SUMIFS('Outages (event ledger)'!$H$2:$H$65,'Outages (event ledger)'!$A$2:$A$65,BA$2,'Outages (event ledger)'!$E$2:$E$65,"&lt;="&amp;$B145,'Outages (event ledger)'!$G$2:$G$65,"&gt;="&amp;$B145)</f>
        <v>0</v>
      </c>
      <c r="BB145" s="29" t="n">
        <f aca="false">SUMIFS('Outages (event ledger)'!$H$2:$H$65,'Outages (event ledger)'!$A$2:$A$65,BB$2,'Outages (event ledger)'!$E$2:$E$65,"&lt;="&amp;$B145,'Outages (event ledger)'!$G$2:$G$65,"&gt;="&amp;$B145)</f>
        <v>0</v>
      </c>
      <c r="BC145" s="29" t="n">
        <f aca="false">SUMIFS('Outages (event ledger)'!$H$2:$H$65,'Outages (event ledger)'!$A$2:$A$65,BC$2,'Outages (event ledger)'!$E$2:$E$65,"&lt;="&amp;$B145,'Outages (event ledger)'!$G$2:$G$65,"&gt;="&amp;$B145)</f>
        <v>0</v>
      </c>
      <c r="BD145" s="29" t="n">
        <f aca="false">SUMIFS('Outages (event ledger)'!$H$2:$H$65,'Outages (event ledger)'!$A$2:$A$65,BD$2,'Outages (event ledger)'!$E$2:$E$65,"&lt;="&amp;$B145,'Outages (event ledger)'!$G$2:$G$65,"&gt;="&amp;$B145)</f>
        <v>0</v>
      </c>
      <c r="BE145" s="29" t="n">
        <f aca="false">SUMIFS('Outages (event ledger)'!$H$2:$H$65,'Outages (event ledger)'!$A$2:$A$65,BE$2,'Outages (event ledger)'!$E$2:$E$65,"&lt;="&amp;$B145,'Outages (event ledger)'!$G$2:$G$65,"&gt;="&amp;$B145)</f>
        <v>0</v>
      </c>
      <c r="BF145" s="29" t="n">
        <f aca="false">SUMIFS('Outages (event ledger)'!$H$2:$H$65,'Outages (event ledger)'!$A$2:$A$65,BF$2,'Outages (event ledger)'!$E$2:$E$65,"&lt;="&amp;$B145,'Outages (event ledger)'!$G$2:$G$65,"&gt;="&amp;$B145)</f>
        <v>0</v>
      </c>
      <c r="BG145" s="29" t="n">
        <f aca="false">SUMIFS('Outages (event ledger)'!$H$2:$H$65,'Outages (event ledger)'!$A$2:$A$65,BG$2,'Outages (event ledger)'!$E$2:$E$65,"&lt;="&amp;$B145,'Outages (event ledger)'!$G$2:$G$65,"&gt;="&amp;$B145)</f>
        <v>0</v>
      </c>
      <c r="BH145" s="29" t="n">
        <f aca="false">SUMIFS('Outages (event ledger)'!$H$2:$H$65,'Outages (event ledger)'!$A$2:$A$65,BH$2,'Outages (event ledger)'!$E$2:$E$65,"&lt;="&amp;$B145,'Outages (event ledger)'!$G$2:$G$65,"&gt;="&amp;$B145)</f>
        <v>0</v>
      </c>
      <c r="BI145" s="29" t="n">
        <f aca="false">SUMIFS('Outages (event ledger)'!$H$2:$H$65,'Outages (event ledger)'!$A$2:$A$65,BI$2,'Outages (event ledger)'!$E$2:$E$65,"&lt;="&amp;$B145,'Outages (event ledger)'!$G$2:$G$65,"&gt;="&amp;$B145)</f>
        <v>6.7</v>
      </c>
    </row>
    <row r="146" customFormat="false" ht="15" hidden="false" customHeight="false" outlineLevel="0" collapsed="false">
      <c r="A146" s="27" t="n">
        <v>44531</v>
      </c>
      <c r="B146" s="28" t="n">
        <v>202112</v>
      </c>
      <c r="C146" s="25" t="n">
        <f aca="false">SUM(D146:BI146)</f>
        <v>33.2</v>
      </c>
      <c r="D146" s="29" t="n">
        <f aca="false">SUMIFS('Outages (event ledger)'!$H$2:$H$65,'Outages (event ledger)'!$A$2:$A$65,D$2,'Outages (event ledger)'!$E$2:$E$65,"&lt;="&amp;$B146,'Outages (event ledger)'!$G$2:$G$65,"&gt;="&amp;$B146)</f>
        <v>0</v>
      </c>
      <c r="E146" s="29" t="n">
        <f aca="false">SUMIFS('Outages (event ledger)'!$H$2:$H$65,'Outages (event ledger)'!$A$2:$A$65,E$2,'Outages (event ledger)'!$E$2:$E$65,"&lt;="&amp;$B146,'Outages (event ledger)'!$G$2:$G$65,"&gt;="&amp;$B146)</f>
        <v>0</v>
      </c>
      <c r="F146" s="29" t="n">
        <f aca="false">SUMIFS('Outages (event ledger)'!$H$2:$H$65,'Outages (event ledger)'!$A$2:$A$65,F$2,'Outages (event ledger)'!$E$2:$E$65,"&lt;="&amp;$B146,'Outages (event ledger)'!$G$2:$G$65,"&gt;="&amp;$B146)</f>
        <v>0</v>
      </c>
      <c r="G146" s="29" t="n">
        <f aca="false">SUMIFS('Outages (event ledger)'!$H$2:$H$65,'Outages (event ledger)'!$A$2:$A$65,G$2,'Outages (event ledger)'!$E$2:$E$65,"&lt;="&amp;$B146,'Outages (event ledger)'!$G$2:$G$65,"&gt;="&amp;$B146)</f>
        <v>0</v>
      </c>
      <c r="H146" s="29" t="n">
        <f aca="false">SUMIFS('Outages (event ledger)'!$H$2:$H$65,'Outages (event ledger)'!$A$2:$A$65,H$2,'Outages (event ledger)'!$E$2:$E$65,"&lt;="&amp;$B146,'Outages (event ledger)'!$G$2:$G$65,"&gt;="&amp;$B146)</f>
        <v>0</v>
      </c>
      <c r="I146" s="29" t="n">
        <f aca="false">SUMIFS('Outages (event ledger)'!$H$2:$H$65,'Outages (event ledger)'!$A$2:$A$65,I$2,'Outages (event ledger)'!$E$2:$E$65,"&lt;="&amp;$B146,'Outages (event ledger)'!$G$2:$G$65,"&gt;="&amp;$B146)</f>
        <v>0</v>
      </c>
      <c r="J146" s="29" t="n">
        <f aca="false">SUMIFS('Outages (event ledger)'!$H$2:$H$65,'Outages (event ledger)'!$A$2:$A$65,J$2,'Outages (event ledger)'!$E$2:$E$65,"&lt;="&amp;$B146,'Outages (event ledger)'!$G$2:$G$65,"&gt;="&amp;$B146)</f>
        <v>0</v>
      </c>
      <c r="K146" s="29" t="n">
        <f aca="false">SUMIFS('Outages (event ledger)'!$H$2:$H$65,'Outages (event ledger)'!$A$2:$A$65,K$2,'Outages (event ledger)'!$E$2:$E$65,"&lt;="&amp;$B146,'Outages (event ledger)'!$G$2:$G$65,"&gt;="&amp;$B146)</f>
        <v>0</v>
      </c>
      <c r="L146" s="29" t="n">
        <f aca="false">SUMIFS('Outages (event ledger)'!$H$2:$H$65,'Outages (event ledger)'!$A$2:$A$65,L$2,'Outages (event ledger)'!$E$2:$E$65,"&lt;="&amp;$B146,'Outages (event ledger)'!$G$2:$G$65,"&gt;="&amp;$B146)</f>
        <v>0</v>
      </c>
      <c r="M146" s="29" t="n">
        <f aca="false">SUMIFS('Outages (event ledger)'!$H$2:$H$65,'Outages (event ledger)'!$A$2:$A$65,M$2,'Outages (event ledger)'!$E$2:$E$65,"&lt;="&amp;$B146,'Outages (event ledger)'!$G$2:$G$65,"&gt;="&amp;$B146)</f>
        <v>0</v>
      </c>
      <c r="N146" s="29" t="n">
        <f aca="false">SUMIFS('Outages (event ledger)'!$H$2:$H$65,'Outages (event ledger)'!$A$2:$A$65,N$2,'Outages (event ledger)'!$E$2:$E$65,"&lt;="&amp;$B146,'Outages (event ledger)'!$G$2:$G$65,"&gt;="&amp;$B146)</f>
        <v>0</v>
      </c>
      <c r="O146" s="29" t="n">
        <f aca="false">SUMIFS('Outages (event ledger)'!$H$2:$H$65,'Outages (event ledger)'!$A$2:$A$65,O$2,'Outages (event ledger)'!$E$2:$E$65,"&lt;="&amp;$B146,'Outages (event ledger)'!$G$2:$G$65,"&gt;="&amp;$B146)</f>
        <v>0</v>
      </c>
      <c r="P146" s="29" t="n">
        <f aca="false">SUMIFS('Outages (event ledger)'!$H$2:$H$65,'Outages (event ledger)'!$A$2:$A$65,P$2,'Outages (event ledger)'!$E$2:$E$65,"&lt;="&amp;$B146,'Outages (event ledger)'!$G$2:$G$65,"&gt;="&amp;$B146)</f>
        <v>3.6</v>
      </c>
      <c r="Q146" s="29" t="n">
        <f aca="false">SUMIFS('Outages (event ledger)'!$H$2:$H$65,'Outages (event ledger)'!$A$2:$A$65,Q$2,'Outages (event ledger)'!$E$2:$E$65,"&lt;="&amp;$B146,'Outages (event ledger)'!$G$2:$G$65,"&gt;="&amp;$B146)</f>
        <v>0</v>
      </c>
      <c r="R146" s="29" t="n">
        <f aca="false">SUMIFS('Outages (event ledger)'!$H$2:$H$65,'Outages (event ledger)'!$A$2:$A$65,R$2,'Outages (event ledger)'!$E$2:$E$65,"&lt;="&amp;$B146,'Outages (event ledger)'!$G$2:$G$65,"&gt;="&amp;$B146)</f>
        <v>0</v>
      </c>
      <c r="S146" s="29" t="n">
        <f aca="false">SUMIFS('Outages (event ledger)'!$H$2:$H$65,'Outages (event ledger)'!$A$2:$A$65,S$2,'Outages (event ledger)'!$E$2:$E$65,"&lt;="&amp;$B146,'Outages (event ledger)'!$G$2:$G$65,"&gt;="&amp;$B146)</f>
        <v>0</v>
      </c>
      <c r="T146" s="29" t="n">
        <f aca="false">SUMIFS('Outages (event ledger)'!$H$2:$H$65,'Outages (event ledger)'!$A$2:$A$65,T$2,'Outages (event ledger)'!$E$2:$E$65,"&lt;="&amp;$B146,'Outages (event ledger)'!$G$2:$G$65,"&gt;="&amp;$B146)</f>
        <v>0</v>
      </c>
      <c r="U146" s="29" t="n">
        <f aca="false">SUMIFS('Outages (event ledger)'!$H$2:$H$65,'Outages (event ledger)'!$A$2:$A$65,U$2,'Outages (event ledger)'!$E$2:$E$65,"&lt;="&amp;$B146,'Outages (event ledger)'!$G$2:$G$65,"&gt;="&amp;$B146)</f>
        <v>0</v>
      </c>
      <c r="V146" s="29" t="n">
        <f aca="false">SUMIFS('Outages (event ledger)'!$H$2:$H$65,'Outages (event ledger)'!$A$2:$A$65,V$2,'Outages (event ledger)'!$E$2:$E$65,"&lt;="&amp;$B146,'Outages (event ledger)'!$G$2:$G$65,"&gt;="&amp;$B146)</f>
        <v>0</v>
      </c>
      <c r="W146" s="29" t="n">
        <f aca="false">SUMIFS('Outages (event ledger)'!$H$2:$H$65,'Outages (event ledger)'!$A$2:$A$65,W$2,'Outages (event ledger)'!$E$2:$E$65,"&lt;="&amp;$B146,'Outages (event ledger)'!$G$2:$G$65,"&gt;="&amp;$B146)</f>
        <v>0</v>
      </c>
      <c r="X146" s="29" t="n">
        <f aca="false">SUMIFS('Outages (event ledger)'!$H$2:$H$65,'Outages (event ledger)'!$A$2:$A$65,X$2,'Outages (event ledger)'!$E$2:$E$65,"&lt;="&amp;$B146,'Outages (event ledger)'!$G$2:$G$65,"&gt;="&amp;$B146)</f>
        <v>0</v>
      </c>
      <c r="Y146" s="29" t="n">
        <f aca="false">SUMIFS('Outages (event ledger)'!$H$2:$H$65,'Outages (event ledger)'!$A$2:$A$65,Y$2,'Outages (event ledger)'!$E$2:$E$65,"&lt;="&amp;$B146,'Outages (event ledger)'!$G$2:$G$65,"&gt;="&amp;$B146)</f>
        <v>0</v>
      </c>
      <c r="Z146" s="29" t="n">
        <f aca="false">SUMIFS('Outages (event ledger)'!$H$2:$H$65,'Outages (event ledger)'!$A$2:$A$65,Z$2,'Outages (event ledger)'!$E$2:$E$65,"&lt;="&amp;$B146,'Outages (event ledger)'!$G$2:$G$65,"&gt;="&amp;$B146)</f>
        <v>0</v>
      </c>
      <c r="AA146" s="29" t="n">
        <f aca="false">SUMIFS('Outages (event ledger)'!$H$2:$H$65,'Outages (event ledger)'!$A$2:$A$65,AA$2,'Outages (event ledger)'!$E$2:$E$65,"&lt;="&amp;$B146,'Outages (event ledger)'!$G$2:$G$65,"&gt;="&amp;$B146)</f>
        <v>0</v>
      </c>
      <c r="AB146" s="29" t="n">
        <f aca="false">SUMIFS('Outages (event ledger)'!$H$2:$H$65,'Outages (event ledger)'!$A$2:$A$65,AB$2,'Outages (event ledger)'!$E$2:$E$65,"&lt;="&amp;$B146,'Outages (event ledger)'!$G$2:$G$65,"&gt;="&amp;$B146)</f>
        <v>8</v>
      </c>
      <c r="AC146" s="29" t="n">
        <f aca="false">SUMIFS('Outages (event ledger)'!$H$2:$H$65,'Outages (event ledger)'!$A$2:$A$65,AC$2,'Outages (event ledger)'!$E$2:$E$65,"&lt;="&amp;$B146,'Outages (event ledger)'!$G$2:$G$65,"&gt;="&amp;$B146)</f>
        <v>0</v>
      </c>
      <c r="AD146" s="29" t="n">
        <f aca="false">SUMIFS('Outages (event ledger)'!$H$2:$H$65,'Outages (event ledger)'!$A$2:$A$65,AD$2,'Outages (event ledger)'!$E$2:$E$65,"&lt;="&amp;$B146,'Outages (event ledger)'!$G$2:$G$65,"&gt;="&amp;$B146)</f>
        <v>0</v>
      </c>
      <c r="AE146" s="29" t="n">
        <f aca="false">SUMIFS('Outages (event ledger)'!$H$2:$H$65,'Outages (event ledger)'!$A$2:$A$65,AE$2,'Outages (event ledger)'!$E$2:$E$65,"&lt;="&amp;$B146,'Outages (event ledger)'!$G$2:$G$65,"&gt;="&amp;$B146)</f>
        <v>0</v>
      </c>
      <c r="AF146" s="29" t="n">
        <f aca="false">SUMIFS('Outages (event ledger)'!$H$2:$H$65,'Outages (event ledger)'!$A$2:$A$65,AF$2,'Outages (event ledger)'!$E$2:$E$65,"&lt;="&amp;$B146,'Outages (event ledger)'!$G$2:$G$65,"&gt;="&amp;$B146)</f>
        <v>0</v>
      </c>
      <c r="AG146" s="29" t="n">
        <f aca="false">SUMIFS('Outages (event ledger)'!$H$2:$H$65,'Outages (event ledger)'!$A$2:$A$65,AG$2,'Outages (event ledger)'!$E$2:$E$65,"&lt;="&amp;$B146,'Outages (event ledger)'!$G$2:$G$65,"&gt;="&amp;$B146)</f>
        <v>0</v>
      </c>
      <c r="AH146" s="29" t="n">
        <f aca="false">SUMIFS('Outages (event ledger)'!$H$2:$H$65,'Outages (event ledger)'!$A$2:$A$65,AH$2,'Outages (event ledger)'!$E$2:$E$65,"&lt;="&amp;$B146,'Outages (event ledger)'!$G$2:$G$65,"&gt;="&amp;$B146)</f>
        <v>0</v>
      </c>
      <c r="AI146" s="29" t="n">
        <f aca="false">SUMIFS('Outages (event ledger)'!$H$2:$H$65,'Outages (event ledger)'!$A$2:$A$65,AI$2,'Outages (event ledger)'!$E$2:$E$65,"&lt;="&amp;$B146,'Outages (event ledger)'!$G$2:$G$65,"&gt;="&amp;$B146)</f>
        <v>0</v>
      </c>
      <c r="AJ146" s="29" t="n">
        <f aca="false">SUMIFS('Outages (event ledger)'!$H$2:$H$65,'Outages (event ledger)'!$A$2:$A$65,AJ$2,'Outages (event ledger)'!$E$2:$E$65,"&lt;="&amp;$B146,'Outages (event ledger)'!$G$2:$G$65,"&gt;="&amp;$B146)</f>
        <v>0</v>
      </c>
      <c r="AK146" s="29" t="n">
        <f aca="false">SUMIFS('Outages (event ledger)'!$H$2:$H$65,'Outages (event ledger)'!$A$2:$A$65,AK$2,'Outages (event ledger)'!$E$2:$E$65,"&lt;="&amp;$B146,'Outages (event ledger)'!$G$2:$G$65,"&gt;="&amp;$B146)</f>
        <v>0</v>
      </c>
      <c r="AL146" s="29" t="n">
        <f aca="false">SUMIFS('Outages (event ledger)'!$H$2:$H$65,'Outages (event ledger)'!$A$2:$A$65,AL$2,'Outages (event ledger)'!$E$2:$E$65,"&lt;="&amp;$B146,'Outages (event ledger)'!$G$2:$G$65,"&gt;="&amp;$B146)</f>
        <v>4</v>
      </c>
      <c r="AM146" s="29" t="n">
        <f aca="false">SUMIFS('Outages (event ledger)'!$H$2:$H$65,'Outages (event ledger)'!$A$2:$A$65,AM$2,'Outages (event ledger)'!$E$2:$E$65,"&lt;="&amp;$B146,'Outages (event ledger)'!$G$2:$G$65,"&gt;="&amp;$B146)</f>
        <v>0</v>
      </c>
      <c r="AN146" s="29" t="n">
        <f aca="false">SUMIFS('Outages (event ledger)'!$H$2:$H$65,'Outages (event ledger)'!$A$2:$A$65,AN$2,'Outages (event ledger)'!$E$2:$E$65,"&lt;="&amp;$B146,'Outages (event ledger)'!$G$2:$G$65,"&gt;="&amp;$B146)</f>
        <v>4.3</v>
      </c>
      <c r="AO146" s="29" t="n">
        <f aca="false">SUMIFS('Outages (event ledger)'!$H$2:$H$65,'Outages (event ledger)'!$A$2:$A$65,AO$2,'Outages (event ledger)'!$E$2:$E$65,"&lt;="&amp;$B146,'Outages (event ledger)'!$G$2:$G$65,"&gt;="&amp;$B146)</f>
        <v>0</v>
      </c>
      <c r="AP146" s="29" t="n">
        <f aca="false">SUMIFS('Outages (event ledger)'!$H$2:$H$65,'Outages (event ledger)'!$A$2:$A$65,AP$2,'Outages (event ledger)'!$E$2:$E$65,"&lt;="&amp;$B146,'Outages (event ledger)'!$G$2:$G$65,"&gt;="&amp;$B146)</f>
        <v>0</v>
      </c>
      <c r="AQ146" s="29" t="n">
        <f aca="false">SUMIFS('Outages (event ledger)'!$H$2:$H$65,'Outages (event ledger)'!$A$2:$A$65,AQ$2,'Outages (event ledger)'!$E$2:$E$65,"&lt;="&amp;$B146,'Outages (event ledger)'!$G$2:$G$65,"&gt;="&amp;$B146)</f>
        <v>0</v>
      </c>
      <c r="AR146" s="29" t="n">
        <f aca="false">SUMIFS('Outages (event ledger)'!$H$2:$H$65,'Outages (event ledger)'!$A$2:$A$65,AR$2,'Outages (event ledger)'!$E$2:$E$65,"&lt;="&amp;$B146,'Outages (event ledger)'!$G$2:$G$65,"&gt;="&amp;$B146)</f>
        <v>0</v>
      </c>
      <c r="AS146" s="29" t="n">
        <f aca="false">SUMIFS('Outages (event ledger)'!$H$2:$H$65,'Outages (event ledger)'!$A$2:$A$65,AS$2,'Outages (event ledger)'!$E$2:$E$65,"&lt;="&amp;$B146,'Outages (event ledger)'!$G$2:$G$65,"&gt;="&amp;$B146)</f>
        <v>0</v>
      </c>
      <c r="AT146" s="29" t="n">
        <f aca="false">SUMIFS('Outages (event ledger)'!$H$2:$H$65,'Outages (event ledger)'!$A$2:$A$65,AT$2,'Outages (event ledger)'!$E$2:$E$65,"&lt;="&amp;$B146,'Outages (event ledger)'!$G$2:$G$65,"&gt;="&amp;$B146)</f>
        <v>0</v>
      </c>
      <c r="AU146" s="29" t="n">
        <f aca="false">SUMIFS('Outages (event ledger)'!$H$2:$H$65,'Outages (event ledger)'!$A$2:$A$65,AU$2,'Outages (event ledger)'!$E$2:$E$65,"&lt;="&amp;$B146,'Outages (event ledger)'!$G$2:$G$65,"&gt;="&amp;$B146)</f>
        <v>0</v>
      </c>
      <c r="AV146" s="29" t="n">
        <f aca="false">SUMIFS('Outages (event ledger)'!$H$2:$H$65,'Outages (event ledger)'!$A$2:$A$65,AV$2,'Outages (event ledger)'!$E$2:$E$65,"&lt;="&amp;$B146,'Outages (event ledger)'!$G$2:$G$65,"&gt;="&amp;$B146)</f>
        <v>0</v>
      </c>
      <c r="AW146" s="29" t="n">
        <f aca="false">SUMIFS('Outages (event ledger)'!$H$2:$H$65,'Outages (event ledger)'!$A$2:$A$65,AW$2,'Outages (event ledger)'!$E$2:$E$65,"&lt;="&amp;$B146,'Outages (event ledger)'!$G$2:$G$65,"&gt;="&amp;$B146)</f>
        <v>0</v>
      </c>
      <c r="AX146" s="29" t="n">
        <f aca="false">SUMIFS('Outages (event ledger)'!$H$2:$H$65,'Outages (event ledger)'!$A$2:$A$65,AX$2,'Outages (event ledger)'!$E$2:$E$65,"&lt;="&amp;$B146,'Outages (event ledger)'!$G$2:$G$65,"&gt;="&amp;$B146)</f>
        <v>6.6</v>
      </c>
      <c r="AY146" s="29" t="n">
        <f aca="false">SUMIFS('Outages (event ledger)'!$H$2:$H$65,'Outages (event ledger)'!$A$2:$A$65,AY$2,'Outages (event ledger)'!$E$2:$E$65,"&lt;="&amp;$B146,'Outages (event ledger)'!$G$2:$G$65,"&gt;="&amp;$B146)</f>
        <v>0</v>
      </c>
      <c r="AZ146" s="29" t="n">
        <f aca="false">SUMIFS('Outages (event ledger)'!$H$2:$H$65,'Outages (event ledger)'!$A$2:$A$65,AZ$2,'Outages (event ledger)'!$E$2:$E$65,"&lt;="&amp;$B146,'Outages (event ledger)'!$G$2:$G$65,"&gt;="&amp;$B146)</f>
        <v>0</v>
      </c>
      <c r="BA146" s="29" t="n">
        <f aca="false">SUMIFS('Outages (event ledger)'!$H$2:$H$65,'Outages (event ledger)'!$A$2:$A$65,BA$2,'Outages (event ledger)'!$E$2:$E$65,"&lt;="&amp;$B146,'Outages (event ledger)'!$G$2:$G$65,"&gt;="&amp;$B146)</f>
        <v>0</v>
      </c>
      <c r="BB146" s="29" t="n">
        <f aca="false">SUMIFS('Outages (event ledger)'!$H$2:$H$65,'Outages (event ledger)'!$A$2:$A$65,BB$2,'Outages (event ledger)'!$E$2:$E$65,"&lt;="&amp;$B146,'Outages (event ledger)'!$G$2:$G$65,"&gt;="&amp;$B146)</f>
        <v>0</v>
      </c>
      <c r="BC146" s="29" t="n">
        <f aca="false">SUMIFS('Outages (event ledger)'!$H$2:$H$65,'Outages (event ledger)'!$A$2:$A$65,BC$2,'Outages (event ledger)'!$E$2:$E$65,"&lt;="&amp;$B146,'Outages (event ledger)'!$G$2:$G$65,"&gt;="&amp;$B146)</f>
        <v>0</v>
      </c>
      <c r="BD146" s="29" t="n">
        <f aca="false">SUMIFS('Outages (event ledger)'!$H$2:$H$65,'Outages (event ledger)'!$A$2:$A$65,BD$2,'Outages (event ledger)'!$E$2:$E$65,"&lt;="&amp;$B146,'Outages (event ledger)'!$G$2:$G$65,"&gt;="&amp;$B146)</f>
        <v>0</v>
      </c>
      <c r="BE146" s="29" t="n">
        <f aca="false">SUMIFS('Outages (event ledger)'!$H$2:$H$65,'Outages (event ledger)'!$A$2:$A$65,BE$2,'Outages (event ledger)'!$E$2:$E$65,"&lt;="&amp;$B146,'Outages (event ledger)'!$G$2:$G$65,"&gt;="&amp;$B146)</f>
        <v>0</v>
      </c>
      <c r="BF146" s="29" t="n">
        <f aca="false">SUMIFS('Outages (event ledger)'!$H$2:$H$65,'Outages (event ledger)'!$A$2:$A$65,BF$2,'Outages (event ledger)'!$E$2:$E$65,"&lt;="&amp;$B146,'Outages (event ledger)'!$G$2:$G$65,"&gt;="&amp;$B146)</f>
        <v>0</v>
      </c>
      <c r="BG146" s="29" t="n">
        <f aca="false">SUMIFS('Outages (event ledger)'!$H$2:$H$65,'Outages (event ledger)'!$A$2:$A$65,BG$2,'Outages (event ledger)'!$E$2:$E$65,"&lt;="&amp;$B146,'Outages (event ledger)'!$G$2:$G$65,"&gt;="&amp;$B146)</f>
        <v>0</v>
      </c>
      <c r="BH146" s="29" t="n">
        <f aca="false">SUMIFS('Outages (event ledger)'!$H$2:$H$65,'Outages (event ledger)'!$A$2:$A$65,BH$2,'Outages (event ledger)'!$E$2:$E$65,"&lt;="&amp;$B146,'Outages (event ledger)'!$G$2:$G$65,"&gt;="&amp;$B146)</f>
        <v>0</v>
      </c>
      <c r="BI146" s="29" t="n">
        <f aca="false">SUMIFS('Outages (event ledger)'!$H$2:$H$65,'Outages (event ledger)'!$A$2:$A$65,BI$2,'Outages (event ledger)'!$E$2:$E$65,"&lt;="&amp;$B146,'Outages (event ledger)'!$G$2:$G$65,"&gt;="&amp;$B146)</f>
        <v>6.7</v>
      </c>
    </row>
    <row r="147" customFormat="false" ht="15" hidden="false" customHeight="false" outlineLevel="0" collapsed="false">
      <c r="A147" s="23" t="n">
        <v>44562</v>
      </c>
      <c r="B147" s="24" t="n">
        <v>202201</v>
      </c>
      <c r="C147" s="25" t="n">
        <f aca="false">SUM(D147:BI147)</f>
        <v>33.2</v>
      </c>
      <c r="D147" s="26" t="n">
        <f aca="false">SUMIFS('Outages (event ledger)'!$H$2:$H$65,'Outages (event ledger)'!$A$2:$A$65,D$2,'Outages (event ledger)'!$E$2:$E$65,"&lt;="&amp;$B147,'Outages (event ledger)'!$G$2:$G$65,"&gt;="&amp;$B147)</f>
        <v>0</v>
      </c>
      <c r="E147" s="26" t="n">
        <f aca="false">SUMIFS('Outages (event ledger)'!$H$2:$H$65,'Outages (event ledger)'!$A$2:$A$65,E$2,'Outages (event ledger)'!$E$2:$E$65,"&lt;="&amp;$B147,'Outages (event ledger)'!$G$2:$G$65,"&gt;="&amp;$B147)</f>
        <v>0</v>
      </c>
      <c r="F147" s="26" t="n">
        <f aca="false">SUMIFS('Outages (event ledger)'!$H$2:$H$65,'Outages (event ledger)'!$A$2:$A$65,F$2,'Outages (event ledger)'!$E$2:$E$65,"&lt;="&amp;$B147,'Outages (event ledger)'!$G$2:$G$65,"&gt;="&amp;$B147)</f>
        <v>0</v>
      </c>
      <c r="G147" s="26" t="n">
        <f aca="false">SUMIFS('Outages (event ledger)'!$H$2:$H$65,'Outages (event ledger)'!$A$2:$A$65,G$2,'Outages (event ledger)'!$E$2:$E$65,"&lt;="&amp;$B147,'Outages (event ledger)'!$G$2:$G$65,"&gt;="&amp;$B147)</f>
        <v>0</v>
      </c>
      <c r="H147" s="26" t="n">
        <f aca="false">SUMIFS('Outages (event ledger)'!$H$2:$H$65,'Outages (event ledger)'!$A$2:$A$65,H$2,'Outages (event ledger)'!$E$2:$E$65,"&lt;="&amp;$B147,'Outages (event ledger)'!$G$2:$G$65,"&gt;="&amp;$B147)</f>
        <v>0</v>
      </c>
      <c r="I147" s="26" t="n">
        <f aca="false">SUMIFS('Outages (event ledger)'!$H$2:$H$65,'Outages (event ledger)'!$A$2:$A$65,I$2,'Outages (event ledger)'!$E$2:$E$65,"&lt;="&amp;$B147,'Outages (event ledger)'!$G$2:$G$65,"&gt;="&amp;$B147)</f>
        <v>0</v>
      </c>
      <c r="J147" s="26" t="n">
        <f aca="false">SUMIFS('Outages (event ledger)'!$H$2:$H$65,'Outages (event ledger)'!$A$2:$A$65,J$2,'Outages (event ledger)'!$E$2:$E$65,"&lt;="&amp;$B147,'Outages (event ledger)'!$G$2:$G$65,"&gt;="&amp;$B147)</f>
        <v>0</v>
      </c>
      <c r="K147" s="26" t="n">
        <f aca="false">SUMIFS('Outages (event ledger)'!$H$2:$H$65,'Outages (event ledger)'!$A$2:$A$65,K$2,'Outages (event ledger)'!$E$2:$E$65,"&lt;="&amp;$B147,'Outages (event ledger)'!$G$2:$G$65,"&gt;="&amp;$B147)</f>
        <v>0</v>
      </c>
      <c r="L147" s="26" t="n">
        <f aca="false">SUMIFS('Outages (event ledger)'!$H$2:$H$65,'Outages (event ledger)'!$A$2:$A$65,L$2,'Outages (event ledger)'!$E$2:$E$65,"&lt;="&amp;$B147,'Outages (event ledger)'!$G$2:$G$65,"&gt;="&amp;$B147)</f>
        <v>0</v>
      </c>
      <c r="M147" s="26" t="n">
        <f aca="false">SUMIFS('Outages (event ledger)'!$H$2:$H$65,'Outages (event ledger)'!$A$2:$A$65,M$2,'Outages (event ledger)'!$E$2:$E$65,"&lt;="&amp;$B147,'Outages (event ledger)'!$G$2:$G$65,"&gt;="&amp;$B147)</f>
        <v>0</v>
      </c>
      <c r="N147" s="26" t="n">
        <f aca="false">SUMIFS('Outages (event ledger)'!$H$2:$H$65,'Outages (event ledger)'!$A$2:$A$65,N$2,'Outages (event ledger)'!$E$2:$E$65,"&lt;="&amp;$B147,'Outages (event ledger)'!$G$2:$G$65,"&gt;="&amp;$B147)</f>
        <v>0</v>
      </c>
      <c r="O147" s="26" t="n">
        <f aca="false">SUMIFS('Outages (event ledger)'!$H$2:$H$65,'Outages (event ledger)'!$A$2:$A$65,O$2,'Outages (event ledger)'!$E$2:$E$65,"&lt;="&amp;$B147,'Outages (event ledger)'!$G$2:$G$65,"&gt;="&amp;$B147)</f>
        <v>0</v>
      </c>
      <c r="P147" s="26" t="n">
        <f aca="false">SUMIFS('Outages (event ledger)'!$H$2:$H$65,'Outages (event ledger)'!$A$2:$A$65,P$2,'Outages (event ledger)'!$E$2:$E$65,"&lt;="&amp;$B147,'Outages (event ledger)'!$G$2:$G$65,"&gt;="&amp;$B147)</f>
        <v>3.6</v>
      </c>
      <c r="Q147" s="26" t="n">
        <f aca="false">SUMIFS('Outages (event ledger)'!$H$2:$H$65,'Outages (event ledger)'!$A$2:$A$65,Q$2,'Outages (event ledger)'!$E$2:$E$65,"&lt;="&amp;$B147,'Outages (event ledger)'!$G$2:$G$65,"&gt;="&amp;$B147)</f>
        <v>0</v>
      </c>
      <c r="R147" s="26" t="n">
        <f aca="false">SUMIFS('Outages (event ledger)'!$H$2:$H$65,'Outages (event ledger)'!$A$2:$A$65,R$2,'Outages (event ledger)'!$E$2:$E$65,"&lt;="&amp;$B147,'Outages (event ledger)'!$G$2:$G$65,"&gt;="&amp;$B147)</f>
        <v>0</v>
      </c>
      <c r="S147" s="26" t="n">
        <f aca="false">SUMIFS('Outages (event ledger)'!$H$2:$H$65,'Outages (event ledger)'!$A$2:$A$65,S$2,'Outages (event ledger)'!$E$2:$E$65,"&lt;="&amp;$B147,'Outages (event ledger)'!$G$2:$G$65,"&gt;="&amp;$B147)</f>
        <v>0</v>
      </c>
      <c r="T147" s="26" t="n">
        <f aca="false">SUMIFS('Outages (event ledger)'!$H$2:$H$65,'Outages (event ledger)'!$A$2:$A$65,T$2,'Outages (event ledger)'!$E$2:$E$65,"&lt;="&amp;$B147,'Outages (event ledger)'!$G$2:$G$65,"&gt;="&amp;$B147)</f>
        <v>0</v>
      </c>
      <c r="U147" s="26" t="n">
        <f aca="false">SUMIFS('Outages (event ledger)'!$H$2:$H$65,'Outages (event ledger)'!$A$2:$A$65,U$2,'Outages (event ledger)'!$E$2:$E$65,"&lt;="&amp;$B147,'Outages (event ledger)'!$G$2:$G$65,"&gt;="&amp;$B147)</f>
        <v>0</v>
      </c>
      <c r="V147" s="26" t="n">
        <f aca="false">SUMIFS('Outages (event ledger)'!$H$2:$H$65,'Outages (event ledger)'!$A$2:$A$65,V$2,'Outages (event ledger)'!$E$2:$E$65,"&lt;="&amp;$B147,'Outages (event ledger)'!$G$2:$G$65,"&gt;="&amp;$B147)</f>
        <v>0</v>
      </c>
      <c r="W147" s="26" t="n">
        <f aca="false">SUMIFS('Outages (event ledger)'!$H$2:$H$65,'Outages (event ledger)'!$A$2:$A$65,W$2,'Outages (event ledger)'!$E$2:$E$65,"&lt;="&amp;$B147,'Outages (event ledger)'!$G$2:$G$65,"&gt;="&amp;$B147)</f>
        <v>0</v>
      </c>
      <c r="X147" s="26" t="n">
        <f aca="false">SUMIFS('Outages (event ledger)'!$H$2:$H$65,'Outages (event ledger)'!$A$2:$A$65,X$2,'Outages (event ledger)'!$E$2:$E$65,"&lt;="&amp;$B147,'Outages (event ledger)'!$G$2:$G$65,"&gt;="&amp;$B147)</f>
        <v>0</v>
      </c>
      <c r="Y147" s="26" t="n">
        <f aca="false">SUMIFS('Outages (event ledger)'!$H$2:$H$65,'Outages (event ledger)'!$A$2:$A$65,Y$2,'Outages (event ledger)'!$E$2:$E$65,"&lt;="&amp;$B147,'Outages (event ledger)'!$G$2:$G$65,"&gt;="&amp;$B147)</f>
        <v>0</v>
      </c>
      <c r="Z147" s="26" t="n">
        <f aca="false">SUMIFS('Outages (event ledger)'!$H$2:$H$65,'Outages (event ledger)'!$A$2:$A$65,Z$2,'Outages (event ledger)'!$E$2:$E$65,"&lt;="&amp;$B147,'Outages (event ledger)'!$G$2:$G$65,"&gt;="&amp;$B147)</f>
        <v>0</v>
      </c>
      <c r="AA147" s="26" t="n">
        <f aca="false">SUMIFS('Outages (event ledger)'!$H$2:$H$65,'Outages (event ledger)'!$A$2:$A$65,AA$2,'Outages (event ledger)'!$E$2:$E$65,"&lt;="&amp;$B147,'Outages (event ledger)'!$G$2:$G$65,"&gt;="&amp;$B147)</f>
        <v>0</v>
      </c>
      <c r="AB147" s="26" t="n">
        <f aca="false">SUMIFS('Outages (event ledger)'!$H$2:$H$65,'Outages (event ledger)'!$A$2:$A$65,AB$2,'Outages (event ledger)'!$E$2:$E$65,"&lt;="&amp;$B147,'Outages (event ledger)'!$G$2:$G$65,"&gt;="&amp;$B147)</f>
        <v>8</v>
      </c>
      <c r="AC147" s="26" t="n">
        <f aca="false">SUMIFS('Outages (event ledger)'!$H$2:$H$65,'Outages (event ledger)'!$A$2:$A$65,AC$2,'Outages (event ledger)'!$E$2:$E$65,"&lt;="&amp;$B147,'Outages (event ledger)'!$G$2:$G$65,"&gt;="&amp;$B147)</f>
        <v>0</v>
      </c>
      <c r="AD147" s="26" t="n">
        <f aca="false">SUMIFS('Outages (event ledger)'!$H$2:$H$65,'Outages (event ledger)'!$A$2:$A$65,AD$2,'Outages (event ledger)'!$E$2:$E$65,"&lt;="&amp;$B147,'Outages (event ledger)'!$G$2:$G$65,"&gt;="&amp;$B147)</f>
        <v>0</v>
      </c>
      <c r="AE147" s="26" t="n">
        <f aca="false">SUMIFS('Outages (event ledger)'!$H$2:$H$65,'Outages (event ledger)'!$A$2:$A$65,AE$2,'Outages (event ledger)'!$E$2:$E$65,"&lt;="&amp;$B147,'Outages (event ledger)'!$G$2:$G$65,"&gt;="&amp;$B147)</f>
        <v>0</v>
      </c>
      <c r="AF147" s="26" t="n">
        <f aca="false">SUMIFS('Outages (event ledger)'!$H$2:$H$65,'Outages (event ledger)'!$A$2:$A$65,AF$2,'Outages (event ledger)'!$E$2:$E$65,"&lt;="&amp;$B147,'Outages (event ledger)'!$G$2:$G$65,"&gt;="&amp;$B147)</f>
        <v>0</v>
      </c>
      <c r="AG147" s="26" t="n">
        <f aca="false">SUMIFS('Outages (event ledger)'!$H$2:$H$65,'Outages (event ledger)'!$A$2:$A$65,AG$2,'Outages (event ledger)'!$E$2:$E$65,"&lt;="&amp;$B147,'Outages (event ledger)'!$G$2:$G$65,"&gt;="&amp;$B147)</f>
        <v>0</v>
      </c>
      <c r="AH147" s="26" t="n">
        <f aca="false">SUMIFS('Outages (event ledger)'!$H$2:$H$65,'Outages (event ledger)'!$A$2:$A$65,AH$2,'Outages (event ledger)'!$E$2:$E$65,"&lt;="&amp;$B147,'Outages (event ledger)'!$G$2:$G$65,"&gt;="&amp;$B147)</f>
        <v>0</v>
      </c>
      <c r="AI147" s="26" t="n">
        <f aca="false">SUMIFS('Outages (event ledger)'!$H$2:$H$65,'Outages (event ledger)'!$A$2:$A$65,AI$2,'Outages (event ledger)'!$E$2:$E$65,"&lt;="&amp;$B147,'Outages (event ledger)'!$G$2:$G$65,"&gt;="&amp;$B147)</f>
        <v>0</v>
      </c>
      <c r="AJ147" s="26" t="n">
        <f aca="false">SUMIFS('Outages (event ledger)'!$H$2:$H$65,'Outages (event ledger)'!$A$2:$A$65,AJ$2,'Outages (event ledger)'!$E$2:$E$65,"&lt;="&amp;$B147,'Outages (event ledger)'!$G$2:$G$65,"&gt;="&amp;$B147)</f>
        <v>0</v>
      </c>
      <c r="AK147" s="26" t="n">
        <f aca="false">SUMIFS('Outages (event ledger)'!$H$2:$H$65,'Outages (event ledger)'!$A$2:$A$65,AK$2,'Outages (event ledger)'!$E$2:$E$65,"&lt;="&amp;$B147,'Outages (event ledger)'!$G$2:$G$65,"&gt;="&amp;$B147)</f>
        <v>0</v>
      </c>
      <c r="AL147" s="26" t="n">
        <f aca="false">SUMIFS('Outages (event ledger)'!$H$2:$H$65,'Outages (event ledger)'!$A$2:$A$65,AL$2,'Outages (event ledger)'!$E$2:$E$65,"&lt;="&amp;$B147,'Outages (event ledger)'!$G$2:$G$65,"&gt;="&amp;$B147)</f>
        <v>4</v>
      </c>
      <c r="AM147" s="26" t="n">
        <f aca="false">SUMIFS('Outages (event ledger)'!$H$2:$H$65,'Outages (event ledger)'!$A$2:$A$65,AM$2,'Outages (event ledger)'!$E$2:$E$65,"&lt;="&amp;$B147,'Outages (event ledger)'!$G$2:$G$65,"&gt;="&amp;$B147)</f>
        <v>0</v>
      </c>
      <c r="AN147" s="26" t="n">
        <f aca="false">SUMIFS('Outages (event ledger)'!$H$2:$H$65,'Outages (event ledger)'!$A$2:$A$65,AN$2,'Outages (event ledger)'!$E$2:$E$65,"&lt;="&amp;$B147,'Outages (event ledger)'!$G$2:$G$65,"&gt;="&amp;$B147)</f>
        <v>4.3</v>
      </c>
      <c r="AO147" s="26" t="n">
        <f aca="false">SUMIFS('Outages (event ledger)'!$H$2:$H$65,'Outages (event ledger)'!$A$2:$A$65,AO$2,'Outages (event ledger)'!$E$2:$E$65,"&lt;="&amp;$B147,'Outages (event ledger)'!$G$2:$G$65,"&gt;="&amp;$B147)</f>
        <v>0</v>
      </c>
      <c r="AP147" s="26" t="n">
        <f aca="false">SUMIFS('Outages (event ledger)'!$H$2:$H$65,'Outages (event ledger)'!$A$2:$A$65,AP$2,'Outages (event ledger)'!$E$2:$E$65,"&lt;="&amp;$B147,'Outages (event ledger)'!$G$2:$G$65,"&gt;="&amp;$B147)</f>
        <v>0</v>
      </c>
      <c r="AQ147" s="26" t="n">
        <f aca="false">SUMIFS('Outages (event ledger)'!$H$2:$H$65,'Outages (event ledger)'!$A$2:$A$65,AQ$2,'Outages (event ledger)'!$E$2:$E$65,"&lt;="&amp;$B147,'Outages (event ledger)'!$G$2:$G$65,"&gt;="&amp;$B147)</f>
        <v>0</v>
      </c>
      <c r="AR147" s="26" t="n">
        <f aca="false">SUMIFS('Outages (event ledger)'!$H$2:$H$65,'Outages (event ledger)'!$A$2:$A$65,AR$2,'Outages (event ledger)'!$E$2:$E$65,"&lt;="&amp;$B147,'Outages (event ledger)'!$G$2:$G$65,"&gt;="&amp;$B147)</f>
        <v>0</v>
      </c>
      <c r="AS147" s="26" t="n">
        <f aca="false">SUMIFS('Outages (event ledger)'!$H$2:$H$65,'Outages (event ledger)'!$A$2:$A$65,AS$2,'Outages (event ledger)'!$E$2:$E$65,"&lt;="&amp;$B147,'Outages (event ledger)'!$G$2:$G$65,"&gt;="&amp;$B147)</f>
        <v>0</v>
      </c>
      <c r="AT147" s="26" t="n">
        <f aca="false">SUMIFS('Outages (event ledger)'!$H$2:$H$65,'Outages (event ledger)'!$A$2:$A$65,AT$2,'Outages (event ledger)'!$E$2:$E$65,"&lt;="&amp;$B147,'Outages (event ledger)'!$G$2:$G$65,"&gt;="&amp;$B147)</f>
        <v>0</v>
      </c>
      <c r="AU147" s="26" t="n">
        <f aca="false">SUMIFS('Outages (event ledger)'!$H$2:$H$65,'Outages (event ledger)'!$A$2:$A$65,AU$2,'Outages (event ledger)'!$E$2:$E$65,"&lt;="&amp;$B147,'Outages (event ledger)'!$G$2:$G$65,"&gt;="&amp;$B147)</f>
        <v>0</v>
      </c>
      <c r="AV147" s="26" t="n">
        <f aca="false">SUMIFS('Outages (event ledger)'!$H$2:$H$65,'Outages (event ledger)'!$A$2:$A$65,AV$2,'Outages (event ledger)'!$E$2:$E$65,"&lt;="&amp;$B147,'Outages (event ledger)'!$G$2:$G$65,"&gt;="&amp;$B147)</f>
        <v>0</v>
      </c>
      <c r="AW147" s="26" t="n">
        <f aca="false">SUMIFS('Outages (event ledger)'!$H$2:$H$65,'Outages (event ledger)'!$A$2:$A$65,AW$2,'Outages (event ledger)'!$E$2:$E$65,"&lt;="&amp;$B147,'Outages (event ledger)'!$G$2:$G$65,"&gt;="&amp;$B147)</f>
        <v>0</v>
      </c>
      <c r="AX147" s="26" t="n">
        <f aca="false">SUMIFS('Outages (event ledger)'!$H$2:$H$65,'Outages (event ledger)'!$A$2:$A$65,AX$2,'Outages (event ledger)'!$E$2:$E$65,"&lt;="&amp;$B147,'Outages (event ledger)'!$G$2:$G$65,"&gt;="&amp;$B147)</f>
        <v>6.6</v>
      </c>
      <c r="AY147" s="26" t="n">
        <f aca="false">SUMIFS('Outages (event ledger)'!$H$2:$H$65,'Outages (event ledger)'!$A$2:$A$65,AY$2,'Outages (event ledger)'!$E$2:$E$65,"&lt;="&amp;$B147,'Outages (event ledger)'!$G$2:$G$65,"&gt;="&amp;$B147)</f>
        <v>0</v>
      </c>
      <c r="AZ147" s="26" t="n">
        <f aca="false">SUMIFS('Outages (event ledger)'!$H$2:$H$65,'Outages (event ledger)'!$A$2:$A$65,AZ$2,'Outages (event ledger)'!$E$2:$E$65,"&lt;="&amp;$B147,'Outages (event ledger)'!$G$2:$G$65,"&gt;="&amp;$B147)</f>
        <v>0</v>
      </c>
      <c r="BA147" s="26" t="n">
        <f aca="false">SUMIFS('Outages (event ledger)'!$H$2:$H$65,'Outages (event ledger)'!$A$2:$A$65,BA$2,'Outages (event ledger)'!$E$2:$E$65,"&lt;="&amp;$B147,'Outages (event ledger)'!$G$2:$G$65,"&gt;="&amp;$B147)</f>
        <v>0</v>
      </c>
      <c r="BB147" s="26" t="n">
        <f aca="false">SUMIFS('Outages (event ledger)'!$H$2:$H$65,'Outages (event ledger)'!$A$2:$A$65,BB$2,'Outages (event ledger)'!$E$2:$E$65,"&lt;="&amp;$B147,'Outages (event ledger)'!$G$2:$G$65,"&gt;="&amp;$B147)</f>
        <v>0</v>
      </c>
      <c r="BC147" s="26" t="n">
        <f aca="false">SUMIFS('Outages (event ledger)'!$H$2:$H$65,'Outages (event ledger)'!$A$2:$A$65,BC$2,'Outages (event ledger)'!$E$2:$E$65,"&lt;="&amp;$B147,'Outages (event ledger)'!$G$2:$G$65,"&gt;="&amp;$B147)</f>
        <v>0</v>
      </c>
      <c r="BD147" s="26" t="n">
        <f aca="false">SUMIFS('Outages (event ledger)'!$H$2:$H$65,'Outages (event ledger)'!$A$2:$A$65,BD$2,'Outages (event ledger)'!$E$2:$E$65,"&lt;="&amp;$B147,'Outages (event ledger)'!$G$2:$G$65,"&gt;="&amp;$B147)</f>
        <v>0</v>
      </c>
      <c r="BE147" s="26" t="n">
        <f aca="false">SUMIFS('Outages (event ledger)'!$H$2:$H$65,'Outages (event ledger)'!$A$2:$A$65,BE$2,'Outages (event ledger)'!$E$2:$E$65,"&lt;="&amp;$B147,'Outages (event ledger)'!$G$2:$G$65,"&gt;="&amp;$B147)</f>
        <v>0</v>
      </c>
      <c r="BF147" s="26" t="n">
        <f aca="false">SUMIFS('Outages (event ledger)'!$H$2:$H$65,'Outages (event ledger)'!$A$2:$A$65,BF$2,'Outages (event ledger)'!$E$2:$E$65,"&lt;="&amp;$B147,'Outages (event ledger)'!$G$2:$G$65,"&gt;="&amp;$B147)</f>
        <v>0</v>
      </c>
      <c r="BG147" s="26" t="n">
        <f aca="false">SUMIFS('Outages (event ledger)'!$H$2:$H$65,'Outages (event ledger)'!$A$2:$A$65,BG$2,'Outages (event ledger)'!$E$2:$E$65,"&lt;="&amp;$B147,'Outages (event ledger)'!$G$2:$G$65,"&gt;="&amp;$B147)</f>
        <v>0</v>
      </c>
      <c r="BH147" s="26" t="n">
        <f aca="false">SUMIFS('Outages (event ledger)'!$H$2:$H$65,'Outages (event ledger)'!$A$2:$A$65,BH$2,'Outages (event ledger)'!$E$2:$E$65,"&lt;="&amp;$B147,'Outages (event ledger)'!$G$2:$G$65,"&gt;="&amp;$B147)</f>
        <v>0</v>
      </c>
      <c r="BI147" s="26" t="n">
        <f aca="false">SUMIFS('Outages (event ledger)'!$H$2:$H$65,'Outages (event ledger)'!$A$2:$A$65,BI$2,'Outages (event ledger)'!$E$2:$E$65,"&lt;="&amp;$B147,'Outages (event ledger)'!$G$2:$G$65,"&gt;="&amp;$B147)</f>
        <v>6.7</v>
      </c>
    </row>
    <row r="148" customFormat="false" ht="15" hidden="false" customHeight="false" outlineLevel="0" collapsed="false">
      <c r="A148" s="23" t="n">
        <v>44593</v>
      </c>
      <c r="B148" s="24" t="n">
        <v>202202</v>
      </c>
      <c r="C148" s="25" t="n">
        <f aca="false">SUM(D148:BI148)</f>
        <v>33.2</v>
      </c>
      <c r="D148" s="26" t="n">
        <f aca="false">SUMIFS('Outages (event ledger)'!$H$2:$H$65,'Outages (event ledger)'!$A$2:$A$65,D$2,'Outages (event ledger)'!$E$2:$E$65,"&lt;="&amp;$B148,'Outages (event ledger)'!$G$2:$G$65,"&gt;="&amp;$B148)</f>
        <v>0</v>
      </c>
      <c r="E148" s="26" t="n">
        <f aca="false">SUMIFS('Outages (event ledger)'!$H$2:$H$65,'Outages (event ledger)'!$A$2:$A$65,E$2,'Outages (event ledger)'!$E$2:$E$65,"&lt;="&amp;$B148,'Outages (event ledger)'!$G$2:$G$65,"&gt;="&amp;$B148)</f>
        <v>0</v>
      </c>
      <c r="F148" s="26" t="n">
        <f aca="false">SUMIFS('Outages (event ledger)'!$H$2:$H$65,'Outages (event ledger)'!$A$2:$A$65,F$2,'Outages (event ledger)'!$E$2:$E$65,"&lt;="&amp;$B148,'Outages (event ledger)'!$G$2:$G$65,"&gt;="&amp;$B148)</f>
        <v>0</v>
      </c>
      <c r="G148" s="26" t="n">
        <f aca="false">SUMIFS('Outages (event ledger)'!$H$2:$H$65,'Outages (event ledger)'!$A$2:$A$65,G$2,'Outages (event ledger)'!$E$2:$E$65,"&lt;="&amp;$B148,'Outages (event ledger)'!$G$2:$G$65,"&gt;="&amp;$B148)</f>
        <v>0</v>
      </c>
      <c r="H148" s="26" t="n">
        <f aca="false">SUMIFS('Outages (event ledger)'!$H$2:$H$65,'Outages (event ledger)'!$A$2:$A$65,H$2,'Outages (event ledger)'!$E$2:$E$65,"&lt;="&amp;$B148,'Outages (event ledger)'!$G$2:$G$65,"&gt;="&amp;$B148)</f>
        <v>0</v>
      </c>
      <c r="I148" s="26" t="n">
        <f aca="false">SUMIFS('Outages (event ledger)'!$H$2:$H$65,'Outages (event ledger)'!$A$2:$A$65,I$2,'Outages (event ledger)'!$E$2:$E$65,"&lt;="&amp;$B148,'Outages (event ledger)'!$G$2:$G$65,"&gt;="&amp;$B148)</f>
        <v>0</v>
      </c>
      <c r="J148" s="26" t="n">
        <f aca="false">SUMIFS('Outages (event ledger)'!$H$2:$H$65,'Outages (event ledger)'!$A$2:$A$65,J$2,'Outages (event ledger)'!$E$2:$E$65,"&lt;="&amp;$B148,'Outages (event ledger)'!$G$2:$G$65,"&gt;="&amp;$B148)</f>
        <v>0</v>
      </c>
      <c r="K148" s="26" t="n">
        <f aca="false">SUMIFS('Outages (event ledger)'!$H$2:$H$65,'Outages (event ledger)'!$A$2:$A$65,K$2,'Outages (event ledger)'!$E$2:$E$65,"&lt;="&amp;$B148,'Outages (event ledger)'!$G$2:$G$65,"&gt;="&amp;$B148)</f>
        <v>0</v>
      </c>
      <c r="L148" s="26" t="n">
        <f aca="false">SUMIFS('Outages (event ledger)'!$H$2:$H$65,'Outages (event ledger)'!$A$2:$A$65,L$2,'Outages (event ledger)'!$E$2:$E$65,"&lt;="&amp;$B148,'Outages (event ledger)'!$G$2:$G$65,"&gt;="&amp;$B148)</f>
        <v>0</v>
      </c>
      <c r="M148" s="26" t="n">
        <f aca="false">SUMIFS('Outages (event ledger)'!$H$2:$H$65,'Outages (event ledger)'!$A$2:$A$65,M$2,'Outages (event ledger)'!$E$2:$E$65,"&lt;="&amp;$B148,'Outages (event ledger)'!$G$2:$G$65,"&gt;="&amp;$B148)</f>
        <v>0</v>
      </c>
      <c r="N148" s="26" t="n">
        <f aca="false">SUMIFS('Outages (event ledger)'!$H$2:$H$65,'Outages (event ledger)'!$A$2:$A$65,N$2,'Outages (event ledger)'!$E$2:$E$65,"&lt;="&amp;$B148,'Outages (event ledger)'!$G$2:$G$65,"&gt;="&amp;$B148)</f>
        <v>0</v>
      </c>
      <c r="O148" s="26" t="n">
        <f aca="false">SUMIFS('Outages (event ledger)'!$H$2:$H$65,'Outages (event ledger)'!$A$2:$A$65,O$2,'Outages (event ledger)'!$E$2:$E$65,"&lt;="&amp;$B148,'Outages (event ledger)'!$G$2:$G$65,"&gt;="&amp;$B148)</f>
        <v>0</v>
      </c>
      <c r="P148" s="26" t="n">
        <f aca="false">SUMIFS('Outages (event ledger)'!$H$2:$H$65,'Outages (event ledger)'!$A$2:$A$65,P$2,'Outages (event ledger)'!$E$2:$E$65,"&lt;="&amp;$B148,'Outages (event ledger)'!$G$2:$G$65,"&gt;="&amp;$B148)</f>
        <v>3.6</v>
      </c>
      <c r="Q148" s="26" t="n">
        <f aca="false">SUMIFS('Outages (event ledger)'!$H$2:$H$65,'Outages (event ledger)'!$A$2:$A$65,Q$2,'Outages (event ledger)'!$E$2:$E$65,"&lt;="&amp;$B148,'Outages (event ledger)'!$G$2:$G$65,"&gt;="&amp;$B148)</f>
        <v>0</v>
      </c>
      <c r="R148" s="26" t="n">
        <f aca="false">SUMIFS('Outages (event ledger)'!$H$2:$H$65,'Outages (event ledger)'!$A$2:$A$65,R$2,'Outages (event ledger)'!$E$2:$E$65,"&lt;="&amp;$B148,'Outages (event ledger)'!$G$2:$G$65,"&gt;="&amp;$B148)</f>
        <v>0</v>
      </c>
      <c r="S148" s="26" t="n">
        <f aca="false">SUMIFS('Outages (event ledger)'!$H$2:$H$65,'Outages (event ledger)'!$A$2:$A$65,S$2,'Outages (event ledger)'!$E$2:$E$65,"&lt;="&amp;$B148,'Outages (event ledger)'!$G$2:$G$65,"&gt;="&amp;$B148)</f>
        <v>0</v>
      </c>
      <c r="T148" s="26" t="n">
        <f aca="false">SUMIFS('Outages (event ledger)'!$H$2:$H$65,'Outages (event ledger)'!$A$2:$A$65,T$2,'Outages (event ledger)'!$E$2:$E$65,"&lt;="&amp;$B148,'Outages (event ledger)'!$G$2:$G$65,"&gt;="&amp;$B148)</f>
        <v>0</v>
      </c>
      <c r="U148" s="26" t="n">
        <f aca="false">SUMIFS('Outages (event ledger)'!$H$2:$H$65,'Outages (event ledger)'!$A$2:$A$65,U$2,'Outages (event ledger)'!$E$2:$E$65,"&lt;="&amp;$B148,'Outages (event ledger)'!$G$2:$G$65,"&gt;="&amp;$B148)</f>
        <v>0</v>
      </c>
      <c r="V148" s="26" t="n">
        <f aca="false">SUMIFS('Outages (event ledger)'!$H$2:$H$65,'Outages (event ledger)'!$A$2:$A$65,V$2,'Outages (event ledger)'!$E$2:$E$65,"&lt;="&amp;$B148,'Outages (event ledger)'!$G$2:$G$65,"&gt;="&amp;$B148)</f>
        <v>0</v>
      </c>
      <c r="W148" s="26" t="n">
        <f aca="false">SUMIFS('Outages (event ledger)'!$H$2:$H$65,'Outages (event ledger)'!$A$2:$A$65,W$2,'Outages (event ledger)'!$E$2:$E$65,"&lt;="&amp;$B148,'Outages (event ledger)'!$G$2:$G$65,"&gt;="&amp;$B148)</f>
        <v>0</v>
      </c>
      <c r="X148" s="26" t="n">
        <f aca="false">SUMIFS('Outages (event ledger)'!$H$2:$H$65,'Outages (event ledger)'!$A$2:$A$65,X$2,'Outages (event ledger)'!$E$2:$E$65,"&lt;="&amp;$B148,'Outages (event ledger)'!$G$2:$G$65,"&gt;="&amp;$B148)</f>
        <v>0</v>
      </c>
      <c r="Y148" s="26" t="n">
        <f aca="false">SUMIFS('Outages (event ledger)'!$H$2:$H$65,'Outages (event ledger)'!$A$2:$A$65,Y$2,'Outages (event ledger)'!$E$2:$E$65,"&lt;="&amp;$B148,'Outages (event ledger)'!$G$2:$G$65,"&gt;="&amp;$B148)</f>
        <v>0</v>
      </c>
      <c r="Z148" s="26" t="n">
        <f aca="false">SUMIFS('Outages (event ledger)'!$H$2:$H$65,'Outages (event ledger)'!$A$2:$A$65,Z$2,'Outages (event ledger)'!$E$2:$E$65,"&lt;="&amp;$B148,'Outages (event ledger)'!$G$2:$G$65,"&gt;="&amp;$B148)</f>
        <v>0</v>
      </c>
      <c r="AA148" s="26" t="n">
        <f aca="false">SUMIFS('Outages (event ledger)'!$H$2:$H$65,'Outages (event ledger)'!$A$2:$A$65,AA$2,'Outages (event ledger)'!$E$2:$E$65,"&lt;="&amp;$B148,'Outages (event ledger)'!$G$2:$G$65,"&gt;="&amp;$B148)</f>
        <v>0</v>
      </c>
      <c r="AB148" s="26" t="n">
        <f aca="false">SUMIFS('Outages (event ledger)'!$H$2:$H$65,'Outages (event ledger)'!$A$2:$A$65,AB$2,'Outages (event ledger)'!$E$2:$E$65,"&lt;="&amp;$B148,'Outages (event ledger)'!$G$2:$G$65,"&gt;="&amp;$B148)</f>
        <v>8</v>
      </c>
      <c r="AC148" s="26" t="n">
        <f aca="false">SUMIFS('Outages (event ledger)'!$H$2:$H$65,'Outages (event ledger)'!$A$2:$A$65,AC$2,'Outages (event ledger)'!$E$2:$E$65,"&lt;="&amp;$B148,'Outages (event ledger)'!$G$2:$G$65,"&gt;="&amp;$B148)</f>
        <v>0</v>
      </c>
      <c r="AD148" s="26" t="n">
        <f aca="false">SUMIFS('Outages (event ledger)'!$H$2:$H$65,'Outages (event ledger)'!$A$2:$A$65,AD$2,'Outages (event ledger)'!$E$2:$E$65,"&lt;="&amp;$B148,'Outages (event ledger)'!$G$2:$G$65,"&gt;="&amp;$B148)</f>
        <v>0</v>
      </c>
      <c r="AE148" s="26" t="n">
        <f aca="false">SUMIFS('Outages (event ledger)'!$H$2:$H$65,'Outages (event ledger)'!$A$2:$A$65,AE$2,'Outages (event ledger)'!$E$2:$E$65,"&lt;="&amp;$B148,'Outages (event ledger)'!$G$2:$G$65,"&gt;="&amp;$B148)</f>
        <v>0</v>
      </c>
      <c r="AF148" s="26" t="n">
        <f aca="false">SUMIFS('Outages (event ledger)'!$H$2:$H$65,'Outages (event ledger)'!$A$2:$A$65,AF$2,'Outages (event ledger)'!$E$2:$E$65,"&lt;="&amp;$B148,'Outages (event ledger)'!$G$2:$G$65,"&gt;="&amp;$B148)</f>
        <v>0</v>
      </c>
      <c r="AG148" s="26" t="n">
        <f aca="false">SUMIFS('Outages (event ledger)'!$H$2:$H$65,'Outages (event ledger)'!$A$2:$A$65,AG$2,'Outages (event ledger)'!$E$2:$E$65,"&lt;="&amp;$B148,'Outages (event ledger)'!$G$2:$G$65,"&gt;="&amp;$B148)</f>
        <v>0</v>
      </c>
      <c r="AH148" s="26" t="n">
        <f aca="false">SUMIFS('Outages (event ledger)'!$H$2:$H$65,'Outages (event ledger)'!$A$2:$A$65,AH$2,'Outages (event ledger)'!$E$2:$E$65,"&lt;="&amp;$B148,'Outages (event ledger)'!$G$2:$G$65,"&gt;="&amp;$B148)</f>
        <v>0</v>
      </c>
      <c r="AI148" s="26" t="n">
        <f aca="false">SUMIFS('Outages (event ledger)'!$H$2:$H$65,'Outages (event ledger)'!$A$2:$A$65,AI$2,'Outages (event ledger)'!$E$2:$E$65,"&lt;="&amp;$B148,'Outages (event ledger)'!$G$2:$G$65,"&gt;="&amp;$B148)</f>
        <v>0</v>
      </c>
      <c r="AJ148" s="26" t="n">
        <f aca="false">SUMIFS('Outages (event ledger)'!$H$2:$H$65,'Outages (event ledger)'!$A$2:$A$65,AJ$2,'Outages (event ledger)'!$E$2:$E$65,"&lt;="&amp;$B148,'Outages (event ledger)'!$G$2:$G$65,"&gt;="&amp;$B148)</f>
        <v>0</v>
      </c>
      <c r="AK148" s="26" t="n">
        <f aca="false">SUMIFS('Outages (event ledger)'!$H$2:$H$65,'Outages (event ledger)'!$A$2:$A$65,AK$2,'Outages (event ledger)'!$E$2:$E$65,"&lt;="&amp;$B148,'Outages (event ledger)'!$G$2:$G$65,"&gt;="&amp;$B148)</f>
        <v>0</v>
      </c>
      <c r="AL148" s="26" t="n">
        <f aca="false">SUMIFS('Outages (event ledger)'!$H$2:$H$65,'Outages (event ledger)'!$A$2:$A$65,AL$2,'Outages (event ledger)'!$E$2:$E$65,"&lt;="&amp;$B148,'Outages (event ledger)'!$G$2:$G$65,"&gt;="&amp;$B148)</f>
        <v>4</v>
      </c>
      <c r="AM148" s="26" t="n">
        <f aca="false">SUMIFS('Outages (event ledger)'!$H$2:$H$65,'Outages (event ledger)'!$A$2:$A$65,AM$2,'Outages (event ledger)'!$E$2:$E$65,"&lt;="&amp;$B148,'Outages (event ledger)'!$G$2:$G$65,"&gt;="&amp;$B148)</f>
        <v>0</v>
      </c>
      <c r="AN148" s="26" t="n">
        <f aca="false">SUMIFS('Outages (event ledger)'!$H$2:$H$65,'Outages (event ledger)'!$A$2:$A$65,AN$2,'Outages (event ledger)'!$E$2:$E$65,"&lt;="&amp;$B148,'Outages (event ledger)'!$G$2:$G$65,"&gt;="&amp;$B148)</f>
        <v>4.3</v>
      </c>
      <c r="AO148" s="26" t="n">
        <f aca="false">SUMIFS('Outages (event ledger)'!$H$2:$H$65,'Outages (event ledger)'!$A$2:$A$65,AO$2,'Outages (event ledger)'!$E$2:$E$65,"&lt;="&amp;$B148,'Outages (event ledger)'!$G$2:$G$65,"&gt;="&amp;$B148)</f>
        <v>0</v>
      </c>
      <c r="AP148" s="26" t="n">
        <f aca="false">SUMIFS('Outages (event ledger)'!$H$2:$H$65,'Outages (event ledger)'!$A$2:$A$65,AP$2,'Outages (event ledger)'!$E$2:$E$65,"&lt;="&amp;$B148,'Outages (event ledger)'!$G$2:$G$65,"&gt;="&amp;$B148)</f>
        <v>0</v>
      </c>
      <c r="AQ148" s="26" t="n">
        <f aca="false">SUMIFS('Outages (event ledger)'!$H$2:$H$65,'Outages (event ledger)'!$A$2:$A$65,AQ$2,'Outages (event ledger)'!$E$2:$E$65,"&lt;="&amp;$B148,'Outages (event ledger)'!$G$2:$G$65,"&gt;="&amp;$B148)</f>
        <v>0</v>
      </c>
      <c r="AR148" s="26" t="n">
        <f aca="false">SUMIFS('Outages (event ledger)'!$H$2:$H$65,'Outages (event ledger)'!$A$2:$A$65,AR$2,'Outages (event ledger)'!$E$2:$E$65,"&lt;="&amp;$B148,'Outages (event ledger)'!$G$2:$G$65,"&gt;="&amp;$B148)</f>
        <v>0</v>
      </c>
      <c r="AS148" s="26" t="n">
        <f aca="false">SUMIFS('Outages (event ledger)'!$H$2:$H$65,'Outages (event ledger)'!$A$2:$A$65,AS$2,'Outages (event ledger)'!$E$2:$E$65,"&lt;="&amp;$B148,'Outages (event ledger)'!$G$2:$G$65,"&gt;="&amp;$B148)</f>
        <v>0</v>
      </c>
      <c r="AT148" s="26" t="n">
        <f aca="false">SUMIFS('Outages (event ledger)'!$H$2:$H$65,'Outages (event ledger)'!$A$2:$A$65,AT$2,'Outages (event ledger)'!$E$2:$E$65,"&lt;="&amp;$B148,'Outages (event ledger)'!$G$2:$G$65,"&gt;="&amp;$B148)</f>
        <v>0</v>
      </c>
      <c r="AU148" s="26" t="n">
        <f aca="false">SUMIFS('Outages (event ledger)'!$H$2:$H$65,'Outages (event ledger)'!$A$2:$A$65,AU$2,'Outages (event ledger)'!$E$2:$E$65,"&lt;="&amp;$B148,'Outages (event ledger)'!$G$2:$G$65,"&gt;="&amp;$B148)</f>
        <v>0</v>
      </c>
      <c r="AV148" s="26" t="n">
        <f aca="false">SUMIFS('Outages (event ledger)'!$H$2:$H$65,'Outages (event ledger)'!$A$2:$A$65,AV$2,'Outages (event ledger)'!$E$2:$E$65,"&lt;="&amp;$B148,'Outages (event ledger)'!$G$2:$G$65,"&gt;="&amp;$B148)</f>
        <v>0</v>
      </c>
      <c r="AW148" s="26" t="n">
        <f aca="false">SUMIFS('Outages (event ledger)'!$H$2:$H$65,'Outages (event ledger)'!$A$2:$A$65,AW$2,'Outages (event ledger)'!$E$2:$E$65,"&lt;="&amp;$B148,'Outages (event ledger)'!$G$2:$G$65,"&gt;="&amp;$B148)</f>
        <v>0</v>
      </c>
      <c r="AX148" s="26" t="n">
        <f aca="false">SUMIFS('Outages (event ledger)'!$H$2:$H$65,'Outages (event ledger)'!$A$2:$A$65,AX$2,'Outages (event ledger)'!$E$2:$E$65,"&lt;="&amp;$B148,'Outages (event ledger)'!$G$2:$G$65,"&gt;="&amp;$B148)</f>
        <v>6.6</v>
      </c>
      <c r="AY148" s="26" t="n">
        <f aca="false">SUMIFS('Outages (event ledger)'!$H$2:$H$65,'Outages (event ledger)'!$A$2:$A$65,AY$2,'Outages (event ledger)'!$E$2:$E$65,"&lt;="&amp;$B148,'Outages (event ledger)'!$G$2:$G$65,"&gt;="&amp;$B148)</f>
        <v>0</v>
      </c>
      <c r="AZ148" s="26" t="n">
        <f aca="false">SUMIFS('Outages (event ledger)'!$H$2:$H$65,'Outages (event ledger)'!$A$2:$A$65,AZ$2,'Outages (event ledger)'!$E$2:$E$65,"&lt;="&amp;$B148,'Outages (event ledger)'!$G$2:$G$65,"&gt;="&amp;$B148)</f>
        <v>0</v>
      </c>
      <c r="BA148" s="26" t="n">
        <f aca="false">SUMIFS('Outages (event ledger)'!$H$2:$H$65,'Outages (event ledger)'!$A$2:$A$65,BA$2,'Outages (event ledger)'!$E$2:$E$65,"&lt;="&amp;$B148,'Outages (event ledger)'!$G$2:$G$65,"&gt;="&amp;$B148)</f>
        <v>0</v>
      </c>
      <c r="BB148" s="26" t="n">
        <f aca="false">SUMIFS('Outages (event ledger)'!$H$2:$H$65,'Outages (event ledger)'!$A$2:$A$65,BB$2,'Outages (event ledger)'!$E$2:$E$65,"&lt;="&amp;$B148,'Outages (event ledger)'!$G$2:$G$65,"&gt;="&amp;$B148)</f>
        <v>0</v>
      </c>
      <c r="BC148" s="26" t="n">
        <f aca="false">SUMIFS('Outages (event ledger)'!$H$2:$H$65,'Outages (event ledger)'!$A$2:$A$65,BC$2,'Outages (event ledger)'!$E$2:$E$65,"&lt;="&amp;$B148,'Outages (event ledger)'!$G$2:$G$65,"&gt;="&amp;$B148)</f>
        <v>0</v>
      </c>
      <c r="BD148" s="26" t="n">
        <f aca="false">SUMIFS('Outages (event ledger)'!$H$2:$H$65,'Outages (event ledger)'!$A$2:$A$65,BD$2,'Outages (event ledger)'!$E$2:$E$65,"&lt;="&amp;$B148,'Outages (event ledger)'!$G$2:$G$65,"&gt;="&amp;$B148)</f>
        <v>0</v>
      </c>
      <c r="BE148" s="26" t="n">
        <f aca="false">SUMIFS('Outages (event ledger)'!$H$2:$H$65,'Outages (event ledger)'!$A$2:$A$65,BE$2,'Outages (event ledger)'!$E$2:$E$65,"&lt;="&amp;$B148,'Outages (event ledger)'!$G$2:$G$65,"&gt;="&amp;$B148)</f>
        <v>0</v>
      </c>
      <c r="BF148" s="26" t="n">
        <f aca="false">SUMIFS('Outages (event ledger)'!$H$2:$H$65,'Outages (event ledger)'!$A$2:$A$65,BF$2,'Outages (event ledger)'!$E$2:$E$65,"&lt;="&amp;$B148,'Outages (event ledger)'!$G$2:$G$65,"&gt;="&amp;$B148)</f>
        <v>0</v>
      </c>
      <c r="BG148" s="26" t="n">
        <f aca="false">SUMIFS('Outages (event ledger)'!$H$2:$H$65,'Outages (event ledger)'!$A$2:$A$65,BG$2,'Outages (event ledger)'!$E$2:$E$65,"&lt;="&amp;$B148,'Outages (event ledger)'!$G$2:$G$65,"&gt;="&amp;$B148)</f>
        <v>0</v>
      </c>
      <c r="BH148" s="26" t="n">
        <f aca="false">SUMIFS('Outages (event ledger)'!$H$2:$H$65,'Outages (event ledger)'!$A$2:$A$65,BH$2,'Outages (event ledger)'!$E$2:$E$65,"&lt;="&amp;$B148,'Outages (event ledger)'!$G$2:$G$65,"&gt;="&amp;$B148)</f>
        <v>0</v>
      </c>
      <c r="BI148" s="26" t="n">
        <f aca="false">SUMIFS('Outages (event ledger)'!$H$2:$H$65,'Outages (event ledger)'!$A$2:$A$65,BI$2,'Outages (event ledger)'!$E$2:$E$65,"&lt;="&amp;$B148,'Outages (event ledger)'!$G$2:$G$65,"&gt;="&amp;$B148)</f>
        <v>6.7</v>
      </c>
    </row>
    <row r="149" customFormat="false" ht="15" hidden="false" customHeight="false" outlineLevel="0" collapsed="false">
      <c r="A149" s="23" t="n">
        <v>44621</v>
      </c>
      <c r="B149" s="24" t="n">
        <v>202203</v>
      </c>
      <c r="C149" s="25" t="n">
        <f aca="false">SUM(D149:BI149)</f>
        <v>33.2</v>
      </c>
      <c r="D149" s="26" t="n">
        <f aca="false">SUMIFS('Outages (event ledger)'!$H$2:$H$65,'Outages (event ledger)'!$A$2:$A$65,D$2,'Outages (event ledger)'!$E$2:$E$65,"&lt;="&amp;$B149,'Outages (event ledger)'!$G$2:$G$65,"&gt;="&amp;$B149)</f>
        <v>0</v>
      </c>
      <c r="E149" s="26" t="n">
        <f aca="false">SUMIFS('Outages (event ledger)'!$H$2:$H$65,'Outages (event ledger)'!$A$2:$A$65,E$2,'Outages (event ledger)'!$E$2:$E$65,"&lt;="&amp;$B149,'Outages (event ledger)'!$G$2:$G$65,"&gt;="&amp;$B149)</f>
        <v>0</v>
      </c>
      <c r="F149" s="26" t="n">
        <f aca="false">SUMIFS('Outages (event ledger)'!$H$2:$H$65,'Outages (event ledger)'!$A$2:$A$65,F$2,'Outages (event ledger)'!$E$2:$E$65,"&lt;="&amp;$B149,'Outages (event ledger)'!$G$2:$G$65,"&gt;="&amp;$B149)</f>
        <v>0</v>
      </c>
      <c r="G149" s="26" t="n">
        <f aca="false">SUMIFS('Outages (event ledger)'!$H$2:$H$65,'Outages (event ledger)'!$A$2:$A$65,G$2,'Outages (event ledger)'!$E$2:$E$65,"&lt;="&amp;$B149,'Outages (event ledger)'!$G$2:$G$65,"&gt;="&amp;$B149)</f>
        <v>0</v>
      </c>
      <c r="H149" s="26" t="n">
        <f aca="false">SUMIFS('Outages (event ledger)'!$H$2:$H$65,'Outages (event ledger)'!$A$2:$A$65,H$2,'Outages (event ledger)'!$E$2:$E$65,"&lt;="&amp;$B149,'Outages (event ledger)'!$G$2:$G$65,"&gt;="&amp;$B149)</f>
        <v>0</v>
      </c>
      <c r="I149" s="26" t="n">
        <f aca="false">SUMIFS('Outages (event ledger)'!$H$2:$H$65,'Outages (event ledger)'!$A$2:$A$65,I$2,'Outages (event ledger)'!$E$2:$E$65,"&lt;="&amp;$B149,'Outages (event ledger)'!$G$2:$G$65,"&gt;="&amp;$B149)</f>
        <v>0</v>
      </c>
      <c r="J149" s="26" t="n">
        <f aca="false">SUMIFS('Outages (event ledger)'!$H$2:$H$65,'Outages (event ledger)'!$A$2:$A$65,J$2,'Outages (event ledger)'!$E$2:$E$65,"&lt;="&amp;$B149,'Outages (event ledger)'!$G$2:$G$65,"&gt;="&amp;$B149)</f>
        <v>0</v>
      </c>
      <c r="K149" s="26" t="n">
        <f aca="false">SUMIFS('Outages (event ledger)'!$H$2:$H$65,'Outages (event ledger)'!$A$2:$A$65,K$2,'Outages (event ledger)'!$E$2:$E$65,"&lt;="&amp;$B149,'Outages (event ledger)'!$G$2:$G$65,"&gt;="&amp;$B149)</f>
        <v>0</v>
      </c>
      <c r="L149" s="26" t="n">
        <f aca="false">SUMIFS('Outages (event ledger)'!$H$2:$H$65,'Outages (event ledger)'!$A$2:$A$65,L$2,'Outages (event ledger)'!$E$2:$E$65,"&lt;="&amp;$B149,'Outages (event ledger)'!$G$2:$G$65,"&gt;="&amp;$B149)</f>
        <v>0</v>
      </c>
      <c r="M149" s="26" t="n">
        <f aca="false">SUMIFS('Outages (event ledger)'!$H$2:$H$65,'Outages (event ledger)'!$A$2:$A$65,M$2,'Outages (event ledger)'!$E$2:$E$65,"&lt;="&amp;$B149,'Outages (event ledger)'!$G$2:$G$65,"&gt;="&amp;$B149)</f>
        <v>0</v>
      </c>
      <c r="N149" s="26" t="n">
        <f aca="false">SUMIFS('Outages (event ledger)'!$H$2:$H$65,'Outages (event ledger)'!$A$2:$A$65,N$2,'Outages (event ledger)'!$E$2:$E$65,"&lt;="&amp;$B149,'Outages (event ledger)'!$G$2:$G$65,"&gt;="&amp;$B149)</f>
        <v>0</v>
      </c>
      <c r="O149" s="26" t="n">
        <f aca="false">SUMIFS('Outages (event ledger)'!$H$2:$H$65,'Outages (event ledger)'!$A$2:$A$65,O$2,'Outages (event ledger)'!$E$2:$E$65,"&lt;="&amp;$B149,'Outages (event ledger)'!$G$2:$G$65,"&gt;="&amp;$B149)</f>
        <v>0</v>
      </c>
      <c r="P149" s="26" t="n">
        <f aca="false">SUMIFS('Outages (event ledger)'!$H$2:$H$65,'Outages (event ledger)'!$A$2:$A$65,P$2,'Outages (event ledger)'!$E$2:$E$65,"&lt;="&amp;$B149,'Outages (event ledger)'!$G$2:$G$65,"&gt;="&amp;$B149)</f>
        <v>3.6</v>
      </c>
      <c r="Q149" s="26" t="n">
        <f aca="false">SUMIFS('Outages (event ledger)'!$H$2:$H$65,'Outages (event ledger)'!$A$2:$A$65,Q$2,'Outages (event ledger)'!$E$2:$E$65,"&lt;="&amp;$B149,'Outages (event ledger)'!$G$2:$G$65,"&gt;="&amp;$B149)</f>
        <v>0</v>
      </c>
      <c r="R149" s="26" t="n">
        <f aca="false">SUMIFS('Outages (event ledger)'!$H$2:$H$65,'Outages (event ledger)'!$A$2:$A$65,R$2,'Outages (event ledger)'!$E$2:$E$65,"&lt;="&amp;$B149,'Outages (event ledger)'!$G$2:$G$65,"&gt;="&amp;$B149)</f>
        <v>0</v>
      </c>
      <c r="S149" s="26" t="n">
        <f aca="false">SUMIFS('Outages (event ledger)'!$H$2:$H$65,'Outages (event ledger)'!$A$2:$A$65,S$2,'Outages (event ledger)'!$E$2:$E$65,"&lt;="&amp;$B149,'Outages (event ledger)'!$G$2:$G$65,"&gt;="&amp;$B149)</f>
        <v>0</v>
      </c>
      <c r="T149" s="26" t="n">
        <f aca="false">SUMIFS('Outages (event ledger)'!$H$2:$H$65,'Outages (event ledger)'!$A$2:$A$65,T$2,'Outages (event ledger)'!$E$2:$E$65,"&lt;="&amp;$B149,'Outages (event ledger)'!$G$2:$G$65,"&gt;="&amp;$B149)</f>
        <v>0</v>
      </c>
      <c r="U149" s="26" t="n">
        <f aca="false">SUMIFS('Outages (event ledger)'!$H$2:$H$65,'Outages (event ledger)'!$A$2:$A$65,U$2,'Outages (event ledger)'!$E$2:$E$65,"&lt;="&amp;$B149,'Outages (event ledger)'!$G$2:$G$65,"&gt;="&amp;$B149)</f>
        <v>0</v>
      </c>
      <c r="V149" s="26" t="n">
        <f aca="false">SUMIFS('Outages (event ledger)'!$H$2:$H$65,'Outages (event ledger)'!$A$2:$A$65,V$2,'Outages (event ledger)'!$E$2:$E$65,"&lt;="&amp;$B149,'Outages (event ledger)'!$G$2:$G$65,"&gt;="&amp;$B149)</f>
        <v>0</v>
      </c>
      <c r="W149" s="26" t="n">
        <f aca="false">SUMIFS('Outages (event ledger)'!$H$2:$H$65,'Outages (event ledger)'!$A$2:$A$65,W$2,'Outages (event ledger)'!$E$2:$E$65,"&lt;="&amp;$B149,'Outages (event ledger)'!$G$2:$G$65,"&gt;="&amp;$B149)</f>
        <v>0</v>
      </c>
      <c r="X149" s="26" t="n">
        <f aca="false">SUMIFS('Outages (event ledger)'!$H$2:$H$65,'Outages (event ledger)'!$A$2:$A$65,X$2,'Outages (event ledger)'!$E$2:$E$65,"&lt;="&amp;$B149,'Outages (event ledger)'!$G$2:$G$65,"&gt;="&amp;$B149)</f>
        <v>0</v>
      </c>
      <c r="Y149" s="26" t="n">
        <f aca="false">SUMIFS('Outages (event ledger)'!$H$2:$H$65,'Outages (event ledger)'!$A$2:$A$65,Y$2,'Outages (event ledger)'!$E$2:$E$65,"&lt;="&amp;$B149,'Outages (event ledger)'!$G$2:$G$65,"&gt;="&amp;$B149)</f>
        <v>0</v>
      </c>
      <c r="Z149" s="26" t="n">
        <f aca="false">SUMIFS('Outages (event ledger)'!$H$2:$H$65,'Outages (event ledger)'!$A$2:$A$65,Z$2,'Outages (event ledger)'!$E$2:$E$65,"&lt;="&amp;$B149,'Outages (event ledger)'!$G$2:$G$65,"&gt;="&amp;$B149)</f>
        <v>0</v>
      </c>
      <c r="AA149" s="26" t="n">
        <f aca="false">SUMIFS('Outages (event ledger)'!$H$2:$H$65,'Outages (event ledger)'!$A$2:$A$65,AA$2,'Outages (event ledger)'!$E$2:$E$65,"&lt;="&amp;$B149,'Outages (event ledger)'!$G$2:$G$65,"&gt;="&amp;$B149)</f>
        <v>0</v>
      </c>
      <c r="AB149" s="26" t="n">
        <f aca="false">SUMIFS('Outages (event ledger)'!$H$2:$H$65,'Outages (event ledger)'!$A$2:$A$65,AB$2,'Outages (event ledger)'!$E$2:$E$65,"&lt;="&amp;$B149,'Outages (event ledger)'!$G$2:$G$65,"&gt;="&amp;$B149)</f>
        <v>8</v>
      </c>
      <c r="AC149" s="26" t="n">
        <f aca="false">SUMIFS('Outages (event ledger)'!$H$2:$H$65,'Outages (event ledger)'!$A$2:$A$65,AC$2,'Outages (event ledger)'!$E$2:$E$65,"&lt;="&amp;$B149,'Outages (event ledger)'!$G$2:$G$65,"&gt;="&amp;$B149)</f>
        <v>0</v>
      </c>
      <c r="AD149" s="26" t="n">
        <f aca="false">SUMIFS('Outages (event ledger)'!$H$2:$H$65,'Outages (event ledger)'!$A$2:$A$65,AD$2,'Outages (event ledger)'!$E$2:$E$65,"&lt;="&amp;$B149,'Outages (event ledger)'!$G$2:$G$65,"&gt;="&amp;$B149)</f>
        <v>0</v>
      </c>
      <c r="AE149" s="26" t="n">
        <f aca="false">SUMIFS('Outages (event ledger)'!$H$2:$H$65,'Outages (event ledger)'!$A$2:$A$65,AE$2,'Outages (event ledger)'!$E$2:$E$65,"&lt;="&amp;$B149,'Outages (event ledger)'!$G$2:$G$65,"&gt;="&amp;$B149)</f>
        <v>0</v>
      </c>
      <c r="AF149" s="26" t="n">
        <f aca="false">SUMIFS('Outages (event ledger)'!$H$2:$H$65,'Outages (event ledger)'!$A$2:$A$65,AF$2,'Outages (event ledger)'!$E$2:$E$65,"&lt;="&amp;$B149,'Outages (event ledger)'!$G$2:$G$65,"&gt;="&amp;$B149)</f>
        <v>0</v>
      </c>
      <c r="AG149" s="26" t="n">
        <f aca="false">SUMIFS('Outages (event ledger)'!$H$2:$H$65,'Outages (event ledger)'!$A$2:$A$65,AG$2,'Outages (event ledger)'!$E$2:$E$65,"&lt;="&amp;$B149,'Outages (event ledger)'!$G$2:$G$65,"&gt;="&amp;$B149)</f>
        <v>0</v>
      </c>
      <c r="AH149" s="26" t="n">
        <f aca="false">SUMIFS('Outages (event ledger)'!$H$2:$H$65,'Outages (event ledger)'!$A$2:$A$65,AH$2,'Outages (event ledger)'!$E$2:$E$65,"&lt;="&amp;$B149,'Outages (event ledger)'!$G$2:$G$65,"&gt;="&amp;$B149)</f>
        <v>0</v>
      </c>
      <c r="AI149" s="26" t="n">
        <f aca="false">SUMIFS('Outages (event ledger)'!$H$2:$H$65,'Outages (event ledger)'!$A$2:$A$65,AI$2,'Outages (event ledger)'!$E$2:$E$65,"&lt;="&amp;$B149,'Outages (event ledger)'!$G$2:$G$65,"&gt;="&amp;$B149)</f>
        <v>0</v>
      </c>
      <c r="AJ149" s="26" t="n">
        <f aca="false">SUMIFS('Outages (event ledger)'!$H$2:$H$65,'Outages (event ledger)'!$A$2:$A$65,AJ$2,'Outages (event ledger)'!$E$2:$E$65,"&lt;="&amp;$B149,'Outages (event ledger)'!$G$2:$G$65,"&gt;="&amp;$B149)</f>
        <v>0</v>
      </c>
      <c r="AK149" s="26" t="n">
        <f aca="false">SUMIFS('Outages (event ledger)'!$H$2:$H$65,'Outages (event ledger)'!$A$2:$A$65,AK$2,'Outages (event ledger)'!$E$2:$E$65,"&lt;="&amp;$B149,'Outages (event ledger)'!$G$2:$G$65,"&gt;="&amp;$B149)</f>
        <v>0</v>
      </c>
      <c r="AL149" s="26" t="n">
        <f aca="false">SUMIFS('Outages (event ledger)'!$H$2:$H$65,'Outages (event ledger)'!$A$2:$A$65,AL$2,'Outages (event ledger)'!$E$2:$E$65,"&lt;="&amp;$B149,'Outages (event ledger)'!$G$2:$G$65,"&gt;="&amp;$B149)</f>
        <v>4</v>
      </c>
      <c r="AM149" s="26" t="n">
        <f aca="false">SUMIFS('Outages (event ledger)'!$H$2:$H$65,'Outages (event ledger)'!$A$2:$A$65,AM$2,'Outages (event ledger)'!$E$2:$E$65,"&lt;="&amp;$B149,'Outages (event ledger)'!$G$2:$G$65,"&gt;="&amp;$B149)</f>
        <v>0</v>
      </c>
      <c r="AN149" s="26" t="n">
        <f aca="false">SUMIFS('Outages (event ledger)'!$H$2:$H$65,'Outages (event ledger)'!$A$2:$A$65,AN$2,'Outages (event ledger)'!$E$2:$E$65,"&lt;="&amp;$B149,'Outages (event ledger)'!$G$2:$G$65,"&gt;="&amp;$B149)</f>
        <v>4.3</v>
      </c>
      <c r="AO149" s="26" t="n">
        <f aca="false">SUMIFS('Outages (event ledger)'!$H$2:$H$65,'Outages (event ledger)'!$A$2:$A$65,AO$2,'Outages (event ledger)'!$E$2:$E$65,"&lt;="&amp;$B149,'Outages (event ledger)'!$G$2:$G$65,"&gt;="&amp;$B149)</f>
        <v>0</v>
      </c>
      <c r="AP149" s="26" t="n">
        <f aca="false">SUMIFS('Outages (event ledger)'!$H$2:$H$65,'Outages (event ledger)'!$A$2:$A$65,AP$2,'Outages (event ledger)'!$E$2:$E$65,"&lt;="&amp;$B149,'Outages (event ledger)'!$G$2:$G$65,"&gt;="&amp;$B149)</f>
        <v>0</v>
      </c>
      <c r="AQ149" s="26" t="n">
        <f aca="false">SUMIFS('Outages (event ledger)'!$H$2:$H$65,'Outages (event ledger)'!$A$2:$A$65,AQ$2,'Outages (event ledger)'!$E$2:$E$65,"&lt;="&amp;$B149,'Outages (event ledger)'!$G$2:$G$65,"&gt;="&amp;$B149)</f>
        <v>0</v>
      </c>
      <c r="AR149" s="26" t="n">
        <f aca="false">SUMIFS('Outages (event ledger)'!$H$2:$H$65,'Outages (event ledger)'!$A$2:$A$65,AR$2,'Outages (event ledger)'!$E$2:$E$65,"&lt;="&amp;$B149,'Outages (event ledger)'!$G$2:$G$65,"&gt;="&amp;$B149)</f>
        <v>0</v>
      </c>
      <c r="AS149" s="26" t="n">
        <f aca="false">SUMIFS('Outages (event ledger)'!$H$2:$H$65,'Outages (event ledger)'!$A$2:$A$65,AS$2,'Outages (event ledger)'!$E$2:$E$65,"&lt;="&amp;$B149,'Outages (event ledger)'!$G$2:$G$65,"&gt;="&amp;$B149)</f>
        <v>0</v>
      </c>
      <c r="AT149" s="26" t="n">
        <f aca="false">SUMIFS('Outages (event ledger)'!$H$2:$H$65,'Outages (event ledger)'!$A$2:$A$65,AT$2,'Outages (event ledger)'!$E$2:$E$65,"&lt;="&amp;$B149,'Outages (event ledger)'!$G$2:$G$65,"&gt;="&amp;$B149)</f>
        <v>0</v>
      </c>
      <c r="AU149" s="26" t="n">
        <f aca="false">SUMIFS('Outages (event ledger)'!$H$2:$H$65,'Outages (event ledger)'!$A$2:$A$65,AU$2,'Outages (event ledger)'!$E$2:$E$65,"&lt;="&amp;$B149,'Outages (event ledger)'!$G$2:$G$65,"&gt;="&amp;$B149)</f>
        <v>0</v>
      </c>
      <c r="AV149" s="26" t="n">
        <f aca="false">SUMIFS('Outages (event ledger)'!$H$2:$H$65,'Outages (event ledger)'!$A$2:$A$65,AV$2,'Outages (event ledger)'!$E$2:$E$65,"&lt;="&amp;$B149,'Outages (event ledger)'!$G$2:$G$65,"&gt;="&amp;$B149)</f>
        <v>0</v>
      </c>
      <c r="AW149" s="26" t="n">
        <f aca="false">SUMIFS('Outages (event ledger)'!$H$2:$H$65,'Outages (event ledger)'!$A$2:$A$65,AW$2,'Outages (event ledger)'!$E$2:$E$65,"&lt;="&amp;$B149,'Outages (event ledger)'!$G$2:$G$65,"&gt;="&amp;$B149)</f>
        <v>0</v>
      </c>
      <c r="AX149" s="26" t="n">
        <f aca="false">SUMIFS('Outages (event ledger)'!$H$2:$H$65,'Outages (event ledger)'!$A$2:$A$65,AX$2,'Outages (event ledger)'!$E$2:$E$65,"&lt;="&amp;$B149,'Outages (event ledger)'!$G$2:$G$65,"&gt;="&amp;$B149)</f>
        <v>6.6</v>
      </c>
      <c r="AY149" s="26" t="n">
        <f aca="false">SUMIFS('Outages (event ledger)'!$H$2:$H$65,'Outages (event ledger)'!$A$2:$A$65,AY$2,'Outages (event ledger)'!$E$2:$E$65,"&lt;="&amp;$B149,'Outages (event ledger)'!$G$2:$G$65,"&gt;="&amp;$B149)</f>
        <v>0</v>
      </c>
      <c r="AZ149" s="26" t="n">
        <f aca="false">SUMIFS('Outages (event ledger)'!$H$2:$H$65,'Outages (event ledger)'!$A$2:$A$65,AZ$2,'Outages (event ledger)'!$E$2:$E$65,"&lt;="&amp;$B149,'Outages (event ledger)'!$G$2:$G$65,"&gt;="&amp;$B149)</f>
        <v>0</v>
      </c>
      <c r="BA149" s="26" t="n">
        <f aca="false">SUMIFS('Outages (event ledger)'!$H$2:$H$65,'Outages (event ledger)'!$A$2:$A$65,BA$2,'Outages (event ledger)'!$E$2:$E$65,"&lt;="&amp;$B149,'Outages (event ledger)'!$G$2:$G$65,"&gt;="&amp;$B149)</f>
        <v>0</v>
      </c>
      <c r="BB149" s="26" t="n">
        <f aca="false">SUMIFS('Outages (event ledger)'!$H$2:$H$65,'Outages (event ledger)'!$A$2:$A$65,BB$2,'Outages (event ledger)'!$E$2:$E$65,"&lt;="&amp;$B149,'Outages (event ledger)'!$G$2:$G$65,"&gt;="&amp;$B149)</f>
        <v>0</v>
      </c>
      <c r="BC149" s="26" t="n">
        <f aca="false">SUMIFS('Outages (event ledger)'!$H$2:$H$65,'Outages (event ledger)'!$A$2:$A$65,BC$2,'Outages (event ledger)'!$E$2:$E$65,"&lt;="&amp;$B149,'Outages (event ledger)'!$G$2:$G$65,"&gt;="&amp;$B149)</f>
        <v>0</v>
      </c>
      <c r="BD149" s="26" t="n">
        <f aca="false">SUMIFS('Outages (event ledger)'!$H$2:$H$65,'Outages (event ledger)'!$A$2:$A$65,BD$2,'Outages (event ledger)'!$E$2:$E$65,"&lt;="&amp;$B149,'Outages (event ledger)'!$G$2:$G$65,"&gt;="&amp;$B149)</f>
        <v>0</v>
      </c>
      <c r="BE149" s="26" t="n">
        <f aca="false">SUMIFS('Outages (event ledger)'!$H$2:$H$65,'Outages (event ledger)'!$A$2:$A$65,BE$2,'Outages (event ledger)'!$E$2:$E$65,"&lt;="&amp;$B149,'Outages (event ledger)'!$G$2:$G$65,"&gt;="&amp;$B149)</f>
        <v>0</v>
      </c>
      <c r="BF149" s="26" t="n">
        <f aca="false">SUMIFS('Outages (event ledger)'!$H$2:$H$65,'Outages (event ledger)'!$A$2:$A$65,BF$2,'Outages (event ledger)'!$E$2:$E$65,"&lt;="&amp;$B149,'Outages (event ledger)'!$G$2:$G$65,"&gt;="&amp;$B149)</f>
        <v>0</v>
      </c>
      <c r="BG149" s="26" t="n">
        <f aca="false">SUMIFS('Outages (event ledger)'!$H$2:$H$65,'Outages (event ledger)'!$A$2:$A$65,BG$2,'Outages (event ledger)'!$E$2:$E$65,"&lt;="&amp;$B149,'Outages (event ledger)'!$G$2:$G$65,"&gt;="&amp;$B149)</f>
        <v>0</v>
      </c>
      <c r="BH149" s="26" t="n">
        <f aca="false">SUMIFS('Outages (event ledger)'!$H$2:$H$65,'Outages (event ledger)'!$A$2:$A$65,BH$2,'Outages (event ledger)'!$E$2:$E$65,"&lt;="&amp;$B149,'Outages (event ledger)'!$G$2:$G$65,"&gt;="&amp;$B149)</f>
        <v>0</v>
      </c>
      <c r="BI149" s="26" t="n">
        <f aca="false">SUMIFS('Outages (event ledger)'!$H$2:$H$65,'Outages (event ledger)'!$A$2:$A$65,BI$2,'Outages (event ledger)'!$E$2:$E$65,"&lt;="&amp;$B149,'Outages (event ledger)'!$G$2:$G$65,"&gt;="&amp;$B149)</f>
        <v>6.7</v>
      </c>
    </row>
    <row r="150" customFormat="false" ht="15" hidden="false" customHeight="false" outlineLevel="0" collapsed="false">
      <c r="A150" s="23" t="n">
        <v>44652</v>
      </c>
      <c r="B150" s="24" t="n">
        <v>202204</v>
      </c>
      <c r="C150" s="25" t="n">
        <f aca="false">SUM(D150:BI150)</f>
        <v>33.2</v>
      </c>
      <c r="D150" s="26" t="n">
        <f aca="false">SUMIFS('Outages (event ledger)'!$H$2:$H$65,'Outages (event ledger)'!$A$2:$A$65,D$2,'Outages (event ledger)'!$E$2:$E$65,"&lt;="&amp;$B150,'Outages (event ledger)'!$G$2:$G$65,"&gt;="&amp;$B150)</f>
        <v>0</v>
      </c>
      <c r="E150" s="26" t="n">
        <f aca="false">SUMIFS('Outages (event ledger)'!$H$2:$H$65,'Outages (event ledger)'!$A$2:$A$65,E$2,'Outages (event ledger)'!$E$2:$E$65,"&lt;="&amp;$B150,'Outages (event ledger)'!$G$2:$G$65,"&gt;="&amp;$B150)</f>
        <v>0</v>
      </c>
      <c r="F150" s="26" t="n">
        <f aca="false">SUMIFS('Outages (event ledger)'!$H$2:$H$65,'Outages (event ledger)'!$A$2:$A$65,F$2,'Outages (event ledger)'!$E$2:$E$65,"&lt;="&amp;$B150,'Outages (event ledger)'!$G$2:$G$65,"&gt;="&amp;$B150)</f>
        <v>0</v>
      </c>
      <c r="G150" s="26" t="n">
        <f aca="false">SUMIFS('Outages (event ledger)'!$H$2:$H$65,'Outages (event ledger)'!$A$2:$A$65,G$2,'Outages (event ledger)'!$E$2:$E$65,"&lt;="&amp;$B150,'Outages (event ledger)'!$G$2:$G$65,"&gt;="&amp;$B150)</f>
        <v>0</v>
      </c>
      <c r="H150" s="26" t="n">
        <f aca="false">SUMIFS('Outages (event ledger)'!$H$2:$H$65,'Outages (event ledger)'!$A$2:$A$65,H$2,'Outages (event ledger)'!$E$2:$E$65,"&lt;="&amp;$B150,'Outages (event ledger)'!$G$2:$G$65,"&gt;="&amp;$B150)</f>
        <v>0</v>
      </c>
      <c r="I150" s="26" t="n">
        <f aca="false">SUMIFS('Outages (event ledger)'!$H$2:$H$65,'Outages (event ledger)'!$A$2:$A$65,I$2,'Outages (event ledger)'!$E$2:$E$65,"&lt;="&amp;$B150,'Outages (event ledger)'!$G$2:$G$65,"&gt;="&amp;$B150)</f>
        <v>0</v>
      </c>
      <c r="J150" s="26" t="n">
        <f aca="false">SUMIFS('Outages (event ledger)'!$H$2:$H$65,'Outages (event ledger)'!$A$2:$A$65,J$2,'Outages (event ledger)'!$E$2:$E$65,"&lt;="&amp;$B150,'Outages (event ledger)'!$G$2:$G$65,"&gt;="&amp;$B150)</f>
        <v>0</v>
      </c>
      <c r="K150" s="26" t="n">
        <f aca="false">SUMIFS('Outages (event ledger)'!$H$2:$H$65,'Outages (event ledger)'!$A$2:$A$65,K$2,'Outages (event ledger)'!$E$2:$E$65,"&lt;="&amp;$B150,'Outages (event ledger)'!$G$2:$G$65,"&gt;="&amp;$B150)</f>
        <v>0</v>
      </c>
      <c r="L150" s="26" t="n">
        <f aca="false">SUMIFS('Outages (event ledger)'!$H$2:$H$65,'Outages (event ledger)'!$A$2:$A$65,L$2,'Outages (event ledger)'!$E$2:$E$65,"&lt;="&amp;$B150,'Outages (event ledger)'!$G$2:$G$65,"&gt;="&amp;$B150)</f>
        <v>0</v>
      </c>
      <c r="M150" s="26" t="n">
        <f aca="false">SUMIFS('Outages (event ledger)'!$H$2:$H$65,'Outages (event ledger)'!$A$2:$A$65,M$2,'Outages (event ledger)'!$E$2:$E$65,"&lt;="&amp;$B150,'Outages (event ledger)'!$G$2:$G$65,"&gt;="&amp;$B150)</f>
        <v>0</v>
      </c>
      <c r="N150" s="26" t="n">
        <f aca="false">SUMIFS('Outages (event ledger)'!$H$2:$H$65,'Outages (event ledger)'!$A$2:$A$65,N$2,'Outages (event ledger)'!$E$2:$E$65,"&lt;="&amp;$B150,'Outages (event ledger)'!$G$2:$G$65,"&gt;="&amp;$B150)</f>
        <v>0</v>
      </c>
      <c r="O150" s="26" t="n">
        <f aca="false">SUMIFS('Outages (event ledger)'!$H$2:$H$65,'Outages (event ledger)'!$A$2:$A$65,O$2,'Outages (event ledger)'!$E$2:$E$65,"&lt;="&amp;$B150,'Outages (event ledger)'!$G$2:$G$65,"&gt;="&amp;$B150)</f>
        <v>0</v>
      </c>
      <c r="P150" s="26" t="n">
        <f aca="false">SUMIFS('Outages (event ledger)'!$H$2:$H$65,'Outages (event ledger)'!$A$2:$A$65,P$2,'Outages (event ledger)'!$E$2:$E$65,"&lt;="&amp;$B150,'Outages (event ledger)'!$G$2:$G$65,"&gt;="&amp;$B150)</f>
        <v>3.6</v>
      </c>
      <c r="Q150" s="26" t="n">
        <f aca="false">SUMIFS('Outages (event ledger)'!$H$2:$H$65,'Outages (event ledger)'!$A$2:$A$65,Q$2,'Outages (event ledger)'!$E$2:$E$65,"&lt;="&amp;$B150,'Outages (event ledger)'!$G$2:$G$65,"&gt;="&amp;$B150)</f>
        <v>0</v>
      </c>
      <c r="R150" s="26" t="n">
        <f aca="false">SUMIFS('Outages (event ledger)'!$H$2:$H$65,'Outages (event ledger)'!$A$2:$A$65,R$2,'Outages (event ledger)'!$E$2:$E$65,"&lt;="&amp;$B150,'Outages (event ledger)'!$G$2:$G$65,"&gt;="&amp;$B150)</f>
        <v>0</v>
      </c>
      <c r="S150" s="26" t="n">
        <f aca="false">SUMIFS('Outages (event ledger)'!$H$2:$H$65,'Outages (event ledger)'!$A$2:$A$65,S$2,'Outages (event ledger)'!$E$2:$E$65,"&lt;="&amp;$B150,'Outages (event ledger)'!$G$2:$G$65,"&gt;="&amp;$B150)</f>
        <v>0</v>
      </c>
      <c r="T150" s="26" t="n">
        <f aca="false">SUMIFS('Outages (event ledger)'!$H$2:$H$65,'Outages (event ledger)'!$A$2:$A$65,T$2,'Outages (event ledger)'!$E$2:$E$65,"&lt;="&amp;$B150,'Outages (event ledger)'!$G$2:$G$65,"&gt;="&amp;$B150)</f>
        <v>0</v>
      </c>
      <c r="U150" s="26" t="n">
        <f aca="false">SUMIFS('Outages (event ledger)'!$H$2:$H$65,'Outages (event ledger)'!$A$2:$A$65,U$2,'Outages (event ledger)'!$E$2:$E$65,"&lt;="&amp;$B150,'Outages (event ledger)'!$G$2:$G$65,"&gt;="&amp;$B150)</f>
        <v>0</v>
      </c>
      <c r="V150" s="26" t="n">
        <f aca="false">SUMIFS('Outages (event ledger)'!$H$2:$H$65,'Outages (event ledger)'!$A$2:$A$65,V$2,'Outages (event ledger)'!$E$2:$E$65,"&lt;="&amp;$B150,'Outages (event ledger)'!$G$2:$G$65,"&gt;="&amp;$B150)</f>
        <v>0</v>
      </c>
      <c r="W150" s="26" t="n">
        <f aca="false">SUMIFS('Outages (event ledger)'!$H$2:$H$65,'Outages (event ledger)'!$A$2:$A$65,W$2,'Outages (event ledger)'!$E$2:$E$65,"&lt;="&amp;$B150,'Outages (event ledger)'!$G$2:$G$65,"&gt;="&amp;$B150)</f>
        <v>0</v>
      </c>
      <c r="X150" s="26" t="n">
        <f aca="false">SUMIFS('Outages (event ledger)'!$H$2:$H$65,'Outages (event ledger)'!$A$2:$A$65,X$2,'Outages (event ledger)'!$E$2:$E$65,"&lt;="&amp;$B150,'Outages (event ledger)'!$G$2:$G$65,"&gt;="&amp;$B150)</f>
        <v>0</v>
      </c>
      <c r="Y150" s="26" t="n">
        <f aca="false">SUMIFS('Outages (event ledger)'!$H$2:$H$65,'Outages (event ledger)'!$A$2:$A$65,Y$2,'Outages (event ledger)'!$E$2:$E$65,"&lt;="&amp;$B150,'Outages (event ledger)'!$G$2:$G$65,"&gt;="&amp;$B150)</f>
        <v>0</v>
      </c>
      <c r="Z150" s="26" t="n">
        <f aca="false">SUMIFS('Outages (event ledger)'!$H$2:$H$65,'Outages (event ledger)'!$A$2:$A$65,Z$2,'Outages (event ledger)'!$E$2:$E$65,"&lt;="&amp;$B150,'Outages (event ledger)'!$G$2:$G$65,"&gt;="&amp;$B150)</f>
        <v>0</v>
      </c>
      <c r="AA150" s="26" t="n">
        <f aca="false">SUMIFS('Outages (event ledger)'!$H$2:$H$65,'Outages (event ledger)'!$A$2:$A$65,AA$2,'Outages (event ledger)'!$E$2:$E$65,"&lt;="&amp;$B150,'Outages (event ledger)'!$G$2:$G$65,"&gt;="&amp;$B150)</f>
        <v>0</v>
      </c>
      <c r="AB150" s="26" t="n">
        <f aca="false">SUMIFS('Outages (event ledger)'!$H$2:$H$65,'Outages (event ledger)'!$A$2:$A$65,AB$2,'Outages (event ledger)'!$E$2:$E$65,"&lt;="&amp;$B150,'Outages (event ledger)'!$G$2:$G$65,"&gt;="&amp;$B150)</f>
        <v>8</v>
      </c>
      <c r="AC150" s="26" t="n">
        <f aca="false">SUMIFS('Outages (event ledger)'!$H$2:$H$65,'Outages (event ledger)'!$A$2:$A$65,AC$2,'Outages (event ledger)'!$E$2:$E$65,"&lt;="&amp;$B150,'Outages (event ledger)'!$G$2:$G$65,"&gt;="&amp;$B150)</f>
        <v>0</v>
      </c>
      <c r="AD150" s="26" t="n">
        <f aca="false">SUMIFS('Outages (event ledger)'!$H$2:$H$65,'Outages (event ledger)'!$A$2:$A$65,AD$2,'Outages (event ledger)'!$E$2:$E$65,"&lt;="&amp;$B150,'Outages (event ledger)'!$G$2:$G$65,"&gt;="&amp;$B150)</f>
        <v>0</v>
      </c>
      <c r="AE150" s="26" t="n">
        <f aca="false">SUMIFS('Outages (event ledger)'!$H$2:$H$65,'Outages (event ledger)'!$A$2:$A$65,AE$2,'Outages (event ledger)'!$E$2:$E$65,"&lt;="&amp;$B150,'Outages (event ledger)'!$G$2:$G$65,"&gt;="&amp;$B150)</f>
        <v>0</v>
      </c>
      <c r="AF150" s="26" t="n">
        <f aca="false">SUMIFS('Outages (event ledger)'!$H$2:$H$65,'Outages (event ledger)'!$A$2:$A$65,AF$2,'Outages (event ledger)'!$E$2:$E$65,"&lt;="&amp;$B150,'Outages (event ledger)'!$G$2:$G$65,"&gt;="&amp;$B150)</f>
        <v>0</v>
      </c>
      <c r="AG150" s="26" t="n">
        <f aca="false">SUMIFS('Outages (event ledger)'!$H$2:$H$65,'Outages (event ledger)'!$A$2:$A$65,AG$2,'Outages (event ledger)'!$E$2:$E$65,"&lt;="&amp;$B150,'Outages (event ledger)'!$G$2:$G$65,"&gt;="&amp;$B150)</f>
        <v>0</v>
      </c>
      <c r="AH150" s="26" t="n">
        <f aca="false">SUMIFS('Outages (event ledger)'!$H$2:$H$65,'Outages (event ledger)'!$A$2:$A$65,AH$2,'Outages (event ledger)'!$E$2:$E$65,"&lt;="&amp;$B150,'Outages (event ledger)'!$G$2:$G$65,"&gt;="&amp;$B150)</f>
        <v>0</v>
      </c>
      <c r="AI150" s="26" t="n">
        <f aca="false">SUMIFS('Outages (event ledger)'!$H$2:$H$65,'Outages (event ledger)'!$A$2:$A$65,AI$2,'Outages (event ledger)'!$E$2:$E$65,"&lt;="&amp;$B150,'Outages (event ledger)'!$G$2:$G$65,"&gt;="&amp;$B150)</f>
        <v>0</v>
      </c>
      <c r="AJ150" s="26" t="n">
        <f aca="false">SUMIFS('Outages (event ledger)'!$H$2:$H$65,'Outages (event ledger)'!$A$2:$A$65,AJ$2,'Outages (event ledger)'!$E$2:$E$65,"&lt;="&amp;$B150,'Outages (event ledger)'!$G$2:$G$65,"&gt;="&amp;$B150)</f>
        <v>0</v>
      </c>
      <c r="AK150" s="26" t="n">
        <f aca="false">SUMIFS('Outages (event ledger)'!$H$2:$H$65,'Outages (event ledger)'!$A$2:$A$65,AK$2,'Outages (event ledger)'!$E$2:$E$65,"&lt;="&amp;$B150,'Outages (event ledger)'!$G$2:$G$65,"&gt;="&amp;$B150)</f>
        <v>0</v>
      </c>
      <c r="AL150" s="26" t="n">
        <f aca="false">SUMIFS('Outages (event ledger)'!$H$2:$H$65,'Outages (event ledger)'!$A$2:$A$65,AL$2,'Outages (event ledger)'!$E$2:$E$65,"&lt;="&amp;$B150,'Outages (event ledger)'!$G$2:$G$65,"&gt;="&amp;$B150)</f>
        <v>4</v>
      </c>
      <c r="AM150" s="26" t="n">
        <f aca="false">SUMIFS('Outages (event ledger)'!$H$2:$H$65,'Outages (event ledger)'!$A$2:$A$65,AM$2,'Outages (event ledger)'!$E$2:$E$65,"&lt;="&amp;$B150,'Outages (event ledger)'!$G$2:$G$65,"&gt;="&amp;$B150)</f>
        <v>0</v>
      </c>
      <c r="AN150" s="26" t="n">
        <f aca="false">SUMIFS('Outages (event ledger)'!$H$2:$H$65,'Outages (event ledger)'!$A$2:$A$65,AN$2,'Outages (event ledger)'!$E$2:$E$65,"&lt;="&amp;$B150,'Outages (event ledger)'!$G$2:$G$65,"&gt;="&amp;$B150)</f>
        <v>4.3</v>
      </c>
      <c r="AO150" s="26" t="n">
        <f aca="false">SUMIFS('Outages (event ledger)'!$H$2:$H$65,'Outages (event ledger)'!$A$2:$A$65,AO$2,'Outages (event ledger)'!$E$2:$E$65,"&lt;="&amp;$B150,'Outages (event ledger)'!$G$2:$G$65,"&gt;="&amp;$B150)</f>
        <v>0</v>
      </c>
      <c r="AP150" s="26" t="n">
        <f aca="false">SUMIFS('Outages (event ledger)'!$H$2:$H$65,'Outages (event ledger)'!$A$2:$A$65,AP$2,'Outages (event ledger)'!$E$2:$E$65,"&lt;="&amp;$B150,'Outages (event ledger)'!$G$2:$G$65,"&gt;="&amp;$B150)</f>
        <v>0</v>
      </c>
      <c r="AQ150" s="26" t="n">
        <f aca="false">SUMIFS('Outages (event ledger)'!$H$2:$H$65,'Outages (event ledger)'!$A$2:$A$65,AQ$2,'Outages (event ledger)'!$E$2:$E$65,"&lt;="&amp;$B150,'Outages (event ledger)'!$G$2:$G$65,"&gt;="&amp;$B150)</f>
        <v>0</v>
      </c>
      <c r="AR150" s="26" t="n">
        <f aca="false">SUMIFS('Outages (event ledger)'!$H$2:$H$65,'Outages (event ledger)'!$A$2:$A$65,AR$2,'Outages (event ledger)'!$E$2:$E$65,"&lt;="&amp;$B150,'Outages (event ledger)'!$G$2:$G$65,"&gt;="&amp;$B150)</f>
        <v>0</v>
      </c>
      <c r="AS150" s="26" t="n">
        <f aca="false">SUMIFS('Outages (event ledger)'!$H$2:$H$65,'Outages (event ledger)'!$A$2:$A$65,AS$2,'Outages (event ledger)'!$E$2:$E$65,"&lt;="&amp;$B150,'Outages (event ledger)'!$G$2:$G$65,"&gt;="&amp;$B150)</f>
        <v>0</v>
      </c>
      <c r="AT150" s="26" t="n">
        <f aca="false">SUMIFS('Outages (event ledger)'!$H$2:$H$65,'Outages (event ledger)'!$A$2:$A$65,AT$2,'Outages (event ledger)'!$E$2:$E$65,"&lt;="&amp;$B150,'Outages (event ledger)'!$G$2:$G$65,"&gt;="&amp;$B150)</f>
        <v>0</v>
      </c>
      <c r="AU150" s="26" t="n">
        <f aca="false">SUMIFS('Outages (event ledger)'!$H$2:$H$65,'Outages (event ledger)'!$A$2:$A$65,AU$2,'Outages (event ledger)'!$E$2:$E$65,"&lt;="&amp;$B150,'Outages (event ledger)'!$G$2:$G$65,"&gt;="&amp;$B150)</f>
        <v>0</v>
      </c>
      <c r="AV150" s="26" t="n">
        <f aca="false">SUMIFS('Outages (event ledger)'!$H$2:$H$65,'Outages (event ledger)'!$A$2:$A$65,AV$2,'Outages (event ledger)'!$E$2:$E$65,"&lt;="&amp;$B150,'Outages (event ledger)'!$G$2:$G$65,"&gt;="&amp;$B150)</f>
        <v>0</v>
      </c>
      <c r="AW150" s="26" t="n">
        <f aca="false">SUMIFS('Outages (event ledger)'!$H$2:$H$65,'Outages (event ledger)'!$A$2:$A$65,AW$2,'Outages (event ledger)'!$E$2:$E$65,"&lt;="&amp;$B150,'Outages (event ledger)'!$G$2:$G$65,"&gt;="&amp;$B150)</f>
        <v>0</v>
      </c>
      <c r="AX150" s="26" t="n">
        <f aca="false">SUMIFS('Outages (event ledger)'!$H$2:$H$65,'Outages (event ledger)'!$A$2:$A$65,AX$2,'Outages (event ledger)'!$E$2:$E$65,"&lt;="&amp;$B150,'Outages (event ledger)'!$G$2:$G$65,"&gt;="&amp;$B150)</f>
        <v>6.6</v>
      </c>
      <c r="AY150" s="26" t="n">
        <f aca="false">SUMIFS('Outages (event ledger)'!$H$2:$H$65,'Outages (event ledger)'!$A$2:$A$65,AY$2,'Outages (event ledger)'!$E$2:$E$65,"&lt;="&amp;$B150,'Outages (event ledger)'!$G$2:$G$65,"&gt;="&amp;$B150)</f>
        <v>0</v>
      </c>
      <c r="AZ150" s="26" t="n">
        <f aca="false">SUMIFS('Outages (event ledger)'!$H$2:$H$65,'Outages (event ledger)'!$A$2:$A$65,AZ$2,'Outages (event ledger)'!$E$2:$E$65,"&lt;="&amp;$B150,'Outages (event ledger)'!$G$2:$G$65,"&gt;="&amp;$B150)</f>
        <v>0</v>
      </c>
      <c r="BA150" s="26" t="n">
        <f aca="false">SUMIFS('Outages (event ledger)'!$H$2:$H$65,'Outages (event ledger)'!$A$2:$A$65,BA$2,'Outages (event ledger)'!$E$2:$E$65,"&lt;="&amp;$B150,'Outages (event ledger)'!$G$2:$G$65,"&gt;="&amp;$B150)</f>
        <v>0</v>
      </c>
      <c r="BB150" s="26" t="n">
        <f aca="false">SUMIFS('Outages (event ledger)'!$H$2:$H$65,'Outages (event ledger)'!$A$2:$A$65,BB$2,'Outages (event ledger)'!$E$2:$E$65,"&lt;="&amp;$B150,'Outages (event ledger)'!$G$2:$G$65,"&gt;="&amp;$B150)</f>
        <v>0</v>
      </c>
      <c r="BC150" s="26" t="n">
        <f aca="false">SUMIFS('Outages (event ledger)'!$H$2:$H$65,'Outages (event ledger)'!$A$2:$A$65,BC$2,'Outages (event ledger)'!$E$2:$E$65,"&lt;="&amp;$B150,'Outages (event ledger)'!$G$2:$G$65,"&gt;="&amp;$B150)</f>
        <v>0</v>
      </c>
      <c r="BD150" s="26" t="n">
        <f aca="false">SUMIFS('Outages (event ledger)'!$H$2:$H$65,'Outages (event ledger)'!$A$2:$A$65,BD$2,'Outages (event ledger)'!$E$2:$E$65,"&lt;="&amp;$B150,'Outages (event ledger)'!$G$2:$G$65,"&gt;="&amp;$B150)</f>
        <v>0</v>
      </c>
      <c r="BE150" s="26" t="n">
        <f aca="false">SUMIFS('Outages (event ledger)'!$H$2:$H$65,'Outages (event ledger)'!$A$2:$A$65,BE$2,'Outages (event ledger)'!$E$2:$E$65,"&lt;="&amp;$B150,'Outages (event ledger)'!$G$2:$G$65,"&gt;="&amp;$B150)</f>
        <v>0</v>
      </c>
      <c r="BF150" s="26" t="n">
        <f aca="false">SUMIFS('Outages (event ledger)'!$H$2:$H$65,'Outages (event ledger)'!$A$2:$A$65,BF$2,'Outages (event ledger)'!$E$2:$E$65,"&lt;="&amp;$B150,'Outages (event ledger)'!$G$2:$G$65,"&gt;="&amp;$B150)</f>
        <v>0</v>
      </c>
      <c r="BG150" s="26" t="n">
        <f aca="false">SUMIFS('Outages (event ledger)'!$H$2:$H$65,'Outages (event ledger)'!$A$2:$A$65,BG$2,'Outages (event ledger)'!$E$2:$E$65,"&lt;="&amp;$B150,'Outages (event ledger)'!$G$2:$G$65,"&gt;="&amp;$B150)</f>
        <v>0</v>
      </c>
      <c r="BH150" s="26" t="n">
        <f aca="false">SUMIFS('Outages (event ledger)'!$H$2:$H$65,'Outages (event ledger)'!$A$2:$A$65,BH$2,'Outages (event ledger)'!$E$2:$E$65,"&lt;="&amp;$B150,'Outages (event ledger)'!$G$2:$G$65,"&gt;="&amp;$B150)</f>
        <v>0</v>
      </c>
      <c r="BI150" s="26" t="n">
        <f aca="false">SUMIFS('Outages (event ledger)'!$H$2:$H$65,'Outages (event ledger)'!$A$2:$A$65,BI$2,'Outages (event ledger)'!$E$2:$E$65,"&lt;="&amp;$B150,'Outages (event ledger)'!$G$2:$G$65,"&gt;="&amp;$B150)</f>
        <v>6.7</v>
      </c>
    </row>
    <row r="151" customFormat="false" ht="15" hidden="false" customHeight="false" outlineLevel="0" collapsed="false">
      <c r="A151" s="23" t="n">
        <v>44682</v>
      </c>
      <c r="B151" s="24" t="n">
        <v>202205</v>
      </c>
      <c r="C151" s="25" t="n">
        <f aca="false">SUM(D151:BI151)</f>
        <v>29.6</v>
      </c>
      <c r="D151" s="26" t="n">
        <f aca="false">SUMIFS('Outages (event ledger)'!$H$2:$H$65,'Outages (event ledger)'!$A$2:$A$65,D$2,'Outages (event ledger)'!$E$2:$E$65,"&lt;="&amp;$B151,'Outages (event ledger)'!$G$2:$G$65,"&gt;="&amp;$B151)</f>
        <v>0</v>
      </c>
      <c r="E151" s="26" t="n">
        <f aca="false">SUMIFS('Outages (event ledger)'!$H$2:$H$65,'Outages (event ledger)'!$A$2:$A$65,E$2,'Outages (event ledger)'!$E$2:$E$65,"&lt;="&amp;$B151,'Outages (event ledger)'!$G$2:$G$65,"&gt;="&amp;$B151)</f>
        <v>0</v>
      </c>
      <c r="F151" s="26" t="n">
        <f aca="false">SUMIFS('Outages (event ledger)'!$H$2:$H$65,'Outages (event ledger)'!$A$2:$A$65,F$2,'Outages (event ledger)'!$E$2:$E$65,"&lt;="&amp;$B151,'Outages (event ledger)'!$G$2:$G$65,"&gt;="&amp;$B151)</f>
        <v>0</v>
      </c>
      <c r="G151" s="26" t="n">
        <f aca="false">SUMIFS('Outages (event ledger)'!$H$2:$H$65,'Outages (event ledger)'!$A$2:$A$65,G$2,'Outages (event ledger)'!$E$2:$E$65,"&lt;="&amp;$B151,'Outages (event ledger)'!$G$2:$G$65,"&gt;="&amp;$B151)</f>
        <v>0</v>
      </c>
      <c r="H151" s="26" t="n">
        <f aca="false">SUMIFS('Outages (event ledger)'!$H$2:$H$65,'Outages (event ledger)'!$A$2:$A$65,H$2,'Outages (event ledger)'!$E$2:$E$65,"&lt;="&amp;$B151,'Outages (event ledger)'!$G$2:$G$65,"&gt;="&amp;$B151)</f>
        <v>0</v>
      </c>
      <c r="I151" s="26" t="n">
        <f aca="false">SUMIFS('Outages (event ledger)'!$H$2:$H$65,'Outages (event ledger)'!$A$2:$A$65,I$2,'Outages (event ledger)'!$E$2:$E$65,"&lt;="&amp;$B151,'Outages (event ledger)'!$G$2:$G$65,"&gt;="&amp;$B151)</f>
        <v>0</v>
      </c>
      <c r="J151" s="26" t="n">
        <f aca="false">SUMIFS('Outages (event ledger)'!$H$2:$H$65,'Outages (event ledger)'!$A$2:$A$65,J$2,'Outages (event ledger)'!$E$2:$E$65,"&lt;="&amp;$B151,'Outages (event ledger)'!$G$2:$G$65,"&gt;="&amp;$B151)</f>
        <v>0</v>
      </c>
      <c r="K151" s="26" t="n">
        <f aca="false">SUMIFS('Outages (event ledger)'!$H$2:$H$65,'Outages (event ledger)'!$A$2:$A$65,K$2,'Outages (event ledger)'!$E$2:$E$65,"&lt;="&amp;$B151,'Outages (event ledger)'!$G$2:$G$65,"&gt;="&amp;$B151)</f>
        <v>0</v>
      </c>
      <c r="L151" s="26" t="n">
        <f aca="false">SUMIFS('Outages (event ledger)'!$H$2:$H$65,'Outages (event ledger)'!$A$2:$A$65,L$2,'Outages (event ledger)'!$E$2:$E$65,"&lt;="&amp;$B151,'Outages (event ledger)'!$G$2:$G$65,"&gt;="&amp;$B151)</f>
        <v>0</v>
      </c>
      <c r="M151" s="26" t="n">
        <f aca="false">SUMIFS('Outages (event ledger)'!$H$2:$H$65,'Outages (event ledger)'!$A$2:$A$65,M$2,'Outages (event ledger)'!$E$2:$E$65,"&lt;="&amp;$B151,'Outages (event ledger)'!$G$2:$G$65,"&gt;="&amp;$B151)</f>
        <v>0</v>
      </c>
      <c r="N151" s="26" t="n">
        <f aca="false">SUMIFS('Outages (event ledger)'!$H$2:$H$65,'Outages (event ledger)'!$A$2:$A$65,N$2,'Outages (event ledger)'!$E$2:$E$65,"&lt;="&amp;$B151,'Outages (event ledger)'!$G$2:$G$65,"&gt;="&amp;$B151)</f>
        <v>0</v>
      </c>
      <c r="O151" s="26" t="n">
        <f aca="false">SUMIFS('Outages (event ledger)'!$H$2:$H$65,'Outages (event ledger)'!$A$2:$A$65,O$2,'Outages (event ledger)'!$E$2:$E$65,"&lt;="&amp;$B151,'Outages (event ledger)'!$G$2:$G$65,"&gt;="&amp;$B151)</f>
        <v>0</v>
      </c>
      <c r="P151" s="26" t="n">
        <f aca="false">SUMIFS('Outages (event ledger)'!$H$2:$H$65,'Outages (event ledger)'!$A$2:$A$65,P$2,'Outages (event ledger)'!$E$2:$E$65,"&lt;="&amp;$B151,'Outages (event ledger)'!$G$2:$G$65,"&gt;="&amp;$B151)</f>
        <v>0</v>
      </c>
      <c r="Q151" s="26" t="n">
        <f aca="false">SUMIFS('Outages (event ledger)'!$H$2:$H$65,'Outages (event ledger)'!$A$2:$A$65,Q$2,'Outages (event ledger)'!$E$2:$E$65,"&lt;="&amp;$B151,'Outages (event ledger)'!$G$2:$G$65,"&gt;="&amp;$B151)</f>
        <v>0</v>
      </c>
      <c r="R151" s="26" t="n">
        <f aca="false">SUMIFS('Outages (event ledger)'!$H$2:$H$65,'Outages (event ledger)'!$A$2:$A$65,R$2,'Outages (event ledger)'!$E$2:$E$65,"&lt;="&amp;$B151,'Outages (event ledger)'!$G$2:$G$65,"&gt;="&amp;$B151)</f>
        <v>0</v>
      </c>
      <c r="S151" s="26" t="n">
        <f aca="false">SUMIFS('Outages (event ledger)'!$H$2:$H$65,'Outages (event ledger)'!$A$2:$A$65,S$2,'Outages (event ledger)'!$E$2:$E$65,"&lt;="&amp;$B151,'Outages (event ledger)'!$G$2:$G$65,"&gt;="&amp;$B151)</f>
        <v>0</v>
      </c>
      <c r="T151" s="26" t="n">
        <f aca="false">SUMIFS('Outages (event ledger)'!$H$2:$H$65,'Outages (event ledger)'!$A$2:$A$65,T$2,'Outages (event ledger)'!$E$2:$E$65,"&lt;="&amp;$B151,'Outages (event ledger)'!$G$2:$G$65,"&gt;="&amp;$B151)</f>
        <v>0</v>
      </c>
      <c r="U151" s="26" t="n">
        <f aca="false">SUMIFS('Outages (event ledger)'!$H$2:$H$65,'Outages (event ledger)'!$A$2:$A$65,U$2,'Outages (event ledger)'!$E$2:$E$65,"&lt;="&amp;$B151,'Outages (event ledger)'!$G$2:$G$65,"&gt;="&amp;$B151)</f>
        <v>0</v>
      </c>
      <c r="V151" s="26" t="n">
        <f aca="false">SUMIFS('Outages (event ledger)'!$H$2:$H$65,'Outages (event ledger)'!$A$2:$A$65,V$2,'Outages (event ledger)'!$E$2:$E$65,"&lt;="&amp;$B151,'Outages (event ledger)'!$G$2:$G$65,"&gt;="&amp;$B151)</f>
        <v>0</v>
      </c>
      <c r="W151" s="26" t="n">
        <f aca="false">SUMIFS('Outages (event ledger)'!$H$2:$H$65,'Outages (event ledger)'!$A$2:$A$65,W$2,'Outages (event ledger)'!$E$2:$E$65,"&lt;="&amp;$B151,'Outages (event ledger)'!$G$2:$G$65,"&gt;="&amp;$B151)</f>
        <v>0</v>
      </c>
      <c r="X151" s="26" t="n">
        <f aca="false">SUMIFS('Outages (event ledger)'!$H$2:$H$65,'Outages (event ledger)'!$A$2:$A$65,X$2,'Outages (event ledger)'!$E$2:$E$65,"&lt;="&amp;$B151,'Outages (event ledger)'!$G$2:$G$65,"&gt;="&amp;$B151)</f>
        <v>0</v>
      </c>
      <c r="Y151" s="26" t="n">
        <f aca="false">SUMIFS('Outages (event ledger)'!$H$2:$H$65,'Outages (event ledger)'!$A$2:$A$65,Y$2,'Outages (event ledger)'!$E$2:$E$65,"&lt;="&amp;$B151,'Outages (event ledger)'!$G$2:$G$65,"&gt;="&amp;$B151)</f>
        <v>0</v>
      </c>
      <c r="Z151" s="26" t="n">
        <f aca="false">SUMIFS('Outages (event ledger)'!$H$2:$H$65,'Outages (event ledger)'!$A$2:$A$65,Z$2,'Outages (event ledger)'!$E$2:$E$65,"&lt;="&amp;$B151,'Outages (event ledger)'!$G$2:$G$65,"&gt;="&amp;$B151)</f>
        <v>0</v>
      </c>
      <c r="AA151" s="26" t="n">
        <f aca="false">SUMIFS('Outages (event ledger)'!$H$2:$H$65,'Outages (event ledger)'!$A$2:$A$65,AA$2,'Outages (event ledger)'!$E$2:$E$65,"&lt;="&amp;$B151,'Outages (event ledger)'!$G$2:$G$65,"&gt;="&amp;$B151)</f>
        <v>0</v>
      </c>
      <c r="AB151" s="26" t="n">
        <f aca="false">SUMIFS('Outages (event ledger)'!$H$2:$H$65,'Outages (event ledger)'!$A$2:$A$65,AB$2,'Outages (event ledger)'!$E$2:$E$65,"&lt;="&amp;$B151,'Outages (event ledger)'!$G$2:$G$65,"&gt;="&amp;$B151)</f>
        <v>8</v>
      </c>
      <c r="AC151" s="26" t="n">
        <f aca="false">SUMIFS('Outages (event ledger)'!$H$2:$H$65,'Outages (event ledger)'!$A$2:$A$65,AC$2,'Outages (event ledger)'!$E$2:$E$65,"&lt;="&amp;$B151,'Outages (event ledger)'!$G$2:$G$65,"&gt;="&amp;$B151)</f>
        <v>0</v>
      </c>
      <c r="AD151" s="26" t="n">
        <f aca="false">SUMIFS('Outages (event ledger)'!$H$2:$H$65,'Outages (event ledger)'!$A$2:$A$65,AD$2,'Outages (event ledger)'!$E$2:$E$65,"&lt;="&amp;$B151,'Outages (event ledger)'!$G$2:$G$65,"&gt;="&amp;$B151)</f>
        <v>0</v>
      </c>
      <c r="AE151" s="26" t="n">
        <f aca="false">SUMIFS('Outages (event ledger)'!$H$2:$H$65,'Outages (event ledger)'!$A$2:$A$65,AE$2,'Outages (event ledger)'!$E$2:$E$65,"&lt;="&amp;$B151,'Outages (event ledger)'!$G$2:$G$65,"&gt;="&amp;$B151)</f>
        <v>0</v>
      </c>
      <c r="AF151" s="26" t="n">
        <f aca="false">SUMIFS('Outages (event ledger)'!$H$2:$H$65,'Outages (event ledger)'!$A$2:$A$65,AF$2,'Outages (event ledger)'!$E$2:$E$65,"&lt;="&amp;$B151,'Outages (event ledger)'!$G$2:$G$65,"&gt;="&amp;$B151)</f>
        <v>0</v>
      </c>
      <c r="AG151" s="26" t="n">
        <f aca="false">SUMIFS('Outages (event ledger)'!$H$2:$H$65,'Outages (event ledger)'!$A$2:$A$65,AG$2,'Outages (event ledger)'!$E$2:$E$65,"&lt;="&amp;$B151,'Outages (event ledger)'!$G$2:$G$65,"&gt;="&amp;$B151)</f>
        <v>0</v>
      </c>
      <c r="AH151" s="26" t="n">
        <f aca="false">SUMIFS('Outages (event ledger)'!$H$2:$H$65,'Outages (event ledger)'!$A$2:$A$65,AH$2,'Outages (event ledger)'!$E$2:$E$65,"&lt;="&amp;$B151,'Outages (event ledger)'!$G$2:$G$65,"&gt;="&amp;$B151)</f>
        <v>0</v>
      </c>
      <c r="AI151" s="26" t="n">
        <f aca="false">SUMIFS('Outages (event ledger)'!$H$2:$H$65,'Outages (event ledger)'!$A$2:$A$65,AI$2,'Outages (event ledger)'!$E$2:$E$65,"&lt;="&amp;$B151,'Outages (event ledger)'!$G$2:$G$65,"&gt;="&amp;$B151)</f>
        <v>0</v>
      </c>
      <c r="AJ151" s="26" t="n">
        <f aca="false">SUMIFS('Outages (event ledger)'!$H$2:$H$65,'Outages (event ledger)'!$A$2:$A$65,AJ$2,'Outages (event ledger)'!$E$2:$E$65,"&lt;="&amp;$B151,'Outages (event ledger)'!$G$2:$G$65,"&gt;="&amp;$B151)</f>
        <v>0</v>
      </c>
      <c r="AK151" s="26" t="n">
        <f aca="false">SUMIFS('Outages (event ledger)'!$H$2:$H$65,'Outages (event ledger)'!$A$2:$A$65,AK$2,'Outages (event ledger)'!$E$2:$E$65,"&lt;="&amp;$B151,'Outages (event ledger)'!$G$2:$G$65,"&gt;="&amp;$B151)</f>
        <v>0</v>
      </c>
      <c r="AL151" s="26" t="n">
        <f aca="false">SUMIFS('Outages (event ledger)'!$H$2:$H$65,'Outages (event ledger)'!$A$2:$A$65,AL$2,'Outages (event ledger)'!$E$2:$E$65,"&lt;="&amp;$B151,'Outages (event ledger)'!$G$2:$G$65,"&gt;="&amp;$B151)</f>
        <v>4</v>
      </c>
      <c r="AM151" s="26" t="n">
        <f aca="false">SUMIFS('Outages (event ledger)'!$H$2:$H$65,'Outages (event ledger)'!$A$2:$A$65,AM$2,'Outages (event ledger)'!$E$2:$E$65,"&lt;="&amp;$B151,'Outages (event ledger)'!$G$2:$G$65,"&gt;="&amp;$B151)</f>
        <v>0</v>
      </c>
      <c r="AN151" s="26" t="n">
        <f aca="false">SUMIFS('Outages (event ledger)'!$H$2:$H$65,'Outages (event ledger)'!$A$2:$A$65,AN$2,'Outages (event ledger)'!$E$2:$E$65,"&lt;="&amp;$B151,'Outages (event ledger)'!$G$2:$G$65,"&gt;="&amp;$B151)</f>
        <v>4.3</v>
      </c>
      <c r="AO151" s="26" t="n">
        <f aca="false">SUMIFS('Outages (event ledger)'!$H$2:$H$65,'Outages (event ledger)'!$A$2:$A$65,AO$2,'Outages (event ledger)'!$E$2:$E$65,"&lt;="&amp;$B151,'Outages (event ledger)'!$G$2:$G$65,"&gt;="&amp;$B151)</f>
        <v>0</v>
      </c>
      <c r="AP151" s="26" t="n">
        <f aca="false">SUMIFS('Outages (event ledger)'!$H$2:$H$65,'Outages (event ledger)'!$A$2:$A$65,AP$2,'Outages (event ledger)'!$E$2:$E$65,"&lt;="&amp;$B151,'Outages (event ledger)'!$G$2:$G$65,"&gt;="&amp;$B151)</f>
        <v>0</v>
      </c>
      <c r="AQ151" s="26" t="n">
        <f aca="false">SUMIFS('Outages (event ledger)'!$H$2:$H$65,'Outages (event ledger)'!$A$2:$A$65,AQ$2,'Outages (event ledger)'!$E$2:$E$65,"&lt;="&amp;$B151,'Outages (event ledger)'!$G$2:$G$65,"&gt;="&amp;$B151)</f>
        <v>0</v>
      </c>
      <c r="AR151" s="26" t="n">
        <f aca="false">SUMIFS('Outages (event ledger)'!$H$2:$H$65,'Outages (event ledger)'!$A$2:$A$65,AR$2,'Outages (event ledger)'!$E$2:$E$65,"&lt;="&amp;$B151,'Outages (event ledger)'!$G$2:$G$65,"&gt;="&amp;$B151)</f>
        <v>0</v>
      </c>
      <c r="AS151" s="26" t="n">
        <f aca="false">SUMIFS('Outages (event ledger)'!$H$2:$H$65,'Outages (event ledger)'!$A$2:$A$65,AS$2,'Outages (event ledger)'!$E$2:$E$65,"&lt;="&amp;$B151,'Outages (event ledger)'!$G$2:$G$65,"&gt;="&amp;$B151)</f>
        <v>0</v>
      </c>
      <c r="AT151" s="26" t="n">
        <f aca="false">SUMIFS('Outages (event ledger)'!$H$2:$H$65,'Outages (event ledger)'!$A$2:$A$65,AT$2,'Outages (event ledger)'!$E$2:$E$65,"&lt;="&amp;$B151,'Outages (event ledger)'!$G$2:$G$65,"&gt;="&amp;$B151)</f>
        <v>0</v>
      </c>
      <c r="AU151" s="26" t="n">
        <f aca="false">SUMIFS('Outages (event ledger)'!$H$2:$H$65,'Outages (event ledger)'!$A$2:$A$65,AU$2,'Outages (event ledger)'!$E$2:$E$65,"&lt;="&amp;$B151,'Outages (event ledger)'!$G$2:$G$65,"&gt;="&amp;$B151)</f>
        <v>0</v>
      </c>
      <c r="AV151" s="26" t="n">
        <f aca="false">SUMIFS('Outages (event ledger)'!$H$2:$H$65,'Outages (event ledger)'!$A$2:$A$65,AV$2,'Outages (event ledger)'!$E$2:$E$65,"&lt;="&amp;$B151,'Outages (event ledger)'!$G$2:$G$65,"&gt;="&amp;$B151)</f>
        <v>0</v>
      </c>
      <c r="AW151" s="26" t="n">
        <f aca="false">SUMIFS('Outages (event ledger)'!$H$2:$H$65,'Outages (event ledger)'!$A$2:$A$65,AW$2,'Outages (event ledger)'!$E$2:$E$65,"&lt;="&amp;$B151,'Outages (event ledger)'!$G$2:$G$65,"&gt;="&amp;$B151)</f>
        <v>0</v>
      </c>
      <c r="AX151" s="26" t="n">
        <f aca="false">SUMIFS('Outages (event ledger)'!$H$2:$H$65,'Outages (event ledger)'!$A$2:$A$65,AX$2,'Outages (event ledger)'!$E$2:$E$65,"&lt;="&amp;$B151,'Outages (event ledger)'!$G$2:$G$65,"&gt;="&amp;$B151)</f>
        <v>6.6</v>
      </c>
      <c r="AY151" s="26" t="n">
        <f aca="false">SUMIFS('Outages (event ledger)'!$H$2:$H$65,'Outages (event ledger)'!$A$2:$A$65,AY$2,'Outages (event ledger)'!$E$2:$E$65,"&lt;="&amp;$B151,'Outages (event ledger)'!$G$2:$G$65,"&gt;="&amp;$B151)</f>
        <v>0</v>
      </c>
      <c r="AZ151" s="26" t="n">
        <f aca="false">SUMIFS('Outages (event ledger)'!$H$2:$H$65,'Outages (event ledger)'!$A$2:$A$65,AZ$2,'Outages (event ledger)'!$E$2:$E$65,"&lt;="&amp;$B151,'Outages (event ledger)'!$G$2:$G$65,"&gt;="&amp;$B151)</f>
        <v>0</v>
      </c>
      <c r="BA151" s="26" t="n">
        <f aca="false">SUMIFS('Outages (event ledger)'!$H$2:$H$65,'Outages (event ledger)'!$A$2:$A$65,BA$2,'Outages (event ledger)'!$E$2:$E$65,"&lt;="&amp;$B151,'Outages (event ledger)'!$G$2:$G$65,"&gt;="&amp;$B151)</f>
        <v>0</v>
      </c>
      <c r="BB151" s="26" t="n">
        <f aca="false">SUMIFS('Outages (event ledger)'!$H$2:$H$65,'Outages (event ledger)'!$A$2:$A$65,BB$2,'Outages (event ledger)'!$E$2:$E$65,"&lt;="&amp;$B151,'Outages (event ledger)'!$G$2:$G$65,"&gt;="&amp;$B151)</f>
        <v>0</v>
      </c>
      <c r="BC151" s="26" t="n">
        <f aca="false">SUMIFS('Outages (event ledger)'!$H$2:$H$65,'Outages (event ledger)'!$A$2:$A$65,BC$2,'Outages (event ledger)'!$E$2:$E$65,"&lt;="&amp;$B151,'Outages (event ledger)'!$G$2:$G$65,"&gt;="&amp;$B151)</f>
        <v>0</v>
      </c>
      <c r="BD151" s="26" t="n">
        <f aca="false">SUMIFS('Outages (event ledger)'!$H$2:$H$65,'Outages (event ledger)'!$A$2:$A$65,BD$2,'Outages (event ledger)'!$E$2:$E$65,"&lt;="&amp;$B151,'Outages (event ledger)'!$G$2:$G$65,"&gt;="&amp;$B151)</f>
        <v>0</v>
      </c>
      <c r="BE151" s="26" t="n">
        <f aca="false">SUMIFS('Outages (event ledger)'!$H$2:$H$65,'Outages (event ledger)'!$A$2:$A$65,BE$2,'Outages (event ledger)'!$E$2:$E$65,"&lt;="&amp;$B151,'Outages (event ledger)'!$G$2:$G$65,"&gt;="&amp;$B151)</f>
        <v>0</v>
      </c>
      <c r="BF151" s="26" t="n">
        <f aca="false">SUMIFS('Outages (event ledger)'!$H$2:$H$65,'Outages (event ledger)'!$A$2:$A$65,BF$2,'Outages (event ledger)'!$E$2:$E$65,"&lt;="&amp;$B151,'Outages (event ledger)'!$G$2:$G$65,"&gt;="&amp;$B151)</f>
        <v>0</v>
      </c>
      <c r="BG151" s="26" t="n">
        <f aca="false">SUMIFS('Outages (event ledger)'!$H$2:$H$65,'Outages (event ledger)'!$A$2:$A$65,BG$2,'Outages (event ledger)'!$E$2:$E$65,"&lt;="&amp;$B151,'Outages (event ledger)'!$G$2:$G$65,"&gt;="&amp;$B151)</f>
        <v>0</v>
      </c>
      <c r="BH151" s="26" t="n">
        <f aca="false">SUMIFS('Outages (event ledger)'!$H$2:$H$65,'Outages (event ledger)'!$A$2:$A$65,BH$2,'Outages (event ledger)'!$E$2:$E$65,"&lt;="&amp;$B151,'Outages (event ledger)'!$G$2:$G$65,"&gt;="&amp;$B151)</f>
        <v>0</v>
      </c>
      <c r="BI151" s="26" t="n">
        <f aca="false">SUMIFS('Outages (event ledger)'!$H$2:$H$65,'Outages (event ledger)'!$A$2:$A$65,BI$2,'Outages (event ledger)'!$E$2:$E$65,"&lt;="&amp;$B151,'Outages (event ledger)'!$G$2:$G$65,"&gt;="&amp;$B151)</f>
        <v>6.7</v>
      </c>
    </row>
    <row r="152" customFormat="false" ht="15" hidden="false" customHeight="false" outlineLevel="0" collapsed="false">
      <c r="A152" s="23" t="n">
        <v>44713</v>
      </c>
      <c r="B152" s="24" t="n">
        <v>202206</v>
      </c>
      <c r="C152" s="25" t="n">
        <f aca="false">SUM(D152:BI152)</f>
        <v>48.2</v>
      </c>
      <c r="D152" s="26" t="n">
        <f aca="false">SUMIFS('Outages (event ledger)'!$H$2:$H$65,'Outages (event ledger)'!$A$2:$A$65,D$2,'Outages (event ledger)'!$E$2:$E$65,"&lt;="&amp;$B152,'Outages (event ledger)'!$G$2:$G$65,"&gt;="&amp;$B152)</f>
        <v>0</v>
      </c>
      <c r="E152" s="26" t="n">
        <f aca="false">SUMIFS('Outages (event ledger)'!$H$2:$H$65,'Outages (event ledger)'!$A$2:$A$65,E$2,'Outages (event ledger)'!$E$2:$E$65,"&lt;="&amp;$B152,'Outages (event ledger)'!$G$2:$G$65,"&gt;="&amp;$B152)</f>
        <v>0</v>
      </c>
      <c r="F152" s="26" t="n">
        <f aca="false">SUMIFS('Outages (event ledger)'!$H$2:$H$65,'Outages (event ledger)'!$A$2:$A$65,F$2,'Outages (event ledger)'!$E$2:$E$65,"&lt;="&amp;$B152,'Outages (event ledger)'!$G$2:$G$65,"&gt;="&amp;$B152)</f>
        <v>0</v>
      </c>
      <c r="G152" s="26" t="n">
        <f aca="false">SUMIFS('Outages (event ledger)'!$H$2:$H$65,'Outages (event ledger)'!$A$2:$A$65,G$2,'Outages (event ledger)'!$E$2:$E$65,"&lt;="&amp;$B152,'Outages (event ledger)'!$G$2:$G$65,"&gt;="&amp;$B152)</f>
        <v>0</v>
      </c>
      <c r="H152" s="26" t="n">
        <f aca="false">SUMIFS('Outages (event ledger)'!$H$2:$H$65,'Outages (event ledger)'!$A$2:$A$65,H$2,'Outages (event ledger)'!$E$2:$E$65,"&lt;="&amp;$B152,'Outages (event ledger)'!$G$2:$G$65,"&gt;="&amp;$B152)</f>
        <v>0</v>
      </c>
      <c r="I152" s="26" t="n">
        <f aca="false">SUMIFS('Outages (event ledger)'!$H$2:$H$65,'Outages (event ledger)'!$A$2:$A$65,I$2,'Outages (event ledger)'!$E$2:$E$65,"&lt;="&amp;$B152,'Outages (event ledger)'!$G$2:$G$65,"&gt;="&amp;$B152)</f>
        <v>0</v>
      </c>
      <c r="J152" s="26" t="n">
        <f aca="false">SUMIFS('Outages (event ledger)'!$H$2:$H$65,'Outages (event ledger)'!$A$2:$A$65,J$2,'Outages (event ledger)'!$E$2:$E$65,"&lt;="&amp;$B152,'Outages (event ledger)'!$G$2:$G$65,"&gt;="&amp;$B152)</f>
        <v>0</v>
      </c>
      <c r="K152" s="26" t="n">
        <f aca="false">SUMIFS('Outages (event ledger)'!$H$2:$H$65,'Outages (event ledger)'!$A$2:$A$65,K$2,'Outages (event ledger)'!$E$2:$E$65,"&lt;="&amp;$B152,'Outages (event ledger)'!$G$2:$G$65,"&gt;="&amp;$B152)</f>
        <v>0</v>
      </c>
      <c r="L152" s="26" t="n">
        <f aca="false">SUMIFS('Outages (event ledger)'!$H$2:$H$65,'Outages (event ledger)'!$A$2:$A$65,L$2,'Outages (event ledger)'!$E$2:$E$65,"&lt;="&amp;$B152,'Outages (event ledger)'!$G$2:$G$65,"&gt;="&amp;$B152)</f>
        <v>0</v>
      </c>
      <c r="M152" s="26" t="n">
        <f aca="false">SUMIFS('Outages (event ledger)'!$H$2:$H$65,'Outages (event ledger)'!$A$2:$A$65,M$2,'Outages (event ledger)'!$E$2:$E$65,"&lt;="&amp;$B152,'Outages (event ledger)'!$G$2:$G$65,"&gt;="&amp;$B152)</f>
        <v>0</v>
      </c>
      <c r="N152" s="26" t="n">
        <f aca="false">SUMIFS('Outages (event ledger)'!$H$2:$H$65,'Outages (event ledger)'!$A$2:$A$65,N$2,'Outages (event ledger)'!$E$2:$E$65,"&lt;="&amp;$B152,'Outages (event ledger)'!$G$2:$G$65,"&gt;="&amp;$B152)</f>
        <v>0</v>
      </c>
      <c r="O152" s="26" t="n">
        <f aca="false">SUMIFS('Outages (event ledger)'!$H$2:$H$65,'Outages (event ledger)'!$A$2:$A$65,O$2,'Outages (event ledger)'!$E$2:$E$65,"&lt;="&amp;$B152,'Outages (event ledger)'!$G$2:$G$65,"&gt;="&amp;$B152)</f>
        <v>0</v>
      </c>
      <c r="P152" s="26" t="n">
        <f aca="false">SUMIFS('Outages (event ledger)'!$H$2:$H$65,'Outages (event ledger)'!$A$2:$A$65,P$2,'Outages (event ledger)'!$E$2:$E$65,"&lt;="&amp;$B152,'Outages (event ledger)'!$G$2:$G$65,"&gt;="&amp;$B152)</f>
        <v>3.6</v>
      </c>
      <c r="Q152" s="26" t="n">
        <f aca="false">SUMIFS('Outages (event ledger)'!$H$2:$H$65,'Outages (event ledger)'!$A$2:$A$65,Q$2,'Outages (event ledger)'!$E$2:$E$65,"&lt;="&amp;$B152,'Outages (event ledger)'!$G$2:$G$65,"&gt;="&amp;$B152)</f>
        <v>0</v>
      </c>
      <c r="R152" s="26" t="n">
        <f aca="false">SUMIFS('Outages (event ledger)'!$H$2:$H$65,'Outages (event ledger)'!$A$2:$A$65,R$2,'Outages (event ledger)'!$E$2:$E$65,"&lt;="&amp;$B152,'Outages (event ledger)'!$G$2:$G$65,"&gt;="&amp;$B152)</f>
        <v>0</v>
      </c>
      <c r="S152" s="26" t="n">
        <f aca="false">SUMIFS('Outages (event ledger)'!$H$2:$H$65,'Outages (event ledger)'!$A$2:$A$65,S$2,'Outages (event ledger)'!$E$2:$E$65,"&lt;="&amp;$B152,'Outages (event ledger)'!$G$2:$G$65,"&gt;="&amp;$B152)</f>
        <v>0</v>
      </c>
      <c r="T152" s="26" t="n">
        <f aca="false">SUMIFS('Outages (event ledger)'!$H$2:$H$65,'Outages (event ledger)'!$A$2:$A$65,T$2,'Outages (event ledger)'!$E$2:$E$65,"&lt;="&amp;$B152,'Outages (event ledger)'!$G$2:$G$65,"&gt;="&amp;$B152)</f>
        <v>0</v>
      </c>
      <c r="U152" s="26" t="n">
        <f aca="false">SUMIFS('Outages (event ledger)'!$H$2:$H$65,'Outages (event ledger)'!$A$2:$A$65,U$2,'Outages (event ledger)'!$E$2:$E$65,"&lt;="&amp;$B152,'Outages (event ledger)'!$G$2:$G$65,"&gt;="&amp;$B152)</f>
        <v>0</v>
      </c>
      <c r="V152" s="26" t="n">
        <f aca="false">SUMIFS('Outages (event ledger)'!$H$2:$H$65,'Outages (event ledger)'!$A$2:$A$65,V$2,'Outages (event ledger)'!$E$2:$E$65,"&lt;="&amp;$B152,'Outages (event ledger)'!$G$2:$G$65,"&gt;="&amp;$B152)</f>
        <v>0</v>
      </c>
      <c r="W152" s="26" t="n">
        <f aca="false">SUMIFS('Outages (event ledger)'!$H$2:$H$65,'Outages (event ledger)'!$A$2:$A$65,W$2,'Outages (event ledger)'!$E$2:$E$65,"&lt;="&amp;$B152,'Outages (event ledger)'!$G$2:$G$65,"&gt;="&amp;$B152)</f>
        <v>0</v>
      </c>
      <c r="X152" s="26" t="n">
        <f aca="false">SUMIFS('Outages (event ledger)'!$H$2:$H$65,'Outages (event ledger)'!$A$2:$A$65,X$2,'Outages (event ledger)'!$E$2:$E$65,"&lt;="&amp;$B152,'Outages (event ledger)'!$G$2:$G$65,"&gt;="&amp;$B152)</f>
        <v>0</v>
      </c>
      <c r="Y152" s="26" t="n">
        <f aca="false">SUMIFS('Outages (event ledger)'!$H$2:$H$65,'Outages (event ledger)'!$A$2:$A$65,Y$2,'Outages (event ledger)'!$E$2:$E$65,"&lt;="&amp;$B152,'Outages (event ledger)'!$G$2:$G$65,"&gt;="&amp;$B152)</f>
        <v>0</v>
      </c>
      <c r="Z152" s="26" t="n">
        <f aca="false">SUMIFS('Outages (event ledger)'!$H$2:$H$65,'Outages (event ledger)'!$A$2:$A$65,Z$2,'Outages (event ledger)'!$E$2:$E$65,"&lt;="&amp;$B152,'Outages (event ledger)'!$G$2:$G$65,"&gt;="&amp;$B152)</f>
        <v>0</v>
      </c>
      <c r="AA152" s="26" t="n">
        <f aca="false">SUMIFS('Outages (event ledger)'!$H$2:$H$65,'Outages (event ledger)'!$A$2:$A$65,AA$2,'Outages (event ledger)'!$E$2:$E$65,"&lt;="&amp;$B152,'Outages (event ledger)'!$G$2:$G$65,"&gt;="&amp;$B152)</f>
        <v>0</v>
      </c>
      <c r="AB152" s="26" t="n">
        <f aca="false">SUMIFS('Outages (event ledger)'!$H$2:$H$65,'Outages (event ledger)'!$A$2:$A$65,AB$2,'Outages (event ledger)'!$E$2:$E$65,"&lt;="&amp;$B152,'Outages (event ledger)'!$G$2:$G$65,"&gt;="&amp;$B152)</f>
        <v>8</v>
      </c>
      <c r="AC152" s="26" t="n">
        <f aca="false">SUMIFS('Outages (event ledger)'!$H$2:$H$65,'Outages (event ledger)'!$A$2:$A$65,AC$2,'Outages (event ledger)'!$E$2:$E$65,"&lt;="&amp;$B152,'Outages (event ledger)'!$G$2:$G$65,"&gt;="&amp;$B152)</f>
        <v>0</v>
      </c>
      <c r="AD152" s="26" t="n">
        <f aca="false">SUMIFS('Outages (event ledger)'!$H$2:$H$65,'Outages (event ledger)'!$A$2:$A$65,AD$2,'Outages (event ledger)'!$E$2:$E$65,"&lt;="&amp;$B152,'Outages (event ledger)'!$G$2:$G$65,"&gt;="&amp;$B152)</f>
        <v>0</v>
      </c>
      <c r="AE152" s="26" t="n">
        <f aca="false">SUMIFS('Outages (event ledger)'!$H$2:$H$65,'Outages (event ledger)'!$A$2:$A$65,AE$2,'Outages (event ledger)'!$E$2:$E$65,"&lt;="&amp;$B152,'Outages (event ledger)'!$G$2:$G$65,"&gt;="&amp;$B152)</f>
        <v>0</v>
      </c>
      <c r="AF152" s="26" t="n">
        <f aca="false">SUMIFS('Outages (event ledger)'!$H$2:$H$65,'Outages (event ledger)'!$A$2:$A$65,AF$2,'Outages (event ledger)'!$E$2:$E$65,"&lt;="&amp;$B152,'Outages (event ledger)'!$G$2:$G$65,"&gt;="&amp;$B152)</f>
        <v>0</v>
      </c>
      <c r="AG152" s="26" t="n">
        <f aca="false">SUMIFS('Outages (event ledger)'!$H$2:$H$65,'Outages (event ledger)'!$A$2:$A$65,AG$2,'Outages (event ledger)'!$E$2:$E$65,"&lt;="&amp;$B152,'Outages (event ledger)'!$G$2:$G$65,"&gt;="&amp;$B152)</f>
        <v>0</v>
      </c>
      <c r="AH152" s="26" t="n">
        <f aca="false">SUMIFS('Outages (event ledger)'!$H$2:$H$65,'Outages (event ledger)'!$A$2:$A$65,AH$2,'Outages (event ledger)'!$E$2:$E$65,"&lt;="&amp;$B152,'Outages (event ledger)'!$G$2:$G$65,"&gt;="&amp;$B152)</f>
        <v>0</v>
      </c>
      <c r="AI152" s="26" t="n">
        <f aca="false">SUMIFS('Outages (event ledger)'!$H$2:$H$65,'Outages (event ledger)'!$A$2:$A$65,AI$2,'Outages (event ledger)'!$E$2:$E$65,"&lt;="&amp;$B152,'Outages (event ledger)'!$G$2:$G$65,"&gt;="&amp;$B152)</f>
        <v>0</v>
      </c>
      <c r="AJ152" s="26" t="n">
        <f aca="false">SUMIFS('Outages (event ledger)'!$H$2:$H$65,'Outages (event ledger)'!$A$2:$A$65,AJ$2,'Outages (event ledger)'!$E$2:$E$65,"&lt;="&amp;$B152,'Outages (event ledger)'!$G$2:$G$65,"&gt;="&amp;$B152)</f>
        <v>0</v>
      </c>
      <c r="AK152" s="26" t="n">
        <f aca="false">SUMIFS('Outages (event ledger)'!$H$2:$H$65,'Outages (event ledger)'!$A$2:$A$65,AK$2,'Outages (event ledger)'!$E$2:$E$65,"&lt;="&amp;$B152,'Outages (event ledger)'!$G$2:$G$65,"&gt;="&amp;$B152)</f>
        <v>0</v>
      </c>
      <c r="AL152" s="26" t="n">
        <f aca="false">SUMIFS('Outages (event ledger)'!$H$2:$H$65,'Outages (event ledger)'!$A$2:$A$65,AL$2,'Outages (event ledger)'!$E$2:$E$65,"&lt;="&amp;$B152,'Outages (event ledger)'!$G$2:$G$65,"&gt;="&amp;$B152)</f>
        <v>4</v>
      </c>
      <c r="AM152" s="26" t="n">
        <f aca="false">SUMIFS('Outages (event ledger)'!$H$2:$H$65,'Outages (event ledger)'!$A$2:$A$65,AM$2,'Outages (event ledger)'!$E$2:$E$65,"&lt;="&amp;$B152,'Outages (event ledger)'!$G$2:$G$65,"&gt;="&amp;$B152)</f>
        <v>0</v>
      </c>
      <c r="AN152" s="26" t="n">
        <f aca="false">SUMIFS('Outages (event ledger)'!$H$2:$H$65,'Outages (event ledger)'!$A$2:$A$65,AN$2,'Outages (event ledger)'!$E$2:$E$65,"&lt;="&amp;$B152,'Outages (event ledger)'!$G$2:$G$65,"&gt;="&amp;$B152)</f>
        <v>4.3</v>
      </c>
      <c r="AO152" s="26" t="n">
        <f aca="false">SUMIFS('Outages (event ledger)'!$H$2:$H$65,'Outages (event ledger)'!$A$2:$A$65,AO$2,'Outages (event ledger)'!$E$2:$E$65,"&lt;="&amp;$B152,'Outages (event ledger)'!$G$2:$G$65,"&gt;="&amp;$B152)</f>
        <v>0</v>
      </c>
      <c r="AP152" s="26" t="n">
        <f aca="false">SUMIFS('Outages (event ledger)'!$H$2:$H$65,'Outages (event ledger)'!$A$2:$A$65,AP$2,'Outages (event ledger)'!$E$2:$E$65,"&lt;="&amp;$B152,'Outages (event ledger)'!$G$2:$G$65,"&gt;="&amp;$B152)</f>
        <v>0</v>
      </c>
      <c r="AQ152" s="26" t="n">
        <f aca="false">SUMIFS('Outages (event ledger)'!$H$2:$H$65,'Outages (event ledger)'!$A$2:$A$65,AQ$2,'Outages (event ledger)'!$E$2:$E$65,"&lt;="&amp;$B152,'Outages (event ledger)'!$G$2:$G$65,"&gt;="&amp;$B152)</f>
        <v>0</v>
      </c>
      <c r="AR152" s="26" t="n">
        <f aca="false">SUMIFS('Outages (event ledger)'!$H$2:$H$65,'Outages (event ledger)'!$A$2:$A$65,AR$2,'Outages (event ledger)'!$E$2:$E$65,"&lt;="&amp;$B152,'Outages (event ledger)'!$G$2:$G$65,"&gt;="&amp;$B152)</f>
        <v>0</v>
      </c>
      <c r="AS152" s="26" t="n">
        <f aca="false">SUMIFS('Outages (event ledger)'!$H$2:$H$65,'Outages (event ledger)'!$A$2:$A$65,AS$2,'Outages (event ledger)'!$E$2:$E$65,"&lt;="&amp;$B152,'Outages (event ledger)'!$G$2:$G$65,"&gt;="&amp;$B152)</f>
        <v>0</v>
      </c>
      <c r="AT152" s="26" t="n">
        <f aca="false">SUMIFS('Outages (event ledger)'!$H$2:$H$65,'Outages (event ledger)'!$A$2:$A$65,AT$2,'Outages (event ledger)'!$E$2:$E$65,"&lt;="&amp;$B152,'Outages (event ledger)'!$G$2:$G$65,"&gt;="&amp;$B152)</f>
        <v>0</v>
      </c>
      <c r="AU152" s="26" t="n">
        <f aca="false">SUMIFS('Outages (event ledger)'!$H$2:$H$65,'Outages (event ledger)'!$A$2:$A$65,AU$2,'Outages (event ledger)'!$E$2:$E$65,"&lt;="&amp;$B152,'Outages (event ledger)'!$G$2:$G$65,"&gt;="&amp;$B152)</f>
        <v>0</v>
      </c>
      <c r="AV152" s="26" t="n">
        <f aca="false">SUMIFS('Outages (event ledger)'!$H$2:$H$65,'Outages (event ledger)'!$A$2:$A$65,AV$2,'Outages (event ledger)'!$E$2:$E$65,"&lt;="&amp;$B152,'Outages (event ledger)'!$G$2:$G$65,"&gt;="&amp;$B152)</f>
        <v>0</v>
      </c>
      <c r="AW152" s="26" t="n">
        <f aca="false">SUMIFS('Outages (event ledger)'!$H$2:$H$65,'Outages (event ledger)'!$A$2:$A$65,AW$2,'Outages (event ledger)'!$E$2:$E$65,"&lt;="&amp;$B152,'Outages (event ledger)'!$G$2:$G$65,"&gt;="&amp;$B152)</f>
        <v>0</v>
      </c>
      <c r="AX152" s="26" t="n">
        <f aca="false">SUMIFS('Outages (event ledger)'!$H$2:$H$65,'Outages (event ledger)'!$A$2:$A$65,AX$2,'Outages (event ledger)'!$E$2:$E$65,"&lt;="&amp;$B152,'Outages (event ledger)'!$G$2:$G$65,"&gt;="&amp;$B152)</f>
        <v>6.6</v>
      </c>
      <c r="AY152" s="26" t="n">
        <f aca="false">SUMIFS('Outages (event ledger)'!$H$2:$H$65,'Outages (event ledger)'!$A$2:$A$65,AY$2,'Outages (event ledger)'!$E$2:$E$65,"&lt;="&amp;$B152,'Outages (event ledger)'!$G$2:$G$65,"&gt;="&amp;$B152)</f>
        <v>0</v>
      </c>
      <c r="AZ152" s="26" t="n">
        <f aca="false">SUMIFS('Outages (event ledger)'!$H$2:$H$65,'Outages (event ledger)'!$A$2:$A$65,AZ$2,'Outages (event ledger)'!$E$2:$E$65,"&lt;="&amp;$B152,'Outages (event ledger)'!$G$2:$G$65,"&gt;="&amp;$B152)</f>
        <v>0</v>
      </c>
      <c r="BA152" s="26" t="n">
        <f aca="false">SUMIFS('Outages (event ledger)'!$H$2:$H$65,'Outages (event ledger)'!$A$2:$A$65,BA$2,'Outages (event ledger)'!$E$2:$E$65,"&lt;="&amp;$B152,'Outages (event ledger)'!$G$2:$G$65,"&gt;="&amp;$B152)</f>
        <v>0</v>
      </c>
      <c r="BB152" s="26" t="n">
        <f aca="false">SUMIFS('Outages (event ledger)'!$H$2:$H$65,'Outages (event ledger)'!$A$2:$A$65,BB$2,'Outages (event ledger)'!$E$2:$E$65,"&lt;="&amp;$B152,'Outages (event ledger)'!$G$2:$G$65,"&gt;="&amp;$B152)</f>
        <v>0</v>
      </c>
      <c r="BC152" s="26" t="n">
        <f aca="false">SUMIFS('Outages (event ledger)'!$H$2:$H$65,'Outages (event ledger)'!$A$2:$A$65,BC$2,'Outages (event ledger)'!$E$2:$E$65,"&lt;="&amp;$B152,'Outages (event ledger)'!$G$2:$G$65,"&gt;="&amp;$B152)</f>
        <v>0</v>
      </c>
      <c r="BD152" s="26" t="n">
        <f aca="false">SUMIFS('Outages (event ledger)'!$H$2:$H$65,'Outages (event ledger)'!$A$2:$A$65,BD$2,'Outages (event ledger)'!$E$2:$E$65,"&lt;="&amp;$B152,'Outages (event ledger)'!$G$2:$G$65,"&gt;="&amp;$B152)</f>
        <v>0</v>
      </c>
      <c r="BE152" s="26" t="n">
        <f aca="false">SUMIFS('Outages (event ledger)'!$H$2:$H$65,'Outages (event ledger)'!$A$2:$A$65,BE$2,'Outages (event ledger)'!$E$2:$E$65,"&lt;="&amp;$B152,'Outages (event ledger)'!$G$2:$G$65,"&gt;="&amp;$B152)</f>
        <v>15</v>
      </c>
      <c r="BF152" s="26" t="n">
        <f aca="false">SUMIFS('Outages (event ledger)'!$H$2:$H$65,'Outages (event ledger)'!$A$2:$A$65,BF$2,'Outages (event ledger)'!$E$2:$E$65,"&lt;="&amp;$B152,'Outages (event ledger)'!$G$2:$G$65,"&gt;="&amp;$B152)</f>
        <v>0</v>
      </c>
      <c r="BG152" s="26" t="n">
        <f aca="false">SUMIFS('Outages (event ledger)'!$H$2:$H$65,'Outages (event ledger)'!$A$2:$A$65,BG$2,'Outages (event ledger)'!$E$2:$E$65,"&lt;="&amp;$B152,'Outages (event ledger)'!$G$2:$G$65,"&gt;="&amp;$B152)</f>
        <v>0</v>
      </c>
      <c r="BH152" s="26" t="n">
        <f aca="false">SUMIFS('Outages (event ledger)'!$H$2:$H$65,'Outages (event ledger)'!$A$2:$A$65,BH$2,'Outages (event ledger)'!$E$2:$E$65,"&lt;="&amp;$B152,'Outages (event ledger)'!$G$2:$G$65,"&gt;="&amp;$B152)</f>
        <v>0</v>
      </c>
      <c r="BI152" s="26" t="n">
        <f aca="false">SUMIFS('Outages (event ledger)'!$H$2:$H$65,'Outages (event ledger)'!$A$2:$A$65,BI$2,'Outages (event ledger)'!$E$2:$E$65,"&lt;="&amp;$B152,'Outages (event ledger)'!$G$2:$G$65,"&gt;="&amp;$B152)</f>
        <v>6.7</v>
      </c>
    </row>
    <row r="153" customFormat="false" ht="15" hidden="false" customHeight="false" outlineLevel="0" collapsed="false">
      <c r="A153" s="23" t="n">
        <v>44743</v>
      </c>
      <c r="B153" s="24" t="n">
        <v>202207</v>
      </c>
      <c r="C153" s="25" t="n">
        <f aca="false">SUM(D153:BI153)</f>
        <v>51.6</v>
      </c>
      <c r="D153" s="26" t="n">
        <f aca="false">SUMIFS('Outages (event ledger)'!$H$2:$H$65,'Outages (event ledger)'!$A$2:$A$65,D$2,'Outages (event ledger)'!$E$2:$E$65,"&lt;="&amp;$B153,'Outages (event ledger)'!$G$2:$G$65,"&gt;="&amp;$B153)</f>
        <v>0</v>
      </c>
      <c r="E153" s="26" t="n">
        <f aca="false">SUMIFS('Outages (event ledger)'!$H$2:$H$65,'Outages (event ledger)'!$A$2:$A$65,E$2,'Outages (event ledger)'!$E$2:$E$65,"&lt;="&amp;$B153,'Outages (event ledger)'!$G$2:$G$65,"&gt;="&amp;$B153)</f>
        <v>0</v>
      </c>
      <c r="F153" s="26" t="n">
        <f aca="false">SUMIFS('Outages (event ledger)'!$H$2:$H$65,'Outages (event ledger)'!$A$2:$A$65,F$2,'Outages (event ledger)'!$E$2:$E$65,"&lt;="&amp;$B153,'Outages (event ledger)'!$G$2:$G$65,"&gt;="&amp;$B153)</f>
        <v>0</v>
      </c>
      <c r="G153" s="26" t="n">
        <f aca="false">SUMIFS('Outages (event ledger)'!$H$2:$H$65,'Outages (event ledger)'!$A$2:$A$65,G$2,'Outages (event ledger)'!$E$2:$E$65,"&lt;="&amp;$B153,'Outages (event ledger)'!$G$2:$G$65,"&gt;="&amp;$B153)</f>
        <v>0</v>
      </c>
      <c r="H153" s="26" t="n">
        <f aca="false">SUMIFS('Outages (event ledger)'!$H$2:$H$65,'Outages (event ledger)'!$A$2:$A$65,H$2,'Outages (event ledger)'!$E$2:$E$65,"&lt;="&amp;$B153,'Outages (event ledger)'!$G$2:$G$65,"&gt;="&amp;$B153)</f>
        <v>0</v>
      </c>
      <c r="I153" s="26" t="n">
        <f aca="false">SUMIFS('Outages (event ledger)'!$H$2:$H$65,'Outages (event ledger)'!$A$2:$A$65,I$2,'Outages (event ledger)'!$E$2:$E$65,"&lt;="&amp;$B153,'Outages (event ledger)'!$G$2:$G$65,"&gt;="&amp;$B153)</f>
        <v>0</v>
      </c>
      <c r="J153" s="26" t="n">
        <f aca="false">SUMIFS('Outages (event ledger)'!$H$2:$H$65,'Outages (event ledger)'!$A$2:$A$65,J$2,'Outages (event ledger)'!$E$2:$E$65,"&lt;="&amp;$B153,'Outages (event ledger)'!$G$2:$G$65,"&gt;="&amp;$B153)</f>
        <v>0</v>
      </c>
      <c r="K153" s="26" t="n">
        <f aca="false">SUMIFS('Outages (event ledger)'!$H$2:$H$65,'Outages (event ledger)'!$A$2:$A$65,K$2,'Outages (event ledger)'!$E$2:$E$65,"&lt;="&amp;$B153,'Outages (event ledger)'!$G$2:$G$65,"&gt;="&amp;$B153)</f>
        <v>0</v>
      </c>
      <c r="L153" s="26" t="n">
        <f aca="false">SUMIFS('Outages (event ledger)'!$H$2:$H$65,'Outages (event ledger)'!$A$2:$A$65,L$2,'Outages (event ledger)'!$E$2:$E$65,"&lt;="&amp;$B153,'Outages (event ledger)'!$G$2:$G$65,"&gt;="&amp;$B153)</f>
        <v>0</v>
      </c>
      <c r="M153" s="26" t="n">
        <f aca="false">SUMIFS('Outages (event ledger)'!$H$2:$H$65,'Outages (event ledger)'!$A$2:$A$65,M$2,'Outages (event ledger)'!$E$2:$E$65,"&lt;="&amp;$B153,'Outages (event ledger)'!$G$2:$G$65,"&gt;="&amp;$B153)</f>
        <v>0</v>
      </c>
      <c r="N153" s="26" t="n">
        <f aca="false">SUMIFS('Outages (event ledger)'!$H$2:$H$65,'Outages (event ledger)'!$A$2:$A$65,N$2,'Outages (event ledger)'!$E$2:$E$65,"&lt;="&amp;$B153,'Outages (event ledger)'!$G$2:$G$65,"&gt;="&amp;$B153)</f>
        <v>0</v>
      </c>
      <c r="O153" s="26" t="n">
        <f aca="false">SUMIFS('Outages (event ledger)'!$H$2:$H$65,'Outages (event ledger)'!$A$2:$A$65,O$2,'Outages (event ledger)'!$E$2:$E$65,"&lt;="&amp;$B153,'Outages (event ledger)'!$G$2:$G$65,"&gt;="&amp;$B153)</f>
        <v>0</v>
      </c>
      <c r="P153" s="26" t="n">
        <f aca="false">SUMIFS('Outages (event ledger)'!$H$2:$H$65,'Outages (event ledger)'!$A$2:$A$65,P$2,'Outages (event ledger)'!$E$2:$E$65,"&lt;="&amp;$B153,'Outages (event ledger)'!$G$2:$G$65,"&gt;="&amp;$B153)</f>
        <v>3.6</v>
      </c>
      <c r="Q153" s="26" t="n">
        <f aca="false">SUMIFS('Outages (event ledger)'!$H$2:$H$65,'Outages (event ledger)'!$A$2:$A$65,Q$2,'Outages (event ledger)'!$E$2:$E$65,"&lt;="&amp;$B153,'Outages (event ledger)'!$G$2:$G$65,"&gt;="&amp;$B153)</f>
        <v>0</v>
      </c>
      <c r="R153" s="26" t="n">
        <f aca="false">SUMIFS('Outages (event ledger)'!$H$2:$H$65,'Outages (event ledger)'!$A$2:$A$65,R$2,'Outages (event ledger)'!$E$2:$E$65,"&lt;="&amp;$B153,'Outages (event ledger)'!$G$2:$G$65,"&gt;="&amp;$B153)</f>
        <v>0</v>
      </c>
      <c r="S153" s="26" t="n">
        <f aca="false">SUMIFS('Outages (event ledger)'!$H$2:$H$65,'Outages (event ledger)'!$A$2:$A$65,S$2,'Outages (event ledger)'!$E$2:$E$65,"&lt;="&amp;$B153,'Outages (event ledger)'!$G$2:$G$65,"&gt;="&amp;$B153)</f>
        <v>0</v>
      </c>
      <c r="T153" s="26" t="n">
        <f aca="false">SUMIFS('Outages (event ledger)'!$H$2:$H$65,'Outages (event ledger)'!$A$2:$A$65,T$2,'Outages (event ledger)'!$E$2:$E$65,"&lt;="&amp;$B153,'Outages (event ledger)'!$G$2:$G$65,"&gt;="&amp;$B153)</f>
        <v>0</v>
      </c>
      <c r="U153" s="26" t="n">
        <f aca="false">SUMIFS('Outages (event ledger)'!$H$2:$H$65,'Outages (event ledger)'!$A$2:$A$65,U$2,'Outages (event ledger)'!$E$2:$E$65,"&lt;="&amp;$B153,'Outages (event ledger)'!$G$2:$G$65,"&gt;="&amp;$B153)</f>
        <v>0</v>
      </c>
      <c r="V153" s="26" t="n">
        <f aca="false">SUMIFS('Outages (event ledger)'!$H$2:$H$65,'Outages (event ledger)'!$A$2:$A$65,V$2,'Outages (event ledger)'!$E$2:$E$65,"&lt;="&amp;$B153,'Outages (event ledger)'!$G$2:$G$65,"&gt;="&amp;$B153)</f>
        <v>0</v>
      </c>
      <c r="W153" s="26" t="n">
        <f aca="false">SUMIFS('Outages (event ledger)'!$H$2:$H$65,'Outages (event ledger)'!$A$2:$A$65,W$2,'Outages (event ledger)'!$E$2:$E$65,"&lt;="&amp;$B153,'Outages (event ledger)'!$G$2:$G$65,"&gt;="&amp;$B153)</f>
        <v>0</v>
      </c>
      <c r="X153" s="26" t="n">
        <f aca="false">SUMIFS('Outages (event ledger)'!$H$2:$H$65,'Outages (event ledger)'!$A$2:$A$65,X$2,'Outages (event ledger)'!$E$2:$E$65,"&lt;="&amp;$B153,'Outages (event ledger)'!$G$2:$G$65,"&gt;="&amp;$B153)</f>
        <v>0</v>
      </c>
      <c r="Y153" s="26" t="n">
        <f aca="false">SUMIFS('Outages (event ledger)'!$H$2:$H$65,'Outages (event ledger)'!$A$2:$A$65,Y$2,'Outages (event ledger)'!$E$2:$E$65,"&lt;="&amp;$B153,'Outages (event ledger)'!$G$2:$G$65,"&gt;="&amp;$B153)</f>
        <v>0</v>
      </c>
      <c r="Z153" s="26" t="n">
        <f aca="false">SUMIFS('Outages (event ledger)'!$H$2:$H$65,'Outages (event ledger)'!$A$2:$A$65,Z$2,'Outages (event ledger)'!$E$2:$E$65,"&lt;="&amp;$B153,'Outages (event ledger)'!$G$2:$G$65,"&gt;="&amp;$B153)</f>
        <v>7.2</v>
      </c>
      <c r="AA153" s="26" t="n">
        <f aca="false">SUMIFS('Outages (event ledger)'!$H$2:$H$65,'Outages (event ledger)'!$A$2:$A$65,AA$2,'Outages (event ledger)'!$E$2:$E$65,"&lt;="&amp;$B153,'Outages (event ledger)'!$G$2:$G$65,"&gt;="&amp;$B153)</f>
        <v>0</v>
      </c>
      <c r="AB153" s="26" t="n">
        <f aca="false">SUMIFS('Outages (event ledger)'!$H$2:$H$65,'Outages (event ledger)'!$A$2:$A$65,AB$2,'Outages (event ledger)'!$E$2:$E$65,"&lt;="&amp;$B153,'Outages (event ledger)'!$G$2:$G$65,"&gt;="&amp;$B153)</f>
        <v>8</v>
      </c>
      <c r="AC153" s="26" t="n">
        <f aca="false">SUMIFS('Outages (event ledger)'!$H$2:$H$65,'Outages (event ledger)'!$A$2:$A$65,AC$2,'Outages (event ledger)'!$E$2:$E$65,"&lt;="&amp;$B153,'Outages (event ledger)'!$G$2:$G$65,"&gt;="&amp;$B153)</f>
        <v>0</v>
      </c>
      <c r="AD153" s="26" t="n">
        <f aca="false">SUMIFS('Outages (event ledger)'!$H$2:$H$65,'Outages (event ledger)'!$A$2:$A$65,AD$2,'Outages (event ledger)'!$E$2:$E$65,"&lt;="&amp;$B153,'Outages (event ledger)'!$G$2:$G$65,"&gt;="&amp;$B153)</f>
        <v>0</v>
      </c>
      <c r="AE153" s="26" t="n">
        <f aca="false">SUMIFS('Outages (event ledger)'!$H$2:$H$65,'Outages (event ledger)'!$A$2:$A$65,AE$2,'Outages (event ledger)'!$E$2:$E$65,"&lt;="&amp;$B153,'Outages (event ledger)'!$G$2:$G$65,"&gt;="&amp;$B153)</f>
        <v>0</v>
      </c>
      <c r="AF153" s="26" t="n">
        <f aca="false">SUMIFS('Outages (event ledger)'!$H$2:$H$65,'Outages (event ledger)'!$A$2:$A$65,AF$2,'Outages (event ledger)'!$E$2:$E$65,"&lt;="&amp;$B153,'Outages (event ledger)'!$G$2:$G$65,"&gt;="&amp;$B153)</f>
        <v>0</v>
      </c>
      <c r="AG153" s="26" t="n">
        <f aca="false">SUMIFS('Outages (event ledger)'!$H$2:$H$65,'Outages (event ledger)'!$A$2:$A$65,AG$2,'Outages (event ledger)'!$E$2:$E$65,"&lt;="&amp;$B153,'Outages (event ledger)'!$G$2:$G$65,"&gt;="&amp;$B153)</f>
        <v>0</v>
      </c>
      <c r="AH153" s="26" t="n">
        <f aca="false">SUMIFS('Outages (event ledger)'!$H$2:$H$65,'Outages (event ledger)'!$A$2:$A$65,AH$2,'Outages (event ledger)'!$E$2:$E$65,"&lt;="&amp;$B153,'Outages (event ledger)'!$G$2:$G$65,"&gt;="&amp;$B153)</f>
        <v>0</v>
      </c>
      <c r="AI153" s="26" t="n">
        <f aca="false">SUMIFS('Outages (event ledger)'!$H$2:$H$65,'Outages (event ledger)'!$A$2:$A$65,AI$2,'Outages (event ledger)'!$E$2:$E$65,"&lt;="&amp;$B153,'Outages (event ledger)'!$G$2:$G$65,"&gt;="&amp;$B153)</f>
        <v>0</v>
      </c>
      <c r="AJ153" s="26" t="n">
        <f aca="false">SUMIFS('Outages (event ledger)'!$H$2:$H$65,'Outages (event ledger)'!$A$2:$A$65,AJ$2,'Outages (event ledger)'!$E$2:$E$65,"&lt;="&amp;$B153,'Outages (event ledger)'!$G$2:$G$65,"&gt;="&amp;$B153)</f>
        <v>0</v>
      </c>
      <c r="AK153" s="26" t="n">
        <f aca="false">SUMIFS('Outages (event ledger)'!$H$2:$H$65,'Outages (event ledger)'!$A$2:$A$65,AK$2,'Outages (event ledger)'!$E$2:$E$65,"&lt;="&amp;$B153,'Outages (event ledger)'!$G$2:$G$65,"&gt;="&amp;$B153)</f>
        <v>0</v>
      </c>
      <c r="AL153" s="26" t="n">
        <f aca="false">SUMIFS('Outages (event ledger)'!$H$2:$H$65,'Outages (event ledger)'!$A$2:$A$65,AL$2,'Outages (event ledger)'!$E$2:$E$65,"&lt;="&amp;$B153,'Outages (event ledger)'!$G$2:$G$65,"&gt;="&amp;$B153)</f>
        <v>4</v>
      </c>
      <c r="AM153" s="26" t="n">
        <f aca="false">SUMIFS('Outages (event ledger)'!$H$2:$H$65,'Outages (event ledger)'!$A$2:$A$65,AM$2,'Outages (event ledger)'!$E$2:$E$65,"&lt;="&amp;$B153,'Outages (event ledger)'!$G$2:$G$65,"&gt;="&amp;$B153)</f>
        <v>0</v>
      </c>
      <c r="AN153" s="26" t="n">
        <f aca="false">SUMIFS('Outages (event ledger)'!$H$2:$H$65,'Outages (event ledger)'!$A$2:$A$65,AN$2,'Outages (event ledger)'!$E$2:$E$65,"&lt;="&amp;$B153,'Outages (event ledger)'!$G$2:$G$65,"&gt;="&amp;$B153)</f>
        <v>0</v>
      </c>
      <c r="AO153" s="26" t="n">
        <f aca="false">SUMIFS('Outages (event ledger)'!$H$2:$H$65,'Outages (event ledger)'!$A$2:$A$65,AO$2,'Outages (event ledger)'!$E$2:$E$65,"&lt;="&amp;$B153,'Outages (event ledger)'!$G$2:$G$65,"&gt;="&amp;$B153)</f>
        <v>0</v>
      </c>
      <c r="AP153" s="26" t="n">
        <f aca="false">SUMIFS('Outages (event ledger)'!$H$2:$H$65,'Outages (event ledger)'!$A$2:$A$65,AP$2,'Outages (event ledger)'!$E$2:$E$65,"&lt;="&amp;$B153,'Outages (event ledger)'!$G$2:$G$65,"&gt;="&amp;$B153)</f>
        <v>0</v>
      </c>
      <c r="AQ153" s="26" t="n">
        <f aca="false">SUMIFS('Outages (event ledger)'!$H$2:$H$65,'Outages (event ledger)'!$A$2:$A$65,AQ$2,'Outages (event ledger)'!$E$2:$E$65,"&lt;="&amp;$B153,'Outages (event ledger)'!$G$2:$G$65,"&gt;="&amp;$B153)</f>
        <v>0</v>
      </c>
      <c r="AR153" s="26" t="n">
        <f aca="false">SUMIFS('Outages (event ledger)'!$H$2:$H$65,'Outages (event ledger)'!$A$2:$A$65,AR$2,'Outages (event ledger)'!$E$2:$E$65,"&lt;="&amp;$B153,'Outages (event ledger)'!$G$2:$G$65,"&gt;="&amp;$B153)</f>
        <v>0</v>
      </c>
      <c r="AS153" s="26" t="n">
        <f aca="false">SUMIFS('Outages (event ledger)'!$H$2:$H$65,'Outages (event ledger)'!$A$2:$A$65,AS$2,'Outages (event ledger)'!$E$2:$E$65,"&lt;="&amp;$B153,'Outages (event ledger)'!$G$2:$G$65,"&gt;="&amp;$B153)</f>
        <v>0</v>
      </c>
      <c r="AT153" s="26" t="n">
        <f aca="false">SUMIFS('Outages (event ledger)'!$H$2:$H$65,'Outages (event ledger)'!$A$2:$A$65,AT$2,'Outages (event ledger)'!$E$2:$E$65,"&lt;="&amp;$B153,'Outages (event ledger)'!$G$2:$G$65,"&gt;="&amp;$B153)</f>
        <v>0</v>
      </c>
      <c r="AU153" s="26" t="n">
        <f aca="false">SUMIFS('Outages (event ledger)'!$H$2:$H$65,'Outages (event ledger)'!$A$2:$A$65,AU$2,'Outages (event ledger)'!$E$2:$E$65,"&lt;="&amp;$B153,'Outages (event ledger)'!$G$2:$G$65,"&gt;="&amp;$B153)</f>
        <v>0.5</v>
      </c>
      <c r="AV153" s="26" t="n">
        <f aca="false">SUMIFS('Outages (event ledger)'!$H$2:$H$65,'Outages (event ledger)'!$A$2:$A$65,AV$2,'Outages (event ledger)'!$E$2:$E$65,"&lt;="&amp;$B153,'Outages (event ledger)'!$G$2:$G$65,"&gt;="&amp;$B153)</f>
        <v>0</v>
      </c>
      <c r="AW153" s="26" t="n">
        <f aca="false">SUMIFS('Outages (event ledger)'!$H$2:$H$65,'Outages (event ledger)'!$A$2:$A$65,AW$2,'Outages (event ledger)'!$E$2:$E$65,"&lt;="&amp;$B153,'Outages (event ledger)'!$G$2:$G$65,"&gt;="&amp;$B153)</f>
        <v>0</v>
      </c>
      <c r="AX153" s="26" t="n">
        <f aca="false">SUMIFS('Outages (event ledger)'!$H$2:$H$65,'Outages (event ledger)'!$A$2:$A$65,AX$2,'Outages (event ledger)'!$E$2:$E$65,"&lt;="&amp;$B153,'Outages (event ledger)'!$G$2:$G$65,"&gt;="&amp;$B153)</f>
        <v>6.6</v>
      </c>
      <c r="AY153" s="26" t="n">
        <f aca="false">SUMIFS('Outages (event ledger)'!$H$2:$H$65,'Outages (event ledger)'!$A$2:$A$65,AY$2,'Outages (event ledger)'!$E$2:$E$65,"&lt;="&amp;$B153,'Outages (event ledger)'!$G$2:$G$65,"&gt;="&amp;$B153)</f>
        <v>0</v>
      </c>
      <c r="AZ153" s="26" t="n">
        <f aca="false">SUMIFS('Outages (event ledger)'!$H$2:$H$65,'Outages (event ledger)'!$A$2:$A$65,AZ$2,'Outages (event ledger)'!$E$2:$E$65,"&lt;="&amp;$B153,'Outages (event ledger)'!$G$2:$G$65,"&gt;="&amp;$B153)</f>
        <v>0</v>
      </c>
      <c r="BA153" s="26" t="n">
        <f aca="false">SUMIFS('Outages (event ledger)'!$H$2:$H$65,'Outages (event ledger)'!$A$2:$A$65,BA$2,'Outages (event ledger)'!$E$2:$E$65,"&lt;="&amp;$B153,'Outages (event ledger)'!$G$2:$G$65,"&gt;="&amp;$B153)</f>
        <v>0</v>
      </c>
      <c r="BB153" s="26" t="n">
        <f aca="false">SUMIFS('Outages (event ledger)'!$H$2:$H$65,'Outages (event ledger)'!$A$2:$A$65,BB$2,'Outages (event ledger)'!$E$2:$E$65,"&lt;="&amp;$B153,'Outages (event ledger)'!$G$2:$G$65,"&gt;="&amp;$B153)</f>
        <v>0</v>
      </c>
      <c r="BC153" s="26" t="n">
        <f aca="false">SUMIFS('Outages (event ledger)'!$H$2:$H$65,'Outages (event ledger)'!$A$2:$A$65,BC$2,'Outages (event ledger)'!$E$2:$E$65,"&lt;="&amp;$B153,'Outages (event ledger)'!$G$2:$G$65,"&gt;="&amp;$B153)</f>
        <v>0</v>
      </c>
      <c r="BD153" s="26" t="n">
        <f aca="false">SUMIFS('Outages (event ledger)'!$H$2:$H$65,'Outages (event ledger)'!$A$2:$A$65,BD$2,'Outages (event ledger)'!$E$2:$E$65,"&lt;="&amp;$B153,'Outages (event ledger)'!$G$2:$G$65,"&gt;="&amp;$B153)</f>
        <v>0</v>
      </c>
      <c r="BE153" s="26" t="n">
        <f aca="false">SUMIFS('Outages (event ledger)'!$H$2:$H$65,'Outages (event ledger)'!$A$2:$A$65,BE$2,'Outages (event ledger)'!$E$2:$E$65,"&lt;="&amp;$B153,'Outages (event ledger)'!$G$2:$G$65,"&gt;="&amp;$B153)</f>
        <v>15</v>
      </c>
      <c r="BF153" s="26" t="n">
        <f aca="false">SUMIFS('Outages (event ledger)'!$H$2:$H$65,'Outages (event ledger)'!$A$2:$A$65,BF$2,'Outages (event ledger)'!$E$2:$E$65,"&lt;="&amp;$B153,'Outages (event ledger)'!$G$2:$G$65,"&gt;="&amp;$B153)</f>
        <v>0</v>
      </c>
      <c r="BG153" s="26" t="n">
        <f aca="false">SUMIFS('Outages (event ledger)'!$H$2:$H$65,'Outages (event ledger)'!$A$2:$A$65,BG$2,'Outages (event ledger)'!$E$2:$E$65,"&lt;="&amp;$B153,'Outages (event ledger)'!$G$2:$G$65,"&gt;="&amp;$B153)</f>
        <v>0</v>
      </c>
      <c r="BH153" s="26" t="n">
        <f aca="false">SUMIFS('Outages (event ledger)'!$H$2:$H$65,'Outages (event ledger)'!$A$2:$A$65,BH$2,'Outages (event ledger)'!$E$2:$E$65,"&lt;="&amp;$B153,'Outages (event ledger)'!$G$2:$G$65,"&gt;="&amp;$B153)</f>
        <v>0</v>
      </c>
      <c r="BI153" s="26" t="n">
        <f aca="false">SUMIFS('Outages (event ledger)'!$H$2:$H$65,'Outages (event ledger)'!$A$2:$A$65,BI$2,'Outages (event ledger)'!$E$2:$E$65,"&lt;="&amp;$B153,'Outages (event ledger)'!$G$2:$G$65,"&gt;="&amp;$B153)</f>
        <v>6.7</v>
      </c>
    </row>
    <row r="154" customFormat="false" ht="15" hidden="false" customHeight="false" outlineLevel="0" collapsed="false">
      <c r="A154" s="23" t="n">
        <v>44774</v>
      </c>
      <c r="B154" s="24" t="n">
        <v>202208</v>
      </c>
      <c r="C154" s="25" t="n">
        <f aca="false">SUM(D154:BI154)</f>
        <v>53.6</v>
      </c>
      <c r="D154" s="26" t="n">
        <f aca="false">SUMIFS('Outages (event ledger)'!$H$2:$H$65,'Outages (event ledger)'!$A$2:$A$65,D$2,'Outages (event ledger)'!$E$2:$E$65,"&lt;="&amp;$B154,'Outages (event ledger)'!$G$2:$G$65,"&gt;="&amp;$B154)</f>
        <v>0</v>
      </c>
      <c r="E154" s="26" t="n">
        <f aca="false">SUMIFS('Outages (event ledger)'!$H$2:$H$65,'Outages (event ledger)'!$A$2:$A$65,E$2,'Outages (event ledger)'!$E$2:$E$65,"&lt;="&amp;$B154,'Outages (event ledger)'!$G$2:$G$65,"&gt;="&amp;$B154)</f>
        <v>0</v>
      </c>
      <c r="F154" s="26" t="n">
        <f aca="false">SUMIFS('Outages (event ledger)'!$H$2:$H$65,'Outages (event ledger)'!$A$2:$A$65,F$2,'Outages (event ledger)'!$E$2:$E$65,"&lt;="&amp;$B154,'Outages (event ledger)'!$G$2:$G$65,"&gt;="&amp;$B154)</f>
        <v>0</v>
      </c>
      <c r="G154" s="26" t="n">
        <f aca="false">SUMIFS('Outages (event ledger)'!$H$2:$H$65,'Outages (event ledger)'!$A$2:$A$65,G$2,'Outages (event ledger)'!$E$2:$E$65,"&lt;="&amp;$B154,'Outages (event ledger)'!$G$2:$G$65,"&gt;="&amp;$B154)</f>
        <v>0</v>
      </c>
      <c r="H154" s="26" t="n">
        <f aca="false">SUMIFS('Outages (event ledger)'!$H$2:$H$65,'Outages (event ledger)'!$A$2:$A$65,H$2,'Outages (event ledger)'!$E$2:$E$65,"&lt;="&amp;$B154,'Outages (event ledger)'!$G$2:$G$65,"&gt;="&amp;$B154)</f>
        <v>0</v>
      </c>
      <c r="I154" s="26" t="n">
        <f aca="false">SUMIFS('Outages (event ledger)'!$H$2:$H$65,'Outages (event ledger)'!$A$2:$A$65,I$2,'Outages (event ledger)'!$E$2:$E$65,"&lt;="&amp;$B154,'Outages (event ledger)'!$G$2:$G$65,"&gt;="&amp;$B154)</f>
        <v>0</v>
      </c>
      <c r="J154" s="26" t="n">
        <f aca="false">SUMIFS('Outages (event ledger)'!$H$2:$H$65,'Outages (event ledger)'!$A$2:$A$65,J$2,'Outages (event ledger)'!$E$2:$E$65,"&lt;="&amp;$B154,'Outages (event ledger)'!$G$2:$G$65,"&gt;="&amp;$B154)</f>
        <v>0</v>
      </c>
      <c r="K154" s="26" t="n">
        <f aca="false">SUMIFS('Outages (event ledger)'!$H$2:$H$65,'Outages (event ledger)'!$A$2:$A$65,K$2,'Outages (event ledger)'!$E$2:$E$65,"&lt;="&amp;$B154,'Outages (event ledger)'!$G$2:$G$65,"&gt;="&amp;$B154)</f>
        <v>0</v>
      </c>
      <c r="L154" s="26" t="n">
        <f aca="false">SUMIFS('Outages (event ledger)'!$H$2:$H$65,'Outages (event ledger)'!$A$2:$A$65,L$2,'Outages (event ledger)'!$E$2:$E$65,"&lt;="&amp;$B154,'Outages (event ledger)'!$G$2:$G$65,"&gt;="&amp;$B154)</f>
        <v>0</v>
      </c>
      <c r="M154" s="26" t="n">
        <f aca="false">SUMIFS('Outages (event ledger)'!$H$2:$H$65,'Outages (event ledger)'!$A$2:$A$65,M$2,'Outages (event ledger)'!$E$2:$E$65,"&lt;="&amp;$B154,'Outages (event ledger)'!$G$2:$G$65,"&gt;="&amp;$B154)</f>
        <v>0</v>
      </c>
      <c r="N154" s="26" t="n">
        <f aca="false">SUMIFS('Outages (event ledger)'!$H$2:$H$65,'Outages (event ledger)'!$A$2:$A$65,N$2,'Outages (event ledger)'!$E$2:$E$65,"&lt;="&amp;$B154,'Outages (event ledger)'!$G$2:$G$65,"&gt;="&amp;$B154)</f>
        <v>0</v>
      </c>
      <c r="O154" s="26" t="n">
        <f aca="false">SUMIFS('Outages (event ledger)'!$H$2:$H$65,'Outages (event ledger)'!$A$2:$A$65,O$2,'Outages (event ledger)'!$E$2:$E$65,"&lt;="&amp;$B154,'Outages (event ledger)'!$G$2:$G$65,"&gt;="&amp;$B154)</f>
        <v>0</v>
      </c>
      <c r="P154" s="26" t="n">
        <f aca="false">SUMIFS('Outages (event ledger)'!$H$2:$H$65,'Outages (event ledger)'!$A$2:$A$65,P$2,'Outages (event ledger)'!$E$2:$E$65,"&lt;="&amp;$B154,'Outages (event ledger)'!$G$2:$G$65,"&gt;="&amp;$B154)</f>
        <v>3.6</v>
      </c>
      <c r="Q154" s="26" t="n">
        <f aca="false">SUMIFS('Outages (event ledger)'!$H$2:$H$65,'Outages (event ledger)'!$A$2:$A$65,Q$2,'Outages (event ledger)'!$E$2:$E$65,"&lt;="&amp;$B154,'Outages (event ledger)'!$G$2:$G$65,"&gt;="&amp;$B154)</f>
        <v>0</v>
      </c>
      <c r="R154" s="26" t="n">
        <f aca="false">SUMIFS('Outages (event ledger)'!$H$2:$H$65,'Outages (event ledger)'!$A$2:$A$65,R$2,'Outages (event ledger)'!$E$2:$E$65,"&lt;="&amp;$B154,'Outages (event ledger)'!$G$2:$G$65,"&gt;="&amp;$B154)</f>
        <v>0</v>
      </c>
      <c r="S154" s="26" t="n">
        <f aca="false">SUMIFS('Outages (event ledger)'!$H$2:$H$65,'Outages (event ledger)'!$A$2:$A$65,S$2,'Outages (event ledger)'!$E$2:$E$65,"&lt;="&amp;$B154,'Outages (event ledger)'!$G$2:$G$65,"&gt;="&amp;$B154)</f>
        <v>0</v>
      </c>
      <c r="T154" s="26" t="n">
        <f aca="false">SUMIFS('Outages (event ledger)'!$H$2:$H$65,'Outages (event ledger)'!$A$2:$A$65,T$2,'Outages (event ledger)'!$E$2:$E$65,"&lt;="&amp;$B154,'Outages (event ledger)'!$G$2:$G$65,"&gt;="&amp;$B154)</f>
        <v>0</v>
      </c>
      <c r="U154" s="26" t="n">
        <f aca="false">SUMIFS('Outages (event ledger)'!$H$2:$H$65,'Outages (event ledger)'!$A$2:$A$65,U$2,'Outages (event ledger)'!$E$2:$E$65,"&lt;="&amp;$B154,'Outages (event ledger)'!$G$2:$G$65,"&gt;="&amp;$B154)</f>
        <v>0</v>
      </c>
      <c r="V154" s="26" t="n">
        <f aca="false">SUMIFS('Outages (event ledger)'!$H$2:$H$65,'Outages (event ledger)'!$A$2:$A$65,V$2,'Outages (event ledger)'!$E$2:$E$65,"&lt;="&amp;$B154,'Outages (event ledger)'!$G$2:$G$65,"&gt;="&amp;$B154)</f>
        <v>0</v>
      </c>
      <c r="W154" s="26" t="n">
        <f aca="false">SUMIFS('Outages (event ledger)'!$H$2:$H$65,'Outages (event ledger)'!$A$2:$A$65,W$2,'Outages (event ledger)'!$E$2:$E$65,"&lt;="&amp;$B154,'Outages (event ledger)'!$G$2:$G$65,"&gt;="&amp;$B154)</f>
        <v>0</v>
      </c>
      <c r="X154" s="26" t="n">
        <f aca="false">SUMIFS('Outages (event ledger)'!$H$2:$H$65,'Outages (event ledger)'!$A$2:$A$65,X$2,'Outages (event ledger)'!$E$2:$E$65,"&lt;="&amp;$B154,'Outages (event ledger)'!$G$2:$G$65,"&gt;="&amp;$B154)</f>
        <v>0</v>
      </c>
      <c r="Y154" s="26" t="n">
        <f aca="false">SUMIFS('Outages (event ledger)'!$H$2:$H$65,'Outages (event ledger)'!$A$2:$A$65,Y$2,'Outages (event ledger)'!$E$2:$E$65,"&lt;="&amp;$B154,'Outages (event ledger)'!$G$2:$G$65,"&gt;="&amp;$B154)</f>
        <v>0</v>
      </c>
      <c r="Z154" s="26" t="n">
        <f aca="false">SUMIFS('Outages (event ledger)'!$H$2:$H$65,'Outages (event ledger)'!$A$2:$A$65,Z$2,'Outages (event ledger)'!$E$2:$E$65,"&lt;="&amp;$B154,'Outages (event ledger)'!$G$2:$G$65,"&gt;="&amp;$B154)</f>
        <v>7.2</v>
      </c>
      <c r="AA154" s="26" t="n">
        <f aca="false">SUMIFS('Outages (event ledger)'!$H$2:$H$65,'Outages (event ledger)'!$A$2:$A$65,AA$2,'Outages (event ledger)'!$E$2:$E$65,"&lt;="&amp;$B154,'Outages (event ledger)'!$G$2:$G$65,"&gt;="&amp;$B154)</f>
        <v>0</v>
      </c>
      <c r="AB154" s="26" t="n">
        <f aca="false">SUMIFS('Outages (event ledger)'!$H$2:$H$65,'Outages (event ledger)'!$A$2:$A$65,AB$2,'Outages (event ledger)'!$E$2:$E$65,"&lt;="&amp;$B154,'Outages (event ledger)'!$G$2:$G$65,"&gt;="&amp;$B154)</f>
        <v>8</v>
      </c>
      <c r="AC154" s="26" t="n">
        <f aca="false">SUMIFS('Outages (event ledger)'!$H$2:$H$65,'Outages (event ledger)'!$A$2:$A$65,AC$2,'Outages (event ledger)'!$E$2:$E$65,"&lt;="&amp;$B154,'Outages (event ledger)'!$G$2:$G$65,"&gt;="&amp;$B154)</f>
        <v>0</v>
      </c>
      <c r="AD154" s="26" t="n">
        <f aca="false">SUMIFS('Outages (event ledger)'!$H$2:$H$65,'Outages (event ledger)'!$A$2:$A$65,AD$2,'Outages (event ledger)'!$E$2:$E$65,"&lt;="&amp;$B154,'Outages (event ledger)'!$G$2:$G$65,"&gt;="&amp;$B154)</f>
        <v>0</v>
      </c>
      <c r="AE154" s="26" t="n">
        <f aca="false">SUMIFS('Outages (event ledger)'!$H$2:$H$65,'Outages (event ledger)'!$A$2:$A$65,AE$2,'Outages (event ledger)'!$E$2:$E$65,"&lt;="&amp;$B154,'Outages (event ledger)'!$G$2:$G$65,"&gt;="&amp;$B154)</f>
        <v>0</v>
      </c>
      <c r="AF154" s="26" t="n">
        <f aca="false">SUMIFS('Outages (event ledger)'!$H$2:$H$65,'Outages (event ledger)'!$A$2:$A$65,AF$2,'Outages (event ledger)'!$E$2:$E$65,"&lt;="&amp;$B154,'Outages (event ledger)'!$G$2:$G$65,"&gt;="&amp;$B154)</f>
        <v>0</v>
      </c>
      <c r="AG154" s="26" t="n">
        <f aca="false">SUMIFS('Outages (event ledger)'!$H$2:$H$65,'Outages (event ledger)'!$A$2:$A$65,AG$2,'Outages (event ledger)'!$E$2:$E$65,"&lt;="&amp;$B154,'Outages (event ledger)'!$G$2:$G$65,"&gt;="&amp;$B154)</f>
        <v>0</v>
      </c>
      <c r="AH154" s="26" t="n">
        <f aca="false">SUMIFS('Outages (event ledger)'!$H$2:$H$65,'Outages (event ledger)'!$A$2:$A$65,AH$2,'Outages (event ledger)'!$E$2:$E$65,"&lt;="&amp;$B154,'Outages (event ledger)'!$G$2:$G$65,"&gt;="&amp;$B154)</f>
        <v>0</v>
      </c>
      <c r="AI154" s="26" t="n">
        <f aca="false">SUMIFS('Outages (event ledger)'!$H$2:$H$65,'Outages (event ledger)'!$A$2:$A$65,AI$2,'Outages (event ledger)'!$E$2:$E$65,"&lt;="&amp;$B154,'Outages (event ledger)'!$G$2:$G$65,"&gt;="&amp;$B154)</f>
        <v>0</v>
      </c>
      <c r="AJ154" s="26" t="n">
        <f aca="false">SUMIFS('Outages (event ledger)'!$H$2:$H$65,'Outages (event ledger)'!$A$2:$A$65,AJ$2,'Outages (event ledger)'!$E$2:$E$65,"&lt;="&amp;$B154,'Outages (event ledger)'!$G$2:$G$65,"&gt;="&amp;$B154)</f>
        <v>0</v>
      </c>
      <c r="AK154" s="26" t="n">
        <f aca="false">SUMIFS('Outages (event ledger)'!$H$2:$H$65,'Outages (event ledger)'!$A$2:$A$65,AK$2,'Outages (event ledger)'!$E$2:$E$65,"&lt;="&amp;$B154,'Outages (event ledger)'!$G$2:$G$65,"&gt;="&amp;$B154)</f>
        <v>0</v>
      </c>
      <c r="AL154" s="26" t="n">
        <f aca="false">SUMIFS('Outages (event ledger)'!$H$2:$H$65,'Outages (event ledger)'!$A$2:$A$65,AL$2,'Outages (event ledger)'!$E$2:$E$65,"&lt;="&amp;$B154,'Outages (event ledger)'!$G$2:$G$65,"&gt;="&amp;$B154)</f>
        <v>4</v>
      </c>
      <c r="AM154" s="26" t="n">
        <f aca="false">SUMIFS('Outages (event ledger)'!$H$2:$H$65,'Outages (event ledger)'!$A$2:$A$65,AM$2,'Outages (event ledger)'!$E$2:$E$65,"&lt;="&amp;$B154,'Outages (event ledger)'!$G$2:$G$65,"&gt;="&amp;$B154)</f>
        <v>0</v>
      </c>
      <c r="AN154" s="26" t="n">
        <f aca="false">SUMIFS('Outages (event ledger)'!$H$2:$H$65,'Outages (event ledger)'!$A$2:$A$65,AN$2,'Outages (event ledger)'!$E$2:$E$65,"&lt;="&amp;$B154,'Outages (event ledger)'!$G$2:$G$65,"&gt;="&amp;$B154)</f>
        <v>0</v>
      </c>
      <c r="AO154" s="26" t="n">
        <f aca="false">SUMIFS('Outages (event ledger)'!$H$2:$H$65,'Outages (event ledger)'!$A$2:$A$65,AO$2,'Outages (event ledger)'!$E$2:$E$65,"&lt;="&amp;$B154,'Outages (event ledger)'!$G$2:$G$65,"&gt;="&amp;$B154)</f>
        <v>0</v>
      </c>
      <c r="AP154" s="26" t="n">
        <f aca="false">SUMIFS('Outages (event ledger)'!$H$2:$H$65,'Outages (event ledger)'!$A$2:$A$65,AP$2,'Outages (event ledger)'!$E$2:$E$65,"&lt;="&amp;$B154,'Outages (event ledger)'!$G$2:$G$65,"&gt;="&amp;$B154)</f>
        <v>0</v>
      </c>
      <c r="AQ154" s="26" t="n">
        <f aca="false">SUMIFS('Outages (event ledger)'!$H$2:$H$65,'Outages (event ledger)'!$A$2:$A$65,AQ$2,'Outages (event ledger)'!$E$2:$E$65,"&lt;="&amp;$B154,'Outages (event ledger)'!$G$2:$G$65,"&gt;="&amp;$B154)</f>
        <v>0</v>
      </c>
      <c r="AR154" s="26" t="n">
        <f aca="false">SUMIFS('Outages (event ledger)'!$H$2:$H$65,'Outages (event ledger)'!$A$2:$A$65,AR$2,'Outages (event ledger)'!$E$2:$E$65,"&lt;="&amp;$B154,'Outages (event ledger)'!$G$2:$G$65,"&gt;="&amp;$B154)</f>
        <v>0</v>
      </c>
      <c r="AS154" s="26" t="n">
        <f aca="false">SUMIFS('Outages (event ledger)'!$H$2:$H$65,'Outages (event ledger)'!$A$2:$A$65,AS$2,'Outages (event ledger)'!$E$2:$E$65,"&lt;="&amp;$B154,'Outages (event ledger)'!$G$2:$G$65,"&gt;="&amp;$B154)</f>
        <v>0</v>
      </c>
      <c r="AT154" s="26" t="n">
        <f aca="false">SUMIFS('Outages (event ledger)'!$H$2:$H$65,'Outages (event ledger)'!$A$2:$A$65,AT$2,'Outages (event ledger)'!$E$2:$E$65,"&lt;="&amp;$B154,'Outages (event ledger)'!$G$2:$G$65,"&gt;="&amp;$B154)</f>
        <v>0</v>
      </c>
      <c r="AU154" s="26" t="n">
        <f aca="false">SUMIFS('Outages (event ledger)'!$H$2:$H$65,'Outages (event ledger)'!$A$2:$A$65,AU$2,'Outages (event ledger)'!$E$2:$E$65,"&lt;="&amp;$B154,'Outages (event ledger)'!$G$2:$G$65,"&gt;="&amp;$B154)</f>
        <v>0.5</v>
      </c>
      <c r="AV154" s="26" t="n">
        <f aca="false">SUMIFS('Outages (event ledger)'!$H$2:$H$65,'Outages (event ledger)'!$A$2:$A$65,AV$2,'Outages (event ledger)'!$E$2:$E$65,"&lt;="&amp;$B154,'Outages (event ledger)'!$G$2:$G$65,"&gt;="&amp;$B154)</f>
        <v>0</v>
      </c>
      <c r="AW154" s="26" t="n">
        <f aca="false">SUMIFS('Outages (event ledger)'!$H$2:$H$65,'Outages (event ledger)'!$A$2:$A$65,AW$2,'Outages (event ledger)'!$E$2:$E$65,"&lt;="&amp;$B154,'Outages (event ledger)'!$G$2:$G$65,"&gt;="&amp;$B154)</f>
        <v>0</v>
      </c>
      <c r="AX154" s="26" t="n">
        <f aca="false">SUMIFS('Outages (event ledger)'!$H$2:$H$65,'Outages (event ledger)'!$A$2:$A$65,AX$2,'Outages (event ledger)'!$E$2:$E$65,"&lt;="&amp;$B154,'Outages (event ledger)'!$G$2:$G$65,"&gt;="&amp;$B154)</f>
        <v>6.6</v>
      </c>
      <c r="AY154" s="26" t="n">
        <f aca="false">SUMIFS('Outages (event ledger)'!$H$2:$H$65,'Outages (event ledger)'!$A$2:$A$65,AY$2,'Outages (event ledger)'!$E$2:$E$65,"&lt;="&amp;$B154,'Outages (event ledger)'!$G$2:$G$65,"&gt;="&amp;$B154)</f>
        <v>0</v>
      </c>
      <c r="AZ154" s="26" t="n">
        <f aca="false">SUMIFS('Outages (event ledger)'!$H$2:$H$65,'Outages (event ledger)'!$A$2:$A$65,AZ$2,'Outages (event ledger)'!$E$2:$E$65,"&lt;="&amp;$B154,'Outages (event ledger)'!$G$2:$G$65,"&gt;="&amp;$B154)</f>
        <v>2</v>
      </c>
      <c r="BA154" s="26" t="n">
        <f aca="false">SUMIFS('Outages (event ledger)'!$H$2:$H$65,'Outages (event ledger)'!$A$2:$A$65,BA$2,'Outages (event ledger)'!$E$2:$E$65,"&lt;="&amp;$B154,'Outages (event ledger)'!$G$2:$G$65,"&gt;="&amp;$B154)</f>
        <v>0</v>
      </c>
      <c r="BB154" s="26" t="n">
        <f aca="false">SUMIFS('Outages (event ledger)'!$H$2:$H$65,'Outages (event ledger)'!$A$2:$A$65,BB$2,'Outages (event ledger)'!$E$2:$E$65,"&lt;="&amp;$B154,'Outages (event ledger)'!$G$2:$G$65,"&gt;="&amp;$B154)</f>
        <v>0</v>
      </c>
      <c r="BC154" s="26" t="n">
        <f aca="false">SUMIFS('Outages (event ledger)'!$H$2:$H$65,'Outages (event ledger)'!$A$2:$A$65,BC$2,'Outages (event ledger)'!$E$2:$E$65,"&lt;="&amp;$B154,'Outages (event ledger)'!$G$2:$G$65,"&gt;="&amp;$B154)</f>
        <v>0</v>
      </c>
      <c r="BD154" s="26" t="n">
        <f aca="false">SUMIFS('Outages (event ledger)'!$H$2:$H$65,'Outages (event ledger)'!$A$2:$A$65,BD$2,'Outages (event ledger)'!$E$2:$E$65,"&lt;="&amp;$B154,'Outages (event ledger)'!$G$2:$G$65,"&gt;="&amp;$B154)</f>
        <v>0</v>
      </c>
      <c r="BE154" s="26" t="n">
        <f aca="false">SUMIFS('Outages (event ledger)'!$H$2:$H$65,'Outages (event ledger)'!$A$2:$A$65,BE$2,'Outages (event ledger)'!$E$2:$E$65,"&lt;="&amp;$B154,'Outages (event ledger)'!$G$2:$G$65,"&gt;="&amp;$B154)</f>
        <v>15</v>
      </c>
      <c r="BF154" s="26" t="n">
        <f aca="false">SUMIFS('Outages (event ledger)'!$H$2:$H$65,'Outages (event ledger)'!$A$2:$A$65,BF$2,'Outages (event ledger)'!$E$2:$E$65,"&lt;="&amp;$B154,'Outages (event ledger)'!$G$2:$G$65,"&gt;="&amp;$B154)</f>
        <v>0</v>
      </c>
      <c r="BG154" s="26" t="n">
        <f aca="false">SUMIFS('Outages (event ledger)'!$H$2:$H$65,'Outages (event ledger)'!$A$2:$A$65,BG$2,'Outages (event ledger)'!$E$2:$E$65,"&lt;="&amp;$B154,'Outages (event ledger)'!$G$2:$G$65,"&gt;="&amp;$B154)</f>
        <v>0</v>
      </c>
      <c r="BH154" s="26" t="n">
        <f aca="false">SUMIFS('Outages (event ledger)'!$H$2:$H$65,'Outages (event ledger)'!$A$2:$A$65,BH$2,'Outages (event ledger)'!$E$2:$E$65,"&lt;="&amp;$B154,'Outages (event ledger)'!$G$2:$G$65,"&gt;="&amp;$B154)</f>
        <v>0</v>
      </c>
      <c r="BI154" s="26" t="n">
        <f aca="false">SUMIFS('Outages (event ledger)'!$H$2:$H$65,'Outages (event ledger)'!$A$2:$A$65,BI$2,'Outages (event ledger)'!$E$2:$E$65,"&lt;="&amp;$B154,'Outages (event ledger)'!$G$2:$G$65,"&gt;="&amp;$B154)</f>
        <v>6.7</v>
      </c>
    </row>
    <row r="155" customFormat="false" ht="15" hidden="false" customHeight="false" outlineLevel="0" collapsed="false">
      <c r="A155" s="23" t="n">
        <v>44805</v>
      </c>
      <c r="B155" s="24" t="n">
        <v>202209</v>
      </c>
      <c r="C155" s="25" t="n">
        <f aca="false">SUM(D155:BI155)</f>
        <v>46.4</v>
      </c>
      <c r="D155" s="26" t="n">
        <f aca="false">SUMIFS('Outages (event ledger)'!$H$2:$H$65,'Outages (event ledger)'!$A$2:$A$65,D$2,'Outages (event ledger)'!$E$2:$E$65,"&lt;="&amp;$B155,'Outages (event ledger)'!$G$2:$G$65,"&gt;="&amp;$B155)</f>
        <v>0</v>
      </c>
      <c r="E155" s="26" t="n">
        <f aca="false">SUMIFS('Outages (event ledger)'!$H$2:$H$65,'Outages (event ledger)'!$A$2:$A$65,E$2,'Outages (event ledger)'!$E$2:$E$65,"&lt;="&amp;$B155,'Outages (event ledger)'!$G$2:$G$65,"&gt;="&amp;$B155)</f>
        <v>0</v>
      </c>
      <c r="F155" s="26" t="n">
        <f aca="false">SUMIFS('Outages (event ledger)'!$H$2:$H$65,'Outages (event ledger)'!$A$2:$A$65,F$2,'Outages (event ledger)'!$E$2:$E$65,"&lt;="&amp;$B155,'Outages (event ledger)'!$G$2:$G$65,"&gt;="&amp;$B155)</f>
        <v>0</v>
      </c>
      <c r="G155" s="26" t="n">
        <f aca="false">SUMIFS('Outages (event ledger)'!$H$2:$H$65,'Outages (event ledger)'!$A$2:$A$65,G$2,'Outages (event ledger)'!$E$2:$E$65,"&lt;="&amp;$B155,'Outages (event ledger)'!$G$2:$G$65,"&gt;="&amp;$B155)</f>
        <v>0</v>
      </c>
      <c r="H155" s="26" t="n">
        <f aca="false">SUMIFS('Outages (event ledger)'!$H$2:$H$65,'Outages (event ledger)'!$A$2:$A$65,H$2,'Outages (event ledger)'!$E$2:$E$65,"&lt;="&amp;$B155,'Outages (event ledger)'!$G$2:$G$65,"&gt;="&amp;$B155)</f>
        <v>0</v>
      </c>
      <c r="I155" s="26" t="n">
        <f aca="false">SUMIFS('Outages (event ledger)'!$H$2:$H$65,'Outages (event ledger)'!$A$2:$A$65,I$2,'Outages (event ledger)'!$E$2:$E$65,"&lt;="&amp;$B155,'Outages (event ledger)'!$G$2:$G$65,"&gt;="&amp;$B155)</f>
        <v>0</v>
      </c>
      <c r="J155" s="26" t="n">
        <f aca="false">SUMIFS('Outages (event ledger)'!$H$2:$H$65,'Outages (event ledger)'!$A$2:$A$65,J$2,'Outages (event ledger)'!$E$2:$E$65,"&lt;="&amp;$B155,'Outages (event ledger)'!$G$2:$G$65,"&gt;="&amp;$B155)</f>
        <v>0</v>
      </c>
      <c r="K155" s="26" t="n">
        <f aca="false">SUMIFS('Outages (event ledger)'!$H$2:$H$65,'Outages (event ledger)'!$A$2:$A$65,K$2,'Outages (event ledger)'!$E$2:$E$65,"&lt;="&amp;$B155,'Outages (event ledger)'!$G$2:$G$65,"&gt;="&amp;$B155)</f>
        <v>0</v>
      </c>
      <c r="L155" s="26" t="n">
        <f aca="false">SUMIFS('Outages (event ledger)'!$H$2:$H$65,'Outages (event ledger)'!$A$2:$A$65,L$2,'Outages (event ledger)'!$E$2:$E$65,"&lt;="&amp;$B155,'Outages (event ledger)'!$G$2:$G$65,"&gt;="&amp;$B155)</f>
        <v>0</v>
      </c>
      <c r="M155" s="26" t="n">
        <f aca="false">SUMIFS('Outages (event ledger)'!$H$2:$H$65,'Outages (event ledger)'!$A$2:$A$65,M$2,'Outages (event ledger)'!$E$2:$E$65,"&lt;="&amp;$B155,'Outages (event ledger)'!$G$2:$G$65,"&gt;="&amp;$B155)</f>
        <v>0</v>
      </c>
      <c r="N155" s="26" t="n">
        <f aca="false">SUMIFS('Outages (event ledger)'!$H$2:$H$65,'Outages (event ledger)'!$A$2:$A$65,N$2,'Outages (event ledger)'!$E$2:$E$65,"&lt;="&amp;$B155,'Outages (event ledger)'!$G$2:$G$65,"&gt;="&amp;$B155)</f>
        <v>0</v>
      </c>
      <c r="O155" s="26" t="n">
        <f aca="false">SUMIFS('Outages (event ledger)'!$H$2:$H$65,'Outages (event ledger)'!$A$2:$A$65,O$2,'Outages (event ledger)'!$E$2:$E$65,"&lt;="&amp;$B155,'Outages (event ledger)'!$G$2:$G$65,"&gt;="&amp;$B155)</f>
        <v>0</v>
      </c>
      <c r="P155" s="26" t="n">
        <f aca="false">SUMIFS('Outages (event ledger)'!$H$2:$H$65,'Outages (event ledger)'!$A$2:$A$65,P$2,'Outages (event ledger)'!$E$2:$E$65,"&lt;="&amp;$B155,'Outages (event ledger)'!$G$2:$G$65,"&gt;="&amp;$B155)</f>
        <v>3.6</v>
      </c>
      <c r="Q155" s="26" t="n">
        <f aca="false">SUMIFS('Outages (event ledger)'!$H$2:$H$65,'Outages (event ledger)'!$A$2:$A$65,Q$2,'Outages (event ledger)'!$E$2:$E$65,"&lt;="&amp;$B155,'Outages (event ledger)'!$G$2:$G$65,"&gt;="&amp;$B155)</f>
        <v>0</v>
      </c>
      <c r="R155" s="26" t="n">
        <f aca="false">SUMIFS('Outages (event ledger)'!$H$2:$H$65,'Outages (event ledger)'!$A$2:$A$65,R$2,'Outages (event ledger)'!$E$2:$E$65,"&lt;="&amp;$B155,'Outages (event ledger)'!$G$2:$G$65,"&gt;="&amp;$B155)</f>
        <v>0</v>
      </c>
      <c r="S155" s="26" t="n">
        <f aca="false">SUMIFS('Outages (event ledger)'!$H$2:$H$65,'Outages (event ledger)'!$A$2:$A$65,S$2,'Outages (event ledger)'!$E$2:$E$65,"&lt;="&amp;$B155,'Outages (event ledger)'!$G$2:$G$65,"&gt;="&amp;$B155)</f>
        <v>0</v>
      </c>
      <c r="T155" s="26" t="n">
        <f aca="false">SUMIFS('Outages (event ledger)'!$H$2:$H$65,'Outages (event ledger)'!$A$2:$A$65,T$2,'Outages (event ledger)'!$E$2:$E$65,"&lt;="&amp;$B155,'Outages (event ledger)'!$G$2:$G$65,"&gt;="&amp;$B155)</f>
        <v>0</v>
      </c>
      <c r="U155" s="26" t="n">
        <f aca="false">SUMIFS('Outages (event ledger)'!$H$2:$H$65,'Outages (event ledger)'!$A$2:$A$65,U$2,'Outages (event ledger)'!$E$2:$E$65,"&lt;="&amp;$B155,'Outages (event ledger)'!$G$2:$G$65,"&gt;="&amp;$B155)</f>
        <v>0</v>
      </c>
      <c r="V155" s="26" t="n">
        <f aca="false">SUMIFS('Outages (event ledger)'!$H$2:$H$65,'Outages (event ledger)'!$A$2:$A$65,V$2,'Outages (event ledger)'!$E$2:$E$65,"&lt;="&amp;$B155,'Outages (event ledger)'!$G$2:$G$65,"&gt;="&amp;$B155)</f>
        <v>0</v>
      </c>
      <c r="W155" s="26" t="n">
        <f aca="false">SUMIFS('Outages (event ledger)'!$H$2:$H$65,'Outages (event ledger)'!$A$2:$A$65,W$2,'Outages (event ledger)'!$E$2:$E$65,"&lt;="&amp;$B155,'Outages (event ledger)'!$G$2:$G$65,"&gt;="&amp;$B155)</f>
        <v>0</v>
      </c>
      <c r="X155" s="26" t="n">
        <f aca="false">SUMIFS('Outages (event ledger)'!$H$2:$H$65,'Outages (event ledger)'!$A$2:$A$65,X$2,'Outages (event ledger)'!$E$2:$E$65,"&lt;="&amp;$B155,'Outages (event ledger)'!$G$2:$G$65,"&gt;="&amp;$B155)</f>
        <v>0</v>
      </c>
      <c r="Y155" s="26" t="n">
        <f aca="false">SUMIFS('Outages (event ledger)'!$H$2:$H$65,'Outages (event ledger)'!$A$2:$A$65,Y$2,'Outages (event ledger)'!$E$2:$E$65,"&lt;="&amp;$B155,'Outages (event ledger)'!$G$2:$G$65,"&gt;="&amp;$B155)</f>
        <v>0</v>
      </c>
      <c r="Z155" s="26" t="n">
        <f aca="false">SUMIFS('Outages (event ledger)'!$H$2:$H$65,'Outages (event ledger)'!$A$2:$A$65,Z$2,'Outages (event ledger)'!$E$2:$E$65,"&lt;="&amp;$B155,'Outages (event ledger)'!$G$2:$G$65,"&gt;="&amp;$B155)</f>
        <v>0</v>
      </c>
      <c r="AA155" s="26" t="n">
        <f aca="false">SUMIFS('Outages (event ledger)'!$H$2:$H$65,'Outages (event ledger)'!$A$2:$A$65,AA$2,'Outages (event ledger)'!$E$2:$E$65,"&lt;="&amp;$B155,'Outages (event ledger)'!$G$2:$G$65,"&gt;="&amp;$B155)</f>
        <v>0</v>
      </c>
      <c r="AB155" s="26" t="n">
        <f aca="false">SUMIFS('Outages (event ledger)'!$H$2:$H$65,'Outages (event ledger)'!$A$2:$A$65,AB$2,'Outages (event ledger)'!$E$2:$E$65,"&lt;="&amp;$B155,'Outages (event ledger)'!$G$2:$G$65,"&gt;="&amp;$B155)</f>
        <v>8</v>
      </c>
      <c r="AC155" s="26" t="n">
        <f aca="false">SUMIFS('Outages (event ledger)'!$H$2:$H$65,'Outages (event ledger)'!$A$2:$A$65,AC$2,'Outages (event ledger)'!$E$2:$E$65,"&lt;="&amp;$B155,'Outages (event ledger)'!$G$2:$G$65,"&gt;="&amp;$B155)</f>
        <v>0</v>
      </c>
      <c r="AD155" s="26" t="n">
        <f aca="false">SUMIFS('Outages (event ledger)'!$H$2:$H$65,'Outages (event ledger)'!$A$2:$A$65,AD$2,'Outages (event ledger)'!$E$2:$E$65,"&lt;="&amp;$B155,'Outages (event ledger)'!$G$2:$G$65,"&gt;="&amp;$B155)</f>
        <v>0</v>
      </c>
      <c r="AE155" s="26" t="n">
        <f aca="false">SUMIFS('Outages (event ledger)'!$H$2:$H$65,'Outages (event ledger)'!$A$2:$A$65,AE$2,'Outages (event ledger)'!$E$2:$E$65,"&lt;="&amp;$B155,'Outages (event ledger)'!$G$2:$G$65,"&gt;="&amp;$B155)</f>
        <v>0</v>
      </c>
      <c r="AF155" s="26" t="n">
        <f aca="false">SUMIFS('Outages (event ledger)'!$H$2:$H$65,'Outages (event ledger)'!$A$2:$A$65,AF$2,'Outages (event ledger)'!$E$2:$E$65,"&lt;="&amp;$B155,'Outages (event ledger)'!$G$2:$G$65,"&gt;="&amp;$B155)</f>
        <v>0</v>
      </c>
      <c r="AG155" s="26" t="n">
        <f aca="false">SUMIFS('Outages (event ledger)'!$H$2:$H$65,'Outages (event ledger)'!$A$2:$A$65,AG$2,'Outages (event ledger)'!$E$2:$E$65,"&lt;="&amp;$B155,'Outages (event ledger)'!$G$2:$G$65,"&gt;="&amp;$B155)</f>
        <v>0</v>
      </c>
      <c r="AH155" s="26" t="n">
        <f aca="false">SUMIFS('Outages (event ledger)'!$H$2:$H$65,'Outages (event ledger)'!$A$2:$A$65,AH$2,'Outages (event ledger)'!$E$2:$E$65,"&lt;="&amp;$B155,'Outages (event ledger)'!$G$2:$G$65,"&gt;="&amp;$B155)</f>
        <v>0</v>
      </c>
      <c r="AI155" s="26" t="n">
        <f aca="false">SUMIFS('Outages (event ledger)'!$H$2:$H$65,'Outages (event ledger)'!$A$2:$A$65,AI$2,'Outages (event ledger)'!$E$2:$E$65,"&lt;="&amp;$B155,'Outages (event ledger)'!$G$2:$G$65,"&gt;="&amp;$B155)</f>
        <v>0</v>
      </c>
      <c r="AJ155" s="26" t="n">
        <f aca="false">SUMIFS('Outages (event ledger)'!$H$2:$H$65,'Outages (event ledger)'!$A$2:$A$65,AJ$2,'Outages (event ledger)'!$E$2:$E$65,"&lt;="&amp;$B155,'Outages (event ledger)'!$G$2:$G$65,"&gt;="&amp;$B155)</f>
        <v>0</v>
      </c>
      <c r="AK155" s="26" t="n">
        <f aca="false">SUMIFS('Outages (event ledger)'!$H$2:$H$65,'Outages (event ledger)'!$A$2:$A$65,AK$2,'Outages (event ledger)'!$E$2:$E$65,"&lt;="&amp;$B155,'Outages (event ledger)'!$G$2:$G$65,"&gt;="&amp;$B155)</f>
        <v>0</v>
      </c>
      <c r="AL155" s="26" t="n">
        <f aca="false">SUMIFS('Outages (event ledger)'!$H$2:$H$65,'Outages (event ledger)'!$A$2:$A$65,AL$2,'Outages (event ledger)'!$E$2:$E$65,"&lt;="&amp;$B155,'Outages (event ledger)'!$G$2:$G$65,"&gt;="&amp;$B155)</f>
        <v>4</v>
      </c>
      <c r="AM155" s="26" t="n">
        <f aca="false">SUMIFS('Outages (event ledger)'!$H$2:$H$65,'Outages (event ledger)'!$A$2:$A$65,AM$2,'Outages (event ledger)'!$E$2:$E$65,"&lt;="&amp;$B155,'Outages (event ledger)'!$G$2:$G$65,"&gt;="&amp;$B155)</f>
        <v>0</v>
      </c>
      <c r="AN155" s="26" t="n">
        <f aca="false">SUMIFS('Outages (event ledger)'!$H$2:$H$65,'Outages (event ledger)'!$A$2:$A$65,AN$2,'Outages (event ledger)'!$E$2:$E$65,"&lt;="&amp;$B155,'Outages (event ledger)'!$G$2:$G$65,"&gt;="&amp;$B155)</f>
        <v>0</v>
      </c>
      <c r="AO155" s="26" t="n">
        <f aca="false">SUMIFS('Outages (event ledger)'!$H$2:$H$65,'Outages (event ledger)'!$A$2:$A$65,AO$2,'Outages (event ledger)'!$E$2:$E$65,"&lt;="&amp;$B155,'Outages (event ledger)'!$G$2:$G$65,"&gt;="&amp;$B155)</f>
        <v>0</v>
      </c>
      <c r="AP155" s="26" t="n">
        <f aca="false">SUMIFS('Outages (event ledger)'!$H$2:$H$65,'Outages (event ledger)'!$A$2:$A$65,AP$2,'Outages (event ledger)'!$E$2:$E$65,"&lt;="&amp;$B155,'Outages (event ledger)'!$G$2:$G$65,"&gt;="&amp;$B155)</f>
        <v>0</v>
      </c>
      <c r="AQ155" s="26" t="n">
        <f aca="false">SUMIFS('Outages (event ledger)'!$H$2:$H$65,'Outages (event ledger)'!$A$2:$A$65,AQ$2,'Outages (event ledger)'!$E$2:$E$65,"&lt;="&amp;$B155,'Outages (event ledger)'!$G$2:$G$65,"&gt;="&amp;$B155)</f>
        <v>0</v>
      </c>
      <c r="AR155" s="26" t="n">
        <f aca="false">SUMIFS('Outages (event ledger)'!$H$2:$H$65,'Outages (event ledger)'!$A$2:$A$65,AR$2,'Outages (event ledger)'!$E$2:$E$65,"&lt;="&amp;$B155,'Outages (event ledger)'!$G$2:$G$65,"&gt;="&amp;$B155)</f>
        <v>0</v>
      </c>
      <c r="AS155" s="26" t="n">
        <f aca="false">SUMIFS('Outages (event ledger)'!$H$2:$H$65,'Outages (event ledger)'!$A$2:$A$65,AS$2,'Outages (event ledger)'!$E$2:$E$65,"&lt;="&amp;$B155,'Outages (event ledger)'!$G$2:$G$65,"&gt;="&amp;$B155)</f>
        <v>0</v>
      </c>
      <c r="AT155" s="26" t="n">
        <f aca="false">SUMIFS('Outages (event ledger)'!$H$2:$H$65,'Outages (event ledger)'!$A$2:$A$65,AT$2,'Outages (event ledger)'!$E$2:$E$65,"&lt;="&amp;$B155,'Outages (event ledger)'!$G$2:$G$65,"&gt;="&amp;$B155)</f>
        <v>0</v>
      </c>
      <c r="AU155" s="26" t="n">
        <f aca="false">SUMIFS('Outages (event ledger)'!$H$2:$H$65,'Outages (event ledger)'!$A$2:$A$65,AU$2,'Outages (event ledger)'!$E$2:$E$65,"&lt;="&amp;$B155,'Outages (event ledger)'!$G$2:$G$65,"&gt;="&amp;$B155)</f>
        <v>0.5</v>
      </c>
      <c r="AV155" s="26" t="n">
        <f aca="false">SUMIFS('Outages (event ledger)'!$H$2:$H$65,'Outages (event ledger)'!$A$2:$A$65,AV$2,'Outages (event ledger)'!$E$2:$E$65,"&lt;="&amp;$B155,'Outages (event ledger)'!$G$2:$G$65,"&gt;="&amp;$B155)</f>
        <v>0</v>
      </c>
      <c r="AW155" s="26" t="n">
        <f aca="false">SUMIFS('Outages (event ledger)'!$H$2:$H$65,'Outages (event ledger)'!$A$2:$A$65,AW$2,'Outages (event ledger)'!$E$2:$E$65,"&lt;="&amp;$B155,'Outages (event ledger)'!$G$2:$G$65,"&gt;="&amp;$B155)</f>
        <v>0</v>
      </c>
      <c r="AX155" s="26" t="n">
        <f aca="false">SUMIFS('Outages (event ledger)'!$H$2:$H$65,'Outages (event ledger)'!$A$2:$A$65,AX$2,'Outages (event ledger)'!$E$2:$E$65,"&lt;="&amp;$B155,'Outages (event ledger)'!$G$2:$G$65,"&gt;="&amp;$B155)</f>
        <v>6.6</v>
      </c>
      <c r="AY155" s="26" t="n">
        <f aca="false">SUMIFS('Outages (event ledger)'!$H$2:$H$65,'Outages (event ledger)'!$A$2:$A$65,AY$2,'Outages (event ledger)'!$E$2:$E$65,"&lt;="&amp;$B155,'Outages (event ledger)'!$G$2:$G$65,"&gt;="&amp;$B155)</f>
        <v>0</v>
      </c>
      <c r="AZ155" s="26" t="n">
        <f aca="false">SUMIFS('Outages (event ledger)'!$H$2:$H$65,'Outages (event ledger)'!$A$2:$A$65,AZ$2,'Outages (event ledger)'!$E$2:$E$65,"&lt;="&amp;$B155,'Outages (event ledger)'!$G$2:$G$65,"&gt;="&amp;$B155)</f>
        <v>2</v>
      </c>
      <c r="BA155" s="26" t="n">
        <f aca="false">SUMIFS('Outages (event ledger)'!$H$2:$H$65,'Outages (event ledger)'!$A$2:$A$65,BA$2,'Outages (event ledger)'!$E$2:$E$65,"&lt;="&amp;$B155,'Outages (event ledger)'!$G$2:$G$65,"&gt;="&amp;$B155)</f>
        <v>0</v>
      </c>
      <c r="BB155" s="26" t="n">
        <f aca="false">SUMIFS('Outages (event ledger)'!$H$2:$H$65,'Outages (event ledger)'!$A$2:$A$65,BB$2,'Outages (event ledger)'!$E$2:$E$65,"&lt;="&amp;$B155,'Outages (event ledger)'!$G$2:$G$65,"&gt;="&amp;$B155)</f>
        <v>0</v>
      </c>
      <c r="BC155" s="26" t="n">
        <f aca="false">SUMIFS('Outages (event ledger)'!$H$2:$H$65,'Outages (event ledger)'!$A$2:$A$65,BC$2,'Outages (event ledger)'!$E$2:$E$65,"&lt;="&amp;$B155,'Outages (event ledger)'!$G$2:$G$65,"&gt;="&amp;$B155)</f>
        <v>0</v>
      </c>
      <c r="BD155" s="26" t="n">
        <f aca="false">SUMIFS('Outages (event ledger)'!$H$2:$H$65,'Outages (event ledger)'!$A$2:$A$65,BD$2,'Outages (event ledger)'!$E$2:$E$65,"&lt;="&amp;$B155,'Outages (event ledger)'!$G$2:$G$65,"&gt;="&amp;$B155)</f>
        <v>0</v>
      </c>
      <c r="BE155" s="26" t="n">
        <f aca="false">SUMIFS('Outages (event ledger)'!$H$2:$H$65,'Outages (event ledger)'!$A$2:$A$65,BE$2,'Outages (event ledger)'!$E$2:$E$65,"&lt;="&amp;$B155,'Outages (event ledger)'!$G$2:$G$65,"&gt;="&amp;$B155)</f>
        <v>15</v>
      </c>
      <c r="BF155" s="26" t="n">
        <f aca="false">SUMIFS('Outages (event ledger)'!$H$2:$H$65,'Outages (event ledger)'!$A$2:$A$65,BF$2,'Outages (event ledger)'!$E$2:$E$65,"&lt;="&amp;$B155,'Outages (event ledger)'!$G$2:$G$65,"&gt;="&amp;$B155)</f>
        <v>0</v>
      </c>
      <c r="BG155" s="26" t="n">
        <f aca="false">SUMIFS('Outages (event ledger)'!$H$2:$H$65,'Outages (event ledger)'!$A$2:$A$65,BG$2,'Outages (event ledger)'!$E$2:$E$65,"&lt;="&amp;$B155,'Outages (event ledger)'!$G$2:$G$65,"&gt;="&amp;$B155)</f>
        <v>0</v>
      </c>
      <c r="BH155" s="26" t="n">
        <f aca="false">SUMIFS('Outages (event ledger)'!$H$2:$H$65,'Outages (event ledger)'!$A$2:$A$65,BH$2,'Outages (event ledger)'!$E$2:$E$65,"&lt;="&amp;$B155,'Outages (event ledger)'!$G$2:$G$65,"&gt;="&amp;$B155)</f>
        <v>0</v>
      </c>
      <c r="BI155" s="26" t="n">
        <f aca="false">SUMIFS('Outages (event ledger)'!$H$2:$H$65,'Outages (event ledger)'!$A$2:$A$65,BI$2,'Outages (event ledger)'!$E$2:$E$65,"&lt;="&amp;$B155,'Outages (event ledger)'!$G$2:$G$65,"&gt;="&amp;$B155)</f>
        <v>6.7</v>
      </c>
    </row>
    <row r="156" customFormat="false" ht="15" hidden="false" customHeight="false" outlineLevel="0" collapsed="false">
      <c r="A156" s="23" t="n">
        <v>44835</v>
      </c>
      <c r="B156" s="24" t="n">
        <v>202210</v>
      </c>
      <c r="C156" s="25" t="n">
        <f aca="false">SUM(D156:BI156)</f>
        <v>50.8</v>
      </c>
      <c r="D156" s="26" t="n">
        <f aca="false">SUMIFS('Outages (event ledger)'!$H$2:$H$65,'Outages (event ledger)'!$A$2:$A$65,D$2,'Outages (event ledger)'!$E$2:$E$65,"&lt;="&amp;$B156,'Outages (event ledger)'!$G$2:$G$65,"&gt;="&amp;$B156)</f>
        <v>0</v>
      </c>
      <c r="E156" s="26" t="n">
        <f aca="false">SUMIFS('Outages (event ledger)'!$H$2:$H$65,'Outages (event ledger)'!$A$2:$A$65,E$2,'Outages (event ledger)'!$E$2:$E$65,"&lt;="&amp;$B156,'Outages (event ledger)'!$G$2:$G$65,"&gt;="&amp;$B156)</f>
        <v>0</v>
      </c>
      <c r="F156" s="26" t="n">
        <f aca="false">SUMIFS('Outages (event ledger)'!$H$2:$H$65,'Outages (event ledger)'!$A$2:$A$65,F$2,'Outages (event ledger)'!$E$2:$E$65,"&lt;="&amp;$B156,'Outages (event ledger)'!$G$2:$G$65,"&gt;="&amp;$B156)</f>
        <v>0</v>
      </c>
      <c r="G156" s="26" t="n">
        <f aca="false">SUMIFS('Outages (event ledger)'!$H$2:$H$65,'Outages (event ledger)'!$A$2:$A$65,G$2,'Outages (event ledger)'!$E$2:$E$65,"&lt;="&amp;$B156,'Outages (event ledger)'!$G$2:$G$65,"&gt;="&amp;$B156)</f>
        <v>0</v>
      </c>
      <c r="H156" s="26" t="n">
        <f aca="false">SUMIFS('Outages (event ledger)'!$H$2:$H$65,'Outages (event ledger)'!$A$2:$A$65,H$2,'Outages (event ledger)'!$E$2:$E$65,"&lt;="&amp;$B156,'Outages (event ledger)'!$G$2:$G$65,"&gt;="&amp;$B156)</f>
        <v>0</v>
      </c>
      <c r="I156" s="26" t="n">
        <f aca="false">SUMIFS('Outages (event ledger)'!$H$2:$H$65,'Outages (event ledger)'!$A$2:$A$65,I$2,'Outages (event ledger)'!$E$2:$E$65,"&lt;="&amp;$B156,'Outages (event ledger)'!$G$2:$G$65,"&gt;="&amp;$B156)</f>
        <v>0</v>
      </c>
      <c r="J156" s="26" t="n">
        <f aca="false">SUMIFS('Outages (event ledger)'!$H$2:$H$65,'Outages (event ledger)'!$A$2:$A$65,J$2,'Outages (event ledger)'!$E$2:$E$65,"&lt;="&amp;$B156,'Outages (event ledger)'!$G$2:$G$65,"&gt;="&amp;$B156)</f>
        <v>0</v>
      </c>
      <c r="K156" s="26" t="n">
        <f aca="false">SUMIFS('Outages (event ledger)'!$H$2:$H$65,'Outages (event ledger)'!$A$2:$A$65,K$2,'Outages (event ledger)'!$E$2:$E$65,"&lt;="&amp;$B156,'Outages (event ledger)'!$G$2:$G$65,"&gt;="&amp;$B156)</f>
        <v>0</v>
      </c>
      <c r="L156" s="26" t="n">
        <f aca="false">SUMIFS('Outages (event ledger)'!$H$2:$H$65,'Outages (event ledger)'!$A$2:$A$65,L$2,'Outages (event ledger)'!$E$2:$E$65,"&lt;="&amp;$B156,'Outages (event ledger)'!$G$2:$G$65,"&gt;="&amp;$B156)</f>
        <v>0</v>
      </c>
      <c r="M156" s="26" t="n">
        <f aca="false">SUMIFS('Outages (event ledger)'!$H$2:$H$65,'Outages (event ledger)'!$A$2:$A$65,M$2,'Outages (event ledger)'!$E$2:$E$65,"&lt;="&amp;$B156,'Outages (event ledger)'!$G$2:$G$65,"&gt;="&amp;$B156)</f>
        <v>0</v>
      </c>
      <c r="N156" s="26" t="n">
        <f aca="false">SUMIFS('Outages (event ledger)'!$H$2:$H$65,'Outages (event ledger)'!$A$2:$A$65,N$2,'Outages (event ledger)'!$E$2:$E$65,"&lt;="&amp;$B156,'Outages (event ledger)'!$G$2:$G$65,"&gt;="&amp;$B156)</f>
        <v>0</v>
      </c>
      <c r="O156" s="26" t="n">
        <f aca="false">SUMIFS('Outages (event ledger)'!$H$2:$H$65,'Outages (event ledger)'!$A$2:$A$65,O$2,'Outages (event ledger)'!$E$2:$E$65,"&lt;="&amp;$B156,'Outages (event ledger)'!$G$2:$G$65,"&gt;="&amp;$B156)</f>
        <v>0</v>
      </c>
      <c r="P156" s="26" t="n">
        <f aca="false">SUMIFS('Outages (event ledger)'!$H$2:$H$65,'Outages (event ledger)'!$A$2:$A$65,P$2,'Outages (event ledger)'!$E$2:$E$65,"&lt;="&amp;$B156,'Outages (event ledger)'!$G$2:$G$65,"&gt;="&amp;$B156)</f>
        <v>0</v>
      </c>
      <c r="Q156" s="26" t="n">
        <f aca="false">SUMIFS('Outages (event ledger)'!$H$2:$H$65,'Outages (event ledger)'!$A$2:$A$65,Q$2,'Outages (event ledger)'!$E$2:$E$65,"&lt;="&amp;$B156,'Outages (event ledger)'!$G$2:$G$65,"&gt;="&amp;$B156)</f>
        <v>0</v>
      </c>
      <c r="R156" s="26" t="n">
        <f aca="false">SUMIFS('Outages (event ledger)'!$H$2:$H$65,'Outages (event ledger)'!$A$2:$A$65,R$2,'Outages (event ledger)'!$E$2:$E$65,"&lt;="&amp;$B156,'Outages (event ledger)'!$G$2:$G$65,"&gt;="&amp;$B156)</f>
        <v>0</v>
      </c>
      <c r="S156" s="26" t="n">
        <f aca="false">SUMIFS('Outages (event ledger)'!$H$2:$H$65,'Outages (event ledger)'!$A$2:$A$65,S$2,'Outages (event ledger)'!$E$2:$E$65,"&lt;="&amp;$B156,'Outages (event ledger)'!$G$2:$G$65,"&gt;="&amp;$B156)</f>
        <v>0</v>
      </c>
      <c r="T156" s="26" t="n">
        <f aca="false">SUMIFS('Outages (event ledger)'!$H$2:$H$65,'Outages (event ledger)'!$A$2:$A$65,T$2,'Outages (event ledger)'!$E$2:$E$65,"&lt;="&amp;$B156,'Outages (event ledger)'!$G$2:$G$65,"&gt;="&amp;$B156)</f>
        <v>0</v>
      </c>
      <c r="U156" s="26" t="n">
        <f aca="false">SUMIFS('Outages (event ledger)'!$H$2:$H$65,'Outages (event ledger)'!$A$2:$A$65,U$2,'Outages (event ledger)'!$E$2:$E$65,"&lt;="&amp;$B156,'Outages (event ledger)'!$G$2:$G$65,"&gt;="&amp;$B156)</f>
        <v>0</v>
      </c>
      <c r="V156" s="26" t="n">
        <f aca="false">SUMIFS('Outages (event ledger)'!$H$2:$H$65,'Outages (event ledger)'!$A$2:$A$65,V$2,'Outages (event ledger)'!$E$2:$E$65,"&lt;="&amp;$B156,'Outages (event ledger)'!$G$2:$G$65,"&gt;="&amp;$B156)</f>
        <v>0</v>
      </c>
      <c r="W156" s="26" t="n">
        <f aca="false">SUMIFS('Outages (event ledger)'!$H$2:$H$65,'Outages (event ledger)'!$A$2:$A$65,W$2,'Outages (event ledger)'!$E$2:$E$65,"&lt;="&amp;$B156,'Outages (event ledger)'!$G$2:$G$65,"&gt;="&amp;$B156)</f>
        <v>0</v>
      </c>
      <c r="X156" s="26" t="n">
        <f aca="false">SUMIFS('Outages (event ledger)'!$H$2:$H$65,'Outages (event ledger)'!$A$2:$A$65,X$2,'Outages (event ledger)'!$E$2:$E$65,"&lt;="&amp;$B156,'Outages (event ledger)'!$G$2:$G$65,"&gt;="&amp;$B156)</f>
        <v>0</v>
      </c>
      <c r="Y156" s="26" t="n">
        <f aca="false">SUMIFS('Outages (event ledger)'!$H$2:$H$65,'Outages (event ledger)'!$A$2:$A$65,Y$2,'Outages (event ledger)'!$E$2:$E$65,"&lt;="&amp;$B156,'Outages (event ledger)'!$G$2:$G$65,"&gt;="&amp;$B156)</f>
        <v>0</v>
      </c>
      <c r="Z156" s="26" t="n">
        <f aca="false">SUMIFS('Outages (event ledger)'!$H$2:$H$65,'Outages (event ledger)'!$A$2:$A$65,Z$2,'Outages (event ledger)'!$E$2:$E$65,"&lt;="&amp;$B156,'Outages (event ledger)'!$G$2:$G$65,"&gt;="&amp;$B156)</f>
        <v>0</v>
      </c>
      <c r="AA156" s="26" t="n">
        <f aca="false">SUMIFS('Outages (event ledger)'!$H$2:$H$65,'Outages (event ledger)'!$A$2:$A$65,AA$2,'Outages (event ledger)'!$E$2:$E$65,"&lt;="&amp;$B156,'Outages (event ledger)'!$G$2:$G$65,"&gt;="&amp;$B156)</f>
        <v>0</v>
      </c>
      <c r="AB156" s="26" t="n">
        <f aca="false">SUMIFS('Outages (event ledger)'!$H$2:$H$65,'Outages (event ledger)'!$A$2:$A$65,AB$2,'Outages (event ledger)'!$E$2:$E$65,"&lt;="&amp;$B156,'Outages (event ledger)'!$G$2:$G$65,"&gt;="&amp;$B156)</f>
        <v>8</v>
      </c>
      <c r="AC156" s="26" t="n">
        <f aca="false">SUMIFS('Outages (event ledger)'!$H$2:$H$65,'Outages (event ledger)'!$A$2:$A$65,AC$2,'Outages (event ledger)'!$E$2:$E$65,"&lt;="&amp;$B156,'Outages (event ledger)'!$G$2:$G$65,"&gt;="&amp;$B156)</f>
        <v>0</v>
      </c>
      <c r="AD156" s="26" t="n">
        <f aca="false">SUMIFS('Outages (event ledger)'!$H$2:$H$65,'Outages (event ledger)'!$A$2:$A$65,AD$2,'Outages (event ledger)'!$E$2:$E$65,"&lt;="&amp;$B156,'Outages (event ledger)'!$G$2:$G$65,"&gt;="&amp;$B156)</f>
        <v>0</v>
      </c>
      <c r="AE156" s="26" t="n">
        <f aca="false">SUMIFS('Outages (event ledger)'!$H$2:$H$65,'Outages (event ledger)'!$A$2:$A$65,AE$2,'Outages (event ledger)'!$E$2:$E$65,"&lt;="&amp;$B156,'Outages (event ledger)'!$G$2:$G$65,"&gt;="&amp;$B156)</f>
        <v>2.5</v>
      </c>
      <c r="AF156" s="26" t="n">
        <f aca="false">SUMIFS('Outages (event ledger)'!$H$2:$H$65,'Outages (event ledger)'!$A$2:$A$65,AF$2,'Outages (event ledger)'!$E$2:$E$65,"&lt;="&amp;$B156,'Outages (event ledger)'!$G$2:$G$65,"&gt;="&amp;$B156)</f>
        <v>0</v>
      </c>
      <c r="AG156" s="26" t="n">
        <f aca="false">SUMIFS('Outages (event ledger)'!$H$2:$H$65,'Outages (event ledger)'!$A$2:$A$65,AG$2,'Outages (event ledger)'!$E$2:$E$65,"&lt;="&amp;$B156,'Outages (event ledger)'!$G$2:$G$65,"&gt;="&amp;$B156)</f>
        <v>0</v>
      </c>
      <c r="AH156" s="26" t="n">
        <f aca="false">SUMIFS('Outages (event ledger)'!$H$2:$H$65,'Outages (event ledger)'!$A$2:$A$65,AH$2,'Outages (event ledger)'!$E$2:$E$65,"&lt;="&amp;$B156,'Outages (event ledger)'!$G$2:$G$65,"&gt;="&amp;$B156)</f>
        <v>0</v>
      </c>
      <c r="AI156" s="26" t="n">
        <f aca="false">SUMIFS('Outages (event ledger)'!$H$2:$H$65,'Outages (event ledger)'!$A$2:$A$65,AI$2,'Outages (event ledger)'!$E$2:$E$65,"&lt;="&amp;$B156,'Outages (event ledger)'!$G$2:$G$65,"&gt;="&amp;$B156)</f>
        <v>0</v>
      </c>
      <c r="AJ156" s="26" t="n">
        <f aca="false">SUMIFS('Outages (event ledger)'!$H$2:$H$65,'Outages (event ledger)'!$A$2:$A$65,AJ$2,'Outages (event ledger)'!$E$2:$E$65,"&lt;="&amp;$B156,'Outages (event ledger)'!$G$2:$G$65,"&gt;="&amp;$B156)</f>
        <v>0</v>
      </c>
      <c r="AK156" s="26" t="n">
        <f aca="false">SUMIFS('Outages (event ledger)'!$H$2:$H$65,'Outages (event ledger)'!$A$2:$A$65,AK$2,'Outages (event ledger)'!$E$2:$E$65,"&lt;="&amp;$B156,'Outages (event ledger)'!$G$2:$G$65,"&gt;="&amp;$B156)</f>
        <v>0</v>
      </c>
      <c r="AL156" s="26" t="n">
        <f aca="false">SUMIFS('Outages (event ledger)'!$H$2:$H$65,'Outages (event ledger)'!$A$2:$A$65,AL$2,'Outages (event ledger)'!$E$2:$E$65,"&lt;="&amp;$B156,'Outages (event ledger)'!$G$2:$G$65,"&gt;="&amp;$B156)</f>
        <v>10</v>
      </c>
      <c r="AM156" s="26" t="n">
        <f aca="false">SUMIFS('Outages (event ledger)'!$H$2:$H$65,'Outages (event ledger)'!$A$2:$A$65,AM$2,'Outages (event ledger)'!$E$2:$E$65,"&lt;="&amp;$B156,'Outages (event ledger)'!$G$2:$G$65,"&gt;="&amp;$B156)</f>
        <v>0</v>
      </c>
      <c r="AN156" s="26" t="n">
        <f aca="false">SUMIFS('Outages (event ledger)'!$H$2:$H$65,'Outages (event ledger)'!$A$2:$A$65,AN$2,'Outages (event ledger)'!$E$2:$E$65,"&lt;="&amp;$B156,'Outages (event ledger)'!$G$2:$G$65,"&gt;="&amp;$B156)</f>
        <v>0</v>
      </c>
      <c r="AO156" s="26" t="n">
        <f aca="false">SUMIFS('Outages (event ledger)'!$H$2:$H$65,'Outages (event ledger)'!$A$2:$A$65,AO$2,'Outages (event ledger)'!$E$2:$E$65,"&lt;="&amp;$B156,'Outages (event ledger)'!$G$2:$G$65,"&gt;="&amp;$B156)</f>
        <v>0</v>
      </c>
      <c r="AP156" s="26" t="n">
        <f aca="false">SUMIFS('Outages (event ledger)'!$H$2:$H$65,'Outages (event ledger)'!$A$2:$A$65,AP$2,'Outages (event ledger)'!$E$2:$E$65,"&lt;="&amp;$B156,'Outages (event ledger)'!$G$2:$G$65,"&gt;="&amp;$B156)</f>
        <v>0</v>
      </c>
      <c r="AQ156" s="26" t="n">
        <f aca="false">SUMIFS('Outages (event ledger)'!$H$2:$H$65,'Outages (event ledger)'!$A$2:$A$65,AQ$2,'Outages (event ledger)'!$E$2:$E$65,"&lt;="&amp;$B156,'Outages (event ledger)'!$G$2:$G$65,"&gt;="&amp;$B156)</f>
        <v>0</v>
      </c>
      <c r="AR156" s="26" t="n">
        <f aca="false">SUMIFS('Outages (event ledger)'!$H$2:$H$65,'Outages (event ledger)'!$A$2:$A$65,AR$2,'Outages (event ledger)'!$E$2:$E$65,"&lt;="&amp;$B156,'Outages (event ledger)'!$G$2:$G$65,"&gt;="&amp;$B156)</f>
        <v>0</v>
      </c>
      <c r="AS156" s="26" t="n">
        <f aca="false">SUMIFS('Outages (event ledger)'!$H$2:$H$65,'Outages (event ledger)'!$A$2:$A$65,AS$2,'Outages (event ledger)'!$E$2:$E$65,"&lt;="&amp;$B156,'Outages (event ledger)'!$G$2:$G$65,"&gt;="&amp;$B156)</f>
        <v>0</v>
      </c>
      <c r="AT156" s="26" t="n">
        <f aca="false">SUMIFS('Outages (event ledger)'!$H$2:$H$65,'Outages (event ledger)'!$A$2:$A$65,AT$2,'Outages (event ledger)'!$E$2:$E$65,"&lt;="&amp;$B156,'Outages (event ledger)'!$G$2:$G$65,"&gt;="&amp;$B156)</f>
        <v>0</v>
      </c>
      <c r="AU156" s="26" t="n">
        <f aca="false">SUMIFS('Outages (event ledger)'!$H$2:$H$65,'Outages (event ledger)'!$A$2:$A$65,AU$2,'Outages (event ledger)'!$E$2:$E$65,"&lt;="&amp;$B156,'Outages (event ledger)'!$G$2:$G$65,"&gt;="&amp;$B156)</f>
        <v>0</v>
      </c>
      <c r="AV156" s="26" t="n">
        <f aca="false">SUMIFS('Outages (event ledger)'!$H$2:$H$65,'Outages (event ledger)'!$A$2:$A$65,AV$2,'Outages (event ledger)'!$E$2:$E$65,"&lt;="&amp;$B156,'Outages (event ledger)'!$G$2:$G$65,"&gt;="&amp;$B156)</f>
        <v>0</v>
      </c>
      <c r="AW156" s="26" t="n">
        <f aca="false">SUMIFS('Outages (event ledger)'!$H$2:$H$65,'Outages (event ledger)'!$A$2:$A$65,AW$2,'Outages (event ledger)'!$E$2:$E$65,"&lt;="&amp;$B156,'Outages (event ledger)'!$G$2:$G$65,"&gt;="&amp;$B156)</f>
        <v>0</v>
      </c>
      <c r="AX156" s="26" t="n">
        <f aca="false">SUMIFS('Outages (event ledger)'!$H$2:$H$65,'Outages (event ledger)'!$A$2:$A$65,AX$2,'Outages (event ledger)'!$E$2:$E$65,"&lt;="&amp;$B156,'Outages (event ledger)'!$G$2:$G$65,"&gt;="&amp;$B156)</f>
        <v>6.6</v>
      </c>
      <c r="AY156" s="26" t="n">
        <f aca="false">SUMIFS('Outages (event ledger)'!$H$2:$H$65,'Outages (event ledger)'!$A$2:$A$65,AY$2,'Outages (event ledger)'!$E$2:$E$65,"&lt;="&amp;$B156,'Outages (event ledger)'!$G$2:$G$65,"&gt;="&amp;$B156)</f>
        <v>0</v>
      </c>
      <c r="AZ156" s="26" t="n">
        <f aca="false">SUMIFS('Outages (event ledger)'!$H$2:$H$65,'Outages (event ledger)'!$A$2:$A$65,AZ$2,'Outages (event ledger)'!$E$2:$E$65,"&lt;="&amp;$B156,'Outages (event ledger)'!$G$2:$G$65,"&gt;="&amp;$B156)</f>
        <v>2</v>
      </c>
      <c r="BA156" s="26" t="n">
        <f aca="false">SUMIFS('Outages (event ledger)'!$H$2:$H$65,'Outages (event ledger)'!$A$2:$A$65,BA$2,'Outages (event ledger)'!$E$2:$E$65,"&lt;="&amp;$B156,'Outages (event ledger)'!$G$2:$G$65,"&gt;="&amp;$B156)</f>
        <v>0</v>
      </c>
      <c r="BB156" s="26" t="n">
        <f aca="false">SUMIFS('Outages (event ledger)'!$H$2:$H$65,'Outages (event ledger)'!$A$2:$A$65,BB$2,'Outages (event ledger)'!$E$2:$E$65,"&lt;="&amp;$B156,'Outages (event ledger)'!$G$2:$G$65,"&gt;="&amp;$B156)</f>
        <v>0</v>
      </c>
      <c r="BC156" s="26" t="n">
        <f aca="false">SUMIFS('Outages (event ledger)'!$H$2:$H$65,'Outages (event ledger)'!$A$2:$A$65,BC$2,'Outages (event ledger)'!$E$2:$E$65,"&lt;="&amp;$B156,'Outages (event ledger)'!$G$2:$G$65,"&gt;="&amp;$B156)</f>
        <v>0</v>
      </c>
      <c r="BD156" s="26" t="n">
        <f aca="false">SUMIFS('Outages (event ledger)'!$H$2:$H$65,'Outages (event ledger)'!$A$2:$A$65,BD$2,'Outages (event ledger)'!$E$2:$E$65,"&lt;="&amp;$B156,'Outages (event ledger)'!$G$2:$G$65,"&gt;="&amp;$B156)</f>
        <v>0</v>
      </c>
      <c r="BE156" s="26" t="n">
        <f aca="false">SUMIFS('Outages (event ledger)'!$H$2:$H$65,'Outages (event ledger)'!$A$2:$A$65,BE$2,'Outages (event ledger)'!$E$2:$E$65,"&lt;="&amp;$B156,'Outages (event ledger)'!$G$2:$G$65,"&gt;="&amp;$B156)</f>
        <v>15</v>
      </c>
      <c r="BF156" s="26" t="n">
        <f aca="false">SUMIFS('Outages (event ledger)'!$H$2:$H$65,'Outages (event ledger)'!$A$2:$A$65,BF$2,'Outages (event ledger)'!$E$2:$E$65,"&lt;="&amp;$B156,'Outages (event ledger)'!$G$2:$G$65,"&gt;="&amp;$B156)</f>
        <v>0</v>
      </c>
      <c r="BG156" s="26" t="n">
        <f aca="false">SUMIFS('Outages (event ledger)'!$H$2:$H$65,'Outages (event ledger)'!$A$2:$A$65,BG$2,'Outages (event ledger)'!$E$2:$E$65,"&lt;="&amp;$B156,'Outages (event ledger)'!$G$2:$G$65,"&gt;="&amp;$B156)</f>
        <v>0</v>
      </c>
      <c r="BH156" s="26" t="n">
        <f aca="false">SUMIFS('Outages (event ledger)'!$H$2:$H$65,'Outages (event ledger)'!$A$2:$A$65,BH$2,'Outages (event ledger)'!$E$2:$E$65,"&lt;="&amp;$B156,'Outages (event ledger)'!$G$2:$G$65,"&gt;="&amp;$B156)</f>
        <v>0</v>
      </c>
      <c r="BI156" s="26" t="n">
        <f aca="false">SUMIFS('Outages (event ledger)'!$H$2:$H$65,'Outages (event ledger)'!$A$2:$A$65,BI$2,'Outages (event ledger)'!$E$2:$E$65,"&lt;="&amp;$B156,'Outages (event ledger)'!$G$2:$G$65,"&gt;="&amp;$B156)</f>
        <v>6.7</v>
      </c>
    </row>
    <row r="157" customFormat="false" ht="15" hidden="false" customHeight="false" outlineLevel="0" collapsed="false">
      <c r="A157" s="23" t="n">
        <v>44866</v>
      </c>
      <c r="B157" s="24" t="n">
        <v>202211</v>
      </c>
      <c r="C157" s="25" t="n">
        <f aca="false">SUM(D157:BI157)</f>
        <v>50.8</v>
      </c>
      <c r="D157" s="26" t="n">
        <f aca="false">SUMIFS('Outages (event ledger)'!$H$2:$H$65,'Outages (event ledger)'!$A$2:$A$65,D$2,'Outages (event ledger)'!$E$2:$E$65,"&lt;="&amp;$B157,'Outages (event ledger)'!$G$2:$G$65,"&gt;="&amp;$B157)</f>
        <v>0</v>
      </c>
      <c r="E157" s="26" t="n">
        <f aca="false">SUMIFS('Outages (event ledger)'!$H$2:$H$65,'Outages (event ledger)'!$A$2:$A$65,E$2,'Outages (event ledger)'!$E$2:$E$65,"&lt;="&amp;$B157,'Outages (event ledger)'!$G$2:$G$65,"&gt;="&amp;$B157)</f>
        <v>0</v>
      </c>
      <c r="F157" s="26" t="n">
        <f aca="false">SUMIFS('Outages (event ledger)'!$H$2:$H$65,'Outages (event ledger)'!$A$2:$A$65,F$2,'Outages (event ledger)'!$E$2:$E$65,"&lt;="&amp;$B157,'Outages (event ledger)'!$G$2:$G$65,"&gt;="&amp;$B157)</f>
        <v>0</v>
      </c>
      <c r="G157" s="26" t="n">
        <f aca="false">SUMIFS('Outages (event ledger)'!$H$2:$H$65,'Outages (event ledger)'!$A$2:$A$65,G$2,'Outages (event ledger)'!$E$2:$E$65,"&lt;="&amp;$B157,'Outages (event ledger)'!$G$2:$G$65,"&gt;="&amp;$B157)</f>
        <v>0</v>
      </c>
      <c r="H157" s="26" t="n">
        <f aca="false">SUMIFS('Outages (event ledger)'!$H$2:$H$65,'Outages (event ledger)'!$A$2:$A$65,H$2,'Outages (event ledger)'!$E$2:$E$65,"&lt;="&amp;$B157,'Outages (event ledger)'!$G$2:$G$65,"&gt;="&amp;$B157)</f>
        <v>0</v>
      </c>
      <c r="I157" s="26" t="n">
        <f aca="false">SUMIFS('Outages (event ledger)'!$H$2:$H$65,'Outages (event ledger)'!$A$2:$A$65,I$2,'Outages (event ledger)'!$E$2:$E$65,"&lt;="&amp;$B157,'Outages (event ledger)'!$G$2:$G$65,"&gt;="&amp;$B157)</f>
        <v>0</v>
      </c>
      <c r="J157" s="26" t="n">
        <f aca="false">SUMIFS('Outages (event ledger)'!$H$2:$H$65,'Outages (event ledger)'!$A$2:$A$65,J$2,'Outages (event ledger)'!$E$2:$E$65,"&lt;="&amp;$B157,'Outages (event ledger)'!$G$2:$G$65,"&gt;="&amp;$B157)</f>
        <v>0</v>
      </c>
      <c r="K157" s="26" t="n">
        <f aca="false">SUMIFS('Outages (event ledger)'!$H$2:$H$65,'Outages (event ledger)'!$A$2:$A$65,K$2,'Outages (event ledger)'!$E$2:$E$65,"&lt;="&amp;$B157,'Outages (event ledger)'!$G$2:$G$65,"&gt;="&amp;$B157)</f>
        <v>0</v>
      </c>
      <c r="L157" s="26" t="n">
        <f aca="false">SUMIFS('Outages (event ledger)'!$H$2:$H$65,'Outages (event ledger)'!$A$2:$A$65,L$2,'Outages (event ledger)'!$E$2:$E$65,"&lt;="&amp;$B157,'Outages (event ledger)'!$G$2:$G$65,"&gt;="&amp;$B157)</f>
        <v>0</v>
      </c>
      <c r="M157" s="26" t="n">
        <f aca="false">SUMIFS('Outages (event ledger)'!$H$2:$H$65,'Outages (event ledger)'!$A$2:$A$65,M$2,'Outages (event ledger)'!$E$2:$E$65,"&lt;="&amp;$B157,'Outages (event ledger)'!$G$2:$G$65,"&gt;="&amp;$B157)</f>
        <v>0</v>
      </c>
      <c r="N157" s="26" t="n">
        <f aca="false">SUMIFS('Outages (event ledger)'!$H$2:$H$65,'Outages (event ledger)'!$A$2:$A$65,N$2,'Outages (event ledger)'!$E$2:$E$65,"&lt;="&amp;$B157,'Outages (event ledger)'!$G$2:$G$65,"&gt;="&amp;$B157)</f>
        <v>0</v>
      </c>
      <c r="O157" s="26" t="n">
        <f aca="false">SUMIFS('Outages (event ledger)'!$H$2:$H$65,'Outages (event ledger)'!$A$2:$A$65,O$2,'Outages (event ledger)'!$E$2:$E$65,"&lt;="&amp;$B157,'Outages (event ledger)'!$G$2:$G$65,"&gt;="&amp;$B157)</f>
        <v>0</v>
      </c>
      <c r="P157" s="26" t="n">
        <f aca="false">SUMIFS('Outages (event ledger)'!$H$2:$H$65,'Outages (event ledger)'!$A$2:$A$65,P$2,'Outages (event ledger)'!$E$2:$E$65,"&lt;="&amp;$B157,'Outages (event ledger)'!$G$2:$G$65,"&gt;="&amp;$B157)</f>
        <v>0</v>
      </c>
      <c r="Q157" s="26" t="n">
        <f aca="false">SUMIFS('Outages (event ledger)'!$H$2:$H$65,'Outages (event ledger)'!$A$2:$A$65,Q$2,'Outages (event ledger)'!$E$2:$E$65,"&lt;="&amp;$B157,'Outages (event ledger)'!$G$2:$G$65,"&gt;="&amp;$B157)</f>
        <v>0</v>
      </c>
      <c r="R157" s="26" t="n">
        <f aca="false">SUMIFS('Outages (event ledger)'!$H$2:$H$65,'Outages (event ledger)'!$A$2:$A$65,R$2,'Outages (event ledger)'!$E$2:$E$65,"&lt;="&amp;$B157,'Outages (event ledger)'!$G$2:$G$65,"&gt;="&amp;$B157)</f>
        <v>0</v>
      </c>
      <c r="S157" s="26" t="n">
        <f aca="false">SUMIFS('Outages (event ledger)'!$H$2:$H$65,'Outages (event ledger)'!$A$2:$A$65,S$2,'Outages (event ledger)'!$E$2:$E$65,"&lt;="&amp;$B157,'Outages (event ledger)'!$G$2:$G$65,"&gt;="&amp;$B157)</f>
        <v>0</v>
      </c>
      <c r="T157" s="26" t="n">
        <f aca="false">SUMIFS('Outages (event ledger)'!$H$2:$H$65,'Outages (event ledger)'!$A$2:$A$65,T$2,'Outages (event ledger)'!$E$2:$E$65,"&lt;="&amp;$B157,'Outages (event ledger)'!$G$2:$G$65,"&gt;="&amp;$B157)</f>
        <v>0</v>
      </c>
      <c r="U157" s="26" t="n">
        <f aca="false">SUMIFS('Outages (event ledger)'!$H$2:$H$65,'Outages (event ledger)'!$A$2:$A$65,U$2,'Outages (event ledger)'!$E$2:$E$65,"&lt;="&amp;$B157,'Outages (event ledger)'!$G$2:$G$65,"&gt;="&amp;$B157)</f>
        <v>0</v>
      </c>
      <c r="V157" s="26" t="n">
        <f aca="false">SUMIFS('Outages (event ledger)'!$H$2:$H$65,'Outages (event ledger)'!$A$2:$A$65,V$2,'Outages (event ledger)'!$E$2:$E$65,"&lt;="&amp;$B157,'Outages (event ledger)'!$G$2:$G$65,"&gt;="&amp;$B157)</f>
        <v>0</v>
      </c>
      <c r="W157" s="26" t="n">
        <f aca="false">SUMIFS('Outages (event ledger)'!$H$2:$H$65,'Outages (event ledger)'!$A$2:$A$65,W$2,'Outages (event ledger)'!$E$2:$E$65,"&lt;="&amp;$B157,'Outages (event ledger)'!$G$2:$G$65,"&gt;="&amp;$B157)</f>
        <v>0</v>
      </c>
      <c r="X157" s="26" t="n">
        <f aca="false">SUMIFS('Outages (event ledger)'!$H$2:$H$65,'Outages (event ledger)'!$A$2:$A$65,X$2,'Outages (event ledger)'!$E$2:$E$65,"&lt;="&amp;$B157,'Outages (event ledger)'!$G$2:$G$65,"&gt;="&amp;$B157)</f>
        <v>0</v>
      </c>
      <c r="Y157" s="26" t="n">
        <f aca="false">SUMIFS('Outages (event ledger)'!$H$2:$H$65,'Outages (event ledger)'!$A$2:$A$65,Y$2,'Outages (event ledger)'!$E$2:$E$65,"&lt;="&amp;$B157,'Outages (event ledger)'!$G$2:$G$65,"&gt;="&amp;$B157)</f>
        <v>0</v>
      </c>
      <c r="Z157" s="26" t="n">
        <f aca="false">SUMIFS('Outages (event ledger)'!$H$2:$H$65,'Outages (event ledger)'!$A$2:$A$65,Z$2,'Outages (event ledger)'!$E$2:$E$65,"&lt;="&amp;$B157,'Outages (event ledger)'!$G$2:$G$65,"&gt;="&amp;$B157)</f>
        <v>0</v>
      </c>
      <c r="AA157" s="26" t="n">
        <f aca="false">SUMIFS('Outages (event ledger)'!$H$2:$H$65,'Outages (event ledger)'!$A$2:$A$65,AA$2,'Outages (event ledger)'!$E$2:$E$65,"&lt;="&amp;$B157,'Outages (event ledger)'!$G$2:$G$65,"&gt;="&amp;$B157)</f>
        <v>0</v>
      </c>
      <c r="AB157" s="26" t="n">
        <f aca="false">SUMIFS('Outages (event ledger)'!$H$2:$H$65,'Outages (event ledger)'!$A$2:$A$65,AB$2,'Outages (event ledger)'!$E$2:$E$65,"&lt;="&amp;$B157,'Outages (event ledger)'!$G$2:$G$65,"&gt;="&amp;$B157)</f>
        <v>8</v>
      </c>
      <c r="AC157" s="26" t="n">
        <f aca="false">SUMIFS('Outages (event ledger)'!$H$2:$H$65,'Outages (event ledger)'!$A$2:$A$65,AC$2,'Outages (event ledger)'!$E$2:$E$65,"&lt;="&amp;$B157,'Outages (event ledger)'!$G$2:$G$65,"&gt;="&amp;$B157)</f>
        <v>0</v>
      </c>
      <c r="AD157" s="26" t="n">
        <f aca="false">SUMIFS('Outages (event ledger)'!$H$2:$H$65,'Outages (event ledger)'!$A$2:$A$65,AD$2,'Outages (event ledger)'!$E$2:$E$65,"&lt;="&amp;$B157,'Outages (event ledger)'!$G$2:$G$65,"&gt;="&amp;$B157)</f>
        <v>0</v>
      </c>
      <c r="AE157" s="26" t="n">
        <f aca="false">SUMIFS('Outages (event ledger)'!$H$2:$H$65,'Outages (event ledger)'!$A$2:$A$65,AE$2,'Outages (event ledger)'!$E$2:$E$65,"&lt;="&amp;$B157,'Outages (event ledger)'!$G$2:$G$65,"&gt;="&amp;$B157)</f>
        <v>2.5</v>
      </c>
      <c r="AF157" s="26" t="n">
        <f aca="false">SUMIFS('Outages (event ledger)'!$H$2:$H$65,'Outages (event ledger)'!$A$2:$A$65,AF$2,'Outages (event ledger)'!$E$2:$E$65,"&lt;="&amp;$B157,'Outages (event ledger)'!$G$2:$G$65,"&gt;="&amp;$B157)</f>
        <v>0</v>
      </c>
      <c r="AG157" s="26" t="n">
        <f aca="false">SUMIFS('Outages (event ledger)'!$H$2:$H$65,'Outages (event ledger)'!$A$2:$A$65,AG$2,'Outages (event ledger)'!$E$2:$E$65,"&lt;="&amp;$B157,'Outages (event ledger)'!$G$2:$G$65,"&gt;="&amp;$B157)</f>
        <v>0</v>
      </c>
      <c r="AH157" s="26" t="n">
        <f aca="false">SUMIFS('Outages (event ledger)'!$H$2:$H$65,'Outages (event ledger)'!$A$2:$A$65,AH$2,'Outages (event ledger)'!$E$2:$E$65,"&lt;="&amp;$B157,'Outages (event ledger)'!$G$2:$G$65,"&gt;="&amp;$B157)</f>
        <v>0</v>
      </c>
      <c r="AI157" s="26" t="n">
        <f aca="false">SUMIFS('Outages (event ledger)'!$H$2:$H$65,'Outages (event ledger)'!$A$2:$A$65,AI$2,'Outages (event ledger)'!$E$2:$E$65,"&lt;="&amp;$B157,'Outages (event ledger)'!$G$2:$G$65,"&gt;="&amp;$B157)</f>
        <v>0</v>
      </c>
      <c r="AJ157" s="26" t="n">
        <f aca="false">SUMIFS('Outages (event ledger)'!$H$2:$H$65,'Outages (event ledger)'!$A$2:$A$65,AJ$2,'Outages (event ledger)'!$E$2:$E$65,"&lt;="&amp;$B157,'Outages (event ledger)'!$G$2:$G$65,"&gt;="&amp;$B157)</f>
        <v>0</v>
      </c>
      <c r="AK157" s="26" t="n">
        <f aca="false">SUMIFS('Outages (event ledger)'!$H$2:$H$65,'Outages (event ledger)'!$A$2:$A$65,AK$2,'Outages (event ledger)'!$E$2:$E$65,"&lt;="&amp;$B157,'Outages (event ledger)'!$G$2:$G$65,"&gt;="&amp;$B157)</f>
        <v>0</v>
      </c>
      <c r="AL157" s="26" t="n">
        <f aca="false">SUMIFS('Outages (event ledger)'!$H$2:$H$65,'Outages (event ledger)'!$A$2:$A$65,AL$2,'Outages (event ledger)'!$E$2:$E$65,"&lt;="&amp;$B157,'Outages (event ledger)'!$G$2:$G$65,"&gt;="&amp;$B157)</f>
        <v>10</v>
      </c>
      <c r="AM157" s="26" t="n">
        <f aca="false">SUMIFS('Outages (event ledger)'!$H$2:$H$65,'Outages (event ledger)'!$A$2:$A$65,AM$2,'Outages (event ledger)'!$E$2:$E$65,"&lt;="&amp;$B157,'Outages (event ledger)'!$G$2:$G$65,"&gt;="&amp;$B157)</f>
        <v>0</v>
      </c>
      <c r="AN157" s="26" t="n">
        <f aca="false">SUMIFS('Outages (event ledger)'!$H$2:$H$65,'Outages (event ledger)'!$A$2:$A$65,AN$2,'Outages (event ledger)'!$E$2:$E$65,"&lt;="&amp;$B157,'Outages (event ledger)'!$G$2:$G$65,"&gt;="&amp;$B157)</f>
        <v>0</v>
      </c>
      <c r="AO157" s="26" t="n">
        <f aca="false">SUMIFS('Outages (event ledger)'!$H$2:$H$65,'Outages (event ledger)'!$A$2:$A$65,AO$2,'Outages (event ledger)'!$E$2:$E$65,"&lt;="&amp;$B157,'Outages (event ledger)'!$G$2:$G$65,"&gt;="&amp;$B157)</f>
        <v>0</v>
      </c>
      <c r="AP157" s="26" t="n">
        <f aca="false">SUMIFS('Outages (event ledger)'!$H$2:$H$65,'Outages (event ledger)'!$A$2:$A$65,AP$2,'Outages (event ledger)'!$E$2:$E$65,"&lt;="&amp;$B157,'Outages (event ledger)'!$G$2:$G$65,"&gt;="&amp;$B157)</f>
        <v>0</v>
      </c>
      <c r="AQ157" s="26" t="n">
        <f aca="false">SUMIFS('Outages (event ledger)'!$H$2:$H$65,'Outages (event ledger)'!$A$2:$A$65,AQ$2,'Outages (event ledger)'!$E$2:$E$65,"&lt;="&amp;$B157,'Outages (event ledger)'!$G$2:$G$65,"&gt;="&amp;$B157)</f>
        <v>0</v>
      </c>
      <c r="AR157" s="26" t="n">
        <f aca="false">SUMIFS('Outages (event ledger)'!$H$2:$H$65,'Outages (event ledger)'!$A$2:$A$65,AR$2,'Outages (event ledger)'!$E$2:$E$65,"&lt;="&amp;$B157,'Outages (event ledger)'!$G$2:$G$65,"&gt;="&amp;$B157)</f>
        <v>0</v>
      </c>
      <c r="AS157" s="26" t="n">
        <f aca="false">SUMIFS('Outages (event ledger)'!$H$2:$H$65,'Outages (event ledger)'!$A$2:$A$65,AS$2,'Outages (event ledger)'!$E$2:$E$65,"&lt;="&amp;$B157,'Outages (event ledger)'!$G$2:$G$65,"&gt;="&amp;$B157)</f>
        <v>0</v>
      </c>
      <c r="AT157" s="26" t="n">
        <f aca="false">SUMIFS('Outages (event ledger)'!$H$2:$H$65,'Outages (event ledger)'!$A$2:$A$65,AT$2,'Outages (event ledger)'!$E$2:$E$65,"&lt;="&amp;$B157,'Outages (event ledger)'!$G$2:$G$65,"&gt;="&amp;$B157)</f>
        <v>0</v>
      </c>
      <c r="AU157" s="26" t="n">
        <f aca="false">SUMIFS('Outages (event ledger)'!$H$2:$H$65,'Outages (event ledger)'!$A$2:$A$65,AU$2,'Outages (event ledger)'!$E$2:$E$65,"&lt;="&amp;$B157,'Outages (event ledger)'!$G$2:$G$65,"&gt;="&amp;$B157)</f>
        <v>0</v>
      </c>
      <c r="AV157" s="26" t="n">
        <f aca="false">SUMIFS('Outages (event ledger)'!$H$2:$H$65,'Outages (event ledger)'!$A$2:$A$65,AV$2,'Outages (event ledger)'!$E$2:$E$65,"&lt;="&amp;$B157,'Outages (event ledger)'!$G$2:$G$65,"&gt;="&amp;$B157)</f>
        <v>0</v>
      </c>
      <c r="AW157" s="26" t="n">
        <f aca="false">SUMIFS('Outages (event ledger)'!$H$2:$H$65,'Outages (event ledger)'!$A$2:$A$65,AW$2,'Outages (event ledger)'!$E$2:$E$65,"&lt;="&amp;$B157,'Outages (event ledger)'!$G$2:$G$65,"&gt;="&amp;$B157)</f>
        <v>0</v>
      </c>
      <c r="AX157" s="26" t="n">
        <f aca="false">SUMIFS('Outages (event ledger)'!$H$2:$H$65,'Outages (event ledger)'!$A$2:$A$65,AX$2,'Outages (event ledger)'!$E$2:$E$65,"&lt;="&amp;$B157,'Outages (event ledger)'!$G$2:$G$65,"&gt;="&amp;$B157)</f>
        <v>6.6</v>
      </c>
      <c r="AY157" s="26" t="n">
        <f aca="false">SUMIFS('Outages (event ledger)'!$H$2:$H$65,'Outages (event ledger)'!$A$2:$A$65,AY$2,'Outages (event ledger)'!$E$2:$E$65,"&lt;="&amp;$B157,'Outages (event ledger)'!$G$2:$G$65,"&gt;="&amp;$B157)</f>
        <v>0</v>
      </c>
      <c r="AZ157" s="26" t="n">
        <f aca="false">SUMIFS('Outages (event ledger)'!$H$2:$H$65,'Outages (event ledger)'!$A$2:$A$65,AZ$2,'Outages (event ledger)'!$E$2:$E$65,"&lt;="&amp;$B157,'Outages (event ledger)'!$G$2:$G$65,"&gt;="&amp;$B157)</f>
        <v>2</v>
      </c>
      <c r="BA157" s="26" t="n">
        <f aca="false">SUMIFS('Outages (event ledger)'!$H$2:$H$65,'Outages (event ledger)'!$A$2:$A$65,BA$2,'Outages (event ledger)'!$E$2:$E$65,"&lt;="&amp;$B157,'Outages (event ledger)'!$G$2:$G$65,"&gt;="&amp;$B157)</f>
        <v>0</v>
      </c>
      <c r="BB157" s="26" t="n">
        <f aca="false">SUMIFS('Outages (event ledger)'!$H$2:$H$65,'Outages (event ledger)'!$A$2:$A$65,BB$2,'Outages (event ledger)'!$E$2:$E$65,"&lt;="&amp;$B157,'Outages (event ledger)'!$G$2:$G$65,"&gt;="&amp;$B157)</f>
        <v>0</v>
      </c>
      <c r="BC157" s="26" t="n">
        <f aca="false">SUMIFS('Outages (event ledger)'!$H$2:$H$65,'Outages (event ledger)'!$A$2:$A$65,BC$2,'Outages (event ledger)'!$E$2:$E$65,"&lt;="&amp;$B157,'Outages (event ledger)'!$G$2:$G$65,"&gt;="&amp;$B157)</f>
        <v>0</v>
      </c>
      <c r="BD157" s="26" t="n">
        <f aca="false">SUMIFS('Outages (event ledger)'!$H$2:$H$65,'Outages (event ledger)'!$A$2:$A$65,BD$2,'Outages (event ledger)'!$E$2:$E$65,"&lt;="&amp;$B157,'Outages (event ledger)'!$G$2:$G$65,"&gt;="&amp;$B157)</f>
        <v>0</v>
      </c>
      <c r="BE157" s="26" t="n">
        <f aca="false">SUMIFS('Outages (event ledger)'!$H$2:$H$65,'Outages (event ledger)'!$A$2:$A$65,BE$2,'Outages (event ledger)'!$E$2:$E$65,"&lt;="&amp;$B157,'Outages (event ledger)'!$G$2:$G$65,"&gt;="&amp;$B157)</f>
        <v>15</v>
      </c>
      <c r="BF157" s="26" t="n">
        <f aca="false">SUMIFS('Outages (event ledger)'!$H$2:$H$65,'Outages (event ledger)'!$A$2:$A$65,BF$2,'Outages (event ledger)'!$E$2:$E$65,"&lt;="&amp;$B157,'Outages (event ledger)'!$G$2:$G$65,"&gt;="&amp;$B157)</f>
        <v>0</v>
      </c>
      <c r="BG157" s="26" t="n">
        <f aca="false">SUMIFS('Outages (event ledger)'!$H$2:$H$65,'Outages (event ledger)'!$A$2:$A$65,BG$2,'Outages (event ledger)'!$E$2:$E$65,"&lt;="&amp;$B157,'Outages (event ledger)'!$G$2:$G$65,"&gt;="&amp;$B157)</f>
        <v>0</v>
      </c>
      <c r="BH157" s="26" t="n">
        <f aca="false">SUMIFS('Outages (event ledger)'!$H$2:$H$65,'Outages (event ledger)'!$A$2:$A$65,BH$2,'Outages (event ledger)'!$E$2:$E$65,"&lt;="&amp;$B157,'Outages (event ledger)'!$G$2:$G$65,"&gt;="&amp;$B157)</f>
        <v>0</v>
      </c>
      <c r="BI157" s="26" t="n">
        <f aca="false">SUMIFS('Outages (event ledger)'!$H$2:$H$65,'Outages (event ledger)'!$A$2:$A$65,BI$2,'Outages (event ledger)'!$E$2:$E$65,"&lt;="&amp;$B157,'Outages (event ledger)'!$G$2:$G$65,"&gt;="&amp;$B157)</f>
        <v>6.7</v>
      </c>
    </row>
    <row r="158" customFormat="false" ht="15" hidden="false" customHeight="false" outlineLevel="0" collapsed="false">
      <c r="A158" s="23" t="n">
        <v>44896</v>
      </c>
      <c r="B158" s="24" t="n">
        <v>202212</v>
      </c>
      <c r="C158" s="25" t="n">
        <f aca="false">SUM(D158:BI158)</f>
        <v>56.4</v>
      </c>
      <c r="D158" s="26" t="n">
        <f aca="false">SUMIFS('Outages (event ledger)'!$H$2:$H$65,'Outages (event ledger)'!$A$2:$A$65,D$2,'Outages (event ledger)'!$E$2:$E$65,"&lt;="&amp;$B158,'Outages (event ledger)'!$G$2:$G$65,"&gt;="&amp;$B158)</f>
        <v>0</v>
      </c>
      <c r="E158" s="26" t="n">
        <f aca="false">SUMIFS('Outages (event ledger)'!$H$2:$H$65,'Outages (event ledger)'!$A$2:$A$65,E$2,'Outages (event ledger)'!$E$2:$E$65,"&lt;="&amp;$B158,'Outages (event ledger)'!$G$2:$G$65,"&gt;="&amp;$B158)</f>
        <v>0</v>
      </c>
      <c r="F158" s="26" t="n">
        <f aca="false">SUMIFS('Outages (event ledger)'!$H$2:$H$65,'Outages (event ledger)'!$A$2:$A$65,F$2,'Outages (event ledger)'!$E$2:$E$65,"&lt;="&amp;$B158,'Outages (event ledger)'!$G$2:$G$65,"&gt;="&amp;$B158)</f>
        <v>0</v>
      </c>
      <c r="G158" s="26" t="n">
        <f aca="false">SUMIFS('Outages (event ledger)'!$H$2:$H$65,'Outages (event ledger)'!$A$2:$A$65,G$2,'Outages (event ledger)'!$E$2:$E$65,"&lt;="&amp;$B158,'Outages (event ledger)'!$G$2:$G$65,"&gt;="&amp;$B158)</f>
        <v>0</v>
      </c>
      <c r="H158" s="26" t="n">
        <f aca="false">SUMIFS('Outages (event ledger)'!$H$2:$H$65,'Outages (event ledger)'!$A$2:$A$65,H$2,'Outages (event ledger)'!$E$2:$E$65,"&lt;="&amp;$B158,'Outages (event ledger)'!$G$2:$G$65,"&gt;="&amp;$B158)</f>
        <v>0</v>
      </c>
      <c r="I158" s="26" t="n">
        <f aca="false">SUMIFS('Outages (event ledger)'!$H$2:$H$65,'Outages (event ledger)'!$A$2:$A$65,I$2,'Outages (event ledger)'!$E$2:$E$65,"&lt;="&amp;$B158,'Outages (event ledger)'!$G$2:$G$65,"&gt;="&amp;$B158)</f>
        <v>0</v>
      </c>
      <c r="J158" s="26" t="n">
        <f aca="false">SUMIFS('Outages (event ledger)'!$H$2:$H$65,'Outages (event ledger)'!$A$2:$A$65,J$2,'Outages (event ledger)'!$E$2:$E$65,"&lt;="&amp;$B158,'Outages (event ledger)'!$G$2:$G$65,"&gt;="&amp;$B158)</f>
        <v>0</v>
      </c>
      <c r="K158" s="26" t="n">
        <f aca="false">SUMIFS('Outages (event ledger)'!$H$2:$H$65,'Outages (event ledger)'!$A$2:$A$65,K$2,'Outages (event ledger)'!$E$2:$E$65,"&lt;="&amp;$B158,'Outages (event ledger)'!$G$2:$G$65,"&gt;="&amp;$B158)</f>
        <v>0</v>
      </c>
      <c r="L158" s="26" t="n">
        <f aca="false">SUMIFS('Outages (event ledger)'!$H$2:$H$65,'Outages (event ledger)'!$A$2:$A$65,L$2,'Outages (event ledger)'!$E$2:$E$65,"&lt;="&amp;$B158,'Outages (event ledger)'!$G$2:$G$65,"&gt;="&amp;$B158)</f>
        <v>0</v>
      </c>
      <c r="M158" s="26" t="n">
        <f aca="false">SUMIFS('Outages (event ledger)'!$H$2:$H$65,'Outages (event ledger)'!$A$2:$A$65,M$2,'Outages (event ledger)'!$E$2:$E$65,"&lt;="&amp;$B158,'Outages (event ledger)'!$G$2:$G$65,"&gt;="&amp;$B158)</f>
        <v>0</v>
      </c>
      <c r="N158" s="26" t="n">
        <f aca="false">SUMIFS('Outages (event ledger)'!$H$2:$H$65,'Outages (event ledger)'!$A$2:$A$65,N$2,'Outages (event ledger)'!$E$2:$E$65,"&lt;="&amp;$B158,'Outages (event ledger)'!$G$2:$G$65,"&gt;="&amp;$B158)</f>
        <v>0</v>
      </c>
      <c r="O158" s="26" t="n">
        <f aca="false">SUMIFS('Outages (event ledger)'!$H$2:$H$65,'Outages (event ledger)'!$A$2:$A$65,O$2,'Outages (event ledger)'!$E$2:$E$65,"&lt;="&amp;$B158,'Outages (event ledger)'!$G$2:$G$65,"&gt;="&amp;$B158)</f>
        <v>0</v>
      </c>
      <c r="P158" s="26" t="n">
        <f aca="false">SUMIFS('Outages (event ledger)'!$H$2:$H$65,'Outages (event ledger)'!$A$2:$A$65,P$2,'Outages (event ledger)'!$E$2:$E$65,"&lt;="&amp;$B158,'Outages (event ledger)'!$G$2:$G$65,"&gt;="&amp;$B158)</f>
        <v>3.6</v>
      </c>
      <c r="Q158" s="26" t="n">
        <f aca="false">SUMIFS('Outages (event ledger)'!$H$2:$H$65,'Outages (event ledger)'!$A$2:$A$65,Q$2,'Outages (event ledger)'!$E$2:$E$65,"&lt;="&amp;$B158,'Outages (event ledger)'!$G$2:$G$65,"&gt;="&amp;$B158)</f>
        <v>0</v>
      </c>
      <c r="R158" s="26" t="n">
        <f aca="false">SUMIFS('Outages (event ledger)'!$H$2:$H$65,'Outages (event ledger)'!$A$2:$A$65,R$2,'Outages (event ledger)'!$E$2:$E$65,"&lt;="&amp;$B158,'Outages (event ledger)'!$G$2:$G$65,"&gt;="&amp;$B158)</f>
        <v>0</v>
      </c>
      <c r="S158" s="26" t="n">
        <f aca="false">SUMIFS('Outages (event ledger)'!$H$2:$H$65,'Outages (event ledger)'!$A$2:$A$65,S$2,'Outages (event ledger)'!$E$2:$E$65,"&lt;="&amp;$B158,'Outages (event ledger)'!$G$2:$G$65,"&gt;="&amp;$B158)</f>
        <v>0</v>
      </c>
      <c r="T158" s="26" t="n">
        <f aca="false">SUMIFS('Outages (event ledger)'!$H$2:$H$65,'Outages (event ledger)'!$A$2:$A$65,T$2,'Outages (event ledger)'!$E$2:$E$65,"&lt;="&amp;$B158,'Outages (event ledger)'!$G$2:$G$65,"&gt;="&amp;$B158)</f>
        <v>0</v>
      </c>
      <c r="U158" s="26" t="n">
        <f aca="false">SUMIFS('Outages (event ledger)'!$H$2:$H$65,'Outages (event ledger)'!$A$2:$A$65,U$2,'Outages (event ledger)'!$E$2:$E$65,"&lt;="&amp;$B158,'Outages (event ledger)'!$G$2:$G$65,"&gt;="&amp;$B158)</f>
        <v>0</v>
      </c>
      <c r="V158" s="26" t="n">
        <f aca="false">SUMIFS('Outages (event ledger)'!$H$2:$H$65,'Outages (event ledger)'!$A$2:$A$65,V$2,'Outages (event ledger)'!$E$2:$E$65,"&lt;="&amp;$B158,'Outages (event ledger)'!$G$2:$G$65,"&gt;="&amp;$B158)</f>
        <v>0</v>
      </c>
      <c r="W158" s="26" t="n">
        <f aca="false">SUMIFS('Outages (event ledger)'!$H$2:$H$65,'Outages (event ledger)'!$A$2:$A$65,W$2,'Outages (event ledger)'!$E$2:$E$65,"&lt;="&amp;$B158,'Outages (event ledger)'!$G$2:$G$65,"&gt;="&amp;$B158)</f>
        <v>0</v>
      </c>
      <c r="X158" s="26" t="n">
        <f aca="false">SUMIFS('Outages (event ledger)'!$H$2:$H$65,'Outages (event ledger)'!$A$2:$A$65,X$2,'Outages (event ledger)'!$E$2:$E$65,"&lt;="&amp;$B158,'Outages (event ledger)'!$G$2:$G$65,"&gt;="&amp;$B158)</f>
        <v>0</v>
      </c>
      <c r="Y158" s="26" t="n">
        <f aca="false">SUMIFS('Outages (event ledger)'!$H$2:$H$65,'Outages (event ledger)'!$A$2:$A$65,Y$2,'Outages (event ledger)'!$E$2:$E$65,"&lt;="&amp;$B158,'Outages (event ledger)'!$G$2:$G$65,"&gt;="&amp;$B158)</f>
        <v>0</v>
      </c>
      <c r="Z158" s="26" t="n">
        <f aca="false">SUMIFS('Outages (event ledger)'!$H$2:$H$65,'Outages (event ledger)'!$A$2:$A$65,Z$2,'Outages (event ledger)'!$E$2:$E$65,"&lt;="&amp;$B158,'Outages (event ledger)'!$G$2:$G$65,"&gt;="&amp;$B158)</f>
        <v>0</v>
      </c>
      <c r="AA158" s="26" t="n">
        <f aca="false">SUMIFS('Outages (event ledger)'!$H$2:$H$65,'Outages (event ledger)'!$A$2:$A$65,AA$2,'Outages (event ledger)'!$E$2:$E$65,"&lt;="&amp;$B158,'Outages (event ledger)'!$G$2:$G$65,"&gt;="&amp;$B158)</f>
        <v>0</v>
      </c>
      <c r="AB158" s="26" t="n">
        <f aca="false">SUMIFS('Outages (event ledger)'!$H$2:$H$65,'Outages (event ledger)'!$A$2:$A$65,AB$2,'Outages (event ledger)'!$E$2:$E$65,"&lt;="&amp;$B158,'Outages (event ledger)'!$G$2:$G$65,"&gt;="&amp;$B158)</f>
        <v>8</v>
      </c>
      <c r="AC158" s="26" t="n">
        <f aca="false">SUMIFS('Outages (event ledger)'!$H$2:$H$65,'Outages (event ledger)'!$A$2:$A$65,AC$2,'Outages (event ledger)'!$E$2:$E$65,"&lt;="&amp;$B158,'Outages (event ledger)'!$G$2:$G$65,"&gt;="&amp;$B158)</f>
        <v>0</v>
      </c>
      <c r="AD158" s="26" t="n">
        <f aca="false">SUMIFS('Outages (event ledger)'!$H$2:$H$65,'Outages (event ledger)'!$A$2:$A$65,AD$2,'Outages (event ledger)'!$E$2:$E$65,"&lt;="&amp;$B158,'Outages (event ledger)'!$G$2:$G$65,"&gt;="&amp;$B158)</f>
        <v>0</v>
      </c>
      <c r="AE158" s="26" t="n">
        <f aca="false">SUMIFS('Outages (event ledger)'!$H$2:$H$65,'Outages (event ledger)'!$A$2:$A$65,AE$2,'Outages (event ledger)'!$E$2:$E$65,"&lt;="&amp;$B158,'Outages (event ledger)'!$G$2:$G$65,"&gt;="&amp;$B158)</f>
        <v>2.5</v>
      </c>
      <c r="AF158" s="26" t="n">
        <f aca="false">SUMIFS('Outages (event ledger)'!$H$2:$H$65,'Outages (event ledger)'!$A$2:$A$65,AF$2,'Outages (event ledger)'!$E$2:$E$65,"&lt;="&amp;$B158,'Outages (event ledger)'!$G$2:$G$65,"&gt;="&amp;$B158)</f>
        <v>0</v>
      </c>
      <c r="AG158" s="26" t="n">
        <f aca="false">SUMIFS('Outages (event ledger)'!$H$2:$H$65,'Outages (event ledger)'!$A$2:$A$65,AG$2,'Outages (event ledger)'!$E$2:$E$65,"&lt;="&amp;$B158,'Outages (event ledger)'!$G$2:$G$65,"&gt;="&amp;$B158)</f>
        <v>0</v>
      </c>
      <c r="AH158" s="26" t="n">
        <f aca="false">SUMIFS('Outages (event ledger)'!$H$2:$H$65,'Outages (event ledger)'!$A$2:$A$65,AH$2,'Outages (event ledger)'!$E$2:$E$65,"&lt;="&amp;$B158,'Outages (event ledger)'!$G$2:$G$65,"&gt;="&amp;$B158)</f>
        <v>0</v>
      </c>
      <c r="AI158" s="26" t="n">
        <f aca="false">SUMIFS('Outages (event ledger)'!$H$2:$H$65,'Outages (event ledger)'!$A$2:$A$65,AI$2,'Outages (event ledger)'!$E$2:$E$65,"&lt;="&amp;$B158,'Outages (event ledger)'!$G$2:$G$65,"&gt;="&amp;$B158)</f>
        <v>0</v>
      </c>
      <c r="AJ158" s="26" t="n">
        <f aca="false">SUMIFS('Outages (event ledger)'!$H$2:$H$65,'Outages (event ledger)'!$A$2:$A$65,AJ$2,'Outages (event ledger)'!$E$2:$E$65,"&lt;="&amp;$B158,'Outages (event ledger)'!$G$2:$G$65,"&gt;="&amp;$B158)</f>
        <v>0</v>
      </c>
      <c r="AK158" s="26" t="n">
        <f aca="false">SUMIFS('Outages (event ledger)'!$H$2:$H$65,'Outages (event ledger)'!$A$2:$A$65,AK$2,'Outages (event ledger)'!$E$2:$E$65,"&lt;="&amp;$B158,'Outages (event ledger)'!$G$2:$G$65,"&gt;="&amp;$B158)</f>
        <v>0</v>
      </c>
      <c r="AL158" s="26" t="n">
        <f aca="false">SUMIFS('Outages (event ledger)'!$H$2:$H$65,'Outages (event ledger)'!$A$2:$A$65,AL$2,'Outages (event ledger)'!$E$2:$E$65,"&lt;="&amp;$B158,'Outages (event ledger)'!$G$2:$G$65,"&gt;="&amp;$B158)</f>
        <v>10</v>
      </c>
      <c r="AM158" s="26" t="n">
        <f aca="false">SUMIFS('Outages (event ledger)'!$H$2:$H$65,'Outages (event ledger)'!$A$2:$A$65,AM$2,'Outages (event ledger)'!$E$2:$E$65,"&lt;="&amp;$B158,'Outages (event ledger)'!$G$2:$G$65,"&gt;="&amp;$B158)</f>
        <v>0</v>
      </c>
      <c r="AN158" s="26" t="n">
        <f aca="false">SUMIFS('Outages (event ledger)'!$H$2:$H$65,'Outages (event ledger)'!$A$2:$A$65,AN$2,'Outages (event ledger)'!$E$2:$E$65,"&lt;="&amp;$B158,'Outages (event ledger)'!$G$2:$G$65,"&gt;="&amp;$B158)</f>
        <v>0</v>
      </c>
      <c r="AO158" s="26" t="n">
        <f aca="false">SUMIFS('Outages (event ledger)'!$H$2:$H$65,'Outages (event ledger)'!$A$2:$A$65,AO$2,'Outages (event ledger)'!$E$2:$E$65,"&lt;="&amp;$B158,'Outages (event ledger)'!$G$2:$G$65,"&gt;="&amp;$B158)</f>
        <v>0</v>
      </c>
      <c r="AP158" s="26" t="n">
        <f aca="false">SUMIFS('Outages (event ledger)'!$H$2:$H$65,'Outages (event ledger)'!$A$2:$A$65,AP$2,'Outages (event ledger)'!$E$2:$E$65,"&lt;="&amp;$B158,'Outages (event ledger)'!$G$2:$G$65,"&gt;="&amp;$B158)</f>
        <v>0</v>
      </c>
      <c r="AQ158" s="26" t="n">
        <f aca="false">SUMIFS('Outages (event ledger)'!$H$2:$H$65,'Outages (event ledger)'!$A$2:$A$65,AQ$2,'Outages (event ledger)'!$E$2:$E$65,"&lt;="&amp;$B158,'Outages (event ledger)'!$G$2:$G$65,"&gt;="&amp;$B158)</f>
        <v>0</v>
      </c>
      <c r="AR158" s="26" t="n">
        <f aca="false">SUMIFS('Outages (event ledger)'!$H$2:$H$65,'Outages (event ledger)'!$A$2:$A$65,AR$2,'Outages (event ledger)'!$E$2:$E$65,"&lt;="&amp;$B158,'Outages (event ledger)'!$G$2:$G$65,"&gt;="&amp;$B158)</f>
        <v>0</v>
      </c>
      <c r="AS158" s="26" t="n">
        <f aca="false">SUMIFS('Outages (event ledger)'!$H$2:$H$65,'Outages (event ledger)'!$A$2:$A$65,AS$2,'Outages (event ledger)'!$E$2:$E$65,"&lt;="&amp;$B158,'Outages (event ledger)'!$G$2:$G$65,"&gt;="&amp;$B158)</f>
        <v>0</v>
      </c>
      <c r="AT158" s="26" t="n">
        <f aca="false">SUMIFS('Outages (event ledger)'!$H$2:$H$65,'Outages (event ledger)'!$A$2:$A$65,AT$2,'Outages (event ledger)'!$E$2:$E$65,"&lt;="&amp;$B158,'Outages (event ledger)'!$G$2:$G$65,"&gt;="&amp;$B158)</f>
        <v>0</v>
      </c>
      <c r="AU158" s="26" t="n">
        <f aca="false">SUMIFS('Outages (event ledger)'!$H$2:$H$65,'Outages (event ledger)'!$A$2:$A$65,AU$2,'Outages (event ledger)'!$E$2:$E$65,"&lt;="&amp;$B158,'Outages (event ledger)'!$G$2:$G$65,"&gt;="&amp;$B158)</f>
        <v>0</v>
      </c>
      <c r="AV158" s="26" t="n">
        <f aca="false">SUMIFS('Outages (event ledger)'!$H$2:$H$65,'Outages (event ledger)'!$A$2:$A$65,AV$2,'Outages (event ledger)'!$E$2:$E$65,"&lt;="&amp;$B158,'Outages (event ledger)'!$G$2:$G$65,"&gt;="&amp;$B158)</f>
        <v>0</v>
      </c>
      <c r="AW158" s="26" t="n">
        <f aca="false">SUMIFS('Outages (event ledger)'!$H$2:$H$65,'Outages (event ledger)'!$A$2:$A$65,AW$2,'Outages (event ledger)'!$E$2:$E$65,"&lt;="&amp;$B158,'Outages (event ledger)'!$G$2:$G$65,"&gt;="&amp;$B158)</f>
        <v>0</v>
      </c>
      <c r="AX158" s="26" t="n">
        <f aca="false">SUMIFS('Outages (event ledger)'!$H$2:$H$65,'Outages (event ledger)'!$A$2:$A$65,AX$2,'Outages (event ledger)'!$E$2:$E$65,"&lt;="&amp;$B158,'Outages (event ledger)'!$G$2:$G$65,"&gt;="&amp;$B158)</f>
        <v>6.6</v>
      </c>
      <c r="AY158" s="26" t="n">
        <f aca="false">SUMIFS('Outages (event ledger)'!$H$2:$H$65,'Outages (event ledger)'!$A$2:$A$65,AY$2,'Outages (event ledger)'!$E$2:$E$65,"&lt;="&amp;$B158,'Outages (event ledger)'!$G$2:$G$65,"&gt;="&amp;$B158)</f>
        <v>0</v>
      </c>
      <c r="AZ158" s="26" t="n">
        <f aca="false">SUMIFS('Outages (event ledger)'!$H$2:$H$65,'Outages (event ledger)'!$A$2:$A$65,AZ$2,'Outages (event ledger)'!$E$2:$E$65,"&lt;="&amp;$B158,'Outages (event ledger)'!$G$2:$G$65,"&gt;="&amp;$B158)</f>
        <v>2</v>
      </c>
      <c r="BA158" s="26" t="n">
        <f aca="false">SUMIFS('Outages (event ledger)'!$H$2:$H$65,'Outages (event ledger)'!$A$2:$A$65,BA$2,'Outages (event ledger)'!$E$2:$E$65,"&lt;="&amp;$B158,'Outages (event ledger)'!$G$2:$G$65,"&gt;="&amp;$B158)</f>
        <v>0.5</v>
      </c>
      <c r="BB158" s="26" t="n">
        <f aca="false">SUMIFS('Outages (event ledger)'!$H$2:$H$65,'Outages (event ledger)'!$A$2:$A$65,BB$2,'Outages (event ledger)'!$E$2:$E$65,"&lt;="&amp;$B158,'Outages (event ledger)'!$G$2:$G$65,"&gt;="&amp;$B158)</f>
        <v>0.5</v>
      </c>
      <c r="BC158" s="26" t="n">
        <f aca="false">SUMIFS('Outages (event ledger)'!$H$2:$H$65,'Outages (event ledger)'!$A$2:$A$65,BC$2,'Outages (event ledger)'!$E$2:$E$65,"&lt;="&amp;$B158,'Outages (event ledger)'!$G$2:$G$65,"&gt;="&amp;$B158)</f>
        <v>0</v>
      </c>
      <c r="BD158" s="26" t="n">
        <f aca="false">SUMIFS('Outages (event ledger)'!$H$2:$H$65,'Outages (event ledger)'!$A$2:$A$65,BD$2,'Outages (event ledger)'!$E$2:$E$65,"&lt;="&amp;$B158,'Outages (event ledger)'!$G$2:$G$65,"&gt;="&amp;$B158)</f>
        <v>0</v>
      </c>
      <c r="BE158" s="26" t="n">
        <f aca="false">SUMIFS('Outages (event ledger)'!$H$2:$H$65,'Outages (event ledger)'!$A$2:$A$65,BE$2,'Outages (event ledger)'!$E$2:$E$65,"&lt;="&amp;$B158,'Outages (event ledger)'!$G$2:$G$65,"&gt;="&amp;$B158)</f>
        <v>15</v>
      </c>
      <c r="BF158" s="26" t="n">
        <f aca="false">SUMIFS('Outages (event ledger)'!$H$2:$H$65,'Outages (event ledger)'!$A$2:$A$65,BF$2,'Outages (event ledger)'!$E$2:$E$65,"&lt;="&amp;$B158,'Outages (event ledger)'!$G$2:$G$65,"&gt;="&amp;$B158)</f>
        <v>0</v>
      </c>
      <c r="BG158" s="26" t="n">
        <f aca="false">SUMIFS('Outages (event ledger)'!$H$2:$H$65,'Outages (event ledger)'!$A$2:$A$65,BG$2,'Outages (event ledger)'!$E$2:$E$65,"&lt;="&amp;$B158,'Outages (event ledger)'!$G$2:$G$65,"&gt;="&amp;$B158)</f>
        <v>0</v>
      </c>
      <c r="BH158" s="26" t="n">
        <f aca="false">SUMIFS('Outages (event ledger)'!$H$2:$H$65,'Outages (event ledger)'!$A$2:$A$65,BH$2,'Outages (event ledger)'!$E$2:$E$65,"&lt;="&amp;$B158,'Outages (event ledger)'!$G$2:$G$65,"&gt;="&amp;$B158)</f>
        <v>1</v>
      </c>
      <c r="BI158" s="26" t="n">
        <f aca="false">SUMIFS('Outages (event ledger)'!$H$2:$H$65,'Outages (event ledger)'!$A$2:$A$65,BI$2,'Outages (event ledger)'!$E$2:$E$65,"&lt;="&amp;$B158,'Outages (event ledger)'!$G$2:$G$65,"&gt;="&amp;$B158)</f>
        <v>6.7</v>
      </c>
    </row>
    <row r="159" customFormat="false" ht="15" hidden="false" customHeight="false" outlineLevel="0" collapsed="false">
      <c r="A159" s="27" t="n">
        <v>44927</v>
      </c>
      <c r="B159" s="28" t="n">
        <v>202301</v>
      </c>
      <c r="C159" s="25" t="n">
        <f aca="false">SUM(D159:BI159)</f>
        <v>60.4</v>
      </c>
      <c r="D159" s="29" t="n">
        <f aca="false">SUMIFS('Outages (event ledger)'!$H$2:$H$65,'Outages (event ledger)'!$A$2:$A$65,D$2,'Outages (event ledger)'!$E$2:$E$65,"&lt;="&amp;$B159,'Outages (event ledger)'!$G$2:$G$65,"&gt;="&amp;$B159)</f>
        <v>0</v>
      </c>
      <c r="E159" s="29" t="n">
        <f aca="false">SUMIFS('Outages (event ledger)'!$H$2:$H$65,'Outages (event ledger)'!$A$2:$A$65,E$2,'Outages (event ledger)'!$E$2:$E$65,"&lt;="&amp;$B159,'Outages (event ledger)'!$G$2:$G$65,"&gt;="&amp;$B159)</f>
        <v>0</v>
      </c>
      <c r="F159" s="29" t="n">
        <f aca="false">SUMIFS('Outages (event ledger)'!$H$2:$H$65,'Outages (event ledger)'!$A$2:$A$65,F$2,'Outages (event ledger)'!$E$2:$E$65,"&lt;="&amp;$B159,'Outages (event ledger)'!$G$2:$G$65,"&gt;="&amp;$B159)</f>
        <v>0</v>
      </c>
      <c r="G159" s="29" t="n">
        <f aca="false">SUMIFS('Outages (event ledger)'!$H$2:$H$65,'Outages (event ledger)'!$A$2:$A$65,G$2,'Outages (event ledger)'!$E$2:$E$65,"&lt;="&amp;$B159,'Outages (event ledger)'!$G$2:$G$65,"&gt;="&amp;$B159)</f>
        <v>0</v>
      </c>
      <c r="H159" s="29" t="n">
        <f aca="false">SUMIFS('Outages (event ledger)'!$H$2:$H$65,'Outages (event ledger)'!$A$2:$A$65,H$2,'Outages (event ledger)'!$E$2:$E$65,"&lt;="&amp;$B159,'Outages (event ledger)'!$G$2:$G$65,"&gt;="&amp;$B159)</f>
        <v>0</v>
      </c>
      <c r="I159" s="29" t="n">
        <f aca="false">SUMIFS('Outages (event ledger)'!$H$2:$H$65,'Outages (event ledger)'!$A$2:$A$65,I$2,'Outages (event ledger)'!$E$2:$E$65,"&lt;="&amp;$B159,'Outages (event ledger)'!$G$2:$G$65,"&gt;="&amp;$B159)</f>
        <v>0</v>
      </c>
      <c r="J159" s="29" t="n">
        <f aca="false">SUMIFS('Outages (event ledger)'!$H$2:$H$65,'Outages (event ledger)'!$A$2:$A$65,J$2,'Outages (event ledger)'!$E$2:$E$65,"&lt;="&amp;$B159,'Outages (event ledger)'!$G$2:$G$65,"&gt;="&amp;$B159)</f>
        <v>0</v>
      </c>
      <c r="K159" s="29" t="n">
        <f aca="false">SUMIFS('Outages (event ledger)'!$H$2:$H$65,'Outages (event ledger)'!$A$2:$A$65,K$2,'Outages (event ledger)'!$E$2:$E$65,"&lt;="&amp;$B159,'Outages (event ledger)'!$G$2:$G$65,"&gt;="&amp;$B159)</f>
        <v>0</v>
      </c>
      <c r="L159" s="29" t="n">
        <f aca="false">SUMIFS('Outages (event ledger)'!$H$2:$H$65,'Outages (event ledger)'!$A$2:$A$65,L$2,'Outages (event ledger)'!$E$2:$E$65,"&lt;="&amp;$B159,'Outages (event ledger)'!$G$2:$G$65,"&gt;="&amp;$B159)</f>
        <v>0</v>
      </c>
      <c r="M159" s="29" t="n">
        <f aca="false">SUMIFS('Outages (event ledger)'!$H$2:$H$65,'Outages (event ledger)'!$A$2:$A$65,M$2,'Outages (event ledger)'!$E$2:$E$65,"&lt;="&amp;$B159,'Outages (event ledger)'!$G$2:$G$65,"&gt;="&amp;$B159)</f>
        <v>0</v>
      </c>
      <c r="N159" s="29" t="n">
        <f aca="false">SUMIFS('Outages (event ledger)'!$H$2:$H$65,'Outages (event ledger)'!$A$2:$A$65,N$2,'Outages (event ledger)'!$E$2:$E$65,"&lt;="&amp;$B159,'Outages (event ledger)'!$G$2:$G$65,"&gt;="&amp;$B159)</f>
        <v>0</v>
      </c>
      <c r="O159" s="29" t="n">
        <f aca="false">SUMIFS('Outages (event ledger)'!$H$2:$H$65,'Outages (event ledger)'!$A$2:$A$65,O$2,'Outages (event ledger)'!$E$2:$E$65,"&lt;="&amp;$B159,'Outages (event ledger)'!$G$2:$G$65,"&gt;="&amp;$B159)</f>
        <v>0</v>
      </c>
      <c r="P159" s="29" t="n">
        <f aca="false">SUMIFS('Outages (event ledger)'!$H$2:$H$65,'Outages (event ledger)'!$A$2:$A$65,P$2,'Outages (event ledger)'!$E$2:$E$65,"&lt;="&amp;$B159,'Outages (event ledger)'!$G$2:$G$65,"&gt;="&amp;$B159)</f>
        <v>3.6</v>
      </c>
      <c r="Q159" s="29" t="n">
        <f aca="false">SUMIFS('Outages (event ledger)'!$H$2:$H$65,'Outages (event ledger)'!$A$2:$A$65,Q$2,'Outages (event ledger)'!$E$2:$E$65,"&lt;="&amp;$B159,'Outages (event ledger)'!$G$2:$G$65,"&gt;="&amp;$B159)</f>
        <v>0</v>
      </c>
      <c r="R159" s="29" t="n">
        <f aca="false">SUMIFS('Outages (event ledger)'!$H$2:$H$65,'Outages (event ledger)'!$A$2:$A$65,R$2,'Outages (event ledger)'!$E$2:$E$65,"&lt;="&amp;$B159,'Outages (event ledger)'!$G$2:$G$65,"&gt;="&amp;$B159)</f>
        <v>0</v>
      </c>
      <c r="S159" s="29" t="n">
        <f aca="false">SUMIFS('Outages (event ledger)'!$H$2:$H$65,'Outages (event ledger)'!$A$2:$A$65,S$2,'Outages (event ledger)'!$E$2:$E$65,"&lt;="&amp;$B159,'Outages (event ledger)'!$G$2:$G$65,"&gt;="&amp;$B159)</f>
        <v>0</v>
      </c>
      <c r="T159" s="29" t="n">
        <f aca="false">SUMIFS('Outages (event ledger)'!$H$2:$H$65,'Outages (event ledger)'!$A$2:$A$65,T$2,'Outages (event ledger)'!$E$2:$E$65,"&lt;="&amp;$B159,'Outages (event ledger)'!$G$2:$G$65,"&gt;="&amp;$B159)</f>
        <v>0</v>
      </c>
      <c r="U159" s="29" t="n">
        <f aca="false">SUMIFS('Outages (event ledger)'!$H$2:$H$65,'Outages (event ledger)'!$A$2:$A$65,U$2,'Outages (event ledger)'!$E$2:$E$65,"&lt;="&amp;$B159,'Outages (event ledger)'!$G$2:$G$65,"&gt;="&amp;$B159)</f>
        <v>0</v>
      </c>
      <c r="V159" s="29" t="n">
        <f aca="false">SUMIFS('Outages (event ledger)'!$H$2:$H$65,'Outages (event ledger)'!$A$2:$A$65,V$2,'Outages (event ledger)'!$E$2:$E$65,"&lt;="&amp;$B159,'Outages (event ledger)'!$G$2:$G$65,"&gt;="&amp;$B159)</f>
        <v>0</v>
      </c>
      <c r="W159" s="29" t="n">
        <f aca="false">SUMIFS('Outages (event ledger)'!$H$2:$H$65,'Outages (event ledger)'!$A$2:$A$65,W$2,'Outages (event ledger)'!$E$2:$E$65,"&lt;="&amp;$B159,'Outages (event ledger)'!$G$2:$G$65,"&gt;="&amp;$B159)</f>
        <v>0</v>
      </c>
      <c r="X159" s="29" t="n">
        <f aca="false">SUMIFS('Outages (event ledger)'!$H$2:$H$65,'Outages (event ledger)'!$A$2:$A$65,X$2,'Outages (event ledger)'!$E$2:$E$65,"&lt;="&amp;$B159,'Outages (event ledger)'!$G$2:$G$65,"&gt;="&amp;$B159)</f>
        <v>0</v>
      </c>
      <c r="Y159" s="29" t="n">
        <f aca="false">SUMIFS('Outages (event ledger)'!$H$2:$H$65,'Outages (event ledger)'!$A$2:$A$65,Y$2,'Outages (event ledger)'!$E$2:$E$65,"&lt;="&amp;$B159,'Outages (event ledger)'!$G$2:$G$65,"&gt;="&amp;$B159)</f>
        <v>0</v>
      </c>
      <c r="Z159" s="29" t="n">
        <f aca="false">SUMIFS('Outages (event ledger)'!$H$2:$H$65,'Outages (event ledger)'!$A$2:$A$65,Z$2,'Outages (event ledger)'!$E$2:$E$65,"&lt;="&amp;$B159,'Outages (event ledger)'!$G$2:$G$65,"&gt;="&amp;$B159)</f>
        <v>4</v>
      </c>
      <c r="AA159" s="29" t="n">
        <f aca="false">SUMIFS('Outages (event ledger)'!$H$2:$H$65,'Outages (event ledger)'!$A$2:$A$65,AA$2,'Outages (event ledger)'!$E$2:$E$65,"&lt;="&amp;$B159,'Outages (event ledger)'!$G$2:$G$65,"&gt;="&amp;$B159)</f>
        <v>2</v>
      </c>
      <c r="AB159" s="29" t="n">
        <f aca="false">SUMIFS('Outages (event ledger)'!$H$2:$H$65,'Outages (event ledger)'!$A$2:$A$65,AB$2,'Outages (event ledger)'!$E$2:$E$65,"&lt;="&amp;$B159,'Outages (event ledger)'!$G$2:$G$65,"&gt;="&amp;$B159)</f>
        <v>8</v>
      </c>
      <c r="AC159" s="29" t="n">
        <f aca="false">SUMIFS('Outages (event ledger)'!$H$2:$H$65,'Outages (event ledger)'!$A$2:$A$65,AC$2,'Outages (event ledger)'!$E$2:$E$65,"&lt;="&amp;$B159,'Outages (event ledger)'!$G$2:$G$65,"&gt;="&amp;$B159)</f>
        <v>0</v>
      </c>
      <c r="AD159" s="29" t="n">
        <f aca="false">SUMIFS('Outages (event ledger)'!$H$2:$H$65,'Outages (event ledger)'!$A$2:$A$65,AD$2,'Outages (event ledger)'!$E$2:$E$65,"&lt;="&amp;$B159,'Outages (event ledger)'!$G$2:$G$65,"&gt;="&amp;$B159)</f>
        <v>0</v>
      </c>
      <c r="AE159" s="29" t="n">
        <f aca="false">SUMIFS('Outages (event ledger)'!$H$2:$H$65,'Outages (event ledger)'!$A$2:$A$65,AE$2,'Outages (event ledger)'!$E$2:$E$65,"&lt;="&amp;$B159,'Outages (event ledger)'!$G$2:$G$65,"&gt;="&amp;$B159)</f>
        <v>2.5</v>
      </c>
      <c r="AF159" s="29" t="n">
        <f aca="false">SUMIFS('Outages (event ledger)'!$H$2:$H$65,'Outages (event ledger)'!$A$2:$A$65,AF$2,'Outages (event ledger)'!$E$2:$E$65,"&lt;="&amp;$B159,'Outages (event ledger)'!$G$2:$G$65,"&gt;="&amp;$B159)</f>
        <v>0</v>
      </c>
      <c r="AG159" s="29" t="n">
        <f aca="false">SUMIFS('Outages (event ledger)'!$H$2:$H$65,'Outages (event ledger)'!$A$2:$A$65,AG$2,'Outages (event ledger)'!$E$2:$E$65,"&lt;="&amp;$B159,'Outages (event ledger)'!$G$2:$G$65,"&gt;="&amp;$B159)</f>
        <v>0</v>
      </c>
      <c r="AH159" s="29" t="n">
        <f aca="false">SUMIFS('Outages (event ledger)'!$H$2:$H$65,'Outages (event ledger)'!$A$2:$A$65,AH$2,'Outages (event ledger)'!$E$2:$E$65,"&lt;="&amp;$B159,'Outages (event ledger)'!$G$2:$G$65,"&gt;="&amp;$B159)</f>
        <v>0</v>
      </c>
      <c r="AI159" s="29" t="n">
        <f aca="false">SUMIFS('Outages (event ledger)'!$H$2:$H$65,'Outages (event ledger)'!$A$2:$A$65,AI$2,'Outages (event ledger)'!$E$2:$E$65,"&lt;="&amp;$B159,'Outages (event ledger)'!$G$2:$G$65,"&gt;="&amp;$B159)</f>
        <v>0</v>
      </c>
      <c r="AJ159" s="29" t="n">
        <f aca="false">SUMIFS('Outages (event ledger)'!$H$2:$H$65,'Outages (event ledger)'!$A$2:$A$65,AJ$2,'Outages (event ledger)'!$E$2:$E$65,"&lt;="&amp;$B159,'Outages (event ledger)'!$G$2:$G$65,"&gt;="&amp;$B159)</f>
        <v>0</v>
      </c>
      <c r="AK159" s="29" t="n">
        <f aca="false">SUMIFS('Outages (event ledger)'!$H$2:$H$65,'Outages (event ledger)'!$A$2:$A$65,AK$2,'Outages (event ledger)'!$E$2:$E$65,"&lt;="&amp;$B159,'Outages (event ledger)'!$G$2:$G$65,"&gt;="&amp;$B159)</f>
        <v>0</v>
      </c>
      <c r="AL159" s="29" t="n">
        <f aca="false">SUMIFS('Outages (event ledger)'!$H$2:$H$65,'Outages (event ledger)'!$A$2:$A$65,AL$2,'Outages (event ledger)'!$E$2:$E$65,"&lt;="&amp;$B159,'Outages (event ledger)'!$G$2:$G$65,"&gt;="&amp;$B159)</f>
        <v>10</v>
      </c>
      <c r="AM159" s="29" t="n">
        <f aca="false">SUMIFS('Outages (event ledger)'!$H$2:$H$65,'Outages (event ledger)'!$A$2:$A$65,AM$2,'Outages (event ledger)'!$E$2:$E$65,"&lt;="&amp;$B159,'Outages (event ledger)'!$G$2:$G$65,"&gt;="&amp;$B159)</f>
        <v>0</v>
      </c>
      <c r="AN159" s="29" t="n">
        <f aca="false">SUMIFS('Outages (event ledger)'!$H$2:$H$65,'Outages (event ledger)'!$A$2:$A$65,AN$2,'Outages (event ledger)'!$E$2:$E$65,"&lt;="&amp;$B159,'Outages (event ledger)'!$G$2:$G$65,"&gt;="&amp;$B159)</f>
        <v>0</v>
      </c>
      <c r="AO159" s="29" t="n">
        <f aca="false">SUMIFS('Outages (event ledger)'!$H$2:$H$65,'Outages (event ledger)'!$A$2:$A$65,AO$2,'Outages (event ledger)'!$E$2:$E$65,"&lt;="&amp;$B159,'Outages (event ledger)'!$G$2:$G$65,"&gt;="&amp;$B159)</f>
        <v>0</v>
      </c>
      <c r="AP159" s="29" t="n">
        <f aca="false">SUMIFS('Outages (event ledger)'!$H$2:$H$65,'Outages (event ledger)'!$A$2:$A$65,AP$2,'Outages (event ledger)'!$E$2:$E$65,"&lt;="&amp;$B159,'Outages (event ledger)'!$G$2:$G$65,"&gt;="&amp;$B159)</f>
        <v>0</v>
      </c>
      <c r="AQ159" s="29" t="n">
        <f aca="false">SUMIFS('Outages (event ledger)'!$H$2:$H$65,'Outages (event ledger)'!$A$2:$A$65,AQ$2,'Outages (event ledger)'!$E$2:$E$65,"&lt;="&amp;$B159,'Outages (event ledger)'!$G$2:$G$65,"&gt;="&amp;$B159)</f>
        <v>0</v>
      </c>
      <c r="AR159" s="29" t="n">
        <f aca="false">SUMIFS('Outages (event ledger)'!$H$2:$H$65,'Outages (event ledger)'!$A$2:$A$65,AR$2,'Outages (event ledger)'!$E$2:$E$65,"&lt;="&amp;$B159,'Outages (event ledger)'!$G$2:$G$65,"&gt;="&amp;$B159)</f>
        <v>0</v>
      </c>
      <c r="AS159" s="29" t="n">
        <f aca="false">SUMIFS('Outages (event ledger)'!$H$2:$H$65,'Outages (event ledger)'!$A$2:$A$65,AS$2,'Outages (event ledger)'!$E$2:$E$65,"&lt;="&amp;$B159,'Outages (event ledger)'!$G$2:$G$65,"&gt;="&amp;$B159)</f>
        <v>0</v>
      </c>
      <c r="AT159" s="29" t="n">
        <f aca="false">SUMIFS('Outages (event ledger)'!$H$2:$H$65,'Outages (event ledger)'!$A$2:$A$65,AT$2,'Outages (event ledger)'!$E$2:$E$65,"&lt;="&amp;$B159,'Outages (event ledger)'!$G$2:$G$65,"&gt;="&amp;$B159)</f>
        <v>0</v>
      </c>
      <c r="AU159" s="29" t="n">
        <f aca="false">SUMIFS('Outages (event ledger)'!$H$2:$H$65,'Outages (event ledger)'!$A$2:$A$65,AU$2,'Outages (event ledger)'!$E$2:$E$65,"&lt;="&amp;$B159,'Outages (event ledger)'!$G$2:$G$65,"&gt;="&amp;$B159)</f>
        <v>0</v>
      </c>
      <c r="AV159" s="29" t="n">
        <f aca="false">SUMIFS('Outages (event ledger)'!$H$2:$H$65,'Outages (event ledger)'!$A$2:$A$65,AV$2,'Outages (event ledger)'!$E$2:$E$65,"&lt;="&amp;$B159,'Outages (event ledger)'!$G$2:$G$65,"&gt;="&amp;$B159)</f>
        <v>0</v>
      </c>
      <c r="AW159" s="29" t="n">
        <f aca="false">SUMIFS('Outages (event ledger)'!$H$2:$H$65,'Outages (event ledger)'!$A$2:$A$65,AW$2,'Outages (event ledger)'!$E$2:$E$65,"&lt;="&amp;$B159,'Outages (event ledger)'!$G$2:$G$65,"&gt;="&amp;$B159)</f>
        <v>0</v>
      </c>
      <c r="AX159" s="29" t="n">
        <f aca="false">SUMIFS('Outages (event ledger)'!$H$2:$H$65,'Outages (event ledger)'!$A$2:$A$65,AX$2,'Outages (event ledger)'!$E$2:$E$65,"&lt;="&amp;$B159,'Outages (event ledger)'!$G$2:$G$65,"&gt;="&amp;$B159)</f>
        <v>6.6</v>
      </c>
      <c r="AY159" s="29" t="n">
        <f aca="false">SUMIFS('Outages (event ledger)'!$H$2:$H$65,'Outages (event ledger)'!$A$2:$A$65,AY$2,'Outages (event ledger)'!$E$2:$E$65,"&lt;="&amp;$B159,'Outages (event ledger)'!$G$2:$G$65,"&gt;="&amp;$B159)</f>
        <v>0</v>
      </c>
      <c r="AZ159" s="29" t="n">
        <f aca="false">SUMIFS('Outages (event ledger)'!$H$2:$H$65,'Outages (event ledger)'!$A$2:$A$65,AZ$2,'Outages (event ledger)'!$E$2:$E$65,"&lt;="&amp;$B159,'Outages (event ledger)'!$G$2:$G$65,"&gt;="&amp;$B159)</f>
        <v>2</v>
      </c>
      <c r="BA159" s="29" t="n">
        <f aca="false">SUMIFS('Outages (event ledger)'!$H$2:$H$65,'Outages (event ledger)'!$A$2:$A$65,BA$2,'Outages (event ledger)'!$E$2:$E$65,"&lt;="&amp;$B159,'Outages (event ledger)'!$G$2:$G$65,"&gt;="&amp;$B159)</f>
        <v>0</v>
      </c>
      <c r="BB159" s="29" t="n">
        <f aca="false">SUMIFS('Outages (event ledger)'!$H$2:$H$65,'Outages (event ledger)'!$A$2:$A$65,BB$2,'Outages (event ledger)'!$E$2:$E$65,"&lt;="&amp;$B159,'Outages (event ledger)'!$G$2:$G$65,"&gt;="&amp;$B159)</f>
        <v>0</v>
      </c>
      <c r="BC159" s="29" t="n">
        <f aca="false">SUMIFS('Outages (event ledger)'!$H$2:$H$65,'Outages (event ledger)'!$A$2:$A$65,BC$2,'Outages (event ledger)'!$E$2:$E$65,"&lt;="&amp;$B159,'Outages (event ledger)'!$G$2:$G$65,"&gt;="&amp;$B159)</f>
        <v>0</v>
      </c>
      <c r="BD159" s="29" t="n">
        <f aca="false">SUMIFS('Outages (event ledger)'!$H$2:$H$65,'Outages (event ledger)'!$A$2:$A$65,BD$2,'Outages (event ledger)'!$E$2:$E$65,"&lt;="&amp;$B159,'Outages (event ledger)'!$G$2:$G$65,"&gt;="&amp;$B159)</f>
        <v>0</v>
      </c>
      <c r="BE159" s="29" t="n">
        <f aca="false">SUMIFS('Outages (event ledger)'!$H$2:$H$65,'Outages (event ledger)'!$A$2:$A$65,BE$2,'Outages (event ledger)'!$E$2:$E$65,"&lt;="&amp;$B159,'Outages (event ledger)'!$G$2:$G$65,"&gt;="&amp;$B159)</f>
        <v>15</v>
      </c>
      <c r="BF159" s="29" t="n">
        <f aca="false">SUMIFS('Outages (event ledger)'!$H$2:$H$65,'Outages (event ledger)'!$A$2:$A$65,BF$2,'Outages (event ledger)'!$E$2:$E$65,"&lt;="&amp;$B159,'Outages (event ledger)'!$G$2:$G$65,"&gt;="&amp;$B159)</f>
        <v>0</v>
      </c>
      <c r="BG159" s="29" t="n">
        <f aca="false">SUMIFS('Outages (event ledger)'!$H$2:$H$65,'Outages (event ledger)'!$A$2:$A$65,BG$2,'Outages (event ledger)'!$E$2:$E$65,"&lt;="&amp;$B159,'Outages (event ledger)'!$G$2:$G$65,"&gt;="&amp;$B159)</f>
        <v>0</v>
      </c>
      <c r="BH159" s="29" t="n">
        <f aca="false">SUMIFS('Outages (event ledger)'!$H$2:$H$65,'Outages (event ledger)'!$A$2:$A$65,BH$2,'Outages (event ledger)'!$E$2:$E$65,"&lt;="&amp;$B159,'Outages (event ledger)'!$G$2:$G$65,"&gt;="&amp;$B159)</f>
        <v>0</v>
      </c>
      <c r="BI159" s="29" t="n">
        <f aca="false">SUMIFS('Outages (event ledger)'!$H$2:$H$65,'Outages (event ledger)'!$A$2:$A$65,BI$2,'Outages (event ledger)'!$E$2:$E$65,"&lt;="&amp;$B159,'Outages (event ledger)'!$G$2:$G$65,"&gt;="&amp;$B159)</f>
        <v>6.7</v>
      </c>
    </row>
    <row r="160" customFormat="false" ht="15" hidden="false" customHeight="false" outlineLevel="0" collapsed="false">
      <c r="A160" s="27" t="n">
        <v>44958</v>
      </c>
      <c r="B160" s="28" t="n">
        <v>202302</v>
      </c>
      <c r="C160" s="25" t="n">
        <f aca="false">SUM(D160:BI160)</f>
        <v>53.8</v>
      </c>
      <c r="D160" s="29" t="n">
        <f aca="false">SUMIFS('Outages (event ledger)'!$H$2:$H$65,'Outages (event ledger)'!$A$2:$A$65,D$2,'Outages (event ledger)'!$E$2:$E$65,"&lt;="&amp;$B160,'Outages (event ledger)'!$G$2:$G$65,"&gt;="&amp;$B160)</f>
        <v>0</v>
      </c>
      <c r="E160" s="29" t="n">
        <f aca="false">SUMIFS('Outages (event ledger)'!$H$2:$H$65,'Outages (event ledger)'!$A$2:$A$65,E$2,'Outages (event ledger)'!$E$2:$E$65,"&lt;="&amp;$B160,'Outages (event ledger)'!$G$2:$G$65,"&gt;="&amp;$B160)</f>
        <v>0</v>
      </c>
      <c r="F160" s="29" t="n">
        <f aca="false">SUMIFS('Outages (event ledger)'!$H$2:$H$65,'Outages (event ledger)'!$A$2:$A$65,F$2,'Outages (event ledger)'!$E$2:$E$65,"&lt;="&amp;$B160,'Outages (event ledger)'!$G$2:$G$65,"&gt;="&amp;$B160)</f>
        <v>0</v>
      </c>
      <c r="G160" s="29" t="n">
        <f aca="false">SUMIFS('Outages (event ledger)'!$H$2:$H$65,'Outages (event ledger)'!$A$2:$A$65,G$2,'Outages (event ledger)'!$E$2:$E$65,"&lt;="&amp;$B160,'Outages (event ledger)'!$G$2:$G$65,"&gt;="&amp;$B160)</f>
        <v>0</v>
      </c>
      <c r="H160" s="29" t="n">
        <f aca="false">SUMIFS('Outages (event ledger)'!$H$2:$H$65,'Outages (event ledger)'!$A$2:$A$65,H$2,'Outages (event ledger)'!$E$2:$E$65,"&lt;="&amp;$B160,'Outages (event ledger)'!$G$2:$G$65,"&gt;="&amp;$B160)</f>
        <v>0</v>
      </c>
      <c r="I160" s="29" t="n">
        <f aca="false">SUMIFS('Outages (event ledger)'!$H$2:$H$65,'Outages (event ledger)'!$A$2:$A$65,I$2,'Outages (event ledger)'!$E$2:$E$65,"&lt;="&amp;$B160,'Outages (event ledger)'!$G$2:$G$65,"&gt;="&amp;$B160)</f>
        <v>0</v>
      </c>
      <c r="J160" s="29" t="n">
        <f aca="false">SUMIFS('Outages (event ledger)'!$H$2:$H$65,'Outages (event ledger)'!$A$2:$A$65,J$2,'Outages (event ledger)'!$E$2:$E$65,"&lt;="&amp;$B160,'Outages (event ledger)'!$G$2:$G$65,"&gt;="&amp;$B160)</f>
        <v>0</v>
      </c>
      <c r="K160" s="29" t="n">
        <f aca="false">SUMIFS('Outages (event ledger)'!$H$2:$H$65,'Outages (event ledger)'!$A$2:$A$65,K$2,'Outages (event ledger)'!$E$2:$E$65,"&lt;="&amp;$B160,'Outages (event ledger)'!$G$2:$G$65,"&gt;="&amp;$B160)</f>
        <v>0</v>
      </c>
      <c r="L160" s="29" t="n">
        <f aca="false">SUMIFS('Outages (event ledger)'!$H$2:$H$65,'Outages (event ledger)'!$A$2:$A$65,L$2,'Outages (event ledger)'!$E$2:$E$65,"&lt;="&amp;$B160,'Outages (event ledger)'!$G$2:$G$65,"&gt;="&amp;$B160)</f>
        <v>0</v>
      </c>
      <c r="M160" s="29" t="n">
        <f aca="false">SUMIFS('Outages (event ledger)'!$H$2:$H$65,'Outages (event ledger)'!$A$2:$A$65,M$2,'Outages (event ledger)'!$E$2:$E$65,"&lt;="&amp;$B160,'Outages (event ledger)'!$G$2:$G$65,"&gt;="&amp;$B160)</f>
        <v>0</v>
      </c>
      <c r="N160" s="29" t="n">
        <f aca="false">SUMIFS('Outages (event ledger)'!$H$2:$H$65,'Outages (event ledger)'!$A$2:$A$65,N$2,'Outages (event ledger)'!$E$2:$E$65,"&lt;="&amp;$B160,'Outages (event ledger)'!$G$2:$G$65,"&gt;="&amp;$B160)</f>
        <v>0</v>
      </c>
      <c r="O160" s="29" t="n">
        <f aca="false">SUMIFS('Outages (event ledger)'!$H$2:$H$65,'Outages (event ledger)'!$A$2:$A$65,O$2,'Outages (event ledger)'!$E$2:$E$65,"&lt;="&amp;$B160,'Outages (event ledger)'!$G$2:$G$65,"&gt;="&amp;$B160)</f>
        <v>0</v>
      </c>
      <c r="P160" s="29" t="n">
        <f aca="false">SUMIFS('Outages (event ledger)'!$H$2:$H$65,'Outages (event ledger)'!$A$2:$A$65,P$2,'Outages (event ledger)'!$E$2:$E$65,"&lt;="&amp;$B160,'Outages (event ledger)'!$G$2:$G$65,"&gt;="&amp;$B160)</f>
        <v>0</v>
      </c>
      <c r="Q160" s="29" t="n">
        <f aca="false">SUMIFS('Outages (event ledger)'!$H$2:$H$65,'Outages (event ledger)'!$A$2:$A$65,Q$2,'Outages (event ledger)'!$E$2:$E$65,"&lt;="&amp;$B160,'Outages (event ledger)'!$G$2:$G$65,"&gt;="&amp;$B160)</f>
        <v>0</v>
      </c>
      <c r="R160" s="29" t="n">
        <f aca="false">SUMIFS('Outages (event ledger)'!$H$2:$H$65,'Outages (event ledger)'!$A$2:$A$65,R$2,'Outages (event ledger)'!$E$2:$E$65,"&lt;="&amp;$B160,'Outages (event ledger)'!$G$2:$G$65,"&gt;="&amp;$B160)</f>
        <v>0</v>
      </c>
      <c r="S160" s="29" t="n">
        <f aca="false">SUMIFS('Outages (event ledger)'!$H$2:$H$65,'Outages (event ledger)'!$A$2:$A$65,S$2,'Outages (event ledger)'!$E$2:$E$65,"&lt;="&amp;$B160,'Outages (event ledger)'!$G$2:$G$65,"&gt;="&amp;$B160)</f>
        <v>0</v>
      </c>
      <c r="T160" s="29" t="n">
        <f aca="false">SUMIFS('Outages (event ledger)'!$H$2:$H$65,'Outages (event ledger)'!$A$2:$A$65,T$2,'Outages (event ledger)'!$E$2:$E$65,"&lt;="&amp;$B160,'Outages (event ledger)'!$G$2:$G$65,"&gt;="&amp;$B160)</f>
        <v>0</v>
      </c>
      <c r="U160" s="29" t="n">
        <f aca="false">SUMIFS('Outages (event ledger)'!$H$2:$H$65,'Outages (event ledger)'!$A$2:$A$65,U$2,'Outages (event ledger)'!$E$2:$E$65,"&lt;="&amp;$B160,'Outages (event ledger)'!$G$2:$G$65,"&gt;="&amp;$B160)</f>
        <v>0</v>
      </c>
      <c r="V160" s="29" t="n">
        <f aca="false">SUMIFS('Outages (event ledger)'!$H$2:$H$65,'Outages (event ledger)'!$A$2:$A$65,V$2,'Outages (event ledger)'!$E$2:$E$65,"&lt;="&amp;$B160,'Outages (event ledger)'!$G$2:$G$65,"&gt;="&amp;$B160)</f>
        <v>0</v>
      </c>
      <c r="W160" s="29" t="n">
        <f aca="false">SUMIFS('Outages (event ledger)'!$H$2:$H$65,'Outages (event ledger)'!$A$2:$A$65,W$2,'Outages (event ledger)'!$E$2:$E$65,"&lt;="&amp;$B160,'Outages (event ledger)'!$G$2:$G$65,"&gt;="&amp;$B160)</f>
        <v>0</v>
      </c>
      <c r="X160" s="29" t="n">
        <f aca="false">SUMIFS('Outages (event ledger)'!$H$2:$H$65,'Outages (event ledger)'!$A$2:$A$65,X$2,'Outages (event ledger)'!$E$2:$E$65,"&lt;="&amp;$B160,'Outages (event ledger)'!$G$2:$G$65,"&gt;="&amp;$B160)</f>
        <v>0</v>
      </c>
      <c r="Y160" s="29" t="n">
        <f aca="false">SUMIFS('Outages (event ledger)'!$H$2:$H$65,'Outages (event ledger)'!$A$2:$A$65,Y$2,'Outages (event ledger)'!$E$2:$E$65,"&lt;="&amp;$B160,'Outages (event ledger)'!$G$2:$G$65,"&gt;="&amp;$B160)</f>
        <v>0</v>
      </c>
      <c r="Z160" s="29" t="n">
        <f aca="false">SUMIFS('Outages (event ledger)'!$H$2:$H$65,'Outages (event ledger)'!$A$2:$A$65,Z$2,'Outages (event ledger)'!$E$2:$E$65,"&lt;="&amp;$B160,'Outages (event ledger)'!$G$2:$G$65,"&gt;="&amp;$B160)</f>
        <v>4</v>
      </c>
      <c r="AA160" s="29" t="n">
        <f aca="false">SUMIFS('Outages (event ledger)'!$H$2:$H$65,'Outages (event ledger)'!$A$2:$A$65,AA$2,'Outages (event ledger)'!$E$2:$E$65,"&lt;="&amp;$B160,'Outages (event ledger)'!$G$2:$G$65,"&gt;="&amp;$B160)</f>
        <v>2</v>
      </c>
      <c r="AB160" s="29" t="n">
        <f aca="false">SUMIFS('Outages (event ledger)'!$H$2:$H$65,'Outages (event ledger)'!$A$2:$A$65,AB$2,'Outages (event ledger)'!$E$2:$E$65,"&lt;="&amp;$B160,'Outages (event ledger)'!$G$2:$G$65,"&gt;="&amp;$B160)</f>
        <v>8</v>
      </c>
      <c r="AC160" s="29" t="n">
        <f aca="false">SUMIFS('Outages (event ledger)'!$H$2:$H$65,'Outages (event ledger)'!$A$2:$A$65,AC$2,'Outages (event ledger)'!$E$2:$E$65,"&lt;="&amp;$B160,'Outages (event ledger)'!$G$2:$G$65,"&gt;="&amp;$B160)</f>
        <v>0</v>
      </c>
      <c r="AD160" s="29" t="n">
        <f aca="false">SUMIFS('Outages (event ledger)'!$H$2:$H$65,'Outages (event ledger)'!$A$2:$A$65,AD$2,'Outages (event ledger)'!$E$2:$E$65,"&lt;="&amp;$B160,'Outages (event ledger)'!$G$2:$G$65,"&gt;="&amp;$B160)</f>
        <v>0</v>
      </c>
      <c r="AE160" s="29" t="n">
        <f aca="false">SUMIFS('Outages (event ledger)'!$H$2:$H$65,'Outages (event ledger)'!$A$2:$A$65,AE$2,'Outages (event ledger)'!$E$2:$E$65,"&lt;="&amp;$B160,'Outages (event ledger)'!$G$2:$G$65,"&gt;="&amp;$B160)</f>
        <v>2.5</v>
      </c>
      <c r="AF160" s="29" t="n">
        <f aca="false">SUMIFS('Outages (event ledger)'!$H$2:$H$65,'Outages (event ledger)'!$A$2:$A$65,AF$2,'Outages (event ledger)'!$E$2:$E$65,"&lt;="&amp;$B160,'Outages (event ledger)'!$G$2:$G$65,"&gt;="&amp;$B160)</f>
        <v>0</v>
      </c>
      <c r="AG160" s="29" t="n">
        <f aca="false">SUMIFS('Outages (event ledger)'!$H$2:$H$65,'Outages (event ledger)'!$A$2:$A$65,AG$2,'Outages (event ledger)'!$E$2:$E$65,"&lt;="&amp;$B160,'Outages (event ledger)'!$G$2:$G$65,"&gt;="&amp;$B160)</f>
        <v>0</v>
      </c>
      <c r="AH160" s="29" t="n">
        <f aca="false">SUMIFS('Outages (event ledger)'!$H$2:$H$65,'Outages (event ledger)'!$A$2:$A$65,AH$2,'Outages (event ledger)'!$E$2:$E$65,"&lt;="&amp;$B160,'Outages (event ledger)'!$G$2:$G$65,"&gt;="&amp;$B160)</f>
        <v>0</v>
      </c>
      <c r="AI160" s="29" t="n">
        <f aca="false">SUMIFS('Outages (event ledger)'!$H$2:$H$65,'Outages (event ledger)'!$A$2:$A$65,AI$2,'Outages (event ledger)'!$E$2:$E$65,"&lt;="&amp;$B160,'Outages (event ledger)'!$G$2:$G$65,"&gt;="&amp;$B160)</f>
        <v>0</v>
      </c>
      <c r="AJ160" s="29" t="n">
        <f aca="false">SUMIFS('Outages (event ledger)'!$H$2:$H$65,'Outages (event ledger)'!$A$2:$A$65,AJ$2,'Outages (event ledger)'!$E$2:$E$65,"&lt;="&amp;$B160,'Outages (event ledger)'!$G$2:$G$65,"&gt;="&amp;$B160)</f>
        <v>0</v>
      </c>
      <c r="AK160" s="29" t="n">
        <f aca="false">SUMIFS('Outages (event ledger)'!$H$2:$H$65,'Outages (event ledger)'!$A$2:$A$65,AK$2,'Outages (event ledger)'!$E$2:$E$65,"&lt;="&amp;$B160,'Outages (event ledger)'!$G$2:$G$65,"&gt;="&amp;$B160)</f>
        <v>0</v>
      </c>
      <c r="AL160" s="29" t="n">
        <f aca="false">SUMIFS('Outages (event ledger)'!$H$2:$H$65,'Outages (event ledger)'!$A$2:$A$65,AL$2,'Outages (event ledger)'!$E$2:$E$65,"&lt;="&amp;$B160,'Outages (event ledger)'!$G$2:$G$65,"&gt;="&amp;$B160)</f>
        <v>10</v>
      </c>
      <c r="AM160" s="29" t="n">
        <f aca="false">SUMIFS('Outages (event ledger)'!$H$2:$H$65,'Outages (event ledger)'!$A$2:$A$65,AM$2,'Outages (event ledger)'!$E$2:$E$65,"&lt;="&amp;$B160,'Outages (event ledger)'!$G$2:$G$65,"&gt;="&amp;$B160)</f>
        <v>0</v>
      </c>
      <c r="AN160" s="29" t="n">
        <f aca="false">SUMIFS('Outages (event ledger)'!$H$2:$H$65,'Outages (event ledger)'!$A$2:$A$65,AN$2,'Outages (event ledger)'!$E$2:$E$65,"&lt;="&amp;$B160,'Outages (event ledger)'!$G$2:$G$65,"&gt;="&amp;$B160)</f>
        <v>0</v>
      </c>
      <c r="AO160" s="29" t="n">
        <f aca="false">SUMIFS('Outages (event ledger)'!$H$2:$H$65,'Outages (event ledger)'!$A$2:$A$65,AO$2,'Outages (event ledger)'!$E$2:$E$65,"&lt;="&amp;$B160,'Outages (event ledger)'!$G$2:$G$65,"&gt;="&amp;$B160)</f>
        <v>0</v>
      </c>
      <c r="AP160" s="29" t="n">
        <f aca="false">SUMIFS('Outages (event ledger)'!$H$2:$H$65,'Outages (event ledger)'!$A$2:$A$65,AP$2,'Outages (event ledger)'!$E$2:$E$65,"&lt;="&amp;$B160,'Outages (event ledger)'!$G$2:$G$65,"&gt;="&amp;$B160)</f>
        <v>0</v>
      </c>
      <c r="AQ160" s="29" t="n">
        <f aca="false">SUMIFS('Outages (event ledger)'!$H$2:$H$65,'Outages (event ledger)'!$A$2:$A$65,AQ$2,'Outages (event ledger)'!$E$2:$E$65,"&lt;="&amp;$B160,'Outages (event ledger)'!$G$2:$G$65,"&gt;="&amp;$B160)</f>
        <v>0</v>
      </c>
      <c r="AR160" s="29" t="n">
        <f aca="false">SUMIFS('Outages (event ledger)'!$H$2:$H$65,'Outages (event ledger)'!$A$2:$A$65,AR$2,'Outages (event ledger)'!$E$2:$E$65,"&lt;="&amp;$B160,'Outages (event ledger)'!$G$2:$G$65,"&gt;="&amp;$B160)</f>
        <v>0</v>
      </c>
      <c r="AS160" s="29" t="n">
        <f aca="false">SUMIFS('Outages (event ledger)'!$H$2:$H$65,'Outages (event ledger)'!$A$2:$A$65,AS$2,'Outages (event ledger)'!$E$2:$E$65,"&lt;="&amp;$B160,'Outages (event ledger)'!$G$2:$G$65,"&gt;="&amp;$B160)</f>
        <v>0</v>
      </c>
      <c r="AT160" s="29" t="n">
        <f aca="false">SUMIFS('Outages (event ledger)'!$H$2:$H$65,'Outages (event ledger)'!$A$2:$A$65,AT$2,'Outages (event ledger)'!$E$2:$E$65,"&lt;="&amp;$B160,'Outages (event ledger)'!$G$2:$G$65,"&gt;="&amp;$B160)</f>
        <v>0</v>
      </c>
      <c r="AU160" s="29" t="n">
        <f aca="false">SUMIFS('Outages (event ledger)'!$H$2:$H$65,'Outages (event ledger)'!$A$2:$A$65,AU$2,'Outages (event ledger)'!$E$2:$E$65,"&lt;="&amp;$B160,'Outages (event ledger)'!$G$2:$G$65,"&gt;="&amp;$B160)</f>
        <v>0</v>
      </c>
      <c r="AV160" s="29" t="n">
        <f aca="false">SUMIFS('Outages (event ledger)'!$H$2:$H$65,'Outages (event ledger)'!$A$2:$A$65,AV$2,'Outages (event ledger)'!$E$2:$E$65,"&lt;="&amp;$B160,'Outages (event ledger)'!$G$2:$G$65,"&gt;="&amp;$B160)</f>
        <v>0</v>
      </c>
      <c r="AW160" s="29" t="n">
        <f aca="false">SUMIFS('Outages (event ledger)'!$H$2:$H$65,'Outages (event ledger)'!$A$2:$A$65,AW$2,'Outages (event ledger)'!$E$2:$E$65,"&lt;="&amp;$B160,'Outages (event ledger)'!$G$2:$G$65,"&gt;="&amp;$B160)</f>
        <v>0</v>
      </c>
      <c r="AX160" s="29" t="n">
        <f aca="false">SUMIFS('Outages (event ledger)'!$H$2:$H$65,'Outages (event ledger)'!$A$2:$A$65,AX$2,'Outages (event ledger)'!$E$2:$E$65,"&lt;="&amp;$B160,'Outages (event ledger)'!$G$2:$G$65,"&gt;="&amp;$B160)</f>
        <v>6.6</v>
      </c>
      <c r="AY160" s="29" t="n">
        <f aca="false">SUMIFS('Outages (event ledger)'!$H$2:$H$65,'Outages (event ledger)'!$A$2:$A$65,AY$2,'Outages (event ledger)'!$E$2:$E$65,"&lt;="&amp;$B160,'Outages (event ledger)'!$G$2:$G$65,"&gt;="&amp;$B160)</f>
        <v>0</v>
      </c>
      <c r="AZ160" s="29" t="n">
        <f aca="false">SUMIFS('Outages (event ledger)'!$H$2:$H$65,'Outages (event ledger)'!$A$2:$A$65,AZ$2,'Outages (event ledger)'!$E$2:$E$65,"&lt;="&amp;$B160,'Outages (event ledger)'!$G$2:$G$65,"&gt;="&amp;$B160)</f>
        <v>2</v>
      </c>
      <c r="BA160" s="29" t="n">
        <f aca="false">SUMIFS('Outages (event ledger)'!$H$2:$H$65,'Outages (event ledger)'!$A$2:$A$65,BA$2,'Outages (event ledger)'!$E$2:$E$65,"&lt;="&amp;$B160,'Outages (event ledger)'!$G$2:$G$65,"&gt;="&amp;$B160)</f>
        <v>0</v>
      </c>
      <c r="BB160" s="29" t="n">
        <f aca="false">SUMIFS('Outages (event ledger)'!$H$2:$H$65,'Outages (event ledger)'!$A$2:$A$65,BB$2,'Outages (event ledger)'!$E$2:$E$65,"&lt;="&amp;$B160,'Outages (event ledger)'!$G$2:$G$65,"&gt;="&amp;$B160)</f>
        <v>0</v>
      </c>
      <c r="BC160" s="29" t="n">
        <f aca="false">SUMIFS('Outages (event ledger)'!$H$2:$H$65,'Outages (event ledger)'!$A$2:$A$65,BC$2,'Outages (event ledger)'!$E$2:$E$65,"&lt;="&amp;$B160,'Outages (event ledger)'!$G$2:$G$65,"&gt;="&amp;$B160)</f>
        <v>0</v>
      </c>
      <c r="BD160" s="29" t="n">
        <f aca="false">SUMIFS('Outages (event ledger)'!$H$2:$H$65,'Outages (event ledger)'!$A$2:$A$65,BD$2,'Outages (event ledger)'!$E$2:$E$65,"&lt;="&amp;$B160,'Outages (event ledger)'!$G$2:$G$65,"&gt;="&amp;$B160)</f>
        <v>0</v>
      </c>
      <c r="BE160" s="29" t="n">
        <f aca="false">SUMIFS('Outages (event ledger)'!$H$2:$H$65,'Outages (event ledger)'!$A$2:$A$65,BE$2,'Outages (event ledger)'!$E$2:$E$65,"&lt;="&amp;$B160,'Outages (event ledger)'!$G$2:$G$65,"&gt;="&amp;$B160)</f>
        <v>12</v>
      </c>
      <c r="BF160" s="29" t="n">
        <f aca="false">SUMIFS('Outages (event ledger)'!$H$2:$H$65,'Outages (event ledger)'!$A$2:$A$65,BF$2,'Outages (event ledger)'!$E$2:$E$65,"&lt;="&amp;$B160,'Outages (event ledger)'!$G$2:$G$65,"&gt;="&amp;$B160)</f>
        <v>0</v>
      </c>
      <c r="BG160" s="29" t="n">
        <f aca="false">SUMIFS('Outages (event ledger)'!$H$2:$H$65,'Outages (event ledger)'!$A$2:$A$65,BG$2,'Outages (event ledger)'!$E$2:$E$65,"&lt;="&amp;$B160,'Outages (event ledger)'!$G$2:$G$65,"&gt;="&amp;$B160)</f>
        <v>0</v>
      </c>
      <c r="BH160" s="29" t="n">
        <f aca="false">SUMIFS('Outages (event ledger)'!$H$2:$H$65,'Outages (event ledger)'!$A$2:$A$65,BH$2,'Outages (event ledger)'!$E$2:$E$65,"&lt;="&amp;$B160,'Outages (event ledger)'!$G$2:$G$65,"&gt;="&amp;$B160)</f>
        <v>0</v>
      </c>
      <c r="BI160" s="29" t="n">
        <f aca="false">SUMIFS('Outages (event ledger)'!$H$2:$H$65,'Outages (event ledger)'!$A$2:$A$65,BI$2,'Outages (event ledger)'!$E$2:$E$65,"&lt;="&amp;$B160,'Outages (event ledger)'!$G$2:$G$65,"&gt;="&amp;$B160)</f>
        <v>6.7</v>
      </c>
    </row>
    <row r="161" customFormat="false" ht="15" hidden="false" customHeight="false" outlineLevel="0" collapsed="false">
      <c r="A161" s="27" t="n">
        <v>44986</v>
      </c>
      <c r="B161" s="28" t="n">
        <v>202303</v>
      </c>
      <c r="C161" s="25" t="n">
        <f aca="false">SUM(D161:BI161)</f>
        <v>46.8</v>
      </c>
      <c r="D161" s="29" t="n">
        <f aca="false">SUMIFS('Outages (event ledger)'!$H$2:$H$65,'Outages (event ledger)'!$A$2:$A$65,D$2,'Outages (event ledger)'!$E$2:$E$65,"&lt;="&amp;$B161,'Outages (event ledger)'!$G$2:$G$65,"&gt;="&amp;$B161)</f>
        <v>0</v>
      </c>
      <c r="E161" s="29" t="n">
        <f aca="false">SUMIFS('Outages (event ledger)'!$H$2:$H$65,'Outages (event ledger)'!$A$2:$A$65,E$2,'Outages (event ledger)'!$E$2:$E$65,"&lt;="&amp;$B161,'Outages (event ledger)'!$G$2:$G$65,"&gt;="&amp;$B161)</f>
        <v>0</v>
      </c>
      <c r="F161" s="29" t="n">
        <f aca="false">SUMIFS('Outages (event ledger)'!$H$2:$H$65,'Outages (event ledger)'!$A$2:$A$65,F$2,'Outages (event ledger)'!$E$2:$E$65,"&lt;="&amp;$B161,'Outages (event ledger)'!$G$2:$G$65,"&gt;="&amp;$B161)</f>
        <v>0</v>
      </c>
      <c r="G161" s="29" t="n">
        <f aca="false">SUMIFS('Outages (event ledger)'!$H$2:$H$65,'Outages (event ledger)'!$A$2:$A$65,G$2,'Outages (event ledger)'!$E$2:$E$65,"&lt;="&amp;$B161,'Outages (event ledger)'!$G$2:$G$65,"&gt;="&amp;$B161)</f>
        <v>0</v>
      </c>
      <c r="H161" s="29" t="n">
        <f aca="false">SUMIFS('Outages (event ledger)'!$H$2:$H$65,'Outages (event ledger)'!$A$2:$A$65,H$2,'Outages (event ledger)'!$E$2:$E$65,"&lt;="&amp;$B161,'Outages (event ledger)'!$G$2:$G$65,"&gt;="&amp;$B161)</f>
        <v>0</v>
      </c>
      <c r="I161" s="29" t="n">
        <f aca="false">SUMIFS('Outages (event ledger)'!$H$2:$H$65,'Outages (event ledger)'!$A$2:$A$65,I$2,'Outages (event ledger)'!$E$2:$E$65,"&lt;="&amp;$B161,'Outages (event ledger)'!$G$2:$G$65,"&gt;="&amp;$B161)</f>
        <v>0</v>
      </c>
      <c r="J161" s="29" t="n">
        <f aca="false">SUMIFS('Outages (event ledger)'!$H$2:$H$65,'Outages (event ledger)'!$A$2:$A$65,J$2,'Outages (event ledger)'!$E$2:$E$65,"&lt;="&amp;$B161,'Outages (event ledger)'!$G$2:$G$65,"&gt;="&amp;$B161)</f>
        <v>0</v>
      </c>
      <c r="K161" s="29" t="n">
        <f aca="false">SUMIFS('Outages (event ledger)'!$H$2:$H$65,'Outages (event ledger)'!$A$2:$A$65,K$2,'Outages (event ledger)'!$E$2:$E$65,"&lt;="&amp;$B161,'Outages (event ledger)'!$G$2:$G$65,"&gt;="&amp;$B161)</f>
        <v>0</v>
      </c>
      <c r="L161" s="29" t="n">
        <f aca="false">SUMIFS('Outages (event ledger)'!$H$2:$H$65,'Outages (event ledger)'!$A$2:$A$65,L$2,'Outages (event ledger)'!$E$2:$E$65,"&lt;="&amp;$B161,'Outages (event ledger)'!$G$2:$G$65,"&gt;="&amp;$B161)</f>
        <v>0</v>
      </c>
      <c r="M161" s="29" t="n">
        <f aca="false">SUMIFS('Outages (event ledger)'!$H$2:$H$65,'Outages (event ledger)'!$A$2:$A$65,M$2,'Outages (event ledger)'!$E$2:$E$65,"&lt;="&amp;$B161,'Outages (event ledger)'!$G$2:$G$65,"&gt;="&amp;$B161)</f>
        <v>0</v>
      </c>
      <c r="N161" s="29" t="n">
        <f aca="false">SUMIFS('Outages (event ledger)'!$H$2:$H$65,'Outages (event ledger)'!$A$2:$A$65,N$2,'Outages (event ledger)'!$E$2:$E$65,"&lt;="&amp;$B161,'Outages (event ledger)'!$G$2:$G$65,"&gt;="&amp;$B161)</f>
        <v>0</v>
      </c>
      <c r="O161" s="29" t="n">
        <f aca="false">SUMIFS('Outages (event ledger)'!$H$2:$H$65,'Outages (event ledger)'!$A$2:$A$65,O$2,'Outages (event ledger)'!$E$2:$E$65,"&lt;="&amp;$B161,'Outages (event ledger)'!$G$2:$G$65,"&gt;="&amp;$B161)</f>
        <v>0</v>
      </c>
      <c r="P161" s="29" t="n">
        <f aca="false">SUMIFS('Outages (event ledger)'!$H$2:$H$65,'Outages (event ledger)'!$A$2:$A$65,P$2,'Outages (event ledger)'!$E$2:$E$65,"&lt;="&amp;$B161,'Outages (event ledger)'!$G$2:$G$65,"&gt;="&amp;$B161)</f>
        <v>0</v>
      </c>
      <c r="Q161" s="29" t="n">
        <f aca="false">SUMIFS('Outages (event ledger)'!$H$2:$H$65,'Outages (event ledger)'!$A$2:$A$65,Q$2,'Outages (event ledger)'!$E$2:$E$65,"&lt;="&amp;$B161,'Outages (event ledger)'!$G$2:$G$65,"&gt;="&amp;$B161)</f>
        <v>0</v>
      </c>
      <c r="R161" s="29" t="n">
        <f aca="false">SUMIFS('Outages (event ledger)'!$H$2:$H$65,'Outages (event ledger)'!$A$2:$A$65,R$2,'Outages (event ledger)'!$E$2:$E$65,"&lt;="&amp;$B161,'Outages (event ledger)'!$G$2:$G$65,"&gt;="&amp;$B161)</f>
        <v>0</v>
      </c>
      <c r="S161" s="29" t="n">
        <f aca="false">SUMIFS('Outages (event ledger)'!$H$2:$H$65,'Outages (event ledger)'!$A$2:$A$65,S$2,'Outages (event ledger)'!$E$2:$E$65,"&lt;="&amp;$B161,'Outages (event ledger)'!$G$2:$G$65,"&gt;="&amp;$B161)</f>
        <v>0</v>
      </c>
      <c r="T161" s="29" t="n">
        <f aca="false">SUMIFS('Outages (event ledger)'!$H$2:$H$65,'Outages (event ledger)'!$A$2:$A$65,T$2,'Outages (event ledger)'!$E$2:$E$65,"&lt;="&amp;$B161,'Outages (event ledger)'!$G$2:$G$65,"&gt;="&amp;$B161)</f>
        <v>0</v>
      </c>
      <c r="U161" s="29" t="n">
        <f aca="false">SUMIFS('Outages (event ledger)'!$H$2:$H$65,'Outages (event ledger)'!$A$2:$A$65,U$2,'Outages (event ledger)'!$E$2:$E$65,"&lt;="&amp;$B161,'Outages (event ledger)'!$G$2:$G$65,"&gt;="&amp;$B161)</f>
        <v>0</v>
      </c>
      <c r="V161" s="29" t="n">
        <f aca="false">SUMIFS('Outages (event ledger)'!$H$2:$H$65,'Outages (event ledger)'!$A$2:$A$65,V$2,'Outages (event ledger)'!$E$2:$E$65,"&lt;="&amp;$B161,'Outages (event ledger)'!$G$2:$G$65,"&gt;="&amp;$B161)</f>
        <v>0</v>
      </c>
      <c r="W161" s="29" t="n">
        <f aca="false">SUMIFS('Outages (event ledger)'!$H$2:$H$65,'Outages (event ledger)'!$A$2:$A$65,W$2,'Outages (event ledger)'!$E$2:$E$65,"&lt;="&amp;$B161,'Outages (event ledger)'!$G$2:$G$65,"&gt;="&amp;$B161)</f>
        <v>0</v>
      </c>
      <c r="X161" s="29" t="n">
        <f aca="false">SUMIFS('Outages (event ledger)'!$H$2:$H$65,'Outages (event ledger)'!$A$2:$A$65,X$2,'Outages (event ledger)'!$E$2:$E$65,"&lt;="&amp;$B161,'Outages (event ledger)'!$G$2:$G$65,"&gt;="&amp;$B161)</f>
        <v>0</v>
      </c>
      <c r="Y161" s="29" t="n">
        <f aca="false">SUMIFS('Outages (event ledger)'!$H$2:$H$65,'Outages (event ledger)'!$A$2:$A$65,Y$2,'Outages (event ledger)'!$E$2:$E$65,"&lt;="&amp;$B161,'Outages (event ledger)'!$G$2:$G$65,"&gt;="&amp;$B161)</f>
        <v>0</v>
      </c>
      <c r="Z161" s="29" t="n">
        <f aca="false">SUMIFS('Outages (event ledger)'!$H$2:$H$65,'Outages (event ledger)'!$A$2:$A$65,Z$2,'Outages (event ledger)'!$E$2:$E$65,"&lt;="&amp;$B161,'Outages (event ledger)'!$G$2:$G$65,"&gt;="&amp;$B161)</f>
        <v>4</v>
      </c>
      <c r="AA161" s="29" t="n">
        <f aca="false">SUMIFS('Outages (event ledger)'!$H$2:$H$65,'Outages (event ledger)'!$A$2:$A$65,AA$2,'Outages (event ledger)'!$E$2:$E$65,"&lt;="&amp;$B161,'Outages (event ledger)'!$G$2:$G$65,"&gt;="&amp;$B161)</f>
        <v>2</v>
      </c>
      <c r="AB161" s="29" t="n">
        <f aca="false">SUMIFS('Outages (event ledger)'!$H$2:$H$65,'Outages (event ledger)'!$A$2:$A$65,AB$2,'Outages (event ledger)'!$E$2:$E$65,"&lt;="&amp;$B161,'Outages (event ledger)'!$G$2:$G$65,"&gt;="&amp;$B161)</f>
        <v>8</v>
      </c>
      <c r="AC161" s="29" t="n">
        <f aca="false">SUMIFS('Outages (event ledger)'!$H$2:$H$65,'Outages (event ledger)'!$A$2:$A$65,AC$2,'Outages (event ledger)'!$E$2:$E$65,"&lt;="&amp;$B161,'Outages (event ledger)'!$G$2:$G$65,"&gt;="&amp;$B161)</f>
        <v>0</v>
      </c>
      <c r="AD161" s="29" t="n">
        <f aca="false">SUMIFS('Outages (event ledger)'!$H$2:$H$65,'Outages (event ledger)'!$A$2:$A$65,AD$2,'Outages (event ledger)'!$E$2:$E$65,"&lt;="&amp;$B161,'Outages (event ledger)'!$G$2:$G$65,"&gt;="&amp;$B161)</f>
        <v>0</v>
      </c>
      <c r="AE161" s="29" t="n">
        <f aca="false">SUMIFS('Outages (event ledger)'!$H$2:$H$65,'Outages (event ledger)'!$A$2:$A$65,AE$2,'Outages (event ledger)'!$E$2:$E$65,"&lt;="&amp;$B161,'Outages (event ledger)'!$G$2:$G$65,"&gt;="&amp;$B161)</f>
        <v>2.5</v>
      </c>
      <c r="AF161" s="29" t="n">
        <f aca="false">SUMIFS('Outages (event ledger)'!$H$2:$H$65,'Outages (event ledger)'!$A$2:$A$65,AF$2,'Outages (event ledger)'!$E$2:$E$65,"&lt;="&amp;$B161,'Outages (event ledger)'!$G$2:$G$65,"&gt;="&amp;$B161)</f>
        <v>0</v>
      </c>
      <c r="AG161" s="29" t="n">
        <f aca="false">SUMIFS('Outages (event ledger)'!$H$2:$H$65,'Outages (event ledger)'!$A$2:$A$65,AG$2,'Outages (event ledger)'!$E$2:$E$65,"&lt;="&amp;$B161,'Outages (event ledger)'!$G$2:$G$65,"&gt;="&amp;$B161)</f>
        <v>0</v>
      </c>
      <c r="AH161" s="29" t="n">
        <f aca="false">SUMIFS('Outages (event ledger)'!$H$2:$H$65,'Outages (event ledger)'!$A$2:$A$65,AH$2,'Outages (event ledger)'!$E$2:$E$65,"&lt;="&amp;$B161,'Outages (event ledger)'!$G$2:$G$65,"&gt;="&amp;$B161)</f>
        <v>0</v>
      </c>
      <c r="AI161" s="29" t="n">
        <f aca="false">SUMIFS('Outages (event ledger)'!$H$2:$H$65,'Outages (event ledger)'!$A$2:$A$65,AI$2,'Outages (event ledger)'!$E$2:$E$65,"&lt;="&amp;$B161,'Outages (event ledger)'!$G$2:$G$65,"&gt;="&amp;$B161)</f>
        <v>0</v>
      </c>
      <c r="AJ161" s="29" t="n">
        <f aca="false">SUMIFS('Outages (event ledger)'!$H$2:$H$65,'Outages (event ledger)'!$A$2:$A$65,AJ$2,'Outages (event ledger)'!$E$2:$E$65,"&lt;="&amp;$B161,'Outages (event ledger)'!$G$2:$G$65,"&gt;="&amp;$B161)</f>
        <v>0</v>
      </c>
      <c r="AK161" s="29" t="n">
        <f aca="false">SUMIFS('Outages (event ledger)'!$H$2:$H$65,'Outages (event ledger)'!$A$2:$A$65,AK$2,'Outages (event ledger)'!$E$2:$E$65,"&lt;="&amp;$B161,'Outages (event ledger)'!$G$2:$G$65,"&gt;="&amp;$B161)</f>
        <v>0</v>
      </c>
      <c r="AL161" s="29" t="n">
        <f aca="false">SUMIFS('Outages (event ledger)'!$H$2:$H$65,'Outages (event ledger)'!$A$2:$A$65,AL$2,'Outages (event ledger)'!$E$2:$E$65,"&lt;="&amp;$B161,'Outages (event ledger)'!$G$2:$G$65,"&gt;="&amp;$B161)</f>
        <v>10</v>
      </c>
      <c r="AM161" s="29" t="n">
        <f aca="false">SUMIFS('Outages (event ledger)'!$H$2:$H$65,'Outages (event ledger)'!$A$2:$A$65,AM$2,'Outages (event ledger)'!$E$2:$E$65,"&lt;="&amp;$B161,'Outages (event ledger)'!$G$2:$G$65,"&gt;="&amp;$B161)</f>
        <v>0</v>
      </c>
      <c r="AN161" s="29" t="n">
        <f aca="false">SUMIFS('Outages (event ledger)'!$H$2:$H$65,'Outages (event ledger)'!$A$2:$A$65,AN$2,'Outages (event ledger)'!$E$2:$E$65,"&lt;="&amp;$B161,'Outages (event ledger)'!$G$2:$G$65,"&gt;="&amp;$B161)</f>
        <v>0</v>
      </c>
      <c r="AO161" s="29" t="n">
        <f aca="false">SUMIFS('Outages (event ledger)'!$H$2:$H$65,'Outages (event ledger)'!$A$2:$A$65,AO$2,'Outages (event ledger)'!$E$2:$E$65,"&lt;="&amp;$B161,'Outages (event ledger)'!$G$2:$G$65,"&gt;="&amp;$B161)</f>
        <v>0</v>
      </c>
      <c r="AP161" s="29" t="n">
        <f aca="false">SUMIFS('Outages (event ledger)'!$H$2:$H$65,'Outages (event ledger)'!$A$2:$A$65,AP$2,'Outages (event ledger)'!$E$2:$E$65,"&lt;="&amp;$B161,'Outages (event ledger)'!$G$2:$G$65,"&gt;="&amp;$B161)</f>
        <v>0</v>
      </c>
      <c r="AQ161" s="29" t="n">
        <f aca="false">SUMIFS('Outages (event ledger)'!$H$2:$H$65,'Outages (event ledger)'!$A$2:$A$65,AQ$2,'Outages (event ledger)'!$E$2:$E$65,"&lt;="&amp;$B161,'Outages (event ledger)'!$G$2:$G$65,"&gt;="&amp;$B161)</f>
        <v>0</v>
      </c>
      <c r="AR161" s="29" t="n">
        <f aca="false">SUMIFS('Outages (event ledger)'!$H$2:$H$65,'Outages (event ledger)'!$A$2:$A$65,AR$2,'Outages (event ledger)'!$E$2:$E$65,"&lt;="&amp;$B161,'Outages (event ledger)'!$G$2:$G$65,"&gt;="&amp;$B161)</f>
        <v>0</v>
      </c>
      <c r="AS161" s="29" t="n">
        <f aca="false">SUMIFS('Outages (event ledger)'!$H$2:$H$65,'Outages (event ledger)'!$A$2:$A$65,AS$2,'Outages (event ledger)'!$E$2:$E$65,"&lt;="&amp;$B161,'Outages (event ledger)'!$G$2:$G$65,"&gt;="&amp;$B161)</f>
        <v>0</v>
      </c>
      <c r="AT161" s="29" t="n">
        <f aca="false">SUMIFS('Outages (event ledger)'!$H$2:$H$65,'Outages (event ledger)'!$A$2:$A$65,AT$2,'Outages (event ledger)'!$E$2:$E$65,"&lt;="&amp;$B161,'Outages (event ledger)'!$G$2:$G$65,"&gt;="&amp;$B161)</f>
        <v>0</v>
      </c>
      <c r="AU161" s="29" t="n">
        <f aca="false">SUMIFS('Outages (event ledger)'!$H$2:$H$65,'Outages (event ledger)'!$A$2:$A$65,AU$2,'Outages (event ledger)'!$E$2:$E$65,"&lt;="&amp;$B161,'Outages (event ledger)'!$G$2:$G$65,"&gt;="&amp;$B161)</f>
        <v>0</v>
      </c>
      <c r="AV161" s="29" t="n">
        <f aca="false">SUMIFS('Outages (event ledger)'!$H$2:$H$65,'Outages (event ledger)'!$A$2:$A$65,AV$2,'Outages (event ledger)'!$E$2:$E$65,"&lt;="&amp;$B161,'Outages (event ledger)'!$G$2:$G$65,"&gt;="&amp;$B161)</f>
        <v>0</v>
      </c>
      <c r="AW161" s="29" t="n">
        <f aca="false">SUMIFS('Outages (event ledger)'!$H$2:$H$65,'Outages (event ledger)'!$A$2:$A$65,AW$2,'Outages (event ledger)'!$E$2:$E$65,"&lt;="&amp;$B161,'Outages (event ledger)'!$G$2:$G$65,"&gt;="&amp;$B161)</f>
        <v>0</v>
      </c>
      <c r="AX161" s="29" t="n">
        <f aca="false">SUMIFS('Outages (event ledger)'!$H$2:$H$65,'Outages (event ledger)'!$A$2:$A$65,AX$2,'Outages (event ledger)'!$E$2:$E$65,"&lt;="&amp;$B161,'Outages (event ledger)'!$G$2:$G$65,"&gt;="&amp;$B161)</f>
        <v>6.6</v>
      </c>
      <c r="AY161" s="29" t="n">
        <f aca="false">SUMIFS('Outages (event ledger)'!$H$2:$H$65,'Outages (event ledger)'!$A$2:$A$65,AY$2,'Outages (event ledger)'!$E$2:$E$65,"&lt;="&amp;$B161,'Outages (event ledger)'!$G$2:$G$65,"&gt;="&amp;$B161)</f>
        <v>0</v>
      </c>
      <c r="AZ161" s="29" t="n">
        <f aca="false">SUMIFS('Outages (event ledger)'!$H$2:$H$65,'Outages (event ledger)'!$A$2:$A$65,AZ$2,'Outages (event ledger)'!$E$2:$E$65,"&lt;="&amp;$B161,'Outages (event ledger)'!$G$2:$G$65,"&gt;="&amp;$B161)</f>
        <v>2</v>
      </c>
      <c r="BA161" s="29" t="n">
        <f aca="false">SUMIFS('Outages (event ledger)'!$H$2:$H$65,'Outages (event ledger)'!$A$2:$A$65,BA$2,'Outages (event ledger)'!$E$2:$E$65,"&lt;="&amp;$B161,'Outages (event ledger)'!$G$2:$G$65,"&gt;="&amp;$B161)</f>
        <v>0</v>
      </c>
      <c r="BB161" s="29" t="n">
        <f aca="false">SUMIFS('Outages (event ledger)'!$H$2:$H$65,'Outages (event ledger)'!$A$2:$A$65,BB$2,'Outages (event ledger)'!$E$2:$E$65,"&lt;="&amp;$B161,'Outages (event ledger)'!$G$2:$G$65,"&gt;="&amp;$B161)</f>
        <v>0</v>
      </c>
      <c r="BC161" s="29" t="n">
        <f aca="false">SUMIFS('Outages (event ledger)'!$H$2:$H$65,'Outages (event ledger)'!$A$2:$A$65,BC$2,'Outages (event ledger)'!$E$2:$E$65,"&lt;="&amp;$B161,'Outages (event ledger)'!$G$2:$G$65,"&gt;="&amp;$B161)</f>
        <v>0</v>
      </c>
      <c r="BD161" s="29" t="n">
        <f aca="false">SUMIFS('Outages (event ledger)'!$H$2:$H$65,'Outages (event ledger)'!$A$2:$A$65,BD$2,'Outages (event ledger)'!$E$2:$E$65,"&lt;="&amp;$B161,'Outages (event ledger)'!$G$2:$G$65,"&gt;="&amp;$B161)</f>
        <v>0</v>
      </c>
      <c r="BE161" s="29" t="n">
        <f aca="false">SUMIFS('Outages (event ledger)'!$H$2:$H$65,'Outages (event ledger)'!$A$2:$A$65,BE$2,'Outages (event ledger)'!$E$2:$E$65,"&lt;="&amp;$B161,'Outages (event ledger)'!$G$2:$G$65,"&gt;="&amp;$B161)</f>
        <v>5</v>
      </c>
      <c r="BF161" s="29" t="n">
        <f aca="false">SUMIFS('Outages (event ledger)'!$H$2:$H$65,'Outages (event ledger)'!$A$2:$A$65,BF$2,'Outages (event ledger)'!$E$2:$E$65,"&lt;="&amp;$B161,'Outages (event ledger)'!$G$2:$G$65,"&gt;="&amp;$B161)</f>
        <v>0</v>
      </c>
      <c r="BG161" s="29" t="n">
        <f aca="false">SUMIFS('Outages (event ledger)'!$H$2:$H$65,'Outages (event ledger)'!$A$2:$A$65,BG$2,'Outages (event ledger)'!$E$2:$E$65,"&lt;="&amp;$B161,'Outages (event ledger)'!$G$2:$G$65,"&gt;="&amp;$B161)</f>
        <v>0</v>
      </c>
      <c r="BH161" s="29" t="n">
        <f aca="false">SUMIFS('Outages (event ledger)'!$H$2:$H$65,'Outages (event ledger)'!$A$2:$A$65,BH$2,'Outages (event ledger)'!$E$2:$E$65,"&lt;="&amp;$B161,'Outages (event ledger)'!$G$2:$G$65,"&gt;="&amp;$B161)</f>
        <v>0</v>
      </c>
      <c r="BI161" s="29" t="n">
        <f aca="false">SUMIFS('Outages (event ledger)'!$H$2:$H$65,'Outages (event ledger)'!$A$2:$A$65,BI$2,'Outages (event ledger)'!$E$2:$E$65,"&lt;="&amp;$B161,'Outages (event ledger)'!$G$2:$G$65,"&gt;="&amp;$B161)</f>
        <v>6.7</v>
      </c>
    </row>
    <row r="162" customFormat="false" ht="15" hidden="false" customHeight="false" outlineLevel="0" collapsed="false">
      <c r="A162" s="27" t="n">
        <v>45017</v>
      </c>
      <c r="B162" s="28" t="n">
        <v>202304</v>
      </c>
      <c r="C162" s="25" t="n">
        <f aca="false">SUM(D162:BI162)</f>
        <v>38.8</v>
      </c>
      <c r="D162" s="29" t="n">
        <f aca="false">SUMIFS('Outages (event ledger)'!$H$2:$H$65,'Outages (event ledger)'!$A$2:$A$65,D$2,'Outages (event ledger)'!$E$2:$E$65,"&lt;="&amp;$B162,'Outages (event ledger)'!$G$2:$G$65,"&gt;="&amp;$B162)</f>
        <v>0</v>
      </c>
      <c r="E162" s="29" t="n">
        <f aca="false">SUMIFS('Outages (event ledger)'!$H$2:$H$65,'Outages (event ledger)'!$A$2:$A$65,E$2,'Outages (event ledger)'!$E$2:$E$65,"&lt;="&amp;$B162,'Outages (event ledger)'!$G$2:$G$65,"&gt;="&amp;$B162)</f>
        <v>0</v>
      </c>
      <c r="F162" s="29" t="n">
        <f aca="false">SUMIFS('Outages (event ledger)'!$H$2:$H$65,'Outages (event ledger)'!$A$2:$A$65,F$2,'Outages (event ledger)'!$E$2:$E$65,"&lt;="&amp;$B162,'Outages (event ledger)'!$G$2:$G$65,"&gt;="&amp;$B162)</f>
        <v>0</v>
      </c>
      <c r="G162" s="29" t="n">
        <f aca="false">SUMIFS('Outages (event ledger)'!$H$2:$H$65,'Outages (event ledger)'!$A$2:$A$65,G$2,'Outages (event ledger)'!$E$2:$E$65,"&lt;="&amp;$B162,'Outages (event ledger)'!$G$2:$G$65,"&gt;="&amp;$B162)</f>
        <v>0</v>
      </c>
      <c r="H162" s="29" t="n">
        <f aca="false">SUMIFS('Outages (event ledger)'!$H$2:$H$65,'Outages (event ledger)'!$A$2:$A$65,H$2,'Outages (event ledger)'!$E$2:$E$65,"&lt;="&amp;$B162,'Outages (event ledger)'!$G$2:$G$65,"&gt;="&amp;$B162)</f>
        <v>0</v>
      </c>
      <c r="I162" s="29" t="n">
        <f aca="false">SUMIFS('Outages (event ledger)'!$H$2:$H$65,'Outages (event ledger)'!$A$2:$A$65,I$2,'Outages (event ledger)'!$E$2:$E$65,"&lt;="&amp;$B162,'Outages (event ledger)'!$G$2:$G$65,"&gt;="&amp;$B162)</f>
        <v>0</v>
      </c>
      <c r="J162" s="29" t="n">
        <f aca="false">SUMIFS('Outages (event ledger)'!$H$2:$H$65,'Outages (event ledger)'!$A$2:$A$65,J$2,'Outages (event ledger)'!$E$2:$E$65,"&lt;="&amp;$B162,'Outages (event ledger)'!$G$2:$G$65,"&gt;="&amp;$B162)</f>
        <v>0</v>
      </c>
      <c r="K162" s="29" t="n">
        <f aca="false">SUMIFS('Outages (event ledger)'!$H$2:$H$65,'Outages (event ledger)'!$A$2:$A$65,K$2,'Outages (event ledger)'!$E$2:$E$65,"&lt;="&amp;$B162,'Outages (event ledger)'!$G$2:$G$65,"&gt;="&amp;$B162)</f>
        <v>0</v>
      </c>
      <c r="L162" s="29" t="n">
        <f aca="false">SUMIFS('Outages (event ledger)'!$H$2:$H$65,'Outages (event ledger)'!$A$2:$A$65,L$2,'Outages (event ledger)'!$E$2:$E$65,"&lt;="&amp;$B162,'Outages (event ledger)'!$G$2:$G$65,"&gt;="&amp;$B162)</f>
        <v>0</v>
      </c>
      <c r="M162" s="29" t="n">
        <f aca="false">SUMIFS('Outages (event ledger)'!$H$2:$H$65,'Outages (event ledger)'!$A$2:$A$65,M$2,'Outages (event ledger)'!$E$2:$E$65,"&lt;="&amp;$B162,'Outages (event ledger)'!$G$2:$G$65,"&gt;="&amp;$B162)</f>
        <v>0</v>
      </c>
      <c r="N162" s="29" t="n">
        <f aca="false">SUMIFS('Outages (event ledger)'!$H$2:$H$65,'Outages (event ledger)'!$A$2:$A$65,N$2,'Outages (event ledger)'!$E$2:$E$65,"&lt;="&amp;$B162,'Outages (event ledger)'!$G$2:$G$65,"&gt;="&amp;$B162)</f>
        <v>0</v>
      </c>
      <c r="O162" s="29" t="n">
        <f aca="false">SUMIFS('Outages (event ledger)'!$H$2:$H$65,'Outages (event ledger)'!$A$2:$A$65,O$2,'Outages (event ledger)'!$E$2:$E$65,"&lt;="&amp;$B162,'Outages (event ledger)'!$G$2:$G$65,"&gt;="&amp;$B162)</f>
        <v>0</v>
      </c>
      <c r="P162" s="29" t="n">
        <f aca="false">SUMIFS('Outages (event ledger)'!$H$2:$H$65,'Outages (event ledger)'!$A$2:$A$65,P$2,'Outages (event ledger)'!$E$2:$E$65,"&lt;="&amp;$B162,'Outages (event ledger)'!$G$2:$G$65,"&gt;="&amp;$B162)</f>
        <v>0</v>
      </c>
      <c r="Q162" s="29" t="n">
        <f aca="false">SUMIFS('Outages (event ledger)'!$H$2:$H$65,'Outages (event ledger)'!$A$2:$A$65,Q$2,'Outages (event ledger)'!$E$2:$E$65,"&lt;="&amp;$B162,'Outages (event ledger)'!$G$2:$G$65,"&gt;="&amp;$B162)</f>
        <v>0</v>
      </c>
      <c r="R162" s="29" t="n">
        <f aca="false">SUMIFS('Outages (event ledger)'!$H$2:$H$65,'Outages (event ledger)'!$A$2:$A$65,R$2,'Outages (event ledger)'!$E$2:$E$65,"&lt;="&amp;$B162,'Outages (event ledger)'!$G$2:$G$65,"&gt;="&amp;$B162)</f>
        <v>0</v>
      </c>
      <c r="S162" s="29" t="n">
        <f aca="false">SUMIFS('Outages (event ledger)'!$H$2:$H$65,'Outages (event ledger)'!$A$2:$A$65,S$2,'Outages (event ledger)'!$E$2:$E$65,"&lt;="&amp;$B162,'Outages (event ledger)'!$G$2:$G$65,"&gt;="&amp;$B162)</f>
        <v>0</v>
      </c>
      <c r="T162" s="29" t="n">
        <f aca="false">SUMIFS('Outages (event ledger)'!$H$2:$H$65,'Outages (event ledger)'!$A$2:$A$65,T$2,'Outages (event ledger)'!$E$2:$E$65,"&lt;="&amp;$B162,'Outages (event ledger)'!$G$2:$G$65,"&gt;="&amp;$B162)</f>
        <v>0</v>
      </c>
      <c r="U162" s="29" t="n">
        <f aca="false">SUMIFS('Outages (event ledger)'!$H$2:$H$65,'Outages (event ledger)'!$A$2:$A$65,U$2,'Outages (event ledger)'!$E$2:$E$65,"&lt;="&amp;$B162,'Outages (event ledger)'!$G$2:$G$65,"&gt;="&amp;$B162)</f>
        <v>0</v>
      </c>
      <c r="V162" s="29" t="n">
        <f aca="false">SUMIFS('Outages (event ledger)'!$H$2:$H$65,'Outages (event ledger)'!$A$2:$A$65,V$2,'Outages (event ledger)'!$E$2:$E$65,"&lt;="&amp;$B162,'Outages (event ledger)'!$G$2:$G$65,"&gt;="&amp;$B162)</f>
        <v>0</v>
      </c>
      <c r="W162" s="29" t="n">
        <f aca="false">SUMIFS('Outages (event ledger)'!$H$2:$H$65,'Outages (event ledger)'!$A$2:$A$65,W$2,'Outages (event ledger)'!$E$2:$E$65,"&lt;="&amp;$B162,'Outages (event ledger)'!$G$2:$G$65,"&gt;="&amp;$B162)</f>
        <v>0</v>
      </c>
      <c r="X162" s="29" t="n">
        <f aca="false">SUMIFS('Outages (event ledger)'!$H$2:$H$65,'Outages (event ledger)'!$A$2:$A$65,X$2,'Outages (event ledger)'!$E$2:$E$65,"&lt;="&amp;$B162,'Outages (event ledger)'!$G$2:$G$65,"&gt;="&amp;$B162)</f>
        <v>0</v>
      </c>
      <c r="Y162" s="29" t="n">
        <f aca="false">SUMIFS('Outages (event ledger)'!$H$2:$H$65,'Outages (event ledger)'!$A$2:$A$65,Y$2,'Outages (event ledger)'!$E$2:$E$65,"&lt;="&amp;$B162,'Outages (event ledger)'!$G$2:$G$65,"&gt;="&amp;$B162)</f>
        <v>0</v>
      </c>
      <c r="Z162" s="29" t="n">
        <f aca="false">SUMIFS('Outages (event ledger)'!$H$2:$H$65,'Outages (event ledger)'!$A$2:$A$65,Z$2,'Outages (event ledger)'!$E$2:$E$65,"&lt;="&amp;$B162,'Outages (event ledger)'!$G$2:$G$65,"&gt;="&amp;$B162)</f>
        <v>4</v>
      </c>
      <c r="AA162" s="29" t="n">
        <f aca="false">SUMIFS('Outages (event ledger)'!$H$2:$H$65,'Outages (event ledger)'!$A$2:$A$65,AA$2,'Outages (event ledger)'!$E$2:$E$65,"&lt;="&amp;$B162,'Outages (event ledger)'!$G$2:$G$65,"&gt;="&amp;$B162)</f>
        <v>2</v>
      </c>
      <c r="AB162" s="29" t="n">
        <f aca="false">SUMIFS('Outages (event ledger)'!$H$2:$H$65,'Outages (event ledger)'!$A$2:$A$65,AB$2,'Outages (event ledger)'!$E$2:$E$65,"&lt;="&amp;$B162,'Outages (event ledger)'!$G$2:$G$65,"&gt;="&amp;$B162)</f>
        <v>8</v>
      </c>
      <c r="AC162" s="29" t="n">
        <f aca="false">SUMIFS('Outages (event ledger)'!$H$2:$H$65,'Outages (event ledger)'!$A$2:$A$65,AC$2,'Outages (event ledger)'!$E$2:$E$65,"&lt;="&amp;$B162,'Outages (event ledger)'!$G$2:$G$65,"&gt;="&amp;$B162)</f>
        <v>0</v>
      </c>
      <c r="AD162" s="29" t="n">
        <f aca="false">SUMIFS('Outages (event ledger)'!$H$2:$H$65,'Outages (event ledger)'!$A$2:$A$65,AD$2,'Outages (event ledger)'!$E$2:$E$65,"&lt;="&amp;$B162,'Outages (event ledger)'!$G$2:$G$65,"&gt;="&amp;$B162)</f>
        <v>0</v>
      </c>
      <c r="AE162" s="29" t="n">
        <f aca="false">SUMIFS('Outages (event ledger)'!$H$2:$H$65,'Outages (event ledger)'!$A$2:$A$65,AE$2,'Outages (event ledger)'!$E$2:$E$65,"&lt;="&amp;$B162,'Outages (event ledger)'!$G$2:$G$65,"&gt;="&amp;$B162)</f>
        <v>2.5</v>
      </c>
      <c r="AF162" s="29" t="n">
        <f aca="false">SUMIFS('Outages (event ledger)'!$H$2:$H$65,'Outages (event ledger)'!$A$2:$A$65,AF$2,'Outages (event ledger)'!$E$2:$E$65,"&lt;="&amp;$B162,'Outages (event ledger)'!$G$2:$G$65,"&gt;="&amp;$B162)</f>
        <v>0</v>
      </c>
      <c r="AG162" s="29" t="n">
        <f aca="false">SUMIFS('Outages (event ledger)'!$H$2:$H$65,'Outages (event ledger)'!$A$2:$A$65,AG$2,'Outages (event ledger)'!$E$2:$E$65,"&lt;="&amp;$B162,'Outages (event ledger)'!$G$2:$G$65,"&gt;="&amp;$B162)</f>
        <v>0</v>
      </c>
      <c r="AH162" s="29" t="n">
        <f aca="false">SUMIFS('Outages (event ledger)'!$H$2:$H$65,'Outages (event ledger)'!$A$2:$A$65,AH$2,'Outages (event ledger)'!$E$2:$E$65,"&lt;="&amp;$B162,'Outages (event ledger)'!$G$2:$G$65,"&gt;="&amp;$B162)</f>
        <v>0</v>
      </c>
      <c r="AI162" s="29" t="n">
        <f aca="false">SUMIFS('Outages (event ledger)'!$H$2:$H$65,'Outages (event ledger)'!$A$2:$A$65,AI$2,'Outages (event ledger)'!$E$2:$E$65,"&lt;="&amp;$B162,'Outages (event ledger)'!$G$2:$G$65,"&gt;="&amp;$B162)</f>
        <v>0</v>
      </c>
      <c r="AJ162" s="29" t="n">
        <f aca="false">SUMIFS('Outages (event ledger)'!$H$2:$H$65,'Outages (event ledger)'!$A$2:$A$65,AJ$2,'Outages (event ledger)'!$E$2:$E$65,"&lt;="&amp;$B162,'Outages (event ledger)'!$G$2:$G$65,"&gt;="&amp;$B162)</f>
        <v>0</v>
      </c>
      <c r="AK162" s="29" t="n">
        <f aca="false">SUMIFS('Outages (event ledger)'!$H$2:$H$65,'Outages (event ledger)'!$A$2:$A$65,AK$2,'Outages (event ledger)'!$E$2:$E$65,"&lt;="&amp;$B162,'Outages (event ledger)'!$G$2:$G$65,"&gt;="&amp;$B162)</f>
        <v>0</v>
      </c>
      <c r="AL162" s="29" t="n">
        <f aca="false">SUMIFS('Outages (event ledger)'!$H$2:$H$65,'Outages (event ledger)'!$A$2:$A$65,AL$2,'Outages (event ledger)'!$E$2:$E$65,"&lt;="&amp;$B162,'Outages (event ledger)'!$G$2:$G$65,"&gt;="&amp;$B162)</f>
        <v>5</v>
      </c>
      <c r="AM162" s="29" t="n">
        <f aca="false">SUMIFS('Outages (event ledger)'!$H$2:$H$65,'Outages (event ledger)'!$A$2:$A$65,AM$2,'Outages (event ledger)'!$E$2:$E$65,"&lt;="&amp;$B162,'Outages (event ledger)'!$G$2:$G$65,"&gt;="&amp;$B162)</f>
        <v>0</v>
      </c>
      <c r="AN162" s="29" t="n">
        <f aca="false">SUMIFS('Outages (event ledger)'!$H$2:$H$65,'Outages (event ledger)'!$A$2:$A$65,AN$2,'Outages (event ledger)'!$E$2:$E$65,"&lt;="&amp;$B162,'Outages (event ledger)'!$G$2:$G$65,"&gt;="&amp;$B162)</f>
        <v>0</v>
      </c>
      <c r="AO162" s="29" t="n">
        <f aca="false">SUMIFS('Outages (event ledger)'!$H$2:$H$65,'Outages (event ledger)'!$A$2:$A$65,AO$2,'Outages (event ledger)'!$E$2:$E$65,"&lt;="&amp;$B162,'Outages (event ledger)'!$G$2:$G$65,"&gt;="&amp;$B162)</f>
        <v>0</v>
      </c>
      <c r="AP162" s="29" t="n">
        <f aca="false">SUMIFS('Outages (event ledger)'!$H$2:$H$65,'Outages (event ledger)'!$A$2:$A$65,AP$2,'Outages (event ledger)'!$E$2:$E$65,"&lt;="&amp;$B162,'Outages (event ledger)'!$G$2:$G$65,"&gt;="&amp;$B162)</f>
        <v>0</v>
      </c>
      <c r="AQ162" s="29" t="n">
        <f aca="false">SUMIFS('Outages (event ledger)'!$H$2:$H$65,'Outages (event ledger)'!$A$2:$A$65,AQ$2,'Outages (event ledger)'!$E$2:$E$65,"&lt;="&amp;$B162,'Outages (event ledger)'!$G$2:$G$65,"&gt;="&amp;$B162)</f>
        <v>0</v>
      </c>
      <c r="AR162" s="29" t="n">
        <f aca="false">SUMIFS('Outages (event ledger)'!$H$2:$H$65,'Outages (event ledger)'!$A$2:$A$65,AR$2,'Outages (event ledger)'!$E$2:$E$65,"&lt;="&amp;$B162,'Outages (event ledger)'!$G$2:$G$65,"&gt;="&amp;$B162)</f>
        <v>0</v>
      </c>
      <c r="AS162" s="29" t="n">
        <f aca="false">SUMIFS('Outages (event ledger)'!$H$2:$H$65,'Outages (event ledger)'!$A$2:$A$65,AS$2,'Outages (event ledger)'!$E$2:$E$65,"&lt;="&amp;$B162,'Outages (event ledger)'!$G$2:$G$65,"&gt;="&amp;$B162)</f>
        <v>0</v>
      </c>
      <c r="AT162" s="29" t="n">
        <f aca="false">SUMIFS('Outages (event ledger)'!$H$2:$H$65,'Outages (event ledger)'!$A$2:$A$65,AT$2,'Outages (event ledger)'!$E$2:$E$65,"&lt;="&amp;$B162,'Outages (event ledger)'!$G$2:$G$65,"&gt;="&amp;$B162)</f>
        <v>0</v>
      </c>
      <c r="AU162" s="29" t="n">
        <f aca="false">SUMIFS('Outages (event ledger)'!$H$2:$H$65,'Outages (event ledger)'!$A$2:$A$65,AU$2,'Outages (event ledger)'!$E$2:$E$65,"&lt;="&amp;$B162,'Outages (event ledger)'!$G$2:$G$65,"&gt;="&amp;$B162)</f>
        <v>0</v>
      </c>
      <c r="AV162" s="29" t="n">
        <f aca="false">SUMIFS('Outages (event ledger)'!$H$2:$H$65,'Outages (event ledger)'!$A$2:$A$65,AV$2,'Outages (event ledger)'!$E$2:$E$65,"&lt;="&amp;$B162,'Outages (event ledger)'!$G$2:$G$65,"&gt;="&amp;$B162)</f>
        <v>0</v>
      </c>
      <c r="AW162" s="29" t="n">
        <f aca="false">SUMIFS('Outages (event ledger)'!$H$2:$H$65,'Outages (event ledger)'!$A$2:$A$65,AW$2,'Outages (event ledger)'!$E$2:$E$65,"&lt;="&amp;$B162,'Outages (event ledger)'!$G$2:$G$65,"&gt;="&amp;$B162)</f>
        <v>0</v>
      </c>
      <c r="AX162" s="29" t="n">
        <f aca="false">SUMIFS('Outages (event ledger)'!$H$2:$H$65,'Outages (event ledger)'!$A$2:$A$65,AX$2,'Outages (event ledger)'!$E$2:$E$65,"&lt;="&amp;$B162,'Outages (event ledger)'!$G$2:$G$65,"&gt;="&amp;$B162)</f>
        <v>6.6</v>
      </c>
      <c r="AY162" s="29" t="n">
        <f aca="false">SUMIFS('Outages (event ledger)'!$H$2:$H$65,'Outages (event ledger)'!$A$2:$A$65,AY$2,'Outages (event ledger)'!$E$2:$E$65,"&lt;="&amp;$B162,'Outages (event ledger)'!$G$2:$G$65,"&gt;="&amp;$B162)</f>
        <v>0</v>
      </c>
      <c r="AZ162" s="29" t="n">
        <f aca="false">SUMIFS('Outages (event ledger)'!$H$2:$H$65,'Outages (event ledger)'!$A$2:$A$65,AZ$2,'Outages (event ledger)'!$E$2:$E$65,"&lt;="&amp;$B162,'Outages (event ledger)'!$G$2:$G$65,"&gt;="&amp;$B162)</f>
        <v>2</v>
      </c>
      <c r="BA162" s="29" t="n">
        <f aca="false">SUMIFS('Outages (event ledger)'!$H$2:$H$65,'Outages (event ledger)'!$A$2:$A$65,BA$2,'Outages (event ledger)'!$E$2:$E$65,"&lt;="&amp;$B162,'Outages (event ledger)'!$G$2:$G$65,"&gt;="&amp;$B162)</f>
        <v>0</v>
      </c>
      <c r="BB162" s="29" t="n">
        <f aca="false">SUMIFS('Outages (event ledger)'!$H$2:$H$65,'Outages (event ledger)'!$A$2:$A$65,BB$2,'Outages (event ledger)'!$E$2:$E$65,"&lt;="&amp;$B162,'Outages (event ledger)'!$G$2:$G$65,"&gt;="&amp;$B162)</f>
        <v>0</v>
      </c>
      <c r="BC162" s="29" t="n">
        <f aca="false">SUMIFS('Outages (event ledger)'!$H$2:$H$65,'Outages (event ledger)'!$A$2:$A$65,BC$2,'Outages (event ledger)'!$E$2:$E$65,"&lt;="&amp;$B162,'Outages (event ledger)'!$G$2:$G$65,"&gt;="&amp;$B162)</f>
        <v>0</v>
      </c>
      <c r="BD162" s="29" t="n">
        <f aca="false">SUMIFS('Outages (event ledger)'!$H$2:$H$65,'Outages (event ledger)'!$A$2:$A$65,BD$2,'Outages (event ledger)'!$E$2:$E$65,"&lt;="&amp;$B162,'Outages (event ledger)'!$G$2:$G$65,"&gt;="&amp;$B162)</f>
        <v>0</v>
      </c>
      <c r="BE162" s="29" t="n">
        <f aca="false">SUMIFS('Outages (event ledger)'!$H$2:$H$65,'Outages (event ledger)'!$A$2:$A$65,BE$2,'Outages (event ledger)'!$E$2:$E$65,"&lt;="&amp;$B162,'Outages (event ledger)'!$G$2:$G$65,"&gt;="&amp;$B162)</f>
        <v>2</v>
      </c>
      <c r="BF162" s="29" t="n">
        <f aca="false">SUMIFS('Outages (event ledger)'!$H$2:$H$65,'Outages (event ledger)'!$A$2:$A$65,BF$2,'Outages (event ledger)'!$E$2:$E$65,"&lt;="&amp;$B162,'Outages (event ledger)'!$G$2:$G$65,"&gt;="&amp;$B162)</f>
        <v>0</v>
      </c>
      <c r="BG162" s="29" t="n">
        <f aca="false">SUMIFS('Outages (event ledger)'!$H$2:$H$65,'Outages (event ledger)'!$A$2:$A$65,BG$2,'Outages (event ledger)'!$E$2:$E$65,"&lt;="&amp;$B162,'Outages (event ledger)'!$G$2:$G$65,"&gt;="&amp;$B162)</f>
        <v>0</v>
      </c>
      <c r="BH162" s="29" t="n">
        <f aca="false">SUMIFS('Outages (event ledger)'!$H$2:$H$65,'Outages (event ledger)'!$A$2:$A$65,BH$2,'Outages (event ledger)'!$E$2:$E$65,"&lt;="&amp;$B162,'Outages (event ledger)'!$G$2:$G$65,"&gt;="&amp;$B162)</f>
        <v>0</v>
      </c>
      <c r="BI162" s="29" t="n">
        <f aca="false">SUMIFS('Outages (event ledger)'!$H$2:$H$65,'Outages (event ledger)'!$A$2:$A$65,BI$2,'Outages (event ledger)'!$E$2:$E$65,"&lt;="&amp;$B162,'Outages (event ledger)'!$G$2:$G$65,"&gt;="&amp;$B162)</f>
        <v>6.7</v>
      </c>
    </row>
    <row r="163" customFormat="false" ht="15" hidden="false" customHeight="false" outlineLevel="0" collapsed="false">
      <c r="A163" s="27" t="n">
        <v>45047</v>
      </c>
      <c r="B163" s="28" t="n">
        <v>202305</v>
      </c>
      <c r="C163" s="25" t="n">
        <f aca="false">SUM(D163:BI163)</f>
        <v>36.8</v>
      </c>
      <c r="D163" s="29" t="n">
        <f aca="false">SUMIFS('Outages (event ledger)'!$H$2:$H$65,'Outages (event ledger)'!$A$2:$A$65,D$2,'Outages (event ledger)'!$E$2:$E$65,"&lt;="&amp;$B163,'Outages (event ledger)'!$G$2:$G$65,"&gt;="&amp;$B163)</f>
        <v>0</v>
      </c>
      <c r="E163" s="29" t="n">
        <f aca="false">SUMIFS('Outages (event ledger)'!$H$2:$H$65,'Outages (event ledger)'!$A$2:$A$65,E$2,'Outages (event ledger)'!$E$2:$E$65,"&lt;="&amp;$B163,'Outages (event ledger)'!$G$2:$G$65,"&gt;="&amp;$B163)</f>
        <v>0</v>
      </c>
      <c r="F163" s="29" t="n">
        <f aca="false">SUMIFS('Outages (event ledger)'!$H$2:$H$65,'Outages (event ledger)'!$A$2:$A$65,F$2,'Outages (event ledger)'!$E$2:$E$65,"&lt;="&amp;$B163,'Outages (event ledger)'!$G$2:$G$65,"&gt;="&amp;$B163)</f>
        <v>0</v>
      </c>
      <c r="G163" s="29" t="n">
        <f aca="false">SUMIFS('Outages (event ledger)'!$H$2:$H$65,'Outages (event ledger)'!$A$2:$A$65,G$2,'Outages (event ledger)'!$E$2:$E$65,"&lt;="&amp;$B163,'Outages (event ledger)'!$G$2:$G$65,"&gt;="&amp;$B163)</f>
        <v>0</v>
      </c>
      <c r="H163" s="29" t="n">
        <f aca="false">SUMIFS('Outages (event ledger)'!$H$2:$H$65,'Outages (event ledger)'!$A$2:$A$65,H$2,'Outages (event ledger)'!$E$2:$E$65,"&lt;="&amp;$B163,'Outages (event ledger)'!$G$2:$G$65,"&gt;="&amp;$B163)</f>
        <v>0</v>
      </c>
      <c r="I163" s="29" t="n">
        <f aca="false">SUMIFS('Outages (event ledger)'!$H$2:$H$65,'Outages (event ledger)'!$A$2:$A$65,I$2,'Outages (event ledger)'!$E$2:$E$65,"&lt;="&amp;$B163,'Outages (event ledger)'!$G$2:$G$65,"&gt;="&amp;$B163)</f>
        <v>0</v>
      </c>
      <c r="J163" s="29" t="n">
        <f aca="false">SUMIFS('Outages (event ledger)'!$H$2:$H$65,'Outages (event ledger)'!$A$2:$A$65,J$2,'Outages (event ledger)'!$E$2:$E$65,"&lt;="&amp;$B163,'Outages (event ledger)'!$G$2:$G$65,"&gt;="&amp;$B163)</f>
        <v>0</v>
      </c>
      <c r="K163" s="29" t="n">
        <f aca="false">SUMIFS('Outages (event ledger)'!$H$2:$H$65,'Outages (event ledger)'!$A$2:$A$65,K$2,'Outages (event ledger)'!$E$2:$E$65,"&lt;="&amp;$B163,'Outages (event ledger)'!$G$2:$G$65,"&gt;="&amp;$B163)</f>
        <v>0</v>
      </c>
      <c r="L163" s="29" t="n">
        <f aca="false">SUMIFS('Outages (event ledger)'!$H$2:$H$65,'Outages (event ledger)'!$A$2:$A$65,L$2,'Outages (event ledger)'!$E$2:$E$65,"&lt;="&amp;$B163,'Outages (event ledger)'!$G$2:$G$65,"&gt;="&amp;$B163)</f>
        <v>0</v>
      </c>
      <c r="M163" s="29" t="n">
        <f aca="false">SUMIFS('Outages (event ledger)'!$H$2:$H$65,'Outages (event ledger)'!$A$2:$A$65,M$2,'Outages (event ledger)'!$E$2:$E$65,"&lt;="&amp;$B163,'Outages (event ledger)'!$G$2:$G$65,"&gt;="&amp;$B163)</f>
        <v>0</v>
      </c>
      <c r="N163" s="29" t="n">
        <f aca="false">SUMIFS('Outages (event ledger)'!$H$2:$H$65,'Outages (event ledger)'!$A$2:$A$65,N$2,'Outages (event ledger)'!$E$2:$E$65,"&lt;="&amp;$B163,'Outages (event ledger)'!$G$2:$G$65,"&gt;="&amp;$B163)</f>
        <v>0</v>
      </c>
      <c r="O163" s="29" t="n">
        <f aca="false">SUMIFS('Outages (event ledger)'!$H$2:$H$65,'Outages (event ledger)'!$A$2:$A$65,O$2,'Outages (event ledger)'!$E$2:$E$65,"&lt;="&amp;$B163,'Outages (event ledger)'!$G$2:$G$65,"&gt;="&amp;$B163)</f>
        <v>0</v>
      </c>
      <c r="P163" s="29" t="n">
        <f aca="false">SUMIFS('Outages (event ledger)'!$H$2:$H$65,'Outages (event ledger)'!$A$2:$A$65,P$2,'Outages (event ledger)'!$E$2:$E$65,"&lt;="&amp;$B163,'Outages (event ledger)'!$G$2:$G$65,"&gt;="&amp;$B163)</f>
        <v>0</v>
      </c>
      <c r="Q163" s="29" t="n">
        <f aca="false">SUMIFS('Outages (event ledger)'!$H$2:$H$65,'Outages (event ledger)'!$A$2:$A$65,Q$2,'Outages (event ledger)'!$E$2:$E$65,"&lt;="&amp;$B163,'Outages (event ledger)'!$G$2:$G$65,"&gt;="&amp;$B163)</f>
        <v>0</v>
      </c>
      <c r="R163" s="29" t="n">
        <f aca="false">SUMIFS('Outages (event ledger)'!$H$2:$H$65,'Outages (event ledger)'!$A$2:$A$65,R$2,'Outages (event ledger)'!$E$2:$E$65,"&lt;="&amp;$B163,'Outages (event ledger)'!$G$2:$G$65,"&gt;="&amp;$B163)</f>
        <v>0</v>
      </c>
      <c r="S163" s="29" t="n">
        <f aca="false">SUMIFS('Outages (event ledger)'!$H$2:$H$65,'Outages (event ledger)'!$A$2:$A$65,S$2,'Outages (event ledger)'!$E$2:$E$65,"&lt;="&amp;$B163,'Outages (event ledger)'!$G$2:$G$65,"&gt;="&amp;$B163)</f>
        <v>0</v>
      </c>
      <c r="T163" s="29" t="n">
        <f aca="false">SUMIFS('Outages (event ledger)'!$H$2:$H$65,'Outages (event ledger)'!$A$2:$A$65,T$2,'Outages (event ledger)'!$E$2:$E$65,"&lt;="&amp;$B163,'Outages (event ledger)'!$G$2:$G$65,"&gt;="&amp;$B163)</f>
        <v>0</v>
      </c>
      <c r="U163" s="29" t="n">
        <f aca="false">SUMIFS('Outages (event ledger)'!$H$2:$H$65,'Outages (event ledger)'!$A$2:$A$65,U$2,'Outages (event ledger)'!$E$2:$E$65,"&lt;="&amp;$B163,'Outages (event ledger)'!$G$2:$G$65,"&gt;="&amp;$B163)</f>
        <v>0</v>
      </c>
      <c r="V163" s="29" t="n">
        <f aca="false">SUMIFS('Outages (event ledger)'!$H$2:$H$65,'Outages (event ledger)'!$A$2:$A$65,V$2,'Outages (event ledger)'!$E$2:$E$65,"&lt;="&amp;$B163,'Outages (event ledger)'!$G$2:$G$65,"&gt;="&amp;$B163)</f>
        <v>0</v>
      </c>
      <c r="W163" s="29" t="n">
        <f aca="false">SUMIFS('Outages (event ledger)'!$H$2:$H$65,'Outages (event ledger)'!$A$2:$A$65,W$2,'Outages (event ledger)'!$E$2:$E$65,"&lt;="&amp;$B163,'Outages (event ledger)'!$G$2:$G$65,"&gt;="&amp;$B163)</f>
        <v>0</v>
      </c>
      <c r="X163" s="29" t="n">
        <f aca="false">SUMIFS('Outages (event ledger)'!$H$2:$H$65,'Outages (event ledger)'!$A$2:$A$65,X$2,'Outages (event ledger)'!$E$2:$E$65,"&lt;="&amp;$B163,'Outages (event ledger)'!$G$2:$G$65,"&gt;="&amp;$B163)</f>
        <v>0</v>
      </c>
      <c r="Y163" s="29" t="n">
        <f aca="false">SUMIFS('Outages (event ledger)'!$H$2:$H$65,'Outages (event ledger)'!$A$2:$A$65,Y$2,'Outages (event ledger)'!$E$2:$E$65,"&lt;="&amp;$B163,'Outages (event ledger)'!$G$2:$G$65,"&gt;="&amp;$B163)</f>
        <v>0</v>
      </c>
      <c r="Z163" s="29" t="n">
        <f aca="false">SUMIFS('Outages (event ledger)'!$H$2:$H$65,'Outages (event ledger)'!$A$2:$A$65,Z$2,'Outages (event ledger)'!$E$2:$E$65,"&lt;="&amp;$B163,'Outages (event ledger)'!$G$2:$G$65,"&gt;="&amp;$B163)</f>
        <v>4</v>
      </c>
      <c r="AA163" s="29" t="n">
        <f aca="false">SUMIFS('Outages (event ledger)'!$H$2:$H$65,'Outages (event ledger)'!$A$2:$A$65,AA$2,'Outages (event ledger)'!$E$2:$E$65,"&lt;="&amp;$B163,'Outages (event ledger)'!$G$2:$G$65,"&gt;="&amp;$B163)</f>
        <v>2</v>
      </c>
      <c r="AB163" s="29" t="n">
        <f aca="false">SUMIFS('Outages (event ledger)'!$H$2:$H$65,'Outages (event ledger)'!$A$2:$A$65,AB$2,'Outages (event ledger)'!$E$2:$E$65,"&lt;="&amp;$B163,'Outages (event ledger)'!$G$2:$G$65,"&gt;="&amp;$B163)</f>
        <v>8</v>
      </c>
      <c r="AC163" s="29" t="n">
        <f aca="false">SUMIFS('Outages (event ledger)'!$H$2:$H$65,'Outages (event ledger)'!$A$2:$A$65,AC$2,'Outages (event ledger)'!$E$2:$E$65,"&lt;="&amp;$B163,'Outages (event ledger)'!$G$2:$G$65,"&gt;="&amp;$B163)</f>
        <v>0</v>
      </c>
      <c r="AD163" s="29" t="n">
        <f aca="false">SUMIFS('Outages (event ledger)'!$H$2:$H$65,'Outages (event ledger)'!$A$2:$A$65,AD$2,'Outages (event ledger)'!$E$2:$E$65,"&lt;="&amp;$B163,'Outages (event ledger)'!$G$2:$G$65,"&gt;="&amp;$B163)</f>
        <v>0</v>
      </c>
      <c r="AE163" s="29" t="n">
        <f aca="false">SUMIFS('Outages (event ledger)'!$H$2:$H$65,'Outages (event ledger)'!$A$2:$A$65,AE$2,'Outages (event ledger)'!$E$2:$E$65,"&lt;="&amp;$B163,'Outages (event ledger)'!$G$2:$G$65,"&gt;="&amp;$B163)</f>
        <v>2.5</v>
      </c>
      <c r="AF163" s="29" t="n">
        <f aca="false">SUMIFS('Outages (event ledger)'!$H$2:$H$65,'Outages (event ledger)'!$A$2:$A$65,AF$2,'Outages (event ledger)'!$E$2:$E$65,"&lt;="&amp;$B163,'Outages (event ledger)'!$G$2:$G$65,"&gt;="&amp;$B163)</f>
        <v>0</v>
      </c>
      <c r="AG163" s="29" t="n">
        <f aca="false">SUMIFS('Outages (event ledger)'!$H$2:$H$65,'Outages (event ledger)'!$A$2:$A$65,AG$2,'Outages (event ledger)'!$E$2:$E$65,"&lt;="&amp;$B163,'Outages (event ledger)'!$G$2:$G$65,"&gt;="&amp;$B163)</f>
        <v>0</v>
      </c>
      <c r="AH163" s="29" t="n">
        <f aca="false">SUMIFS('Outages (event ledger)'!$H$2:$H$65,'Outages (event ledger)'!$A$2:$A$65,AH$2,'Outages (event ledger)'!$E$2:$E$65,"&lt;="&amp;$B163,'Outages (event ledger)'!$G$2:$G$65,"&gt;="&amp;$B163)</f>
        <v>0</v>
      </c>
      <c r="AI163" s="29" t="n">
        <f aca="false">SUMIFS('Outages (event ledger)'!$H$2:$H$65,'Outages (event ledger)'!$A$2:$A$65,AI$2,'Outages (event ledger)'!$E$2:$E$65,"&lt;="&amp;$B163,'Outages (event ledger)'!$G$2:$G$65,"&gt;="&amp;$B163)</f>
        <v>0</v>
      </c>
      <c r="AJ163" s="29" t="n">
        <f aca="false">SUMIFS('Outages (event ledger)'!$H$2:$H$65,'Outages (event ledger)'!$A$2:$A$65,AJ$2,'Outages (event ledger)'!$E$2:$E$65,"&lt;="&amp;$B163,'Outages (event ledger)'!$G$2:$G$65,"&gt;="&amp;$B163)</f>
        <v>0</v>
      </c>
      <c r="AK163" s="29" t="n">
        <f aca="false">SUMIFS('Outages (event ledger)'!$H$2:$H$65,'Outages (event ledger)'!$A$2:$A$65,AK$2,'Outages (event ledger)'!$E$2:$E$65,"&lt;="&amp;$B163,'Outages (event ledger)'!$G$2:$G$65,"&gt;="&amp;$B163)</f>
        <v>0</v>
      </c>
      <c r="AL163" s="29" t="n">
        <f aca="false">SUMIFS('Outages (event ledger)'!$H$2:$H$65,'Outages (event ledger)'!$A$2:$A$65,AL$2,'Outages (event ledger)'!$E$2:$E$65,"&lt;="&amp;$B163,'Outages (event ledger)'!$G$2:$G$65,"&gt;="&amp;$B163)</f>
        <v>5</v>
      </c>
      <c r="AM163" s="29" t="n">
        <f aca="false">SUMIFS('Outages (event ledger)'!$H$2:$H$65,'Outages (event ledger)'!$A$2:$A$65,AM$2,'Outages (event ledger)'!$E$2:$E$65,"&lt;="&amp;$B163,'Outages (event ledger)'!$G$2:$G$65,"&gt;="&amp;$B163)</f>
        <v>0</v>
      </c>
      <c r="AN163" s="29" t="n">
        <f aca="false">SUMIFS('Outages (event ledger)'!$H$2:$H$65,'Outages (event ledger)'!$A$2:$A$65,AN$2,'Outages (event ledger)'!$E$2:$E$65,"&lt;="&amp;$B163,'Outages (event ledger)'!$G$2:$G$65,"&gt;="&amp;$B163)</f>
        <v>0</v>
      </c>
      <c r="AO163" s="29" t="n">
        <f aca="false">SUMIFS('Outages (event ledger)'!$H$2:$H$65,'Outages (event ledger)'!$A$2:$A$65,AO$2,'Outages (event ledger)'!$E$2:$E$65,"&lt;="&amp;$B163,'Outages (event ledger)'!$G$2:$G$65,"&gt;="&amp;$B163)</f>
        <v>0</v>
      </c>
      <c r="AP163" s="29" t="n">
        <f aca="false">SUMIFS('Outages (event ledger)'!$H$2:$H$65,'Outages (event ledger)'!$A$2:$A$65,AP$2,'Outages (event ledger)'!$E$2:$E$65,"&lt;="&amp;$B163,'Outages (event ledger)'!$G$2:$G$65,"&gt;="&amp;$B163)</f>
        <v>0</v>
      </c>
      <c r="AQ163" s="29" t="n">
        <f aca="false">SUMIFS('Outages (event ledger)'!$H$2:$H$65,'Outages (event ledger)'!$A$2:$A$65,AQ$2,'Outages (event ledger)'!$E$2:$E$65,"&lt;="&amp;$B163,'Outages (event ledger)'!$G$2:$G$65,"&gt;="&amp;$B163)</f>
        <v>0</v>
      </c>
      <c r="AR163" s="29" t="n">
        <f aca="false">SUMIFS('Outages (event ledger)'!$H$2:$H$65,'Outages (event ledger)'!$A$2:$A$65,AR$2,'Outages (event ledger)'!$E$2:$E$65,"&lt;="&amp;$B163,'Outages (event ledger)'!$G$2:$G$65,"&gt;="&amp;$B163)</f>
        <v>0</v>
      </c>
      <c r="AS163" s="29" t="n">
        <f aca="false">SUMIFS('Outages (event ledger)'!$H$2:$H$65,'Outages (event ledger)'!$A$2:$A$65,AS$2,'Outages (event ledger)'!$E$2:$E$65,"&lt;="&amp;$B163,'Outages (event ledger)'!$G$2:$G$65,"&gt;="&amp;$B163)</f>
        <v>0</v>
      </c>
      <c r="AT163" s="29" t="n">
        <f aca="false">SUMIFS('Outages (event ledger)'!$H$2:$H$65,'Outages (event ledger)'!$A$2:$A$65,AT$2,'Outages (event ledger)'!$E$2:$E$65,"&lt;="&amp;$B163,'Outages (event ledger)'!$G$2:$G$65,"&gt;="&amp;$B163)</f>
        <v>0</v>
      </c>
      <c r="AU163" s="29" t="n">
        <f aca="false">SUMIFS('Outages (event ledger)'!$H$2:$H$65,'Outages (event ledger)'!$A$2:$A$65,AU$2,'Outages (event ledger)'!$E$2:$E$65,"&lt;="&amp;$B163,'Outages (event ledger)'!$G$2:$G$65,"&gt;="&amp;$B163)</f>
        <v>0</v>
      </c>
      <c r="AV163" s="29" t="n">
        <f aca="false">SUMIFS('Outages (event ledger)'!$H$2:$H$65,'Outages (event ledger)'!$A$2:$A$65,AV$2,'Outages (event ledger)'!$E$2:$E$65,"&lt;="&amp;$B163,'Outages (event ledger)'!$G$2:$G$65,"&gt;="&amp;$B163)</f>
        <v>0</v>
      </c>
      <c r="AW163" s="29" t="n">
        <f aca="false">SUMIFS('Outages (event ledger)'!$H$2:$H$65,'Outages (event ledger)'!$A$2:$A$65,AW$2,'Outages (event ledger)'!$E$2:$E$65,"&lt;="&amp;$B163,'Outages (event ledger)'!$G$2:$G$65,"&gt;="&amp;$B163)</f>
        <v>0</v>
      </c>
      <c r="AX163" s="29" t="n">
        <f aca="false">SUMIFS('Outages (event ledger)'!$H$2:$H$65,'Outages (event ledger)'!$A$2:$A$65,AX$2,'Outages (event ledger)'!$E$2:$E$65,"&lt;="&amp;$B163,'Outages (event ledger)'!$G$2:$G$65,"&gt;="&amp;$B163)</f>
        <v>6.6</v>
      </c>
      <c r="AY163" s="29" t="n">
        <f aca="false">SUMIFS('Outages (event ledger)'!$H$2:$H$65,'Outages (event ledger)'!$A$2:$A$65,AY$2,'Outages (event ledger)'!$E$2:$E$65,"&lt;="&amp;$B163,'Outages (event ledger)'!$G$2:$G$65,"&gt;="&amp;$B163)</f>
        <v>0</v>
      </c>
      <c r="AZ163" s="29" t="n">
        <f aca="false">SUMIFS('Outages (event ledger)'!$H$2:$H$65,'Outages (event ledger)'!$A$2:$A$65,AZ$2,'Outages (event ledger)'!$E$2:$E$65,"&lt;="&amp;$B163,'Outages (event ledger)'!$G$2:$G$65,"&gt;="&amp;$B163)</f>
        <v>2</v>
      </c>
      <c r="BA163" s="29" t="n">
        <f aca="false">SUMIFS('Outages (event ledger)'!$H$2:$H$65,'Outages (event ledger)'!$A$2:$A$65,BA$2,'Outages (event ledger)'!$E$2:$E$65,"&lt;="&amp;$B163,'Outages (event ledger)'!$G$2:$G$65,"&gt;="&amp;$B163)</f>
        <v>0</v>
      </c>
      <c r="BB163" s="29" t="n">
        <f aca="false">SUMIFS('Outages (event ledger)'!$H$2:$H$65,'Outages (event ledger)'!$A$2:$A$65,BB$2,'Outages (event ledger)'!$E$2:$E$65,"&lt;="&amp;$B163,'Outages (event ledger)'!$G$2:$G$65,"&gt;="&amp;$B163)</f>
        <v>0</v>
      </c>
      <c r="BC163" s="29" t="n">
        <f aca="false">SUMIFS('Outages (event ledger)'!$H$2:$H$65,'Outages (event ledger)'!$A$2:$A$65,BC$2,'Outages (event ledger)'!$E$2:$E$65,"&lt;="&amp;$B163,'Outages (event ledger)'!$G$2:$G$65,"&gt;="&amp;$B163)</f>
        <v>0</v>
      </c>
      <c r="BD163" s="29" t="n">
        <f aca="false">SUMIFS('Outages (event ledger)'!$H$2:$H$65,'Outages (event ledger)'!$A$2:$A$65,BD$2,'Outages (event ledger)'!$E$2:$E$65,"&lt;="&amp;$B163,'Outages (event ledger)'!$G$2:$G$65,"&gt;="&amp;$B163)</f>
        <v>0</v>
      </c>
      <c r="BE163" s="29" t="n">
        <f aca="false">SUMIFS('Outages (event ledger)'!$H$2:$H$65,'Outages (event ledger)'!$A$2:$A$65,BE$2,'Outages (event ledger)'!$E$2:$E$65,"&lt;="&amp;$B163,'Outages (event ledger)'!$G$2:$G$65,"&gt;="&amp;$B163)</f>
        <v>0</v>
      </c>
      <c r="BF163" s="29" t="n">
        <f aca="false">SUMIFS('Outages (event ledger)'!$H$2:$H$65,'Outages (event ledger)'!$A$2:$A$65,BF$2,'Outages (event ledger)'!$E$2:$E$65,"&lt;="&amp;$B163,'Outages (event ledger)'!$G$2:$G$65,"&gt;="&amp;$B163)</f>
        <v>0</v>
      </c>
      <c r="BG163" s="29" t="n">
        <f aca="false">SUMIFS('Outages (event ledger)'!$H$2:$H$65,'Outages (event ledger)'!$A$2:$A$65,BG$2,'Outages (event ledger)'!$E$2:$E$65,"&lt;="&amp;$B163,'Outages (event ledger)'!$G$2:$G$65,"&gt;="&amp;$B163)</f>
        <v>0</v>
      </c>
      <c r="BH163" s="29" t="n">
        <f aca="false">SUMIFS('Outages (event ledger)'!$H$2:$H$65,'Outages (event ledger)'!$A$2:$A$65,BH$2,'Outages (event ledger)'!$E$2:$E$65,"&lt;="&amp;$B163,'Outages (event ledger)'!$G$2:$G$65,"&gt;="&amp;$B163)</f>
        <v>0</v>
      </c>
      <c r="BI163" s="29" t="n">
        <f aca="false">SUMIFS('Outages (event ledger)'!$H$2:$H$65,'Outages (event ledger)'!$A$2:$A$65,BI$2,'Outages (event ledger)'!$E$2:$E$65,"&lt;="&amp;$B163,'Outages (event ledger)'!$G$2:$G$65,"&gt;="&amp;$B163)</f>
        <v>6.7</v>
      </c>
    </row>
    <row r="164" customFormat="false" ht="15" hidden="false" customHeight="false" outlineLevel="0" collapsed="false">
      <c r="A164" s="27" t="n">
        <v>45078</v>
      </c>
      <c r="B164" s="28" t="n">
        <v>202306</v>
      </c>
      <c r="C164" s="25" t="n">
        <f aca="false">SUM(D164:BI164)</f>
        <v>38.3</v>
      </c>
      <c r="D164" s="29" t="n">
        <f aca="false">SUMIFS('Outages (event ledger)'!$H$2:$H$65,'Outages (event ledger)'!$A$2:$A$65,D$2,'Outages (event ledger)'!$E$2:$E$65,"&lt;="&amp;$B164,'Outages (event ledger)'!$G$2:$G$65,"&gt;="&amp;$B164)</f>
        <v>0</v>
      </c>
      <c r="E164" s="29" t="n">
        <f aca="false">SUMIFS('Outages (event ledger)'!$H$2:$H$65,'Outages (event ledger)'!$A$2:$A$65,E$2,'Outages (event ledger)'!$E$2:$E$65,"&lt;="&amp;$B164,'Outages (event ledger)'!$G$2:$G$65,"&gt;="&amp;$B164)</f>
        <v>0</v>
      </c>
      <c r="F164" s="29" t="n">
        <f aca="false">SUMIFS('Outages (event ledger)'!$H$2:$H$65,'Outages (event ledger)'!$A$2:$A$65,F$2,'Outages (event ledger)'!$E$2:$E$65,"&lt;="&amp;$B164,'Outages (event ledger)'!$G$2:$G$65,"&gt;="&amp;$B164)</f>
        <v>0</v>
      </c>
      <c r="G164" s="29" t="n">
        <f aca="false">SUMIFS('Outages (event ledger)'!$H$2:$H$65,'Outages (event ledger)'!$A$2:$A$65,G$2,'Outages (event ledger)'!$E$2:$E$65,"&lt;="&amp;$B164,'Outages (event ledger)'!$G$2:$G$65,"&gt;="&amp;$B164)</f>
        <v>0</v>
      </c>
      <c r="H164" s="29" t="n">
        <f aca="false">SUMIFS('Outages (event ledger)'!$H$2:$H$65,'Outages (event ledger)'!$A$2:$A$65,H$2,'Outages (event ledger)'!$E$2:$E$65,"&lt;="&amp;$B164,'Outages (event ledger)'!$G$2:$G$65,"&gt;="&amp;$B164)</f>
        <v>0</v>
      </c>
      <c r="I164" s="29" t="n">
        <f aca="false">SUMIFS('Outages (event ledger)'!$H$2:$H$65,'Outages (event ledger)'!$A$2:$A$65,I$2,'Outages (event ledger)'!$E$2:$E$65,"&lt;="&amp;$B164,'Outages (event ledger)'!$G$2:$G$65,"&gt;="&amp;$B164)</f>
        <v>0</v>
      </c>
      <c r="J164" s="29" t="n">
        <f aca="false">SUMIFS('Outages (event ledger)'!$H$2:$H$65,'Outages (event ledger)'!$A$2:$A$65,J$2,'Outages (event ledger)'!$E$2:$E$65,"&lt;="&amp;$B164,'Outages (event ledger)'!$G$2:$G$65,"&gt;="&amp;$B164)</f>
        <v>0</v>
      </c>
      <c r="K164" s="29" t="n">
        <f aca="false">SUMIFS('Outages (event ledger)'!$H$2:$H$65,'Outages (event ledger)'!$A$2:$A$65,K$2,'Outages (event ledger)'!$E$2:$E$65,"&lt;="&amp;$B164,'Outages (event ledger)'!$G$2:$G$65,"&gt;="&amp;$B164)</f>
        <v>0</v>
      </c>
      <c r="L164" s="29" t="n">
        <f aca="false">SUMIFS('Outages (event ledger)'!$H$2:$H$65,'Outages (event ledger)'!$A$2:$A$65,L$2,'Outages (event ledger)'!$E$2:$E$65,"&lt;="&amp;$B164,'Outages (event ledger)'!$G$2:$G$65,"&gt;="&amp;$B164)</f>
        <v>0</v>
      </c>
      <c r="M164" s="29" t="n">
        <f aca="false">SUMIFS('Outages (event ledger)'!$H$2:$H$65,'Outages (event ledger)'!$A$2:$A$65,M$2,'Outages (event ledger)'!$E$2:$E$65,"&lt;="&amp;$B164,'Outages (event ledger)'!$G$2:$G$65,"&gt;="&amp;$B164)</f>
        <v>1.5</v>
      </c>
      <c r="N164" s="29" t="n">
        <f aca="false">SUMIFS('Outages (event ledger)'!$H$2:$H$65,'Outages (event ledger)'!$A$2:$A$65,N$2,'Outages (event ledger)'!$E$2:$E$65,"&lt;="&amp;$B164,'Outages (event ledger)'!$G$2:$G$65,"&gt;="&amp;$B164)</f>
        <v>0</v>
      </c>
      <c r="O164" s="29" t="n">
        <f aca="false">SUMIFS('Outages (event ledger)'!$H$2:$H$65,'Outages (event ledger)'!$A$2:$A$65,O$2,'Outages (event ledger)'!$E$2:$E$65,"&lt;="&amp;$B164,'Outages (event ledger)'!$G$2:$G$65,"&gt;="&amp;$B164)</f>
        <v>0</v>
      </c>
      <c r="P164" s="29" t="n">
        <f aca="false">SUMIFS('Outages (event ledger)'!$H$2:$H$65,'Outages (event ledger)'!$A$2:$A$65,P$2,'Outages (event ledger)'!$E$2:$E$65,"&lt;="&amp;$B164,'Outages (event ledger)'!$G$2:$G$65,"&gt;="&amp;$B164)</f>
        <v>0</v>
      </c>
      <c r="Q164" s="29" t="n">
        <f aca="false">SUMIFS('Outages (event ledger)'!$H$2:$H$65,'Outages (event ledger)'!$A$2:$A$65,Q$2,'Outages (event ledger)'!$E$2:$E$65,"&lt;="&amp;$B164,'Outages (event ledger)'!$G$2:$G$65,"&gt;="&amp;$B164)</f>
        <v>0</v>
      </c>
      <c r="R164" s="29" t="n">
        <f aca="false">SUMIFS('Outages (event ledger)'!$H$2:$H$65,'Outages (event ledger)'!$A$2:$A$65,R$2,'Outages (event ledger)'!$E$2:$E$65,"&lt;="&amp;$B164,'Outages (event ledger)'!$G$2:$G$65,"&gt;="&amp;$B164)</f>
        <v>0</v>
      </c>
      <c r="S164" s="29" t="n">
        <f aca="false">SUMIFS('Outages (event ledger)'!$H$2:$H$65,'Outages (event ledger)'!$A$2:$A$65,S$2,'Outages (event ledger)'!$E$2:$E$65,"&lt;="&amp;$B164,'Outages (event ledger)'!$G$2:$G$65,"&gt;="&amp;$B164)</f>
        <v>0</v>
      </c>
      <c r="T164" s="29" t="n">
        <f aca="false">SUMIFS('Outages (event ledger)'!$H$2:$H$65,'Outages (event ledger)'!$A$2:$A$65,T$2,'Outages (event ledger)'!$E$2:$E$65,"&lt;="&amp;$B164,'Outages (event ledger)'!$G$2:$G$65,"&gt;="&amp;$B164)</f>
        <v>0</v>
      </c>
      <c r="U164" s="29" t="n">
        <f aca="false">SUMIFS('Outages (event ledger)'!$H$2:$H$65,'Outages (event ledger)'!$A$2:$A$65,U$2,'Outages (event ledger)'!$E$2:$E$65,"&lt;="&amp;$B164,'Outages (event ledger)'!$G$2:$G$65,"&gt;="&amp;$B164)</f>
        <v>0</v>
      </c>
      <c r="V164" s="29" t="n">
        <f aca="false">SUMIFS('Outages (event ledger)'!$H$2:$H$65,'Outages (event ledger)'!$A$2:$A$65,V$2,'Outages (event ledger)'!$E$2:$E$65,"&lt;="&amp;$B164,'Outages (event ledger)'!$G$2:$G$65,"&gt;="&amp;$B164)</f>
        <v>0</v>
      </c>
      <c r="W164" s="29" t="n">
        <f aca="false">SUMIFS('Outages (event ledger)'!$H$2:$H$65,'Outages (event ledger)'!$A$2:$A$65,W$2,'Outages (event ledger)'!$E$2:$E$65,"&lt;="&amp;$B164,'Outages (event ledger)'!$G$2:$G$65,"&gt;="&amp;$B164)</f>
        <v>0</v>
      </c>
      <c r="X164" s="29" t="n">
        <f aca="false">SUMIFS('Outages (event ledger)'!$H$2:$H$65,'Outages (event ledger)'!$A$2:$A$65,X$2,'Outages (event ledger)'!$E$2:$E$65,"&lt;="&amp;$B164,'Outages (event ledger)'!$G$2:$G$65,"&gt;="&amp;$B164)</f>
        <v>0</v>
      </c>
      <c r="Y164" s="29" t="n">
        <f aca="false">SUMIFS('Outages (event ledger)'!$H$2:$H$65,'Outages (event ledger)'!$A$2:$A$65,Y$2,'Outages (event ledger)'!$E$2:$E$65,"&lt;="&amp;$B164,'Outages (event ledger)'!$G$2:$G$65,"&gt;="&amp;$B164)</f>
        <v>0</v>
      </c>
      <c r="Z164" s="29" t="n">
        <f aca="false">SUMIFS('Outages (event ledger)'!$H$2:$H$65,'Outages (event ledger)'!$A$2:$A$65,Z$2,'Outages (event ledger)'!$E$2:$E$65,"&lt;="&amp;$B164,'Outages (event ledger)'!$G$2:$G$65,"&gt;="&amp;$B164)</f>
        <v>4</v>
      </c>
      <c r="AA164" s="29" t="n">
        <f aca="false">SUMIFS('Outages (event ledger)'!$H$2:$H$65,'Outages (event ledger)'!$A$2:$A$65,AA$2,'Outages (event ledger)'!$E$2:$E$65,"&lt;="&amp;$B164,'Outages (event ledger)'!$G$2:$G$65,"&gt;="&amp;$B164)</f>
        <v>2</v>
      </c>
      <c r="AB164" s="29" t="n">
        <f aca="false">SUMIFS('Outages (event ledger)'!$H$2:$H$65,'Outages (event ledger)'!$A$2:$A$65,AB$2,'Outages (event ledger)'!$E$2:$E$65,"&lt;="&amp;$B164,'Outages (event ledger)'!$G$2:$G$65,"&gt;="&amp;$B164)</f>
        <v>8</v>
      </c>
      <c r="AC164" s="29" t="n">
        <f aca="false">SUMIFS('Outages (event ledger)'!$H$2:$H$65,'Outages (event ledger)'!$A$2:$A$65,AC$2,'Outages (event ledger)'!$E$2:$E$65,"&lt;="&amp;$B164,'Outages (event ledger)'!$G$2:$G$65,"&gt;="&amp;$B164)</f>
        <v>0</v>
      </c>
      <c r="AD164" s="29" t="n">
        <f aca="false">SUMIFS('Outages (event ledger)'!$H$2:$H$65,'Outages (event ledger)'!$A$2:$A$65,AD$2,'Outages (event ledger)'!$E$2:$E$65,"&lt;="&amp;$B164,'Outages (event ledger)'!$G$2:$G$65,"&gt;="&amp;$B164)</f>
        <v>0</v>
      </c>
      <c r="AE164" s="29" t="n">
        <f aca="false">SUMIFS('Outages (event ledger)'!$H$2:$H$65,'Outages (event ledger)'!$A$2:$A$65,AE$2,'Outages (event ledger)'!$E$2:$E$65,"&lt;="&amp;$B164,'Outages (event ledger)'!$G$2:$G$65,"&gt;="&amp;$B164)</f>
        <v>2.5</v>
      </c>
      <c r="AF164" s="29" t="n">
        <f aca="false">SUMIFS('Outages (event ledger)'!$H$2:$H$65,'Outages (event ledger)'!$A$2:$A$65,AF$2,'Outages (event ledger)'!$E$2:$E$65,"&lt;="&amp;$B164,'Outages (event ledger)'!$G$2:$G$65,"&gt;="&amp;$B164)</f>
        <v>0</v>
      </c>
      <c r="AG164" s="29" t="n">
        <f aca="false">SUMIFS('Outages (event ledger)'!$H$2:$H$65,'Outages (event ledger)'!$A$2:$A$65,AG$2,'Outages (event ledger)'!$E$2:$E$65,"&lt;="&amp;$B164,'Outages (event ledger)'!$G$2:$G$65,"&gt;="&amp;$B164)</f>
        <v>0</v>
      </c>
      <c r="AH164" s="29" t="n">
        <f aca="false">SUMIFS('Outages (event ledger)'!$H$2:$H$65,'Outages (event ledger)'!$A$2:$A$65,AH$2,'Outages (event ledger)'!$E$2:$E$65,"&lt;="&amp;$B164,'Outages (event ledger)'!$G$2:$G$65,"&gt;="&amp;$B164)</f>
        <v>0</v>
      </c>
      <c r="AI164" s="29" t="n">
        <f aca="false">SUMIFS('Outages (event ledger)'!$H$2:$H$65,'Outages (event ledger)'!$A$2:$A$65,AI$2,'Outages (event ledger)'!$E$2:$E$65,"&lt;="&amp;$B164,'Outages (event ledger)'!$G$2:$G$65,"&gt;="&amp;$B164)</f>
        <v>0</v>
      </c>
      <c r="AJ164" s="29" t="n">
        <f aca="false">SUMIFS('Outages (event ledger)'!$H$2:$H$65,'Outages (event ledger)'!$A$2:$A$65,AJ$2,'Outages (event ledger)'!$E$2:$E$65,"&lt;="&amp;$B164,'Outages (event ledger)'!$G$2:$G$65,"&gt;="&amp;$B164)</f>
        <v>0</v>
      </c>
      <c r="AK164" s="29" t="n">
        <f aca="false">SUMIFS('Outages (event ledger)'!$H$2:$H$65,'Outages (event ledger)'!$A$2:$A$65,AK$2,'Outages (event ledger)'!$E$2:$E$65,"&lt;="&amp;$B164,'Outages (event ledger)'!$G$2:$G$65,"&gt;="&amp;$B164)</f>
        <v>0</v>
      </c>
      <c r="AL164" s="29" t="n">
        <f aca="false">SUMIFS('Outages (event ledger)'!$H$2:$H$65,'Outages (event ledger)'!$A$2:$A$65,AL$2,'Outages (event ledger)'!$E$2:$E$65,"&lt;="&amp;$B164,'Outages (event ledger)'!$G$2:$G$65,"&gt;="&amp;$B164)</f>
        <v>5</v>
      </c>
      <c r="AM164" s="29" t="n">
        <f aca="false">SUMIFS('Outages (event ledger)'!$H$2:$H$65,'Outages (event ledger)'!$A$2:$A$65,AM$2,'Outages (event ledger)'!$E$2:$E$65,"&lt;="&amp;$B164,'Outages (event ledger)'!$G$2:$G$65,"&gt;="&amp;$B164)</f>
        <v>0</v>
      </c>
      <c r="AN164" s="29" t="n">
        <f aca="false">SUMIFS('Outages (event ledger)'!$H$2:$H$65,'Outages (event ledger)'!$A$2:$A$65,AN$2,'Outages (event ledger)'!$E$2:$E$65,"&lt;="&amp;$B164,'Outages (event ledger)'!$G$2:$G$65,"&gt;="&amp;$B164)</f>
        <v>0</v>
      </c>
      <c r="AO164" s="29" t="n">
        <f aca="false">SUMIFS('Outages (event ledger)'!$H$2:$H$65,'Outages (event ledger)'!$A$2:$A$65,AO$2,'Outages (event ledger)'!$E$2:$E$65,"&lt;="&amp;$B164,'Outages (event ledger)'!$G$2:$G$65,"&gt;="&amp;$B164)</f>
        <v>0</v>
      </c>
      <c r="AP164" s="29" t="n">
        <f aca="false">SUMIFS('Outages (event ledger)'!$H$2:$H$65,'Outages (event ledger)'!$A$2:$A$65,AP$2,'Outages (event ledger)'!$E$2:$E$65,"&lt;="&amp;$B164,'Outages (event ledger)'!$G$2:$G$65,"&gt;="&amp;$B164)</f>
        <v>0</v>
      </c>
      <c r="AQ164" s="29" t="n">
        <f aca="false">SUMIFS('Outages (event ledger)'!$H$2:$H$65,'Outages (event ledger)'!$A$2:$A$65,AQ$2,'Outages (event ledger)'!$E$2:$E$65,"&lt;="&amp;$B164,'Outages (event ledger)'!$G$2:$G$65,"&gt;="&amp;$B164)</f>
        <v>0</v>
      </c>
      <c r="AR164" s="29" t="n">
        <f aca="false">SUMIFS('Outages (event ledger)'!$H$2:$H$65,'Outages (event ledger)'!$A$2:$A$65,AR$2,'Outages (event ledger)'!$E$2:$E$65,"&lt;="&amp;$B164,'Outages (event ledger)'!$G$2:$G$65,"&gt;="&amp;$B164)</f>
        <v>0</v>
      </c>
      <c r="AS164" s="29" t="n">
        <f aca="false">SUMIFS('Outages (event ledger)'!$H$2:$H$65,'Outages (event ledger)'!$A$2:$A$65,AS$2,'Outages (event ledger)'!$E$2:$E$65,"&lt;="&amp;$B164,'Outages (event ledger)'!$G$2:$G$65,"&gt;="&amp;$B164)</f>
        <v>0</v>
      </c>
      <c r="AT164" s="29" t="n">
        <f aca="false">SUMIFS('Outages (event ledger)'!$H$2:$H$65,'Outages (event ledger)'!$A$2:$A$65,AT$2,'Outages (event ledger)'!$E$2:$E$65,"&lt;="&amp;$B164,'Outages (event ledger)'!$G$2:$G$65,"&gt;="&amp;$B164)</f>
        <v>0</v>
      </c>
      <c r="AU164" s="29" t="n">
        <f aca="false">SUMIFS('Outages (event ledger)'!$H$2:$H$65,'Outages (event ledger)'!$A$2:$A$65,AU$2,'Outages (event ledger)'!$E$2:$E$65,"&lt;="&amp;$B164,'Outages (event ledger)'!$G$2:$G$65,"&gt;="&amp;$B164)</f>
        <v>0</v>
      </c>
      <c r="AV164" s="29" t="n">
        <f aca="false">SUMIFS('Outages (event ledger)'!$H$2:$H$65,'Outages (event ledger)'!$A$2:$A$65,AV$2,'Outages (event ledger)'!$E$2:$E$65,"&lt;="&amp;$B164,'Outages (event ledger)'!$G$2:$G$65,"&gt;="&amp;$B164)</f>
        <v>0</v>
      </c>
      <c r="AW164" s="29" t="n">
        <f aca="false">SUMIFS('Outages (event ledger)'!$H$2:$H$65,'Outages (event ledger)'!$A$2:$A$65,AW$2,'Outages (event ledger)'!$E$2:$E$65,"&lt;="&amp;$B164,'Outages (event ledger)'!$G$2:$G$65,"&gt;="&amp;$B164)</f>
        <v>0</v>
      </c>
      <c r="AX164" s="29" t="n">
        <f aca="false">SUMIFS('Outages (event ledger)'!$H$2:$H$65,'Outages (event ledger)'!$A$2:$A$65,AX$2,'Outages (event ledger)'!$E$2:$E$65,"&lt;="&amp;$B164,'Outages (event ledger)'!$G$2:$G$65,"&gt;="&amp;$B164)</f>
        <v>6.6</v>
      </c>
      <c r="AY164" s="29" t="n">
        <f aca="false">SUMIFS('Outages (event ledger)'!$H$2:$H$65,'Outages (event ledger)'!$A$2:$A$65,AY$2,'Outages (event ledger)'!$E$2:$E$65,"&lt;="&amp;$B164,'Outages (event ledger)'!$G$2:$G$65,"&gt;="&amp;$B164)</f>
        <v>0</v>
      </c>
      <c r="AZ164" s="29" t="n">
        <f aca="false">SUMIFS('Outages (event ledger)'!$H$2:$H$65,'Outages (event ledger)'!$A$2:$A$65,AZ$2,'Outages (event ledger)'!$E$2:$E$65,"&lt;="&amp;$B164,'Outages (event ledger)'!$G$2:$G$65,"&gt;="&amp;$B164)</f>
        <v>2</v>
      </c>
      <c r="BA164" s="29" t="n">
        <f aca="false">SUMIFS('Outages (event ledger)'!$H$2:$H$65,'Outages (event ledger)'!$A$2:$A$65,BA$2,'Outages (event ledger)'!$E$2:$E$65,"&lt;="&amp;$B164,'Outages (event ledger)'!$G$2:$G$65,"&gt;="&amp;$B164)</f>
        <v>0</v>
      </c>
      <c r="BB164" s="29" t="n">
        <f aca="false">SUMIFS('Outages (event ledger)'!$H$2:$H$65,'Outages (event ledger)'!$A$2:$A$65,BB$2,'Outages (event ledger)'!$E$2:$E$65,"&lt;="&amp;$B164,'Outages (event ledger)'!$G$2:$G$65,"&gt;="&amp;$B164)</f>
        <v>0</v>
      </c>
      <c r="BC164" s="29" t="n">
        <f aca="false">SUMIFS('Outages (event ledger)'!$H$2:$H$65,'Outages (event ledger)'!$A$2:$A$65,BC$2,'Outages (event ledger)'!$E$2:$E$65,"&lt;="&amp;$B164,'Outages (event ledger)'!$G$2:$G$65,"&gt;="&amp;$B164)</f>
        <v>0</v>
      </c>
      <c r="BD164" s="29" t="n">
        <f aca="false">SUMIFS('Outages (event ledger)'!$H$2:$H$65,'Outages (event ledger)'!$A$2:$A$65,BD$2,'Outages (event ledger)'!$E$2:$E$65,"&lt;="&amp;$B164,'Outages (event ledger)'!$G$2:$G$65,"&gt;="&amp;$B164)</f>
        <v>0</v>
      </c>
      <c r="BE164" s="29" t="n">
        <f aca="false">SUMIFS('Outages (event ledger)'!$H$2:$H$65,'Outages (event ledger)'!$A$2:$A$65,BE$2,'Outages (event ledger)'!$E$2:$E$65,"&lt;="&amp;$B164,'Outages (event ledger)'!$G$2:$G$65,"&gt;="&amp;$B164)</f>
        <v>0</v>
      </c>
      <c r="BF164" s="29" t="n">
        <f aca="false">SUMIFS('Outages (event ledger)'!$H$2:$H$65,'Outages (event ledger)'!$A$2:$A$65,BF$2,'Outages (event ledger)'!$E$2:$E$65,"&lt;="&amp;$B164,'Outages (event ledger)'!$G$2:$G$65,"&gt;="&amp;$B164)</f>
        <v>0</v>
      </c>
      <c r="BG164" s="29" t="n">
        <f aca="false">SUMIFS('Outages (event ledger)'!$H$2:$H$65,'Outages (event ledger)'!$A$2:$A$65,BG$2,'Outages (event ledger)'!$E$2:$E$65,"&lt;="&amp;$B164,'Outages (event ledger)'!$G$2:$G$65,"&gt;="&amp;$B164)</f>
        <v>0</v>
      </c>
      <c r="BH164" s="29" t="n">
        <f aca="false">SUMIFS('Outages (event ledger)'!$H$2:$H$65,'Outages (event ledger)'!$A$2:$A$65,BH$2,'Outages (event ledger)'!$E$2:$E$65,"&lt;="&amp;$B164,'Outages (event ledger)'!$G$2:$G$65,"&gt;="&amp;$B164)</f>
        <v>0</v>
      </c>
      <c r="BI164" s="29" t="n">
        <f aca="false">SUMIFS('Outages (event ledger)'!$H$2:$H$65,'Outages (event ledger)'!$A$2:$A$65,BI$2,'Outages (event ledger)'!$E$2:$E$65,"&lt;="&amp;$B164,'Outages (event ledger)'!$G$2:$G$65,"&gt;="&amp;$B164)</f>
        <v>6.7</v>
      </c>
    </row>
    <row r="165" customFormat="false" ht="15" hidden="false" customHeight="false" outlineLevel="0" collapsed="false">
      <c r="A165" s="27" t="n">
        <v>45108</v>
      </c>
      <c r="B165" s="28" t="n">
        <v>202307</v>
      </c>
      <c r="C165" s="25" t="n">
        <f aca="false">SUM(D165:BI165)</f>
        <v>38.3</v>
      </c>
      <c r="D165" s="29" t="n">
        <f aca="false">SUMIFS('Outages (event ledger)'!$H$2:$H$65,'Outages (event ledger)'!$A$2:$A$65,D$2,'Outages (event ledger)'!$E$2:$E$65,"&lt;="&amp;$B165,'Outages (event ledger)'!$G$2:$G$65,"&gt;="&amp;$B165)</f>
        <v>0</v>
      </c>
      <c r="E165" s="29" t="n">
        <f aca="false">SUMIFS('Outages (event ledger)'!$H$2:$H$65,'Outages (event ledger)'!$A$2:$A$65,E$2,'Outages (event ledger)'!$E$2:$E$65,"&lt;="&amp;$B165,'Outages (event ledger)'!$G$2:$G$65,"&gt;="&amp;$B165)</f>
        <v>0</v>
      </c>
      <c r="F165" s="29" t="n">
        <f aca="false">SUMIFS('Outages (event ledger)'!$H$2:$H$65,'Outages (event ledger)'!$A$2:$A$65,F$2,'Outages (event ledger)'!$E$2:$E$65,"&lt;="&amp;$B165,'Outages (event ledger)'!$G$2:$G$65,"&gt;="&amp;$B165)</f>
        <v>0</v>
      </c>
      <c r="G165" s="29" t="n">
        <f aca="false">SUMIFS('Outages (event ledger)'!$H$2:$H$65,'Outages (event ledger)'!$A$2:$A$65,G$2,'Outages (event ledger)'!$E$2:$E$65,"&lt;="&amp;$B165,'Outages (event ledger)'!$G$2:$G$65,"&gt;="&amp;$B165)</f>
        <v>0</v>
      </c>
      <c r="H165" s="29" t="n">
        <f aca="false">SUMIFS('Outages (event ledger)'!$H$2:$H$65,'Outages (event ledger)'!$A$2:$A$65,H$2,'Outages (event ledger)'!$E$2:$E$65,"&lt;="&amp;$B165,'Outages (event ledger)'!$G$2:$G$65,"&gt;="&amp;$B165)</f>
        <v>0</v>
      </c>
      <c r="I165" s="29" t="n">
        <f aca="false">SUMIFS('Outages (event ledger)'!$H$2:$H$65,'Outages (event ledger)'!$A$2:$A$65,I$2,'Outages (event ledger)'!$E$2:$E$65,"&lt;="&amp;$B165,'Outages (event ledger)'!$G$2:$G$65,"&gt;="&amp;$B165)</f>
        <v>0</v>
      </c>
      <c r="J165" s="29" t="n">
        <f aca="false">SUMIFS('Outages (event ledger)'!$H$2:$H$65,'Outages (event ledger)'!$A$2:$A$65,J$2,'Outages (event ledger)'!$E$2:$E$65,"&lt;="&amp;$B165,'Outages (event ledger)'!$G$2:$G$65,"&gt;="&amp;$B165)</f>
        <v>0</v>
      </c>
      <c r="K165" s="29" t="n">
        <f aca="false">SUMIFS('Outages (event ledger)'!$H$2:$H$65,'Outages (event ledger)'!$A$2:$A$65,K$2,'Outages (event ledger)'!$E$2:$E$65,"&lt;="&amp;$B165,'Outages (event ledger)'!$G$2:$G$65,"&gt;="&amp;$B165)</f>
        <v>0</v>
      </c>
      <c r="L165" s="29" t="n">
        <f aca="false">SUMIFS('Outages (event ledger)'!$H$2:$H$65,'Outages (event ledger)'!$A$2:$A$65,L$2,'Outages (event ledger)'!$E$2:$E$65,"&lt;="&amp;$B165,'Outages (event ledger)'!$G$2:$G$65,"&gt;="&amp;$B165)</f>
        <v>0</v>
      </c>
      <c r="M165" s="29" t="n">
        <f aca="false">SUMIFS('Outages (event ledger)'!$H$2:$H$65,'Outages (event ledger)'!$A$2:$A$65,M$2,'Outages (event ledger)'!$E$2:$E$65,"&lt;="&amp;$B165,'Outages (event ledger)'!$G$2:$G$65,"&gt;="&amp;$B165)</f>
        <v>1.5</v>
      </c>
      <c r="N165" s="29" t="n">
        <f aca="false">SUMIFS('Outages (event ledger)'!$H$2:$H$65,'Outages (event ledger)'!$A$2:$A$65,N$2,'Outages (event ledger)'!$E$2:$E$65,"&lt;="&amp;$B165,'Outages (event ledger)'!$G$2:$G$65,"&gt;="&amp;$B165)</f>
        <v>0</v>
      </c>
      <c r="O165" s="29" t="n">
        <f aca="false">SUMIFS('Outages (event ledger)'!$H$2:$H$65,'Outages (event ledger)'!$A$2:$A$65,O$2,'Outages (event ledger)'!$E$2:$E$65,"&lt;="&amp;$B165,'Outages (event ledger)'!$G$2:$G$65,"&gt;="&amp;$B165)</f>
        <v>0</v>
      </c>
      <c r="P165" s="29" t="n">
        <f aca="false">SUMIFS('Outages (event ledger)'!$H$2:$H$65,'Outages (event ledger)'!$A$2:$A$65,P$2,'Outages (event ledger)'!$E$2:$E$65,"&lt;="&amp;$B165,'Outages (event ledger)'!$G$2:$G$65,"&gt;="&amp;$B165)</f>
        <v>0</v>
      </c>
      <c r="Q165" s="29" t="n">
        <f aca="false">SUMIFS('Outages (event ledger)'!$H$2:$H$65,'Outages (event ledger)'!$A$2:$A$65,Q$2,'Outages (event ledger)'!$E$2:$E$65,"&lt;="&amp;$B165,'Outages (event ledger)'!$G$2:$G$65,"&gt;="&amp;$B165)</f>
        <v>0</v>
      </c>
      <c r="R165" s="29" t="n">
        <f aca="false">SUMIFS('Outages (event ledger)'!$H$2:$H$65,'Outages (event ledger)'!$A$2:$A$65,R$2,'Outages (event ledger)'!$E$2:$E$65,"&lt;="&amp;$B165,'Outages (event ledger)'!$G$2:$G$65,"&gt;="&amp;$B165)</f>
        <v>0</v>
      </c>
      <c r="S165" s="29" t="n">
        <f aca="false">SUMIFS('Outages (event ledger)'!$H$2:$H$65,'Outages (event ledger)'!$A$2:$A$65,S$2,'Outages (event ledger)'!$E$2:$E$65,"&lt;="&amp;$B165,'Outages (event ledger)'!$G$2:$G$65,"&gt;="&amp;$B165)</f>
        <v>0</v>
      </c>
      <c r="T165" s="29" t="n">
        <f aca="false">SUMIFS('Outages (event ledger)'!$H$2:$H$65,'Outages (event ledger)'!$A$2:$A$65,T$2,'Outages (event ledger)'!$E$2:$E$65,"&lt;="&amp;$B165,'Outages (event ledger)'!$G$2:$G$65,"&gt;="&amp;$B165)</f>
        <v>0</v>
      </c>
      <c r="U165" s="29" t="n">
        <f aca="false">SUMIFS('Outages (event ledger)'!$H$2:$H$65,'Outages (event ledger)'!$A$2:$A$65,U$2,'Outages (event ledger)'!$E$2:$E$65,"&lt;="&amp;$B165,'Outages (event ledger)'!$G$2:$G$65,"&gt;="&amp;$B165)</f>
        <v>0</v>
      </c>
      <c r="V165" s="29" t="n">
        <f aca="false">SUMIFS('Outages (event ledger)'!$H$2:$H$65,'Outages (event ledger)'!$A$2:$A$65,V$2,'Outages (event ledger)'!$E$2:$E$65,"&lt;="&amp;$B165,'Outages (event ledger)'!$G$2:$G$65,"&gt;="&amp;$B165)</f>
        <v>0</v>
      </c>
      <c r="W165" s="29" t="n">
        <f aca="false">SUMIFS('Outages (event ledger)'!$H$2:$H$65,'Outages (event ledger)'!$A$2:$A$65,W$2,'Outages (event ledger)'!$E$2:$E$65,"&lt;="&amp;$B165,'Outages (event ledger)'!$G$2:$G$65,"&gt;="&amp;$B165)</f>
        <v>0</v>
      </c>
      <c r="X165" s="29" t="n">
        <f aca="false">SUMIFS('Outages (event ledger)'!$H$2:$H$65,'Outages (event ledger)'!$A$2:$A$65,X$2,'Outages (event ledger)'!$E$2:$E$65,"&lt;="&amp;$B165,'Outages (event ledger)'!$G$2:$G$65,"&gt;="&amp;$B165)</f>
        <v>0</v>
      </c>
      <c r="Y165" s="29" t="n">
        <f aca="false">SUMIFS('Outages (event ledger)'!$H$2:$H$65,'Outages (event ledger)'!$A$2:$A$65,Y$2,'Outages (event ledger)'!$E$2:$E$65,"&lt;="&amp;$B165,'Outages (event ledger)'!$G$2:$G$65,"&gt;="&amp;$B165)</f>
        <v>0</v>
      </c>
      <c r="Z165" s="29" t="n">
        <f aca="false">SUMIFS('Outages (event ledger)'!$H$2:$H$65,'Outages (event ledger)'!$A$2:$A$65,Z$2,'Outages (event ledger)'!$E$2:$E$65,"&lt;="&amp;$B165,'Outages (event ledger)'!$G$2:$G$65,"&gt;="&amp;$B165)</f>
        <v>4</v>
      </c>
      <c r="AA165" s="29" t="n">
        <f aca="false">SUMIFS('Outages (event ledger)'!$H$2:$H$65,'Outages (event ledger)'!$A$2:$A$65,AA$2,'Outages (event ledger)'!$E$2:$E$65,"&lt;="&amp;$B165,'Outages (event ledger)'!$G$2:$G$65,"&gt;="&amp;$B165)</f>
        <v>2</v>
      </c>
      <c r="AB165" s="29" t="n">
        <f aca="false">SUMIFS('Outages (event ledger)'!$H$2:$H$65,'Outages (event ledger)'!$A$2:$A$65,AB$2,'Outages (event ledger)'!$E$2:$E$65,"&lt;="&amp;$B165,'Outages (event ledger)'!$G$2:$G$65,"&gt;="&amp;$B165)</f>
        <v>8</v>
      </c>
      <c r="AC165" s="29" t="n">
        <f aca="false">SUMIFS('Outages (event ledger)'!$H$2:$H$65,'Outages (event ledger)'!$A$2:$A$65,AC$2,'Outages (event ledger)'!$E$2:$E$65,"&lt;="&amp;$B165,'Outages (event ledger)'!$G$2:$G$65,"&gt;="&amp;$B165)</f>
        <v>0</v>
      </c>
      <c r="AD165" s="29" t="n">
        <f aca="false">SUMIFS('Outages (event ledger)'!$H$2:$H$65,'Outages (event ledger)'!$A$2:$A$65,AD$2,'Outages (event ledger)'!$E$2:$E$65,"&lt;="&amp;$B165,'Outages (event ledger)'!$G$2:$G$65,"&gt;="&amp;$B165)</f>
        <v>0</v>
      </c>
      <c r="AE165" s="29" t="n">
        <f aca="false">SUMIFS('Outages (event ledger)'!$H$2:$H$65,'Outages (event ledger)'!$A$2:$A$65,AE$2,'Outages (event ledger)'!$E$2:$E$65,"&lt;="&amp;$B165,'Outages (event ledger)'!$G$2:$G$65,"&gt;="&amp;$B165)</f>
        <v>2.5</v>
      </c>
      <c r="AF165" s="29" t="n">
        <f aca="false">SUMIFS('Outages (event ledger)'!$H$2:$H$65,'Outages (event ledger)'!$A$2:$A$65,AF$2,'Outages (event ledger)'!$E$2:$E$65,"&lt;="&amp;$B165,'Outages (event ledger)'!$G$2:$G$65,"&gt;="&amp;$B165)</f>
        <v>0</v>
      </c>
      <c r="AG165" s="29" t="n">
        <f aca="false">SUMIFS('Outages (event ledger)'!$H$2:$H$65,'Outages (event ledger)'!$A$2:$A$65,AG$2,'Outages (event ledger)'!$E$2:$E$65,"&lt;="&amp;$B165,'Outages (event ledger)'!$G$2:$G$65,"&gt;="&amp;$B165)</f>
        <v>0</v>
      </c>
      <c r="AH165" s="29" t="n">
        <f aca="false">SUMIFS('Outages (event ledger)'!$H$2:$H$65,'Outages (event ledger)'!$A$2:$A$65,AH$2,'Outages (event ledger)'!$E$2:$E$65,"&lt;="&amp;$B165,'Outages (event ledger)'!$G$2:$G$65,"&gt;="&amp;$B165)</f>
        <v>0</v>
      </c>
      <c r="AI165" s="29" t="n">
        <f aca="false">SUMIFS('Outages (event ledger)'!$H$2:$H$65,'Outages (event ledger)'!$A$2:$A$65,AI$2,'Outages (event ledger)'!$E$2:$E$65,"&lt;="&amp;$B165,'Outages (event ledger)'!$G$2:$G$65,"&gt;="&amp;$B165)</f>
        <v>0</v>
      </c>
      <c r="AJ165" s="29" t="n">
        <f aca="false">SUMIFS('Outages (event ledger)'!$H$2:$H$65,'Outages (event ledger)'!$A$2:$A$65,AJ$2,'Outages (event ledger)'!$E$2:$E$65,"&lt;="&amp;$B165,'Outages (event ledger)'!$G$2:$G$65,"&gt;="&amp;$B165)</f>
        <v>0</v>
      </c>
      <c r="AK165" s="29" t="n">
        <f aca="false">SUMIFS('Outages (event ledger)'!$H$2:$H$65,'Outages (event ledger)'!$A$2:$A$65,AK$2,'Outages (event ledger)'!$E$2:$E$65,"&lt;="&amp;$B165,'Outages (event ledger)'!$G$2:$G$65,"&gt;="&amp;$B165)</f>
        <v>0</v>
      </c>
      <c r="AL165" s="29" t="n">
        <f aca="false">SUMIFS('Outages (event ledger)'!$H$2:$H$65,'Outages (event ledger)'!$A$2:$A$65,AL$2,'Outages (event ledger)'!$E$2:$E$65,"&lt;="&amp;$B165,'Outages (event ledger)'!$G$2:$G$65,"&gt;="&amp;$B165)</f>
        <v>5</v>
      </c>
      <c r="AM165" s="29" t="n">
        <f aca="false">SUMIFS('Outages (event ledger)'!$H$2:$H$65,'Outages (event ledger)'!$A$2:$A$65,AM$2,'Outages (event ledger)'!$E$2:$E$65,"&lt;="&amp;$B165,'Outages (event ledger)'!$G$2:$G$65,"&gt;="&amp;$B165)</f>
        <v>0</v>
      </c>
      <c r="AN165" s="29" t="n">
        <f aca="false">SUMIFS('Outages (event ledger)'!$H$2:$H$65,'Outages (event ledger)'!$A$2:$A$65,AN$2,'Outages (event ledger)'!$E$2:$E$65,"&lt;="&amp;$B165,'Outages (event ledger)'!$G$2:$G$65,"&gt;="&amp;$B165)</f>
        <v>0</v>
      </c>
      <c r="AO165" s="29" t="n">
        <f aca="false">SUMIFS('Outages (event ledger)'!$H$2:$H$65,'Outages (event ledger)'!$A$2:$A$65,AO$2,'Outages (event ledger)'!$E$2:$E$65,"&lt;="&amp;$B165,'Outages (event ledger)'!$G$2:$G$65,"&gt;="&amp;$B165)</f>
        <v>0</v>
      </c>
      <c r="AP165" s="29" t="n">
        <f aca="false">SUMIFS('Outages (event ledger)'!$H$2:$H$65,'Outages (event ledger)'!$A$2:$A$65,AP$2,'Outages (event ledger)'!$E$2:$E$65,"&lt;="&amp;$B165,'Outages (event ledger)'!$G$2:$G$65,"&gt;="&amp;$B165)</f>
        <v>0</v>
      </c>
      <c r="AQ165" s="29" t="n">
        <f aca="false">SUMIFS('Outages (event ledger)'!$H$2:$H$65,'Outages (event ledger)'!$A$2:$A$65,AQ$2,'Outages (event ledger)'!$E$2:$E$65,"&lt;="&amp;$B165,'Outages (event ledger)'!$G$2:$G$65,"&gt;="&amp;$B165)</f>
        <v>0</v>
      </c>
      <c r="AR165" s="29" t="n">
        <f aca="false">SUMIFS('Outages (event ledger)'!$H$2:$H$65,'Outages (event ledger)'!$A$2:$A$65,AR$2,'Outages (event ledger)'!$E$2:$E$65,"&lt;="&amp;$B165,'Outages (event ledger)'!$G$2:$G$65,"&gt;="&amp;$B165)</f>
        <v>0</v>
      </c>
      <c r="AS165" s="29" t="n">
        <f aca="false">SUMIFS('Outages (event ledger)'!$H$2:$H$65,'Outages (event ledger)'!$A$2:$A$65,AS$2,'Outages (event ledger)'!$E$2:$E$65,"&lt;="&amp;$B165,'Outages (event ledger)'!$G$2:$G$65,"&gt;="&amp;$B165)</f>
        <v>0</v>
      </c>
      <c r="AT165" s="29" t="n">
        <f aca="false">SUMIFS('Outages (event ledger)'!$H$2:$H$65,'Outages (event ledger)'!$A$2:$A$65,AT$2,'Outages (event ledger)'!$E$2:$E$65,"&lt;="&amp;$B165,'Outages (event ledger)'!$G$2:$G$65,"&gt;="&amp;$B165)</f>
        <v>0</v>
      </c>
      <c r="AU165" s="29" t="n">
        <f aca="false">SUMIFS('Outages (event ledger)'!$H$2:$H$65,'Outages (event ledger)'!$A$2:$A$65,AU$2,'Outages (event ledger)'!$E$2:$E$65,"&lt;="&amp;$B165,'Outages (event ledger)'!$G$2:$G$65,"&gt;="&amp;$B165)</f>
        <v>0</v>
      </c>
      <c r="AV165" s="29" t="n">
        <f aca="false">SUMIFS('Outages (event ledger)'!$H$2:$H$65,'Outages (event ledger)'!$A$2:$A$65,AV$2,'Outages (event ledger)'!$E$2:$E$65,"&lt;="&amp;$B165,'Outages (event ledger)'!$G$2:$G$65,"&gt;="&amp;$B165)</f>
        <v>0</v>
      </c>
      <c r="AW165" s="29" t="n">
        <f aca="false">SUMIFS('Outages (event ledger)'!$H$2:$H$65,'Outages (event ledger)'!$A$2:$A$65,AW$2,'Outages (event ledger)'!$E$2:$E$65,"&lt;="&amp;$B165,'Outages (event ledger)'!$G$2:$G$65,"&gt;="&amp;$B165)</f>
        <v>0</v>
      </c>
      <c r="AX165" s="29" t="n">
        <f aca="false">SUMIFS('Outages (event ledger)'!$H$2:$H$65,'Outages (event ledger)'!$A$2:$A$65,AX$2,'Outages (event ledger)'!$E$2:$E$65,"&lt;="&amp;$B165,'Outages (event ledger)'!$G$2:$G$65,"&gt;="&amp;$B165)</f>
        <v>6.6</v>
      </c>
      <c r="AY165" s="29" t="n">
        <f aca="false">SUMIFS('Outages (event ledger)'!$H$2:$H$65,'Outages (event ledger)'!$A$2:$A$65,AY$2,'Outages (event ledger)'!$E$2:$E$65,"&lt;="&amp;$B165,'Outages (event ledger)'!$G$2:$G$65,"&gt;="&amp;$B165)</f>
        <v>0</v>
      </c>
      <c r="AZ165" s="29" t="n">
        <f aca="false">SUMIFS('Outages (event ledger)'!$H$2:$H$65,'Outages (event ledger)'!$A$2:$A$65,AZ$2,'Outages (event ledger)'!$E$2:$E$65,"&lt;="&amp;$B165,'Outages (event ledger)'!$G$2:$G$65,"&gt;="&amp;$B165)</f>
        <v>2</v>
      </c>
      <c r="BA165" s="29" t="n">
        <f aca="false">SUMIFS('Outages (event ledger)'!$H$2:$H$65,'Outages (event ledger)'!$A$2:$A$65,BA$2,'Outages (event ledger)'!$E$2:$E$65,"&lt;="&amp;$B165,'Outages (event ledger)'!$G$2:$G$65,"&gt;="&amp;$B165)</f>
        <v>0</v>
      </c>
      <c r="BB165" s="29" t="n">
        <f aca="false">SUMIFS('Outages (event ledger)'!$H$2:$H$65,'Outages (event ledger)'!$A$2:$A$65,BB$2,'Outages (event ledger)'!$E$2:$E$65,"&lt;="&amp;$B165,'Outages (event ledger)'!$G$2:$G$65,"&gt;="&amp;$B165)</f>
        <v>0</v>
      </c>
      <c r="BC165" s="29" t="n">
        <f aca="false">SUMIFS('Outages (event ledger)'!$H$2:$H$65,'Outages (event ledger)'!$A$2:$A$65,BC$2,'Outages (event ledger)'!$E$2:$E$65,"&lt;="&amp;$B165,'Outages (event ledger)'!$G$2:$G$65,"&gt;="&amp;$B165)</f>
        <v>0</v>
      </c>
      <c r="BD165" s="29" t="n">
        <f aca="false">SUMIFS('Outages (event ledger)'!$H$2:$H$65,'Outages (event ledger)'!$A$2:$A$65,BD$2,'Outages (event ledger)'!$E$2:$E$65,"&lt;="&amp;$B165,'Outages (event ledger)'!$G$2:$G$65,"&gt;="&amp;$B165)</f>
        <v>0</v>
      </c>
      <c r="BE165" s="29" t="n">
        <f aca="false">SUMIFS('Outages (event ledger)'!$H$2:$H$65,'Outages (event ledger)'!$A$2:$A$65,BE$2,'Outages (event ledger)'!$E$2:$E$65,"&lt;="&amp;$B165,'Outages (event ledger)'!$G$2:$G$65,"&gt;="&amp;$B165)</f>
        <v>0</v>
      </c>
      <c r="BF165" s="29" t="n">
        <f aca="false">SUMIFS('Outages (event ledger)'!$H$2:$H$65,'Outages (event ledger)'!$A$2:$A$65,BF$2,'Outages (event ledger)'!$E$2:$E$65,"&lt;="&amp;$B165,'Outages (event ledger)'!$G$2:$G$65,"&gt;="&amp;$B165)</f>
        <v>0</v>
      </c>
      <c r="BG165" s="29" t="n">
        <f aca="false">SUMIFS('Outages (event ledger)'!$H$2:$H$65,'Outages (event ledger)'!$A$2:$A$65,BG$2,'Outages (event ledger)'!$E$2:$E$65,"&lt;="&amp;$B165,'Outages (event ledger)'!$G$2:$G$65,"&gt;="&amp;$B165)</f>
        <v>0</v>
      </c>
      <c r="BH165" s="29" t="n">
        <f aca="false">SUMIFS('Outages (event ledger)'!$H$2:$H$65,'Outages (event ledger)'!$A$2:$A$65,BH$2,'Outages (event ledger)'!$E$2:$E$65,"&lt;="&amp;$B165,'Outages (event ledger)'!$G$2:$G$65,"&gt;="&amp;$B165)</f>
        <v>0</v>
      </c>
      <c r="BI165" s="29" t="n">
        <f aca="false">SUMIFS('Outages (event ledger)'!$H$2:$H$65,'Outages (event ledger)'!$A$2:$A$65,BI$2,'Outages (event ledger)'!$E$2:$E$65,"&lt;="&amp;$B165,'Outages (event ledger)'!$G$2:$G$65,"&gt;="&amp;$B165)</f>
        <v>6.7</v>
      </c>
    </row>
    <row r="166" customFormat="false" ht="15" hidden="false" customHeight="false" outlineLevel="0" collapsed="false">
      <c r="A166" s="27" t="n">
        <v>45139</v>
      </c>
      <c r="B166" s="28" t="n">
        <v>202308</v>
      </c>
      <c r="C166" s="25" t="n">
        <f aca="false">SUM(D166:BI166)</f>
        <v>36.8</v>
      </c>
      <c r="D166" s="29" t="n">
        <f aca="false">SUMIFS('Outages (event ledger)'!$H$2:$H$65,'Outages (event ledger)'!$A$2:$A$65,D$2,'Outages (event ledger)'!$E$2:$E$65,"&lt;="&amp;$B166,'Outages (event ledger)'!$G$2:$G$65,"&gt;="&amp;$B166)</f>
        <v>0</v>
      </c>
      <c r="E166" s="29" t="n">
        <f aca="false">SUMIFS('Outages (event ledger)'!$H$2:$H$65,'Outages (event ledger)'!$A$2:$A$65,E$2,'Outages (event ledger)'!$E$2:$E$65,"&lt;="&amp;$B166,'Outages (event ledger)'!$G$2:$G$65,"&gt;="&amp;$B166)</f>
        <v>0</v>
      </c>
      <c r="F166" s="29" t="n">
        <f aca="false">SUMIFS('Outages (event ledger)'!$H$2:$H$65,'Outages (event ledger)'!$A$2:$A$65,F$2,'Outages (event ledger)'!$E$2:$E$65,"&lt;="&amp;$B166,'Outages (event ledger)'!$G$2:$G$65,"&gt;="&amp;$B166)</f>
        <v>0</v>
      </c>
      <c r="G166" s="29" t="n">
        <f aca="false">SUMIFS('Outages (event ledger)'!$H$2:$H$65,'Outages (event ledger)'!$A$2:$A$65,G$2,'Outages (event ledger)'!$E$2:$E$65,"&lt;="&amp;$B166,'Outages (event ledger)'!$G$2:$G$65,"&gt;="&amp;$B166)</f>
        <v>0</v>
      </c>
      <c r="H166" s="29" t="n">
        <f aca="false">SUMIFS('Outages (event ledger)'!$H$2:$H$65,'Outages (event ledger)'!$A$2:$A$65,H$2,'Outages (event ledger)'!$E$2:$E$65,"&lt;="&amp;$B166,'Outages (event ledger)'!$G$2:$G$65,"&gt;="&amp;$B166)</f>
        <v>0</v>
      </c>
      <c r="I166" s="29" t="n">
        <f aca="false">SUMIFS('Outages (event ledger)'!$H$2:$H$65,'Outages (event ledger)'!$A$2:$A$65,I$2,'Outages (event ledger)'!$E$2:$E$65,"&lt;="&amp;$B166,'Outages (event ledger)'!$G$2:$G$65,"&gt;="&amp;$B166)</f>
        <v>0</v>
      </c>
      <c r="J166" s="29" t="n">
        <f aca="false">SUMIFS('Outages (event ledger)'!$H$2:$H$65,'Outages (event ledger)'!$A$2:$A$65,J$2,'Outages (event ledger)'!$E$2:$E$65,"&lt;="&amp;$B166,'Outages (event ledger)'!$G$2:$G$65,"&gt;="&amp;$B166)</f>
        <v>0</v>
      </c>
      <c r="K166" s="29" t="n">
        <f aca="false">SUMIFS('Outages (event ledger)'!$H$2:$H$65,'Outages (event ledger)'!$A$2:$A$65,K$2,'Outages (event ledger)'!$E$2:$E$65,"&lt;="&amp;$B166,'Outages (event ledger)'!$G$2:$G$65,"&gt;="&amp;$B166)</f>
        <v>0</v>
      </c>
      <c r="L166" s="29" t="n">
        <f aca="false">SUMIFS('Outages (event ledger)'!$H$2:$H$65,'Outages (event ledger)'!$A$2:$A$65,L$2,'Outages (event ledger)'!$E$2:$E$65,"&lt;="&amp;$B166,'Outages (event ledger)'!$G$2:$G$65,"&gt;="&amp;$B166)</f>
        <v>0</v>
      </c>
      <c r="M166" s="29" t="n">
        <f aca="false">SUMIFS('Outages (event ledger)'!$H$2:$H$65,'Outages (event ledger)'!$A$2:$A$65,M$2,'Outages (event ledger)'!$E$2:$E$65,"&lt;="&amp;$B166,'Outages (event ledger)'!$G$2:$G$65,"&gt;="&amp;$B166)</f>
        <v>0</v>
      </c>
      <c r="N166" s="29" t="n">
        <f aca="false">SUMIFS('Outages (event ledger)'!$H$2:$H$65,'Outages (event ledger)'!$A$2:$A$65,N$2,'Outages (event ledger)'!$E$2:$E$65,"&lt;="&amp;$B166,'Outages (event ledger)'!$G$2:$G$65,"&gt;="&amp;$B166)</f>
        <v>0</v>
      </c>
      <c r="O166" s="29" t="n">
        <f aca="false">SUMIFS('Outages (event ledger)'!$H$2:$H$65,'Outages (event ledger)'!$A$2:$A$65,O$2,'Outages (event ledger)'!$E$2:$E$65,"&lt;="&amp;$B166,'Outages (event ledger)'!$G$2:$G$65,"&gt;="&amp;$B166)</f>
        <v>0</v>
      </c>
      <c r="P166" s="29" t="n">
        <f aca="false">SUMIFS('Outages (event ledger)'!$H$2:$H$65,'Outages (event ledger)'!$A$2:$A$65,P$2,'Outages (event ledger)'!$E$2:$E$65,"&lt;="&amp;$B166,'Outages (event ledger)'!$G$2:$G$65,"&gt;="&amp;$B166)</f>
        <v>0</v>
      </c>
      <c r="Q166" s="29" t="n">
        <f aca="false">SUMIFS('Outages (event ledger)'!$H$2:$H$65,'Outages (event ledger)'!$A$2:$A$65,Q$2,'Outages (event ledger)'!$E$2:$E$65,"&lt;="&amp;$B166,'Outages (event ledger)'!$G$2:$G$65,"&gt;="&amp;$B166)</f>
        <v>0</v>
      </c>
      <c r="R166" s="29" t="n">
        <f aca="false">SUMIFS('Outages (event ledger)'!$H$2:$H$65,'Outages (event ledger)'!$A$2:$A$65,R$2,'Outages (event ledger)'!$E$2:$E$65,"&lt;="&amp;$B166,'Outages (event ledger)'!$G$2:$G$65,"&gt;="&amp;$B166)</f>
        <v>0</v>
      </c>
      <c r="S166" s="29" t="n">
        <f aca="false">SUMIFS('Outages (event ledger)'!$H$2:$H$65,'Outages (event ledger)'!$A$2:$A$65,S$2,'Outages (event ledger)'!$E$2:$E$65,"&lt;="&amp;$B166,'Outages (event ledger)'!$G$2:$G$65,"&gt;="&amp;$B166)</f>
        <v>0</v>
      </c>
      <c r="T166" s="29" t="n">
        <f aca="false">SUMIFS('Outages (event ledger)'!$H$2:$H$65,'Outages (event ledger)'!$A$2:$A$65,T$2,'Outages (event ledger)'!$E$2:$E$65,"&lt;="&amp;$B166,'Outages (event ledger)'!$G$2:$G$65,"&gt;="&amp;$B166)</f>
        <v>0</v>
      </c>
      <c r="U166" s="29" t="n">
        <f aca="false">SUMIFS('Outages (event ledger)'!$H$2:$H$65,'Outages (event ledger)'!$A$2:$A$65,U$2,'Outages (event ledger)'!$E$2:$E$65,"&lt;="&amp;$B166,'Outages (event ledger)'!$G$2:$G$65,"&gt;="&amp;$B166)</f>
        <v>0</v>
      </c>
      <c r="V166" s="29" t="n">
        <f aca="false">SUMIFS('Outages (event ledger)'!$H$2:$H$65,'Outages (event ledger)'!$A$2:$A$65,V$2,'Outages (event ledger)'!$E$2:$E$65,"&lt;="&amp;$B166,'Outages (event ledger)'!$G$2:$G$65,"&gt;="&amp;$B166)</f>
        <v>0</v>
      </c>
      <c r="W166" s="29" t="n">
        <f aca="false">SUMIFS('Outages (event ledger)'!$H$2:$H$65,'Outages (event ledger)'!$A$2:$A$65,W$2,'Outages (event ledger)'!$E$2:$E$65,"&lt;="&amp;$B166,'Outages (event ledger)'!$G$2:$G$65,"&gt;="&amp;$B166)</f>
        <v>0</v>
      </c>
      <c r="X166" s="29" t="n">
        <f aca="false">SUMIFS('Outages (event ledger)'!$H$2:$H$65,'Outages (event ledger)'!$A$2:$A$65,X$2,'Outages (event ledger)'!$E$2:$E$65,"&lt;="&amp;$B166,'Outages (event ledger)'!$G$2:$G$65,"&gt;="&amp;$B166)</f>
        <v>0</v>
      </c>
      <c r="Y166" s="29" t="n">
        <f aca="false">SUMIFS('Outages (event ledger)'!$H$2:$H$65,'Outages (event ledger)'!$A$2:$A$65,Y$2,'Outages (event ledger)'!$E$2:$E$65,"&lt;="&amp;$B166,'Outages (event ledger)'!$G$2:$G$65,"&gt;="&amp;$B166)</f>
        <v>0</v>
      </c>
      <c r="Z166" s="29" t="n">
        <f aca="false">SUMIFS('Outages (event ledger)'!$H$2:$H$65,'Outages (event ledger)'!$A$2:$A$65,Z$2,'Outages (event ledger)'!$E$2:$E$65,"&lt;="&amp;$B166,'Outages (event ledger)'!$G$2:$G$65,"&gt;="&amp;$B166)</f>
        <v>4</v>
      </c>
      <c r="AA166" s="29" t="n">
        <f aca="false">SUMIFS('Outages (event ledger)'!$H$2:$H$65,'Outages (event ledger)'!$A$2:$A$65,AA$2,'Outages (event ledger)'!$E$2:$E$65,"&lt;="&amp;$B166,'Outages (event ledger)'!$G$2:$G$65,"&gt;="&amp;$B166)</f>
        <v>2</v>
      </c>
      <c r="AB166" s="29" t="n">
        <f aca="false">SUMIFS('Outages (event ledger)'!$H$2:$H$65,'Outages (event ledger)'!$A$2:$A$65,AB$2,'Outages (event ledger)'!$E$2:$E$65,"&lt;="&amp;$B166,'Outages (event ledger)'!$G$2:$G$65,"&gt;="&amp;$B166)</f>
        <v>8</v>
      </c>
      <c r="AC166" s="29" t="n">
        <f aca="false">SUMIFS('Outages (event ledger)'!$H$2:$H$65,'Outages (event ledger)'!$A$2:$A$65,AC$2,'Outages (event ledger)'!$E$2:$E$65,"&lt;="&amp;$B166,'Outages (event ledger)'!$G$2:$G$65,"&gt;="&amp;$B166)</f>
        <v>0</v>
      </c>
      <c r="AD166" s="29" t="n">
        <f aca="false">SUMIFS('Outages (event ledger)'!$H$2:$H$65,'Outages (event ledger)'!$A$2:$A$65,AD$2,'Outages (event ledger)'!$E$2:$E$65,"&lt;="&amp;$B166,'Outages (event ledger)'!$G$2:$G$65,"&gt;="&amp;$B166)</f>
        <v>0</v>
      </c>
      <c r="AE166" s="29" t="n">
        <f aca="false">SUMIFS('Outages (event ledger)'!$H$2:$H$65,'Outages (event ledger)'!$A$2:$A$65,AE$2,'Outages (event ledger)'!$E$2:$E$65,"&lt;="&amp;$B166,'Outages (event ledger)'!$G$2:$G$65,"&gt;="&amp;$B166)</f>
        <v>2.5</v>
      </c>
      <c r="AF166" s="29" t="n">
        <f aca="false">SUMIFS('Outages (event ledger)'!$H$2:$H$65,'Outages (event ledger)'!$A$2:$A$65,AF$2,'Outages (event ledger)'!$E$2:$E$65,"&lt;="&amp;$B166,'Outages (event ledger)'!$G$2:$G$65,"&gt;="&amp;$B166)</f>
        <v>0</v>
      </c>
      <c r="AG166" s="29" t="n">
        <f aca="false">SUMIFS('Outages (event ledger)'!$H$2:$H$65,'Outages (event ledger)'!$A$2:$A$65,AG$2,'Outages (event ledger)'!$E$2:$E$65,"&lt;="&amp;$B166,'Outages (event ledger)'!$G$2:$G$65,"&gt;="&amp;$B166)</f>
        <v>0</v>
      </c>
      <c r="AH166" s="29" t="n">
        <f aca="false">SUMIFS('Outages (event ledger)'!$H$2:$H$65,'Outages (event ledger)'!$A$2:$A$65,AH$2,'Outages (event ledger)'!$E$2:$E$65,"&lt;="&amp;$B166,'Outages (event ledger)'!$G$2:$G$65,"&gt;="&amp;$B166)</f>
        <v>0</v>
      </c>
      <c r="AI166" s="29" t="n">
        <f aca="false">SUMIFS('Outages (event ledger)'!$H$2:$H$65,'Outages (event ledger)'!$A$2:$A$65,AI$2,'Outages (event ledger)'!$E$2:$E$65,"&lt;="&amp;$B166,'Outages (event ledger)'!$G$2:$G$65,"&gt;="&amp;$B166)</f>
        <v>0</v>
      </c>
      <c r="AJ166" s="29" t="n">
        <f aca="false">SUMIFS('Outages (event ledger)'!$H$2:$H$65,'Outages (event ledger)'!$A$2:$A$65,AJ$2,'Outages (event ledger)'!$E$2:$E$65,"&lt;="&amp;$B166,'Outages (event ledger)'!$G$2:$G$65,"&gt;="&amp;$B166)</f>
        <v>0</v>
      </c>
      <c r="AK166" s="29" t="n">
        <f aca="false">SUMIFS('Outages (event ledger)'!$H$2:$H$65,'Outages (event ledger)'!$A$2:$A$65,AK$2,'Outages (event ledger)'!$E$2:$E$65,"&lt;="&amp;$B166,'Outages (event ledger)'!$G$2:$G$65,"&gt;="&amp;$B166)</f>
        <v>0</v>
      </c>
      <c r="AL166" s="29" t="n">
        <f aca="false">SUMIFS('Outages (event ledger)'!$H$2:$H$65,'Outages (event ledger)'!$A$2:$A$65,AL$2,'Outages (event ledger)'!$E$2:$E$65,"&lt;="&amp;$B166,'Outages (event ledger)'!$G$2:$G$65,"&gt;="&amp;$B166)</f>
        <v>5</v>
      </c>
      <c r="AM166" s="29" t="n">
        <f aca="false">SUMIFS('Outages (event ledger)'!$H$2:$H$65,'Outages (event ledger)'!$A$2:$A$65,AM$2,'Outages (event ledger)'!$E$2:$E$65,"&lt;="&amp;$B166,'Outages (event ledger)'!$G$2:$G$65,"&gt;="&amp;$B166)</f>
        <v>0</v>
      </c>
      <c r="AN166" s="29" t="n">
        <f aca="false">SUMIFS('Outages (event ledger)'!$H$2:$H$65,'Outages (event ledger)'!$A$2:$A$65,AN$2,'Outages (event ledger)'!$E$2:$E$65,"&lt;="&amp;$B166,'Outages (event ledger)'!$G$2:$G$65,"&gt;="&amp;$B166)</f>
        <v>0</v>
      </c>
      <c r="AO166" s="29" t="n">
        <f aca="false">SUMIFS('Outages (event ledger)'!$H$2:$H$65,'Outages (event ledger)'!$A$2:$A$65,AO$2,'Outages (event ledger)'!$E$2:$E$65,"&lt;="&amp;$B166,'Outages (event ledger)'!$G$2:$G$65,"&gt;="&amp;$B166)</f>
        <v>0</v>
      </c>
      <c r="AP166" s="29" t="n">
        <f aca="false">SUMIFS('Outages (event ledger)'!$H$2:$H$65,'Outages (event ledger)'!$A$2:$A$65,AP$2,'Outages (event ledger)'!$E$2:$E$65,"&lt;="&amp;$B166,'Outages (event ledger)'!$G$2:$G$65,"&gt;="&amp;$B166)</f>
        <v>0</v>
      </c>
      <c r="AQ166" s="29" t="n">
        <f aca="false">SUMIFS('Outages (event ledger)'!$H$2:$H$65,'Outages (event ledger)'!$A$2:$A$65,AQ$2,'Outages (event ledger)'!$E$2:$E$65,"&lt;="&amp;$B166,'Outages (event ledger)'!$G$2:$G$65,"&gt;="&amp;$B166)</f>
        <v>0</v>
      </c>
      <c r="AR166" s="29" t="n">
        <f aca="false">SUMIFS('Outages (event ledger)'!$H$2:$H$65,'Outages (event ledger)'!$A$2:$A$65,AR$2,'Outages (event ledger)'!$E$2:$E$65,"&lt;="&amp;$B166,'Outages (event ledger)'!$G$2:$G$65,"&gt;="&amp;$B166)</f>
        <v>0</v>
      </c>
      <c r="AS166" s="29" t="n">
        <f aca="false">SUMIFS('Outages (event ledger)'!$H$2:$H$65,'Outages (event ledger)'!$A$2:$A$65,AS$2,'Outages (event ledger)'!$E$2:$E$65,"&lt;="&amp;$B166,'Outages (event ledger)'!$G$2:$G$65,"&gt;="&amp;$B166)</f>
        <v>0</v>
      </c>
      <c r="AT166" s="29" t="n">
        <f aca="false">SUMIFS('Outages (event ledger)'!$H$2:$H$65,'Outages (event ledger)'!$A$2:$A$65,AT$2,'Outages (event ledger)'!$E$2:$E$65,"&lt;="&amp;$B166,'Outages (event ledger)'!$G$2:$G$65,"&gt;="&amp;$B166)</f>
        <v>0</v>
      </c>
      <c r="AU166" s="29" t="n">
        <f aca="false">SUMIFS('Outages (event ledger)'!$H$2:$H$65,'Outages (event ledger)'!$A$2:$A$65,AU$2,'Outages (event ledger)'!$E$2:$E$65,"&lt;="&amp;$B166,'Outages (event ledger)'!$G$2:$G$65,"&gt;="&amp;$B166)</f>
        <v>0</v>
      </c>
      <c r="AV166" s="29" t="n">
        <f aca="false">SUMIFS('Outages (event ledger)'!$H$2:$H$65,'Outages (event ledger)'!$A$2:$A$65,AV$2,'Outages (event ledger)'!$E$2:$E$65,"&lt;="&amp;$B166,'Outages (event ledger)'!$G$2:$G$65,"&gt;="&amp;$B166)</f>
        <v>0</v>
      </c>
      <c r="AW166" s="29" t="n">
        <f aca="false">SUMIFS('Outages (event ledger)'!$H$2:$H$65,'Outages (event ledger)'!$A$2:$A$65,AW$2,'Outages (event ledger)'!$E$2:$E$65,"&lt;="&amp;$B166,'Outages (event ledger)'!$G$2:$G$65,"&gt;="&amp;$B166)</f>
        <v>0</v>
      </c>
      <c r="AX166" s="29" t="n">
        <f aca="false">SUMIFS('Outages (event ledger)'!$H$2:$H$65,'Outages (event ledger)'!$A$2:$A$65,AX$2,'Outages (event ledger)'!$E$2:$E$65,"&lt;="&amp;$B166,'Outages (event ledger)'!$G$2:$G$65,"&gt;="&amp;$B166)</f>
        <v>6.6</v>
      </c>
      <c r="AY166" s="29" t="n">
        <f aca="false">SUMIFS('Outages (event ledger)'!$H$2:$H$65,'Outages (event ledger)'!$A$2:$A$65,AY$2,'Outages (event ledger)'!$E$2:$E$65,"&lt;="&amp;$B166,'Outages (event ledger)'!$G$2:$G$65,"&gt;="&amp;$B166)</f>
        <v>0</v>
      </c>
      <c r="AZ166" s="29" t="n">
        <f aca="false">SUMIFS('Outages (event ledger)'!$H$2:$H$65,'Outages (event ledger)'!$A$2:$A$65,AZ$2,'Outages (event ledger)'!$E$2:$E$65,"&lt;="&amp;$B166,'Outages (event ledger)'!$G$2:$G$65,"&gt;="&amp;$B166)</f>
        <v>2</v>
      </c>
      <c r="BA166" s="29" t="n">
        <f aca="false">SUMIFS('Outages (event ledger)'!$H$2:$H$65,'Outages (event ledger)'!$A$2:$A$65,BA$2,'Outages (event ledger)'!$E$2:$E$65,"&lt;="&amp;$B166,'Outages (event ledger)'!$G$2:$G$65,"&gt;="&amp;$B166)</f>
        <v>0</v>
      </c>
      <c r="BB166" s="29" t="n">
        <f aca="false">SUMIFS('Outages (event ledger)'!$H$2:$H$65,'Outages (event ledger)'!$A$2:$A$65,BB$2,'Outages (event ledger)'!$E$2:$E$65,"&lt;="&amp;$B166,'Outages (event ledger)'!$G$2:$G$65,"&gt;="&amp;$B166)</f>
        <v>0</v>
      </c>
      <c r="BC166" s="29" t="n">
        <f aca="false">SUMIFS('Outages (event ledger)'!$H$2:$H$65,'Outages (event ledger)'!$A$2:$A$65,BC$2,'Outages (event ledger)'!$E$2:$E$65,"&lt;="&amp;$B166,'Outages (event ledger)'!$G$2:$G$65,"&gt;="&amp;$B166)</f>
        <v>0</v>
      </c>
      <c r="BD166" s="29" t="n">
        <f aca="false">SUMIFS('Outages (event ledger)'!$H$2:$H$65,'Outages (event ledger)'!$A$2:$A$65,BD$2,'Outages (event ledger)'!$E$2:$E$65,"&lt;="&amp;$B166,'Outages (event ledger)'!$G$2:$G$65,"&gt;="&amp;$B166)</f>
        <v>0</v>
      </c>
      <c r="BE166" s="29" t="n">
        <f aca="false">SUMIFS('Outages (event ledger)'!$H$2:$H$65,'Outages (event ledger)'!$A$2:$A$65,BE$2,'Outages (event ledger)'!$E$2:$E$65,"&lt;="&amp;$B166,'Outages (event ledger)'!$G$2:$G$65,"&gt;="&amp;$B166)</f>
        <v>0</v>
      </c>
      <c r="BF166" s="29" t="n">
        <f aca="false">SUMIFS('Outages (event ledger)'!$H$2:$H$65,'Outages (event ledger)'!$A$2:$A$65,BF$2,'Outages (event ledger)'!$E$2:$E$65,"&lt;="&amp;$B166,'Outages (event ledger)'!$G$2:$G$65,"&gt;="&amp;$B166)</f>
        <v>0</v>
      </c>
      <c r="BG166" s="29" t="n">
        <f aca="false">SUMIFS('Outages (event ledger)'!$H$2:$H$65,'Outages (event ledger)'!$A$2:$A$65,BG$2,'Outages (event ledger)'!$E$2:$E$65,"&lt;="&amp;$B166,'Outages (event ledger)'!$G$2:$G$65,"&gt;="&amp;$B166)</f>
        <v>0</v>
      </c>
      <c r="BH166" s="29" t="n">
        <f aca="false">SUMIFS('Outages (event ledger)'!$H$2:$H$65,'Outages (event ledger)'!$A$2:$A$65,BH$2,'Outages (event ledger)'!$E$2:$E$65,"&lt;="&amp;$B166,'Outages (event ledger)'!$G$2:$G$65,"&gt;="&amp;$B166)</f>
        <v>0</v>
      </c>
      <c r="BI166" s="29" t="n">
        <f aca="false">SUMIFS('Outages (event ledger)'!$H$2:$H$65,'Outages (event ledger)'!$A$2:$A$65,BI$2,'Outages (event ledger)'!$E$2:$E$65,"&lt;="&amp;$B166,'Outages (event ledger)'!$G$2:$G$65,"&gt;="&amp;$B166)</f>
        <v>6.7</v>
      </c>
    </row>
    <row r="167" customFormat="false" ht="15" hidden="false" customHeight="false" outlineLevel="0" collapsed="false">
      <c r="A167" s="27" t="n">
        <v>45170</v>
      </c>
      <c r="B167" s="28" t="n">
        <v>202309</v>
      </c>
      <c r="C167" s="25" t="n">
        <f aca="false">SUM(D167:BI167)</f>
        <v>39</v>
      </c>
      <c r="D167" s="29" t="n">
        <f aca="false">SUMIFS('Outages (event ledger)'!$H$2:$H$65,'Outages (event ledger)'!$A$2:$A$65,D$2,'Outages (event ledger)'!$E$2:$E$65,"&lt;="&amp;$B167,'Outages (event ledger)'!$G$2:$G$65,"&gt;="&amp;$B167)</f>
        <v>0</v>
      </c>
      <c r="E167" s="29" t="n">
        <f aca="false">SUMIFS('Outages (event ledger)'!$H$2:$H$65,'Outages (event ledger)'!$A$2:$A$65,E$2,'Outages (event ledger)'!$E$2:$E$65,"&lt;="&amp;$B167,'Outages (event ledger)'!$G$2:$G$65,"&gt;="&amp;$B167)</f>
        <v>0</v>
      </c>
      <c r="F167" s="29" t="n">
        <f aca="false">SUMIFS('Outages (event ledger)'!$H$2:$H$65,'Outages (event ledger)'!$A$2:$A$65,F$2,'Outages (event ledger)'!$E$2:$E$65,"&lt;="&amp;$B167,'Outages (event ledger)'!$G$2:$G$65,"&gt;="&amp;$B167)</f>
        <v>0</v>
      </c>
      <c r="G167" s="29" t="n">
        <f aca="false">SUMIFS('Outages (event ledger)'!$H$2:$H$65,'Outages (event ledger)'!$A$2:$A$65,G$2,'Outages (event ledger)'!$E$2:$E$65,"&lt;="&amp;$B167,'Outages (event ledger)'!$G$2:$G$65,"&gt;="&amp;$B167)</f>
        <v>0</v>
      </c>
      <c r="H167" s="29" t="n">
        <f aca="false">SUMIFS('Outages (event ledger)'!$H$2:$H$65,'Outages (event ledger)'!$A$2:$A$65,H$2,'Outages (event ledger)'!$E$2:$E$65,"&lt;="&amp;$B167,'Outages (event ledger)'!$G$2:$G$65,"&gt;="&amp;$B167)</f>
        <v>0</v>
      </c>
      <c r="I167" s="29" t="n">
        <f aca="false">SUMIFS('Outages (event ledger)'!$H$2:$H$65,'Outages (event ledger)'!$A$2:$A$65,I$2,'Outages (event ledger)'!$E$2:$E$65,"&lt;="&amp;$B167,'Outages (event ledger)'!$G$2:$G$65,"&gt;="&amp;$B167)</f>
        <v>0</v>
      </c>
      <c r="J167" s="29" t="n">
        <f aca="false">SUMIFS('Outages (event ledger)'!$H$2:$H$65,'Outages (event ledger)'!$A$2:$A$65,J$2,'Outages (event ledger)'!$E$2:$E$65,"&lt;="&amp;$B167,'Outages (event ledger)'!$G$2:$G$65,"&gt;="&amp;$B167)</f>
        <v>0</v>
      </c>
      <c r="K167" s="29" t="n">
        <f aca="false">SUMIFS('Outages (event ledger)'!$H$2:$H$65,'Outages (event ledger)'!$A$2:$A$65,K$2,'Outages (event ledger)'!$E$2:$E$65,"&lt;="&amp;$B167,'Outages (event ledger)'!$G$2:$G$65,"&gt;="&amp;$B167)</f>
        <v>0</v>
      </c>
      <c r="L167" s="29" t="n">
        <f aca="false">SUMIFS('Outages (event ledger)'!$H$2:$H$65,'Outages (event ledger)'!$A$2:$A$65,L$2,'Outages (event ledger)'!$E$2:$E$65,"&lt;="&amp;$B167,'Outages (event ledger)'!$G$2:$G$65,"&gt;="&amp;$B167)</f>
        <v>0</v>
      </c>
      <c r="M167" s="29" t="n">
        <f aca="false">SUMIFS('Outages (event ledger)'!$H$2:$H$65,'Outages (event ledger)'!$A$2:$A$65,M$2,'Outages (event ledger)'!$E$2:$E$65,"&lt;="&amp;$B167,'Outages (event ledger)'!$G$2:$G$65,"&gt;="&amp;$B167)</f>
        <v>0</v>
      </c>
      <c r="N167" s="29" t="n">
        <f aca="false">SUMIFS('Outages (event ledger)'!$H$2:$H$65,'Outages (event ledger)'!$A$2:$A$65,N$2,'Outages (event ledger)'!$E$2:$E$65,"&lt;="&amp;$B167,'Outages (event ledger)'!$G$2:$G$65,"&gt;="&amp;$B167)</f>
        <v>0</v>
      </c>
      <c r="O167" s="29" t="n">
        <f aca="false">SUMIFS('Outages (event ledger)'!$H$2:$H$65,'Outages (event ledger)'!$A$2:$A$65,O$2,'Outages (event ledger)'!$E$2:$E$65,"&lt;="&amp;$B167,'Outages (event ledger)'!$G$2:$G$65,"&gt;="&amp;$B167)</f>
        <v>0</v>
      </c>
      <c r="P167" s="29" t="n">
        <f aca="false">SUMIFS('Outages (event ledger)'!$H$2:$H$65,'Outages (event ledger)'!$A$2:$A$65,P$2,'Outages (event ledger)'!$E$2:$E$65,"&lt;="&amp;$B167,'Outages (event ledger)'!$G$2:$G$65,"&gt;="&amp;$B167)</f>
        <v>0</v>
      </c>
      <c r="Q167" s="29" t="n">
        <f aca="false">SUMIFS('Outages (event ledger)'!$H$2:$H$65,'Outages (event ledger)'!$A$2:$A$65,Q$2,'Outages (event ledger)'!$E$2:$E$65,"&lt;="&amp;$B167,'Outages (event ledger)'!$G$2:$G$65,"&gt;="&amp;$B167)</f>
        <v>0</v>
      </c>
      <c r="R167" s="29" t="n">
        <f aca="false">SUMIFS('Outages (event ledger)'!$H$2:$H$65,'Outages (event ledger)'!$A$2:$A$65,R$2,'Outages (event ledger)'!$E$2:$E$65,"&lt;="&amp;$B167,'Outages (event ledger)'!$G$2:$G$65,"&gt;="&amp;$B167)</f>
        <v>2.2</v>
      </c>
      <c r="S167" s="29" t="n">
        <f aca="false">SUMIFS('Outages (event ledger)'!$H$2:$H$65,'Outages (event ledger)'!$A$2:$A$65,S$2,'Outages (event ledger)'!$E$2:$E$65,"&lt;="&amp;$B167,'Outages (event ledger)'!$G$2:$G$65,"&gt;="&amp;$B167)</f>
        <v>0</v>
      </c>
      <c r="T167" s="29" t="n">
        <f aca="false">SUMIFS('Outages (event ledger)'!$H$2:$H$65,'Outages (event ledger)'!$A$2:$A$65,T$2,'Outages (event ledger)'!$E$2:$E$65,"&lt;="&amp;$B167,'Outages (event ledger)'!$G$2:$G$65,"&gt;="&amp;$B167)</f>
        <v>0</v>
      </c>
      <c r="U167" s="29" t="n">
        <f aca="false">SUMIFS('Outages (event ledger)'!$H$2:$H$65,'Outages (event ledger)'!$A$2:$A$65,U$2,'Outages (event ledger)'!$E$2:$E$65,"&lt;="&amp;$B167,'Outages (event ledger)'!$G$2:$G$65,"&gt;="&amp;$B167)</f>
        <v>0</v>
      </c>
      <c r="V167" s="29" t="n">
        <f aca="false">SUMIFS('Outages (event ledger)'!$H$2:$H$65,'Outages (event ledger)'!$A$2:$A$65,V$2,'Outages (event ledger)'!$E$2:$E$65,"&lt;="&amp;$B167,'Outages (event ledger)'!$G$2:$G$65,"&gt;="&amp;$B167)</f>
        <v>0</v>
      </c>
      <c r="W167" s="29" t="n">
        <f aca="false">SUMIFS('Outages (event ledger)'!$H$2:$H$65,'Outages (event ledger)'!$A$2:$A$65,W$2,'Outages (event ledger)'!$E$2:$E$65,"&lt;="&amp;$B167,'Outages (event ledger)'!$G$2:$G$65,"&gt;="&amp;$B167)</f>
        <v>0</v>
      </c>
      <c r="X167" s="29" t="n">
        <f aca="false">SUMIFS('Outages (event ledger)'!$H$2:$H$65,'Outages (event ledger)'!$A$2:$A$65,X$2,'Outages (event ledger)'!$E$2:$E$65,"&lt;="&amp;$B167,'Outages (event ledger)'!$G$2:$G$65,"&gt;="&amp;$B167)</f>
        <v>0</v>
      </c>
      <c r="Y167" s="29" t="n">
        <f aca="false">SUMIFS('Outages (event ledger)'!$H$2:$H$65,'Outages (event ledger)'!$A$2:$A$65,Y$2,'Outages (event ledger)'!$E$2:$E$65,"&lt;="&amp;$B167,'Outages (event ledger)'!$G$2:$G$65,"&gt;="&amp;$B167)</f>
        <v>0</v>
      </c>
      <c r="Z167" s="29" t="n">
        <f aca="false">SUMIFS('Outages (event ledger)'!$H$2:$H$65,'Outages (event ledger)'!$A$2:$A$65,Z$2,'Outages (event ledger)'!$E$2:$E$65,"&lt;="&amp;$B167,'Outages (event ledger)'!$G$2:$G$65,"&gt;="&amp;$B167)</f>
        <v>4</v>
      </c>
      <c r="AA167" s="29" t="n">
        <f aca="false">SUMIFS('Outages (event ledger)'!$H$2:$H$65,'Outages (event ledger)'!$A$2:$A$65,AA$2,'Outages (event ledger)'!$E$2:$E$65,"&lt;="&amp;$B167,'Outages (event ledger)'!$G$2:$G$65,"&gt;="&amp;$B167)</f>
        <v>2</v>
      </c>
      <c r="AB167" s="29" t="n">
        <f aca="false">SUMIFS('Outages (event ledger)'!$H$2:$H$65,'Outages (event ledger)'!$A$2:$A$65,AB$2,'Outages (event ledger)'!$E$2:$E$65,"&lt;="&amp;$B167,'Outages (event ledger)'!$G$2:$G$65,"&gt;="&amp;$B167)</f>
        <v>8</v>
      </c>
      <c r="AC167" s="29" t="n">
        <f aca="false">SUMIFS('Outages (event ledger)'!$H$2:$H$65,'Outages (event ledger)'!$A$2:$A$65,AC$2,'Outages (event ledger)'!$E$2:$E$65,"&lt;="&amp;$B167,'Outages (event ledger)'!$G$2:$G$65,"&gt;="&amp;$B167)</f>
        <v>0</v>
      </c>
      <c r="AD167" s="29" t="n">
        <f aca="false">SUMIFS('Outages (event ledger)'!$H$2:$H$65,'Outages (event ledger)'!$A$2:$A$65,AD$2,'Outages (event ledger)'!$E$2:$E$65,"&lt;="&amp;$B167,'Outages (event ledger)'!$G$2:$G$65,"&gt;="&amp;$B167)</f>
        <v>0</v>
      </c>
      <c r="AE167" s="29" t="n">
        <f aca="false">SUMIFS('Outages (event ledger)'!$H$2:$H$65,'Outages (event ledger)'!$A$2:$A$65,AE$2,'Outages (event ledger)'!$E$2:$E$65,"&lt;="&amp;$B167,'Outages (event ledger)'!$G$2:$G$65,"&gt;="&amp;$B167)</f>
        <v>2.5</v>
      </c>
      <c r="AF167" s="29" t="n">
        <f aca="false">SUMIFS('Outages (event ledger)'!$H$2:$H$65,'Outages (event ledger)'!$A$2:$A$65,AF$2,'Outages (event ledger)'!$E$2:$E$65,"&lt;="&amp;$B167,'Outages (event ledger)'!$G$2:$G$65,"&gt;="&amp;$B167)</f>
        <v>0</v>
      </c>
      <c r="AG167" s="29" t="n">
        <f aca="false">SUMIFS('Outages (event ledger)'!$H$2:$H$65,'Outages (event ledger)'!$A$2:$A$65,AG$2,'Outages (event ledger)'!$E$2:$E$65,"&lt;="&amp;$B167,'Outages (event ledger)'!$G$2:$G$65,"&gt;="&amp;$B167)</f>
        <v>0</v>
      </c>
      <c r="AH167" s="29" t="n">
        <f aca="false">SUMIFS('Outages (event ledger)'!$H$2:$H$65,'Outages (event ledger)'!$A$2:$A$65,AH$2,'Outages (event ledger)'!$E$2:$E$65,"&lt;="&amp;$B167,'Outages (event ledger)'!$G$2:$G$65,"&gt;="&amp;$B167)</f>
        <v>0</v>
      </c>
      <c r="AI167" s="29" t="n">
        <f aca="false">SUMIFS('Outages (event ledger)'!$H$2:$H$65,'Outages (event ledger)'!$A$2:$A$65,AI$2,'Outages (event ledger)'!$E$2:$E$65,"&lt;="&amp;$B167,'Outages (event ledger)'!$G$2:$G$65,"&gt;="&amp;$B167)</f>
        <v>0</v>
      </c>
      <c r="AJ167" s="29" t="n">
        <f aca="false">SUMIFS('Outages (event ledger)'!$H$2:$H$65,'Outages (event ledger)'!$A$2:$A$65,AJ$2,'Outages (event ledger)'!$E$2:$E$65,"&lt;="&amp;$B167,'Outages (event ledger)'!$G$2:$G$65,"&gt;="&amp;$B167)</f>
        <v>0</v>
      </c>
      <c r="AK167" s="29" t="n">
        <f aca="false">SUMIFS('Outages (event ledger)'!$H$2:$H$65,'Outages (event ledger)'!$A$2:$A$65,AK$2,'Outages (event ledger)'!$E$2:$E$65,"&lt;="&amp;$B167,'Outages (event ledger)'!$G$2:$G$65,"&gt;="&amp;$B167)</f>
        <v>0</v>
      </c>
      <c r="AL167" s="29" t="n">
        <f aca="false">SUMIFS('Outages (event ledger)'!$H$2:$H$65,'Outages (event ledger)'!$A$2:$A$65,AL$2,'Outages (event ledger)'!$E$2:$E$65,"&lt;="&amp;$B167,'Outages (event ledger)'!$G$2:$G$65,"&gt;="&amp;$B167)</f>
        <v>5</v>
      </c>
      <c r="AM167" s="29" t="n">
        <f aca="false">SUMIFS('Outages (event ledger)'!$H$2:$H$65,'Outages (event ledger)'!$A$2:$A$65,AM$2,'Outages (event ledger)'!$E$2:$E$65,"&lt;="&amp;$B167,'Outages (event ledger)'!$G$2:$G$65,"&gt;="&amp;$B167)</f>
        <v>0</v>
      </c>
      <c r="AN167" s="29" t="n">
        <f aca="false">SUMIFS('Outages (event ledger)'!$H$2:$H$65,'Outages (event ledger)'!$A$2:$A$65,AN$2,'Outages (event ledger)'!$E$2:$E$65,"&lt;="&amp;$B167,'Outages (event ledger)'!$G$2:$G$65,"&gt;="&amp;$B167)</f>
        <v>0</v>
      </c>
      <c r="AO167" s="29" t="n">
        <f aca="false">SUMIFS('Outages (event ledger)'!$H$2:$H$65,'Outages (event ledger)'!$A$2:$A$65,AO$2,'Outages (event ledger)'!$E$2:$E$65,"&lt;="&amp;$B167,'Outages (event ledger)'!$G$2:$G$65,"&gt;="&amp;$B167)</f>
        <v>0</v>
      </c>
      <c r="AP167" s="29" t="n">
        <f aca="false">SUMIFS('Outages (event ledger)'!$H$2:$H$65,'Outages (event ledger)'!$A$2:$A$65,AP$2,'Outages (event ledger)'!$E$2:$E$65,"&lt;="&amp;$B167,'Outages (event ledger)'!$G$2:$G$65,"&gt;="&amp;$B167)</f>
        <v>0</v>
      </c>
      <c r="AQ167" s="29" t="n">
        <f aca="false">SUMIFS('Outages (event ledger)'!$H$2:$H$65,'Outages (event ledger)'!$A$2:$A$65,AQ$2,'Outages (event ledger)'!$E$2:$E$65,"&lt;="&amp;$B167,'Outages (event ledger)'!$G$2:$G$65,"&gt;="&amp;$B167)</f>
        <v>0</v>
      </c>
      <c r="AR167" s="29" t="n">
        <f aca="false">SUMIFS('Outages (event ledger)'!$H$2:$H$65,'Outages (event ledger)'!$A$2:$A$65,AR$2,'Outages (event ledger)'!$E$2:$E$65,"&lt;="&amp;$B167,'Outages (event ledger)'!$G$2:$G$65,"&gt;="&amp;$B167)</f>
        <v>0</v>
      </c>
      <c r="AS167" s="29" t="n">
        <f aca="false">SUMIFS('Outages (event ledger)'!$H$2:$H$65,'Outages (event ledger)'!$A$2:$A$65,AS$2,'Outages (event ledger)'!$E$2:$E$65,"&lt;="&amp;$B167,'Outages (event ledger)'!$G$2:$G$65,"&gt;="&amp;$B167)</f>
        <v>0</v>
      </c>
      <c r="AT167" s="29" t="n">
        <f aca="false">SUMIFS('Outages (event ledger)'!$H$2:$H$65,'Outages (event ledger)'!$A$2:$A$65,AT$2,'Outages (event ledger)'!$E$2:$E$65,"&lt;="&amp;$B167,'Outages (event ledger)'!$G$2:$G$65,"&gt;="&amp;$B167)</f>
        <v>0</v>
      </c>
      <c r="AU167" s="29" t="n">
        <f aca="false">SUMIFS('Outages (event ledger)'!$H$2:$H$65,'Outages (event ledger)'!$A$2:$A$65,AU$2,'Outages (event ledger)'!$E$2:$E$65,"&lt;="&amp;$B167,'Outages (event ledger)'!$G$2:$G$65,"&gt;="&amp;$B167)</f>
        <v>0</v>
      </c>
      <c r="AV167" s="29" t="n">
        <f aca="false">SUMIFS('Outages (event ledger)'!$H$2:$H$65,'Outages (event ledger)'!$A$2:$A$65,AV$2,'Outages (event ledger)'!$E$2:$E$65,"&lt;="&amp;$B167,'Outages (event ledger)'!$G$2:$G$65,"&gt;="&amp;$B167)</f>
        <v>0</v>
      </c>
      <c r="AW167" s="29" t="n">
        <f aca="false">SUMIFS('Outages (event ledger)'!$H$2:$H$65,'Outages (event ledger)'!$A$2:$A$65,AW$2,'Outages (event ledger)'!$E$2:$E$65,"&lt;="&amp;$B167,'Outages (event ledger)'!$G$2:$G$65,"&gt;="&amp;$B167)</f>
        <v>0</v>
      </c>
      <c r="AX167" s="29" t="n">
        <f aca="false">SUMIFS('Outages (event ledger)'!$H$2:$H$65,'Outages (event ledger)'!$A$2:$A$65,AX$2,'Outages (event ledger)'!$E$2:$E$65,"&lt;="&amp;$B167,'Outages (event ledger)'!$G$2:$G$65,"&gt;="&amp;$B167)</f>
        <v>6.6</v>
      </c>
      <c r="AY167" s="29" t="n">
        <f aca="false">SUMIFS('Outages (event ledger)'!$H$2:$H$65,'Outages (event ledger)'!$A$2:$A$65,AY$2,'Outages (event ledger)'!$E$2:$E$65,"&lt;="&amp;$B167,'Outages (event ledger)'!$G$2:$G$65,"&gt;="&amp;$B167)</f>
        <v>0</v>
      </c>
      <c r="AZ167" s="29" t="n">
        <f aca="false">SUMIFS('Outages (event ledger)'!$H$2:$H$65,'Outages (event ledger)'!$A$2:$A$65,AZ$2,'Outages (event ledger)'!$E$2:$E$65,"&lt;="&amp;$B167,'Outages (event ledger)'!$G$2:$G$65,"&gt;="&amp;$B167)</f>
        <v>2</v>
      </c>
      <c r="BA167" s="29" t="n">
        <f aca="false">SUMIFS('Outages (event ledger)'!$H$2:$H$65,'Outages (event ledger)'!$A$2:$A$65,BA$2,'Outages (event ledger)'!$E$2:$E$65,"&lt;="&amp;$B167,'Outages (event ledger)'!$G$2:$G$65,"&gt;="&amp;$B167)</f>
        <v>0</v>
      </c>
      <c r="BB167" s="29" t="n">
        <f aca="false">SUMIFS('Outages (event ledger)'!$H$2:$H$65,'Outages (event ledger)'!$A$2:$A$65,BB$2,'Outages (event ledger)'!$E$2:$E$65,"&lt;="&amp;$B167,'Outages (event ledger)'!$G$2:$G$65,"&gt;="&amp;$B167)</f>
        <v>0</v>
      </c>
      <c r="BC167" s="29" t="n">
        <f aca="false">SUMIFS('Outages (event ledger)'!$H$2:$H$65,'Outages (event ledger)'!$A$2:$A$65,BC$2,'Outages (event ledger)'!$E$2:$E$65,"&lt;="&amp;$B167,'Outages (event ledger)'!$G$2:$G$65,"&gt;="&amp;$B167)</f>
        <v>0</v>
      </c>
      <c r="BD167" s="29" t="n">
        <f aca="false">SUMIFS('Outages (event ledger)'!$H$2:$H$65,'Outages (event ledger)'!$A$2:$A$65,BD$2,'Outages (event ledger)'!$E$2:$E$65,"&lt;="&amp;$B167,'Outages (event ledger)'!$G$2:$G$65,"&gt;="&amp;$B167)</f>
        <v>0</v>
      </c>
      <c r="BE167" s="29" t="n">
        <f aca="false">SUMIFS('Outages (event ledger)'!$H$2:$H$65,'Outages (event ledger)'!$A$2:$A$65,BE$2,'Outages (event ledger)'!$E$2:$E$65,"&lt;="&amp;$B167,'Outages (event ledger)'!$G$2:$G$65,"&gt;="&amp;$B167)</f>
        <v>0</v>
      </c>
      <c r="BF167" s="29" t="n">
        <f aca="false">SUMIFS('Outages (event ledger)'!$H$2:$H$65,'Outages (event ledger)'!$A$2:$A$65,BF$2,'Outages (event ledger)'!$E$2:$E$65,"&lt;="&amp;$B167,'Outages (event ledger)'!$G$2:$G$65,"&gt;="&amp;$B167)</f>
        <v>0</v>
      </c>
      <c r="BG167" s="29" t="n">
        <f aca="false">SUMIFS('Outages (event ledger)'!$H$2:$H$65,'Outages (event ledger)'!$A$2:$A$65,BG$2,'Outages (event ledger)'!$E$2:$E$65,"&lt;="&amp;$B167,'Outages (event ledger)'!$G$2:$G$65,"&gt;="&amp;$B167)</f>
        <v>0</v>
      </c>
      <c r="BH167" s="29" t="n">
        <f aca="false">SUMIFS('Outages (event ledger)'!$H$2:$H$65,'Outages (event ledger)'!$A$2:$A$65,BH$2,'Outages (event ledger)'!$E$2:$E$65,"&lt;="&amp;$B167,'Outages (event ledger)'!$G$2:$G$65,"&gt;="&amp;$B167)</f>
        <v>0</v>
      </c>
      <c r="BI167" s="29" t="n">
        <f aca="false">SUMIFS('Outages (event ledger)'!$H$2:$H$65,'Outages (event ledger)'!$A$2:$A$65,BI$2,'Outages (event ledger)'!$E$2:$E$65,"&lt;="&amp;$B167,'Outages (event ledger)'!$G$2:$G$65,"&gt;="&amp;$B167)</f>
        <v>6.7</v>
      </c>
    </row>
    <row r="168" customFormat="false" ht="15" hidden="false" customHeight="false" outlineLevel="0" collapsed="false">
      <c r="A168" s="27" t="n">
        <v>45200</v>
      </c>
      <c r="B168" s="28" t="n">
        <v>202310</v>
      </c>
      <c r="C168" s="25" t="n">
        <f aca="false">SUM(D168:BI168)</f>
        <v>32.8</v>
      </c>
      <c r="D168" s="29" t="n">
        <f aca="false">SUMIFS('Outages (event ledger)'!$H$2:$H$65,'Outages (event ledger)'!$A$2:$A$65,D$2,'Outages (event ledger)'!$E$2:$E$65,"&lt;="&amp;$B168,'Outages (event ledger)'!$G$2:$G$65,"&gt;="&amp;$B168)</f>
        <v>0</v>
      </c>
      <c r="E168" s="29" t="n">
        <f aca="false">SUMIFS('Outages (event ledger)'!$H$2:$H$65,'Outages (event ledger)'!$A$2:$A$65,E$2,'Outages (event ledger)'!$E$2:$E$65,"&lt;="&amp;$B168,'Outages (event ledger)'!$G$2:$G$65,"&gt;="&amp;$B168)</f>
        <v>0</v>
      </c>
      <c r="F168" s="29" t="n">
        <f aca="false">SUMIFS('Outages (event ledger)'!$H$2:$H$65,'Outages (event ledger)'!$A$2:$A$65,F$2,'Outages (event ledger)'!$E$2:$E$65,"&lt;="&amp;$B168,'Outages (event ledger)'!$G$2:$G$65,"&gt;="&amp;$B168)</f>
        <v>0</v>
      </c>
      <c r="G168" s="29" t="n">
        <f aca="false">SUMIFS('Outages (event ledger)'!$H$2:$H$65,'Outages (event ledger)'!$A$2:$A$65,G$2,'Outages (event ledger)'!$E$2:$E$65,"&lt;="&amp;$B168,'Outages (event ledger)'!$G$2:$G$65,"&gt;="&amp;$B168)</f>
        <v>0</v>
      </c>
      <c r="H168" s="29" t="n">
        <f aca="false">SUMIFS('Outages (event ledger)'!$H$2:$H$65,'Outages (event ledger)'!$A$2:$A$65,H$2,'Outages (event ledger)'!$E$2:$E$65,"&lt;="&amp;$B168,'Outages (event ledger)'!$G$2:$G$65,"&gt;="&amp;$B168)</f>
        <v>0</v>
      </c>
      <c r="I168" s="29" t="n">
        <f aca="false">SUMIFS('Outages (event ledger)'!$H$2:$H$65,'Outages (event ledger)'!$A$2:$A$65,I$2,'Outages (event ledger)'!$E$2:$E$65,"&lt;="&amp;$B168,'Outages (event ledger)'!$G$2:$G$65,"&gt;="&amp;$B168)</f>
        <v>0</v>
      </c>
      <c r="J168" s="29" t="n">
        <f aca="false">SUMIFS('Outages (event ledger)'!$H$2:$H$65,'Outages (event ledger)'!$A$2:$A$65,J$2,'Outages (event ledger)'!$E$2:$E$65,"&lt;="&amp;$B168,'Outages (event ledger)'!$G$2:$G$65,"&gt;="&amp;$B168)</f>
        <v>0</v>
      </c>
      <c r="K168" s="29" t="n">
        <f aca="false">SUMIFS('Outages (event ledger)'!$H$2:$H$65,'Outages (event ledger)'!$A$2:$A$65,K$2,'Outages (event ledger)'!$E$2:$E$65,"&lt;="&amp;$B168,'Outages (event ledger)'!$G$2:$G$65,"&gt;="&amp;$B168)</f>
        <v>0</v>
      </c>
      <c r="L168" s="29" t="n">
        <f aca="false">SUMIFS('Outages (event ledger)'!$H$2:$H$65,'Outages (event ledger)'!$A$2:$A$65,L$2,'Outages (event ledger)'!$E$2:$E$65,"&lt;="&amp;$B168,'Outages (event ledger)'!$G$2:$G$65,"&gt;="&amp;$B168)</f>
        <v>0</v>
      </c>
      <c r="M168" s="29" t="n">
        <f aca="false">SUMIFS('Outages (event ledger)'!$H$2:$H$65,'Outages (event ledger)'!$A$2:$A$65,M$2,'Outages (event ledger)'!$E$2:$E$65,"&lt;="&amp;$B168,'Outages (event ledger)'!$G$2:$G$65,"&gt;="&amp;$B168)</f>
        <v>0</v>
      </c>
      <c r="N168" s="29" t="n">
        <f aca="false">SUMIFS('Outages (event ledger)'!$H$2:$H$65,'Outages (event ledger)'!$A$2:$A$65,N$2,'Outages (event ledger)'!$E$2:$E$65,"&lt;="&amp;$B168,'Outages (event ledger)'!$G$2:$G$65,"&gt;="&amp;$B168)</f>
        <v>0</v>
      </c>
      <c r="O168" s="29" t="n">
        <f aca="false">SUMIFS('Outages (event ledger)'!$H$2:$H$65,'Outages (event ledger)'!$A$2:$A$65,O$2,'Outages (event ledger)'!$E$2:$E$65,"&lt;="&amp;$B168,'Outages (event ledger)'!$G$2:$G$65,"&gt;="&amp;$B168)</f>
        <v>0</v>
      </c>
      <c r="P168" s="29" t="n">
        <f aca="false">SUMIFS('Outages (event ledger)'!$H$2:$H$65,'Outages (event ledger)'!$A$2:$A$65,P$2,'Outages (event ledger)'!$E$2:$E$65,"&lt;="&amp;$B168,'Outages (event ledger)'!$G$2:$G$65,"&gt;="&amp;$B168)</f>
        <v>0</v>
      </c>
      <c r="Q168" s="29" t="n">
        <f aca="false">SUMIFS('Outages (event ledger)'!$H$2:$H$65,'Outages (event ledger)'!$A$2:$A$65,Q$2,'Outages (event ledger)'!$E$2:$E$65,"&lt;="&amp;$B168,'Outages (event ledger)'!$G$2:$G$65,"&gt;="&amp;$B168)</f>
        <v>0</v>
      </c>
      <c r="R168" s="29" t="n">
        <f aca="false">SUMIFS('Outages (event ledger)'!$H$2:$H$65,'Outages (event ledger)'!$A$2:$A$65,R$2,'Outages (event ledger)'!$E$2:$E$65,"&lt;="&amp;$B168,'Outages (event ledger)'!$G$2:$G$65,"&gt;="&amp;$B168)</f>
        <v>0</v>
      </c>
      <c r="S168" s="29" t="n">
        <f aca="false">SUMIFS('Outages (event ledger)'!$H$2:$H$65,'Outages (event ledger)'!$A$2:$A$65,S$2,'Outages (event ledger)'!$E$2:$E$65,"&lt;="&amp;$B168,'Outages (event ledger)'!$G$2:$G$65,"&gt;="&amp;$B168)</f>
        <v>0</v>
      </c>
      <c r="T168" s="29" t="n">
        <f aca="false">SUMIFS('Outages (event ledger)'!$H$2:$H$65,'Outages (event ledger)'!$A$2:$A$65,T$2,'Outages (event ledger)'!$E$2:$E$65,"&lt;="&amp;$B168,'Outages (event ledger)'!$G$2:$G$65,"&gt;="&amp;$B168)</f>
        <v>0</v>
      </c>
      <c r="U168" s="29" t="n">
        <f aca="false">SUMIFS('Outages (event ledger)'!$H$2:$H$65,'Outages (event ledger)'!$A$2:$A$65,U$2,'Outages (event ledger)'!$E$2:$E$65,"&lt;="&amp;$B168,'Outages (event ledger)'!$G$2:$G$65,"&gt;="&amp;$B168)</f>
        <v>0</v>
      </c>
      <c r="V168" s="29" t="n">
        <f aca="false">SUMIFS('Outages (event ledger)'!$H$2:$H$65,'Outages (event ledger)'!$A$2:$A$65,V$2,'Outages (event ledger)'!$E$2:$E$65,"&lt;="&amp;$B168,'Outages (event ledger)'!$G$2:$G$65,"&gt;="&amp;$B168)</f>
        <v>0</v>
      </c>
      <c r="W168" s="29" t="n">
        <f aca="false">SUMIFS('Outages (event ledger)'!$H$2:$H$65,'Outages (event ledger)'!$A$2:$A$65,W$2,'Outages (event ledger)'!$E$2:$E$65,"&lt;="&amp;$B168,'Outages (event ledger)'!$G$2:$G$65,"&gt;="&amp;$B168)</f>
        <v>0</v>
      </c>
      <c r="X168" s="29" t="n">
        <f aca="false">SUMIFS('Outages (event ledger)'!$H$2:$H$65,'Outages (event ledger)'!$A$2:$A$65,X$2,'Outages (event ledger)'!$E$2:$E$65,"&lt;="&amp;$B168,'Outages (event ledger)'!$G$2:$G$65,"&gt;="&amp;$B168)</f>
        <v>0</v>
      </c>
      <c r="Y168" s="29" t="n">
        <f aca="false">SUMIFS('Outages (event ledger)'!$H$2:$H$65,'Outages (event ledger)'!$A$2:$A$65,Y$2,'Outages (event ledger)'!$E$2:$E$65,"&lt;="&amp;$B168,'Outages (event ledger)'!$G$2:$G$65,"&gt;="&amp;$B168)</f>
        <v>0</v>
      </c>
      <c r="Z168" s="29" t="n">
        <f aca="false">SUMIFS('Outages (event ledger)'!$H$2:$H$65,'Outages (event ledger)'!$A$2:$A$65,Z$2,'Outages (event ledger)'!$E$2:$E$65,"&lt;="&amp;$B168,'Outages (event ledger)'!$G$2:$G$65,"&gt;="&amp;$B168)</f>
        <v>0</v>
      </c>
      <c r="AA168" s="29" t="n">
        <f aca="false">SUMIFS('Outages (event ledger)'!$H$2:$H$65,'Outages (event ledger)'!$A$2:$A$65,AA$2,'Outages (event ledger)'!$E$2:$E$65,"&lt;="&amp;$B168,'Outages (event ledger)'!$G$2:$G$65,"&gt;="&amp;$B168)</f>
        <v>2</v>
      </c>
      <c r="AB168" s="29" t="n">
        <f aca="false">SUMIFS('Outages (event ledger)'!$H$2:$H$65,'Outages (event ledger)'!$A$2:$A$65,AB$2,'Outages (event ledger)'!$E$2:$E$65,"&lt;="&amp;$B168,'Outages (event ledger)'!$G$2:$G$65,"&gt;="&amp;$B168)</f>
        <v>8</v>
      </c>
      <c r="AC168" s="29" t="n">
        <f aca="false">SUMIFS('Outages (event ledger)'!$H$2:$H$65,'Outages (event ledger)'!$A$2:$A$65,AC$2,'Outages (event ledger)'!$E$2:$E$65,"&lt;="&amp;$B168,'Outages (event ledger)'!$G$2:$G$65,"&gt;="&amp;$B168)</f>
        <v>0</v>
      </c>
      <c r="AD168" s="29" t="n">
        <f aca="false">SUMIFS('Outages (event ledger)'!$H$2:$H$65,'Outages (event ledger)'!$A$2:$A$65,AD$2,'Outages (event ledger)'!$E$2:$E$65,"&lt;="&amp;$B168,'Outages (event ledger)'!$G$2:$G$65,"&gt;="&amp;$B168)</f>
        <v>0</v>
      </c>
      <c r="AE168" s="29" t="n">
        <f aca="false">SUMIFS('Outages (event ledger)'!$H$2:$H$65,'Outages (event ledger)'!$A$2:$A$65,AE$2,'Outages (event ledger)'!$E$2:$E$65,"&lt;="&amp;$B168,'Outages (event ledger)'!$G$2:$G$65,"&gt;="&amp;$B168)</f>
        <v>2.5</v>
      </c>
      <c r="AF168" s="29" t="n">
        <f aca="false">SUMIFS('Outages (event ledger)'!$H$2:$H$65,'Outages (event ledger)'!$A$2:$A$65,AF$2,'Outages (event ledger)'!$E$2:$E$65,"&lt;="&amp;$B168,'Outages (event ledger)'!$G$2:$G$65,"&gt;="&amp;$B168)</f>
        <v>0</v>
      </c>
      <c r="AG168" s="29" t="n">
        <f aca="false">SUMIFS('Outages (event ledger)'!$H$2:$H$65,'Outages (event ledger)'!$A$2:$A$65,AG$2,'Outages (event ledger)'!$E$2:$E$65,"&lt;="&amp;$B168,'Outages (event ledger)'!$G$2:$G$65,"&gt;="&amp;$B168)</f>
        <v>0</v>
      </c>
      <c r="AH168" s="29" t="n">
        <f aca="false">SUMIFS('Outages (event ledger)'!$H$2:$H$65,'Outages (event ledger)'!$A$2:$A$65,AH$2,'Outages (event ledger)'!$E$2:$E$65,"&lt;="&amp;$B168,'Outages (event ledger)'!$G$2:$G$65,"&gt;="&amp;$B168)</f>
        <v>0</v>
      </c>
      <c r="AI168" s="29" t="n">
        <f aca="false">SUMIFS('Outages (event ledger)'!$H$2:$H$65,'Outages (event ledger)'!$A$2:$A$65,AI$2,'Outages (event ledger)'!$E$2:$E$65,"&lt;="&amp;$B168,'Outages (event ledger)'!$G$2:$G$65,"&gt;="&amp;$B168)</f>
        <v>0</v>
      </c>
      <c r="AJ168" s="29" t="n">
        <f aca="false">SUMIFS('Outages (event ledger)'!$H$2:$H$65,'Outages (event ledger)'!$A$2:$A$65,AJ$2,'Outages (event ledger)'!$E$2:$E$65,"&lt;="&amp;$B168,'Outages (event ledger)'!$G$2:$G$65,"&gt;="&amp;$B168)</f>
        <v>0</v>
      </c>
      <c r="AK168" s="29" t="n">
        <f aca="false">SUMIFS('Outages (event ledger)'!$H$2:$H$65,'Outages (event ledger)'!$A$2:$A$65,AK$2,'Outages (event ledger)'!$E$2:$E$65,"&lt;="&amp;$B168,'Outages (event ledger)'!$G$2:$G$65,"&gt;="&amp;$B168)</f>
        <v>0</v>
      </c>
      <c r="AL168" s="29" t="n">
        <f aca="false">SUMIFS('Outages (event ledger)'!$H$2:$H$65,'Outages (event ledger)'!$A$2:$A$65,AL$2,'Outages (event ledger)'!$E$2:$E$65,"&lt;="&amp;$B168,'Outages (event ledger)'!$G$2:$G$65,"&gt;="&amp;$B168)</f>
        <v>5</v>
      </c>
      <c r="AM168" s="29" t="n">
        <f aca="false">SUMIFS('Outages (event ledger)'!$H$2:$H$65,'Outages (event ledger)'!$A$2:$A$65,AM$2,'Outages (event ledger)'!$E$2:$E$65,"&lt;="&amp;$B168,'Outages (event ledger)'!$G$2:$G$65,"&gt;="&amp;$B168)</f>
        <v>0</v>
      </c>
      <c r="AN168" s="29" t="n">
        <f aca="false">SUMIFS('Outages (event ledger)'!$H$2:$H$65,'Outages (event ledger)'!$A$2:$A$65,AN$2,'Outages (event ledger)'!$E$2:$E$65,"&lt;="&amp;$B168,'Outages (event ledger)'!$G$2:$G$65,"&gt;="&amp;$B168)</f>
        <v>0</v>
      </c>
      <c r="AO168" s="29" t="n">
        <f aca="false">SUMIFS('Outages (event ledger)'!$H$2:$H$65,'Outages (event ledger)'!$A$2:$A$65,AO$2,'Outages (event ledger)'!$E$2:$E$65,"&lt;="&amp;$B168,'Outages (event ledger)'!$G$2:$G$65,"&gt;="&amp;$B168)</f>
        <v>0</v>
      </c>
      <c r="AP168" s="29" t="n">
        <f aca="false">SUMIFS('Outages (event ledger)'!$H$2:$H$65,'Outages (event ledger)'!$A$2:$A$65,AP$2,'Outages (event ledger)'!$E$2:$E$65,"&lt;="&amp;$B168,'Outages (event ledger)'!$G$2:$G$65,"&gt;="&amp;$B168)</f>
        <v>0</v>
      </c>
      <c r="AQ168" s="29" t="n">
        <f aca="false">SUMIFS('Outages (event ledger)'!$H$2:$H$65,'Outages (event ledger)'!$A$2:$A$65,AQ$2,'Outages (event ledger)'!$E$2:$E$65,"&lt;="&amp;$B168,'Outages (event ledger)'!$G$2:$G$65,"&gt;="&amp;$B168)</f>
        <v>0</v>
      </c>
      <c r="AR168" s="29" t="n">
        <f aca="false">SUMIFS('Outages (event ledger)'!$H$2:$H$65,'Outages (event ledger)'!$A$2:$A$65,AR$2,'Outages (event ledger)'!$E$2:$E$65,"&lt;="&amp;$B168,'Outages (event ledger)'!$G$2:$G$65,"&gt;="&amp;$B168)</f>
        <v>0</v>
      </c>
      <c r="AS168" s="29" t="n">
        <f aca="false">SUMIFS('Outages (event ledger)'!$H$2:$H$65,'Outages (event ledger)'!$A$2:$A$65,AS$2,'Outages (event ledger)'!$E$2:$E$65,"&lt;="&amp;$B168,'Outages (event ledger)'!$G$2:$G$65,"&gt;="&amp;$B168)</f>
        <v>0</v>
      </c>
      <c r="AT168" s="29" t="n">
        <f aca="false">SUMIFS('Outages (event ledger)'!$H$2:$H$65,'Outages (event ledger)'!$A$2:$A$65,AT$2,'Outages (event ledger)'!$E$2:$E$65,"&lt;="&amp;$B168,'Outages (event ledger)'!$G$2:$G$65,"&gt;="&amp;$B168)</f>
        <v>0</v>
      </c>
      <c r="AU168" s="29" t="n">
        <f aca="false">SUMIFS('Outages (event ledger)'!$H$2:$H$65,'Outages (event ledger)'!$A$2:$A$65,AU$2,'Outages (event ledger)'!$E$2:$E$65,"&lt;="&amp;$B168,'Outages (event ledger)'!$G$2:$G$65,"&gt;="&amp;$B168)</f>
        <v>0</v>
      </c>
      <c r="AV168" s="29" t="n">
        <f aca="false">SUMIFS('Outages (event ledger)'!$H$2:$H$65,'Outages (event ledger)'!$A$2:$A$65,AV$2,'Outages (event ledger)'!$E$2:$E$65,"&lt;="&amp;$B168,'Outages (event ledger)'!$G$2:$G$65,"&gt;="&amp;$B168)</f>
        <v>0</v>
      </c>
      <c r="AW168" s="29" t="n">
        <f aca="false">SUMIFS('Outages (event ledger)'!$H$2:$H$65,'Outages (event ledger)'!$A$2:$A$65,AW$2,'Outages (event ledger)'!$E$2:$E$65,"&lt;="&amp;$B168,'Outages (event ledger)'!$G$2:$G$65,"&gt;="&amp;$B168)</f>
        <v>0</v>
      </c>
      <c r="AX168" s="29" t="n">
        <f aca="false">SUMIFS('Outages (event ledger)'!$H$2:$H$65,'Outages (event ledger)'!$A$2:$A$65,AX$2,'Outages (event ledger)'!$E$2:$E$65,"&lt;="&amp;$B168,'Outages (event ledger)'!$G$2:$G$65,"&gt;="&amp;$B168)</f>
        <v>6.6</v>
      </c>
      <c r="AY168" s="29" t="n">
        <f aca="false">SUMIFS('Outages (event ledger)'!$H$2:$H$65,'Outages (event ledger)'!$A$2:$A$65,AY$2,'Outages (event ledger)'!$E$2:$E$65,"&lt;="&amp;$B168,'Outages (event ledger)'!$G$2:$G$65,"&gt;="&amp;$B168)</f>
        <v>0</v>
      </c>
      <c r="AZ168" s="29" t="n">
        <f aca="false">SUMIFS('Outages (event ledger)'!$H$2:$H$65,'Outages (event ledger)'!$A$2:$A$65,AZ$2,'Outages (event ledger)'!$E$2:$E$65,"&lt;="&amp;$B168,'Outages (event ledger)'!$G$2:$G$65,"&gt;="&amp;$B168)</f>
        <v>2</v>
      </c>
      <c r="BA168" s="29" t="n">
        <f aca="false">SUMIFS('Outages (event ledger)'!$H$2:$H$65,'Outages (event ledger)'!$A$2:$A$65,BA$2,'Outages (event ledger)'!$E$2:$E$65,"&lt;="&amp;$B168,'Outages (event ledger)'!$G$2:$G$65,"&gt;="&amp;$B168)</f>
        <v>0</v>
      </c>
      <c r="BB168" s="29" t="n">
        <f aca="false">SUMIFS('Outages (event ledger)'!$H$2:$H$65,'Outages (event ledger)'!$A$2:$A$65,BB$2,'Outages (event ledger)'!$E$2:$E$65,"&lt;="&amp;$B168,'Outages (event ledger)'!$G$2:$G$65,"&gt;="&amp;$B168)</f>
        <v>0</v>
      </c>
      <c r="BC168" s="29" t="n">
        <f aca="false">SUMIFS('Outages (event ledger)'!$H$2:$H$65,'Outages (event ledger)'!$A$2:$A$65,BC$2,'Outages (event ledger)'!$E$2:$E$65,"&lt;="&amp;$B168,'Outages (event ledger)'!$G$2:$G$65,"&gt;="&amp;$B168)</f>
        <v>0</v>
      </c>
      <c r="BD168" s="29" t="n">
        <f aca="false">SUMIFS('Outages (event ledger)'!$H$2:$H$65,'Outages (event ledger)'!$A$2:$A$65,BD$2,'Outages (event ledger)'!$E$2:$E$65,"&lt;="&amp;$B168,'Outages (event ledger)'!$G$2:$G$65,"&gt;="&amp;$B168)</f>
        <v>0</v>
      </c>
      <c r="BE168" s="29" t="n">
        <f aca="false">SUMIFS('Outages (event ledger)'!$H$2:$H$65,'Outages (event ledger)'!$A$2:$A$65,BE$2,'Outages (event ledger)'!$E$2:$E$65,"&lt;="&amp;$B168,'Outages (event ledger)'!$G$2:$G$65,"&gt;="&amp;$B168)</f>
        <v>0</v>
      </c>
      <c r="BF168" s="29" t="n">
        <f aca="false">SUMIFS('Outages (event ledger)'!$H$2:$H$65,'Outages (event ledger)'!$A$2:$A$65,BF$2,'Outages (event ledger)'!$E$2:$E$65,"&lt;="&amp;$B168,'Outages (event ledger)'!$G$2:$G$65,"&gt;="&amp;$B168)</f>
        <v>0</v>
      </c>
      <c r="BG168" s="29" t="n">
        <f aca="false">SUMIFS('Outages (event ledger)'!$H$2:$H$65,'Outages (event ledger)'!$A$2:$A$65,BG$2,'Outages (event ledger)'!$E$2:$E$65,"&lt;="&amp;$B168,'Outages (event ledger)'!$G$2:$G$65,"&gt;="&amp;$B168)</f>
        <v>0</v>
      </c>
      <c r="BH168" s="29" t="n">
        <f aca="false">SUMIFS('Outages (event ledger)'!$H$2:$H$65,'Outages (event ledger)'!$A$2:$A$65,BH$2,'Outages (event ledger)'!$E$2:$E$65,"&lt;="&amp;$B168,'Outages (event ledger)'!$G$2:$G$65,"&gt;="&amp;$B168)</f>
        <v>0</v>
      </c>
      <c r="BI168" s="29" t="n">
        <f aca="false">SUMIFS('Outages (event ledger)'!$H$2:$H$65,'Outages (event ledger)'!$A$2:$A$65,BI$2,'Outages (event ledger)'!$E$2:$E$65,"&lt;="&amp;$B168,'Outages (event ledger)'!$G$2:$G$65,"&gt;="&amp;$B168)</f>
        <v>6.7</v>
      </c>
    </row>
    <row r="169" customFormat="false" ht="15" hidden="false" customHeight="false" outlineLevel="0" collapsed="false">
      <c r="A169" s="27" t="n">
        <v>45231</v>
      </c>
      <c r="B169" s="28" t="n">
        <v>202311</v>
      </c>
      <c r="C169" s="25" t="n">
        <f aca="false">SUM(D169:BI169)</f>
        <v>32.8</v>
      </c>
      <c r="D169" s="29" t="n">
        <f aca="false">SUMIFS('Outages (event ledger)'!$H$2:$H$65,'Outages (event ledger)'!$A$2:$A$65,D$2,'Outages (event ledger)'!$E$2:$E$65,"&lt;="&amp;$B169,'Outages (event ledger)'!$G$2:$G$65,"&gt;="&amp;$B169)</f>
        <v>0</v>
      </c>
      <c r="E169" s="29" t="n">
        <f aca="false">SUMIFS('Outages (event ledger)'!$H$2:$H$65,'Outages (event ledger)'!$A$2:$A$65,E$2,'Outages (event ledger)'!$E$2:$E$65,"&lt;="&amp;$B169,'Outages (event ledger)'!$G$2:$G$65,"&gt;="&amp;$B169)</f>
        <v>0</v>
      </c>
      <c r="F169" s="29" t="n">
        <f aca="false">SUMIFS('Outages (event ledger)'!$H$2:$H$65,'Outages (event ledger)'!$A$2:$A$65,F$2,'Outages (event ledger)'!$E$2:$E$65,"&lt;="&amp;$B169,'Outages (event ledger)'!$G$2:$G$65,"&gt;="&amp;$B169)</f>
        <v>0</v>
      </c>
      <c r="G169" s="29" t="n">
        <f aca="false">SUMIFS('Outages (event ledger)'!$H$2:$H$65,'Outages (event ledger)'!$A$2:$A$65,G$2,'Outages (event ledger)'!$E$2:$E$65,"&lt;="&amp;$B169,'Outages (event ledger)'!$G$2:$G$65,"&gt;="&amp;$B169)</f>
        <v>0</v>
      </c>
      <c r="H169" s="29" t="n">
        <f aca="false">SUMIFS('Outages (event ledger)'!$H$2:$H$65,'Outages (event ledger)'!$A$2:$A$65,H$2,'Outages (event ledger)'!$E$2:$E$65,"&lt;="&amp;$B169,'Outages (event ledger)'!$G$2:$G$65,"&gt;="&amp;$B169)</f>
        <v>0</v>
      </c>
      <c r="I169" s="29" t="n">
        <f aca="false">SUMIFS('Outages (event ledger)'!$H$2:$H$65,'Outages (event ledger)'!$A$2:$A$65,I$2,'Outages (event ledger)'!$E$2:$E$65,"&lt;="&amp;$B169,'Outages (event ledger)'!$G$2:$G$65,"&gt;="&amp;$B169)</f>
        <v>0</v>
      </c>
      <c r="J169" s="29" t="n">
        <f aca="false">SUMIFS('Outages (event ledger)'!$H$2:$H$65,'Outages (event ledger)'!$A$2:$A$65,J$2,'Outages (event ledger)'!$E$2:$E$65,"&lt;="&amp;$B169,'Outages (event ledger)'!$G$2:$G$65,"&gt;="&amp;$B169)</f>
        <v>0</v>
      </c>
      <c r="K169" s="29" t="n">
        <f aca="false">SUMIFS('Outages (event ledger)'!$H$2:$H$65,'Outages (event ledger)'!$A$2:$A$65,K$2,'Outages (event ledger)'!$E$2:$E$65,"&lt;="&amp;$B169,'Outages (event ledger)'!$G$2:$G$65,"&gt;="&amp;$B169)</f>
        <v>0</v>
      </c>
      <c r="L169" s="29" t="n">
        <f aca="false">SUMIFS('Outages (event ledger)'!$H$2:$H$65,'Outages (event ledger)'!$A$2:$A$65,L$2,'Outages (event ledger)'!$E$2:$E$65,"&lt;="&amp;$B169,'Outages (event ledger)'!$G$2:$G$65,"&gt;="&amp;$B169)</f>
        <v>0</v>
      </c>
      <c r="M169" s="29" t="n">
        <f aca="false">SUMIFS('Outages (event ledger)'!$H$2:$H$65,'Outages (event ledger)'!$A$2:$A$65,M$2,'Outages (event ledger)'!$E$2:$E$65,"&lt;="&amp;$B169,'Outages (event ledger)'!$G$2:$G$65,"&gt;="&amp;$B169)</f>
        <v>0</v>
      </c>
      <c r="N169" s="29" t="n">
        <f aca="false">SUMIFS('Outages (event ledger)'!$H$2:$H$65,'Outages (event ledger)'!$A$2:$A$65,N$2,'Outages (event ledger)'!$E$2:$E$65,"&lt;="&amp;$B169,'Outages (event ledger)'!$G$2:$G$65,"&gt;="&amp;$B169)</f>
        <v>0</v>
      </c>
      <c r="O169" s="29" t="n">
        <f aca="false">SUMIFS('Outages (event ledger)'!$H$2:$H$65,'Outages (event ledger)'!$A$2:$A$65,O$2,'Outages (event ledger)'!$E$2:$E$65,"&lt;="&amp;$B169,'Outages (event ledger)'!$G$2:$G$65,"&gt;="&amp;$B169)</f>
        <v>0</v>
      </c>
      <c r="P169" s="29" t="n">
        <f aca="false">SUMIFS('Outages (event ledger)'!$H$2:$H$65,'Outages (event ledger)'!$A$2:$A$65,P$2,'Outages (event ledger)'!$E$2:$E$65,"&lt;="&amp;$B169,'Outages (event ledger)'!$G$2:$G$65,"&gt;="&amp;$B169)</f>
        <v>0</v>
      </c>
      <c r="Q169" s="29" t="n">
        <f aca="false">SUMIFS('Outages (event ledger)'!$H$2:$H$65,'Outages (event ledger)'!$A$2:$A$65,Q$2,'Outages (event ledger)'!$E$2:$E$65,"&lt;="&amp;$B169,'Outages (event ledger)'!$G$2:$G$65,"&gt;="&amp;$B169)</f>
        <v>0</v>
      </c>
      <c r="R169" s="29" t="n">
        <f aca="false">SUMIFS('Outages (event ledger)'!$H$2:$H$65,'Outages (event ledger)'!$A$2:$A$65,R$2,'Outages (event ledger)'!$E$2:$E$65,"&lt;="&amp;$B169,'Outages (event ledger)'!$G$2:$G$65,"&gt;="&amp;$B169)</f>
        <v>0</v>
      </c>
      <c r="S169" s="29" t="n">
        <f aca="false">SUMIFS('Outages (event ledger)'!$H$2:$H$65,'Outages (event ledger)'!$A$2:$A$65,S$2,'Outages (event ledger)'!$E$2:$E$65,"&lt;="&amp;$B169,'Outages (event ledger)'!$G$2:$G$65,"&gt;="&amp;$B169)</f>
        <v>0</v>
      </c>
      <c r="T169" s="29" t="n">
        <f aca="false">SUMIFS('Outages (event ledger)'!$H$2:$H$65,'Outages (event ledger)'!$A$2:$A$65,T$2,'Outages (event ledger)'!$E$2:$E$65,"&lt;="&amp;$B169,'Outages (event ledger)'!$G$2:$G$65,"&gt;="&amp;$B169)</f>
        <v>0</v>
      </c>
      <c r="U169" s="29" t="n">
        <f aca="false">SUMIFS('Outages (event ledger)'!$H$2:$H$65,'Outages (event ledger)'!$A$2:$A$65,U$2,'Outages (event ledger)'!$E$2:$E$65,"&lt;="&amp;$B169,'Outages (event ledger)'!$G$2:$G$65,"&gt;="&amp;$B169)</f>
        <v>0</v>
      </c>
      <c r="V169" s="29" t="n">
        <f aca="false">SUMIFS('Outages (event ledger)'!$H$2:$H$65,'Outages (event ledger)'!$A$2:$A$65,V$2,'Outages (event ledger)'!$E$2:$E$65,"&lt;="&amp;$B169,'Outages (event ledger)'!$G$2:$G$65,"&gt;="&amp;$B169)</f>
        <v>0</v>
      </c>
      <c r="W169" s="29" t="n">
        <f aca="false">SUMIFS('Outages (event ledger)'!$H$2:$H$65,'Outages (event ledger)'!$A$2:$A$65,W$2,'Outages (event ledger)'!$E$2:$E$65,"&lt;="&amp;$B169,'Outages (event ledger)'!$G$2:$G$65,"&gt;="&amp;$B169)</f>
        <v>0</v>
      </c>
      <c r="X169" s="29" t="n">
        <f aca="false">SUMIFS('Outages (event ledger)'!$H$2:$H$65,'Outages (event ledger)'!$A$2:$A$65,X$2,'Outages (event ledger)'!$E$2:$E$65,"&lt;="&amp;$B169,'Outages (event ledger)'!$G$2:$G$65,"&gt;="&amp;$B169)</f>
        <v>0</v>
      </c>
      <c r="Y169" s="29" t="n">
        <f aca="false">SUMIFS('Outages (event ledger)'!$H$2:$H$65,'Outages (event ledger)'!$A$2:$A$65,Y$2,'Outages (event ledger)'!$E$2:$E$65,"&lt;="&amp;$B169,'Outages (event ledger)'!$G$2:$G$65,"&gt;="&amp;$B169)</f>
        <v>0</v>
      </c>
      <c r="Z169" s="29" t="n">
        <f aca="false">SUMIFS('Outages (event ledger)'!$H$2:$H$65,'Outages (event ledger)'!$A$2:$A$65,Z$2,'Outages (event ledger)'!$E$2:$E$65,"&lt;="&amp;$B169,'Outages (event ledger)'!$G$2:$G$65,"&gt;="&amp;$B169)</f>
        <v>0</v>
      </c>
      <c r="AA169" s="29" t="n">
        <f aca="false">SUMIFS('Outages (event ledger)'!$H$2:$H$65,'Outages (event ledger)'!$A$2:$A$65,AA$2,'Outages (event ledger)'!$E$2:$E$65,"&lt;="&amp;$B169,'Outages (event ledger)'!$G$2:$G$65,"&gt;="&amp;$B169)</f>
        <v>2</v>
      </c>
      <c r="AB169" s="29" t="n">
        <f aca="false">SUMIFS('Outages (event ledger)'!$H$2:$H$65,'Outages (event ledger)'!$A$2:$A$65,AB$2,'Outages (event ledger)'!$E$2:$E$65,"&lt;="&amp;$B169,'Outages (event ledger)'!$G$2:$G$65,"&gt;="&amp;$B169)</f>
        <v>8</v>
      </c>
      <c r="AC169" s="29" t="n">
        <f aca="false">SUMIFS('Outages (event ledger)'!$H$2:$H$65,'Outages (event ledger)'!$A$2:$A$65,AC$2,'Outages (event ledger)'!$E$2:$E$65,"&lt;="&amp;$B169,'Outages (event ledger)'!$G$2:$G$65,"&gt;="&amp;$B169)</f>
        <v>0</v>
      </c>
      <c r="AD169" s="29" t="n">
        <f aca="false">SUMIFS('Outages (event ledger)'!$H$2:$H$65,'Outages (event ledger)'!$A$2:$A$65,AD$2,'Outages (event ledger)'!$E$2:$E$65,"&lt;="&amp;$B169,'Outages (event ledger)'!$G$2:$G$65,"&gt;="&amp;$B169)</f>
        <v>0</v>
      </c>
      <c r="AE169" s="29" t="n">
        <f aca="false">SUMIFS('Outages (event ledger)'!$H$2:$H$65,'Outages (event ledger)'!$A$2:$A$65,AE$2,'Outages (event ledger)'!$E$2:$E$65,"&lt;="&amp;$B169,'Outages (event ledger)'!$G$2:$G$65,"&gt;="&amp;$B169)</f>
        <v>2.5</v>
      </c>
      <c r="AF169" s="29" t="n">
        <f aca="false">SUMIFS('Outages (event ledger)'!$H$2:$H$65,'Outages (event ledger)'!$A$2:$A$65,AF$2,'Outages (event ledger)'!$E$2:$E$65,"&lt;="&amp;$B169,'Outages (event ledger)'!$G$2:$G$65,"&gt;="&amp;$B169)</f>
        <v>0</v>
      </c>
      <c r="AG169" s="29" t="n">
        <f aca="false">SUMIFS('Outages (event ledger)'!$H$2:$H$65,'Outages (event ledger)'!$A$2:$A$65,AG$2,'Outages (event ledger)'!$E$2:$E$65,"&lt;="&amp;$B169,'Outages (event ledger)'!$G$2:$G$65,"&gt;="&amp;$B169)</f>
        <v>0</v>
      </c>
      <c r="AH169" s="29" t="n">
        <f aca="false">SUMIFS('Outages (event ledger)'!$H$2:$H$65,'Outages (event ledger)'!$A$2:$A$65,AH$2,'Outages (event ledger)'!$E$2:$E$65,"&lt;="&amp;$B169,'Outages (event ledger)'!$G$2:$G$65,"&gt;="&amp;$B169)</f>
        <v>0</v>
      </c>
      <c r="AI169" s="29" t="n">
        <f aca="false">SUMIFS('Outages (event ledger)'!$H$2:$H$65,'Outages (event ledger)'!$A$2:$A$65,AI$2,'Outages (event ledger)'!$E$2:$E$65,"&lt;="&amp;$B169,'Outages (event ledger)'!$G$2:$G$65,"&gt;="&amp;$B169)</f>
        <v>0</v>
      </c>
      <c r="AJ169" s="29" t="n">
        <f aca="false">SUMIFS('Outages (event ledger)'!$H$2:$H$65,'Outages (event ledger)'!$A$2:$A$65,AJ$2,'Outages (event ledger)'!$E$2:$E$65,"&lt;="&amp;$B169,'Outages (event ledger)'!$G$2:$G$65,"&gt;="&amp;$B169)</f>
        <v>0</v>
      </c>
      <c r="AK169" s="29" t="n">
        <f aca="false">SUMIFS('Outages (event ledger)'!$H$2:$H$65,'Outages (event ledger)'!$A$2:$A$65,AK$2,'Outages (event ledger)'!$E$2:$E$65,"&lt;="&amp;$B169,'Outages (event ledger)'!$G$2:$G$65,"&gt;="&amp;$B169)</f>
        <v>0</v>
      </c>
      <c r="AL169" s="29" t="n">
        <f aca="false">SUMIFS('Outages (event ledger)'!$H$2:$H$65,'Outages (event ledger)'!$A$2:$A$65,AL$2,'Outages (event ledger)'!$E$2:$E$65,"&lt;="&amp;$B169,'Outages (event ledger)'!$G$2:$G$65,"&gt;="&amp;$B169)</f>
        <v>5</v>
      </c>
      <c r="AM169" s="29" t="n">
        <f aca="false">SUMIFS('Outages (event ledger)'!$H$2:$H$65,'Outages (event ledger)'!$A$2:$A$65,AM$2,'Outages (event ledger)'!$E$2:$E$65,"&lt;="&amp;$B169,'Outages (event ledger)'!$G$2:$G$65,"&gt;="&amp;$B169)</f>
        <v>0</v>
      </c>
      <c r="AN169" s="29" t="n">
        <f aca="false">SUMIFS('Outages (event ledger)'!$H$2:$H$65,'Outages (event ledger)'!$A$2:$A$65,AN$2,'Outages (event ledger)'!$E$2:$E$65,"&lt;="&amp;$B169,'Outages (event ledger)'!$G$2:$G$65,"&gt;="&amp;$B169)</f>
        <v>0</v>
      </c>
      <c r="AO169" s="29" t="n">
        <f aca="false">SUMIFS('Outages (event ledger)'!$H$2:$H$65,'Outages (event ledger)'!$A$2:$A$65,AO$2,'Outages (event ledger)'!$E$2:$E$65,"&lt;="&amp;$B169,'Outages (event ledger)'!$G$2:$G$65,"&gt;="&amp;$B169)</f>
        <v>0</v>
      </c>
      <c r="AP169" s="29" t="n">
        <f aca="false">SUMIFS('Outages (event ledger)'!$H$2:$H$65,'Outages (event ledger)'!$A$2:$A$65,AP$2,'Outages (event ledger)'!$E$2:$E$65,"&lt;="&amp;$B169,'Outages (event ledger)'!$G$2:$G$65,"&gt;="&amp;$B169)</f>
        <v>0</v>
      </c>
      <c r="AQ169" s="29" t="n">
        <f aca="false">SUMIFS('Outages (event ledger)'!$H$2:$H$65,'Outages (event ledger)'!$A$2:$A$65,AQ$2,'Outages (event ledger)'!$E$2:$E$65,"&lt;="&amp;$B169,'Outages (event ledger)'!$G$2:$G$65,"&gt;="&amp;$B169)</f>
        <v>0</v>
      </c>
      <c r="AR169" s="29" t="n">
        <f aca="false">SUMIFS('Outages (event ledger)'!$H$2:$H$65,'Outages (event ledger)'!$A$2:$A$65,AR$2,'Outages (event ledger)'!$E$2:$E$65,"&lt;="&amp;$B169,'Outages (event ledger)'!$G$2:$G$65,"&gt;="&amp;$B169)</f>
        <v>0</v>
      </c>
      <c r="AS169" s="29" t="n">
        <f aca="false">SUMIFS('Outages (event ledger)'!$H$2:$H$65,'Outages (event ledger)'!$A$2:$A$65,AS$2,'Outages (event ledger)'!$E$2:$E$65,"&lt;="&amp;$B169,'Outages (event ledger)'!$G$2:$G$65,"&gt;="&amp;$B169)</f>
        <v>0</v>
      </c>
      <c r="AT169" s="29" t="n">
        <f aca="false">SUMIFS('Outages (event ledger)'!$H$2:$H$65,'Outages (event ledger)'!$A$2:$A$65,AT$2,'Outages (event ledger)'!$E$2:$E$65,"&lt;="&amp;$B169,'Outages (event ledger)'!$G$2:$G$65,"&gt;="&amp;$B169)</f>
        <v>0</v>
      </c>
      <c r="AU169" s="29" t="n">
        <f aca="false">SUMIFS('Outages (event ledger)'!$H$2:$H$65,'Outages (event ledger)'!$A$2:$A$65,AU$2,'Outages (event ledger)'!$E$2:$E$65,"&lt;="&amp;$B169,'Outages (event ledger)'!$G$2:$G$65,"&gt;="&amp;$B169)</f>
        <v>0</v>
      </c>
      <c r="AV169" s="29" t="n">
        <f aca="false">SUMIFS('Outages (event ledger)'!$H$2:$H$65,'Outages (event ledger)'!$A$2:$A$65,AV$2,'Outages (event ledger)'!$E$2:$E$65,"&lt;="&amp;$B169,'Outages (event ledger)'!$G$2:$G$65,"&gt;="&amp;$B169)</f>
        <v>0</v>
      </c>
      <c r="AW169" s="29" t="n">
        <f aca="false">SUMIFS('Outages (event ledger)'!$H$2:$H$65,'Outages (event ledger)'!$A$2:$A$65,AW$2,'Outages (event ledger)'!$E$2:$E$65,"&lt;="&amp;$B169,'Outages (event ledger)'!$G$2:$G$65,"&gt;="&amp;$B169)</f>
        <v>0</v>
      </c>
      <c r="AX169" s="29" t="n">
        <f aca="false">SUMIFS('Outages (event ledger)'!$H$2:$H$65,'Outages (event ledger)'!$A$2:$A$65,AX$2,'Outages (event ledger)'!$E$2:$E$65,"&lt;="&amp;$B169,'Outages (event ledger)'!$G$2:$G$65,"&gt;="&amp;$B169)</f>
        <v>6.6</v>
      </c>
      <c r="AY169" s="29" t="n">
        <f aca="false">SUMIFS('Outages (event ledger)'!$H$2:$H$65,'Outages (event ledger)'!$A$2:$A$65,AY$2,'Outages (event ledger)'!$E$2:$E$65,"&lt;="&amp;$B169,'Outages (event ledger)'!$G$2:$G$65,"&gt;="&amp;$B169)</f>
        <v>0</v>
      </c>
      <c r="AZ169" s="29" t="n">
        <f aca="false">SUMIFS('Outages (event ledger)'!$H$2:$H$65,'Outages (event ledger)'!$A$2:$A$65,AZ$2,'Outages (event ledger)'!$E$2:$E$65,"&lt;="&amp;$B169,'Outages (event ledger)'!$G$2:$G$65,"&gt;="&amp;$B169)</f>
        <v>2</v>
      </c>
      <c r="BA169" s="29" t="n">
        <f aca="false">SUMIFS('Outages (event ledger)'!$H$2:$H$65,'Outages (event ledger)'!$A$2:$A$65,BA$2,'Outages (event ledger)'!$E$2:$E$65,"&lt;="&amp;$B169,'Outages (event ledger)'!$G$2:$G$65,"&gt;="&amp;$B169)</f>
        <v>0</v>
      </c>
      <c r="BB169" s="29" t="n">
        <f aca="false">SUMIFS('Outages (event ledger)'!$H$2:$H$65,'Outages (event ledger)'!$A$2:$A$65,BB$2,'Outages (event ledger)'!$E$2:$E$65,"&lt;="&amp;$B169,'Outages (event ledger)'!$G$2:$G$65,"&gt;="&amp;$B169)</f>
        <v>0</v>
      </c>
      <c r="BC169" s="29" t="n">
        <f aca="false">SUMIFS('Outages (event ledger)'!$H$2:$H$65,'Outages (event ledger)'!$A$2:$A$65,BC$2,'Outages (event ledger)'!$E$2:$E$65,"&lt;="&amp;$B169,'Outages (event ledger)'!$G$2:$G$65,"&gt;="&amp;$B169)</f>
        <v>0</v>
      </c>
      <c r="BD169" s="29" t="n">
        <f aca="false">SUMIFS('Outages (event ledger)'!$H$2:$H$65,'Outages (event ledger)'!$A$2:$A$65,BD$2,'Outages (event ledger)'!$E$2:$E$65,"&lt;="&amp;$B169,'Outages (event ledger)'!$G$2:$G$65,"&gt;="&amp;$B169)</f>
        <v>0</v>
      </c>
      <c r="BE169" s="29" t="n">
        <f aca="false">SUMIFS('Outages (event ledger)'!$H$2:$H$65,'Outages (event ledger)'!$A$2:$A$65,BE$2,'Outages (event ledger)'!$E$2:$E$65,"&lt;="&amp;$B169,'Outages (event ledger)'!$G$2:$G$65,"&gt;="&amp;$B169)</f>
        <v>0</v>
      </c>
      <c r="BF169" s="29" t="n">
        <f aca="false">SUMIFS('Outages (event ledger)'!$H$2:$H$65,'Outages (event ledger)'!$A$2:$A$65,BF$2,'Outages (event ledger)'!$E$2:$E$65,"&lt;="&amp;$B169,'Outages (event ledger)'!$G$2:$G$65,"&gt;="&amp;$B169)</f>
        <v>0</v>
      </c>
      <c r="BG169" s="29" t="n">
        <f aca="false">SUMIFS('Outages (event ledger)'!$H$2:$H$65,'Outages (event ledger)'!$A$2:$A$65,BG$2,'Outages (event ledger)'!$E$2:$E$65,"&lt;="&amp;$B169,'Outages (event ledger)'!$G$2:$G$65,"&gt;="&amp;$B169)</f>
        <v>0</v>
      </c>
      <c r="BH169" s="29" t="n">
        <f aca="false">SUMIFS('Outages (event ledger)'!$H$2:$H$65,'Outages (event ledger)'!$A$2:$A$65,BH$2,'Outages (event ledger)'!$E$2:$E$65,"&lt;="&amp;$B169,'Outages (event ledger)'!$G$2:$G$65,"&gt;="&amp;$B169)</f>
        <v>0</v>
      </c>
      <c r="BI169" s="29" t="n">
        <f aca="false">SUMIFS('Outages (event ledger)'!$H$2:$H$65,'Outages (event ledger)'!$A$2:$A$65,BI$2,'Outages (event ledger)'!$E$2:$E$65,"&lt;="&amp;$B169,'Outages (event ledger)'!$G$2:$G$65,"&gt;="&amp;$B169)</f>
        <v>6.7</v>
      </c>
    </row>
    <row r="170" customFormat="false" ht="15" hidden="false" customHeight="false" outlineLevel="0" collapsed="false">
      <c r="A170" s="27" t="n">
        <v>45261</v>
      </c>
      <c r="B170" s="28" t="n">
        <v>202312</v>
      </c>
      <c r="C170" s="25" t="n">
        <f aca="false">SUM(D170:BI170)</f>
        <v>32.8</v>
      </c>
      <c r="D170" s="29" t="n">
        <f aca="false">SUMIFS('Outages (event ledger)'!$H$2:$H$65,'Outages (event ledger)'!$A$2:$A$65,D$2,'Outages (event ledger)'!$E$2:$E$65,"&lt;="&amp;$B170,'Outages (event ledger)'!$G$2:$G$65,"&gt;="&amp;$B170)</f>
        <v>0</v>
      </c>
      <c r="E170" s="29" t="n">
        <f aca="false">SUMIFS('Outages (event ledger)'!$H$2:$H$65,'Outages (event ledger)'!$A$2:$A$65,E$2,'Outages (event ledger)'!$E$2:$E$65,"&lt;="&amp;$B170,'Outages (event ledger)'!$G$2:$G$65,"&gt;="&amp;$B170)</f>
        <v>0</v>
      </c>
      <c r="F170" s="29" t="n">
        <f aca="false">SUMIFS('Outages (event ledger)'!$H$2:$H$65,'Outages (event ledger)'!$A$2:$A$65,F$2,'Outages (event ledger)'!$E$2:$E$65,"&lt;="&amp;$B170,'Outages (event ledger)'!$G$2:$G$65,"&gt;="&amp;$B170)</f>
        <v>0</v>
      </c>
      <c r="G170" s="29" t="n">
        <f aca="false">SUMIFS('Outages (event ledger)'!$H$2:$H$65,'Outages (event ledger)'!$A$2:$A$65,G$2,'Outages (event ledger)'!$E$2:$E$65,"&lt;="&amp;$B170,'Outages (event ledger)'!$G$2:$G$65,"&gt;="&amp;$B170)</f>
        <v>0</v>
      </c>
      <c r="H170" s="29" t="n">
        <f aca="false">SUMIFS('Outages (event ledger)'!$H$2:$H$65,'Outages (event ledger)'!$A$2:$A$65,H$2,'Outages (event ledger)'!$E$2:$E$65,"&lt;="&amp;$B170,'Outages (event ledger)'!$G$2:$G$65,"&gt;="&amp;$B170)</f>
        <v>0</v>
      </c>
      <c r="I170" s="29" t="n">
        <f aca="false">SUMIFS('Outages (event ledger)'!$H$2:$H$65,'Outages (event ledger)'!$A$2:$A$65,I$2,'Outages (event ledger)'!$E$2:$E$65,"&lt;="&amp;$B170,'Outages (event ledger)'!$G$2:$G$65,"&gt;="&amp;$B170)</f>
        <v>0</v>
      </c>
      <c r="J170" s="29" t="n">
        <f aca="false">SUMIFS('Outages (event ledger)'!$H$2:$H$65,'Outages (event ledger)'!$A$2:$A$65,J$2,'Outages (event ledger)'!$E$2:$E$65,"&lt;="&amp;$B170,'Outages (event ledger)'!$G$2:$G$65,"&gt;="&amp;$B170)</f>
        <v>0</v>
      </c>
      <c r="K170" s="29" t="n">
        <f aca="false">SUMIFS('Outages (event ledger)'!$H$2:$H$65,'Outages (event ledger)'!$A$2:$A$65,K$2,'Outages (event ledger)'!$E$2:$E$65,"&lt;="&amp;$B170,'Outages (event ledger)'!$G$2:$G$65,"&gt;="&amp;$B170)</f>
        <v>0</v>
      </c>
      <c r="L170" s="29" t="n">
        <f aca="false">SUMIFS('Outages (event ledger)'!$H$2:$H$65,'Outages (event ledger)'!$A$2:$A$65,L$2,'Outages (event ledger)'!$E$2:$E$65,"&lt;="&amp;$B170,'Outages (event ledger)'!$G$2:$G$65,"&gt;="&amp;$B170)</f>
        <v>0</v>
      </c>
      <c r="M170" s="29" t="n">
        <f aca="false">SUMIFS('Outages (event ledger)'!$H$2:$H$65,'Outages (event ledger)'!$A$2:$A$65,M$2,'Outages (event ledger)'!$E$2:$E$65,"&lt;="&amp;$B170,'Outages (event ledger)'!$G$2:$G$65,"&gt;="&amp;$B170)</f>
        <v>0</v>
      </c>
      <c r="N170" s="29" t="n">
        <f aca="false">SUMIFS('Outages (event ledger)'!$H$2:$H$65,'Outages (event ledger)'!$A$2:$A$65,N$2,'Outages (event ledger)'!$E$2:$E$65,"&lt;="&amp;$B170,'Outages (event ledger)'!$G$2:$G$65,"&gt;="&amp;$B170)</f>
        <v>0</v>
      </c>
      <c r="O170" s="29" t="n">
        <f aca="false">SUMIFS('Outages (event ledger)'!$H$2:$H$65,'Outages (event ledger)'!$A$2:$A$65,O$2,'Outages (event ledger)'!$E$2:$E$65,"&lt;="&amp;$B170,'Outages (event ledger)'!$G$2:$G$65,"&gt;="&amp;$B170)</f>
        <v>0</v>
      </c>
      <c r="P170" s="29" t="n">
        <f aca="false">SUMIFS('Outages (event ledger)'!$H$2:$H$65,'Outages (event ledger)'!$A$2:$A$65,P$2,'Outages (event ledger)'!$E$2:$E$65,"&lt;="&amp;$B170,'Outages (event ledger)'!$G$2:$G$65,"&gt;="&amp;$B170)</f>
        <v>0</v>
      </c>
      <c r="Q170" s="29" t="n">
        <f aca="false">SUMIFS('Outages (event ledger)'!$H$2:$H$65,'Outages (event ledger)'!$A$2:$A$65,Q$2,'Outages (event ledger)'!$E$2:$E$65,"&lt;="&amp;$B170,'Outages (event ledger)'!$G$2:$G$65,"&gt;="&amp;$B170)</f>
        <v>0</v>
      </c>
      <c r="R170" s="29" t="n">
        <f aca="false">SUMIFS('Outages (event ledger)'!$H$2:$H$65,'Outages (event ledger)'!$A$2:$A$65,R$2,'Outages (event ledger)'!$E$2:$E$65,"&lt;="&amp;$B170,'Outages (event ledger)'!$G$2:$G$65,"&gt;="&amp;$B170)</f>
        <v>0</v>
      </c>
      <c r="S170" s="29" t="n">
        <f aca="false">SUMIFS('Outages (event ledger)'!$H$2:$H$65,'Outages (event ledger)'!$A$2:$A$65,S$2,'Outages (event ledger)'!$E$2:$E$65,"&lt;="&amp;$B170,'Outages (event ledger)'!$G$2:$G$65,"&gt;="&amp;$B170)</f>
        <v>0</v>
      </c>
      <c r="T170" s="29" t="n">
        <f aca="false">SUMIFS('Outages (event ledger)'!$H$2:$H$65,'Outages (event ledger)'!$A$2:$A$65,T$2,'Outages (event ledger)'!$E$2:$E$65,"&lt;="&amp;$B170,'Outages (event ledger)'!$G$2:$G$65,"&gt;="&amp;$B170)</f>
        <v>0</v>
      </c>
      <c r="U170" s="29" t="n">
        <f aca="false">SUMIFS('Outages (event ledger)'!$H$2:$H$65,'Outages (event ledger)'!$A$2:$A$65,U$2,'Outages (event ledger)'!$E$2:$E$65,"&lt;="&amp;$B170,'Outages (event ledger)'!$G$2:$G$65,"&gt;="&amp;$B170)</f>
        <v>0</v>
      </c>
      <c r="V170" s="29" t="n">
        <f aca="false">SUMIFS('Outages (event ledger)'!$H$2:$H$65,'Outages (event ledger)'!$A$2:$A$65,V$2,'Outages (event ledger)'!$E$2:$E$65,"&lt;="&amp;$B170,'Outages (event ledger)'!$G$2:$G$65,"&gt;="&amp;$B170)</f>
        <v>0</v>
      </c>
      <c r="W170" s="29" t="n">
        <f aca="false">SUMIFS('Outages (event ledger)'!$H$2:$H$65,'Outages (event ledger)'!$A$2:$A$65,W$2,'Outages (event ledger)'!$E$2:$E$65,"&lt;="&amp;$B170,'Outages (event ledger)'!$G$2:$G$65,"&gt;="&amp;$B170)</f>
        <v>0</v>
      </c>
      <c r="X170" s="29" t="n">
        <f aca="false">SUMIFS('Outages (event ledger)'!$H$2:$H$65,'Outages (event ledger)'!$A$2:$A$65,X$2,'Outages (event ledger)'!$E$2:$E$65,"&lt;="&amp;$B170,'Outages (event ledger)'!$G$2:$G$65,"&gt;="&amp;$B170)</f>
        <v>0</v>
      </c>
      <c r="Y170" s="29" t="n">
        <f aca="false">SUMIFS('Outages (event ledger)'!$H$2:$H$65,'Outages (event ledger)'!$A$2:$A$65,Y$2,'Outages (event ledger)'!$E$2:$E$65,"&lt;="&amp;$B170,'Outages (event ledger)'!$G$2:$G$65,"&gt;="&amp;$B170)</f>
        <v>0</v>
      </c>
      <c r="Z170" s="29" t="n">
        <f aca="false">SUMIFS('Outages (event ledger)'!$H$2:$H$65,'Outages (event ledger)'!$A$2:$A$65,Z$2,'Outages (event ledger)'!$E$2:$E$65,"&lt;="&amp;$B170,'Outages (event ledger)'!$G$2:$G$65,"&gt;="&amp;$B170)</f>
        <v>0</v>
      </c>
      <c r="AA170" s="29" t="n">
        <f aca="false">SUMIFS('Outages (event ledger)'!$H$2:$H$65,'Outages (event ledger)'!$A$2:$A$65,AA$2,'Outages (event ledger)'!$E$2:$E$65,"&lt;="&amp;$B170,'Outages (event ledger)'!$G$2:$G$65,"&gt;="&amp;$B170)</f>
        <v>2</v>
      </c>
      <c r="AB170" s="29" t="n">
        <f aca="false">SUMIFS('Outages (event ledger)'!$H$2:$H$65,'Outages (event ledger)'!$A$2:$A$65,AB$2,'Outages (event ledger)'!$E$2:$E$65,"&lt;="&amp;$B170,'Outages (event ledger)'!$G$2:$G$65,"&gt;="&amp;$B170)</f>
        <v>8</v>
      </c>
      <c r="AC170" s="29" t="n">
        <f aca="false">SUMIFS('Outages (event ledger)'!$H$2:$H$65,'Outages (event ledger)'!$A$2:$A$65,AC$2,'Outages (event ledger)'!$E$2:$E$65,"&lt;="&amp;$B170,'Outages (event ledger)'!$G$2:$G$65,"&gt;="&amp;$B170)</f>
        <v>0</v>
      </c>
      <c r="AD170" s="29" t="n">
        <f aca="false">SUMIFS('Outages (event ledger)'!$H$2:$H$65,'Outages (event ledger)'!$A$2:$A$65,AD$2,'Outages (event ledger)'!$E$2:$E$65,"&lt;="&amp;$B170,'Outages (event ledger)'!$G$2:$G$65,"&gt;="&amp;$B170)</f>
        <v>0</v>
      </c>
      <c r="AE170" s="29" t="n">
        <f aca="false">SUMIFS('Outages (event ledger)'!$H$2:$H$65,'Outages (event ledger)'!$A$2:$A$65,AE$2,'Outages (event ledger)'!$E$2:$E$65,"&lt;="&amp;$B170,'Outages (event ledger)'!$G$2:$G$65,"&gt;="&amp;$B170)</f>
        <v>2.5</v>
      </c>
      <c r="AF170" s="29" t="n">
        <f aca="false">SUMIFS('Outages (event ledger)'!$H$2:$H$65,'Outages (event ledger)'!$A$2:$A$65,AF$2,'Outages (event ledger)'!$E$2:$E$65,"&lt;="&amp;$B170,'Outages (event ledger)'!$G$2:$G$65,"&gt;="&amp;$B170)</f>
        <v>0</v>
      </c>
      <c r="AG170" s="29" t="n">
        <f aca="false">SUMIFS('Outages (event ledger)'!$H$2:$H$65,'Outages (event ledger)'!$A$2:$A$65,AG$2,'Outages (event ledger)'!$E$2:$E$65,"&lt;="&amp;$B170,'Outages (event ledger)'!$G$2:$G$65,"&gt;="&amp;$B170)</f>
        <v>0</v>
      </c>
      <c r="AH170" s="29" t="n">
        <f aca="false">SUMIFS('Outages (event ledger)'!$H$2:$H$65,'Outages (event ledger)'!$A$2:$A$65,AH$2,'Outages (event ledger)'!$E$2:$E$65,"&lt;="&amp;$B170,'Outages (event ledger)'!$G$2:$G$65,"&gt;="&amp;$B170)</f>
        <v>0</v>
      </c>
      <c r="AI170" s="29" t="n">
        <f aca="false">SUMIFS('Outages (event ledger)'!$H$2:$H$65,'Outages (event ledger)'!$A$2:$A$65,AI$2,'Outages (event ledger)'!$E$2:$E$65,"&lt;="&amp;$B170,'Outages (event ledger)'!$G$2:$G$65,"&gt;="&amp;$B170)</f>
        <v>0</v>
      </c>
      <c r="AJ170" s="29" t="n">
        <f aca="false">SUMIFS('Outages (event ledger)'!$H$2:$H$65,'Outages (event ledger)'!$A$2:$A$65,AJ$2,'Outages (event ledger)'!$E$2:$E$65,"&lt;="&amp;$B170,'Outages (event ledger)'!$G$2:$G$65,"&gt;="&amp;$B170)</f>
        <v>0</v>
      </c>
      <c r="AK170" s="29" t="n">
        <f aca="false">SUMIFS('Outages (event ledger)'!$H$2:$H$65,'Outages (event ledger)'!$A$2:$A$65,AK$2,'Outages (event ledger)'!$E$2:$E$65,"&lt;="&amp;$B170,'Outages (event ledger)'!$G$2:$G$65,"&gt;="&amp;$B170)</f>
        <v>0</v>
      </c>
      <c r="AL170" s="29" t="n">
        <f aca="false">SUMIFS('Outages (event ledger)'!$H$2:$H$65,'Outages (event ledger)'!$A$2:$A$65,AL$2,'Outages (event ledger)'!$E$2:$E$65,"&lt;="&amp;$B170,'Outages (event ledger)'!$G$2:$G$65,"&gt;="&amp;$B170)</f>
        <v>5</v>
      </c>
      <c r="AM170" s="29" t="n">
        <f aca="false">SUMIFS('Outages (event ledger)'!$H$2:$H$65,'Outages (event ledger)'!$A$2:$A$65,AM$2,'Outages (event ledger)'!$E$2:$E$65,"&lt;="&amp;$B170,'Outages (event ledger)'!$G$2:$G$65,"&gt;="&amp;$B170)</f>
        <v>0</v>
      </c>
      <c r="AN170" s="29" t="n">
        <f aca="false">SUMIFS('Outages (event ledger)'!$H$2:$H$65,'Outages (event ledger)'!$A$2:$A$65,AN$2,'Outages (event ledger)'!$E$2:$E$65,"&lt;="&amp;$B170,'Outages (event ledger)'!$G$2:$G$65,"&gt;="&amp;$B170)</f>
        <v>0</v>
      </c>
      <c r="AO170" s="29" t="n">
        <f aca="false">SUMIFS('Outages (event ledger)'!$H$2:$H$65,'Outages (event ledger)'!$A$2:$A$65,AO$2,'Outages (event ledger)'!$E$2:$E$65,"&lt;="&amp;$B170,'Outages (event ledger)'!$G$2:$G$65,"&gt;="&amp;$B170)</f>
        <v>0</v>
      </c>
      <c r="AP170" s="29" t="n">
        <f aca="false">SUMIFS('Outages (event ledger)'!$H$2:$H$65,'Outages (event ledger)'!$A$2:$A$65,AP$2,'Outages (event ledger)'!$E$2:$E$65,"&lt;="&amp;$B170,'Outages (event ledger)'!$G$2:$G$65,"&gt;="&amp;$B170)</f>
        <v>0</v>
      </c>
      <c r="AQ170" s="29" t="n">
        <f aca="false">SUMIFS('Outages (event ledger)'!$H$2:$H$65,'Outages (event ledger)'!$A$2:$A$65,AQ$2,'Outages (event ledger)'!$E$2:$E$65,"&lt;="&amp;$B170,'Outages (event ledger)'!$G$2:$G$65,"&gt;="&amp;$B170)</f>
        <v>0</v>
      </c>
      <c r="AR170" s="29" t="n">
        <f aca="false">SUMIFS('Outages (event ledger)'!$H$2:$H$65,'Outages (event ledger)'!$A$2:$A$65,AR$2,'Outages (event ledger)'!$E$2:$E$65,"&lt;="&amp;$B170,'Outages (event ledger)'!$G$2:$G$65,"&gt;="&amp;$B170)</f>
        <v>0</v>
      </c>
      <c r="AS170" s="29" t="n">
        <f aca="false">SUMIFS('Outages (event ledger)'!$H$2:$H$65,'Outages (event ledger)'!$A$2:$A$65,AS$2,'Outages (event ledger)'!$E$2:$E$65,"&lt;="&amp;$B170,'Outages (event ledger)'!$G$2:$G$65,"&gt;="&amp;$B170)</f>
        <v>0</v>
      </c>
      <c r="AT170" s="29" t="n">
        <f aca="false">SUMIFS('Outages (event ledger)'!$H$2:$H$65,'Outages (event ledger)'!$A$2:$A$65,AT$2,'Outages (event ledger)'!$E$2:$E$65,"&lt;="&amp;$B170,'Outages (event ledger)'!$G$2:$G$65,"&gt;="&amp;$B170)</f>
        <v>0</v>
      </c>
      <c r="AU170" s="29" t="n">
        <f aca="false">SUMIFS('Outages (event ledger)'!$H$2:$H$65,'Outages (event ledger)'!$A$2:$A$65,AU$2,'Outages (event ledger)'!$E$2:$E$65,"&lt;="&amp;$B170,'Outages (event ledger)'!$G$2:$G$65,"&gt;="&amp;$B170)</f>
        <v>0</v>
      </c>
      <c r="AV170" s="29" t="n">
        <f aca="false">SUMIFS('Outages (event ledger)'!$H$2:$H$65,'Outages (event ledger)'!$A$2:$A$65,AV$2,'Outages (event ledger)'!$E$2:$E$65,"&lt;="&amp;$B170,'Outages (event ledger)'!$G$2:$G$65,"&gt;="&amp;$B170)</f>
        <v>0</v>
      </c>
      <c r="AW170" s="29" t="n">
        <f aca="false">SUMIFS('Outages (event ledger)'!$H$2:$H$65,'Outages (event ledger)'!$A$2:$A$65,AW$2,'Outages (event ledger)'!$E$2:$E$65,"&lt;="&amp;$B170,'Outages (event ledger)'!$G$2:$G$65,"&gt;="&amp;$B170)</f>
        <v>0</v>
      </c>
      <c r="AX170" s="29" t="n">
        <f aca="false">SUMIFS('Outages (event ledger)'!$H$2:$H$65,'Outages (event ledger)'!$A$2:$A$65,AX$2,'Outages (event ledger)'!$E$2:$E$65,"&lt;="&amp;$B170,'Outages (event ledger)'!$G$2:$G$65,"&gt;="&amp;$B170)</f>
        <v>6.6</v>
      </c>
      <c r="AY170" s="29" t="n">
        <f aca="false">SUMIFS('Outages (event ledger)'!$H$2:$H$65,'Outages (event ledger)'!$A$2:$A$65,AY$2,'Outages (event ledger)'!$E$2:$E$65,"&lt;="&amp;$B170,'Outages (event ledger)'!$G$2:$G$65,"&gt;="&amp;$B170)</f>
        <v>0</v>
      </c>
      <c r="AZ170" s="29" t="n">
        <f aca="false">SUMIFS('Outages (event ledger)'!$H$2:$H$65,'Outages (event ledger)'!$A$2:$A$65,AZ$2,'Outages (event ledger)'!$E$2:$E$65,"&lt;="&amp;$B170,'Outages (event ledger)'!$G$2:$G$65,"&gt;="&amp;$B170)</f>
        <v>2</v>
      </c>
      <c r="BA170" s="29" t="n">
        <f aca="false">SUMIFS('Outages (event ledger)'!$H$2:$H$65,'Outages (event ledger)'!$A$2:$A$65,BA$2,'Outages (event ledger)'!$E$2:$E$65,"&lt;="&amp;$B170,'Outages (event ledger)'!$G$2:$G$65,"&gt;="&amp;$B170)</f>
        <v>0</v>
      </c>
      <c r="BB170" s="29" t="n">
        <f aca="false">SUMIFS('Outages (event ledger)'!$H$2:$H$65,'Outages (event ledger)'!$A$2:$A$65,BB$2,'Outages (event ledger)'!$E$2:$E$65,"&lt;="&amp;$B170,'Outages (event ledger)'!$G$2:$G$65,"&gt;="&amp;$B170)</f>
        <v>0</v>
      </c>
      <c r="BC170" s="29" t="n">
        <f aca="false">SUMIFS('Outages (event ledger)'!$H$2:$H$65,'Outages (event ledger)'!$A$2:$A$65,BC$2,'Outages (event ledger)'!$E$2:$E$65,"&lt;="&amp;$B170,'Outages (event ledger)'!$G$2:$G$65,"&gt;="&amp;$B170)</f>
        <v>0</v>
      </c>
      <c r="BD170" s="29" t="n">
        <f aca="false">SUMIFS('Outages (event ledger)'!$H$2:$H$65,'Outages (event ledger)'!$A$2:$A$65,BD$2,'Outages (event ledger)'!$E$2:$E$65,"&lt;="&amp;$B170,'Outages (event ledger)'!$G$2:$G$65,"&gt;="&amp;$B170)</f>
        <v>0</v>
      </c>
      <c r="BE170" s="29" t="n">
        <f aca="false">SUMIFS('Outages (event ledger)'!$H$2:$H$65,'Outages (event ledger)'!$A$2:$A$65,BE$2,'Outages (event ledger)'!$E$2:$E$65,"&lt;="&amp;$B170,'Outages (event ledger)'!$G$2:$G$65,"&gt;="&amp;$B170)</f>
        <v>0</v>
      </c>
      <c r="BF170" s="29" t="n">
        <f aca="false">SUMIFS('Outages (event ledger)'!$H$2:$H$65,'Outages (event ledger)'!$A$2:$A$65,BF$2,'Outages (event ledger)'!$E$2:$E$65,"&lt;="&amp;$B170,'Outages (event ledger)'!$G$2:$G$65,"&gt;="&amp;$B170)</f>
        <v>0</v>
      </c>
      <c r="BG170" s="29" t="n">
        <f aca="false">SUMIFS('Outages (event ledger)'!$H$2:$H$65,'Outages (event ledger)'!$A$2:$A$65,BG$2,'Outages (event ledger)'!$E$2:$E$65,"&lt;="&amp;$B170,'Outages (event ledger)'!$G$2:$G$65,"&gt;="&amp;$B170)</f>
        <v>0</v>
      </c>
      <c r="BH170" s="29" t="n">
        <f aca="false">SUMIFS('Outages (event ledger)'!$H$2:$H$65,'Outages (event ledger)'!$A$2:$A$65,BH$2,'Outages (event ledger)'!$E$2:$E$65,"&lt;="&amp;$B170,'Outages (event ledger)'!$G$2:$G$65,"&gt;="&amp;$B170)</f>
        <v>0</v>
      </c>
      <c r="BI170" s="29" t="n">
        <f aca="false">SUMIFS('Outages (event ledger)'!$H$2:$H$65,'Outages (event ledger)'!$A$2:$A$65,BI$2,'Outages (event ledger)'!$E$2:$E$65,"&lt;="&amp;$B170,'Outages (event ledger)'!$G$2:$G$65,"&gt;="&amp;$B170)</f>
        <v>6.7</v>
      </c>
    </row>
    <row r="171" customFormat="false" ht="15" hidden="false" customHeight="false" outlineLevel="0" collapsed="false">
      <c r="A171" s="23" t="n">
        <v>45292</v>
      </c>
      <c r="B171" s="24" t="n">
        <v>202401</v>
      </c>
      <c r="C171" s="25" t="n">
        <f aca="false">SUM(D171:BI171)</f>
        <v>27.8</v>
      </c>
      <c r="D171" s="26" t="n">
        <f aca="false">SUMIFS('Outages (event ledger)'!$H$2:$H$65,'Outages (event ledger)'!$A$2:$A$65,D$2,'Outages (event ledger)'!$E$2:$E$65,"&lt;="&amp;$B171,'Outages (event ledger)'!$G$2:$G$65,"&gt;="&amp;$B171)</f>
        <v>0</v>
      </c>
      <c r="E171" s="26" t="n">
        <f aca="false">SUMIFS('Outages (event ledger)'!$H$2:$H$65,'Outages (event ledger)'!$A$2:$A$65,E$2,'Outages (event ledger)'!$E$2:$E$65,"&lt;="&amp;$B171,'Outages (event ledger)'!$G$2:$G$65,"&gt;="&amp;$B171)</f>
        <v>0</v>
      </c>
      <c r="F171" s="26" t="n">
        <f aca="false">SUMIFS('Outages (event ledger)'!$H$2:$H$65,'Outages (event ledger)'!$A$2:$A$65,F$2,'Outages (event ledger)'!$E$2:$E$65,"&lt;="&amp;$B171,'Outages (event ledger)'!$G$2:$G$65,"&gt;="&amp;$B171)</f>
        <v>0</v>
      </c>
      <c r="G171" s="26" t="n">
        <f aca="false">SUMIFS('Outages (event ledger)'!$H$2:$H$65,'Outages (event ledger)'!$A$2:$A$65,G$2,'Outages (event ledger)'!$E$2:$E$65,"&lt;="&amp;$B171,'Outages (event ledger)'!$G$2:$G$65,"&gt;="&amp;$B171)</f>
        <v>0</v>
      </c>
      <c r="H171" s="26" t="n">
        <f aca="false">SUMIFS('Outages (event ledger)'!$H$2:$H$65,'Outages (event ledger)'!$A$2:$A$65,H$2,'Outages (event ledger)'!$E$2:$E$65,"&lt;="&amp;$B171,'Outages (event ledger)'!$G$2:$G$65,"&gt;="&amp;$B171)</f>
        <v>0</v>
      </c>
      <c r="I171" s="26" t="n">
        <f aca="false">SUMIFS('Outages (event ledger)'!$H$2:$H$65,'Outages (event ledger)'!$A$2:$A$65,I$2,'Outages (event ledger)'!$E$2:$E$65,"&lt;="&amp;$B171,'Outages (event ledger)'!$G$2:$G$65,"&gt;="&amp;$B171)</f>
        <v>0</v>
      </c>
      <c r="J171" s="26" t="n">
        <f aca="false">SUMIFS('Outages (event ledger)'!$H$2:$H$65,'Outages (event ledger)'!$A$2:$A$65,J$2,'Outages (event ledger)'!$E$2:$E$65,"&lt;="&amp;$B171,'Outages (event ledger)'!$G$2:$G$65,"&gt;="&amp;$B171)</f>
        <v>0</v>
      </c>
      <c r="K171" s="26" t="n">
        <f aca="false">SUMIFS('Outages (event ledger)'!$H$2:$H$65,'Outages (event ledger)'!$A$2:$A$65,K$2,'Outages (event ledger)'!$E$2:$E$65,"&lt;="&amp;$B171,'Outages (event ledger)'!$G$2:$G$65,"&gt;="&amp;$B171)</f>
        <v>0</v>
      </c>
      <c r="L171" s="26" t="n">
        <f aca="false">SUMIFS('Outages (event ledger)'!$H$2:$H$65,'Outages (event ledger)'!$A$2:$A$65,L$2,'Outages (event ledger)'!$E$2:$E$65,"&lt;="&amp;$B171,'Outages (event ledger)'!$G$2:$G$65,"&gt;="&amp;$B171)</f>
        <v>0</v>
      </c>
      <c r="M171" s="26" t="n">
        <f aca="false">SUMIFS('Outages (event ledger)'!$H$2:$H$65,'Outages (event ledger)'!$A$2:$A$65,M$2,'Outages (event ledger)'!$E$2:$E$65,"&lt;="&amp;$B171,'Outages (event ledger)'!$G$2:$G$65,"&gt;="&amp;$B171)</f>
        <v>0</v>
      </c>
      <c r="N171" s="26" t="n">
        <f aca="false">SUMIFS('Outages (event ledger)'!$H$2:$H$65,'Outages (event ledger)'!$A$2:$A$65,N$2,'Outages (event ledger)'!$E$2:$E$65,"&lt;="&amp;$B171,'Outages (event ledger)'!$G$2:$G$65,"&gt;="&amp;$B171)</f>
        <v>0</v>
      </c>
      <c r="O171" s="26" t="n">
        <f aca="false">SUMIFS('Outages (event ledger)'!$H$2:$H$65,'Outages (event ledger)'!$A$2:$A$65,O$2,'Outages (event ledger)'!$E$2:$E$65,"&lt;="&amp;$B171,'Outages (event ledger)'!$G$2:$G$65,"&gt;="&amp;$B171)</f>
        <v>0</v>
      </c>
      <c r="P171" s="26" t="n">
        <f aca="false">SUMIFS('Outages (event ledger)'!$H$2:$H$65,'Outages (event ledger)'!$A$2:$A$65,P$2,'Outages (event ledger)'!$E$2:$E$65,"&lt;="&amp;$B171,'Outages (event ledger)'!$G$2:$G$65,"&gt;="&amp;$B171)</f>
        <v>0</v>
      </c>
      <c r="Q171" s="26" t="n">
        <f aca="false">SUMIFS('Outages (event ledger)'!$H$2:$H$65,'Outages (event ledger)'!$A$2:$A$65,Q$2,'Outages (event ledger)'!$E$2:$E$65,"&lt;="&amp;$B171,'Outages (event ledger)'!$G$2:$G$65,"&gt;="&amp;$B171)</f>
        <v>0</v>
      </c>
      <c r="R171" s="26" t="n">
        <f aca="false">SUMIFS('Outages (event ledger)'!$H$2:$H$65,'Outages (event ledger)'!$A$2:$A$65,R$2,'Outages (event ledger)'!$E$2:$E$65,"&lt;="&amp;$B171,'Outages (event ledger)'!$G$2:$G$65,"&gt;="&amp;$B171)</f>
        <v>0</v>
      </c>
      <c r="S171" s="26" t="n">
        <f aca="false">SUMIFS('Outages (event ledger)'!$H$2:$H$65,'Outages (event ledger)'!$A$2:$A$65,S$2,'Outages (event ledger)'!$E$2:$E$65,"&lt;="&amp;$B171,'Outages (event ledger)'!$G$2:$G$65,"&gt;="&amp;$B171)</f>
        <v>0</v>
      </c>
      <c r="T171" s="26" t="n">
        <f aca="false">SUMIFS('Outages (event ledger)'!$H$2:$H$65,'Outages (event ledger)'!$A$2:$A$65,T$2,'Outages (event ledger)'!$E$2:$E$65,"&lt;="&amp;$B171,'Outages (event ledger)'!$G$2:$G$65,"&gt;="&amp;$B171)</f>
        <v>0</v>
      </c>
      <c r="U171" s="26" t="n">
        <f aca="false">SUMIFS('Outages (event ledger)'!$H$2:$H$65,'Outages (event ledger)'!$A$2:$A$65,U$2,'Outages (event ledger)'!$E$2:$E$65,"&lt;="&amp;$B171,'Outages (event ledger)'!$G$2:$G$65,"&gt;="&amp;$B171)</f>
        <v>0</v>
      </c>
      <c r="V171" s="26" t="n">
        <f aca="false">SUMIFS('Outages (event ledger)'!$H$2:$H$65,'Outages (event ledger)'!$A$2:$A$65,V$2,'Outages (event ledger)'!$E$2:$E$65,"&lt;="&amp;$B171,'Outages (event ledger)'!$G$2:$G$65,"&gt;="&amp;$B171)</f>
        <v>0</v>
      </c>
      <c r="W171" s="26" t="n">
        <f aca="false">SUMIFS('Outages (event ledger)'!$H$2:$H$65,'Outages (event ledger)'!$A$2:$A$65,W$2,'Outages (event ledger)'!$E$2:$E$65,"&lt;="&amp;$B171,'Outages (event ledger)'!$G$2:$G$65,"&gt;="&amp;$B171)</f>
        <v>0</v>
      </c>
      <c r="X171" s="26" t="n">
        <f aca="false">SUMIFS('Outages (event ledger)'!$H$2:$H$65,'Outages (event ledger)'!$A$2:$A$65,X$2,'Outages (event ledger)'!$E$2:$E$65,"&lt;="&amp;$B171,'Outages (event ledger)'!$G$2:$G$65,"&gt;="&amp;$B171)</f>
        <v>0</v>
      </c>
      <c r="Y171" s="26" t="n">
        <f aca="false">SUMIFS('Outages (event ledger)'!$H$2:$H$65,'Outages (event ledger)'!$A$2:$A$65,Y$2,'Outages (event ledger)'!$E$2:$E$65,"&lt;="&amp;$B171,'Outages (event ledger)'!$G$2:$G$65,"&gt;="&amp;$B171)</f>
        <v>0</v>
      </c>
      <c r="Z171" s="26" t="n">
        <f aca="false">SUMIFS('Outages (event ledger)'!$H$2:$H$65,'Outages (event ledger)'!$A$2:$A$65,Z$2,'Outages (event ledger)'!$E$2:$E$65,"&lt;="&amp;$B171,'Outages (event ledger)'!$G$2:$G$65,"&gt;="&amp;$B171)</f>
        <v>0</v>
      </c>
      <c r="AA171" s="26" t="n">
        <f aca="false">SUMIFS('Outages (event ledger)'!$H$2:$H$65,'Outages (event ledger)'!$A$2:$A$65,AA$2,'Outages (event ledger)'!$E$2:$E$65,"&lt;="&amp;$B171,'Outages (event ledger)'!$G$2:$G$65,"&gt;="&amp;$B171)</f>
        <v>2</v>
      </c>
      <c r="AB171" s="26" t="n">
        <f aca="false">SUMIFS('Outages (event ledger)'!$H$2:$H$65,'Outages (event ledger)'!$A$2:$A$65,AB$2,'Outages (event ledger)'!$E$2:$E$65,"&lt;="&amp;$B171,'Outages (event ledger)'!$G$2:$G$65,"&gt;="&amp;$B171)</f>
        <v>8</v>
      </c>
      <c r="AC171" s="26" t="n">
        <f aca="false">SUMIFS('Outages (event ledger)'!$H$2:$H$65,'Outages (event ledger)'!$A$2:$A$65,AC$2,'Outages (event ledger)'!$E$2:$E$65,"&lt;="&amp;$B171,'Outages (event ledger)'!$G$2:$G$65,"&gt;="&amp;$B171)</f>
        <v>0</v>
      </c>
      <c r="AD171" s="26" t="n">
        <f aca="false">SUMIFS('Outages (event ledger)'!$H$2:$H$65,'Outages (event ledger)'!$A$2:$A$65,AD$2,'Outages (event ledger)'!$E$2:$E$65,"&lt;="&amp;$B171,'Outages (event ledger)'!$G$2:$G$65,"&gt;="&amp;$B171)</f>
        <v>0</v>
      </c>
      <c r="AE171" s="26" t="n">
        <f aca="false">SUMIFS('Outages (event ledger)'!$H$2:$H$65,'Outages (event ledger)'!$A$2:$A$65,AE$2,'Outages (event ledger)'!$E$2:$E$65,"&lt;="&amp;$B171,'Outages (event ledger)'!$G$2:$G$65,"&gt;="&amp;$B171)</f>
        <v>2.5</v>
      </c>
      <c r="AF171" s="26" t="n">
        <f aca="false">SUMIFS('Outages (event ledger)'!$H$2:$H$65,'Outages (event ledger)'!$A$2:$A$65,AF$2,'Outages (event ledger)'!$E$2:$E$65,"&lt;="&amp;$B171,'Outages (event ledger)'!$G$2:$G$65,"&gt;="&amp;$B171)</f>
        <v>0</v>
      </c>
      <c r="AG171" s="26" t="n">
        <f aca="false">SUMIFS('Outages (event ledger)'!$H$2:$H$65,'Outages (event ledger)'!$A$2:$A$65,AG$2,'Outages (event ledger)'!$E$2:$E$65,"&lt;="&amp;$B171,'Outages (event ledger)'!$G$2:$G$65,"&gt;="&amp;$B171)</f>
        <v>0</v>
      </c>
      <c r="AH171" s="26" t="n">
        <f aca="false">SUMIFS('Outages (event ledger)'!$H$2:$H$65,'Outages (event ledger)'!$A$2:$A$65,AH$2,'Outages (event ledger)'!$E$2:$E$65,"&lt;="&amp;$B171,'Outages (event ledger)'!$G$2:$G$65,"&gt;="&amp;$B171)</f>
        <v>0</v>
      </c>
      <c r="AI171" s="26" t="n">
        <f aca="false">SUMIFS('Outages (event ledger)'!$H$2:$H$65,'Outages (event ledger)'!$A$2:$A$65,AI$2,'Outages (event ledger)'!$E$2:$E$65,"&lt;="&amp;$B171,'Outages (event ledger)'!$G$2:$G$65,"&gt;="&amp;$B171)</f>
        <v>0</v>
      </c>
      <c r="AJ171" s="26" t="n">
        <f aca="false">SUMIFS('Outages (event ledger)'!$H$2:$H$65,'Outages (event ledger)'!$A$2:$A$65,AJ$2,'Outages (event ledger)'!$E$2:$E$65,"&lt;="&amp;$B171,'Outages (event ledger)'!$G$2:$G$65,"&gt;="&amp;$B171)</f>
        <v>0</v>
      </c>
      <c r="AK171" s="26" t="n">
        <f aca="false">SUMIFS('Outages (event ledger)'!$H$2:$H$65,'Outages (event ledger)'!$A$2:$A$65,AK$2,'Outages (event ledger)'!$E$2:$E$65,"&lt;="&amp;$B171,'Outages (event ledger)'!$G$2:$G$65,"&gt;="&amp;$B171)</f>
        <v>0</v>
      </c>
      <c r="AL171" s="26" t="n">
        <f aca="false">SUMIFS('Outages (event ledger)'!$H$2:$H$65,'Outages (event ledger)'!$A$2:$A$65,AL$2,'Outages (event ledger)'!$E$2:$E$65,"&lt;="&amp;$B171,'Outages (event ledger)'!$G$2:$G$65,"&gt;="&amp;$B171)</f>
        <v>0</v>
      </c>
      <c r="AM171" s="26" t="n">
        <f aca="false">SUMIFS('Outages (event ledger)'!$H$2:$H$65,'Outages (event ledger)'!$A$2:$A$65,AM$2,'Outages (event ledger)'!$E$2:$E$65,"&lt;="&amp;$B171,'Outages (event ledger)'!$G$2:$G$65,"&gt;="&amp;$B171)</f>
        <v>0</v>
      </c>
      <c r="AN171" s="26" t="n">
        <f aca="false">SUMIFS('Outages (event ledger)'!$H$2:$H$65,'Outages (event ledger)'!$A$2:$A$65,AN$2,'Outages (event ledger)'!$E$2:$E$65,"&lt;="&amp;$B171,'Outages (event ledger)'!$G$2:$G$65,"&gt;="&amp;$B171)</f>
        <v>0</v>
      </c>
      <c r="AO171" s="26" t="n">
        <f aca="false">SUMIFS('Outages (event ledger)'!$H$2:$H$65,'Outages (event ledger)'!$A$2:$A$65,AO$2,'Outages (event ledger)'!$E$2:$E$65,"&lt;="&amp;$B171,'Outages (event ledger)'!$G$2:$G$65,"&gt;="&amp;$B171)</f>
        <v>0</v>
      </c>
      <c r="AP171" s="26" t="n">
        <f aca="false">SUMIFS('Outages (event ledger)'!$H$2:$H$65,'Outages (event ledger)'!$A$2:$A$65,AP$2,'Outages (event ledger)'!$E$2:$E$65,"&lt;="&amp;$B171,'Outages (event ledger)'!$G$2:$G$65,"&gt;="&amp;$B171)</f>
        <v>0</v>
      </c>
      <c r="AQ171" s="26" t="n">
        <f aca="false">SUMIFS('Outages (event ledger)'!$H$2:$H$65,'Outages (event ledger)'!$A$2:$A$65,AQ$2,'Outages (event ledger)'!$E$2:$E$65,"&lt;="&amp;$B171,'Outages (event ledger)'!$G$2:$G$65,"&gt;="&amp;$B171)</f>
        <v>0</v>
      </c>
      <c r="AR171" s="26" t="n">
        <f aca="false">SUMIFS('Outages (event ledger)'!$H$2:$H$65,'Outages (event ledger)'!$A$2:$A$65,AR$2,'Outages (event ledger)'!$E$2:$E$65,"&lt;="&amp;$B171,'Outages (event ledger)'!$G$2:$G$65,"&gt;="&amp;$B171)</f>
        <v>0</v>
      </c>
      <c r="AS171" s="26" t="n">
        <f aca="false">SUMIFS('Outages (event ledger)'!$H$2:$H$65,'Outages (event ledger)'!$A$2:$A$65,AS$2,'Outages (event ledger)'!$E$2:$E$65,"&lt;="&amp;$B171,'Outages (event ledger)'!$G$2:$G$65,"&gt;="&amp;$B171)</f>
        <v>0</v>
      </c>
      <c r="AT171" s="26" t="n">
        <f aca="false">SUMIFS('Outages (event ledger)'!$H$2:$H$65,'Outages (event ledger)'!$A$2:$A$65,AT$2,'Outages (event ledger)'!$E$2:$E$65,"&lt;="&amp;$B171,'Outages (event ledger)'!$G$2:$G$65,"&gt;="&amp;$B171)</f>
        <v>0</v>
      </c>
      <c r="AU171" s="26" t="n">
        <f aca="false">SUMIFS('Outages (event ledger)'!$H$2:$H$65,'Outages (event ledger)'!$A$2:$A$65,AU$2,'Outages (event ledger)'!$E$2:$E$65,"&lt;="&amp;$B171,'Outages (event ledger)'!$G$2:$G$65,"&gt;="&amp;$B171)</f>
        <v>0</v>
      </c>
      <c r="AV171" s="26" t="n">
        <f aca="false">SUMIFS('Outages (event ledger)'!$H$2:$H$65,'Outages (event ledger)'!$A$2:$A$65,AV$2,'Outages (event ledger)'!$E$2:$E$65,"&lt;="&amp;$B171,'Outages (event ledger)'!$G$2:$G$65,"&gt;="&amp;$B171)</f>
        <v>0</v>
      </c>
      <c r="AW171" s="26" t="n">
        <f aca="false">SUMIFS('Outages (event ledger)'!$H$2:$H$65,'Outages (event ledger)'!$A$2:$A$65,AW$2,'Outages (event ledger)'!$E$2:$E$65,"&lt;="&amp;$B171,'Outages (event ledger)'!$G$2:$G$65,"&gt;="&amp;$B171)</f>
        <v>0</v>
      </c>
      <c r="AX171" s="26" t="n">
        <f aca="false">SUMIFS('Outages (event ledger)'!$H$2:$H$65,'Outages (event ledger)'!$A$2:$A$65,AX$2,'Outages (event ledger)'!$E$2:$E$65,"&lt;="&amp;$B171,'Outages (event ledger)'!$G$2:$G$65,"&gt;="&amp;$B171)</f>
        <v>6.6</v>
      </c>
      <c r="AY171" s="26" t="n">
        <f aca="false">SUMIFS('Outages (event ledger)'!$H$2:$H$65,'Outages (event ledger)'!$A$2:$A$65,AY$2,'Outages (event ledger)'!$E$2:$E$65,"&lt;="&amp;$B171,'Outages (event ledger)'!$G$2:$G$65,"&gt;="&amp;$B171)</f>
        <v>0</v>
      </c>
      <c r="AZ171" s="26" t="n">
        <f aca="false">SUMIFS('Outages (event ledger)'!$H$2:$H$65,'Outages (event ledger)'!$A$2:$A$65,AZ$2,'Outages (event ledger)'!$E$2:$E$65,"&lt;="&amp;$B171,'Outages (event ledger)'!$G$2:$G$65,"&gt;="&amp;$B171)</f>
        <v>2</v>
      </c>
      <c r="BA171" s="26" t="n">
        <f aca="false">SUMIFS('Outages (event ledger)'!$H$2:$H$65,'Outages (event ledger)'!$A$2:$A$65,BA$2,'Outages (event ledger)'!$E$2:$E$65,"&lt;="&amp;$B171,'Outages (event ledger)'!$G$2:$G$65,"&gt;="&amp;$B171)</f>
        <v>0</v>
      </c>
      <c r="BB171" s="26" t="n">
        <f aca="false">SUMIFS('Outages (event ledger)'!$H$2:$H$65,'Outages (event ledger)'!$A$2:$A$65,BB$2,'Outages (event ledger)'!$E$2:$E$65,"&lt;="&amp;$B171,'Outages (event ledger)'!$G$2:$G$65,"&gt;="&amp;$B171)</f>
        <v>0</v>
      </c>
      <c r="BC171" s="26" t="n">
        <f aca="false">SUMIFS('Outages (event ledger)'!$H$2:$H$65,'Outages (event ledger)'!$A$2:$A$65,BC$2,'Outages (event ledger)'!$E$2:$E$65,"&lt;="&amp;$B171,'Outages (event ledger)'!$G$2:$G$65,"&gt;="&amp;$B171)</f>
        <v>0</v>
      </c>
      <c r="BD171" s="26" t="n">
        <f aca="false">SUMIFS('Outages (event ledger)'!$H$2:$H$65,'Outages (event ledger)'!$A$2:$A$65,BD$2,'Outages (event ledger)'!$E$2:$E$65,"&lt;="&amp;$B171,'Outages (event ledger)'!$G$2:$G$65,"&gt;="&amp;$B171)</f>
        <v>0</v>
      </c>
      <c r="BE171" s="26" t="n">
        <f aca="false">SUMIFS('Outages (event ledger)'!$H$2:$H$65,'Outages (event ledger)'!$A$2:$A$65,BE$2,'Outages (event ledger)'!$E$2:$E$65,"&lt;="&amp;$B171,'Outages (event ledger)'!$G$2:$G$65,"&gt;="&amp;$B171)</f>
        <v>0</v>
      </c>
      <c r="BF171" s="26" t="n">
        <f aca="false">SUMIFS('Outages (event ledger)'!$H$2:$H$65,'Outages (event ledger)'!$A$2:$A$65,BF$2,'Outages (event ledger)'!$E$2:$E$65,"&lt;="&amp;$B171,'Outages (event ledger)'!$G$2:$G$65,"&gt;="&amp;$B171)</f>
        <v>0</v>
      </c>
      <c r="BG171" s="26" t="n">
        <f aca="false">SUMIFS('Outages (event ledger)'!$H$2:$H$65,'Outages (event ledger)'!$A$2:$A$65,BG$2,'Outages (event ledger)'!$E$2:$E$65,"&lt;="&amp;$B171,'Outages (event ledger)'!$G$2:$G$65,"&gt;="&amp;$B171)</f>
        <v>0</v>
      </c>
      <c r="BH171" s="26" t="n">
        <f aca="false">SUMIFS('Outages (event ledger)'!$H$2:$H$65,'Outages (event ledger)'!$A$2:$A$65,BH$2,'Outages (event ledger)'!$E$2:$E$65,"&lt;="&amp;$B171,'Outages (event ledger)'!$G$2:$G$65,"&gt;="&amp;$B171)</f>
        <v>0</v>
      </c>
      <c r="BI171" s="26" t="n">
        <f aca="false">SUMIFS('Outages (event ledger)'!$H$2:$H$65,'Outages (event ledger)'!$A$2:$A$65,BI$2,'Outages (event ledger)'!$E$2:$E$65,"&lt;="&amp;$B171,'Outages (event ledger)'!$G$2:$G$65,"&gt;="&amp;$B171)</f>
        <v>6.7</v>
      </c>
    </row>
    <row r="172" customFormat="false" ht="15" hidden="false" customHeight="false" outlineLevel="0" collapsed="false">
      <c r="A172" s="23" t="n">
        <v>45323</v>
      </c>
      <c r="B172" s="24" t="n">
        <v>202402</v>
      </c>
      <c r="C172" s="25" t="n">
        <f aca="false">SUM(D172:BI172)</f>
        <v>27.8</v>
      </c>
      <c r="D172" s="26" t="n">
        <f aca="false">SUMIFS('Outages (event ledger)'!$H$2:$H$65,'Outages (event ledger)'!$A$2:$A$65,D$2,'Outages (event ledger)'!$E$2:$E$65,"&lt;="&amp;$B172,'Outages (event ledger)'!$G$2:$G$65,"&gt;="&amp;$B172)</f>
        <v>0</v>
      </c>
      <c r="E172" s="26" t="n">
        <f aca="false">SUMIFS('Outages (event ledger)'!$H$2:$H$65,'Outages (event ledger)'!$A$2:$A$65,E$2,'Outages (event ledger)'!$E$2:$E$65,"&lt;="&amp;$B172,'Outages (event ledger)'!$G$2:$G$65,"&gt;="&amp;$B172)</f>
        <v>0</v>
      </c>
      <c r="F172" s="26" t="n">
        <f aca="false">SUMIFS('Outages (event ledger)'!$H$2:$H$65,'Outages (event ledger)'!$A$2:$A$65,F$2,'Outages (event ledger)'!$E$2:$E$65,"&lt;="&amp;$B172,'Outages (event ledger)'!$G$2:$G$65,"&gt;="&amp;$B172)</f>
        <v>0</v>
      </c>
      <c r="G172" s="26" t="n">
        <f aca="false">SUMIFS('Outages (event ledger)'!$H$2:$H$65,'Outages (event ledger)'!$A$2:$A$65,G$2,'Outages (event ledger)'!$E$2:$E$65,"&lt;="&amp;$B172,'Outages (event ledger)'!$G$2:$G$65,"&gt;="&amp;$B172)</f>
        <v>0</v>
      </c>
      <c r="H172" s="26" t="n">
        <f aca="false">SUMIFS('Outages (event ledger)'!$H$2:$H$65,'Outages (event ledger)'!$A$2:$A$65,H$2,'Outages (event ledger)'!$E$2:$E$65,"&lt;="&amp;$B172,'Outages (event ledger)'!$G$2:$G$65,"&gt;="&amp;$B172)</f>
        <v>0</v>
      </c>
      <c r="I172" s="26" t="n">
        <f aca="false">SUMIFS('Outages (event ledger)'!$H$2:$H$65,'Outages (event ledger)'!$A$2:$A$65,I$2,'Outages (event ledger)'!$E$2:$E$65,"&lt;="&amp;$B172,'Outages (event ledger)'!$G$2:$G$65,"&gt;="&amp;$B172)</f>
        <v>0</v>
      </c>
      <c r="J172" s="26" t="n">
        <f aca="false">SUMIFS('Outages (event ledger)'!$H$2:$H$65,'Outages (event ledger)'!$A$2:$A$65,J$2,'Outages (event ledger)'!$E$2:$E$65,"&lt;="&amp;$B172,'Outages (event ledger)'!$G$2:$G$65,"&gt;="&amp;$B172)</f>
        <v>0</v>
      </c>
      <c r="K172" s="26" t="n">
        <f aca="false">SUMIFS('Outages (event ledger)'!$H$2:$H$65,'Outages (event ledger)'!$A$2:$A$65,K$2,'Outages (event ledger)'!$E$2:$E$65,"&lt;="&amp;$B172,'Outages (event ledger)'!$G$2:$G$65,"&gt;="&amp;$B172)</f>
        <v>0</v>
      </c>
      <c r="L172" s="26" t="n">
        <f aca="false">SUMIFS('Outages (event ledger)'!$H$2:$H$65,'Outages (event ledger)'!$A$2:$A$65,L$2,'Outages (event ledger)'!$E$2:$E$65,"&lt;="&amp;$B172,'Outages (event ledger)'!$G$2:$G$65,"&gt;="&amp;$B172)</f>
        <v>0</v>
      </c>
      <c r="M172" s="26" t="n">
        <f aca="false">SUMIFS('Outages (event ledger)'!$H$2:$H$65,'Outages (event ledger)'!$A$2:$A$65,M$2,'Outages (event ledger)'!$E$2:$E$65,"&lt;="&amp;$B172,'Outages (event ledger)'!$G$2:$G$65,"&gt;="&amp;$B172)</f>
        <v>0</v>
      </c>
      <c r="N172" s="26" t="n">
        <f aca="false">SUMIFS('Outages (event ledger)'!$H$2:$H$65,'Outages (event ledger)'!$A$2:$A$65,N$2,'Outages (event ledger)'!$E$2:$E$65,"&lt;="&amp;$B172,'Outages (event ledger)'!$G$2:$G$65,"&gt;="&amp;$B172)</f>
        <v>0</v>
      </c>
      <c r="O172" s="26" t="n">
        <f aca="false">SUMIFS('Outages (event ledger)'!$H$2:$H$65,'Outages (event ledger)'!$A$2:$A$65,O$2,'Outages (event ledger)'!$E$2:$E$65,"&lt;="&amp;$B172,'Outages (event ledger)'!$G$2:$G$65,"&gt;="&amp;$B172)</f>
        <v>0</v>
      </c>
      <c r="P172" s="26" t="n">
        <f aca="false">SUMIFS('Outages (event ledger)'!$H$2:$H$65,'Outages (event ledger)'!$A$2:$A$65,P$2,'Outages (event ledger)'!$E$2:$E$65,"&lt;="&amp;$B172,'Outages (event ledger)'!$G$2:$G$65,"&gt;="&amp;$B172)</f>
        <v>0</v>
      </c>
      <c r="Q172" s="26" t="n">
        <f aca="false">SUMIFS('Outages (event ledger)'!$H$2:$H$65,'Outages (event ledger)'!$A$2:$A$65,Q$2,'Outages (event ledger)'!$E$2:$E$65,"&lt;="&amp;$B172,'Outages (event ledger)'!$G$2:$G$65,"&gt;="&amp;$B172)</f>
        <v>0</v>
      </c>
      <c r="R172" s="26" t="n">
        <f aca="false">SUMIFS('Outages (event ledger)'!$H$2:$H$65,'Outages (event ledger)'!$A$2:$A$65,R$2,'Outages (event ledger)'!$E$2:$E$65,"&lt;="&amp;$B172,'Outages (event ledger)'!$G$2:$G$65,"&gt;="&amp;$B172)</f>
        <v>0</v>
      </c>
      <c r="S172" s="26" t="n">
        <f aca="false">SUMIFS('Outages (event ledger)'!$H$2:$H$65,'Outages (event ledger)'!$A$2:$A$65,S$2,'Outages (event ledger)'!$E$2:$E$65,"&lt;="&amp;$B172,'Outages (event ledger)'!$G$2:$G$65,"&gt;="&amp;$B172)</f>
        <v>0</v>
      </c>
      <c r="T172" s="26" t="n">
        <f aca="false">SUMIFS('Outages (event ledger)'!$H$2:$H$65,'Outages (event ledger)'!$A$2:$A$65,T$2,'Outages (event ledger)'!$E$2:$E$65,"&lt;="&amp;$B172,'Outages (event ledger)'!$G$2:$G$65,"&gt;="&amp;$B172)</f>
        <v>0</v>
      </c>
      <c r="U172" s="26" t="n">
        <f aca="false">SUMIFS('Outages (event ledger)'!$H$2:$H$65,'Outages (event ledger)'!$A$2:$A$65,U$2,'Outages (event ledger)'!$E$2:$E$65,"&lt;="&amp;$B172,'Outages (event ledger)'!$G$2:$G$65,"&gt;="&amp;$B172)</f>
        <v>0</v>
      </c>
      <c r="V172" s="26" t="n">
        <f aca="false">SUMIFS('Outages (event ledger)'!$H$2:$H$65,'Outages (event ledger)'!$A$2:$A$65,V$2,'Outages (event ledger)'!$E$2:$E$65,"&lt;="&amp;$B172,'Outages (event ledger)'!$G$2:$G$65,"&gt;="&amp;$B172)</f>
        <v>0</v>
      </c>
      <c r="W172" s="26" t="n">
        <f aca="false">SUMIFS('Outages (event ledger)'!$H$2:$H$65,'Outages (event ledger)'!$A$2:$A$65,W$2,'Outages (event ledger)'!$E$2:$E$65,"&lt;="&amp;$B172,'Outages (event ledger)'!$G$2:$G$65,"&gt;="&amp;$B172)</f>
        <v>0</v>
      </c>
      <c r="X172" s="26" t="n">
        <f aca="false">SUMIFS('Outages (event ledger)'!$H$2:$H$65,'Outages (event ledger)'!$A$2:$A$65,X$2,'Outages (event ledger)'!$E$2:$E$65,"&lt;="&amp;$B172,'Outages (event ledger)'!$G$2:$G$65,"&gt;="&amp;$B172)</f>
        <v>0</v>
      </c>
      <c r="Y172" s="26" t="n">
        <f aca="false">SUMIFS('Outages (event ledger)'!$H$2:$H$65,'Outages (event ledger)'!$A$2:$A$65,Y$2,'Outages (event ledger)'!$E$2:$E$65,"&lt;="&amp;$B172,'Outages (event ledger)'!$G$2:$G$65,"&gt;="&amp;$B172)</f>
        <v>0</v>
      </c>
      <c r="Z172" s="26" t="n">
        <f aca="false">SUMIFS('Outages (event ledger)'!$H$2:$H$65,'Outages (event ledger)'!$A$2:$A$65,Z$2,'Outages (event ledger)'!$E$2:$E$65,"&lt;="&amp;$B172,'Outages (event ledger)'!$G$2:$G$65,"&gt;="&amp;$B172)</f>
        <v>0</v>
      </c>
      <c r="AA172" s="26" t="n">
        <f aca="false">SUMIFS('Outages (event ledger)'!$H$2:$H$65,'Outages (event ledger)'!$A$2:$A$65,AA$2,'Outages (event ledger)'!$E$2:$E$65,"&lt;="&amp;$B172,'Outages (event ledger)'!$G$2:$G$65,"&gt;="&amp;$B172)</f>
        <v>2</v>
      </c>
      <c r="AB172" s="26" t="n">
        <f aca="false">SUMIFS('Outages (event ledger)'!$H$2:$H$65,'Outages (event ledger)'!$A$2:$A$65,AB$2,'Outages (event ledger)'!$E$2:$E$65,"&lt;="&amp;$B172,'Outages (event ledger)'!$G$2:$G$65,"&gt;="&amp;$B172)</f>
        <v>8</v>
      </c>
      <c r="AC172" s="26" t="n">
        <f aca="false">SUMIFS('Outages (event ledger)'!$H$2:$H$65,'Outages (event ledger)'!$A$2:$A$65,AC$2,'Outages (event ledger)'!$E$2:$E$65,"&lt;="&amp;$B172,'Outages (event ledger)'!$G$2:$G$65,"&gt;="&amp;$B172)</f>
        <v>0</v>
      </c>
      <c r="AD172" s="26" t="n">
        <f aca="false">SUMIFS('Outages (event ledger)'!$H$2:$H$65,'Outages (event ledger)'!$A$2:$A$65,AD$2,'Outages (event ledger)'!$E$2:$E$65,"&lt;="&amp;$B172,'Outages (event ledger)'!$G$2:$G$65,"&gt;="&amp;$B172)</f>
        <v>0</v>
      </c>
      <c r="AE172" s="26" t="n">
        <f aca="false">SUMIFS('Outages (event ledger)'!$H$2:$H$65,'Outages (event ledger)'!$A$2:$A$65,AE$2,'Outages (event ledger)'!$E$2:$E$65,"&lt;="&amp;$B172,'Outages (event ledger)'!$G$2:$G$65,"&gt;="&amp;$B172)</f>
        <v>2.5</v>
      </c>
      <c r="AF172" s="26" t="n">
        <f aca="false">SUMIFS('Outages (event ledger)'!$H$2:$H$65,'Outages (event ledger)'!$A$2:$A$65,AF$2,'Outages (event ledger)'!$E$2:$E$65,"&lt;="&amp;$B172,'Outages (event ledger)'!$G$2:$G$65,"&gt;="&amp;$B172)</f>
        <v>0</v>
      </c>
      <c r="AG172" s="26" t="n">
        <f aca="false">SUMIFS('Outages (event ledger)'!$H$2:$H$65,'Outages (event ledger)'!$A$2:$A$65,AG$2,'Outages (event ledger)'!$E$2:$E$65,"&lt;="&amp;$B172,'Outages (event ledger)'!$G$2:$G$65,"&gt;="&amp;$B172)</f>
        <v>0</v>
      </c>
      <c r="AH172" s="26" t="n">
        <f aca="false">SUMIFS('Outages (event ledger)'!$H$2:$H$65,'Outages (event ledger)'!$A$2:$A$65,AH$2,'Outages (event ledger)'!$E$2:$E$65,"&lt;="&amp;$B172,'Outages (event ledger)'!$G$2:$G$65,"&gt;="&amp;$B172)</f>
        <v>0</v>
      </c>
      <c r="AI172" s="26" t="n">
        <f aca="false">SUMIFS('Outages (event ledger)'!$H$2:$H$65,'Outages (event ledger)'!$A$2:$A$65,AI$2,'Outages (event ledger)'!$E$2:$E$65,"&lt;="&amp;$B172,'Outages (event ledger)'!$G$2:$G$65,"&gt;="&amp;$B172)</f>
        <v>0</v>
      </c>
      <c r="AJ172" s="26" t="n">
        <f aca="false">SUMIFS('Outages (event ledger)'!$H$2:$H$65,'Outages (event ledger)'!$A$2:$A$65,AJ$2,'Outages (event ledger)'!$E$2:$E$65,"&lt;="&amp;$B172,'Outages (event ledger)'!$G$2:$G$65,"&gt;="&amp;$B172)</f>
        <v>0</v>
      </c>
      <c r="AK172" s="26" t="n">
        <f aca="false">SUMIFS('Outages (event ledger)'!$H$2:$H$65,'Outages (event ledger)'!$A$2:$A$65,AK$2,'Outages (event ledger)'!$E$2:$E$65,"&lt;="&amp;$B172,'Outages (event ledger)'!$G$2:$G$65,"&gt;="&amp;$B172)</f>
        <v>0</v>
      </c>
      <c r="AL172" s="26" t="n">
        <f aca="false">SUMIFS('Outages (event ledger)'!$H$2:$H$65,'Outages (event ledger)'!$A$2:$A$65,AL$2,'Outages (event ledger)'!$E$2:$E$65,"&lt;="&amp;$B172,'Outages (event ledger)'!$G$2:$G$65,"&gt;="&amp;$B172)</f>
        <v>0</v>
      </c>
      <c r="AM172" s="26" t="n">
        <f aca="false">SUMIFS('Outages (event ledger)'!$H$2:$H$65,'Outages (event ledger)'!$A$2:$A$65,AM$2,'Outages (event ledger)'!$E$2:$E$65,"&lt;="&amp;$B172,'Outages (event ledger)'!$G$2:$G$65,"&gt;="&amp;$B172)</f>
        <v>0</v>
      </c>
      <c r="AN172" s="26" t="n">
        <f aca="false">SUMIFS('Outages (event ledger)'!$H$2:$H$65,'Outages (event ledger)'!$A$2:$A$65,AN$2,'Outages (event ledger)'!$E$2:$E$65,"&lt;="&amp;$B172,'Outages (event ledger)'!$G$2:$G$65,"&gt;="&amp;$B172)</f>
        <v>0</v>
      </c>
      <c r="AO172" s="26" t="n">
        <f aca="false">SUMIFS('Outages (event ledger)'!$H$2:$H$65,'Outages (event ledger)'!$A$2:$A$65,AO$2,'Outages (event ledger)'!$E$2:$E$65,"&lt;="&amp;$B172,'Outages (event ledger)'!$G$2:$G$65,"&gt;="&amp;$B172)</f>
        <v>0</v>
      </c>
      <c r="AP172" s="26" t="n">
        <f aca="false">SUMIFS('Outages (event ledger)'!$H$2:$H$65,'Outages (event ledger)'!$A$2:$A$65,AP$2,'Outages (event ledger)'!$E$2:$E$65,"&lt;="&amp;$B172,'Outages (event ledger)'!$G$2:$G$65,"&gt;="&amp;$B172)</f>
        <v>0</v>
      </c>
      <c r="AQ172" s="26" t="n">
        <f aca="false">SUMIFS('Outages (event ledger)'!$H$2:$H$65,'Outages (event ledger)'!$A$2:$A$65,AQ$2,'Outages (event ledger)'!$E$2:$E$65,"&lt;="&amp;$B172,'Outages (event ledger)'!$G$2:$G$65,"&gt;="&amp;$B172)</f>
        <v>0</v>
      </c>
      <c r="AR172" s="26" t="n">
        <f aca="false">SUMIFS('Outages (event ledger)'!$H$2:$H$65,'Outages (event ledger)'!$A$2:$A$65,AR$2,'Outages (event ledger)'!$E$2:$E$65,"&lt;="&amp;$B172,'Outages (event ledger)'!$G$2:$G$65,"&gt;="&amp;$B172)</f>
        <v>0</v>
      </c>
      <c r="AS172" s="26" t="n">
        <f aca="false">SUMIFS('Outages (event ledger)'!$H$2:$H$65,'Outages (event ledger)'!$A$2:$A$65,AS$2,'Outages (event ledger)'!$E$2:$E$65,"&lt;="&amp;$B172,'Outages (event ledger)'!$G$2:$G$65,"&gt;="&amp;$B172)</f>
        <v>0</v>
      </c>
      <c r="AT172" s="26" t="n">
        <f aca="false">SUMIFS('Outages (event ledger)'!$H$2:$H$65,'Outages (event ledger)'!$A$2:$A$65,AT$2,'Outages (event ledger)'!$E$2:$E$65,"&lt;="&amp;$B172,'Outages (event ledger)'!$G$2:$G$65,"&gt;="&amp;$B172)</f>
        <v>0</v>
      </c>
      <c r="AU172" s="26" t="n">
        <f aca="false">SUMIFS('Outages (event ledger)'!$H$2:$H$65,'Outages (event ledger)'!$A$2:$A$65,AU$2,'Outages (event ledger)'!$E$2:$E$65,"&lt;="&amp;$B172,'Outages (event ledger)'!$G$2:$G$65,"&gt;="&amp;$B172)</f>
        <v>0</v>
      </c>
      <c r="AV172" s="26" t="n">
        <f aca="false">SUMIFS('Outages (event ledger)'!$H$2:$H$65,'Outages (event ledger)'!$A$2:$A$65,AV$2,'Outages (event ledger)'!$E$2:$E$65,"&lt;="&amp;$B172,'Outages (event ledger)'!$G$2:$G$65,"&gt;="&amp;$B172)</f>
        <v>0</v>
      </c>
      <c r="AW172" s="26" t="n">
        <f aca="false">SUMIFS('Outages (event ledger)'!$H$2:$H$65,'Outages (event ledger)'!$A$2:$A$65,AW$2,'Outages (event ledger)'!$E$2:$E$65,"&lt;="&amp;$B172,'Outages (event ledger)'!$G$2:$G$65,"&gt;="&amp;$B172)</f>
        <v>0</v>
      </c>
      <c r="AX172" s="26" t="n">
        <f aca="false">SUMIFS('Outages (event ledger)'!$H$2:$H$65,'Outages (event ledger)'!$A$2:$A$65,AX$2,'Outages (event ledger)'!$E$2:$E$65,"&lt;="&amp;$B172,'Outages (event ledger)'!$G$2:$G$65,"&gt;="&amp;$B172)</f>
        <v>6.6</v>
      </c>
      <c r="AY172" s="26" t="n">
        <f aca="false">SUMIFS('Outages (event ledger)'!$H$2:$H$65,'Outages (event ledger)'!$A$2:$A$65,AY$2,'Outages (event ledger)'!$E$2:$E$65,"&lt;="&amp;$B172,'Outages (event ledger)'!$G$2:$G$65,"&gt;="&amp;$B172)</f>
        <v>0</v>
      </c>
      <c r="AZ172" s="26" t="n">
        <f aca="false">SUMIFS('Outages (event ledger)'!$H$2:$H$65,'Outages (event ledger)'!$A$2:$A$65,AZ$2,'Outages (event ledger)'!$E$2:$E$65,"&lt;="&amp;$B172,'Outages (event ledger)'!$G$2:$G$65,"&gt;="&amp;$B172)</f>
        <v>2</v>
      </c>
      <c r="BA172" s="26" t="n">
        <f aca="false">SUMIFS('Outages (event ledger)'!$H$2:$H$65,'Outages (event ledger)'!$A$2:$A$65,BA$2,'Outages (event ledger)'!$E$2:$E$65,"&lt;="&amp;$B172,'Outages (event ledger)'!$G$2:$G$65,"&gt;="&amp;$B172)</f>
        <v>0</v>
      </c>
      <c r="BB172" s="26" t="n">
        <f aca="false">SUMIFS('Outages (event ledger)'!$H$2:$H$65,'Outages (event ledger)'!$A$2:$A$65,BB$2,'Outages (event ledger)'!$E$2:$E$65,"&lt;="&amp;$B172,'Outages (event ledger)'!$G$2:$G$65,"&gt;="&amp;$B172)</f>
        <v>0</v>
      </c>
      <c r="BC172" s="26" t="n">
        <f aca="false">SUMIFS('Outages (event ledger)'!$H$2:$H$65,'Outages (event ledger)'!$A$2:$A$65,BC$2,'Outages (event ledger)'!$E$2:$E$65,"&lt;="&amp;$B172,'Outages (event ledger)'!$G$2:$G$65,"&gt;="&amp;$B172)</f>
        <v>0</v>
      </c>
      <c r="BD172" s="26" t="n">
        <f aca="false">SUMIFS('Outages (event ledger)'!$H$2:$H$65,'Outages (event ledger)'!$A$2:$A$65,BD$2,'Outages (event ledger)'!$E$2:$E$65,"&lt;="&amp;$B172,'Outages (event ledger)'!$G$2:$G$65,"&gt;="&amp;$B172)</f>
        <v>0</v>
      </c>
      <c r="BE172" s="26" t="n">
        <f aca="false">SUMIFS('Outages (event ledger)'!$H$2:$H$65,'Outages (event ledger)'!$A$2:$A$65,BE$2,'Outages (event ledger)'!$E$2:$E$65,"&lt;="&amp;$B172,'Outages (event ledger)'!$G$2:$G$65,"&gt;="&amp;$B172)</f>
        <v>0</v>
      </c>
      <c r="BF172" s="26" t="n">
        <f aca="false">SUMIFS('Outages (event ledger)'!$H$2:$H$65,'Outages (event ledger)'!$A$2:$A$65,BF$2,'Outages (event ledger)'!$E$2:$E$65,"&lt;="&amp;$B172,'Outages (event ledger)'!$G$2:$G$65,"&gt;="&amp;$B172)</f>
        <v>0</v>
      </c>
      <c r="BG172" s="26" t="n">
        <f aca="false">SUMIFS('Outages (event ledger)'!$H$2:$H$65,'Outages (event ledger)'!$A$2:$A$65,BG$2,'Outages (event ledger)'!$E$2:$E$65,"&lt;="&amp;$B172,'Outages (event ledger)'!$G$2:$G$65,"&gt;="&amp;$B172)</f>
        <v>0</v>
      </c>
      <c r="BH172" s="26" t="n">
        <f aca="false">SUMIFS('Outages (event ledger)'!$H$2:$H$65,'Outages (event ledger)'!$A$2:$A$65,BH$2,'Outages (event ledger)'!$E$2:$E$65,"&lt;="&amp;$B172,'Outages (event ledger)'!$G$2:$G$65,"&gt;="&amp;$B172)</f>
        <v>0</v>
      </c>
      <c r="BI172" s="26" t="n">
        <f aca="false">SUMIFS('Outages (event ledger)'!$H$2:$H$65,'Outages (event ledger)'!$A$2:$A$65,BI$2,'Outages (event ledger)'!$E$2:$E$65,"&lt;="&amp;$B172,'Outages (event ledger)'!$G$2:$G$65,"&gt;="&amp;$B172)</f>
        <v>6.7</v>
      </c>
    </row>
    <row r="173" customFormat="false" ht="15" hidden="false" customHeight="false" outlineLevel="0" collapsed="false">
      <c r="A173" s="23" t="n">
        <v>45352</v>
      </c>
      <c r="B173" s="24" t="n">
        <v>202403</v>
      </c>
      <c r="C173" s="25" t="n">
        <f aca="false">SUM(D173:BI173)</f>
        <v>27.8</v>
      </c>
      <c r="D173" s="26" t="n">
        <f aca="false">SUMIFS('Outages (event ledger)'!$H$2:$H$65,'Outages (event ledger)'!$A$2:$A$65,D$2,'Outages (event ledger)'!$E$2:$E$65,"&lt;="&amp;$B173,'Outages (event ledger)'!$G$2:$G$65,"&gt;="&amp;$B173)</f>
        <v>0</v>
      </c>
      <c r="E173" s="26" t="n">
        <f aca="false">SUMIFS('Outages (event ledger)'!$H$2:$H$65,'Outages (event ledger)'!$A$2:$A$65,E$2,'Outages (event ledger)'!$E$2:$E$65,"&lt;="&amp;$B173,'Outages (event ledger)'!$G$2:$G$65,"&gt;="&amp;$B173)</f>
        <v>0</v>
      </c>
      <c r="F173" s="26" t="n">
        <f aca="false">SUMIFS('Outages (event ledger)'!$H$2:$H$65,'Outages (event ledger)'!$A$2:$A$65,F$2,'Outages (event ledger)'!$E$2:$E$65,"&lt;="&amp;$B173,'Outages (event ledger)'!$G$2:$G$65,"&gt;="&amp;$B173)</f>
        <v>0</v>
      </c>
      <c r="G173" s="26" t="n">
        <f aca="false">SUMIFS('Outages (event ledger)'!$H$2:$H$65,'Outages (event ledger)'!$A$2:$A$65,G$2,'Outages (event ledger)'!$E$2:$E$65,"&lt;="&amp;$B173,'Outages (event ledger)'!$G$2:$G$65,"&gt;="&amp;$B173)</f>
        <v>0</v>
      </c>
      <c r="H173" s="26" t="n">
        <f aca="false">SUMIFS('Outages (event ledger)'!$H$2:$H$65,'Outages (event ledger)'!$A$2:$A$65,H$2,'Outages (event ledger)'!$E$2:$E$65,"&lt;="&amp;$B173,'Outages (event ledger)'!$G$2:$G$65,"&gt;="&amp;$B173)</f>
        <v>0</v>
      </c>
      <c r="I173" s="26" t="n">
        <f aca="false">SUMIFS('Outages (event ledger)'!$H$2:$H$65,'Outages (event ledger)'!$A$2:$A$65,I$2,'Outages (event ledger)'!$E$2:$E$65,"&lt;="&amp;$B173,'Outages (event ledger)'!$G$2:$G$65,"&gt;="&amp;$B173)</f>
        <v>0</v>
      </c>
      <c r="J173" s="26" t="n">
        <f aca="false">SUMIFS('Outages (event ledger)'!$H$2:$H$65,'Outages (event ledger)'!$A$2:$A$65,J$2,'Outages (event ledger)'!$E$2:$E$65,"&lt;="&amp;$B173,'Outages (event ledger)'!$G$2:$G$65,"&gt;="&amp;$B173)</f>
        <v>0</v>
      </c>
      <c r="K173" s="26" t="n">
        <f aca="false">SUMIFS('Outages (event ledger)'!$H$2:$H$65,'Outages (event ledger)'!$A$2:$A$65,K$2,'Outages (event ledger)'!$E$2:$E$65,"&lt;="&amp;$B173,'Outages (event ledger)'!$G$2:$G$65,"&gt;="&amp;$B173)</f>
        <v>0</v>
      </c>
      <c r="L173" s="26" t="n">
        <f aca="false">SUMIFS('Outages (event ledger)'!$H$2:$H$65,'Outages (event ledger)'!$A$2:$A$65,L$2,'Outages (event ledger)'!$E$2:$E$65,"&lt;="&amp;$B173,'Outages (event ledger)'!$G$2:$G$65,"&gt;="&amp;$B173)</f>
        <v>0</v>
      </c>
      <c r="M173" s="26" t="n">
        <f aca="false">SUMIFS('Outages (event ledger)'!$H$2:$H$65,'Outages (event ledger)'!$A$2:$A$65,M$2,'Outages (event ledger)'!$E$2:$E$65,"&lt;="&amp;$B173,'Outages (event ledger)'!$G$2:$G$65,"&gt;="&amp;$B173)</f>
        <v>0</v>
      </c>
      <c r="N173" s="26" t="n">
        <f aca="false">SUMIFS('Outages (event ledger)'!$H$2:$H$65,'Outages (event ledger)'!$A$2:$A$65,N$2,'Outages (event ledger)'!$E$2:$E$65,"&lt;="&amp;$B173,'Outages (event ledger)'!$G$2:$G$65,"&gt;="&amp;$B173)</f>
        <v>0</v>
      </c>
      <c r="O173" s="26" t="n">
        <f aca="false">SUMIFS('Outages (event ledger)'!$H$2:$H$65,'Outages (event ledger)'!$A$2:$A$65,O$2,'Outages (event ledger)'!$E$2:$E$65,"&lt;="&amp;$B173,'Outages (event ledger)'!$G$2:$G$65,"&gt;="&amp;$B173)</f>
        <v>0</v>
      </c>
      <c r="P173" s="26" t="n">
        <f aca="false">SUMIFS('Outages (event ledger)'!$H$2:$H$65,'Outages (event ledger)'!$A$2:$A$65,P$2,'Outages (event ledger)'!$E$2:$E$65,"&lt;="&amp;$B173,'Outages (event ledger)'!$G$2:$G$65,"&gt;="&amp;$B173)</f>
        <v>0</v>
      </c>
      <c r="Q173" s="26" t="n">
        <f aca="false">SUMIFS('Outages (event ledger)'!$H$2:$H$65,'Outages (event ledger)'!$A$2:$A$65,Q$2,'Outages (event ledger)'!$E$2:$E$65,"&lt;="&amp;$B173,'Outages (event ledger)'!$G$2:$G$65,"&gt;="&amp;$B173)</f>
        <v>0</v>
      </c>
      <c r="R173" s="26" t="n">
        <f aca="false">SUMIFS('Outages (event ledger)'!$H$2:$H$65,'Outages (event ledger)'!$A$2:$A$65,R$2,'Outages (event ledger)'!$E$2:$E$65,"&lt;="&amp;$B173,'Outages (event ledger)'!$G$2:$G$65,"&gt;="&amp;$B173)</f>
        <v>0</v>
      </c>
      <c r="S173" s="26" t="n">
        <f aca="false">SUMIFS('Outages (event ledger)'!$H$2:$H$65,'Outages (event ledger)'!$A$2:$A$65,S$2,'Outages (event ledger)'!$E$2:$E$65,"&lt;="&amp;$B173,'Outages (event ledger)'!$G$2:$G$65,"&gt;="&amp;$B173)</f>
        <v>0</v>
      </c>
      <c r="T173" s="26" t="n">
        <f aca="false">SUMIFS('Outages (event ledger)'!$H$2:$H$65,'Outages (event ledger)'!$A$2:$A$65,T$2,'Outages (event ledger)'!$E$2:$E$65,"&lt;="&amp;$B173,'Outages (event ledger)'!$G$2:$G$65,"&gt;="&amp;$B173)</f>
        <v>0</v>
      </c>
      <c r="U173" s="26" t="n">
        <f aca="false">SUMIFS('Outages (event ledger)'!$H$2:$H$65,'Outages (event ledger)'!$A$2:$A$65,U$2,'Outages (event ledger)'!$E$2:$E$65,"&lt;="&amp;$B173,'Outages (event ledger)'!$G$2:$G$65,"&gt;="&amp;$B173)</f>
        <v>0</v>
      </c>
      <c r="V173" s="26" t="n">
        <f aca="false">SUMIFS('Outages (event ledger)'!$H$2:$H$65,'Outages (event ledger)'!$A$2:$A$65,V$2,'Outages (event ledger)'!$E$2:$E$65,"&lt;="&amp;$B173,'Outages (event ledger)'!$G$2:$G$65,"&gt;="&amp;$B173)</f>
        <v>0</v>
      </c>
      <c r="W173" s="26" t="n">
        <f aca="false">SUMIFS('Outages (event ledger)'!$H$2:$H$65,'Outages (event ledger)'!$A$2:$A$65,W$2,'Outages (event ledger)'!$E$2:$E$65,"&lt;="&amp;$B173,'Outages (event ledger)'!$G$2:$G$65,"&gt;="&amp;$B173)</f>
        <v>0</v>
      </c>
      <c r="X173" s="26" t="n">
        <f aca="false">SUMIFS('Outages (event ledger)'!$H$2:$H$65,'Outages (event ledger)'!$A$2:$A$65,X$2,'Outages (event ledger)'!$E$2:$E$65,"&lt;="&amp;$B173,'Outages (event ledger)'!$G$2:$G$65,"&gt;="&amp;$B173)</f>
        <v>0</v>
      </c>
      <c r="Y173" s="26" t="n">
        <f aca="false">SUMIFS('Outages (event ledger)'!$H$2:$H$65,'Outages (event ledger)'!$A$2:$A$65,Y$2,'Outages (event ledger)'!$E$2:$E$65,"&lt;="&amp;$B173,'Outages (event ledger)'!$G$2:$G$65,"&gt;="&amp;$B173)</f>
        <v>0</v>
      </c>
      <c r="Z173" s="26" t="n">
        <f aca="false">SUMIFS('Outages (event ledger)'!$H$2:$H$65,'Outages (event ledger)'!$A$2:$A$65,Z$2,'Outages (event ledger)'!$E$2:$E$65,"&lt;="&amp;$B173,'Outages (event ledger)'!$G$2:$G$65,"&gt;="&amp;$B173)</f>
        <v>0</v>
      </c>
      <c r="AA173" s="26" t="n">
        <f aca="false">SUMIFS('Outages (event ledger)'!$H$2:$H$65,'Outages (event ledger)'!$A$2:$A$65,AA$2,'Outages (event ledger)'!$E$2:$E$65,"&lt;="&amp;$B173,'Outages (event ledger)'!$G$2:$G$65,"&gt;="&amp;$B173)</f>
        <v>2</v>
      </c>
      <c r="AB173" s="26" t="n">
        <f aca="false">SUMIFS('Outages (event ledger)'!$H$2:$H$65,'Outages (event ledger)'!$A$2:$A$65,AB$2,'Outages (event ledger)'!$E$2:$E$65,"&lt;="&amp;$B173,'Outages (event ledger)'!$G$2:$G$65,"&gt;="&amp;$B173)</f>
        <v>8</v>
      </c>
      <c r="AC173" s="26" t="n">
        <f aca="false">SUMIFS('Outages (event ledger)'!$H$2:$H$65,'Outages (event ledger)'!$A$2:$A$65,AC$2,'Outages (event ledger)'!$E$2:$E$65,"&lt;="&amp;$B173,'Outages (event ledger)'!$G$2:$G$65,"&gt;="&amp;$B173)</f>
        <v>0</v>
      </c>
      <c r="AD173" s="26" t="n">
        <f aca="false">SUMIFS('Outages (event ledger)'!$H$2:$H$65,'Outages (event ledger)'!$A$2:$A$65,AD$2,'Outages (event ledger)'!$E$2:$E$65,"&lt;="&amp;$B173,'Outages (event ledger)'!$G$2:$G$65,"&gt;="&amp;$B173)</f>
        <v>0</v>
      </c>
      <c r="AE173" s="26" t="n">
        <f aca="false">SUMIFS('Outages (event ledger)'!$H$2:$H$65,'Outages (event ledger)'!$A$2:$A$65,AE$2,'Outages (event ledger)'!$E$2:$E$65,"&lt;="&amp;$B173,'Outages (event ledger)'!$G$2:$G$65,"&gt;="&amp;$B173)</f>
        <v>2.5</v>
      </c>
      <c r="AF173" s="26" t="n">
        <f aca="false">SUMIFS('Outages (event ledger)'!$H$2:$H$65,'Outages (event ledger)'!$A$2:$A$65,AF$2,'Outages (event ledger)'!$E$2:$E$65,"&lt;="&amp;$B173,'Outages (event ledger)'!$G$2:$G$65,"&gt;="&amp;$B173)</f>
        <v>0</v>
      </c>
      <c r="AG173" s="26" t="n">
        <f aca="false">SUMIFS('Outages (event ledger)'!$H$2:$H$65,'Outages (event ledger)'!$A$2:$A$65,AG$2,'Outages (event ledger)'!$E$2:$E$65,"&lt;="&amp;$B173,'Outages (event ledger)'!$G$2:$G$65,"&gt;="&amp;$B173)</f>
        <v>0</v>
      </c>
      <c r="AH173" s="26" t="n">
        <f aca="false">SUMIFS('Outages (event ledger)'!$H$2:$H$65,'Outages (event ledger)'!$A$2:$A$65,AH$2,'Outages (event ledger)'!$E$2:$E$65,"&lt;="&amp;$B173,'Outages (event ledger)'!$G$2:$G$65,"&gt;="&amp;$B173)</f>
        <v>0</v>
      </c>
      <c r="AI173" s="26" t="n">
        <f aca="false">SUMIFS('Outages (event ledger)'!$H$2:$H$65,'Outages (event ledger)'!$A$2:$A$65,AI$2,'Outages (event ledger)'!$E$2:$E$65,"&lt;="&amp;$B173,'Outages (event ledger)'!$G$2:$G$65,"&gt;="&amp;$B173)</f>
        <v>0</v>
      </c>
      <c r="AJ173" s="26" t="n">
        <f aca="false">SUMIFS('Outages (event ledger)'!$H$2:$H$65,'Outages (event ledger)'!$A$2:$A$65,AJ$2,'Outages (event ledger)'!$E$2:$E$65,"&lt;="&amp;$B173,'Outages (event ledger)'!$G$2:$G$65,"&gt;="&amp;$B173)</f>
        <v>0</v>
      </c>
      <c r="AK173" s="26" t="n">
        <f aca="false">SUMIFS('Outages (event ledger)'!$H$2:$H$65,'Outages (event ledger)'!$A$2:$A$65,AK$2,'Outages (event ledger)'!$E$2:$E$65,"&lt;="&amp;$B173,'Outages (event ledger)'!$G$2:$G$65,"&gt;="&amp;$B173)</f>
        <v>0</v>
      </c>
      <c r="AL173" s="26" t="n">
        <f aca="false">SUMIFS('Outages (event ledger)'!$H$2:$H$65,'Outages (event ledger)'!$A$2:$A$65,AL$2,'Outages (event ledger)'!$E$2:$E$65,"&lt;="&amp;$B173,'Outages (event ledger)'!$G$2:$G$65,"&gt;="&amp;$B173)</f>
        <v>0</v>
      </c>
      <c r="AM173" s="26" t="n">
        <f aca="false">SUMIFS('Outages (event ledger)'!$H$2:$H$65,'Outages (event ledger)'!$A$2:$A$65,AM$2,'Outages (event ledger)'!$E$2:$E$65,"&lt;="&amp;$B173,'Outages (event ledger)'!$G$2:$G$65,"&gt;="&amp;$B173)</f>
        <v>0</v>
      </c>
      <c r="AN173" s="26" t="n">
        <f aca="false">SUMIFS('Outages (event ledger)'!$H$2:$H$65,'Outages (event ledger)'!$A$2:$A$65,AN$2,'Outages (event ledger)'!$E$2:$E$65,"&lt;="&amp;$B173,'Outages (event ledger)'!$G$2:$G$65,"&gt;="&amp;$B173)</f>
        <v>0</v>
      </c>
      <c r="AO173" s="26" t="n">
        <f aca="false">SUMIFS('Outages (event ledger)'!$H$2:$H$65,'Outages (event ledger)'!$A$2:$A$65,AO$2,'Outages (event ledger)'!$E$2:$E$65,"&lt;="&amp;$B173,'Outages (event ledger)'!$G$2:$G$65,"&gt;="&amp;$B173)</f>
        <v>0</v>
      </c>
      <c r="AP173" s="26" t="n">
        <f aca="false">SUMIFS('Outages (event ledger)'!$H$2:$H$65,'Outages (event ledger)'!$A$2:$A$65,AP$2,'Outages (event ledger)'!$E$2:$E$65,"&lt;="&amp;$B173,'Outages (event ledger)'!$G$2:$G$65,"&gt;="&amp;$B173)</f>
        <v>0</v>
      </c>
      <c r="AQ173" s="26" t="n">
        <f aca="false">SUMIFS('Outages (event ledger)'!$H$2:$H$65,'Outages (event ledger)'!$A$2:$A$65,AQ$2,'Outages (event ledger)'!$E$2:$E$65,"&lt;="&amp;$B173,'Outages (event ledger)'!$G$2:$G$65,"&gt;="&amp;$B173)</f>
        <v>0</v>
      </c>
      <c r="AR173" s="26" t="n">
        <f aca="false">SUMIFS('Outages (event ledger)'!$H$2:$H$65,'Outages (event ledger)'!$A$2:$A$65,AR$2,'Outages (event ledger)'!$E$2:$E$65,"&lt;="&amp;$B173,'Outages (event ledger)'!$G$2:$G$65,"&gt;="&amp;$B173)</f>
        <v>0</v>
      </c>
      <c r="AS173" s="26" t="n">
        <f aca="false">SUMIFS('Outages (event ledger)'!$H$2:$H$65,'Outages (event ledger)'!$A$2:$A$65,AS$2,'Outages (event ledger)'!$E$2:$E$65,"&lt;="&amp;$B173,'Outages (event ledger)'!$G$2:$G$65,"&gt;="&amp;$B173)</f>
        <v>0</v>
      </c>
      <c r="AT173" s="26" t="n">
        <f aca="false">SUMIFS('Outages (event ledger)'!$H$2:$H$65,'Outages (event ledger)'!$A$2:$A$65,AT$2,'Outages (event ledger)'!$E$2:$E$65,"&lt;="&amp;$B173,'Outages (event ledger)'!$G$2:$G$65,"&gt;="&amp;$B173)</f>
        <v>0</v>
      </c>
      <c r="AU173" s="26" t="n">
        <f aca="false">SUMIFS('Outages (event ledger)'!$H$2:$H$65,'Outages (event ledger)'!$A$2:$A$65,AU$2,'Outages (event ledger)'!$E$2:$E$65,"&lt;="&amp;$B173,'Outages (event ledger)'!$G$2:$G$65,"&gt;="&amp;$B173)</f>
        <v>0</v>
      </c>
      <c r="AV173" s="26" t="n">
        <f aca="false">SUMIFS('Outages (event ledger)'!$H$2:$H$65,'Outages (event ledger)'!$A$2:$A$65,AV$2,'Outages (event ledger)'!$E$2:$E$65,"&lt;="&amp;$B173,'Outages (event ledger)'!$G$2:$G$65,"&gt;="&amp;$B173)</f>
        <v>0</v>
      </c>
      <c r="AW173" s="26" t="n">
        <f aca="false">SUMIFS('Outages (event ledger)'!$H$2:$H$65,'Outages (event ledger)'!$A$2:$A$65,AW$2,'Outages (event ledger)'!$E$2:$E$65,"&lt;="&amp;$B173,'Outages (event ledger)'!$G$2:$G$65,"&gt;="&amp;$B173)</f>
        <v>0</v>
      </c>
      <c r="AX173" s="26" t="n">
        <f aca="false">SUMIFS('Outages (event ledger)'!$H$2:$H$65,'Outages (event ledger)'!$A$2:$A$65,AX$2,'Outages (event ledger)'!$E$2:$E$65,"&lt;="&amp;$B173,'Outages (event ledger)'!$G$2:$G$65,"&gt;="&amp;$B173)</f>
        <v>6.6</v>
      </c>
      <c r="AY173" s="26" t="n">
        <f aca="false">SUMIFS('Outages (event ledger)'!$H$2:$H$65,'Outages (event ledger)'!$A$2:$A$65,AY$2,'Outages (event ledger)'!$E$2:$E$65,"&lt;="&amp;$B173,'Outages (event ledger)'!$G$2:$G$65,"&gt;="&amp;$B173)</f>
        <v>0</v>
      </c>
      <c r="AZ173" s="26" t="n">
        <f aca="false">SUMIFS('Outages (event ledger)'!$H$2:$H$65,'Outages (event ledger)'!$A$2:$A$65,AZ$2,'Outages (event ledger)'!$E$2:$E$65,"&lt;="&amp;$B173,'Outages (event ledger)'!$G$2:$G$65,"&gt;="&amp;$B173)</f>
        <v>2</v>
      </c>
      <c r="BA173" s="26" t="n">
        <f aca="false">SUMIFS('Outages (event ledger)'!$H$2:$H$65,'Outages (event ledger)'!$A$2:$A$65,BA$2,'Outages (event ledger)'!$E$2:$E$65,"&lt;="&amp;$B173,'Outages (event ledger)'!$G$2:$G$65,"&gt;="&amp;$B173)</f>
        <v>0</v>
      </c>
      <c r="BB173" s="26" t="n">
        <f aca="false">SUMIFS('Outages (event ledger)'!$H$2:$H$65,'Outages (event ledger)'!$A$2:$A$65,BB$2,'Outages (event ledger)'!$E$2:$E$65,"&lt;="&amp;$B173,'Outages (event ledger)'!$G$2:$G$65,"&gt;="&amp;$B173)</f>
        <v>0</v>
      </c>
      <c r="BC173" s="26" t="n">
        <f aca="false">SUMIFS('Outages (event ledger)'!$H$2:$H$65,'Outages (event ledger)'!$A$2:$A$65,BC$2,'Outages (event ledger)'!$E$2:$E$65,"&lt;="&amp;$B173,'Outages (event ledger)'!$G$2:$G$65,"&gt;="&amp;$B173)</f>
        <v>0</v>
      </c>
      <c r="BD173" s="26" t="n">
        <f aca="false">SUMIFS('Outages (event ledger)'!$H$2:$H$65,'Outages (event ledger)'!$A$2:$A$65,BD$2,'Outages (event ledger)'!$E$2:$E$65,"&lt;="&amp;$B173,'Outages (event ledger)'!$G$2:$G$65,"&gt;="&amp;$B173)</f>
        <v>0</v>
      </c>
      <c r="BE173" s="26" t="n">
        <f aca="false">SUMIFS('Outages (event ledger)'!$H$2:$H$65,'Outages (event ledger)'!$A$2:$A$65,BE$2,'Outages (event ledger)'!$E$2:$E$65,"&lt;="&amp;$B173,'Outages (event ledger)'!$G$2:$G$65,"&gt;="&amp;$B173)</f>
        <v>0</v>
      </c>
      <c r="BF173" s="26" t="n">
        <f aca="false">SUMIFS('Outages (event ledger)'!$H$2:$H$65,'Outages (event ledger)'!$A$2:$A$65,BF$2,'Outages (event ledger)'!$E$2:$E$65,"&lt;="&amp;$B173,'Outages (event ledger)'!$G$2:$G$65,"&gt;="&amp;$B173)</f>
        <v>0</v>
      </c>
      <c r="BG173" s="26" t="n">
        <f aca="false">SUMIFS('Outages (event ledger)'!$H$2:$H$65,'Outages (event ledger)'!$A$2:$A$65,BG$2,'Outages (event ledger)'!$E$2:$E$65,"&lt;="&amp;$B173,'Outages (event ledger)'!$G$2:$G$65,"&gt;="&amp;$B173)</f>
        <v>0</v>
      </c>
      <c r="BH173" s="26" t="n">
        <f aca="false">SUMIFS('Outages (event ledger)'!$H$2:$H$65,'Outages (event ledger)'!$A$2:$A$65,BH$2,'Outages (event ledger)'!$E$2:$E$65,"&lt;="&amp;$B173,'Outages (event ledger)'!$G$2:$G$65,"&gt;="&amp;$B173)</f>
        <v>0</v>
      </c>
      <c r="BI173" s="26" t="n">
        <f aca="false">SUMIFS('Outages (event ledger)'!$H$2:$H$65,'Outages (event ledger)'!$A$2:$A$65,BI$2,'Outages (event ledger)'!$E$2:$E$65,"&lt;="&amp;$B173,'Outages (event ledger)'!$G$2:$G$65,"&gt;="&amp;$B173)</f>
        <v>6.7</v>
      </c>
    </row>
    <row r="174" customFormat="false" ht="15" hidden="false" customHeight="false" outlineLevel="0" collapsed="false">
      <c r="A174" s="23" t="n">
        <v>45383</v>
      </c>
      <c r="B174" s="24" t="n">
        <v>202404</v>
      </c>
      <c r="C174" s="25" t="n">
        <f aca="false">SUM(D174:BI174)</f>
        <v>28.8</v>
      </c>
      <c r="D174" s="26" t="n">
        <f aca="false">SUMIFS('Outages (event ledger)'!$H$2:$H$65,'Outages (event ledger)'!$A$2:$A$65,D$2,'Outages (event ledger)'!$E$2:$E$65,"&lt;="&amp;$B174,'Outages (event ledger)'!$G$2:$G$65,"&gt;="&amp;$B174)</f>
        <v>0</v>
      </c>
      <c r="E174" s="26" t="n">
        <f aca="false">SUMIFS('Outages (event ledger)'!$H$2:$H$65,'Outages (event ledger)'!$A$2:$A$65,E$2,'Outages (event ledger)'!$E$2:$E$65,"&lt;="&amp;$B174,'Outages (event ledger)'!$G$2:$G$65,"&gt;="&amp;$B174)</f>
        <v>0</v>
      </c>
      <c r="F174" s="26" t="n">
        <f aca="false">SUMIFS('Outages (event ledger)'!$H$2:$H$65,'Outages (event ledger)'!$A$2:$A$65,F$2,'Outages (event ledger)'!$E$2:$E$65,"&lt;="&amp;$B174,'Outages (event ledger)'!$G$2:$G$65,"&gt;="&amp;$B174)</f>
        <v>0</v>
      </c>
      <c r="G174" s="26" t="n">
        <f aca="false">SUMIFS('Outages (event ledger)'!$H$2:$H$65,'Outages (event ledger)'!$A$2:$A$65,G$2,'Outages (event ledger)'!$E$2:$E$65,"&lt;="&amp;$B174,'Outages (event ledger)'!$G$2:$G$65,"&gt;="&amp;$B174)</f>
        <v>0</v>
      </c>
      <c r="H174" s="26" t="n">
        <f aca="false">SUMIFS('Outages (event ledger)'!$H$2:$H$65,'Outages (event ledger)'!$A$2:$A$65,H$2,'Outages (event ledger)'!$E$2:$E$65,"&lt;="&amp;$B174,'Outages (event ledger)'!$G$2:$G$65,"&gt;="&amp;$B174)</f>
        <v>0</v>
      </c>
      <c r="I174" s="26" t="n">
        <f aca="false">SUMIFS('Outages (event ledger)'!$H$2:$H$65,'Outages (event ledger)'!$A$2:$A$65,I$2,'Outages (event ledger)'!$E$2:$E$65,"&lt;="&amp;$B174,'Outages (event ledger)'!$G$2:$G$65,"&gt;="&amp;$B174)</f>
        <v>0</v>
      </c>
      <c r="J174" s="26" t="n">
        <f aca="false">SUMIFS('Outages (event ledger)'!$H$2:$H$65,'Outages (event ledger)'!$A$2:$A$65,J$2,'Outages (event ledger)'!$E$2:$E$65,"&lt;="&amp;$B174,'Outages (event ledger)'!$G$2:$G$65,"&gt;="&amp;$B174)</f>
        <v>0</v>
      </c>
      <c r="K174" s="26" t="n">
        <f aca="false">SUMIFS('Outages (event ledger)'!$H$2:$H$65,'Outages (event ledger)'!$A$2:$A$65,K$2,'Outages (event ledger)'!$E$2:$E$65,"&lt;="&amp;$B174,'Outages (event ledger)'!$G$2:$G$65,"&gt;="&amp;$B174)</f>
        <v>0</v>
      </c>
      <c r="L174" s="26" t="n">
        <f aca="false">SUMIFS('Outages (event ledger)'!$H$2:$H$65,'Outages (event ledger)'!$A$2:$A$65,L$2,'Outages (event ledger)'!$E$2:$E$65,"&lt;="&amp;$B174,'Outages (event ledger)'!$G$2:$G$65,"&gt;="&amp;$B174)</f>
        <v>0</v>
      </c>
      <c r="M174" s="26" t="n">
        <f aca="false">SUMIFS('Outages (event ledger)'!$H$2:$H$65,'Outages (event ledger)'!$A$2:$A$65,M$2,'Outages (event ledger)'!$E$2:$E$65,"&lt;="&amp;$B174,'Outages (event ledger)'!$G$2:$G$65,"&gt;="&amp;$B174)</f>
        <v>0</v>
      </c>
      <c r="N174" s="26" t="n">
        <f aca="false">SUMIFS('Outages (event ledger)'!$H$2:$H$65,'Outages (event ledger)'!$A$2:$A$65,N$2,'Outages (event ledger)'!$E$2:$E$65,"&lt;="&amp;$B174,'Outages (event ledger)'!$G$2:$G$65,"&gt;="&amp;$B174)</f>
        <v>0</v>
      </c>
      <c r="O174" s="26" t="n">
        <f aca="false">SUMIFS('Outages (event ledger)'!$H$2:$H$65,'Outages (event ledger)'!$A$2:$A$65,O$2,'Outages (event ledger)'!$E$2:$E$65,"&lt;="&amp;$B174,'Outages (event ledger)'!$G$2:$G$65,"&gt;="&amp;$B174)</f>
        <v>0</v>
      </c>
      <c r="P174" s="26" t="n">
        <f aca="false">SUMIFS('Outages (event ledger)'!$H$2:$H$65,'Outages (event ledger)'!$A$2:$A$65,P$2,'Outages (event ledger)'!$E$2:$E$65,"&lt;="&amp;$B174,'Outages (event ledger)'!$G$2:$G$65,"&gt;="&amp;$B174)</f>
        <v>0</v>
      </c>
      <c r="Q174" s="26" t="n">
        <f aca="false">SUMIFS('Outages (event ledger)'!$H$2:$H$65,'Outages (event ledger)'!$A$2:$A$65,Q$2,'Outages (event ledger)'!$E$2:$E$65,"&lt;="&amp;$B174,'Outages (event ledger)'!$G$2:$G$65,"&gt;="&amp;$B174)</f>
        <v>0</v>
      </c>
      <c r="R174" s="26" t="n">
        <f aca="false">SUMIFS('Outages (event ledger)'!$H$2:$H$65,'Outages (event ledger)'!$A$2:$A$65,R$2,'Outages (event ledger)'!$E$2:$E$65,"&lt;="&amp;$B174,'Outages (event ledger)'!$G$2:$G$65,"&gt;="&amp;$B174)</f>
        <v>0</v>
      </c>
      <c r="S174" s="26" t="n">
        <f aca="false">SUMIFS('Outages (event ledger)'!$H$2:$H$65,'Outages (event ledger)'!$A$2:$A$65,S$2,'Outages (event ledger)'!$E$2:$E$65,"&lt;="&amp;$B174,'Outages (event ledger)'!$G$2:$G$65,"&gt;="&amp;$B174)</f>
        <v>0</v>
      </c>
      <c r="T174" s="26" t="n">
        <f aca="false">SUMIFS('Outages (event ledger)'!$H$2:$H$65,'Outages (event ledger)'!$A$2:$A$65,T$2,'Outages (event ledger)'!$E$2:$E$65,"&lt;="&amp;$B174,'Outages (event ledger)'!$G$2:$G$65,"&gt;="&amp;$B174)</f>
        <v>0</v>
      </c>
      <c r="U174" s="26" t="n">
        <f aca="false">SUMIFS('Outages (event ledger)'!$H$2:$H$65,'Outages (event ledger)'!$A$2:$A$65,U$2,'Outages (event ledger)'!$E$2:$E$65,"&lt;="&amp;$B174,'Outages (event ledger)'!$G$2:$G$65,"&gt;="&amp;$B174)</f>
        <v>0</v>
      </c>
      <c r="V174" s="26" t="n">
        <f aca="false">SUMIFS('Outages (event ledger)'!$H$2:$H$65,'Outages (event ledger)'!$A$2:$A$65,V$2,'Outages (event ledger)'!$E$2:$E$65,"&lt;="&amp;$B174,'Outages (event ledger)'!$G$2:$G$65,"&gt;="&amp;$B174)</f>
        <v>0</v>
      </c>
      <c r="W174" s="26" t="n">
        <f aca="false">SUMIFS('Outages (event ledger)'!$H$2:$H$65,'Outages (event ledger)'!$A$2:$A$65,W$2,'Outages (event ledger)'!$E$2:$E$65,"&lt;="&amp;$B174,'Outages (event ledger)'!$G$2:$G$65,"&gt;="&amp;$B174)</f>
        <v>0</v>
      </c>
      <c r="X174" s="26" t="n">
        <f aca="false">SUMIFS('Outages (event ledger)'!$H$2:$H$65,'Outages (event ledger)'!$A$2:$A$65,X$2,'Outages (event ledger)'!$E$2:$E$65,"&lt;="&amp;$B174,'Outages (event ledger)'!$G$2:$G$65,"&gt;="&amp;$B174)</f>
        <v>0</v>
      </c>
      <c r="Y174" s="26" t="n">
        <f aca="false">SUMIFS('Outages (event ledger)'!$H$2:$H$65,'Outages (event ledger)'!$A$2:$A$65,Y$2,'Outages (event ledger)'!$E$2:$E$65,"&lt;="&amp;$B174,'Outages (event ledger)'!$G$2:$G$65,"&gt;="&amp;$B174)</f>
        <v>0</v>
      </c>
      <c r="Z174" s="26" t="n">
        <f aca="false">SUMIFS('Outages (event ledger)'!$H$2:$H$65,'Outages (event ledger)'!$A$2:$A$65,Z$2,'Outages (event ledger)'!$E$2:$E$65,"&lt;="&amp;$B174,'Outages (event ledger)'!$G$2:$G$65,"&gt;="&amp;$B174)</f>
        <v>0</v>
      </c>
      <c r="AA174" s="26" t="n">
        <f aca="false">SUMIFS('Outages (event ledger)'!$H$2:$H$65,'Outages (event ledger)'!$A$2:$A$65,AA$2,'Outages (event ledger)'!$E$2:$E$65,"&lt;="&amp;$B174,'Outages (event ledger)'!$G$2:$G$65,"&gt;="&amp;$B174)</f>
        <v>2</v>
      </c>
      <c r="AB174" s="26" t="n">
        <f aca="false">SUMIFS('Outages (event ledger)'!$H$2:$H$65,'Outages (event ledger)'!$A$2:$A$65,AB$2,'Outages (event ledger)'!$E$2:$E$65,"&lt;="&amp;$B174,'Outages (event ledger)'!$G$2:$G$65,"&gt;="&amp;$B174)</f>
        <v>8</v>
      </c>
      <c r="AC174" s="26" t="n">
        <f aca="false">SUMIFS('Outages (event ledger)'!$H$2:$H$65,'Outages (event ledger)'!$A$2:$A$65,AC$2,'Outages (event ledger)'!$E$2:$E$65,"&lt;="&amp;$B174,'Outages (event ledger)'!$G$2:$G$65,"&gt;="&amp;$B174)</f>
        <v>0</v>
      </c>
      <c r="AD174" s="26" t="n">
        <f aca="false">SUMIFS('Outages (event ledger)'!$H$2:$H$65,'Outages (event ledger)'!$A$2:$A$65,AD$2,'Outages (event ledger)'!$E$2:$E$65,"&lt;="&amp;$B174,'Outages (event ledger)'!$G$2:$G$65,"&gt;="&amp;$B174)</f>
        <v>0</v>
      </c>
      <c r="AE174" s="26" t="n">
        <f aca="false">SUMIFS('Outages (event ledger)'!$H$2:$H$65,'Outages (event ledger)'!$A$2:$A$65,AE$2,'Outages (event ledger)'!$E$2:$E$65,"&lt;="&amp;$B174,'Outages (event ledger)'!$G$2:$G$65,"&gt;="&amp;$B174)</f>
        <v>2.5</v>
      </c>
      <c r="AF174" s="26" t="n">
        <f aca="false">SUMIFS('Outages (event ledger)'!$H$2:$H$65,'Outages (event ledger)'!$A$2:$A$65,AF$2,'Outages (event ledger)'!$E$2:$E$65,"&lt;="&amp;$B174,'Outages (event ledger)'!$G$2:$G$65,"&gt;="&amp;$B174)</f>
        <v>0</v>
      </c>
      <c r="AG174" s="26" t="n">
        <f aca="false">SUMIFS('Outages (event ledger)'!$H$2:$H$65,'Outages (event ledger)'!$A$2:$A$65,AG$2,'Outages (event ledger)'!$E$2:$E$65,"&lt;="&amp;$B174,'Outages (event ledger)'!$G$2:$G$65,"&gt;="&amp;$B174)</f>
        <v>0</v>
      </c>
      <c r="AH174" s="26" t="n">
        <f aca="false">SUMIFS('Outages (event ledger)'!$H$2:$H$65,'Outages (event ledger)'!$A$2:$A$65,AH$2,'Outages (event ledger)'!$E$2:$E$65,"&lt;="&amp;$B174,'Outages (event ledger)'!$G$2:$G$65,"&gt;="&amp;$B174)</f>
        <v>0</v>
      </c>
      <c r="AI174" s="26" t="n">
        <f aca="false">SUMIFS('Outages (event ledger)'!$H$2:$H$65,'Outages (event ledger)'!$A$2:$A$65,AI$2,'Outages (event ledger)'!$E$2:$E$65,"&lt;="&amp;$B174,'Outages (event ledger)'!$G$2:$G$65,"&gt;="&amp;$B174)</f>
        <v>0</v>
      </c>
      <c r="AJ174" s="26" t="n">
        <f aca="false">SUMIFS('Outages (event ledger)'!$H$2:$H$65,'Outages (event ledger)'!$A$2:$A$65,AJ$2,'Outages (event ledger)'!$E$2:$E$65,"&lt;="&amp;$B174,'Outages (event ledger)'!$G$2:$G$65,"&gt;="&amp;$B174)</f>
        <v>0</v>
      </c>
      <c r="AK174" s="26" t="n">
        <f aca="false">SUMIFS('Outages (event ledger)'!$H$2:$H$65,'Outages (event ledger)'!$A$2:$A$65,AK$2,'Outages (event ledger)'!$E$2:$E$65,"&lt;="&amp;$B174,'Outages (event ledger)'!$G$2:$G$65,"&gt;="&amp;$B174)</f>
        <v>0</v>
      </c>
      <c r="AL174" s="26" t="n">
        <f aca="false">SUMIFS('Outages (event ledger)'!$H$2:$H$65,'Outages (event ledger)'!$A$2:$A$65,AL$2,'Outages (event ledger)'!$E$2:$E$65,"&lt;="&amp;$B174,'Outages (event ledger)'!$G$2:$G$65,"&gt;="&amp;$B174)</f>
        <v>0</v>
      </c>
      <c r="AM174" s="26" t="n">
        <f aca="false">SUMIFS('Outages (event ledger)'!$H$2:$H$65,'Outages (event ledger)'!$A$2:$A$65,AM$2,'Outages (event ledger)'!$E$2:$E$65,"&lt;="&amp;$B174,'Outages (event ledger)'!$G$2:$G$65,"&gt;="&amp;$B174)</f>
        <v>0</v>
      </c>
      <c r="AN174" s="26" t="n">
        <f aca="false">SUMIFS('Outages (event ledger)'!$H$2:$H$65,'Outages (event ledger)'!$A$2:$A$65,AN$2,'Outages (event ledger)'!$E$2:$E$65,"&lt;="&amp;$B174,'Outages (event ledger)'!$G$2:$G$65,"&gt;="&amp;$B174)</f>
        <v>1</v>
      </c>
      <c r="AO174" s="26" t="n">
        <f aca="false">SUMIFS('Outages (event ledger)'!$H$2:$H$65,'Outages (event ledger)'!$A$2:$A$65,AO$2,'Outages (event ledger)'!$E$2:$E$65,"&lt;="&amp;$B174,'Outages (event ledger)'!$G$2:$G$65,"&gt;="&amp;$B174)</f>
        <v>0</v>
      </c>
      <c r="AP174" s="26" t="n">
        <f aca="false">SUMIFS('Outages (event ledger)'!$H$2:$H$65,'Outages (event ledger)'!$A$2:$A$65,AP$2,'Outages (event ledger)'!$E$2:$E$65,"&lt;="&amp;$B174,'Outages (event ledger)'!$G$2:$G$65,"&gt;="&amp;$B174)</f>
        <v>0</v>
      </c>
      <c r="AQ174" s="26" t="n">
        <f aca="false">SUMIFS('Outages (event ledger)'!$H$2:$H$65,'Outages (event ledger)'!$A$2:$A$65,AQ$2,'Outages (event ledger)'!$E$2:$E$65,"&lt;="&amp;$B174,'Outages (event ledger)'!$G$2:$G$65,"&gt;="&amp;$B174)</f>
        <v>0</v>
      </c>
      <c r="AR174" s="26" t="n">
        <f aca="false">SUMIFS('Outages (event ledger)'!$H$2:$H$65,'Outages (event ledger)'!$A$2:$A$65,AR$2,'Outages (event ledger)'!$E$2:$E$65,"&lt;="&amp;$B174,'Outages (event ledger)'!$G$2:$G$65,"&gt;="&amp;$B174)</f>
        <v>0</v>
      </c>
      <c r="AS174" s="26" t="n">
        <f aca="false">SUMIFS('Outages (event ledger)'!$H$2:$H$65,'Outages (event ledger)'!$A$2:$A$65,AS$2,'Outages (event ledger)'!$E$2:$E$65,"&lt;="&amp;$B174,'Outages (event ledger)'!$G$2:$G$65,"&gt;="&amp;$B174)</f>
        <v>0</v>
      </c>
      <c r="AT174" s="26" t="n">
        <f aca="false">SUMIFS('Outages (event ledger)'!$H$2:$H$65,'Outages (event ledger)'!$A$2:$A$65,AT$2,'Outages (event ledger)'!$E$2:$E$65,"&lt;="&amp;$B174,'Outages (event ledger)'!$G$2:$G$65,"&gt;="&amp;$B174)</f>
        <v>0</v>
      </c>
      <c r="AU174" s="26" t="n">
        <f aca="false">SUMIFS('Outages (event ledger)'!$H$2:$H$65,'Outages (event ledger)'!$A$2:$A$65,AU$2,'Outages (event ledger)'!$E$2:$E$65,"&lt;="&amp;$B174,'Outages (event ledger)'!$G$2:$G$65,"&gt;="&amp;$B174)</f>
        <v>0</v>
      </c>
      <c r="AV174" s="26" t="n">
        <f aca="false">SUMIFS('Outages (event ledger)'!$H$2:$H$65,'Outages (event ledger)'!$A$2:$A$65,AV$2,'Outages (event ledger)'!$E$2:$E$65,"&lt;="&amp;$B174,'Outages (event ledger)'!$G$2:$G$65,"&gt;="&amp;$B174)</f>
        <v>0</v>
      </c>
      <c r="AW174" s="26" t="n">
        <f aca="false">SUMIFS('Outages (event ledger)'!$H$2:$H$65,'Outages (event ledger)'!$A$2:$A$65,AW$2,'Outages (event ledger)'!$E$2:$E$65,"&lt;="&amp;$B174,'Outages (event ledger)'!$G$2:$G$65,"&gt;="&amp;$B174)</f>
        <v>0</v>
      </c>
      <c r="AX174" s="26" t="n">
        <f aca="false">SUMIFS('Outages (event ledger)'!$H$2:$H$65,'Outages (event ledger)'!$A$2:$A$65,AX$2,'Outages (event ledger)'!$E$2:$E$65,"&lt;="&amp;$B174,'Outages (event ledger)'!$G$2:$G$65,"&gt;="&amp;$B174)</f>
        <v>6.6</v>
      </c>
      <c r="AY174" s="26" t="n">
        <f aca="false">SUMIFS('Outages (event ledger)'!$H$2:$H$65,'Outages (event ledger)'!$A$2:$A$65,AY$2,'Outages (event ledger)'!$E$2:$E$65,"&lt;="&amp;$B174,'Outages (event ledger)'!$G$2:$G$65,"&gt;="&amp;$B174)</f>
        <v>0</v>
      </c>
      <c r="AZ174" s="26" t="n">
        <f aca="false">SUMIFS('Outages (event ledger)'!$H$2:$H$65,'Outages (event ledger)'!$A$2:$A$65,AZ$2,'Outages (event ledger)'!$E$2:$E$65,"&lt;="&amp;$B174,'Outages (event ledger)'!$G$2:$G$65,"&gt;="&amp;$B174)</f>
        <v>2</v>
      </c>
      <c r="BA174" s="26" t="n">
        <f aca="false">SUMIFS('Outages (event ledger)'!$H$2:$H$65,'Outages (event ledger)'!$A$2:$A$65,BA$2,'Outages (event ledger)'!$E$2:$E$65,"&lt;="&amp;$B174,'Outages (event ledger)'!$G$2:$G$65,"&gt;="&amp;$B174)</f>
        <v>0</v>
      </c>
      <c r="BB174" s="26" t="n">
        <f aca="false">SUMIFS('Outages (event ledger)'!$H$2:$H$65,'Outages (event ledger)'!$A$2:$A$65,BB$2,'Outages (event ledger)'!$E$2:$E$65,"&lt;="&amp;$B174,'Outages (event ledger)'!$G$2:$G$65,"&gt;="&amp;$B174)</f>
        <v>0</v>
      </c>
      <c r="BC174" s="26" t="n">
        <f aca="false">SUMIFS('Outages (event ledger)'!$H$2:$H$65,'Outages (event ledger)'!$A$2:$A$65,BC$2,'Outages (event ledger)'!$E$2:$E$65,"&lt;="&amp;$B174,'Outages (event ledger)'!$G$2:$G$65,"&gt;="&amp;$B174)</f>
        <v>0</v>
      </c>
      <c r="BD174" s="26" t="n">
        <f aca="false">SUMIFS('Outages (event ledger)'!$H$2:$H$65,'Outages (event ledger)'!$A$2:$A$65,BD$2,'Outages (event ledger)'!$E$2:$E$65,"&lt;="&amp;$B174,'Outages (event ledger)'!$G$2:$G$65,"&gt;="&amp;$B174)</f>
        <v>0</v>
      </c>
      <c r="BE174" s="26" t="n">
        <f aca="false">SUMIFS('Outages (event ledger)'!$H$2:$H$65,'Outages (event ledger)'!$A$2:$A$65,BE$2,'Outages (event ledger)'!$E$2:$E$65,"&lt;="&amp;$B174,'Outages (event ledger)'!$G$2:$G$65,"&gt;="&amp;$B174)</f>
        <v>0</v>
      </c>
      <c r="BF174" s="26" t="n">
        <f aca="false">SUMIFS('Outages (event ledger)'!$H$2:$H$65,'Outages (event ledger)'!$A$2:$A$65,BF$2,'Outages (event ledger)'!$E$2:$E$65,"&lt;="&amp;$B174,'Outages (event ledger)'!$G$2:$G$65,"&gt;="&amp;$B174)</f>
        <v>0</v>
      </c>
      <c r="BG174" s="26" t="n">
        <f aca="false">SUMIFS('Outages (event ledger)'!$H$2:$H$65,'Outages (event ledger)'!$A$2:$A$65,BG$2,'Outages (event ledger)'!$E$2:$E$65,"&lt;="&amp;$B174,'Outages (event ledger)'!$G$2:$G$65,"&gt;="&amp;$B174)</f>
        <v>0</v>
      </c>
      <c r="BH174" s="26" t="n">
        <f aca="false">SUMIFS('Outages (event ledger)'!$H$2:$H$65,'Outages (event ledger)'!$A$2:$A$65,BH$2,'Outages (event ledger)'!$E$2:$E$65,"&lt;="&amp;$B174,'Outages (event ledger)'!$G$2:$G$65,"&gt;="&amp;$B174)</f>
        <v>0</v>
      </c>
      <c r="BI174" s="26" t="n">
        <f aca="false">SUMIFS('Outages (event ledger)'!$H$2:$H$65,'Outages (event ledger)'!$A$2:$A$65,BI$2,'Outages (event ledger)'!$E$2:$E$65,"&lt;="&amp;$B174,'Outages (event ledger)'!$G$2:$G$65,"&gt;="&amp;$B174)</f>
        <v>6.7</v>
      </c>
    </row>
    <row r="175" customFormat="false" ht="15" hidden="false" customHeight="false" outlineLevel="0" collapsed="false">
      <c r="A175" s="23" t="n">
        <v>45413</v>
      </c>
      <c r="B175" s="24" t="n">
        <v>202405</v>
      </c>
      <c r="C175" s="25" t="n">
        <f aca="false">SUM(D175:BI175)</f>
        <v>27.8</v>
      </c>
      <c r="D175" s="26" t="n">
        <f aca="false">SUMIFS('Outages (event ledger)'!$H$2:$H$65,'Outages (event ledger)'!$A$2:$A$65,D$2,'Outages (event ledger)'!$E$2:$E$65,"&lt;="&amp;$B175,'Outages (event ledger)'!$G$2:$G$65,"&gt;="&amp;$B175)</f>
        <v>0</v>
      </c>
      <c r="E175" s="26" t="n">
        <f aca="false">SUMIFS('Outages (event ledger)'!$H$2:$H$65,'Outages (event ledger)'!$A$2:$A$65,E$2,'Outages (event ledger)'!$E$2:$E$65,"&lt;="&amp;$B175,'Outages (event ledger)'!$G$2:$G$65,"&gt;="&amp;$B175)</f>
        <v>0</v>
      </c>
      <c r="F175" s="26" t="n">
        <f aca="false">SUMIFS('Outages (event ledger)'!$H$2:$H$65,'Outages (event ledger)'!$A$2:$A$65,F$2,'Outages (event ledger)'!$E$2:$E$65,"&lt;="&amp;$B175,'Outages (event ledger)'!$G$2:$G$65,"&gt;="&amp;$B175)</f>
        <v>0</v>
      </c>
      <c r="G175" s="26" t="n">
        <f aca="false">SUMIFS('Outages (event ledger)'!$H$2:$H$65,'Outages (event ledger)'!$A$2:$A$65,G$2,'Outages (event ledger)'!$E$2:$E$65,"&lt;="&amp;$B175,'Outages (event ledger)'!$G$2:$G$65,"&gt;="&amp;$B175)</f>
        <v>0</v>
      </c>
      <c r="H175" s="26" t="n">
        <f aca="false">SUMIFS('Outages (event ledger)'!$H$2:$H$65,'Outages (event ledger)'!$A$2:$A$65,H$2,'Outages (event ledger)'!$E$2:$E$65,"&lt;="&amp;$B175,'Outages (event ledger)'!$G$2:$G$65,"&gt;="&amp;$B175)</f>
        <v>0</v>
      </c>
      <c r="I175" s="26" t="n">
        <f aca="false">SUMIFS('Outages (event ledger)'!$H$2:$H$65,'Outages (event ledger)'!$A$2:$A$65,I$2,'Outages (event ledger)'!$E$2:$E$65,"&lt;="&amp;$B175,'Outages (event ledger)'!$G$2:$G$65,"&gt;="&amp;$B175)</f>
        <v>0</v>
      </c>
      <c r="J175" s="26" t="n">
        <f aca="false">SUMIFS('Outages (event ledger)'!$H$2:$H$65,'Outages (event ledger)'!$A$2:$A$65,J$2,'Outages (event ledger)'!$E$2:$E$65,"&lt;="&amp;$B175,'Outages (event ledger)'!$G$2:$G$65,"&gt;="&amp;$B175)</f>
        <v>0</v>
      </c>
      <c r="K175" s="26" t="n">
        <f aca="false">SUMIFS('Outages (event ledger)'!$H$2:$H$65,'Outages (event ledger)'!$A$2:$A$65,K$2,'Outages (event ledger)'!$E$2:$E$65,"&lt;="&amp;$B175,'Outages (event ledger)'!$G$2:$G$65,"&gt;="&amp;$B175)</f>
        <v>0</v>
      </c>
      <c r="L175" s="26" t="n">
        <f aca="false">SUMIFS('Outages (event ledger)'!$H$2:$H$65,'Outages (event ledger)'!$A$2:$A$65,L$2,'Outages (event ledger)'!$E$2:$E$65,"&lt;="&amp;$B175,'Outages (event ledger)'!$G$2:$G$65,"&gt;="&amp;$B175)</f>
        <v>0</v>
      </c>
      <c r="M175" s="26" t="n">
        <f aca="false">SUMIFS('Outages (event ledger)'!$H$2:$H$65,'Outages (event ledger)'!$A$2:$A$65,M$2,'Outages (event ledger)'!$E$2:$E$65,"&lt;="&amp;$B175,'Outages (event ledger)'!$G$2:$G$65,"&gt;="&amp;$B175)</f>
        <v>0</v>
      </c>
      <c r="N175" s="26" t="n">
        <f aca="false">SUMIFS('Outages (event ledger)'!$H$2:$H$65,'Outages (event ledger)'!$A$2:$A$65,N$2,'Outages (event ledger)'!$E$2:$E$65,"&lt;="&amp;$B175,'Outages (event ledger)'!$G$2:$G$65,"&gt;="&amp;$B175)</f>
        <v>0</v>
      </c>
      <c r="O175" s="26" t="n">
        <f aca="false">SUMIFS('Outages (event ledger)'!$H$2:$H$65,'Outages (event ledger)'!$A$2:$A$65,O$2,'Outages (event ledger)'!$E$2:$E$65,"&lt;="&amp;$B175,'Outages (event ledger)'!$G$2:$G$65,"&gt;="&amp;$B175)</f>
        <v>0</v>
      </c>
      <c r="P175" s="26" t="n">
        <f aca="false">SUMIFS('Outages (event ledger)'!$H$2:$H$65,'Outages (event ledger)'!$A$2:$A$65,P$2,'Outages (event ledger)'!$E$2:$E$65,"&lt;="&amp;$B175,'Outages (event ledger)'!$G$2:$G$65,"&gt;="&amp;$B175)</f>
        <v>0</v>
      </c>
      <c r="Q175" s="26" t="n">
        <f aca="false">SUMIFS('Outages (event ledger)'!$H$2:$H$65,'Outages (event ledger)'!$A$2:$A$65,Q$2,'Outages (event ledger)'!$E$2:$E$65,"&lt;="&amp;$B175,'Outages (event ledger)'!$G$2:$G$65,"&gt;="&amp;$B175)</f>
        <v>0</v>
      </c>
      <c r="R175" s="26" t="n">
        <f aca="false">SUMIFS('Outages (event ledger)'!$H$2:$H$65,'Outages (event ledger)'!$A$2:$A$65,R$2,'Outages (event ledger)'!$E$2:$E$65,"&lt;="&amp;$B175,'Outages (event ledger)'!$G$2:$G$65,"&gt;="&amp;$B175)</f>
        <v>0</v>
      </c>
      <c r="S175" s="26" t="n">
        <f aca="false">SUMIFS('Outages (event ledger)'!$H$2:$H$65,'Outages (event ledger)'!$A$2:$A$65,S$2,'Outages (event ledger)'!$E$2:$E$65,"&lt;="&amp;$B175,'Outages (event ledger)'!$G$2:$G$65,"&gt;="&amp;$B175)</f>
        <v>0</v>
      </c>
      <c r="T175" s="26" t="n">
        <f aca="false">SUMIFS('Outages (event ledger)'!$H$2:$H$65,'Outages (event ledger)'!$A$2:$A$65,T$2,'Outages (event ledger)'!$E$2:$E$65,"&lt;="&amp;$B175,'Outages (event ledger)'!$G$2:$G$65,"&gt;="&amp;$B175)</f>
        <v>0</v>
      </c>
      <c r="U175" s="26" t="n">
        <f aca="false">SUMIFS('Outages (event ledger)'!$H$2:$H$65,'Outages (event ledger)'!$A$2:$A$65,U$2,'Outages (event ledger)'!$E$2:$E$65,"&lt;="&amp;$B175,'Outages (event ledger)'!$G$2:$G$65,"&gt;="&amp;$B175)</f>
        <v>0</v>
      </c>
      <c r="V175" s="26" t="n">
        <f aca="false">SUMIFS('Outages (event ledger)'!$H$2:$H$65,'Outages (event ledger)'!$A$2:$A$65,V$2,'Outages (event ledger)'!$E$2:$E$65,"&lt;="&amp;$B175,'Outages (event ledger)'!$G$2:$G$65,"&gt;="&amp;$B175)</f>
        <v>0</v>
      </c>
      <c r="W175" s="26" t="n">
        <f aca="false">SUMIFS('Outages (event ledger)'!$H$2:$H$65,'Outages (event ledger)'!$A$2:$A$65,W$2,'Outages (event ledger)'!$E$2:$E$65,"&lt;="&amp;$B175,'Outages (event ledger)'!$G$2:$G$65,"&gt;="&amp;$B175)</f>
        <v>0</v>
      </c>
      <c r="X175" s="26" t="n">
        <f aca="false">SUMIFS('Outages (event ledger)'!$H$2:$H$65,'Outages (event ledger)'!$A$2:$A$65,X$2,'Outages (event ledger)'!$E$2:$E$65,"&lt;="&amp;$B175,'Outages (event ledger)'!$G$2:$G$65,"&gt;="&amp;$B175)</f>
        <v>0</v>
      </c>
      <c r="Y175" s="26" t="n">
        <f aca="false">SUMIFS('Outages (event ledger)'!$H$2:$H$65,'Outages (event ledger)'!$A$2:$A$65,Y$2,'Outages (event ledger)'!$E$2:$E$65,"&lt;="&amp;$B175,'Outages (event ledger)'!$G$2:$G$65,"&gt;="&amp;$B175)</f>
        <v>0</v>
      </c>
      <c r="Z175" s="26" t="n">
        <f aca="false">SUMIFS('Outages (event ledger)'!$H$2:$H$65,'Outages (event ledger)'!$A$2:$A$65,Z$2,'Outages (event ledger)'!$E$2:$E$65,"&lt;="&amp;$B175,'Outages (event ledger)'!$G$2:$G$65,"&gt;="&amp;$B175)</f>
        <v>0</v>
      </c>
      <c r="AA175" s="26" t="n">
        <f aca="false">SUMIFS('Outages (event ledger)'!$H$2:$H$65,'Outages (event ledger)'!$A$2:$A$65,AA$2,'Outages (event ledger)'!$E$2:$E$65,"&lt;="&amp;$B175,'Outages (event ledger)'!$G$2:$G$65,"&gt;="&amp;$B175)</f>
        <v>2</v>
      </c>
      <c r="AB175" s="26" t="n">
        <f aca="false">SUMIFS('Outages (event ledger)'!$H$2:$H$65,'Outages (event ledger)'!$A$2:$A$65,AB$2,'Outages (event ledger)'!$E$2:$E$65,"&lt;="&amp;$B175,'Outages (event ledger)'!$G$2:$G$65,"&gt;="&amp;$B175)</f>
        <v>8</v>
      </c>
      <c r="AC175" s="26" t="n">
        <f aca="false">SUMIFS('Outages (event ledger)'!$H$2:$H$65,'Outages (event ledger)'!$A$2:$A$65,AC$2,'Outages (event ledger)'!$E$2:$E$65,"&lt;="&amp;$B175,'Outages (event ledger)'!$G$2:$G$65,"&gt;="&amp;$B175)</f>
        <v>0</v>
      </c>
      <c r="AD175" s="26" t="n">
        <f aca="false">SUMIFS('Outages (event ledger)'!$H$2:$H$65,'Outages (event ledger)'!$A$2:$A$65,AD$2,'Outages (event ledger)'!$E$2:$E$65,"&lt;="&amp;$B175,'Outages (event ledger)'!$G$2:$G$65,"&gt;="&amp;$B175)</f>
        <v>0</v>
      </c>
      <c r="AE175" s="26" t="n">
        <f aca="false">SUMIFS('Outages (event ledger)'!$H$2:$H$65,'Outages (event ledger)'!$A$2:$A$65,AE$2,'Outages (event ledger)'!$E$2:$E$65,"&lt;="&amp;$B175,'Outages (event ledger)'!$G$2:$G$65,"&gt;="&amp;$B175)</f>
        <v>2.5</v>
      </c>
      <c r="AF175" s="26" t="n">
        <f aca="false">SUMIFS('Outages (event ledger)'!$H$2:$H$65,'Outages (event ledger)'!$A$2:$A$65,AF$2,'Outages (event ledger)'!$E$2:$E$65,"&lt;="&amp;$B175,'Outages (event ledger)'!$G$2:$G$65,"&gt;="&amp;$B175)</f>
        <v>0</v>
      </c>
      <c r="AG175" s="26" t="n">
        <f aca="false">SUMIFS('Outages (event ledger)'!$H$2:$H$65,'Outages (event ledger)'!$A$2:$A$65,AG$2,'Outages (event ledger)'!$E$2:$E$65,"&lt;="&amp;$B175,'Outages (event ledger)'!$G$2:$G$65,"&gt;="&amp;$B175)</f>
        <v>0</v>
      </c>
      <c r="AH175" s="26" t="n">
        <f aca="false">SUMIFS('Outages (event ledger)'!$H$2:$H$65,'Outages (event ledger)'!$A$2:$A$65,AH$2,'Outages (event ledger)'!$E$2:$E$65,"&lt;="&amp;$B175,'Outages (event ledger)'!$G$2:$G$65,"&gt;="&amp;$B175)</f>
        <v>0</v>
      </c>
      <c r="AI175" s="26" t="n">
        <f aca="false">SUMIFS('Outages (event ledger)'!$H$2:$H$65,'Outages (event ledger)'!$A$2:$A$65,AI$2,'Outages (event ledger)'!$E$2:$E$65,"&lt;="&amp;$B175,'Outages (event ledger)'!$G$2:$G$65,"&gt;="&amp;$B175)</f>
        <v>0</v>
      </c>
      <c r="AJ175" s="26" t="n">
        <f aca="false">SUMIFS('Outages (event ledger)'!$H$2:$H$65,'Outages (event ledger)'!$A$2:$A$65,AJ$2,'Outages (event ledger)'!$E$2:$E$65,"&lt;="&amp;$B175,'Outages (event ledger)'!$G$2:$G$65,"&gt;="&amp;$B175)</f>
        <v>0</v>
      </c>
      <c r="AK175" s="26" t="n">
        <f aca="false">SUMIFS('Outages (event ledger)'!$H$2:$H$65,'Outages (event ledger)'!$A$2:$A$65,AK$2,'Outages (event ledger)'!$E$2:$E$65,"&lt;="&amp;$B175,'Outages (event ledger)'!$G$2:$G$65,"&gt;="&amp;$B175)</f>
        <v>0</v>
      </c>
      <c r="AL175" s="26" t="n">
        <f aca="false">SUMIFS('Outages (event ledger)'!$H$2:$H$65,'Outages (event ledger)'!$A$2:$A$65,AL$2,'Outages (event ledger)'!$E$2:$E$65,"&lt;="&amp;$B175,'Outages (event ledger)'!$G$2:$G$65,"&gt;="&amp;$B175)</f>
        <v>0</v>
      </c>
      <c r="AM175" s="26" t="n">
        <f aca="false">SUMIFS('Outages (event ledger)'!$H$2:$H$65,'Outages (event ledger)'!$A$2:$A$65,AM$2,'Outages (event ledger)'!$E$2:$E$65,"&lt;="&amp;$B175,'Outages (event ledger)'!$G$2:$G$65,"&gt;="&amp;$B175)</f>
        <v>0</v>
      </c>
      <c r="AN175" s="26" t="n">
        <f aca="false">SUMIFS('Outages (event ledger)'!$H$2:$H$65,'Outages (event ledger)'!$A$2:$A$65,AN$2,'Outages (event ledger)'!$E$2:$E$65,"&lt;="&amp;$B175,'Outages (event ledger)'!$G$2:$G$65,"&gt;="&amp;$B175)</f>
        <v>0</v>
      </c>
      <c r="AO175" s="26" t="n">
        <f aca="false">SUMIFS('Outages (event ledger)'!$H$2:$H$65,'Outages (event ledger)'!$A$2:$A$65,AO$2,'Outages (event ledger)'!$E$2:$E$65,"&lt;="&amp;$B175,'Outages (event ledger)'!$G$2:$G$65,"&gt;="&amp;$B175)</f>
        <v>0</v>
      </c>
      <c r="AP175" s="26" t="n">
        <f aca="false">SUMIFS('Outages (event ledger)'!$H$2:$H$65,'Outages (event ledger)'!$A$2:$A$65,AP$2,'Outages (event ledger)'!$E$2:$E$65,"&lt;="&amp;$B175,'Outages (event ledger)'!$G$2:$G$65,"&gt;="&amp;$B175)</f>
        <v>0</v>
      </c>
      <c r="AQ175" s="26" t="n">
        <f aca="false">SUMIFS('Outages (event ledger)'!$H$2:$H$65,'Outages (event ledger)'!$A$2:$A$65,AQ$2,'Outages (event ledger)'!$E$2:$E$65,"&lt;="&amp;$B175,'Outages (event ledger)'!$G$2:$G$65,"&gt;="&amp;$B175)</f>
        <v>0</v>
      </c>
      <c r="AR175" s="26" t="n">
        <f aca="false">SUMIFS('Outages (event ledger)'!$H$2:$H$65,'Outages (event ledger)'!$A$2:$A$65,AR$2,'Outages (event ledger)'!$E$2:$E$65,"&lt;="&amp;$B175,'Outages (event ledger)'!$G$2:$G$65,"&gt;="&amp;$B175)</f>
        <v>0</v>
      </c>
      <c r="AS175" s="26" t="n">
        <f aca="false">SUMIFS('Outages (event ledger)'!$H$2:$H$65,'Outages (event ledger)'!$A$2:$A$65,AS$2,'Outages (event ledger)'!$E$2:$E$65,"&lt;="&amp;$B175,'Outages (event ledger)'!$G$2:$G$65,"&gt;="&amp;$B175)</f>
        <v>0</v>
      </c>
      <c r="AT175" s="26" t="n">
        <f aca="false">SUMIFS('Outages (event ledger)'!$H$2:$H$65,'Outages (event ledger)'!$A$2:$A$65,AT$2,'Outages (event ledger)'!$E$2:$E$65,"&lt;="&amp;$B175,'Outages (event ledger)'!$G$2:$G$65,"&gt;="&amp;$B175)</f>
        <v>0</v>
      </c>
      <c r="AU175" s="26" t="n">
        <f aca="false">SUMIFS('Outages (event ledger)'!$H$2:$H$65,'Outages (event ledger)'!$A$2:$A$65,AU$2,'Outages (event ledger)'!$E$2:$E$65,"&lt;="&amp;$B175,'Outages (event ledger)'!$G$2:$G$65,"&gt;="&amp;$B175)</f>
        <v>0</v>
      </c>
      <c r="AV175" s="26" t="n">
        <f aca="false">SUMIFS('Outages (event ledger)'!$H$2:$H$65,'Outages (event ledger)'!$A$2:$A$65,AV$2,'Outages (event ledger)'!$E$2:$E$65,"&lt;="&amp;$B175,'Outages (event ledger)'!$G$2:$G$65,"&gt;="&amp;$B175)</f>
        <v>0</v>
      </c>
      <c r="AW175" s="26" t="n">
        <f aca="false">SUMIFS('Outages (event ledger)'!$H$2:$H$65,'Outages (event ledger)'!$A$2:$A$65,AW$2,'Outages (event ledger)'!$E$2:$E$65,"&lt;="&amp;$B175,'Outages (event ledger)'!$G$2:$G$65,"&gt;="&amp;$B175)</f>
        <v>0</v>
      </c>
      <c r="AX175" s="26" t="n">
        <f aca="false">SUMIFS('Outages (event ledger)'!$H$2:$H$65,'Outages (event ledger)'!$A$2:$A$65,AX$2,'Outages (event ledger)'!$E$2:$E$65,"&lt;="&amp;$B175,'Outages (event ledger)'!$G$2:$G$65,"&gt;="&amp;$B175)</f>
        <v>6.6</v>
      </c>
      <c r="AY175" s="26" t="n">
        <f aca="false">SUMIFS('Outages (event ledger)'!$H$2:$H$65,'Outages (event ledger)'!$A$2:$A$65,AY$2,'Outages (event ledger)'!$E$2:$E$65,"&lt;="&amp;$B175,'Outages (event ledger)'!$G$2:$G$65,"&gt;="&amp;$B175)</f>
        <v>0</v>
      </c>
      <c r="AZ175" s="26" t="n">
        <f aca="false">SUMIFS('Outages (event ledger)'!$H$2:$H$65,'Outages (event ledger)'!$A$2:$A$65,AZ$2,'Outages (event ledger)'!$E$2:$E$65,"&lt;="&amp;$B175,'Outages (event ledger)'!$G$2:$G$65,"&gt;="&amp;$B175)</f>
        <v>2</v>
      </c>
      <c r="BA175" s="26" t="n">
        <f aca="false">SUMIFS('Outages (event ledger)'!$H$2:$H$65,'Outages (event ledger)'!$A$2:$A$65,BA$2,'Outages (event ledger)'!$E$2:$E$65,"&lt;="&amp;$B175,'Outages (event ledger)'!$G$2:$G$65,"&gt;="&amp;$B175)</f>
        <v>0</v>
      </c>
      <c r="BB175" s="26" t="n">
        <f aca="false">SUMIFS('Outages (event ledger)'!$H$2:$H$65,'Outages (event ledger)'!$A$2:$A$65,BB$2,'Outages (event ledger)'!$E$2:$E$65,"&lt;="&amp;$B175,'Outages (event ledger)'!$G$2:$G$65,"&gt;="&amp;$B175)</f>
        <v>0</v>
      </c>
      <c r="BC175" s="26" t="n">
        <f aca="false">SUMIFS('Outages (event ledger)'!$H$2:$H$65,'Outages (event ledger)'!$A$2:$A$65,BC$2,'Outages (event ledger)'!$E$2:$E$65,"&lt;="&amp;$B175,'Outages (event ledger)'!$G$2:$G$65,"&gt;="&amp;$B175)</f>
        <v>0</v>
      </c>
      <c r="BD175" s="26" t="n">
        <f aca="false">SUMIFS('Outages (event ledger)'!$H$2:$H$65,'Outages (event ledger)'!$A$2:$A$65,BD$2,'Outages (event ledger)'!$E$2:$E$65,"&lt;="&amp;$B175,'Outages (event ledger)'!$G$2:$G$65,"&gt;="&amp;$B175)</f>
        <v>0</v>
      </c>
      <c r="BE175" s="26" t="n">
        <f aca="false">SUMIFS('Outages (event ledger)'!$H$2:$H$65,'Outages (event ledger)'!$A$2:$A$65,BE$2,'Outages (event ledger)'!$E$2:$E$65,"&lt;="&amp;$B175,'Outages (event ledger)'!$G$2:$G$65,"&gt;="&amp;$B175)</f>
        <v>0</v>
      </c>
      <c r="BF175" s="26" t="n">
        <f aca="false">SUMIFS('Outages (event ledger)'!$H$2:$H$65,'Outages (event ledger)'!$A$2:$A$65,BF$2,'Outages (event ledger)'!$E$2:$E$65,"&lt;="&amp;$B175,'Outages (event ledger)'!$G$2:$G$65,"&gt;="&amp;$B175)</f>
        <v>0</v>
      </c>
      <c r="BG175" s="26" t="n">
        <f aca="false">SUMIFS('Outages (event ledger)'!$H$2:$H$65,'Outages (event ledger)'!$A$2:$A$65,BG$2,'Outages (event ledger)'!$E$2:$E$65,"&lt;="&amp;$B175,'Outages (event ledger)'!$G$2:$G$65,"&gt;="&amp;$B175)</f>
        <v>0</v>
      </c>
      <c r="BH175" s="26" t="n">
        <f aca="false">SUMIFS('Outages (event ledger)'!$H$2:$H$65,'Outages (event ledger)'!$A$2:$A$65,BH$2,'Outages (event ledger)'!$E$2:$E$65,"&lt;="&amp;$B175,'Outages (event ledger)'!$G$2:$G$65,"&gt;="&amp;$B175)</f>
        <v>0</v>
      </c>
      <c r="BI175" s="26" t="n">
        <f aca="false">SUMIFS('Outages (event ledger)'!$H$2:$H$65,'Outages (event ledger)'!$A$2:$A$65,BI$2,'Outages (event ledger)'!$E$2:$E$65,"&lt;="&amp;$B175,'Outages (event ledger)'!$G$2:$G$65,"&gt;="&amp;$B175)</f>
        <v>6.7</v>
      </c>
    </row>
    <row r="176" customFormat="false" ht="15" hidden="false" customHeight="false" outlineLevel="0" collapsed="false">
      <c r="A176" s="23" t="n">
        <v>45444</v>
      </c>
      <c r="B176" s="24" t="n">
        <v>202406</v>
      </c>
      <c r="C176" s="25" t="n">
        <f aca="false">SUM(D176:BI176)</f>
        <v>33.8</v>
      </c>
      <c r="D176" s="26" t="n">
        <f aca="false">SUMIFS('Outages (event ledger)'!$H$2:$H$65,'Outages (event ledger)'!$A$2:$A$65,D$2,'Outages (event ledger)'!$E$2:$E$65,"&lt;="&amp;$B176,'Outages (event ledger)'!$G$2:$G$65,"&gt;="&amp;$B176)</f>
        <v>0</v>
      </c>
      <c r="E176" s="26" t="n">
        <f aca="false">SUMIFS('Outages (event ledger)'!$H$2:$H$65,'Outages (event ledger)'!$A$2:$A$65,E$2,'Outages (event ledger)'!$E$2:$E$65,"&lt;="&amp;$B176,'Outages (event ledger)'!$G$2:$G$65,"&gt;="&amp;$B176)</f>
        <v>0</v>
      </c>
      <c r="F176" s="26" t="n">
        <f aca="false">SUMIFS('Outages (event ledger)'!$H$2:$H$65,'Outages (event ledger)'!$A$2:$A$65,F$2,'Outages (event ledger)'!$E$2:$E$65,"&lt;="&amp;$B176,'Outages (event ledger)'!$G$2:$G$65,"&gt;="&amp;$B176)</f>
        <v>0</v>
      </c>
      <c r="G176" s="26" t="n">
        <f aca="false">SUMIFS('Outages (event ledger)'!$H$2:$H$65,'Outages (event ledger)'!$A$2:$A$65,G$2,'Outages (event ledger)'!$E$2:$E$65,"&lt;="&amp;$B176,'Outages (event ledger)'!$G$2:$G$65,"&gt;="&amp;$B176)</f>
        <v>0</v>
      </c>
      <c r="H176" s="26" t="n">
        <f aca="false">SUMIFS('Outages (event ledger)'!$H$2:$H$65,'Outages (event ledger)'!$A$2:$A$65,H$2,'Outages (event ledger)'!$E$2:$E$65,"&lt;="&amp;$B176,'Outages (event ledger)'!$G$2:$G$65,"&gt;="&amp;$B176)</f>
        <v>0</v>
      </c>
      <c r="I176" s="26" t="n">
        <f aca="false">SUMIFS('Outages (event ledger)'!$H$2:$H$65,'Outages (event ledger)'!$A$2:$A$65,I$2,'Outages (event ledger)'!$E$2:$E$65,"&lt;="&amp;$B176,'Outages (event ledger)'!$G$2:$G$65,"&gt;="&amp;$B176)</f>
        <v>0</v>
      </c>
      <c r="J176" s="26" t="n">
        <f aca="false">SUMIFS('Outages (event ledger)'!$H$2:$H$65,'Outages (event ledger)'!$A$2:$A$65,J$2,'Outages (event ledger)'!$E$2:$E$65,"&lt;="&amp;$B176,'Outages (event ledger)'!$G$2:$G$65,"&gt;="&amp;$B176)</f>
        <v>0</v>
      </c>
      <c r="K176" s="26" t="n">
        <f aca="false">SUMIFS('Outages (event ledger)'!$H$2:$H$65,'Outages (event ledger)'!$A$2:$A$65,K$2,'Outages (event ledger)'!$E$2:$E$65,"&lt;="&amp;$B176,'Outages (event ledger)'!$G$2:$G$65,"&gt;="&amp;$B176)</f>
        <v>0</v>
      </c>
      <c r="L176" s="26" t="n">
        <f aca="false">SUMIFS('Outages (event ledger)'!$H$2:$H$65,'Outages (event ledger)'!$A$2:$A$65,L$2,'Outages (event ledger)'!$E$2:$E$65,"&lt;="&amp;$B176,'Outages (event ledger)'!$G$2:$G$65,"&gt;="&amp;$B176)</f>
        <v>0</v>
      </c>
      <c r="M176" s="26" t="n">
        <f aca="false">SUMIFS('Outages (event ledger)'!$H$2:$H$65,'Outages (event ledger)'!$A$2:$A$65,M$2,'Outages (event ledger)'!$E$2:$E$65,"&lt;="&amp;$B176,'Outages (event ledger)'!$G$2:$G$65,"&gt;="&amp;$B176)</f>
        <v>0</v>
      </c>
      <c r="N176" s="26" t="n">
        <f aca="false">SUMIFS('Outages (event ledger)'!$H$2:$H$65,'Outages (event ledger)'!$A$2:$A$65,N$2,'Outages (event ledger)'!$E$2:$E$65,"&lt;="&amp;$B176,'Outages (event ledger)'!$G$2:$G$65,"&gt;="&amp;$B176)</f>
        <v>0</v>
      </c>
      <c r="O176" s="26" t="n">
        <f aca="false">SUMIFS('Outages (event ledger)'!$H$2:$H$65,'Outages (event ledger)'!$A$2:$A$65,O$2,'Outages (event ledger)'!$E$2:$E$65,"&lt;="&amp;$B176,'Outages (event ledger)'!$G$2:$G$65,"&gt;="&amp;$B176)</f>
        <v>0</v>
      </c>
      <c r="P176" s="26" t="n">
        <f aca="false">SUMIFS('Outages (event ledger)'!$H$2:$H$65,'Outages (event ledger)'!$A$2:$A$65,P$2,'Outages (event ledger)'!$E$2:$E$65,"&lt;="&amp;$B176,'Outages (event ledger)'!$G$2:$G$65,"&gt;="&amp;$B176)</f>
        <v>0</v>
      </c>
      <c r="Q176" s="26" t="n">
        <f aca="false">SUMIFS('Outages (event ledger)'!$H$2:$H$65,'Outages (event ledger)'!$A$2:$A$65,Q$2,'Outages (event ledger)'!$E$2:$E$65,"&lt;="&amp;$B176,'Outages (event ledger)'!$G$2:$G$65,"&gt;="&amp;$B176)</f>
        <v>0</v>
      </c>
      <c r="R176" s="26" t="n">
        <f aca="false">SUMIFS('Outages (event ledger)'!$H$2:$H$65,'Outages (event ledger)'!$A$2:$A$65,R$2,'Outages (event ledger)'!$E$2:$E$65,"&lt;="&amp;$B176,'Outages (event ledger)'!$G$2:$G$65,"&gt;="&amp;$B176)</f>
        <v>0</v>
      </c>
      <c r="S176" s="26" t="n">
        <f aca="false">SUMIFS('Outages (event ledger)'!$H$2:$H$65,'Outages (event ledger)'!$A$2:$A$65,S$2,'Outages (event ledger)'!$E$2:$E$65,"&lt;="&amp;$B176,'Outages (event ledger)'!$G$2:$G$65,"&gt;="&amp;$B176)</f>
        <v>0</v>
      </c>
      <c r="T176" s="26" t="n">
        <f aca="false">SUMIFS('Outages (event ledger)'!$H$2:$H$65,'Outages (event ledger)'!$A$2:$A$65,T$2,'Outages (event ledger)'!$E$2:$E$65,"&lt;="&amp;$B176,'Outages (event ledger)'!$G$2:$G$65,"&gt;="&amp;$B176)</f>
        <v>0</v>
      </c>
      <c r="U176" s="26" t="n">
        <f aca="false">SUMIFS('Outages (event ledger)'!$H$2:$H$65,'Outages (event ledger)'!$A$2:$A$65,U$2,'Outages (event ledger)'!$E$2:$E$65,"&lt;="&amp;$B176,'Outages (event ledger)'!$G$2:$G$65,"&gt;="&amp;$B176)</f>
        <v>0</v>
      </c>
      <c r="V176" s="26" t="n">
        <f aca="false">SUMIFS('Outages (event ledger)'!$H$2:$H$65,'Outages (event ledger)'!$A$2:$A$65,V$2,'Outages (event ledger)'!$E$2:$E$65,"&lt;="&amp;$B176,'Outages (event ledger)'!$G$2:$G$65,"&gt;="&amp;$B176)</f>
        <v>0</v>
      </c>
      <c r="W176" s="26" t="n">
        <f aca="false">SUMIFS('Outages (event ledger)'!$H$2:$H$65,'Outages (event ledger)'!$A$2:$A$65,W$2,'Outages (event ledger)'!$E$2:$E$65,"&lt;="&amp;$B176,'Outages (event ledger)'!$G$2:$G$65,"&gt;="&amp;$B176)</f>
        <v>0</v>
      </c>
      <c r="X176" s="26" t="n">
        <f aca="false">SUMIFS('Outages (event ledger)'!$H$2:$H$65,'Outages (event ledger)'!$A$2:$A$65,X$2,'Outages (event ledger)'!$E$2:$E$65,"&lt;="&amp;$B176,'Outages (event ledger)'!$G$2:$G$65,"&gt;="&amp;$B176)</f>
        <v>0</v>
      </c>
      <c r="Y176" s="26" t="n">
        <f aca="false">SUMIFS('Outages (event ledger)'!$H$2:$H$65,'Outages (event ledger)'!$A$2:$A$65,Y$2,'Outages (event ledger)'!$E$2:$E$65,"&lt;="&amp;$B176,'Outages (event ledger)'!$G$2:$G$65,"&gt;="&amp;$B176)</f>
        <v>0</v>
      </c>
      <c r="Z176" s="26" t="n">
        <f aca="false">SUMIFS('Outages (event ledger)'!$H$2:$H$65,'Outages (event ledger)'!$A$2:$A$65,Z$2,'Outages (event ledger)'!$E$2:$E$65,"&lt;="&amp;$B176,'Outages (event ledger)'!$G$2:$G$65,"&gt;="&amp;$B176)</f>
        <v>6</v>
      </c>
      <c r="AA176" s="26" t="n">
        <f aca="false">SUMIFS('Outages (event ledger)'!$H$2:$H$65,'Outages (event ledger)'!$A$2:$A$65,AA$2,'Outages (event ledger)'!$E$2:$E$65,"&lt;="&amp;$B176,'Outages (event ledger)'!$G$2:$G$65,"&gt;="&amp;$B176)</f>
        <v>2</v>
      </c>
      <c r="AB176" s="26" t="n">
        <f aca="false">SUMIFS('Outages (event ledger)'!$H$2:$H$65,'Outages (event ledger)'!$A$2:$A$65,AB$2,'Outages (event ledger)'!$E$2:$E$65,"&lt;="&amp;$B176,'Outages (event ledger)'!$G$2:$G$65,"&gt;="&amp;$B176)</f>
        <v>8</v>
      </c>
      <c r="AC176" s="26" t="n">
        <f aca="false">SUMIFS('Outages (event ledger)'!$H$2:$H$65,'Outages (event ledger)'!$A$2:$A$65,AC$2,'Outages (event ledger)'!$E$2:$E$65,"&lt;="&amp;$B176,'Outages (event ledger)'!$G$2:$G$65,"&gt;="&amp;$B176)</f>
        <v>0</v>
      </c>
      <c r="AD176" s="26" t="n">
        <f aca="false">SUMIFS('Outages (event ledger)'!$H$2:$H$65,'Outages (event ledger)'!$A$2:$A$65,AD$2,'Outages (event ledger)'!$E$2:$E$65,"&lt;="&amp;$B176,'Outages (event ledger)'!$G$2:$G$65,"&gt;="&amp;$B176)</f>
        <v>0</v>
      </c>
      <c r="AE176" s="26" t="n">
        <f aca="false">SUMIFS('Outages (event ledger)'!$H$2:$H$65,'Outages (event ledger)'!$A$2:$A$65,AE$2,'Outages (event ledger)'!$E$2:$E$65,"&lt;="&amp;$B176,'Outages (event ledger)'!$G$2:$G$65,"&gt;="&amp;$B176)</f>
        <v>2.5</v>
      </c>
      <c r="AF176" s="26" t="n">
        <f aca="false">SUMIFS('Outages (event ledger)'!$H$2:$H$65,'Outages (event ledger)'!$A$2:$A$65,AF$2,'Outages (event ledger)'!$E$2:$E$65,"&lt;="&amp;$B176,'Outages (event ledger)'!$G$2:$G$65,"&gt;="&amp;$B176)</f>
        <v>0</v>
      </c>
      <c r="AG176" s="26" t="n">
        <f aca="false">SUMIFS('Outages (event ledger)'!$H$2:$H$65,'Outages (event ledger)'!$A$2:$A$65,AG$2,'Outages (event ledger)'!$E$2:$E$65,"&lt;="&amp;$B176,'Outages (event ledger)'!$G$2:$G$65,"&gt;="&amp;$B176)</f>
        <v>0</v>
      </c>
      <c r="AH176" s="26" t="n">
        <f aca="false">SUMIFS('Outages (event ledger)'!$H$2:$H$65,'Outages (event ledger)'!$A$2:$A$65,AH$2,'Outages (event ledger)'!$E$2:$E$65,"&lt;="&amp;$B176,'Outages (event ledger)'!$G$2:$G$65,"&gt;="&amp;$B176)</f>
        <v>0</v>
      </c>
      <c r="AI176" s="26" t="n">
        <f aca="false">SUMIFS('Outages (event ledger)'!$H$2:$H$65,'Outages (event ledger)'!$A$2:$A$65,AI$2,'Outages (event ledger)'!$E$2:$E$65,"&lt;="&amp;$B176,'Outages (event ledger)'!$G$2:$G$65,"&gt;="&amp;$B176)</f>
        <v>0</v>
      </c>
      <c r="AJ176" s="26" t="n">
        <f aca="false">SUMIFS('Outages (event ledger)'!$H$2:$H$65,'Outages (event ledger)'!$A$2:$A$65,AJ$2,'Outages (event ledger)'!$E$2:$E$65,"&lt;="&amp;$B176,'Outages (event ledger)'!$G$2:$G$65,"&gt;="&amp;$B176)</f>
        <v>0</v>
      </c>
      <c r="AK176" s="26" t="n">
        <f aca="false">SUMIFS('Outages (event ledger)'!$H$2:$H$65,'Outages (event ledger)'!$A$2:$A$65,AK$2,'Outages (event ledger)'!$E$2:$E$65,"&lt;="&amp;$B176,'Outages (event ledger)'!$G$2:$G$65,"&gt;="&amp;$B176)</f>
        <v>0</v>
      </c>
      <c r="AL176" s="26" t="n">
        <f aca="false">SUMIFS('Outages (event ledger)'!$H$2:$H$65,'Outages (event ledger)'!$A$2:$A$65,AL$2,'Outages (event ledger)'!$E$2:$E$65,"&lt;="&amp;$B176,'Outages (event ledger)'!$G$2:$G$65,"&gt;="&amp;$B176)</f>
        <v>0</v>
      </c>
      <c r="AM176" s="26" t="n">
        <f aca="false">SUMIFS('Outages (event ledger)'!$H$2:$H$65,'Outages (event ledger)'!$A$2:$A$65,AM$2,'Outages (event ledger)'!$E$2:$E$65,"&lt;="&amp;$B176,'Outages (event ledger)'!$G$2:$G$65,"&gt;="&amp;$B176)</f>
        <v>0</v>
      </c>
      <c r="AN176" s="26" t="n">
        <f aca="false">SUMIFS('Outages (event ledger)'!$H$2:$H$65,'Outages (event ledger)'!$A$2:$A$65,AN$2,'Outages (event ledger)'!$E$2:$E$65,"&lt;="&amp;$B176,'Outages (event ledger)'!$G$2:$G$65,"&gt;="&amp;$B176)</f>
        <v>0</v>
      </c>
      <c r="AO176" s="26" t="n">
        <f aca="false">SUMIFS('Outages (event ledger)'!$H$2:$H$65,'Outages (event ledger)'!$A$2:$A$65,AO$2,'Outages (event ledger)'!$E$2:$E$65,"&lt;="&amp;$B176,'Outages (event ledger)'!$G$2:$G$65,"&gt;="&amp;$B176)</f>
        <v>0</v>
      </c>
      <c r="AP176" s="26" t="n">
        <f aca="false">SUMIFS('Outages (event ledger)'!$H$2:$H$65,'Outages (event ledger)'!$A$2:$A$65,AP$2,'Outages (event ledger)'!$E$2:$E$65,"&lt;="&amp;$B176,'Outages (event ledger)'!$G$2:$G$65,"&gt;="&amp;$B176)</f>
        <v>0</v>
      </c>
      <c r="AQ176" s="26" t="n">
        <f aca="false">SUMIFS('Outages (event ledger)'!$H$2:$H$65,'Outages (event ledger)'!$A$2:$A$65,AQ$2,'Outages (event ledger)'!$E$2:$E$65,"&lt;="&amp;$B176,'Outages (event ledger)'!$G$2:$G$65,"&gt;="&amp;$B176)</f>
        <v>0</v>
      </c>
      <c r="AR176" s="26" t="n">
        <f aca="false">SUMIFS('Outages (event ledger)'!$H$2:$H$65,'Outages (event ledger)'!$A$2:$A$65,AR$2,'Outages (event ledger)'!$E$2:$E$65,"&lt;="&amp;$B176,'Outages (event ledger)'!$G$2:$G$65,"&gt;="&amp;$B176)</f>
        <v>0</v>
      </c>
      <c r="AS176" s="26" t="n">
        <f aca="false">SUMIFS('Outages (event ledger)'!$H$2:$H$65,'Outages (event ledger)'!$A$2:$A$65,AS$2,'Outages (event ledger)'!$E$2:$E$65,"&lt;="&amp;$B176,'Outages (event ledger)'!$G$2:$G$65,"&gt;="&amp;$B176)</f>
        <v>0</v>
      </c>
      <c r="AT176" s="26" t="n">
        <f aca="false">SUMIFS('Outages (event ledger)'!$H$2:$H$65,'Outages (event ledger)'!$A$2:$A$65,AT$2,'Outages (event ledger)'!$E$2:$E$65,"&lt;="&amp;$B176,'Outages (event ledger)'!$G$2:$G$65,"&gt;="&amp;$B176)</f>
        <v>0</v>
      </c>
      <c r="AU176" s="26" t="n">
        <f aca="false">SUMIFS('Outages (event ledger)'!$H$2:$H$65,'Outages (event ledger)'!$A$2:$A$65,AU$2,'Outages (event ledger)'!$E$2:$E$65,"&lt;="&amp;$B176,'Outages (event ledger)'!$G$2:$G$65,"&gt;="&amp;$B176)</f>
        <v>0</v>
      </c>
      <c r="AV176" s="26" t="n">
        <f aca="false">SUMIFS('Outages (event ledger)'!$H$2:$H$65,'Outages (event ledger)'!$A$2:$A$65,AV$2,'Outages (event ledger)'!$E$2:$E$65,"&lt;="&amp;$B176,'Outages (event ledger)'!$G$2:$G$65,"&gt;="&amp;$B176)</f>
        <v>0</v>
      </c>
      <c r="AW176" s="26" t="n">
        <f aca="false">SUMIFS('Outages (event ledger)'!$H$2:$H$65,'Outages (event ledger)'!$A$2:$A$65,AW$2,'Outages (event ledger)'!$E$2:$E$65,"&lt;="&amp;$B176,'Outages (event ledger)'!$G$2:$G$65,"&gt;="&amp;$B176)</f>
        <v>0</v>
      </c>
      <c r="AX176" s="26" t="n">
        <f aca="false">SUMIFS('Outages (event ledger)'!$H$2:$H$65,'Outages (event ledger)'!$A$2:$A$65,AX$2,'Outages (event ledger)'!$E$2:$E$65,"&lt;="&amp;$B176,'Outages (event ledger)'!$G$2:$G$65,"&gt;="&amp;$B176)</f>
        <v>6.6</v>
      </c>
      <c r="AY176" s="26" t="n">
        <f aca="false">SUMIFS('Outages (event ledger)'!$H$2:$H$65,'Outages (event ledger)'!$A$2:$A$65,AY$2,'Outages (event ledger)'!$E$2:$E$65,"&lt;="&amp;$B176,'Outages (event ledger)'!$G$2:$G$65,"&gt;="&amp;$B176)</f>
        <v>0</v>
      </c>
      <c r="AZ176" s="26" t="n">
        <f aca="false">SUMIFS('Outages (event ledger)'!$H$2:$H$65,'Outages (event ledger)'!$A$2:$A$65,AZ$2,'Outages (event ledger)'!$E$2:$E$65,"&lt;="&amp;$B176,'Outages (event ledger)'!$G$2:$G$65,"&gt;="&amp;$B176)</f>
        <v>2</v>
      </c>
      <c r="BA176" s="26" t="n">
        <f aca="false">SUMIFS('Outages (event ledger)'!$H$2:$H$65,'Outages (event ledger)'!$A$2:$A$65,BA$2,'Outages (event ledger)'!$E$2:$E$65,"&lt;="&amp;$B176,'Outages (event ledger)'!$G$2:$G$65,"&gt;="&amp;$B176)</f>
        <v>0</v>
      </c>
      <c r="BB176" s="26" t="n">
        <f aca="false">SUMIFS('Outages (event ledger)'!$H$2:$H$65,'Outages (event ledger)'!$A$2:$A$65,BB$2,'Outages (event ledger)'!$E$2:$E$65,"&lt;="&amp;$B176,'Outages (event ledger)'!$G$2:$G$65,"&gt;="&amp;$B176)</f>
        <v>0</v>
      </c>
      <c r="BC176" s="26" t="n">
        <f aca="false">SUMIFS('Outages (event ledger)'!$H$2:$H$65,'Outages (event ledger)'!$A$2:$A$65,BC$2,'Outages (event ledger)'!$E$2:$E$65,"&lt;="&amp;$B176,'Outages (event ledger)'!$G$2:$G$65,"&gt;="&amp;$B176)</f>
        <v>0</v>
      </c>
      <c r="BD176" s="26" t="n">
        <f aca="false">SUMIFS('Outages (event ledger)'!$H$2:$H$65,'Outages (event ledger)'!$A$2:$A$65,BD$2,'Outages (event ledger)'!$E$2:$E$65,"&lt;="&amp;$B176,'Outages (event ledger)'!$G$2:$G$65,"&gt;="&amp;$B176)</f>
        <v>0</v>
      </c>
      <c r="BE176" s="26" t="n">
        <f aca="false">SUMIFS('Outages (event ledger)'!$H$2:$H$65,'Outages (event ledger)'!$A$2:$A$65,BE$2,'Outages (event ledger)'!$E$2:$E$65,"&lt;="&amp;$B176,'Outages (event ledger)'!$G$2:$G$65,"&gt;="&amp;$B176)</f>
        <v>0</v>
      </c>
      <c r="BF176" s="26" t="n">
        <f aca="false">SUMIFS('Outages (event ledger)'!$H$2:$H$65,'Outages (event ledger)'!$A$2:$A$65,BF$2,'Outages (event ledger)'!$E$2:$E$65,"&lt;="&amp;$B176,'Outages (event ledger)'!$G$2:$G$65,"&gt;="&amp;$B176)</f>
        <v>0</v>
      </c>
      <c r="BG176" s="26" t="n">
        <f aca="false">SUMIFS('Outages (event ledger)'!$H$2:$H$65,'Outages (event ledger)'!$A$2:$A$65,BG$2,'Outages (event ledger)'!$E$2:$E$65,"&lt;="&amp;$B176,'Outages (event ledger)'!$G$2:$G$65,"&gt;="&amp;$B176)</f>
        <v>0</v>
      </c>
      <c r="BH176" s="26" t="n">
        <f aca="false">SUMIFS('Outages (event ledger)'!$H$2:$H$65,'Outages (event ledger)'!$A$2:$A$65,BH$2,'Outages (event ledger)'!$E$2:$E$65,"&lt;="&amp;$B176,'Outages (event ledger)'!$G$2:$G$65,"&gt;="&amp;$B176)</f>
        <v>0</v>
      </c>
      <c r="BI176" s="26" t="n">
        <f aca="false">SUMIFS('Outages (event ledger)'!$H$2:$H$65,'Outages (event ledger)'!$A$2:$A$65,BI$2,'Outages (event ledger)'!$E$2:$E$65,"&lt;="&amp;$B176,'Outages (event ledger)'!$G$2:$G$65,"&gt;="&amp;$B176)</f>
        <v>6.7</v>
      </c>
    </row>
    <row r="177" customFormat="false" ht="15" hidden="false" customHeight="false" outlineLevel="0" collapsed="false">
      <c r="A177" s="23" t="n">
        <v>45474</v>
      </c>
      <c r="B177" s="24" t="n">
        <v>202407</v>
      </c>
      <c r="C177" s="25" t="n">
        <f aca="false">SUM(D177:BI177)</f>
        <v>48.25</v>
      </c>
      <c r="D177" s="26" t="n">
        <f aca="false">SUMIFS('Outages (event ledger)'!$H$2:$H$65,'Outages (event ledger)'!$A$2:$A$65,D$2,'Outages (event ledger)'!$E$2:$E$65,"&lt;="&amp;$B177,'Outages (event ledger)'!$G$2:$G$65,"&gt;="&amp;$B177)</f>
        <v>0</v>
      </c>
      <c r="E177" s="26" t="n">
        <f aca="false">SUMIFS('Outages (event ledger)'!$H$2:$H$65,'Outages (event ledger)'!$A$2:$A$65,E$2,'Outages (event ledger)'!$E$2:$E$65,"&lt;="&amp;$B177,'Outages (event ledger)'!$G$2:$G$65,"&gt;="&amp;$B177)</f>
        <v>0</v>
      </c>
      <c r="F177" s="26" t="n">
        <f aca="false">SUMIFS('Outages (event ledger)'!$H$2:$H$65,'Outages (event ledger)'!$A$2:$A$65,F$2,'Outages (event ledger)'!$E$2:$E$65,"&lt;="&amp;$B177,'Outages (event ledger)'!$G$2:$G$65,"&gt;="&amp;$B177)</f>
        <v>0</v>
      </c>
      <c r="G177" s="26" t="n">
        <f aca="false">SUMIFS('Outages (event ledger)'!$H$2:$H$65,'Outages (event ledger)'!$A$2:$A$65,G$2,'Outages (event ledger)'!$E$2:$E$65,"&lt;="&amp;$B177,'Outages (event ledger)'!$G$2:$G$65,"&gt;="&amp;$B177)</f>
        <v>0</v>
      </c>
      <c r="H177" s="26" t="n">
        <f aca="false">SUMIFS('Outages (event ledger)'!$H$2:$H$65,'Outages (event ledger)'!$A$2:$A$65,H$2,'Outages (event ledger)'!$E$2:$E$65,"&lt;="&amp;$B177,'Outages (event ledger)'!$G$2:$G$65,"&gt;="&amp;$B177)</f>
        <v>0</v>
      </c>
      <c r="I177" s="26" t="n">
        <f aca="false">SUMIFS('Outages (event ledger)'!$H$2:$H$65,'Outages (event ledger)'!$A$2:$A$65,I$2,'Outages (event ledger)'!$E$2:$E$65,"&lt;="&amp;$B177,'Outages (event ledger)'!$G$2:$G$65,"&gt;="&amp;$B177)</f>
        <v>0</v>
      </c>
      <c r="J177" s="26" t="n">
        <f aca="false">SUMIFS('Outages (event ledger)'!$H$2:$H$65,'Outages (event ledger)'!$A$2:$A$65,J$2,'Outages (event ledger)'!$E$2:$E$65,"&lt;="&amp;$B177,'Outages (event ledger)'!$G$2:$G$65,"&gt;="&amp;$B177)</f>
        <v>0</v>
      </c>
      <c r="K177" s="26" t="n">
        <f aca="false">SUMIFS('Outages (event ledger)'!$H$2:$H$65,'Outages (event ledger)'!$A$2:$A$65,K$2,'Outages (event ledger)'!$E$2:$E$65,"&lt;="&amp;$B177,'Outages (event ledger)'!$G$2:$G$65,"&gt;="&amp;$B177)</f>
        <v>0</v>
      </c>
      <c r="L177" s="26" t="n">
        <f aca="false">SUMIFS('Outages (event ledger)'!$H$2:$H$65,'Outages (event ledger)'!$A$2:$A$65,L$2,'Outages (event ledger)'!$E$2:$E$65,"&lt;="&amp;$B177,'Outages (event ledger)'!$G$2:$G$65,"&gt;="&amp;$B177)</f>
        <v>0</v>
      </c>
      <c r="M177" s="26" t="n">
        <f aca="false">SUMIFS('Outages (event ledger)'!$H$2:$H$65,'Outages (event ledger)'!$A$2:$A$65,M$2,'Outages (event ledger)'!$E$2:$E$65,"&lt;="&amp;$B177,'Outages (event ledger)'!$G$2:$G$65,"&gt;="&amp;$B177)</f>
        <v>4.45</v>
      </c>
      <c r="N177" s="26" t="n">
        <f aca="false">SUMIFS('Outages (event ledger)'!$H$2:$H$65,'Outages (event ledger)'!$A$2:$A$65,N$2,'Outages (event ledger)'!$E$2:$E$65,"&lt;="&amp;$B177,'Outages (event ledger)'!$G$2:$G$65,"&gt;="&amp;$B177)</f>
        <v>0</v>
      </c>
      <c r="O177" s="26" t="n">
        <f aca="false">SUMIFS('Outages (event ledger)'!$H$2:$H$65,'Outages (event ledger)'!$A$2:$A$65,O$2,'Outages (event ledger)'!$E$2:$E$65,"&lt;="&amp;$B177,'Outages (event ledger)'!$G$2:$G$65,"&gt;="&amp;$B177)</f>
        <v>0</v>
      </c>
      <c r="P177" s="26" t="n">
        <f aca="false">SUMIFS('Outages (event ledger)'!$H$2:$H$65,'Outages (event ledger)'!$A$2:$A$65,P$2,'Outages (event ledger)'!$E$2:$E$65,"&lt;="&amp;$B177,'Outages (event ledger)'!$G$2:$G$65,"&gt;="&amp;$B177)</f>
        <v>0</v>
      </c>
      <c r="Q177" s="26" t="n">
        <f aca="false">SUMIFS('Outages (event ledger)'!$H$2:$H$65,'Outages (event ledger)'!$A$2:$A$65,Q$2,'Outages (event ledger)'!$E$2:$E$65,"&lt;="&amp;$B177,'Outages (event ledger)'!$G$2:$G$65,"&gt;="&amp;$B177)</f>
        <v>0</v>
      </c>
      <c r="R177" s="26" t="n">
        <f aca="false">SUMIFS('Outages (event ledger)'!$H$2:$H$65,'Outages (event ledger)'!$A$2:$A$65,R$2,'Outages (event ledger)'!$E$2:$E$65,"&lt;="&amp;$B177,'Outages (event ledger)'!$G$2:$G$65,"&gt;="&amp;$B177)</f>
        <v>0</v>
      </c>
      <c r="S177" s="26" t="n">
        <f aca="false">SUMIFS('Outages (event ledger)'!$H$2:$H$65,'Outages (event ledger)'!$A$2:$A$65,S$2,'Outages (event ledger)'!$E$2:$E$65,"&lt;="&amp;$B177,'Outages (event ledger)'!$G$2:$G$65,"&gt;="&amp;$B177)</f>
        <v>0</v>
      </c>
      <c r="T177" s="26" t="n">
        <f aca="false">SUMIFS('Outages (event ledger)'!$H$2:$H$65,'Outages (event ledger)'!$A$2:$A$65,T$2,'Outages (event ledger)'!$E$2:$E$65,"&lt;="&amp;$B177,'Outages (event ledger)'!$G$2:$G$65,"&gt;="&amp;$B177)</f>
        <v>0</v>
      </c>
      <c r="U177" s="26" t="n">
        <f aca="false">SUMIFS('Outages (event ledger)'!$H$2:$H$65,'Outages (event ledger)'!$A$2:$A$65,U$2,'Outages (event ledger)'!$E$2:$E$65,"&lt;="&amp;$B177,'Outages (event ledger)'!$G$2:$G$65,"&gt;="&amp;$B177)</f>
        <v>0</v>
      </c>
      <c r="V177" s="26" t="n">
        <f aca="false">SUMIFS('Outages (event ledger)'!$H$2:$H$65,'Outages (event ledger)'!$A$2:$A$65,V$2,'Outages (event ledger)'!$E$2:$E$65,"&lt;="&amp;$B177,'Outages (event ledger)'!$G$2:$G$65,"&gt;="&amp;$B177)</f>
        <v>0</v>
      </c>
      <c r="W177" s="26" t="n">
        <f aca="false">SUMIFS('Outages (event ledger)'!$H$2:$H$65,'Outages (event ledger)'!$A$2:$A$65,W$2,'Outages (event ledger)'!$E$2:$E$65,"&lt;="&amp;$B177,'Outages (event ledger)'!$G$2:$G$65,"&gt;="&amp;$B177)</f>
        <v>0</v>
      </c>
      <c r="X177" s="26" t="n">
        <f aca="false">SUMIFS('Outages (event ledger)'!$H$2:$H$65,'Outages (event ledger)'!$A$2:$A$65,X$2,'Outages (event ledger)'!$E$2:$E$65,"&lt;="&amp;$B177,'Outages (event ledger)'!$G$2:$G$65,"&gt;="&amp;$B177)</f>
        <v>0</v>
      </c>
      <c r="Y177" s="26" t="n">
        <f aca="false">SUMIFS('Outages (event ledger)'!$H$2:$H$65,'Outages (event ledger)'!$A$2:$A$65,Y$2,'Outages (event ledger)'!$E$2:$E$65,"&lt;="&amp;$B177,'Outages (event ledger)'!$G$2:$G$65,"&gt;="&amp;$B177)</f>
        <v>0</v>
      </c>
      <c r="Z177" s="26" t="n">
        <f aca="false">SUMIFS('Outages (event ledger)'!$H$2:$H$65,'Outages (event ledger)'!$A$2:$A$65,Z$2,'Outages (event ledger)'!$E$2:$E$65,"&lt;="&amp;$B177,'Outages (event ledger)'!$G$2:$G$65,"&gt;="&amp;$B177)</f>
        <v>6</v>
      </c>
      <c r="AA177" s="26" t="n">
        <f aca="false">SUMIFS('Outages (event ledger)'!$H$2:$H$65,'Outages (event ledger)'!$A$2:$A$65,AA$2,'Outages (event ledger)'!$E$2:$E$65,"&lt;="&amp;$B177,'Outages (event ledger)'!$G$2:$G$65,"&gt;="&amp;$B177)</f>
        <v>2</v>
      </c>
      <c r="AB177" s="26" t="n">
        <f aca="false">SUMIFS('Outages (event ledger)'!$H$2:$H$65,'Outages (event ledger)'!$A$2:$A$65,AB$2,'Outages (event ledger)'!$E$2:$E$65,"&lt;="&amp;$B177,'Outages (event ledger)'!$G$2:$G$65,"&gt;="&amp;$B177)</f>
        <v>8</v>
      </c>
      <c r="AC177" s="26" t="n">
        <f aca="false">SUMIFS('Outages (event ledger)'!$H$2:$H$65,'Outages (event ledger)'!$A$2:$A$65,AC$2,'Outages (event ledger)'!$E$2:$E$65,"&lt;="&amp;$B177,'Outages (event ledger)'!$G$2:$G$65,"&gt;="&amp;$B177)</f>
        <v>0</v>
      </c>
      <c r="AD177" s="26" t="n">
        <f aca="false">SUMIFS('Outages (event ledger)'!$H$2:$H$65,'Outages (event ledger)'!$A$2:$A$65,AD$2,'Outages (event ledger)'!$E$2:$E$65,"&lt;="&amp;$B177,'Outages (event ledger)'!$G$2:$G$65,"&gt;="&amp;$B177)</f>
        <v>0</v>
      </c>
      <c r="AE177" s="26" t="n">
        <f aca="false">SUMIFS('Outages (event ledger)'!$H$2:$H$65,'Outages (event ledger)'!$A$2:$A$65,AE$2,'Outages (event ledger)'!$E$2:$E$65,"&lt;="&amp;$B177,'Outages (event ledger)'!$G$2:$G$65,"&gt;="&amp;$B177)</f>
        <v>2.5</v>
      </c>
      <c r="AF177" s="26" t="n">
        <f aca="false">SUMIFS('Outages (event ledger)'!$H$2:$H$65,'Outages (event ledger)'!$A$2:$A$65,AF$2,'Outages (event ledger)'!$E$2:$E$65,"&lt;="&amp;$B177,'Outages (event ledger)'!$G$2:$G$65,"&gt;="&amp;$B177)</f>
        <v>0</v>
      </c>
      <c r="AG177" s="26" t="n">
        <f aca="false">SUMIFS('Outages (event ledger)'!$H$2:$H$65,'Outages (event ledger)'!$A$2:$A$65,AG$2,'Outages (event ledger)'!$E$2:$E$65,"&lt;="&amp;$B177,'Outages (event ledger)'!$G$2:$G$65,"&gt;="&amp;$B177)</f>
        <v>0</v>
      </c>
      <c r="AH177" s="26" t="n">
        <f aca="false">SUMIFS('Outages (event ledger)'!$H$2:$H$65,'Outages (event ledger)'!$A$2:$A$65,AH$2,'Outages (event ledger)'!$E$2:$E$65,"&lt;="&amp;$B177,'Outages (event ledger)'!$G$2:$G$65,"&gt;="&amp;$B177)</f>
        <v>0</v>
      </c>
      <c r="AI177" s="26" t="n">
        <f aca="false">SUMIFS('Outages (event ledger)'!$H$2:$H$65,'Outages (event ledger)'!$A$2:$A$65,AI$2,'Outages (event ledger)'!$E$2:$E$65,"&lt;="&amp;$B177,'Outages (event ledger)'!$G$2:$G$65,"&gt;="&amp;$B177)</f>
        <v>0</v>
      </c>
      <c r="AJ177" s="26" t="n">
        <f aca="false">SUMIFS('Outages (event ledger)'!$H$2:$H$65,'Outages (event ledger)'!$A$2:$A$65,AJ$2,'Outages (event ledger)'!$E$2:$E$65,"&lt;="&amp;$B177,'Outages (event ledger)'!$G$2:$G$65,"&gt;="&amp;$B177)</f>
        <v>0</v>
      </c>
      <c r="AK177" s="26" t="n">
        <f aca="false">SUMIFS('Outages (event ledger)'!$H$2:$H$65,'Outages (event ledger)'!$A$2:$A$65,AK$2,'Outages (event ledger)'!$E$2:$E$65,"&lt;="&amp;$B177,'Outages (event ledger)'!$G$2:$G$65,"&gt;="&amp;$B177)</f>
        <v>0</v>
      </c>
      <c r="AL177" s="26" t="n">
        <f aca="false">SUMIFS('Outages (event ledger)'!$H$2:$H$65,'Outages (event ledger)'!$A$2:$A$65,AL$2,'Outages (event ledger)'!$E$2:$E$65,"&lt;="&amp;$B177,'Outages (event ledger)'!$G$2:$G$65,"&gt;="&amp;$B177)</f>
        <v>0</v>
      </c>
      <c r="AM177" s="26" t="n">
        <f aca="false">SUMIFS('Outages (event ledger)'!$H$2:$H$65,'Outages (event ledger)'!$A$2:$A$65,AM$2,'Outages (event ledger)'!$E$2:$E$65,"&lt;="&amp;$B177,'Outages (event ledger)'!$G$2:$G$65,"&gt;="&amp;$B177)</f>
        <v>0</v>
      </c>
      <c r="AN177" s="26" t="n">
        <f aca="false">SUMIFS('Outages (event ledger)'!$H$2:$H$65,'Outages (event ledger)'!$A$2:$A$65,AN$2,'Outages (event ledger)'!$E$2:$E$65,"&lt;="&amp;$B177,'Outages (event ledger)'!$G$2:$G$65,"&gt;="&amp;$B177)</f>
        <v>0</v>
      </c>
      <c r="AO177" s="26" t="n">
        <f aca="false">SUMIFS('Outages (event ledger)'!$H$2:$H$65,'Outages (event ledger)'!$A$2:$A$65,AO$2,'Outages (event ledger)'!$E$2:$E$65,"&lt;="&amp;$B177,'Outages (event ledger)'!$G$2:$G$65,"&gt;="&amp;$B177)</f>
        <v>0</v>
      </c>
      <c r="AP177" s="26" t="n">
        <f aca="false">SUMIFS('Outages (event ledger)'!$H$2:$H$65,'Outages (event ledger)'!$A$2:$A$65,AP$2,'Outages (event ledger)'!$E$2:$E$65,"&lt;="&amp;$B177,'Outages (event ledger)'!$G$2:$G$65,"&gt;="&amp;$B177)</f>
        <v>0</v>
      </c>
      <c r="AQ177" s="26" t="n">
        <f aca="false">SUMIFS('Outages (event ledger)'!$H$2:$H$65,'Outages (event ledger)'!$A$2:$A$65,AQ$2,'Outages (event ledger)'!$E$2:$E$65,"&lt;="&amp;$B177,'Outages (event ledger)'!$G$2:$G$65,"&gt;="&amp;$B177)</f>
        <v>0</v>
      </c>
      <c r="AR177" s="26" t="n">
        <f aca="false">SUMIFS('Outages (event ledger)'!$H$2:$H$65,'Outages (event ledger)'!$A$2:$A$65,AR$2,'Outages (event ledger)'!$E$2:$E$65,"&lt;="&amp;$B177,'Outages (event ledger)'!$G$2:$G$65,"&gt;="&amp;$B177)</f>
        <v>0</v>
      </c>
      <c r="AS177" s="26" t="n">
        <f aca="false">SUMIFS('Outages (event ledger)'!$H$2:$H$65,'Outages (event ledger)'!$A$2:$A$65,AS$2,'Outages (event ledger)'!$E$2:$E$65,"&lt;="&amp;$B177,'Outages (event ledger)'!$G$2:$G$65,"&gt;="&amp;$B177)</f>
        <v>0</v>
      </c>
      <c r="AT177" s="26" t="n">
        <f aca="false">SUMIFS('Outages (event ledger)'!$H$2:$H$65,'Outages (event ledger)'!$A$2:$A$65,AT$2,'Outages (event ledger)'!$E$2:$E$65,"&lt;="&amp;$B177,'Outages (event ledger)'!$G$2:$G$65,"&gt;="&amp;$B177)</f>
        <v>0</v>
      </c>
      <c r="AU177" s="26" t="n">
        <f aca="false">SUMIFS('Outages (event ledger)'!$H$2:$H$65,'Outages (event ledger)'!$A$2:$A$65,AU$2,'Outages (event ledger)'!$E$2:$E$65,"&lt;="&amp;$B177,'Outages (event ledger)'!$G$2:$G$65,"&gt;="&amp;$B177)</f>
        <v>0</v>
      </c>
      <c r="AV177" s="26" t="n">
        <f aca="false">SUMIFS('Outages (event ledger)'!$H$2:$H$65,'Outages (event ledger)'!$A$2:$A$65,AV$2,'Outages (event ledger)'!$E$2:$E$65,"&lt;="&amp;$B177,'Outages (event ledger)'!$G$2:$G$65,"&gt;="&amp;$B177)</f>
        <v>0</v>
      </c>
      <c r="AW177" s="26" t="n">
        <f aca="false">SUMIFS('Outages (event ledger)'!$H$2:$H$65,'Outages (event ledger)'!$A$2:$A$65,AW$2,'Outages (event ledger)'!$E$2:$E$65,"&lt;="&amp;$B177,'Outages (event ledger)'!$G$2:$G$65,"&gt;="&amp;$B177)</f>
        <v>0</v>
      </c>
      <c r="AX177" s="26" t="n">
        <f aca="false">SUMIFS('Outages (event ledger)'!$H$2:$H$65,'Outages (event ledger)'!$A$2:$A$65,AX$2,'Outages (event ledger)'!$E$2:$E$65,"&lt;="&amp;$B177,'Outages (event ledger)'!$G$2:$G$65,"&gt;="&amp;$B177)</f>
        <v>6.6</v>
      </c>
      <c r="AY177" s="26" t="n">
        <f aca="false">SUMIFS('Outages (event ledger)'!$H$2:$H$65,'Outages (event ledger)'!$A$2:$A$65,AY$2,'Outages (event ledger)'!$E$2:$E$65,"&lt;="&amp;$B177,'Outages (event ledger)'!$G$2:$G$65,"&gt;="&amp;$B177)</f>
        <v>0</v>
      </c>
      <c r="AZ177" s="26" t="n">
        <f aca="false">SUMIFS('Outages (event ledger)'!$H$2:$H$65,'Outages (event ledger)'!$A$2:$A$65,AZ$2,'Outages (event ledger)'!$E$2:$E$65,"&lt;="&amp;$B177,'Outages (event ledger)'!$G$2:$G$65,"&gt;="&amp;$B177)</f>
        <v>2</v>
      </c>
      <c r="BA177" s="26" t="n">
        <f aca="false">SUMIFS('Outages (event ledger)'!$H$2:$H$65,'Outages (event ledger)'!$A$2:$A$65,BA$2,'Outages (event ledger)'!$E$2:$E$65,"&lt;="&amp;$B177,'Outages (event ledger)'!$G$2:$G$65,"&gt;="&amp;$B177)</f>
        <v>0</v>
      </c>
      <c r="BB177" s="26" t="n">
        <f aca="false">SUMIFS('Outages (event ledger)'!$H$2:$H$65,'Outages (event ledger)'!$A$2:$A$65,BB$2,'Outages (event ledger)'!$E$2:$E$65,"&lt;="&amp;$B177,'Outages (event ledger)'!$G$2:$G$65,"&gt;="&amp;$B177)</f>
        <v>0</v>
      </c>
      <c r="BC177" s="26" t="n">
        <f aca="false">SUMIFS('Outages (event ledger)'!$H$2:$H$65,'Outages (event ledger)'!$A$2:$A$65,BC$2,'Outages (event ledger)'!$E$2:$E$65,"&lt;="&amp;$B177,'Outages (event ledger)'!$G$2:$G$65,"&gt;="&amp;$B177)</f>
        <v>0</v>
      </c>
      <c r="BD177" s="26" t="n">
        <f aca="false">SUMIFS('Outages (event ledger)'!$H$2:$H$65,'Outages (event ledger)'!$A$2:$A$65,BD$2,'Outages (event ledger)'!$E$2:$E$65,"&lt;="&amp;$B177,'Outages (event ledger)'!$G$2:$G$65,"&gt;="&amp;$B177)</f>
        <v>0</v>
      </c>
      <c r="BE177" s="26" t="n">
        <f aca="false">SUMIFS('Outages (event ledger)'!$H$2:$H$65,'Outages (event ledger)'!$A$2:$A$65,BE$2,'Outages (event ledger)'!$E$2:$E$65,"&lt;="&amp;$B177,'Outages (event ledger)'!$G$2:$G$65,"&gt;="&amp;$B177)</f>
        <v>10</v>
      </c>
      <c r="BF177" s="26" t="n">
        <f aca="false">SUMIFS('Outages (event ledger)'!$H$2:$H$65,'Outages (event ledger)'!$A$2:$A$65,BF$2,'Outages (event ledger)'!$E$2:$E$65,"&lt;="&amp;$B177,'Outages (event ledger)'!$G$2:$G$65,"&gt;="&amp;$B177)</f>
        <v>0</v>
      </c>
      <c r="BG177" s="26" t="n">
        <f aca="false">SUMIFS('Outages (event ledger)'!$H$2:$H$65,'Outages (event ledger)'!$A$2:$A$65,BG$2,'Outages (event ledger)'!$E$2:$E$65,"&lt;="&amp;$B177,'Outages (event ledger)'!$G$2:$G$65,"&gt;="&amp;$B177)</f>
        <v>0</v>
      </c>
      <c r="BH177" s="26" t="n">
        <f aca="false">SUMIFS('Outages (event ledger)'!$H$2:$H$65,'Outages (event ledger)'!$A$2:$A$65,BH$2,'Outages (event ledger)'!$E$2:$E$65,"&lt;="&amp;$B177,'Outages (event ledger)'!$G$2:$G$65,"&gt;="&amp;$B177)</f>
        <v>0</v>
      </c>
      <c r="BI177" s="26" t="n">
        <f aca="false">SUMIFS('Outages (event ledger)'!$H$2:$H$65,'Outages (event ledger)'!$A$2:$A$65,BI$2,'Outages (event ledger)'!$E$2:$E$65,"&lt;="&amp;$B177,'Outages (event ledger)'!$G$2:$G$65,"&gt;="&amp;$B177)</f>
        <v>6.7</v>
      </c>
    </row>
    <row r="178" customFormat="false" ht="15" hidden="false" customHeight="false" outlineLevel="0" collapsed="false">
      <c r="A178" s="23" t="n">
        <v>45505</v>
      </c>
      <c r="B178" s="24" t="n">
        <v>202408</v>
      </c>
      <c r="C178" s="25" t="n">
        <f aca="false">SUM(D178:BI178)</f>
        <v>40.25</v>
      </c>
      <c r="D178" s="26" t="n">
        <f aca="false">SUMIFS('Outages (event ledger)'!$H$2:$H$65,'Outages (event ledger)'!$A$2:$A$65,D$2,'Outages (event ledger)'!$E$2:$E$65,"&lt;="&amp;$B178,'Outages (event ledger)'!$G$2:$G$65,"&gt;="&amp;$B178)</f>
        <v>0</v>
      </c>
      <c r="E178" s="26" t="n">
        <f aca="false">SUMIFS('Outages (event ledger)'!$H$2:$H$65,'Outages (event ledger)'!$A$2:$A$65,E$2,'Outages (event ledger)'!$E$2:$E$65,"&lt;="&amp;$B178,'Outages (event ledger)'!$G$2:$G$65,"&gt;="&amp;$B178)</f>
        <v>0</v>
      </c>
      <c r="F178" s="26" t="n">
        <f aca="false">SUMIFS('Outages (event ledger)'!$H$2:$H$65,'Outages (event ledger)'!$A$2:$A$65,F$2,'Outages (event ledger)'!$E$2:$E$65,"&lt;="&amp;$B178,'Outages (event ledger)'!$G$2:$G$65,"&gt;="&amp;$B178)</f>
        <v>0</v>
      </c>
      <c r="G178" s="26" t="n">
        <f aca="false">SUMIFS('Outages (event ledger)'!$H$2:$H$65,'Outages (event ledger)'!$A$2:$A$65,G$2,'Outages (event ledger)'!$E$2:$E$65,"&lt;="&amp;$B178,'Outages (event ledger)'!$G$2:$G$65,"&gt;="&amp;$B178)</f>
        <v>0</v>
      </c>
      <c r="H178" s="26" t="n">
        <f aca="false">SUMIFS('Outages (event ledger)'!$H$2:$H$65,'Outages (event ledger)'!$A$2:$A$65,H$2,'Outages (event ledger)'!$E$2:$E$65,"&lt;="&amp;$B178,'Outages (event ledger)'!$G$2:$G$65,"&gt;="&amp;$B178)</f>
        <v>0</v>
      </c>
      <c r="I178" s="26" t="n">
        <f aca="false">SUMIFS('Outages (event ledger)'!$H$2:$H$65,'Outages (event ledger)'!$A$2:$A$65,I$2,'Outages (event ledger)'!$E$2:$E$65,"&lt;="&amp;$B178,'Outages (event ledger)'!$G$2:$G$65,"&gt;="&amp;$B178)</f>
        <v>0</v>
      </c>
      <c r="J178" s="26" t="n">
        <f aca="false">SUMIFS('Outages (event ledger)'!$H$2:$H$65,'Outages (event ledger)'!$A$2:$A$65,J$2,'Outages (event ledger)'!$E$2:$E$65,"&lt;="&amp;$B178,'Outages (event ledger)'!$G$2:$G$65,"&gt;="&amp;$B178)</f>
        <v>0</v>
      </c>
      <c r="K178" s="26" t="n">
        <f aca="false">SUMIFS('Outages (event ledger)'!$H$2:$H$65,'Outages (event ledger)'!$A$2:$A$65,K$2,'Outages (event ledger)'!$E$2:$E$65,"&lt;="&amp;$B178,'Outages (event ledger)'!$G$2:$G$65,"&gt;="&amp;$B178)</f>
        <v>0</v>
      </c>
      <c r="L178" s="26" t="n">
        <f aca="false">SUMIFS('Outages (event ledger)'!$H$2:$H$65,'Outages (event ledger)'!$A$2:$A$65,L$2,'Outages (event ledger)'!$E$2:$E$65,"&lt;="&amp;$B178,'Outages (event ledger)'!$G$2:$G$65,"&gt;="&amp;$B178)</f>
        <v>0</v>
      </c>
      <c r="M178" s="26" t="n">
        <f aca="false">SUMIFS('Outages (event ledger)'!$H$2:$H$65,'Outages (event ledger)'!$A$2:$A$65,M$2,'Outages (event ledger)'!$E$2:$E$65,"&lt;="&amp;$B178,'Outages (event ledger)'!$G$2:$G$65,"&gt;="&amp;$B178)</f>
        <v>4.45</v>
      </c>
      <c r="N178" s="26" t="n">
        <f aca="false">SUMIFS('Outages (event ledger)'!$H$2:$H$65,'Outages (event ledger)'!$A$2:$A$65,N$2,'Outages (event ledger)'!$E$2:$E$65,"&lt;="&amp;$B178,'Outages (event ledger)'!$G$2:$G$65,"&gt;="&amp;$B178)</f>
        <v>0</v>
      </c>
      <c r="O178" s="26" t="n">
        <f aca="false">SUMIFS('Outages (event ledger)'!$H$2:$H$65,'Outages (event ledger)'!$A$2:$A$65,O$2,'Outages (event ledger)'!$E$2:$E$65,"&lt;="&amp;$B178,'Outages (event ledger)'!$G$2:$G$65,"&gt;="&amp;$B178)</f>
        <v>0</v>
      </c>
      <c r="P178" s="26" t="n">
        <f aca="false">SUMIFS('Outages (event ledger)'!$H$2:$H$65,'Outages (event ledger)'!$A$2:$A$65,P$2,'Outages (event ledger)'!$E$2:$E$65,"&lt;="&amp;$B178,'Outages (event ledger)'!$G$2:$G$65,"&gt;="&amp;$B178)</f>
        <v>0</v>
      </c>
      <c r="Q178" s="26" t="n">
        <f aca="false">SUMIFS('Outages (event ledger)'!$H$2:$H$65,'Outages (event ledger)'!$A$2:$A$65,Q$2,'Outages (event ledger)'!$E$2:$E$65,"&lt;="&amp;$B178,'Outages (event ledger)'!$G$2:$G$65,"&gt;="&amp;$B178)</f>
        <v>0</v>
      </c>
      <c r="R178" s="26" t="n">
        <f aca="false">SUMIFS('Outages (event ledger)'!$H$2:$H$65,'Outages (event ledger)'!$A$2:$A$65,R$2,'Outages (event ledger)'!$E$2:$E$65,"&lt;="&amp;$B178,'Outages (event ledger)'!$G$2:$G$65,"&gt;="&amp;$B178)</f>
        <v>0</v>
      </c>
      <c r="S178" s="26" t="n">
        <f aca="false">SUMIFS('Outages (event ledger)'!$H$2:$H$65,'Outages (event ledger)'!$A$2:$A$65,S$2,'Outages (event ledger)'!$E$2:$E$65,"&lt;="&amp;$B178,'Outages (event ledger)'!$G$2:$G$65,"&gt;="&amp;$B178)</f>
        <v>0</v>
      </c>
      <c r="T178" s="26" t="n">
        <f aca="false">SUMIFS('Outages (event ledger)'!$H$2:$H$65,'Outages (event ledger)'!$A$2:$A$65,T$2,'Outages (event ledger)'!$E$2:$E$65,"&lt;="&amp;$B178,'Outages (event ledger)'!$G$2:$G$65,"&gt;="&amp;$B178)</f>
        <v>0</v>
      </c>
      <c r="U178" s="26" t="n">
        <f aca="false">SUMIFS('Outages (event ledger)'!$H$2:$H$65,'Outages (event ledger)'!$A$2:$A$65,U$2,'Outages (event ledger)'!$E$2:$E$65,"&lt;="&amp;$B178,'Outages (event ledger)'!$G$2:$G$65,"&gt;="&amp;$B178)</f>
        <v>0</v>
      </c>
      <c r="V178" s="26" t="n">
        <f aca="false">SUMIFS('Outages (event ledger)'!$H$2:$H$65,'Outages (event ledger)'!$A$2:$A$65,V$2,'Outages (event ledger)'!$E$2:$E$65,"&lt;="&amp;$B178,'Outages (event ledger)'!$G$2:$G$65,"&gt;="&amp;$B178)</f>
        <v>0</v>
      </c>
      <c r="W178" s="26" t="n">
        <f aca="false">SUMIFS('Outages (event ledger)'!$H$2:$H$65,'Outages (event ledger)'!$A$2:$A$65,W$2,'Outages (event ledger)'!$E$2:$E$65,"&lt;="&amp;$B178,'Outages (event ledger)'!$G$2:$G$65,"&gt;="&amp;$B178)</f>
        <v>0</v>
      </c>
      <c r="X178" s="26" t="n">
        <f aca="false">SUMIFS('Outages (event ledger)'!$H$2:$H$65,'Outages (event ledger)'!$A$2:$A$65,X$2,'Outages (event ledger)'!$E$2:$E$65,"&lt;="&amp;$B178,'Outages (event ledger)'!$G$2:$G$65,"&gt;="&amp;$B178)</f>
        <v>0</v>
      </c>
      <c r="Y178" s="26" t="n">
        <f aca="false">SUMIFS('Outages (event ledger)'!$H$2:$H$65,'Outages (event ledger)'!$A$2:$A$65,Y$2,'Outages (event ledger)'!$E$2:$E$65,"&lt;="&amp;$B178,'Outages (event ledger)'!$G$2:$G$65,"&gt;="&amp;$B178)</f>
        <v>0</v>
      </c>
      <c r="Z178" s="26" t="n">
        <f aca="false">SUMIFS('Outages (event ledger)'!$H$2:$H$65,'Outages (event ledger)'!$A$2:$A$65,Z$2,'Outages (event ledger)'!$E$2:$E$65,"&lt;="&amp;$B178,'Outages (event ledger)'!$G$2:$G$65,"&gt;="&amp;$B178)</f>
        <v>6</v>
      </c>
      <c r="AA178" s="26" t="n">
        <f aca="false">SUMIFS('Outages (event ledger)'!$H$2:$H$65,'Outages (event ledger)'!$A$2:$A$65,AA$2,'Outages (event ledger)'!$E$2:$E$65,"&lt;="&amp;$B178,'Outages (event ledger)'!$G$2:$G$65,"&gt;="&amp;$B178)</f>
        <v>2</v>
      </c>
      <c r="AB178" s="26" t="n">
        <f aca="false">SUMIFS('Outages (event ledger)'!$H$2:$H$65,'Outages (event ledger)'!$A$2:$A$65,AB$2,'Outages (event ledger)'!$E$2:$E$65,"&lt;="&amp;$B178,'Outages (event ledger)'!$G$2:$G$65,"&gt;="&amp;$B178)</f>
        <v>8</v>
      </c>
      <c r="AC178" s="26" t="n">
        <f aca="false">SUMIFS('Outages (event ledger)'!$H$2:$H$65,'Outages (event ledger)'!$A$2:$A$65,AC$2,'Outages (event ledger)'!$E$2:$E$65,"&lt;="&amp;$B178,'Outages (event ledger)'!$G$2:$G$65,"&gt;="&amp;$B178)</f>
        <v>0</v>
      </c>
      <c r="AD178" s="26" t="n">
        <f aca="false">SUMIFS('Outages (event ledger)'!$H$2:$H$65,'Outages (event ledger)'!$A$2:$A$65,AD$2,'Outages (event ledger)'!$E$2:$E$65,"&lt;="&amp;$B178,'Outages (event ledger)'!$G$2:$G$65,"&gt;="&amp;$B178)</f>
        <v>0</v>
      </c>
      <c r="AE178" s="26" t="n">
        <f aca="false">SUMIFS('Outages (event ledger)'!$H$2:$H$65,'Outages (event ledger)'!$A$2:$A$65,AE$2,'Outages (event ledger)'!$E$2:$E$65,"&lt;="&amp;$B178,'Outages (event ledger)'!$G$2:$G$65,"&gt;="&amp;$B178)</f>
        <v>2.5</v>
      </c>
      <c r="AF178" s="26" t="n">
        <f aca="false">SUMIFS('Outages (event ledger)'!$H$2:$H$65,'Outages (event ledger)'!$A$2:$A$65,AF$2,'Outages (event ledger)'!$E$2:$E$65,"&lt;="&amp;$B178,'Outages (event ledger)'!$G$2:$G$65,"&gt;="&amp;$B178)</f>
        <v>0</v>
      </c>
      <c r="AG178" s="26" t="n">
        <f aca="false">SUMIFS('Outages (event ledger)'!$H$2:$H$65,'Outages (event ledger)'!$A$2:$A$65,AG$2,'Outages (event ledger)'!$E$2:$E$65,"&lt;="&amp;$B178,'Outages (event ledger)'!$G$2:$G$65,"&gt;="&amp;$B178)</f>
        <v>0</v>
      </c>
      <c r="AH178" s="26" t="n">
        <f aca="false">SUMIFS('Outages (event ledger)'!$H$2:$H$65,'Outages (event ledger)'!$A$2:$A$65,AH$2,'Outages (event ledger)'!$E$2:$E$65,"&lt;="&amp;$B178,'Outages (event ledger)'!$G$2:$G$65,"&gt;="&amp;$B178)</f>
        <v>0</v>
      </c>
      <c r="AI178" s="26" t="n">
        <f aca="false">SUMIFS('Outages (event ledger)'!$H$2:$H$65,'Outages (event ledger)'!$A$2:$A$65,AI$2,'Outages (event ledger)'!$E$2:$E$65,"&lt;="&amp;$B178,'Outages (event ledger)'!$G$2:$G$65,"&gt;="&amp;$B178)</f>
        <v>0</v>
      </c>
      <c r="AJ178" s="26" t="n">
        <f aca="false">SUMIFS('Outages (event ledger)'!$H$2:$H$65,'Outages (event ledger)'!$A$2:$A$65,AJ$2,'Outages (event ledger)'!$E$2:$E$65,"&lt;="&amp;$B178,'Outages (event ledger)'!$G$2:$G$65,"&gt;="&amp;$B178)</f>
        <v>0</v>
      </c>
      <c r="AK178" s="26" t="n">
        <f aca="false">SUMIFS('Outages (event ledger)'!$H$2:$H$65,'Outages (event ledger)'!$A$2:$A$65,AK$2,'Outages (event ledger)'!$E$2:$E$65,"&lt;="&amp;$B178,'Outages (event ledger)'!$G$2:$G$65,"&gt;="&amp;$B178)</f>
        <v>0</v>
      </c>
      <c r="AL178" s="26" t="n">
        <f aca="false">SUMIFS('Outages (event ledger)'!$H$2:$H$65,'Outages (event ledger)'!$A$2:$A$65,AL$2,'Outages (event ledger)'!$E$2:$E$65,"&lt;="&amp;$B178,'Outages (event ledger)'!$G$2:$G$65,"&gt;="&amp;$B178)</f>
        <v>0</v>
      </c>
      <c r="AM178" s="26" t="n">
        <f aca="false">SUMIFS('Outages (event ledger)'!$H$2:$H$65,'Outages (event ledger)'!$A$2:$A$65,AM$2,'Outages (event ledger)'!$E$2:$E$65,"&lt;="&amp;$B178,'Outages (event ledger)'!$G$2:$G$65,"&gt;="&amp;$B178)</f>
        <v>0</v>
      </c>
      <c r="AN178" s="26" t="n">
        <f aca="false">SUMIFS('Outages (event ledger)'!$H$2:$H$65,'Outages (event ledger)'!$A$2:$A$65,AN$2,'Outages (event ledger)'!$E$2:$E$65,"&lt;="&amp;$B178,'Outages (event ledger)'!$G$2:$G$65,"&gt;="&amp;$B178)</f>
        <v>0</v>
      </c>
      <c r="AO178" s="26" t="n">
        <f aca="false">SUMIFS('Outages (event ledger)'!$H$2:$H$65,'Outages (event ledger)'!$A$2:$A$65,AO$2,'Outages (event ledger)'!$E$2:$E$65,"&lt;="&amp;$B178,'Outages (event ledger)'!$G$2:$G$65,"&gt;="&amp;$B178)</f>
        <v>0</v>
      </c>
      <c r="AP178" s="26" t="n">
        <f aca="false">SUMIFS('Outages (event ledger)'!$H$2:$H$65,'Outages (event ledger)'!$A$2:$A$65,AP$2,'Outages (event ledger)'!$E$2:$E$65,"&lt;="&amp;$B178,'Outages (event ledger)'!$G$2:$G$65,"&gt;="&amp;$B178)</f>
        <v>0</v>
      </c>
      <c r="AQ178" s="26" t="n">
        <f aca="false">SUMIFS('Outages (event ledger)'!$H$2:$H$65,'Outages (event ledger)'!$A$2:$A$65,AQ$2,'Outages (event ledger)'!$E$2:$E$65,"&lt;="&amp;$B178,'Outages (event ledger)'!$G$2:$G$65,"&gt;="&amp;$B178)</f>
        <v>0</v>
      </c>
      <c r="AR178" s="26" t="n">
        <f aca="false">SUMIFS('Outages (event ledger)'!$H$2:$H$65,'Outages (event ledger)'!$A$2:$A$65,AR$2,'Outages (event ledger)'!$E$2:$E$65,"&lt;="&amp;$B178,'Outages (event ledger)'!$G$2:$G$65,"&gt;="&amp;$B178)</f>
        <v>0</v>
      </c>
      <c r="AS178" s="26" t="n">
        <f aca="false">SUMIFS('Outages (event ledger)'!$H$2:$H$65,'Outages (event ledger)'!$A$2:$A$65,AS$2,'Outages (event ledger)'!$E$2:$E$65,"&lt;="&amp;$B178,'Outages (event ledger)'!$G$2:$G$65,"&gt;="&amp;$B178)</f>
        <v>0</v>
      </c>
      <c r="AT178" s="26" t="n">
        <f aca="false">SUMIFS('Outages (event ledger)'!$H$2:$H$65,'Outages (event ledger)'!$A$2:$A$65,AT$2,'Outages (event ledger)'!$E$2:$E$65,"&lt;="&amp;$B178,'Outages (event ledger)'!$G$2:$G$65,"&gt;="&amp;$B178)</f>
        <v>0</v>
      </c>
      <c r="AU178" s="26" t="n">
        <f aca="false">SUMIFS('Outages (event ledger)'!$H$2:$H$65,'Outages (event ledger)'!$A$2:$A$65,AU$2,'Outages (event ledger)'!$E$2:$E$65,"&lt;="&amp;$B178,'Outages (event ledger)'!$G$2:$G$65,"&gt;="&amp;$B178)</f>
        <v>0</v>
      </c>
      <c r="AV178" s="26" t="n">
        <f aca="false">SUMIFS('Outages (event ledger)'!$H$2:$H$65,'Outages (event ledger)'!$A$2:$A$65,AV$2,'Outages (event ledger)'!$E$2:$E$65,"&lt;="&amp;$B178,'Outages (event ledger)'!$G$2:$G$65,"&gt;="&amp;$B178)</f>
        <v>0</v>
      </c>
      <c r="AW178" s="26" t="n">
        <f aca="false">SUMIFS('Outages (event ledger)'!$H$2:$H$65,'Outages (event ledger)'!$A$2:$A$65,AW$2,'Outages (event ledger)'!$E$2:$E$65,"&lt;="&amp;$B178,'Outages (event ledger)'!$G$2:$G$65,"&gt;="&amp;$B178)</f>
        <v>0</v>
      </c>
      <c r="AX178" s="26" t="n">
        <f aca="false">SUMIFS('Outages (event ledger)'!$H$2:$H$65,'Outages (event ledger)'!$A$2:$A$65,AX$2,'Outages (event ledger)'!$E$2:$E$65,"&lt;="&amp;$B178,'Outages (event ledger)'!$G$2:$G$65,"&gt;="&amp;$B178)</f>
        <v>6.6</v>
      </c>
      <c r="AY178" s="26" t="n">
        <f aca="false">SUMIFS('Outages (event ledger)'!$H$2:$H$65,'Outages (event ledger)'!$A$2:$A$65,AY$2,'Outages (event ledger)'!$E$2:$E$65,"&lt;="&amp;$B178,'Outages (event ledger)'!$G$2:$G$65,"&gt;="&amp;$B178)</f>
        <v>0</v>
      </c>
      <c r="AZ178" s="26" t="n">
        <f aca="false">SUMIFS('Outages (event ledger)'!$H$2:$H$65,'Outages (event ledger)'!$A$2:$A$65,AZ$2,'Outages (event ledger)'!$E$2:$E$65,"&lt;="&amp;$B178,'Outages (event ledger)'!$G$2:$G$65,"&gt;="&amp;$B178)</f>
        <v>2</v>
      </c>
      <c r="BA178" s="26" t="n">
        <f aca="false">SUMIFS('Outages (event ledger)'!$H$2:$H$65,'Outages (event ledger)'!$A$2:$A$65,BA$2,'Outages (event ledger)'!$E$2:$E$65,"&lt;="&amp;$B178,'Outages (event ledger)'!$G$2:$G$65,"&gt;="&amp;$B178)</f>
        <v>0</v>
      </c>
      <c r="BB178" s="26" t="n">
        <f aca="false">SUMIFS('Outages (event ledger)'!$H$2:$H$65,'Outages (event ledger)'!$A$2:$A$65,BB$2,'Outages (event ledger)'!$E$2:$E$65,"&lt;="&amp;$B178,'Outages (event ledger)'!$G$2:$G$65,"&gt;="&amp;$B178)</f>
        <v>0</v>
      </c>
      <c r="BC178" s="26" t="n">
        <f aca="false">SUMIFS('Outages (event ledger)'!$H$2:$H$65,'Outages (event ledger)'!$A$2:$A$65,BC$2,'Outages (event ledger)'!$E$2:$E$65,"&lt;="&amp;$B178,'Outages (event ledger)'!$G$2:$G$65,"&gt;="&amp;$B178)</f>
        <v>0</v>
      </c>
      <c r="BD178" s="26" t="n">
        <f aca="false">SUMIFS('Outages (event ledger)'!$H$2:$H$65,'Outages (event ledger)'!$A$2:$A$65,BD$2,'Outages (event ledger)'!$E$2:$E$65,"&lt;="&amp;$B178,'Outages (event ledger)'!$G$2:$G$65,"&gt;="&amp;$B178)</f>
        <v>0</v>
      </c>
      <c r="BE178" s="26" t="n">
        <f aca="false">SUMIFS('Outages (event ledger)'!$H$2:$H$65,'Outages (event ledger)'!$A$2:$A$65,BE$2,'Outages (event ledger)'!$E$2:$E$65,"&lt;="&amp;$B178,'Outages (event ledger)'!$G$2:$G$65,"&gt;="&amp;$B178)</f>
        <v>2</v>
      </c>
      <c r="BF178" s="26" t="n">
        <f aca="false">SUMIFS('Outages (event ledger)'!$H$2:$H$65,'Outages (event ledger)'!$A$2:$A$65,BF$2,'Outages (event ledger)'!$E$2:$E$65,"&lt;="&amp;$B178,'Outages (event ledger)'!$G$2:$G$65,"&gt;="&amp;$B178)</f>
        <v>0</v>
      </c>
      <c r="BG178" s="26" t="n">
        <f aca="false">SUMIFS('Outages (event ledger)'!$H$2:$H$65,'Outages (event ledger)'!$A$2:$A$65,BG$2,'Outages (event ledger)'!$E$2:$E$65,"&lt;="&amp;$B178,'Outages (event ledger)'!$G$2:$G$65,"&gt;="&amp;$B178)</f>
        <v>0</v>
      </c>
      <c r="BH178" s="26" t="n">
        <f aca="false">SUMIFS('Outages (event ledger)'!$H$2:$H$65,'Outages (event ledger)'!$A$2:$A$65,BH$2,'Outages (event ledger)'!$E$2:$E$65,"&lt;="&amp;$B178,'Outages (event ledger)'!$G$2:$G$65,"&gt;="&amp;$B178)</f>
        <v>0</v>
      </c>
      <c r="BI178" s="26" t="n">
        <f aca="false">SUMIFS('Outages (event ledger)'!$H$2:$H$65,'Outages (event ledger)'!$A$2:$A$65,BI$2,'Outages (event ledger)'!$E$2:$E$65,"&lt;="&amp;$B178,'Outages (event ledger)'!$G$2:$G$65,"&gt;="&amp;$B178)</f>
        <v>6.7</v>
      </c>
    </row>
    <row r="179" customFormat="false" ht="15" hidden="false" customHeight="false" outlineLevel="0" collapsed="false">
      <c r="A179" s="23" t="n">
        <v>45536</v>
      </c>
      <c r="B179" s="24" t="n">
        <v>202409</v>
      </c>
      <c r="C179" s="25" t="n">
        <f aca="false">SUM(D179:BI179)</f>
        <v>38.25</v>
      </c>
      <c r="D179" s="26" t="n">
        <f aca="false">SUMIFS('Outages (event ledger)'!$H$2:$H$65,'Outages (event ledger)'!$A$2:$A$65,D$2,'Outages (event ledger)'!$E$2:$E$65,"&lt;="&amp;$B179,'Outages (event ledger)'!$G$2:$G$65,"&gt;="&amp;$B179)</f>
        <v>0</v>
      </c>
      <c r="E179" s="26" t="n">
        <f aca="false">SUMIFS('Outages (event ledger)'!$H$2:$H$65,'Outages (event ledger)'!$A$2:$A$65,E$2,'Outages (event ledger)'!$E$2:$E$65,"&lt;="&amp;$B179,'Outages (event ledger)'!$G$2:$G$65,"&gt;="&amp;$B179)</f>
        <v>0</v>
      </c>
      <c r="F179" s="26" t="n">
        <f aca="false">SUMIFS('Outages (event ledger)'!$H$2:$H$65,'Outages (event ledger)'!$A$2:$A$65,F$2,'Outages (event ledger)'!$E$2:$E$65,"&lt;="&amp;$B179,'Outages (event ledger)'!$G$2:$G$65,"&gt;="&amp;$B179)</f>
        <v>0</v>
      </c>
      <c r="G179" s="26" t="n">
        <f aca="false">SUMIFS('Outages (event ledger)'!$H$2:$H$65,'Outages (event ledger)'!$A$2:$A$65,G$2,'Outages (event ledger)'!$E$2:$E$65,"&lt;="&amp;$B179,'Outages (event ledger)'!$G$2:$G$65,"&gt;="&amp;$B179)</f>
        <v>0</v>
      </c>
      <c r="H179" s="26" t="n">
        <f aca="false">SUMIFS('Outages (event ledger)'!$H$2:$H$65,'Outages (event ledger)'!$A$2:$A$65,H$2,'Outages (event ledger)'!$E$2:$E$65,"&lt;="&amp;$B179,'Outages (event ledger)'!$G$2:$G$65,"&gt;="&amp;$B179)</f>
        <v>0</v>
      </c>
      <c r="I179" s="26" t="n">
        <f aca="false">SUMIFS('Outages (event ledger)'!$H$2:$H$65,'Outages (event ledger)'!$A$2:$A$65,I$2,'Outages (event ledger)'!$E$2:$E$65,"&lt;="&amp;$B179,'Outages (event ledger)'!$G$2:$G$65,"&gt;="&amp;$B179)</f>
        <v>0</v>
      </c>
      <c r="J179" s="26" t="n">
        <f aca="false">SUMIFS('Outages (event ledger)'!$H$2:$H$65,'Outages (event ledger)'!$A$2:$A$65,J$2,'Outages (event ledger)'!$E$2:$E$65,"&lt;="&amp;$B179,'Outages (event ledger)'!$G$2:$G$65,"&gt;="&amp;$B179)</f>
        <v>0</v>
      </c>
      <c r="K179" s="26" t="n">
        <f aca="false">SUMIFS('Outages (event ledger)'!$H$2:$H$65,'Outages (event ledger)'!$A$2:$A$65,K$2,'Outages (event ledger)'!$E$2:$E$65,"&lt;="&amp;$B179,'Outages (event ledger)'!$G$2:$G$65,"&gt;="&amp;$B179)</f>
        <v>0</v>
      </c>
      <c r="L179" s="26" t="n">
        <f aca="false">SUMIFS('Outages (event ledger)'!$H$2:$H$65,'Outages (event ledger)'!$A$2:$A$65,L$2,'Outages (event ledger)'!$E$2:$E$65,"&lt;="&amp;$B179,'Outages (event ledger)'!$G$2:$G$65,"&gt;="&amp;$B179)</f>
        <v>0</v>
      </c>
      <c r="M179" s="26" t="n">
        <f aca="false">SUMIFS('Outages (event ledger)'!$H$2:$H$65,'Outages (event ledger)'!$A$2:$A$65,M$2,'Outages (event ledger)'!$E$2:$E$65,"&lt;="&amp;$B179,'Outages (event ledger)'!$G$2:$G$65,"&gt;="&amp;$B179)</f>
        <v>4.45</v>
      </c>
      <c r="N179" s="26" t="n">
        <f aca="false">SUMIFS('Outages (event ledger)'!$H$2:$H$65,'Outages (event ledger)'!$A$2:$A$65,N$2,'Outages (event ledger)'!$E$2:$E$65,"&lt;="&amp;$B179,'Outages (event ledger)'!$G$2:$G$65,"&gt;="&amp;$B179)</f>
        <v>0</v>
      </c>
      <c r="O179" s="26" t="n">
        <f aca="false">SUMIFS('Outages (event ledger)'!$H$2:$H$65,'Outages (event ledger)'!$A$2:$A$65,O$2,'Outages (event ledger)'!$E$2:$E$65,"&lt;="&amp;$B179,'Outages (event ledger)'!$G$2:$G$65,"&gt;="&amp;$B179)</f>
        <v>0</v>
      </c>
      <c r="P179" s="26" t="n">
        <f aca="false">SUMIFS('Outages (event ledger)'!$H$2:$H$65,'Outages (event ledger)'!$A$2:$A$65,P$2,'Outages (event ledger)'!$E$2:$E$65,"&lt;="&amp;$B179,'Outages (event ledger)'!$G$2:$G$65,"&gt;="&amp;$B179)</f>
        <v>0</v>
      </c>
      <c r="Q179" s="26" t="n">
        <f aca="false">SUMIFS('Outages (event ledger)'!$H$2:$H$65,'Outages (event ledger)'!$A$2:$A$65,Q$2,'Outages (event ledger)'!$E$2:$E$65,"&lt;="&amp;$B179,'Outages (event ledger)'!$G$2:$G$65,"&gt;="&amp;$B179)</f>
        <v>0</v>
      </c>
      <c r="R179" s="26" t="n">
        <f aca="false">SUMIFS('Outages (event ledger)'!$H$2:$H$65,'Outages (event ledger)'!$A$2:$A$65,R$2,'Outages (event ledger)'!$E$2:$E$65,"&lt;="&amp;$B179,'Outages (event ledger)'!$G$2:$G$65,"&gt;="&amp;$B179)</f>
        <v>0</v>
      </c>
      <c r="S179" s="26" t="n">
        <f aca="false">SUMIFS('Outages (event ledger)'!$H$2:$H$65,'Outages (event ledger)'!$A$2:$A$65,S$2,'Outages (event ledger)'!$E$2:$E$65,"&lt;="&amp;$B179,'Outages (event ledger)'!$G$2:$G$65,"&gt;="&amp;$B179)</f>
        <v>0</v>
      </c>
      <c r="T179" s="26" t="n">
        <f aca="false">SUMIFS('Outages (event ledger)'!$H$2:$H$65,'Outages (event ledger)'!$A$2:$A$65,T$2,'Outages (event ledger)'!$E$2:$E$65,"&lt;="&amp;$B179,'Outages (event ledger)'!$G$2:$G$65,"&gt;="&amp;$B179)</f>
        <v>0</v>
      </c>
      <c r="U179" s="26" t="n">
        <f aca="false">SUMIFS('Outages (event ledger)'!$H$2:$H$65,'Outages (event ledger)'!$A$2:$A$65,U$2,'Outages (event ledger)'!$E$2:$E$65,"&lt;="&amp;$B179,'Outages (event ledger)'!$G$2:$G$65,"&gt;="&amp;$B179)</f>
        <v>0</v>
      </c>
      <c r="V179" s="26" t="n">
        <f aca="false">SUMIFS('Outages (event ledger)'!$H$2:$H$65,'Outages (event ledger)'!$A$2:$A$65,V$2,'Outages (event ledger)'!$E$2:$E$65,"&lt;="&amp;$B179,'Outages (event ledger)'!$G$2:$G$65,"&gt;="&amp;$B179)</f>
        <v>0</v>
      </c>
      <c r="W179" s="26" t="n">
        <f aca="false">SUMIFS('Outages (event ledger)'!$H$2:$H$65,'Outages (event ledger)'!$A$2:$A$65,W$2,'Outages (event ledger)'!$E$2:$E$65,"&lt;="&amp;$B179,'Outages (event ledger)'!$G$2:$G$65,"&gt;="&amp;$B179)</f>
        <v>0</v>
      </c>
      <c r="X179" s="26" t="n">
        <f aca="false">SUMIFS('Outages (event ledger)'!$H$2:$H$65,'Outages (event ledger)'!$A$2:$A$65,X$2,'Outages (event ledger)'!$E$2:$E$65,"&lt;="&amp;$B179,'Outages (event ledger)'!$G$2:$G$65,"&gt;="&amp;$B179)</f>
        <v>0</v>
      </c>
      <c r="Y179" s="26" t="n">
        <f aca="false">SUMIFS('Outages (event ledger)'!$H$2:$H$65,'Outages (event ledger)'!$A$2:$A$65,Y$2,'Outages (event ledger)'!$E$2:$E$65,"&lt;="&amp;$B179,'Outages (event ledger)'!$G$2:$G$65,"&gt;="&amp;$B179)</f>
        <v>0</v>
      </c>
      <c r="Z179" s="26" t="n">
        <f aca="false">SUMIFS('Outages (event ledger)'!$H$2:$H$65,'Outages (event ledger)'!$A$2:$A$65,Z$2,'Outages (event ledger)'!$E$2:$E$65,"&lt;="&amp;$B179,'Outages (event ledger)'!$G$2:$G$65,"&gt;="&amp;$B179)</f>
        <v>6</v>
      </c>
      <c r="AA179" s="26" t="n">
        <f aca="false">SUMIFS('Outages (event ledger)'!$H$2:$H$65,'Outages (event ledger)'!$A$2:$A$65,AA$2,'Outages (event ledger)'!$E$2:$E$65,"&lt;="&amp;$B179,'Outages (event ledger)'!$G$2:$G$65,"&gt;="&amp;$B179)</f>
        <v>2</v>
      </c>
      <c r="AB179" s="26" t="n">
        <f aca="false">SUMIFS('Outages (event ledger)'!$H$2:$H$65,'Outages (event ledger)'!$A$2:$A$65,AB$2,'Outages (event ledger)'!$E$2:$E$65,"&lt;="&amp;$B179,'Outages (event ledger)'!$G$2:$G$65,"&gt;="&amp;$B179)</f>
        <v>8</v>
      </c>
      <c r="AC179" s="26" t="n">
        <f aca="false">SUMIFS('Outages (event ledger)'!$H$2:$H$65,'Outages (event ledger)'!$A$2:$A$65,AC$2,'Outages (event ledger)'!$E$2:$E$65,"&lt;="&amp;$B179,'Outages (event ledger)'!$G$2:$G$65,"&gt;="&amp;$B179)</f>
        <v>0</v>
      </c>
      <c r="AD179" s="26" t="n">
        <f aca="false">SUMIFS('Outages (event ledger)'!$H$2:$H$65,'Outages (event ledger)'!$A$2:$A$65,AD$2,'Outages (event ledger)'!$E$2:$E$65,"&lt;="&amp;$B179,'Outages (event ledger)'!$G$2:$G$65,"&gt;="&amp;$B179)</f>
        <v>0</v>
      </c>
      <c r="AE179" s="26" t="n">
        <f aca="false">SUMIFS('Outages (event ledger)'!$H$2:$H$65,'Outages (event ledger)'!$A$2:$A$65,AE$2,'Outages (event ledger)'!$E$2:$E$65,"&lt;="&amp;$B179,'Outages (event ledger)'!$G$2:$G$65,"&gt;="&amp;$B179)</f>
        <v>2.5</v>
      </c>
      <c r="AF179" s="26" t="n">
        <f aca="false">SUMIFS('Outages (event ledger)'!$H$2:$H$65,'Outages (event ledger)'!$A$2:$A$65,AF$2,'Outages (event ledger)'!$E$2:$E$65,"&lt;="&amp;$B179,'Outages (event ledger)'!$G$2:$G$65,"&gt;="&amp;$B179)</f>
        <v>0</v>
      </c>
      <c r="AG179" s="26" t="n">
        <f aca="false">SUMIFS('Outages (event ledger)'!$H$2:$H$65,'Outages (event ledger)'!$A$2:$A$65,AG$2,'Outages (event ledger)'!$E$2:$E$65,"&lt;="&amp;$B179,'Outages (event ledger)'!$G$2:$G$65,"&gt;="&amp;$B179)</f>
        <v>0</v>
      </c>
      <c r="AH179" s="26" t="n">
        <f aca="false">SUMIFS('Outages (event ledger)'!$H$2:$H$65,'Outages (event ledger)'!$A$2:$A$65,AH$2,'Outages (event ledger)'!$E$2:$E$65,"&lt;="&amp;$B179,'Outages (event ledger)'!$G$2:$G$65,"&gt;="&amp;$B179)</f>
        <v>0</v>
      </c>
      <c r="AI179" s="26" t="n">
        <f aca="false">SUMIFS('Outages (event ledger)'!$H$2:$H$65,'Outages (event ledger)'!$A$2:$A$65,AI$2,'Outages (event ledger)'!$E$2:$E$65,"&lt;="&amp;$B179,'Outages (event ledger)'!$G$2:$G$65,"&gt;="&amp;$B179)</f>
        <v>0</v>
      </c>
      <c r="AJ179" s="26" t="n">
        <f aca="false">SUMIFS('Outages (event ledger)'!$H$2:$H$65,'Outages (event ledger)'!$A$2:$A$65,AJ$2,'Outages (event ledger)'!$E$2:$E$65,"&lt;="&amp;$B179,'Outages (event ledger)'!$G$2:$G$65,"&gt;="&amp;$B179)</f>
        <v>0</v>
      </c>
      <c r="AK179" s="26" t="n">
        <f aca="false">SUMIFS('Outages (event ledger)'!$H$2:$H$65,'Outages (event ledger)'!$A$2:$A$65,AK$2,'Outages (event ledger)'!$E$2:$E$65,"&lt;="&amp;$B179,'Outages (event ledger)'!$G$2:$G$65,"&gt;="&amp;$B179)</f>
        <v>0</v>
      </c>
      <c r="AL179" s="26" t="n">
        <f aca="false">SUMIFS('Outages (event ledger)'!$H$2:$H$65,'Outages (event ledger)'!$A$2:$A$65,AL$2,'Outages (event ledger)'!$E$2:$E$65,"&lt;="&amp;$B179,'Outages (event ledger)'!$G$2:$G$65,"&gt;="&amp;$B179)</f>
        <v>0</v>
      </c>
      <c r="AM179" s="26" t="n">
        <f aca="false">SUMIFS('Outages (event ledger)'!$H$2:$H$65,'Outages (event ledger)'!$A$2:$A$65,AM$2,'Outages (event ledger)'!$E$2:$E$65,"&lt;="&amp;$B179,'Outages (event ledger)'!$G$2:$G$65,"&gt;="&amp;$B179)</f>
        <v>0</v>
      </c>
      <c r="AN179" s="26" t="n">
        <f aca="false">SUMIFS('Outages (event ledger)'!$H$2:$H$65,'Outages (event ledger)'!$A$2:$A$65,AN$2,'Outages (event ledger)'!$E$2:$E$65,"&lt;="&amp;$B179,'Outages (event ledger)'!$G$2:$G$65,"&gt;="&amp;$B179)</f>
        <v>0</v>
      </c>
      <c r="AO179" s="26" t="n">
        <f aca="false">SUMIFS('Outages (event ledger)'!$H$2:$H$65,'Outages (event ledger)'!$A$2:$A$65,AO$2,'Outages (event ledger)'!$E$2:$E$65,"&lt;="&amp;$B179,'Outages (event ledger)'!$G$2:$G$65,"&gt;="&amp;$B179)</f>
        <v>0</v>
      </c>
      <c r="AP179" s="26" t="n">
        <f aca="false">SUMIFS('Outages (event ledger)'!$H$2:$H$65,'Outages (event ledger)'!$A$2:$A$65,AP$2,'Outages (event ledger)'!$E$2:$E$65,"&lt;="&amp;$B179,'Outages (event ledger)'!$G$2:$G$65,"&gt;="&amp;$B179)</f>
        <v>0</v>
      </c>
      <c r="AQ179" s="26" t="n">
        <f aca="false">SUMIFS('Outages (event ledger)'!$H$2:$H$65,'Outages (event ledger)'!$A$2:$A$65,AQ$2,'Outages (event ledger)'!$E$2:$E$65,"&lt;="&amp;$B179,'Outages (event ledger)'!$G$2:$G$65,"&gt;="&amp;$B179)</f>
        <v>0</v>
      </c>
      <c r="AR179" s="26" t="n">
        <f aca="false">SUMIFS('Outages (event ledger)'!$H$2:$H$65,'Outages (event ledger)'!$A$2:$A$65,AR$2,'Outages (event ledger)'!$E$2:$E$65,"&lt;="&amp;$B179,'Outages (event ledger)'!$G$2:$G$65,"&gt;="&amp;$B179)</f>
        <v>0</v>
      </c>
      <c r="AS179" s="26" t="n">
        <f aca="false">SUMIFS('Outages (event ledger)'!$H$2:$H$65,'Outages (event ledger)'!$A$2:$A$65,AS$2,'Outages (event ledger)'!$E$2:$E$65,"&lt;="&amp;$B179,'Outages (event ledger)'!$G$2:$G$65,"&gt;="&amp;$B179)</f>
        <v>0</v>
      </c>
      <c r="AT179" s="26" t="n">
        <f aca="false">SUMIFS('Outages (event ledger)'!$H$2:$H$65,'Outages (event ledger)'!$A$2:$A$65,AT$2,'Outages (event ledger)'!$E$2:$E$65,"&lt;="&amp;$B179,'Outages (event ledger)'!$G$2:$G$65,"&gt;="&amp;$B179)</f>
        <v>0</v>
      </c>
      <c r="AU179" s="26" t="n">
        <f aca="false">SUMIFS('Outages (event ledger)'!$H$2:$H$65,'Outages (event ledger)'!$A$2:$A$65,AU$2,'Outages (event ledger)'!$E$2:$E$65,"&lt;="&amp;$B179,'Outages (event ledger)'!$G$2:$G$65,"&gt;="&amp;$B179)</f>
        <v>0</v>
      </c>
      <c r="AV179" s="26" t="n">
        <f aca="false">SUMIFS('Outages (event ledger)'!$H$2:$H$65,'Outages (event ledger)'!$A$2:$A$65,AV$2,'Outages (event ledger)'!$E$2:$E$65,"&lt;="&amp;$B179,'Outages (event ledger)'!$G$2:$G$65,"&gt;="&amp;$B179)</f>
        <v>0</v>
      </c>
      <c r="AW179" s="26" t="n">
        <f aca="false">SUMIFS('Outages (event ledger)'!$H$2:$H$65,'Outages (event ledger)'!$A$2:$A$65,AW$2,'Outages (event ledger)'!$E$2:$E$65,"&lt;="&amp;$B179,'Outages (event ledger)'!$G$2:$G$65,"&gt;="&amp;$B179)</f>
        <v>0</v>
      </c>
      <c r="AX179" s="26" t="n">
        <f aca="false">SUMIFS('Outages (event ledger)'!$H$2:$H$65,'Outages (event ledger)'!$A$2:$A$65,AX$2,'Outages (event ledger)'!$E$2:$E$65,"&lt;="&amp;$B179,'Outages (event ledger)'!$G$2:$G$65,"&gt;="&amp;$B179)</f>
        <v>6.6</v>
      </c>
      <c r="AY179" s="26" t="n">
        <f aca="false">SUMIFS('Outages (event ledger)'!$H$2:$H$65,'Outages (event ledger)'!$A$2:$A$65,AY$2,'Outages (event ledger)'!$E$2:$E$65,"&lt;="&amp;$B179,'Outages (event ledger)'!$G$2:$G$65,"&gt;="&amp;$B179)</f>
        <v>0</v>
      </c>
      <c r="AZ179" s="26" t="n">
        <f aca="false">SUMIFS('Outages (event ledger)'!$H$2:$H$65,'Outages (event ledger)'!$A$2:$A$65,AZ$2,'Outages (event ledger)'!$E$2:$E$65,"&lt;="&amp;$B179,'Outages (event ledger)'!$G$2:$G$65,"&gt;="&amp;$B179)</f>
        <v>2</v>
      </c>
      <c r="BA179" s="26" t="n">
        <f aca="false">SUMIFS('Outages (event ledger)'!$H$2:$H$65,'Outages (event ledger)'!$A$2:$A$65,BA$2,'Outages (event ledger)'!$E$2:$E$65,"&lt;="&amp;$B179,'Outages (event ledger)'!$G$2:$G$65,"&gt;="&amp;$B179)</f>
        <v>0</v>
      </c>
      <c r="BB179" s="26" t="n">
        <f aca="false">SUMIFS('Outages (event ledger)'!$H$2:$H$65,'Outages (event ledger)'!$A$2:$A$65,BB$2,'Outages (event ledger)'!$E$2:$E$65,"&lt;="&amp;$B179,'Outages (event ledger)'!$G$2:$G$65,"&gt;="&amp;$B179)</f>
        <v>0</v>
      </c>
      <c r="BC179" s="26" t="n">
        <f aca="false">SUMIFS('Outages (event ledger)'!$H$2:$H$65,'Outages (event ledger)'!$A$2:$A$65,BC$2,'Outages (event ledger)'!$E$2:$E$65,"&lt;="&amp;$B179,'Outages (event ledger)'!$G$2:$G$65,"&gt;="&amp;$B179)</f>
        <v>0</v>
      </c>
      <c r="BD179" s="26" t="n">
        <f aca="false">SUMIFS('Outages (event ledger)'!$H$2:$H$65,'Outages (event ledger)'!$A$2:$A$65,BD$2,'Outages (event ledger)'!$E$2:$E$65,"&lt;="&amp;$B179,'Outages (event ledger)'!$G$2:$G$65,"&gt;="&amp;$B179)</f>
        <v>0</v>
      </c>
      <c r="BE179" s="26" t="n">
        <f aca="false">SUMIFS('Outages (event ledger)'!$H$2:$H$65,'Outages (event ledger)'!$A$2:$A$65,BE$2,'Outages (event ledger)'!$E$2:$E$65,"&lt;="&amp;$B179,'Outages (event ledger)'!$G$2:$G$65,"&gt;="&amp;$B179)</f>
        <v>0</v>
      </c>
      <c r="BF179" s="26" t="n">
        <f aca="false">SUMIFS('Outages (event ledger)'!$H$2:$H$65,'Outages (event ledger)'!$A$2:$A$65,BF$2,'Outages (event ledger)'!$E$2:$E$65,"&lt;="&amp;$B179,'Outages (event ledger)'!$G$2:$G$65,"&gt;="&amp;$B179)</f>
        <v>0</v>
      </c>
      <c r="BG179" s="26" t="n">
        <f aca="false">SUMIFS('Outages (event ledger)'!$H$2:$H$65,'Outages (event ledger)'!$A$2:$A$65,BG$2,'Outages (event ledger)'!$E$2:$E$65,"&lt;="&amp;$B179,'Outages (event ledger)'!$G$2:$G$65,"&gt;="&amp;$B179)</f>
        <v>0</v>
      </c>
      <c r="BH179" s="26" t="n">
        <f aca="false">SUMIFS('Outages (event ledger)'!$H$2:$H$65,'Outages (event ledger)'!$A$2:$A$65,BH$2,'Outages (event ledger)'!$E$2:$E$65,"&lt;="&amp;$B179,'Outages (event ledger)'!$G$2:$G$65,"&gt;="&amp;$B179)</f>
        <v>0</v>
      </c>
      <c r="BI179" s="26" t="n">
        <f aca="false">SUMIFS('Outages (event ledger)'!$H$2:$H$65,'Outages (event ledger)'!$A$2:$A$65,BI$2,'Outages (event ledger)'!$E$2:$E$65,"&lt;="&amp;$B179,'Outages (event ledger)'!$G$2:$G$65,"&gt;="&amp;$B179)</f>
        <v>6.7</v>
      </c>
    </row>
    <row r="180" customFormat="false" ht="15" hidden="false" customHeight="false" outlineLevel="0" collapsed="false">
      <c r="A180" s="23" t="n">
        <v>45566</v>
      </c>
      <c r="B180" s="24" t="n">
        <v>202410</v>
      </c>
      <c r="C180" s="25" t="n">
        <f aca="false">SUM(D180:BI180)</f>
        <v>38.25</v>
      </c>
      <c r="D180" s="26" t="n">
        <f aca="false">SUMIFS('Outages (event ledger)'!$H$2:$H$65,'Outages (event ledger)'!$A$2:$A$65,D$2,'Outages (event ledger)'!$E$2:$E$65,"&lt;="&amp;$B180,'Outages (event ledger)'!$G$2:$G$65,"&gt;="&amp;$B180)</f>
        <v>0</v>
      </c>
      <c r="E180" s="26" t="n">
        <f aca="false">SUMIFS('Outages (event ledger)'!$H$2:$H$65,'Outages (event ledger)'!$A$2:$A$65,E$2,'Outages (event ledger)'!$E$2:$E$65,"&lt;="&amp;$B180,'Outages (event ledger)'!$G$2:$G$65,"&gt;="&amp;$B180)</f>
        <v>0</v>
      </c>
      <c r="F180" s="26" t="n">
        <f aca="false">SUMIFS('Outages (event ledger)'!$H$2:$H$65,'Outages (event ledger)'!$A$2:$A$65,F$2,'Outages (event ledger)'!$E$2:$E$65,"&lt;="&amp;$B180,'Outages (event ledger)'!$G$2:$G$65,"&gt;="&amp;$B180)</f>
        <v>0</v>
      </c>
      <c r="G180" s="26" t="n">
        <f aca="false">SUMIFS('Outages (event ledger)'!$H$2:$H$65,'Outages (event ledger)'!$A$2:$A$65,G$2,'Outages (event ledger)'!$E$2:$E$65,"&lt;="&amp;$B180,'Outages (event ledger)'!$G$2:$G$65,"&gt;="&amp;$B180)</f>
        <v>0</v>
      </c>
      <c r="H180" s="26" t="n">
        <f aca="false">SUMIFS('Outages (event ledger)'!$H$2:$H$65,'Outages (event ledger)'!$A$2:$A$65,H$2,'Outages (event ledger)'!$E$2:$E$65,"&lt;="&amp;$B180,'Outages (event ledger)'!$G$2:$G$65,"&gt;="&amp;$B180)</f>
        <v>0</v>
      </c>
      <c r="I180" s="26" t="n">
        <f aca="false">SUMIFS('Outages (event ledger)'!$H$2:$H$65,'Outages (event ledger)'!$A$2:$A$65,I$2,'Outages (event ledger)'!$E$2:$E$65,"&lt;="&amp;$B180,'Outages (event ledger)'!$G$2:$G$65,"&gt;="&amp;$B180)</f>
        <v>0</v>
      </c>
      <c r="J180" s="26" t="n">
        <f aca="false">SUMIFS('Outages (event ledger)'!$H$2:$H$65,'Outages (event ledger)'!$A$2:$A$65,J$2,'Outages (event ledger)'!$E$2:$E$65,"&lt;="&amp;$B180,'Outages (event ledger)'!$G$2:$G$65,"&gt;="&amp;$B180)</f>
        <v>0</v>
      </c>
      <c r="K180" s="26" t="n">
        <f aca="false">SUMIFS('Outages (event ledger)'!$H$2:$H$65,'Outages (event ledger)'!$A$2:$A$65,K$2,'Outages (event ledger)'!$E$2:$E$65,"&lt;="&amp;$B180,'Outages (event ledger)'!$G$2:$G$65,"&gt;="&amp;$B180)</f>
        <v>0</v>
      </c>
      <c r="L180" s="26" t="n">
        <f aca="false">SUMIFS('Outages (event ledger)'!$H$2:$H$65,'Outages (event ledger)'!$A$2:$A$65,L$2,'Outages (event ledger)'!$E$2:$E$65,"&lt;="&amp;$B180,'Outages (event ledger)'!$G$2:$G$65,"&gt;="&amp;$B180)</f>
        <v>0</v>
      </c>
      <c r="M180" s="26" t="n">
        <f aca="false">SUMIFS('Outages (event ledger)'!$H$2:$H$65,'Outages (event ledger)'!$A$2:$A$65,M$2,'Outages (event ledger)'!$E$2:$E$65,"&lt;="&amp;$B180,'Outages (event ledger)'!$G$2:$G$65,"&gt;="&amp;$B180)</f>
        <v>4.45</v>
      </c>
      <c r="N180" s="26" t="n">
        <f aca="false">SUMIFS('Outages (event ledger)'!$H$2:$H$65,'Outages (event ledger)'!$A$2:$A$65,N$2,'Outages (event ledger)'!$E$2:$E$65,"&lt;="&amp;$B180,'Outages (event ledger)'!$G$2:$G$65,"&gt;="&amp;$B180)</f>
        <v>0</v>
      </c>
      <c r="O180" s="26" t="n">
        <f aca="false">SUMIFS('Outages (event ledger)'!$H$2:$H$65,'Outages (event ledger)'!$A$2:$A$65,O$2,'Outages (event ledger)'!$E$2:$E$65,"&lt;="&amp;$B180,'Outages (event ledger)'!$G$2:$G$65,"&gt;="&amp;$B180)</f>
        <v>0</v>
      </c>
      <c r="P180" s="26" t="n">
        <f aca="false">SUMIFS('Outages (event ledger)'!$H$2:$H$65,'Outages (event ledger)'!$A$2:$A$65,P$2,'Outages (event ledger)'!$E$2:$E$65,"&lt;="&amp;$B180,'Outages (event ledger)'!$G$2:$G$65,"&gt;="&amp;$B180)</f>
        <v>0</v>
      </c>
      <c r="Q180" s="26" t="n">
        <f aca="false">SUMIFS('Outages (event ledger)'!$H$2:$H$65,'Outages (event ledger)'!$A$2:$A$65,Q$2,'Outages (event ledger)'!$E$2:$E$65,"&lt;="&amp;$B180,'Outages (event ledger)'!$G$2:$G$65,"&gt;="&amp;$B180)</f>
        <v>0</v>
      </c>
      <c r="R180" s="26" t="n">
        <f aca="false">SUMIFS('Outages (event ledger)'!$H$2:$H$65,'Outages (event ledger)'!$A$2:$A$65,R$2,'Outages (event ledger)'!$E$2:$E$65,"&lt;="&amp;$B180,'Outages (event ledger)'!$G$2:$G$65,"&gt;="&amp;$B180)</f>
        <v>0</v>
      </c>
      <c r="S180" s="26" t="n">
        <f aca="false">SUMIFS('Outages (event ledger)'!$H$2:$H$65,'Outages (event ledger)'!$A$2:$A$65,S$2,'Outages (event ledger)'!$E$2:$E$65,"&lt;="&amp;$B180,'Outages (event ledger)'!$G$2:$G$65,"&gt;="&amp;$B180)</f>
        <v>0</v>
      </c>
      <c r="T180" s="26" t="n">
        <f aca="false">SUMIFS('Outages (event ledger)'!$H$2:$H$65,'Outages (event ledger)'!$A$2:$A$65,T$2,'Outages (event ledger)'!$E$2:$E$65,"&lt;="&amp;$B180,'Outages (event ledger)'!$G$2:$G$65,"&gt;="&amp;$B180)</f>
        <v>0</v>
      </c>
      <c r="U180" s="26" t="n">
        <f aca="false">SUMIFS('Outages (event ledger)'!$H$2:$H$65,'Outages (event ledger)'!$A$2:$A$65,U$2,'Outages (event ledger)'!$E$2:$E$65,"&lt;="&amp;$B180,'Outages (event ledger)'!$G$2:$G$65,"&gt;="&amp;$B180)</f>
        <v>0</v>
      </c>
      <c r="V180" s="26" t="n">
        <f aca="false">SUMIFS('Outages (event ledger)'!$H$2:$H$65,'Outages (event ledger)'!$A$2:$A$65,V$2,'Outages (event ledger)'!$E$2:$E$65,"&lt;="&amp;$B180,'Outages (event ledger)'!$G$2:$G$65,"&gt;="&amp;$B180)</f>
        <v>0</v>
      </c>
      <c r="W180" s="26" t="n">
        <f aca="false">SUMIFS('Outages (event ledger)'!$H$2:$H$65,'Outages (event ledger)'!$A$2:$A$65,W$2,'Outages (event ledger)'!$E$2:$E$65,"&lt;="&amp;$B180,'Outages (event ledger)'!$G$2:$G$65,"&gt;="&amp;$B180)</f>
        <v>0</v>
      </c>
      <c r="X180" s="26" t="n">
        <f aca="false">SUMIFS('Outages (event ledger)'!$H$2:$H$65,'Outages (event ledger)'!$A$2:$A$65,X$2,'Outages (event ledger)'!$E$2:$E$65,"&lt;="&amp;$B180,'Outages (event ledger)'!$G$2:$G$65,"&gt;="&amp;$B180)</f>
        <v>0</v>
      </c>
      <c r="Y180" s="26" t="n">
        <f aca="false">SUMIFS('Outages (event ledger)'!$H$2:$H$65,'Outages (event ledger)'!$A$2:$A$65,Y$2,'Outages (event ledger)'!$E$2:$E$65,"&lt;="&amp;$B180,'Outages (event ledger)'!$G$2:$G$65,"&gt;="&amp;$B180)</f>
        <v>0</v>
      </c>
      <c r="Z180" s="26" t="n">
        <f aca="false">SUMIFS('Outages (event ledger)'!$H$2:$H$65,'Outages (event ledger)'!$A$2:$A$65,Z$2,'Outages (event ledger)'!$E$2:$E$65,"&lt;="&amp;$B180,'Outages (event ledger)'!$G$2:$G$65,"&gt;="&amp;$B180)</f>
        <v>6</v>
      </c>
      <c r="AA180" s="26" t="n">
        <f aca="false">SUMIFS('Outages (event ledger)'!$H$2:$H$65,'Outages (event ledger)'!$A$2:$A$65,AA$2,'Outages (event ledger)'!$E$2:$E$65,"&lt;="&amp;$B180,'Outages (event ledger)'!$G$2:$G$65,"&gt;="&amp;$B180)</f>
        <v>2</v>
      </c>
      <c r="AB180" s="26" t="n">
        <f aca="false">SUMIFS('Outages (event ledger)'!$H$2:$H$65,'Outages (event ledger)'!$A$2:$A$65,AB$2,'Outages (event ledger)'!$E$2:$E$65,"&lt;="&amp;$B180,'Outages (event ledger)'!$G$2:$G$65,"&gt;="&amp;$B180)</f>
        <v>8</v>
      </c>
      <c r="AC180" s="26" t="n">
        <f aca="false">SUMIFS('Outages (event ledger)'!$H$2:$H$65,'Outages (event ledger)'!$A$2:$A$65,AC$2,'Outages (event ledger)'!$E$2:$E$65,"&lt;="&amp;$B180,'Outages (event ledger)'!$G$2:$G$65,"&gt;="&amp;$B180)</f>
        <v>0</v>
      </c>
      <c r="AD180" s="26" t="n">
        <f aca="false">SUMIFS('Outages (event ledger)'!$H$2:$H$65,'Outages (event ledger)'!$A$2:$A$65,AD$2,'Outages (event ledger)'!$E$2:$E$65,"&lt;="&amp;$B180,'Outages (event ledger)'!$G$2:$G$65,"&gt;="&amp;$B180)</f>
        <v>0</v>
      </c>
      <c r="AE180" s="26" t="n">
        <f aca="false">SUMIFS('Outages (event ledger)'!$H$2:$H$65,'Outages (event ledger)'!$A$2:$A$65,AE$2,'Outages (event ledger)'!$E$2:$E$65,"&lt;="&amp;$B180,'Outages (event ledger)'!$G$2:$G$65,"&gt;="&amp;$B180)</f>
        <v>2.5</v>
      </c>
      <c r="AF180" s="26" t="n">
        <f aca="false">SUMIFS('Outages (event ledger)'!$H$2:$H$65,'Outages (event ledger)'!$A$2:$A$65,AF$2,'Outages (event ledger)'!$E$2:$E$65,"&lt;="&amp;$B180,'Outages (event ledger)'!$G$2:$G$65,"&gt;="&amp;$B180)</f>
        <v>0</v>
      </c>
      <c r="AG180" s="26" t="n">
        <f aca="false">SUMIFS('Outages (event ledger)'!$H$2:$H$65,'Outages (event ledger)'!$A$2:$A$65,AG$2,'Outages (event ledger)'!$E$2:$E$65,"&lt;="&amp;$B180,'Outages (event ledger)'!$G$2:$G$65,"&gt;="&amp;$B180)</f>
        <v>0</v>
      </c>
      <c r="AH180" s="26" t="n">
        <f aca="false">SUMIFS('Outages (event ledger)'!$H$2:$H$65,'Outages (event ledger)'!$A$2:$A$65,AH$2,'Outages (event ledger)'!$E$2:$E$65,"&lt;="&amp;$B180,'Outages (event ledger)'!$G$2:$G$65,"&gt;="&amp;$B180)</f>
        <v>0</v>
      </c>
      <c r="AI180" s="26" t="n">
        <f aca="false">SUMIFS('Outages (event ledger)'!$H$2:$H$65,'Outages (event ledger)'!$A$2:$A$65,AI$2,'Outages (event ledger)'!$E$2:$E$65,"&lt;="&amp;$B180,'Outages (event ledger)'!$G$2:$G$65,"&gt;="&amp;$B180)</f>
        <v>0</v>
      </c>
      <c r="AJ180" s="26" t="n">
        <f aca="false">SUMIFS('Outages (event ledger)'!$H$2:$H$65,'Outages (event ledger)'!$A$2:$A$65,AJ$2,'Outages (event ledger)'!$E$2:$E$65,"&lt;="&amp;$B180,'Outages (event ledger)'!$G$2:$G$65,"&gt;="&amp;$B180)</f>
        <v>0</v>
      </c>
      <c r="AK180" s="26" t="n">
        <f aca="false">SUMIFS('Outages (event ledger)'!$H$2:$H$65,'Outages (event ledger)'!$A$2:$A$65,AK$2,'Outages (event ledger)'!$E$2:$E$65,"&lt;="&amp;$B180,'Outages (event ledger)'!$G$2:$G$65,"&gt;="&amp;$B180)</f>
        <v>0</v>
      </c>
      <c r="AL180" s="26" t="n">
        <f aca="false">SUMIFS('Outages (event ledger)'!$H$2:$H$65,'Outages (event ledger)'!$A$2:$A$65,AL$2,'Outages (event ledger)'!$E$2:$E$65,"&lt;="&amp;$B180,'Outages (event ledger)'!$G$2:$G$65,"&gt;="&amp;$B180)</f>
        <v>0</v>
      </c>
      <c r="AM180" s="26" t="n">
        <f aca="false">SUMIFS('Outages (event ledger)'!$H$2:$H$65,'Outages (event ledger)'!$A$2:$A$65,AM$2,'Outages (event ledger)'!$E$2:$E$65,"&lt;="&amp;$B180,'Outages (event ledger)'!$G$2:$G$65,"&gt;="&amp;$B180)</f>
        <v>0</v>
      </c>
      <c r="AN180" s="26" t="n">
        <f aca="false">SUMIFS('Outages (event ledger)'!$H$2:$H$65,'Outages (event ledger)'!$A$2:$A$65,AN$2,'Outages (event ledger)'!$E$2:$E$65,"&lt;="&amp;$B180,'Outages (event ledger)'!$G$2:$G$65,"&gt;="&amp;$B180)</f>
        <v>0</v>
      </c>
      <c r="AO180" s="26" t="n">
        <f aca="false">SUMIFS('Outages (event ledger)'!$H$2:$H$65,'Outages (event ledger)'!$A$2:$A$65,AO$2,'Outages (event ledger)'!$E$2:$E$65,"&lt;="&amp;$B180,'Outages (event ledger)'!$G$2:$G$65,"&gt;="&amp;$B180)</f>
        <v>0</v>
      </c>
      <c r="AP180" s="26" t="n">
        <f aca="false">SUMIFS('Outages (event ledger)'!$H$2:$H$65,'Outages (event ledger)'!$A$2:$A$65,AP$2,'Outages (event ledger)'!$E$2:$E$65,"&lt;="&amp;$B180,'Outages (event ledger)'!$G$2:$G$65,"&gt;="&amp;$B180)</f>
        <v>0</v>
      </c>
      <c r="AQ180" s="26" t="n">
        <f aca="false">SUMIFS('Outages (event ledger)'!$H$2:$H$65,'Outages (event ledger)'!$A$2:$A$65,AQ$2,'Outages (event ledger)'!$E$2:$E$65,"&lt;="&amp;$B180,'Outages (event ledger)'!$G$2:$G$65,"&gt;="&amp;$B180)</f>
        <v>0</v>
      </c>
      <c r="AR180" s="26" t="n">
        <f aca="false">SUMIFS('Outages (event ledger)'!$H$2:$H$65,'Outages (event ledger)'!$A$2:$A$65,AR$2,'Outages (event ledger)'!$E$2:$E$65,"&lt;="&amp;$B180,'Outages (event ledger)'!$G$2:$G$65,"&gt;="&amp;$B180)</f>
        <v>0</v>
      </c>
      <c r="AS180" s="26" t="n">
        <f aca="false">SUMIFS('Outages (event ledger)'!$H$2:$H$65,'Outages (event ledger)'!$A$2:$A$65,AS$2,'Outages (event ledger)'!$E$2:$E$65,"&lt;="&amp;$B180,'Outages (event ledger)'!$G$2:$G$65,"&gt;="&amp;$B180)</f>
        <v>0</v>
      </c>
      <c r="AT180" s="26" t="n">
        <f aca="false">SUMIFS('Outages (event ledger)'!$H$2:$H$65,'Outages (event ledger)'!$A$2:$A$65,AT$2,'Outages (event ledger)'!$E$2:$E$65,"&lt;="&amp;$B180,'Outages (event ledger)'!$G$2:$G$65,"&gt;="&amp;$B180)</f>
        <v>0</v>
      </c>
      <c r="AU180" s="26" t="n">
        <f aca="false">SUMIFS('Outages (event ledger)'!$H$2:$H$65,'Outages (event ledger)'!$A$2:$A$65,AU$2,'Outages (event ledger)'!$E$2:$E$65,"&lt;="&amp;$B180,'Outages (event ledger)'!$G$2:$G$65,"&gt;="&amp;$B180)</f>
        <v>0</v>
      </c>
      <c r="AV180" s="26" t="n">
        <f aca="false">SUMIFS('Outages (event ledger)'!$H$2:$H$65,'Outages (event ledger)'!$A$2:$A$65,AV$2,'Outages (event ledger)'!$E$2:$E$65,"&lt;="&amp;$B180,'Outages (event ledger)'!$G$2:$G$65,"&gt;="&amp;$B180)</f>
        <v>0</v>
      </c>
      <c r="AW180" s="26" t="n">
        <f aca="false">SUMIFS('Outages (event ledger)'!$H$2:$H$65,'Outages (event ledger)'!$A$2:$A$65,AW$2,'Outages (event ledger)'!$E$2:$E$65,"&lt;="&amp;$B180,'Outages (event ledger)'!$G$2:$G$65,"&gt;="&amp;$B180)</f>
        <v>0</v>
      </c>
      <c r="AX180" s="26" t="n">
        <f aca="false">SUMIFS('Outages (event ledger)'!$H$2:$H$65,'Outages (event ledger)'!$A$2:$A$65,AX$2,'Outages (event ledger)'!$E$2:$E$65,"&lt;="&amp;$B180,'Outages (event ledger)'!$G$2:$G$65,"&gt;="&amp;$B180)</f>
        <v>6.6</v>
      </c>
      <c r="AY180" s="26" t="n">
        <f aca="false">SUMIFS('Outages (event ledger)'!$H$2:$H$65,'Outages (event ledger)'!$A$2:$A$65,AY$2,'Outages (event ledger)'!$E$2:$E$65,"&lt;="&amp;$B180,'Outages (event ledger)'!$G$2:$G$65,"&gt;="&amp;$B180)</f>
        <v>0</v>
      </c>
      <c r="AZ180" s="26" t="n">
        <f aca="false">SUMIFS('Outages (event ledger)'!$H$2:$H$65,'Outages (event ledger)'!$A$2:$A$65,AZ$2,'Outages (event ledger)'!$E$2:$E$65,"&lt;="&amp;$B180,'Outages (event ledger)'!$G$2:$G$65,"&gt;="&amp;$B180)</f>
        <v>2</v>
      </c>
      <c r="BA180" s="26" t="n">
        <f aca="false">SUMIFS('Outages (event ledger)'!$H$2:$H$65,'Outages (event ledger)'!$A$2:$A$65,BA$2,'Outages (event ledger)'!$E$2:$E$65,"&lt;="&amp;$B180,'Outages (event ledger)'!$G$2:$G$65,"&gt;="&amp;$B180)</f>
        <v>0</v>
      </c>
      <c r="BB180" s="26" t="n">
        <f aca="false">SUMIFS('Outages (event ledger)'!$H$2:$H$65,'Outages (event ledger)'!$A$2:$A$65,BB$2,'Outages (event ledger)'!$E$2:$E$65,"&lt;="&amp;$B180,'Outages (event ledger)'!$G$2:$G$65,"&gt;="&amp;$B180)</f>
        <v>0</v>
      </c>
      <c r="BC180" s="26" t="n">
        <f aca="false">SUMIFS('Outages (event ledger)'!$H$2:$H$65,'Outages (event ledger)'!$A$2:$A$65,BC$2,'Outages (event ledger)'!$E$2:$E$65,"&lt;="&amp;$B180,'Outages (event ledger)'!$G$2:$G$65,"&gt;="&amp;$B180)</f>
        <v>0</v>
      </c>
      <c r="BD180" s="26" t="n">
        <f aca="false">SUMIFS('Outages (event ledger)'!$H$2:$H$65,'Outages (event ledger)'!$A$2:$A$65,BD$2,'Outages (event ledger)'!$E$2:$E$65,"&lt;="&amp;$B180,'Outages (event ledger)'!$G$2:$G$65,"&gt;="&amp;$B180)</f>
        <v>0</v>
      </c>
      <c r="BE180" s="26" t="n">
        <f aca="false">SUMIFS('Outages (event ledger)'!$H$2:$H$65,'Outages (event ledger)'!$A$2:$A$65,BE$2,'Outages (event ledger)'!$E$2:$E$65,"&lt;="&amp;$B180,'Outages (event ledger)'!$G$2:$G$65,"&gt;="&amp;$B180)</f>
        <v>0</v>
      </c>
      <c r="BF180" s="26" t="n">
        <f aca="false">SUMIFS('Outages (event ledger)'!$H$2:$H$65,'Outages (event ledger)'!$A$2:$A$65,BF$2,'Outages (event ledger)'!$E$2:$E$65,"&lt;="&amp;$B180,'Outages (event ledger)'!$G$2:$G$65,"&gt;="&amp;$B180)</f>
        <v>0</v>
      </c>
      <c r="BG180" s="26" t="n">
        <f aca="false">SUMIFS('Outages (event ledger)'!$H$2:$H$65,'Outages (event ledger)'!$A$2:$A$65,BG$2,'Outages (event ledger)'!$E$2:$E$65,"&lt;="&amp;$B180,'Outages (event ledger)'!$G$2:$G$65,"&gt;="&amp;$B180)</f>
        <v>0</v>
      </c>
      <c r="BH180" s="26" t="n">
        <f aca="false">SUMIFS('Outages (event ledger)'!$H$2:$H$65,'Outages (event ledger)'!$A$2:$A$65,BH$2,'Outages (event ledger)'!$E$2:$E$65,"&lt;="&amp;$B180,'Outages (event ledger)'!$G$2:$G$65,"&gt;="&amp;$B180)</f>
        <v>0</v>
      </c>
      <c r="BI180" s="26" t="n">
        <f aca="false">SUMIFS('Outages (event ledger)'!$H$2:$H$65,'Outages (event ledger)'!$A$2:$A$65,BI$2,'Outages (event ledger)'!$E$2:$E$65,"&lt;="&amp;$B180,'Outages (event ledger)'!$G$2:$G$65,"&gt;="&amp;$B180)</f>
        <v>6.7</v>
      </c>
    </row>
    <row r="181" customFormat="false" ht="15" hidden="false" customHeight="false" outlineLevel="0" collapsed="false">
      <c r="A181" s="23" t="n">
        <v>45597</v>
      </c>
      <c r="B181" s="24" t="n">
        <v>202411</v>
      </c>
      <c r="C181" s="25" t="n">
        <f aca="false">SUM(D181:BI181)</f>
        <v>34.7</v>
      </c>
      <c r="D181" s="26" t="n">
        <f aca="false">SUMIFS('Outages (event ledger)'!$H$2:$H$65,'Outages (event ledger)'!$A$2:$A$65,D$2,'Outages (event ledger)'!$E$2:$E$65,"&lt;="&amp;$B181,'Outages (event ledger)'!$G$2:$G$65,"&gt;="&amp;$B181)</f>
        <v>0</v>
      </c>
      <c r="E181" s="26" t="n">
        <f aca="false">SUMIFS('Outages (event ledger)'!$H$2:$H$65,'Outages (event ledger)'!$A$2:$A$65,E$2,'Outages (event ledger)'!$E$2:$E$65,"&lt;="&amp;$B181,'Outages (event ledger)'!$G$2:$G$65,"&gt;="&amp;$B181)</f>
        <v>0</v>
      </c>
      <c r="F181" s="26" t="n">
        <f aca="false">SUMIFS('Outages (event ledger)'!$H$2:$H$65,'Outages (event ledger)'!$A$2:$A$65,F$2,'Outages (event ledger)'!$E$2:$E$65,"&lt;="&amp;$B181,'Outages (event ledger)'!$G$2:$G$65,"&gt;="&amp;$B181)</f>
        <v>0</v>
      </c>
      <c r="G181" s="26" t="n">
        <f aca="false">SUMIFS('Outages (event ledger)'!$H$2:$H$65,'Outages (event ledger)'!$A$2:$A$65,G$2,'Outages (event ledger)'!$E$2:$E$65,"&lt;="&amp;$B181,'Outages (event ledger)'!$G$2:$G$65,"&gt;="&amp;$B181)</f>
        <v>0</v>
      </c>
      <c r="H181" s="26" t="n">
        <f aca="false">SUMIFS('Outages (event ledger)'!$H$2:$H$65,'Outages (event ledger)'!$A$2:$A$65,H$2,'Outages (event ledger)'!$E$2:$E$65,"&lt;="&amp;$B181,'Outages (event ledger)'!$G$2:$G$65,"&gt;="&amp;$B181)</f>
        <v>0</v>
      </c>
      <c r="I181" s="26" t="n">
        <f aca="false">SUMIFS('Outages (event ledger)'!$H$2:$H$65,'Outages (event ledger)'!$A$2:$A$65,I$2,'Outages (event ledger)'!$E$2:$E$65,"&lt;="&amp;$B181,'Outages (event ledger)'!$G$2:$G$65,"&gt;="&amp;$B181)</f>
        <v>0</v>
      </c>
      <c r="J181" s="26" t="n">
        <f aca="false">SUMIFS('Outages (event ledger)'!$H$2:$H$65,'Outages (event ledger)'!$A$2:$A$65,J$2,'Outages (event ledger)'!$E$2:$E$65,"&lt;="&amp;$B181,'Outages (event ledger)'!$G$2:$G$65,"&gt;="&amp;$B181)</f>
        <v>0</v>
      </c>
      <c r="K181" s="26" t="n">
        <f aca="false">SUMIFS('Outages (event ledger)'!$H$2:$H$65,'Outages (event ledger)'!$A$2:$A$65,K$2,'Outages (event ledger)'!$E$2:$E$65,"&lt;="&amp;$B181,'Outages (event ledger)'!$G$2:$G$65,"&gt;="&amp;$B181)</f>
        <v>0</v>
      </c>
      <c r="L181" s="26" t="n">
        <f aca="false">SUMIFS('Outages (event ledger)'!$H$2:$H$65,'Outages (event ledger)'!$A$2:$A$65,L$2,'Outages (event ledger)'!$E$2:$E$65,"&lt;="&amp;$B181,'Outages (event ledger)'!$G$2:$G$65,"&gt;="&amp;$B181)</f>
        <v>0</v>
      </c>
      <c r="M181" s="26" t="n">
        <f aca="false">SUMIFS('Outages (event ledger)'!$H$2:$H$65,'Outages (event ledger)'!$A$2:$A$65,M$2,'Outages (event ledger)'!$E$2:$E$65,"&lt;="&amp;$B181,'Outages (event ledger)'!$G$2:$G$65,"&gt;="&amp;$B181)</f>
        <v>0</v>
      </c>
      <c r="N181" s="26" t="n">
        <f aca="false">SUMIFS('Outages (event ledger)'!$H$2:$H$65,'Outages (event ledger)'!$A$2:$A$65,N$2,'Outages (event ledger)'!$E$2:$E$65,"&lt;="&amp;$B181,'Outages (event ledger)'!$G$2:$G$65,"&gt;="&amp;$B181)</f>
        <v>0</v>
      </c>
      <c r="O181" s="26" t="n">
        <f aca="false">SUMIFS('Outages (event ledger)'!$H$2:$H$65,'Outages (event ledger)'!$A$2:$A$65,O$2,'Outages (event ledger)'!$E$2:$E$65,"&lt;="&amp;$B181,'Outages (event ledger)'!$G$2:$G$65,"&gt;="&amp;$B181)</f>
        <v>4.9</v>
      </c>
      <c r="P181" s="26" t="n">
        <f aca="false">SUMIFS('Outages (event ledger)'!$H$2:$H$65,'Outages (event ledger)'!$A$2:$A$65,P$2,'Outages (event ledger)'!$E$2:$E$65,"&lt;="&amp;$B181,'Outages (event ledger)'!$G$2:$G$65,"&gt;="&amp;$B181)</f>
        <v>0</v>
      </c>
      <c r="Q181" s="26" t="n">
        <f aca="false">SUMIFS('Outages (event ledger)'!$H$2:$H$65,'Outages (event ledger)'!$A$2:$A$65,Q$2,'Outages (event ledger)'!$E$2:$E$65,"&lt;="&amp;$B181,'Outages (event ledger)'!$G$2:$G$65,"&gt;="&amp;$B181)</f>
        <v>0</v>
      </c>
      <c r="R181" s="26" t="n">
        <f aca="false">SUMIFS('Outages (event ledger)'!$H$2:$H$65,'Outages (event ledger)'!$A$2:$A$65,R$2,'Outages (event ledger)'!$E$2:$E$65,"&lt;="&amp;$B181,'Outages (event ledger)'!$G$2:$G$65,"&gt;="&amp;$B181)</f>
        <v>0</v>
      </c>
      <c r="S181" s="26" t="n">
        <f aca="false">SUMIFS('Outages (event ledger)'!$H$2:$H$65,'Outages (event ledger)'!$A$2:$A$65,S$2,'Outages (event ledger)'!$E$2:$E$65,"&lt;="&amp;$B181,'Outages (event ledger)'!$G$2:$G$65,"&gt;="&amp;$B181)</f>
        <v>0</v>
      </c>
      <c r="T181" s="26" t="n">
        <f aca="false">SUMIFS('Outages (event ledger)'!$H$2:$H$65,'Outages (event ledger)'!$A$2:$A$65,T$2,'Outages (event ledger)'!$E$2:$E$65,"&lt;="&amp;$B181,'Outages (event ledger)'!$G$2:$G$65,"&gt;="&amp;$B181)</f>
        <v>0</v>
      </c>
      <c r="U181" s="26" t="n">
        <f aca="false">SUMIFS('Outages (event ledger)'!$H$2:$H$65,'Outages (event ledger)'!$A$2:$A$65,U$2,'Outages (event ledger)'!$E$2:$E$65,"&lt;="&amp;$B181,'Outages (event ledger)'!$G$2:$G$65,"&gt;="&amp;$B181)</f>
        <v>0</v>
      </c>
      <c r="V181" s="26" t="n">
        <f aca="false">SUMIFS('Outages (event ledger)'!$H$2:$H$65,'Outages (event ledger)'!$A$2:$A$65,V$2,'Outages (event ledger)'!$E$2:$E$65,"&lt;="&amp;$B181,'Outages (event ledger)'!$G$2:$G$65,"&gt;="&amp;$B181)</f>
        <v>0</v>
      </c>
      <c r="W181" s="26" t="n">
        <f aca="false">SUMIFS('Outages (event ledger)'!$H$2:$H$65,'Outages (event ledger)'!$A$2:$A$65,W$2,'Outages (event ledger)'!$E$2:$E$65,"&lt;="&amp;$B181,'Outages (event ledger)'!$G$2:$G$65,"&gt;="&amp;$B181)</f>
        <v>0</v>
      </c>
      <c r="X181" s="26" t="n">
        <f aca="false">SUMIFS('Outages (event ledger)'!$H$2:$H$65,'Outages (event ledger)'!$A$2:$A$65,X$2,'Outages (event ledger)'!$E$2:$E$65,"&lt;="&amp;$B181,'Outages (event ledger)'!$G$2:$G$65,"&gt;="&amp;$B181)</f>
        <v>0</v>
      </c>
      <c r="Y181" s="26" t="n">
        <f aca="false">SUMIFS('Outages (event ledger)'!$H$2:$H$65,'Outages (event ledger)'!$A$2:$A$65,Y$2,'Outages (event ledger)'!$E$2:$E$65,"&lt;="&amp;$B181,'Outages (event ledger)'!$G$2:$G$65,"&gt;="&amp;$B181)</f>
        <v>0</v>
      </c>
      <c r="Z181" s="26" t="n">
        <f aca="false">SUMIFS('Outages (event ledger)'!$H$2:$H$65,'Outages (event ledger)'!$A$2:$A$65,Z$2,'Outages (event ledger)'!$E$2:$E$65,"&lt;="&amp;$B181,'Outages (event ledger)'!$G$2:$G$65,"&gt;="&amp;$B181)</f>
        <v>0</v>
      </c>
      <c r="AA181" s="26" t="n">
        <f aca="false">SUMIFS('Outages (event ledger)'!$H$2:$H$65,'Outages (event ledger)'!$A$2:$A$65,AA$2,'Outages (event ledger)'!$E$2:$E$65,"&lt;="&amp;$B181,'Outages (event ledger)'!$G$2:$G$65,"&gt;="&amp;$B181)</f>
        <v>2</v>
      </c>
      <c r="AB181" s="26" t="n">
        <f aca="false">SUMIFS('Outages (event ledger)'!$H$2:$H$65,'Outages (event ledger)'!$A$2:$A$65,AB$2,'Outages (event ledger)'!$E$2:$E$65,"&lt;="&amp;$B181,'Outages (event ledger)'!$G$2:$G$65,"&gt;="&amp;$B181)</f>
        <v>8</v>
      </c>
      <c r="AC181" s="26" t="n">
        <f aca="false">SUMIFS('Outages (event ledger)'!$H$2:$H$65,'Outages (event ledger)'!$A$2:$A$65,AC$2,'Outages (event ledger)'!$E$2:$E$65,"&lt;="&amp;$B181,'Outages (event ledger)'!$G$2:$G$65,"&gt;="&amp;$B181)</f>
        <v>0</v>
      </c>
      <c r="AD181" s="26" t="n">
        <f aca="false">SUMIFS('Outages (event ledger)'!$H$2:$H$65,'Outages (event ledger)'!$A$2:$A$65,AD$2,'Outages (event ledger)'!$E$2:$E$65,"&lt;="&amp;$B181,'Outages (event ledger)'!$G$2:$G$65,"&gt;="&amp;$B181)</f>
        <v>2</v>
      </c>
      <c r="AE181" s="26" t="n">
        <f aca="false">SUMIFS('Outages (event ledger)'!$H$2:$H$65,'Outages (event ledger)'!$A$2:$A$65,AE$2,'Outages (event ledger)'!$E$2:$E$65,"&lt;="&amp;$B181,'Outages (event ledger)'!$G$2:$G$65,"&gt;="&amp;$B181)</f>
        <v>2.5</v>
      </c>
      <c r="AF181" s="26" t="n">
        <f aca="false">SUMIFS('Outages (event ledger)'!$H$2:$H$65,'Outages (event ledger)'!$A$2:$A$65,AF$2,'Outages (event ledger)'!$E$2:$E$65,"&lt;="&amp;$B181,'Outages (event ledger)'!$G$2:$G$65,"&gt;="&amp;$B181)</f>
        <v>0</v>
      </c>
      <c r="AG181" s="26" t="n">
        <f aca="false">SUMIFS('Outages (event ledger)'!$H$2:$H$65,'Outages (event ledger)'!$A$2:$A$65,AG$2,'Outages (event ledger)'!$E$2:$E$65,"&lt;="&amp;$B181,'Outages (event ledger)'!$G$2:$G$65,"&gt;="&amp;$B181)</f>
        <v>0</v>
      </c>
      <c r="AH181" s="26" t="n">
        <f aca="false">SUMIFS('Outages (event ledger)'!$H$2:$H$65,'Outages (event ledger)'!$A$2:$A$65,AH$2,'Outages (event ledger)'!$E$2:$E$65,"&lt;="&amp;$B181,'Outages (event ledger)'!$G$2:$G$65,"&gt;="&amp;$B181)</f>
        <v>0</v>
      </c>
      <c r="AI181" s="26" t="n">
        <f aca="false">SUMIFS('Outages (event ledger)'!$H$2:$H$65,'Outages (event ledger)'!$A$2:$A$65,AI$2,'Outages (event ledger)'!$E$2:$E$65,"&lt;="&amp;$B181,'Outages (event ledger)'!$G$2:$G$65,"&gt;="&amp;$B181)</f>
        <v>0</v>
      </c>
      <c r="AJ181" s="26" t="n">
        <f aca="false">SUMIFS('Outages (event ledger)'!$H$2:$H$65,'Outages (event ledger)'!$A$2:$A$65,AJ$2,'Outages (event ledger)'!$E$2:$E$65,"&lt;="&amp;$B181,'Outages (event ledger)'!$G$2:$G$65,"&gt;="&amp;$B181)</f>
        <v>0</v>
      </c>
      <c r="AK181" s="26" t="n">
        <f aca="false">SUMIFS('Outages (event ledger)'!$H$2:$H$65,'Outages (event ledger)'!$A$2:$A$65,AK$2,'Outages (event ledger)'!$E$2:$E$65,"&lt;="&amp;$B181,'Outages (event ledger)'!$G$2:$G$65,"&gt;="&amp;$B181)</f>
        <v>0</v>
      </c>
      <c r="AL181" s="26" t="n">
        <f aca="false">SUMIFS('Outages (event ledger)'!$H$2:$H$65,'Outages (event ledger)'!$A$2:$A$65,AL$2,'Outages (event ledger)'!$E$2:$E$65,"&lt;="&amp;$B181,'Outages (event ledger)'!$G$2:$G$65,"&gt;="&amp;$B181)</f>
        <v>0</v>
      </c>
      <c r="AM181" s="26" t="n">
        <f aca="false">SUMIFS('Outages (event ledger)'!$H$2:$H$65,'Outages (event ledger)'!$A$2:$A$65,AM$2,'Outages (event ledger)'!$E$2:$E$65,"&lt;="&amp;$B181,'Outages (event ledger)'!$G$2:$G$65,"&gt;="&amp;$B181)</f>
        <v>0</v>
      </c>
      <c r="AN181" s="26" t="n">
        <f aca="false">SUMIFS('Outages (event ledger)'!$H$2:$H$65,'Outages (event ledger)'!$A$2:$A$65,AN$2,'Outages (event ledger)'!$E$2:$E$65,"&lt;="&amp;$B181,'Outages (event ledger)'!$G$2:$G$65,"&gt;="&amp;$B181)</f>
        <v>0</v>
      </c>
      <c r="AO181" s="26" t="n">
        <f aca="false">SUMIFS('Outages (event ledger)'!$H$2:$H$65,'Outages (event ledger)'!$A$2:$A$65,AO$2,'Outages (event ledger)'!$E$2:$E$65,"&lt;="&amp;$B181,'Outages (event ledger)'!$G$2:$G$65,"&gt;="&amp;$B181)</f>
        <v>0</v>
      </c>
      <c r="AP181" s="26" t="n">
        <f aca="false">SUMIFS('Outages (event ledger)'!$H$2:$H$65,'Outages (event ledger)'!$A$2:$A$65,AP$2,'Outages (event ledger)'!$E$2:$E$65,"&lt;="&amp;$B181,'Outages (event ledger)'!$G$2:$G$65,"&gt;="&amp;$B181)</f>
        <v>0</v>
      </c>
      <c r="AQ181" s="26" t="n">
        <f aca="false">SUMIFS('Outages (event ledger)'!$H$2:$H$65,'Outages (event ledger)'!$A$2:$A$65,AQ$2,'Outages (event ledger)'!$E$2:$E$65,"&lt;="&amp;$B181,'Outages (event ledger)'!$G$2:$G$65,"&gt;="&amp;$B181)</f>
        <v>0</v>
      </c>
      <c r="AR181" s="26" t="n">
        <f aca="false">SUMIFS('Outages (event ledger)'!$H$2:$H$65,'Outages (event ledger)'!$A$2:$A$65,AR$2,'Outages (event ledger)'!$E$2:$E$65,"&lt;="&amp;$B181,'Outages (event ledger)'!$G$2:$G$65,"&gt;="&amp;$B181)</f>
        <v>0</v>
      </c>
      <c r="AS181" s="26" t="n">
        <f aca="false">SUMIFS('Outages (event ledger)'!$H$2:$H$65,'Outages (event ledger)'!$A$2:$A$65,AS$2,'Outages (event ledger)'!$E$2:$E$65,"&lt;="&amp;$B181,'Outages (event ledger)'!$G$2:$G$65,"&gt;="&amp;$B181)</f>
        <v>0</v>
      </c>
      <c r="AT181" s="26" t="n">
        <f aca="false">SUMIFS('Outages (event ledger)'!$H$2:$H$65,'Outages (event ledger)'!$A$2:$A$65,AT$2,'Outages (event ledger)'!$E$2:$E$65,"&lt;="&amp;$B181,'Outages (event ledger)'!$G$2:$G$65,"&gt;="&amp;$B181)</f>
        <v>0</v>
      </c>
      <c r="AU181" s="26" t="n">
        <f aca="false">SUMIFS('Outages (event ledger)'!$H$2:$H$65,'Outages (event ledger)'!$A$2:$A$65,AU$2,'Outages (event ledger)'!$E$2:$E$65,"&lt;="&amp;$B181,'Outages (event ledger)'!$G$2:$G$65,"&gt;="&amp;$B181)</f>
        <v>0</v>
      </c>
      <c r="AV181" s="26" t="n">
        <f aca="false">SUMIFS('Outages (event ledger)'!$H$2:$H$65,'Outages (event ledger)'!$A$2:$A$65,AV$2,'Outages (event ledger)'!$E$2:$E$65,"&lt;="&amp;$B181,'Outages (event ledger)'!$G$2:$G$65,"&gt;="&amp;$B181)</f>
        <v>0</v>
      </c>
      <c r="AW181" s="26" t="n">
        <f aca="false">SUMIFS('Outages (event ledger)'!$H$2:$H$65,'Outages (event ledger)'!$A$2:$A$65,AW$2,'Outages (event ledger)'!$E$2:$E$65,"&lt;="&amp;$B181,'Outages (event ledger)'!$G$2:$G$65,"&gt;="&amp;$B181)</f>
        <v>0</v>
      </c>
      <c r="AX181" s="26" t="n">
        <f aca="false">SUMIFS('Outages (event ledger)'!$H$2:$H$65,'Outages (event ledger)'!$A$2:$A$65,AX$2,'Outages (event ledger)'!$E$2:$E$65,"&lt;="&amp;$B181,'Outages (event ledger)'!$G$2:$G$65,"&gt;="&amp;$B181)</f>
        <v>6.6</v>
      </c>
      <c r="AY181" s="26" t="n">
        <f aca="false">SUMIFS('Outages (event ledger)'!$H$2:$H$65,'Outages (event ledger)'!$A$2:$A$65,AY$2,'Outages (event ledger)'!$E$2:$E$65,"&lt;="&amp;$B181,'Outages (event ledger)'!$G$2:$G$65,"&gt;="&amp;$B181)</f>
        <v>0</v>
      </c>
      <c r="AZ181" s="26" t="n">
        <f aca="false">SUMIFS('Outages (event ledger)'!$H$2:$H$65,'Outages (event ledger)'!$A$2:$A$65,AZ$2,'Outages (event ledger)'!$E$2:$E$65,"&lt;="&amp;$B181,'Outages (event ledger)'!$G$2:$G$65,"&gt;="&amp;$B181)</f>
        <v>2</v>
      </c>
      <c r="BA181" s="26" t="n">
        <f aca="false">SUMIFS('Outages (event ledger)'!$H$2:$H$65,'Outages (event ledger)'!$A$2:$A$65,BA$2,'Outages (event ledger)'!$E$2:$E$65,"&lt;="&amp;$B181,'Outages (event ledger)'!$G$2:$G$65,"&gt;="&amp;$B181)</f>
        <v>0</v>
      </c>
      <c r="BB181" s="26" t="n">
        <f aca="false">SUMIFS('Outages (event ledger)'!$H$2:$H$65,'Outages (event ledger)'!$A$2:$A$65,BB$2,'Outages (event ledger)'!$E$2:$E$65,"&lt;="&amp;$B181,'Outages (event ledger)'!$G$2:$G$65,"&gt;="&amp;$B181)</f>
        <v>0</v>
      </c>
      <c r="BC181" s="26" t="n">
        <f aca="false">SUMIFS('Outages (event ledger)'!$H$2:$H$65,'Outages (event ledger)'!$A$2:$A$65,BC$2,'Outages (event ledger)'!$E$2:$E$65,"&lt;="&amp;$B181,'Outages (event ledger)'!$G$2:$G$65,"&gt;="&amp;$B181)</f>
        <v>0</v>
      </c>
      <c r="BD181" s="26" t="n">
        <f aca="false">SUMIFS('Outages (event ledger)'!$H$2:$H$65,'Outages (event ledger)'!$A$2:$A$65,BD$2,'Outages (event ledger)'!$E$2:$E$65,"&lt;="&amp;$B181,'Outages (event ledger)'!$G$2:$G$65,"&gt;="&amp;$B181)</f>
        <v>0</v>
      </c>
      <c r="BE181" s="26" t="n">
        <f aca="false">SUMIFS('Outages (event ledger)'!$H$2:$H$65,'Outages (event ledger)'!$A$2:$A$65,BE$2,'Outages (event ledger)'!$E$2:$E$65,"&lt;="&amp;$B181,'Outages (event ledger)'!$G$2:$G$65,"&gt;="&amp;$B181)</f>
        <v>0</v>
      </c>
      <c r="BF181" s="26" t="n">
        <f aca="false">SUMIFS('Outages (event ledger)'!$H$2:$H$65,'Outages (event ledger)'!$A$2:$A$65,BF$2,'Outages (event ledger)'!$E$2:$E$65,"&lt;="&amp;$B181,'Outages (event ledger)'!$G$2:$G$65,"&gt;="&amp;$B181)</f>
        <v>0</v>
      </c>
      <c r="BG181" s="26" t="n">
        <f aca="false">SUMIFS('Outages (event ledger)'!$H$2:$H$65,'Outages (event ledger)'!$A$2:$A$65,BG$2,'Outages (event ledger)'!$E$2:$E$65,"&lt;="&amp;$B181,'Outages (event ledger)'!$G$2:$G$65,"&gt;="&amp;$B181)</f>
        <v>0</v>
      </c>
      <c r="BH181" s="26" t="n">
        <f aca="false">SUMIFS('Outages (event ledger)'!$H$2:$H$65,'Outages (event ledger)'!$A$2:$A$65,BH$2,'Outages (event ledger)'!$E$2:$E$65,"&lt;="&amp;$B181,'Outages (event ledger)'!$G$2:$G$65,"&gt;="&amp;$B181)</f>
        <v>0</v>
      </c>
      <c r="BI181" s="26" t="n">
        <f aca="false">SUMIFS('Outages (event ledger)'!$H$2:$H$65,'Outages (event ledger)'!$A$2:$A$65,BI$2,'Outages (event ledger)'!$E$2:$E$65,"&lt;="&amp;$B181,'Outages (event ledger)'!$G$2:$G$65,"&gt;="&amp;$B181)</f>
        <v>6.7</v>
      </c>
    </row>
    <row r="182" customFormat="false" ht="15" hidden="false" customHeight="false" outlineLevel="0" collapsed="false">
      <c r="A182" s="23" t="n">
        <v>45627</v>
      </c>
      <c r="B182" s="24" t="n">
        <v>202412</v>
      </c>
      <c r="C182" s="25" t="n">
        <f aca="false">SUM(D182:BI182)</f>
        <v>30.2</v>
      </c>
      <c r="D182" s="26" t="n">
        <f aca="false">SUMIFS('Outages (event ledger)'!$H$2:$H$65,'Outages (event ledger)'!$A$2:$A$65,D$2,'Outages (event ledger)'!$E$2:$E$65,"&lt;="&amp;$B182,'Outages (event ledger)'!$G$2:$G$65,"&gt;="&amp;$B182)</f>
        <v>0</v>
      </c>
      <c r="E182" s="26" t="n">
        <f aca="false">SUMIFS('Outages (event ledger)'!$H$2:$H$65,'Outages (event ledger)'!$A$2:$A$65,E$2,'Outages (event ledger)'!$E$2:$E$65,"&lt;="&amp;$B182,'Outages (event ledger)'!$G$2:$G$65,"&gt;="&amp;$B182)</f>
        <v>0</v>
      </c>
      <c r="F182" s="26" t="n">
        <f aca="false">SUMIFS('Outages (event ledger)'!$H$2:$H$65,'Outages (event ledger)'!$A$2:$A$65,F$2,'Outages (event ledger)'!$E$2:$E$65,"&lt;="&amp;$B182,'Outages (event ledger)'!$G$2:$G$65,"&gt;="&amp;$B182)</f>
        <v>0</v>
      </c>
      <c r="G182" s="26" t="n">
        <f aca="false">SUMIFS('Outages (event ledger)'!$H$2:$H$65,'Outages (event ledger)'!$A$2:$A$65,G$2,'Outages (event ledger)'!$E$2:$E$65,"&lt;="&amp;$B182,'Outages (event ledger)'!$G$2:$G$65,"&gt;="&amp;$B182)</f>
        <v>0</v>
      </c>
      <c r="H182" s="26" t="n">
        <f aca="false">SUMIFS('Outages (event ledger)'!$H$2:$H$65,'Outages (event ledger)'!$A$2:$A$65,H$2,'Outages (event ledger)'!$E$2:$E$65,"&lt;="&amp;$B182,'Outages (event ledger)'!$G$2:$G$65,"&gt;="&amp;$B182)</f>
        <v>0</v>
      </c>
      <c r="I182" s="26" t="n">
        <f aca="false">SUMIFS('Outages (event ledger)'!$H$2:$H$65,'Outages (event ledger)'!$A$2:$A$65,I$2,'Outages (event ledger)'!$E$2:$E$65,"&lt;="&amp;$B182,'Outages (event ledger)'!$G$2:$G$65,"&gt;="&amp;$B182)</f>
        <v>0</v>
      </c>
      <c r="J182" s="26" t="n">
        <f aca="false">SUMIFS('Outages (event ledger)'!$H$2:$H$65,'Outages (event ledger)'!$A$2:$A$65,J$2,'Outages (event ledger)'!$E$2:$E$65,"&lt;="&amp;$B182,'Outages (event ledger)'!$G$2:$G$65,"&gt;="&amp;$B182)</f>
        <v>0</v>
      </c>
      <c r="K182" s="26" t="n">
        <f aca="false">SUMIFS('Outages (event ledger)'!$H$2:$H$65,'Outages (event ledger)'!$A$2:$A$65,K$2,'Outages (event ledger)'!$E$2:$E$65,"&lt;="&amp;$B182,'Outages (event ledger)'!$G$2:$G$65,"&gt;="&amp;$B182)</f>
        <v>0</v>
      </c>
      <c r="L182" s="26" t="n">
        <f aca="false">SUMIFS('Outages (event ledger)'!$H$2:$H$65,'Outages (event ledger)'!$A$2:$A$65,L$2,'Outages (event ledger)'!$E$2:$E$65,"&lt;="&amp;$B182,'Outages (event ledger)'!$G$2:$G$65,"&gt;="&amp;$B182)</f>
        <v>0</v>
      </c>
      <c r="M182" s="26" t="n">
        <f aca="false">SUMIFS('Outages (event ledger)'!$H$2:$H$65,'Outages (event ledger)'!$A$2:$A$65,M$2,'Outages (event ledger)'!$E$2:$E$65,"&lt;="&amp;$B182,'Outages (event ledger)'!$G$2:$G$65,"&gt;="&amp;$B182)</f>
        <v>0</v>
      </c>
      <c r="N182" s="26" t="n">
        <f aca="false">SUMIFS('Outages (event ledger)'!$H$2:$H$65,'Outages (event ledger)'!$A$2:$A$65,N$2,'Outages (event ledger)'!$E$2:$E$65,"&lt;="&amp;$B182,'Outages (event ledger)'!$G$2:$G$65,"&gt;="&amp;$B182)</f>
        <v>0</v>
      </c>
      <c r="O182" s="26" t="n">
        <f aca="false">SUMIFS('Outages (event ledger)'!$H$2:$H$65,'Outages (event ledger)'!$A$2:$A$65,O$2,'Outages (event ledger)'!$E$2:$E$65,"&lt;="&amp;$B182,'Outages (event ledger)'!$G$2:$G$65,"&gt;="&amp;$B182)</f>
        <v>4.9</v>
      </c>
      <c r="P182" s="26" t="n">
        <f aca="false">SUMIFS('Outages (event ledger)'!$H$2:$H$65,'Outages (event ledger)'!$A$2:$A$65,P$2,'Outages (event ledger)'!$E$2:$E$65,"&lt;="&amp;$B182,'Outages (event ledger)'!$G$2:$G$65,"&gt;="&amp;$B182)</f>
        <v>0</v>
      </c>
      <c r="Q182" s="26" t="n">
        <f aca="false">SUMIFS('Outages (event ledger)'!$H$2:$H$65,'Outages (event ledger)'!$A$2:$A$65,Q$2,'Outages (event ledger)'!$E$2:$E$65,"&lt;="&amp;$B182,'Outages (event ledger)'!$G$2:$G$65,"&gt;="&amp;$B182)</f>
        <v>0</v>
      </c>
      <c r="R182" s="26" t="n">
        <f aca="false">SUMIFS('Outages (event ledger)'!$H$2:$H$65,'Outages (event ledger)'!$A$2:$A$65,R$2,'Outages (event ledger)'!$E$2:$E$65,"&lt;="&amp;$B182,'Outages (event ledger)'!$G$2:$G$65,"&gt;="&amp;$B182)</f>
        <v>0</v>
      </c>
      <c r="S182" s="26" t="n">
        <f aca="false">SUMIFS('Outages (event ledger)'!$H$2:$H$65,'Outages (event ledger)'!$A$2:$A$65,S$2,'Outages (event ledger)'!$E$2:$E$65,"&lt;="&amp;$B182,'Outages (event ledger)'!$G$2:$G$65,"&gt;="&amp;$B182)</f>
        <v>0</v>
      </c>
      <c r="T182" s="26" t="n">
        <f aca="false">SUMIFS('Outages (event ledger)'!$H$2:$H$65,'Outages (event ledger)'!$A$2:$A$65,T$2,'Outages (event ledger)'!$E$2:$E$65,"&lt;="&amp;$B182,'Outages (event ledger)'!$G$2:$G$65,"&gt;="&amp;$B182)</f>
        <v>0</v>
      </c>
      <c r="U182" s="26" t="n">
        <f aca="false">SUMIFS('Outages (event ledger)'!$H$2:$H$65,'Outages (event ledger)'!$A$2:$A$65,U$2,'Outages (event ledger)'!$E$2:$E$65,"&lt;="&amp;$B182,'Outages (event ledger)'!$G$2:$G$65,"&gt;="&amp;$B182)</f>
        <v>0</v>
      </c>
      <c r="V182" s="26" t="n">
        <f aca="false">SUMIFS('Outages (event ledger)'!$H$2:$H$65,'Outages (event ledger)'!$A$2:$A$65,V$2,'Outages (event ledger)'!$E$2:$E$65,"&lt;="&amp;$B182,'Outages (event ledger)'!$G$2:$G$65,"&gt;="&amp;$B182)</f>
        <v>0</v>
      </c>
      <c r="W182" s="26" t="n">
        <f aca="false">SUMIFS('Outages (event ledger)'!$H$2:$H$65,'Outages (event ledger)'!$A$2:$A$65,W$2,'Outages (event ledger)'!$E$2:$E$65,"&lt;="&amp;$B182,'Outages (event ledger)'!$G$2:$G$65,"&gt;="&amp;$B182)</f>
        <v>0</v>
      </c>
      <c r="X182" s="26" t="n">
        <f aca="false">SUMIFS('Outages (event ledger)'!$H$2:$H$65,'Outages (event ledger)'!$A$2:$A$65,X$2,'Outages (event ledger)'!$E$2:$E$65,"&lt;="&amp;$B182,'Outages (event ledger)'!$G$2:$G$65,"&gt;="&amp;$B182)</f>
        <v>0</v>
      </c>
      <c r="Y182" s="26" t="n">
        <f aca="false">SUMIFS('Outages (event ledger)'!$H$2:$H$65,'Outages (event ledger)'!$A$2:$A$65,Y$2,'Outages (event ledger)'!$E$2:$E$65,"&lt;="&amp;$B182,'Outages (event ledger)'!$G$2:$G$65,"&gt;="&amp;$B182)</f>
        <v>0</v>
      </c>
      <c r="Z182" s="26" t="n">
        <f aca="false">SUMIFS('Outages (event ledger)'!$H$2:$H$65,'Outages (event ledger)'!$A$2:$A$65,Z$2,'Outages (event ledger)'!$E$2:$E$65,"&lt;="&amp;$B182,'Outages (event ledger)'!$G$2:$G$65,"&gt;="&amp;$B182)</f>
        <v>0</v>
      </c>
      <c r="AA182" s="26" t="n">
        <f aca="false">SUMIFS('Outages (event ledger)'!$H$2:$H$65,'Outages (event ledger)'!$A$2:$A$65,AA$2,'Outages (event ledger)'!$E$2:$E$65,"&lt;="&amp;$B182,'Outages (event ledger)'!$G$2:$G$65,"&gt;="&amp;$B182)</f>
        <v>2</v>
      </c>
      <c r="AB182" s="26" t="n">
        <f aca="false">SUMIFS('Outages (event ledger)'!$H$2:$H$65,'Outages (event ledger)'!$A$2:$A$65,AB$2,'Outages (event ledger)'!$E$2:$E$65,"&lt;="&amp;$B182,'Outages (event ledger)'!$G$2:$G$65,"&gt;="&amp;$B182)</f>
        <v>8</v>
      </c>
      <c r="AC182" s="26" t="n">
        <f aca="false">SUMIFS('Outages (event ledger)'!$H$2:$H$65,'Outages (event ledger)'!$A$2:$A$65,AC$2,'Outages (event ledger)'!$E$2:$E$65,"&lt;="&amp;$B182,'Outages (event ledger)'!$G$2:$G$65,"&gt;="&amp;$B182)</f>
        <v>0</v>
      </c>
      <c r="AD182" s="26" t="n">
        <f aca="false">SUMIFS('Outages (event ledger)'!$H$2:$H$65,'Outages (event ledger)'!$A$2:$A$65,AD$2,'Outages (event ledger)'!$E$2:$E$65,"&lt;="&amp;$B182,'Outages (event ledger)'!$G$2:$G$65,"&gt;="&amp;$B182)</f>
        <v>0</v>
      </c>
      <c r="AE182" s="26" t="n">
        <f aca="false">SUMIFS('Outages (event ledger)'!$H$2:$H$65,'Outages (event ledger)'!$A$2:$A$65,AE$2,'Outages (event ledger)'!$E$2:$E$65,"&lt;="&amp;$B182,'Outages (event ledger)'!$G$2:$G$65,"&gt;="&amp;$B182)</f>
        <v>0</v>
      </c>
      <c r="AF182" s="26" t="n">
        <f aca="false">SUMIFS('Outages (event ledger)'!$H$2:$H$65,'Outages (event ledger)'!$A$2:$A$65,AF$2,'Outages (event ledger)'!$E$2:$E$65,"&lt;="&amp;$B182,'Outages (event ledger)'!$G$2:$G$65,"&gt;="&amp;$B182)</f>
        <v>0</v>
      </c>
      <c r="AG182" s="26" t="n">
        <f aca="false">SUMIFS('Outages (event ledger)'!$H$2:$H$65,'Outages (event ledger)'!$A$2:$A$65,AG$2,'Outages (event ledger)'!$E$2:$E$65,"&lt;="&amp;$B182,'Outages (event ledger)'!$G$2:$G$65,"&gt;="&amp;$B182)</f>
        <v>0</v>
      </c>
      <c r="AH182" s="26" t="n">
        <f aca="false">SUMIFS('Outages (event ledger)'!$H$2:$H$65,'Outages (event ledger)'!$A$2:$A$65,AH$2,'Outages (event ledger)'!$E$2:$E$65,"&lt;="&amp;$B182,'Outages (event ledger)'!$G$2:$G$65,"&gt;="&amp;$B182)</f>
        <v>0</v>
      </c>
      <c r="AI182" s="26" t="n">
        <f aca="false">SUMIFS('Outages (event ledger)'!$H$2:$H$65,'Outages (event ledger)'!$A$2:$A$65,AI$2,'Outages (event ledger)'!$E$2:$E$65,"&lt;="&amp;$B182,'Outages (event ledger)'!$G$2:$G$65,"&gt;="&amp;$B182)</f>
        <v>0</v>
      </c>
      <c r="AJ182" s="26" t="n">
        <f aca="false">SUMIFS('Outages (event ledger)'!$H$2:$H$65,'Outages (event ledger)'!$A$2:$A$65,AJ$2,'Outages (event ledger)'!$E$2:$E$65,"&lt;="&amp;$B182,'Outages (event ledger)'!$G$2:$G$65,"&gt;="&amp;$B182)</f>
        <v>0</v>
      </c>
      <c r="AK182" s="26" t="n">
        <f aca="false">SUMIFS('Outages (event ledger)'!$H$2:$H$65,'Outages (event ledger)'!$A$2:$A$65,AK$2,'Outages (event ledger)'!$E$2:$E$65,"&lt;="&amp;$B182,'Outages (event ledger)'!$G$2:$G$65,"&gt;="&amp;$B182)</f>
        <v>0</v>
      </c>
      <c r="AL182" s="26" t="n">
        <f aca="false">SUMIFS('Outages (event ledger)'!$H$2:$H$65,'Outages (event ledger)'!$A$2:$A$65,AL$2,'Outages (event ledger)'!$E$2:$E$65,"&lt;="&amp;$B182,'Outages (event ledger)'!$G$2:$G$65,"&gt;="&amp;$B182)</f>
        <v>0</v>
      </c>
      <c r="AM182" s="26" t="n">
        <f aca="false">SUMIFS('Outages (event ledger)'!$H$2:$H$65,'Outages (event ledger)'!$A$2:$A$65,AM$2,'Outages (event ledger)'!$E$2:$E$65,"&lt;="&amp;$B182,'Outages (event ledger)'!$G$2:$G$65,"&gt;="&amp;$B182)</f>
        <v>0</v>
      </c>
      <c r="AN182" s="26" t="n">
        <f aca="false">SUMIFS('Outages (event ledger)'!$H$2:$H$65,'Outages (event ledger)'!$A$2:$A$65,AN$2,'Outages (event ledger)'!$E$2:$E$65,"&lt;="&amp;$B182,'Outages (event ledger)'!$G$2:$G$65,"&gt;="&amp;$B182)</f>
        <v>0</v>
      </c>
      <c r="AO182" s="26" t="n">
        <f aca="false">SUMIFS('Outages (event ledger)'!$H$2:$H$65,'Outages (event ledger)'!$A$2:$A$65,AO$2,'Outages (event ledger)'!$E$2:$E$65,"&lt;="&amp;$B182,'Outages (event ledger)'!$G$2:$G$65,"&gt;="&amp;$B182)</f>
        <v>0</v>
      </c>
      <c r="AP182" s="26" t="n">
        <f aca="false">SUMIFS('Outages (event ledger)'!$H$2:$H$65,'Outages (event ledger)'!$A$2:$A$65,AP$2,'Outages (event ledger)'!$E$2:$E$65,"&lt;="&amp;$B182,'Outages (event ledger)'!$G$2:$G$65,"&gt;="&amp;$B182)</f>
        <v>0</v>
      </c>
      <c r="AQ182" s="26" t="n">
        <f aca="false">SUMIFS('Outages (event ledger)'!$H$2:$H$65,'Outages (event ledger)'!$A$2:$A$65,AQ$2,'Outages (event ledger)'!$E$2:$E$65,"&lt;="&amp;$B182,'Outages (event ledger)'!$G$2:$G$65,"&gt;="&amp;$B182)</f>
        <v>0</v>
      </c>
      <c r="AR182" s="26" t="n">
        <f aca="false">SUMIFS('Outages (event ledger)'!$H$2:$H$65,'Outages (event ledger)'!$A$2:$A$65,AR$2,'Outages (event ledger)'!$E$2:$E$65,"&lt;="&amp;$B182,'Outages (event ledger)'!$G$2:$G$65,"&gt;="&amp;$B182)</f>
        <v>0</v>
      </c>
      <c r="AS182" s="26" t="n">
        <f aca="false">SUMIFS('Outages (event ledger)'!$H$2:$H$65,'Outages (event ledger)'!$A$2:$A$65,AS$2,'Outages (event ledger)'!$E$2:$E$65,"&lt;="&amp;$B182,'Outages (event ledger)'!$G$2:$G$65,"&gt;="&amp;$B182)</f>
        <v>0</v>
      </c>
      <c r="AT182" s="26" t="n">
        <f aca="false">SUMIFS('Outages (event ledger)'!$H$2:$H$65,'Outages (event ledger)'!$A$2:$A$65,AT$2,'Outages (event ledger)'!$E$2:$E$65,"&lt;="&amp;$B182,'Outages (event ledger)'!$G$2:$G$65,"&gt;="&amp;$B182)</f>
        <v>0</v>
      </c>
      <c r="AU182" s="26" t="n">
        <f aca="false">SUMIFS('Outages (event ledger)'!$H$2:$H$65,'Outages (event ledger)'!$A$2:$A$65,AU$2,'Outages (event ledger)'!$E$2:$E$65,"&lt;="&amp;$B182,'Outages (event ledger)'!$G$2:$G$65,"&gt;="&amp;$B182)</f>
        <v>0</v>
      </c>
      <c r="AV182" s="26" t="n">
        <f aca="false">SUMIFS('Outages (event ledger)'!$H$2:$H$65,'Outages (event ledger)'!$A$2:$A$65,AV$2,'Outages (event ledger)'!$E$2:$E$65,"&lt;="&amp;$B182,'Outages (event ledger)'!$G$2:$G$65,"&gt;="&amp;$B182)</f>
        <v>0</v>
      </c>
      <c r="AW182" s="26" t="n">
        <f aca="false">SUMIFS('Outages (event ledger)'!$H$2:$H$65,'Outages (event ledger)'!$A$2:$A$65,AW$2,'Outages (event ledger)'!$E$2:$E$65,"&lt;="&amp;$B182,'Outages (event ledger)'!$G$2:$G$65,"&gt;="&amp;$B182)</f>
        <v>0</v>
      </c>
      <c r="AX182" s="26" t="n">
        <f aca="false">SUMIFS('Outages (event ledger)'!$H$2:$H$65,'Outages (event ledger)'!$A$2:$A$65,AX$2,'Outages (event ledger)'!$E$2:$E$65,"&lt;="&amp;$B182,'Outages (event ledger)'!$G$2:$G$65,"&gt;="&amp;$B182)</f>
        <v>6.6</v>
      </c>
      <c r="AY182" s="26" t="n">
        <f aca="false">SUMIFS('Outages (event ledger)'!$H$2:$H$65,'Outages (event ledger)'!$A$2:$A$65,AY$2,'Outages (event ledger)'!$E$2:$E$65,"&lt;="&amp;$B182,'Outages (event ledger)'!$G$2:$G$65,"&gt;="&amp;$B182)</f>
        <v>0</v>
      </c>
      <c r="AZ182" s="26" t="n">
        <f aca="false">SUMIFS('Outages (event ledger)'!$H$2:$H$65,'Outages (event ledger)'!$A$2:$A$65,AZ$2,'Outages (event ledger)'!$E$2:$E$65,"&lt;="&amp;$B182,'Outages (event ledger)'!$G$2:$G$65,"&gt;="&amp;$B182)</f>
        <v>2</v>
      </c>
      <c r="BA182" s="26" t="n">
        <f aca="false">SUMIFS('Outages (event ledger)'!$H$2:$H$65,'Outages (event ledger)'!$A$2:$A$65,BA$2,'Outages (event ledger)'!$E$2:$E$65,"&lt;="&amp;$B182,'Outages (event ledger)'!$G$2:$G$65,"&gt;="&amp;$B182)</f>
        <v>0</v>
      </c>
      <c r="BB182" s="26" t="n">
        <f aca="false">SUMIFS('Outages (event ledger)'!$H$2:$H$65,'Outages (event ledger)'!$A$2:$A$65,BB$2,'Outages (event ledger)'!$E$2:$E$65,"&lt;="&amp;$B182,'Outages (event ledger)'!$G$2:$G$65,"&gt;="&amp;$B182)</f>
        <v>0</v>
      </c>
      <c r="BC182" s="26" t="n">
        <f aca="false">SUMIFS('Outages (event ledger)'!$H$2:$H$65,'Outages (event ledger)'!$A$2:$A$65,BC$2,'Outages (event ledger)'!$E$2:$E$65,"&lt;="&amp;$B182,'Outages (event ledger)'!$G$2:$G$65,"&gt;="&amp;$B182)</f>
        <v>0</v>
      </c>
      <c r="BD182" s="26" t="n">
        <f aca="false">SUMIFS('Outages (event ledger)'!$H$2:$H$65,'Outages (event ledger)'!$A$2:$A$65,BD$2,'Outages (event ledger)'!$E$2:$E$65,"&lt;="&amp;$B182,'Outages (event ledger)'!$G$2:$G$65,"&gt;="&amp;$B182)</f>
        <v>0</v>
      </c>
      <c r="BE182" s="26" t="n">
        <f aca="false">SUMIFS('Outages (event ledger)'!$H$2:$H$65,'Outages (event ledger)'!$A$2:$A$65,BE$2,'Outages (event ledger)'!$E$2:$E$65,"&lt;="&amp;$B182,'Outages (event ledger)'!$G$2:$G$65,"&gt;="&amp;$B182)</f>
        <v>0</v>
      </c>
      <c r="BF182" s="26" t="n">
        <f aca="false">SUMIFS('Outages (event ledger)'!$H$2:$H$65,'Outages (event ledger)'!$A$2:$A$65,BF$2,'Outages (event ledger)'!$E$2:$E$65,"&lt;="&amp;$B182,'Outages (event ledger)'!$G$2:$G$65,"&gt;="&amp;$B182)</f>
        <v>0</v>
      </c>
      <c r="BG182" s="26" t="n">
        <f aca="false">SUMIFS('Outages (event ledger)'!$H$2:$H$65,'Outages (event ledger)'!$A$2:$A$65,BG$2,'Outages (event ledger)'!$E$2:$E$65,"&lt;="&amp;$B182,'Outages (event ledger)'!$G$2:$G$65,"&gt;="&amp;$B182)</f>
        <v>0</v>
      </c>
      <c r="BH182" s="26" t="n">
        <f aca="false">SUMIFS('Outages (event ledger)'!$H$2:$H$65,'Outages (event ledger)'!$A$2:$A$65,BH$2,'Outages (event ledger)'!$E$2:$E$65,"&lt;="&amp;$B182,'Outages (event ledger)'!$G$2:$G$65,"&gt;="&amp;$B182)</f>
        <v>0</v>
      </c>
      <c r="BI182" s="26" t="n">
        <f aca="false">SUMIFS('Outages (event ledger)'!$H$2:$H$65,'Outages (event ledger)'!$A$2:$A$65,BI$2,'Outages (event ledger)'!$E$2:$E$65,"&lt;="&amp;$B182,'Outages (event ledger)'!$G$2:$G$65,"&gt;="&amp;$B182)</f>
        <v>6.7</v>
      </c>
    </row>
    <row r="183" customFormat="false" ht="15" hidden="false" customHeight="false" outlineLevel="0" collapsed="false">
      <c r="A183" s="27" t="n">
        <v>45658</v>
      </c>
      <c r="B183" s="28" t="n">
        <v>202501</v>
      </c>
      <c r="C183" s="25" t="n">
        <f aca="false">SUM(D183:BI183)</f>
        <v>24.3</v>
      </c>
      <c r="D183" s="29" t="n">
        <f aca="false">SUMIFS('Outages (event ledger)'!$H$2:$H$65,'Outages (event ledger)'!$A$2:$A$65,D$2,'Outages (event ledger)'!$E$2:$E$65,"&lt;="&amp;$B183,'Outages (event ledger)'!$G$2:$G$65,"&gt;="&amp;$B183)</f>
        <v>0</v>
      </c>
      <c r="E183" s="29" t="n">
        <f aca="false">SUMIFS('Outages (event ledger)'!$H$2:$H$65,'Outages (event ledger)'!$A$2:$A$65,E$2,'Outages (event ledger)'!$E$2:$E$65,"&lt;="&amp;$B183,'Outages (event ledger)'!$G$2:$G$65,"&gt;="&amp;$B183)</f>
        <v>0</v>
      </c>
      <c r="F183" s="29" t="n">
        <f aca="false">SUMIFS('Outages (event ledger)'!$H$2:$H$65,'Outages (event ledger)'!$A$2:$A$65,F$2,'Outages (event ledger)'!$E$2:$E$65,"&lt;="&amp;$B183,'Outages (event ledger)'!$G$2:$G$65,"&gt;="&amp;$B183)</f>
        <v>0</v>
      </c>
      <c r="G183" s="29" t="n">
        <f aca="false">SUMIFS('Outages (event ledger)'!$H$2:$H$65,'Outages (event ledger)'!$A$2:$A$65,G$2,'Outages (event ledger)'!$E$2:$E$65,"&lt;="&amp;$B183,'Outages (event ledger)'!$G$2:$G$65,"&gt;="&amp;$B183)</f>
        <v>0</v>
      </c>
      <c r="H183" s="29" t="n">
        <f aca="false">SUMIFS('Outages (event ledger)'!$H$2:$H$65,'Outages (event ledger)'!$A$2:$A$65,H$2,'Outages (event ledger)'!$E$2:$E$65,"&lt;="&amp;$B183,'Outages (event ledger)'!$G$2:$G$65,"&gt;="&amp;$B183)</f>
        <v>0</v>
      </c>
      <c r="I183" s="29" t="n">
        <f aca="false">SUMIFS('Outages (event ledger)'!$H$2:$H$65,'Outages (event ledger)'!$A$2:$A$65,I$2,'Outages (event ledger)'!$E$2:$E$65,"&lt;="&amp;$B183,'Outages (event ledger)'!$G$2:$G$65,"&gt;="&amp;$B183)</f>
        <v>0</v>
      </c>
      <c r="J183" s="29" t="n">
        <f aca="false">SUMIFS('Outages (event ledger)'!$H$2:$H$65,'Outages (event ledger)'!$A$2:$A$65,J$2,'Outages (event ledger)'!$E$2:$E$65,"&lt;="&amp;$B183,'Outages (event ledger)'!$G$2:$G$65,"&gt;="&amp;$B183)</f>
        <v>0</v>
      </c>
      <c r="K183" s="29" t="n">
        <f aca="false">SUMIFS('Outages (event ledger)'!$H$2:$H$65,'Outages (event ledger)'!$A$2:$A$65,K$2,'Outages (event ledger)'!$E$2:$E$65,"&lt;="&amp;$B183,'Outages (event ledger)'!$G$2:$G$65,"&gt;="&amp;$B183)</f>
        <v>0</v>
      </c>
      <c r="L183" s="29" t="n">
        <f aca="false">SUMIFS('Outages (event ledger)'!$H$2:$H$65,'Outages (event ledger)'!$A$2:$A$65,L$2,'Outages (event ledger)'!$E$2:$E$65,"&lt;="&amp;$B183,'Outages (event ledger)'!$G$2:$G$65,"&gt;="&amp;$B183)</f>
        <v>0</v>
      </c>
      <c r="M183" s="29" t="n">
        <f aca="false">SUMIFS('Outages (event ledger)'!$H$2:$H$65,'Outages (event ledger)'!$A$2:$A$65,M$2,'Outages (event ledger)'!$E$2:$E$65,"&lt;="&amp;$B183,'Outages (event ledger)'!$G$2:$G$65,"&gt;="&amp;$B183)</f>
        <v>0</v>
      </c>
      <c r="N183" s="29" t="n">
        <f aca="false">SUMIFS('Outages (event ledger)'!$H$2:$H$65,'Outages (event ledger)'!$A$2:$A$65,N$2,'Outages (event ledger)'!$E$2:$E$65,"&lt;="&amp;$B183,'Outages (event ledger)'!$G$2:$G$65,"&gt;="&amp;$B183)</f>
        <v>0</v>
      </c>
      <c r="O183" s="29" t="n">
        <f aca="false">SUMIFS('Outages (event ledger)'!$H$2:$H$65,'Outages (event ledger)'!$A$2:$A$65,O$2,'Outages (event ledger)'!$E$2:$E$65,"&lt;="&amp;$B183,'Outages (event ledger)'!$G$2:$G$65,"&gt;="&amp;$B183)</f>
        <v>0</v>
      </c>
      <c r="P183" s="29" t="n">
        <f aca="false">SUMIFS('Outages (event ledger)'!$H$2:$H$65,'Outages (event ledger)'!$A$2:$A$65,P$2,'Outages (event ledger)'!$E$2:$E$65,"&lt;="&amp;$B183,'Outages (event ledger)'!$G$2:$G$65,"&gt;="&amp;$B183)</f>
        <v>0</v>
      </c>
      <c r="Q183" s="29" t="n">
        <f aca="false">SUMIFS('Outages (event ledger)'!$H$2:$H$65,'Outages (event ledger)'!$A$2:$A$65,Q$2,'Outages (event ledger)'!$E$2:$E$65,"&lt;="&amp;$B183,'Outages (event ledger)'!$G$2:$G$65,"&gt;="&amp;$B183)</f>
        <v>0</v>
      </c>
      <c r="R183" s="29" t="n">
        <f aca="false">SUMIFS('Outages (event ledger)'!$H$2:$H$65,'Outages (event ledger)'!$A$2:$A$65,R$2,'Outages (event ledger)'!$E$2:$E$65,"&lt;="&amp;$B183,'Outages (event ledger)'!$G$2:$G$65,"&gt;="&amp;$B183)</f>
        <v>0</v>
      </c>
      <c r="S183" s="29" t="n">
        <f aca="false">SUMIFS('Outages (event ledger)'!$H$2:$H$65,'Outages (event ledger)'!$A$2:$A$65,S$2,'Outages (event ledger)'!$E$2:$E$65,"&lt;="&amp;$B183,'Outages (event ledger)'!$G$2:$G$65,"&gt;="&amp;$B183)</f>
        <v>0</v>
      </c>
      <c r="T183" s="29" t="n">
        <f aca="false">SUMIFS('Outages (event ledger)'!$H$2:$H$65,'Outages (event ledger)'!$A$2:$A$65,T$2,'Outages (event ledger)'!$E$2:$E$65,"&lt;="&amp;$B183,'Outages (event ledger)'!$G$2:$G$65,"&gt;="&amp;$B183)</f>
        <v>0</v>
      </c>
      <c r="U183" s="29" t="n">
        <f aca="false">SUMIFS('Outages (event ledger)'!$H$2:$H$65,'Outages (event ledger)'!$A$2:$A$65,U$2,'Outages (event ledger)'!$E$2:$E$65,"&lt;="&amp;$B183,'Outages (event ledger)'!$G$2:$G$65,"&gt;="&amp;$B183)</f>
        <v>0</v>
      </c>
      <c r="V183" s="29" t="n">
        <f aca="false">SUMIFS('Outages (event ledger)'!$H$2:$H$65,'Outages (event ledger)'!$A$2:$A$65,V$2,'Outages (event ledger)'!$E$2:$E$65,"&lt;="&amp;$B183,'Outages (event ledger)'!$G$2:$G$65,"&gt;="&amp;$B183)</f>
        <v>0</v>
      </c>
      <c r="W183" s="29" t="n">
        <f aca="false">SUMIFS('Outages (event ledger)'!$H$2:$H$65,'Outages (event ledger)'!$A$2:$A$65,W$2,'Outages (event ledger)'!$E$2:$E$65,"&lt;="&amp;$B183,'Outages (event ledger)'!$G$2:$G$65,"&gt;="&amp;$B183)</f>
        <v>0</v>
      </c>
      <c r="X183" s="29" t="n">
        <f aca="false">SUMIFS('Outages (event ledger)'!$H$2:$H$65,'Outages (event ledger)'!$A$2:$A$65,X$2,'Outages (event ledger)'!$E$2:$E$65,"&lt;="&amp;$B183,'Outages (event ledger)'!$G$2:$G$65,"&gt;="&amp;$B183)</f>
        <v>0</v>
      </c>
      <c r="Y183" s="29" t="n">
        <f aca="false">SUMIFS('Outages (event ledger)'!$H$2:$H$65,'Outages (event ledger)'!$A$2:$A$65,Y$2,'Outages (event ledger)'!$E$2:$E$65,"&lt;="&amp;$B183,'Outages (event ledger)'!$G$2:$G$65,"&gt;="&amp;$B183)</f>
        <v>0</v>
      </c>
      <c r="Z183" s="29" t="n">
        <f aca="false">SUMIFS('Outages (event ledger)'!$H$2:$H$65,'Outages (event ledger)'!$A$2:$A$65,Z$2,'Outages (event ledger)'!$E$2:$E$65,"&lt;="&amp;$B183,'Outages (event ledger)'!$G$2:$G$65,"&gt;="&amp;$B183)</f>
        <v>0</v>
      </c>
      <c r="AA183" s="29" t="n">
        <f aca="false">SUMIFS('Outages (event ledger)'!$H$2:$H$65,'Outages (event ledger)'!$A$2:$A$65,AA$2,'Outages (event ledger)'!$E$2:$E$65,"&lt;="&amp;$B183,'Outages (event ledger)'!$G$2:$G$65,"&gt;="&amp;$B183)</f>
        <v>2</v>
      </c>
      <c r="AB183" s="29" t="n">
        <f aca="false">SUMIFS('Outages (event ledger)'!$H$2:$H$65,'Outages (event ledger)'!$A$2:$A$65,AB$2,'Outages (event ledger)'!$E$2:$E$65,"&lt;="&amp;$B183,'Outages (event ledger)'!$G$2:$G$65,"&gt;="&amp;$B183)</f>
        <v>8</v>
      </c>
      <c r="AC183" s="29" t="n">
        <f aca="false">SUMIFS('Outages (event ledger)'!$H$2:$H$65,'Outages (event ledger)'!$A$2:$A$65,AC$2,'Outages (event ledger)'!$E$2:$E$65,"&lt;="&amp;$B183,'Outages (event ledger)'!$G$2:$G$65,"&gt;="&amp;$B183)</f>
        <v>0</v>
      </c>
      <c r="AD183" s="29" t="n">
        <f aca="false">SUMIFS('Outages (event ledger)'!$H$2:$H$65,'Outages (event ledger)'!$A$2:$A$65,AD$2,'Outages (event ledger)'!$E$2:$E$65,"&lt;="&amp;$B183,'Outages (event ledger)'!$G$2:$G$65,"&gt;="&amp;$B183)</f>
        <v>0</v>
      </c>
      <c r="AE183" s="29" t="n">
        <f aca="false">SUMIFS('Outages (event ledger)'!$H$2:$H$65,'Outages (event ledger)'!$A$2:$A$65,AE$2,'Outages (event ledger)'!$E$2:$E$65,"&lt;="&amp;$B183,'Outages (event ledger)'!$G$2:$G$65,"&gt;="&amp;$B183)</f>
        <v>0</v>
      </c>
      <c r="AF183" s="29" t="n">
        <f aca="false">SUMIFS('Outages (event ledger)'!$H$2:$H$65,'Outages (event ledger)'!$A$2:$A$65,AF$2,'Outages (event ledger)'!$E$2:$E$65,"&lt;="&amp;$B183,'Outages (event ledger)'!$G$2:$G$65,"&gt;="&amp;$B183)</f>
        <v>0</v>
      </c>
      <c r="AG183" s="29" t="n">
        <f aca="false">SUMIFS('Outages (event ledger)'!$H$2:$H$65,'Outages (event ledger)'!$A$2:$A$65,AG$2,'Outages (event ledger)'!$E$2:$E$65,"&lt;="&amp;$B183,'Outages (event ledger)'!$G$2:$G$65,"&gt;="&amp;$B183)</f>
        <v>0</v>
      </c>
      <c r="AH183" s="29" t="n">
        <f aca="false">SUMIFS('Outages (event ledger)'!$H$2:$H$65,'Outages (event ledger)'!$A$2:$A$65,AH$2,'Outages (event ledger)'!$E$2:$E$65,"&lt;="&amp;$B183,'Outages (event ledger)'!$G$2:$G$65,"&gt;="&amp;$B183)</f>
        <v>0</v>
      </c>
      <c r="AI183" s="29" t="n">
        <f aca="false">SUMIFS('Outages (event ledger)'!$H$2:$H$65,'Outages (event ledger)'!$A$2:$A$65,AI$2,'Outages (event ledger)'!$E$2:$E$65,"&lt;="&amp;$B183,'Outages (event ledger)'!$G$2:$G$65,"&gt;="&amp;$B183)</f>
        <v>0</v>
      </c>
      <c r="AJ183" s="29" t="n">
        <f aca="false">SUMIFS('Outages (event ledger)'!$H$2:$H$65,'Outages (event ledger)'!$A$2:$A$65,AJ$2,'Outages (event ledger)'!$E$2:$E$65,"&lt;="&amp;$B183,'Outages (event ledger)'!$G$2:$G$65,"&gt;="&amp;$B183)</f>
        <v>0</v>
      </c>
      <c r="AK183" s="29" t="n">
        <f aca="false">SUMIFS('Outages (event ledger)'!$H$2:$H$65,'Outages (event ledger)'!$A$2:$A$65,AK$2,'Outages (event ledger)'!$E$2:$E$65,"&lt;="&amp;$B183,'Outages (event ledger)'!$G$2:$G$65,"&gt;="&amp;$B183)</f>
        <v>0</v>
      </c>
      <c r="AL183" s="29" t="n">
        <f aca="false">SUMIFS('Outages (event ledger)'!$H$2:$H$65,'Outages (event ledger)'!$A$2:$A$65,AL$2,'Outages (event ledger)'!$E$2:$E$65,"&lt;="&amp;$B183,'Outages (event ledger)'!$G$2:$G$65,"&gt;="&amp;$B183)</f>
        <v>0</v>
      </c>
      <c r="AM183" s="29" t="n">
        <f aca="false">SUMIFS('Outages (event ledger)'!$H$2:$H$65,'Outages (event ledger)'!$A$2:$A$65,AM$2,'Outages (event ledger)'!$E$2:$E$65,"&lt;="&amp;$B183,'Outages (event ledger)'!$G$2:$G$65,"&gt;="&amp;$B183)</f>
        <v>0</v>
      </c>
      <c r="AN183" s="29" t="n">
        <f aca="false">SUMIFS('Outages (event ledger)'!$H$2:$H$65,'Outages (event ledger)'!$A$2:$A$65,AN$2,'Outages (event ledger)'!$E$2:$E$65,"&lt;="&amp;$B183,'Outages (event ledger)'!$G$2:$G$65,"&gt;="&amp;$B183)</f>
        <v>1</v>
      </c>
      <c r="AO183" s="29" t="n">
        <f aca="false">SUMIFS('Outages (event ledger)'!$H$2:$H$65,'Outages (event ledger)'!$A$2:$A$65,AO$2,'Outages (event ledger)'!$E$2:$E$65,"&lt;="&amp;$B183,'Outages (event ledger)'!$G$2:$G$65,"&gt;="&amp;$B183)</f>
        <v>0</v>
      </c>
      <c r="AP183" s="29" t="n">
        <f aca="false">SUMIFS('Outages (event ledger)'!$H$2:$H$65,'Outages (event ledger)'!$A$2:$A$65,AP$2,'Outages (event ledger)'!$E$2:$E$65,"&lt;="&amp;$B183,'Outages (event ledger)'!$G$2:$G$65,"&gt;="&amp;$B183)</f>
        <v>0</v>
      </c>
      <c r="AQ183" s="29" t="n">
        <f aca="false">SUMIFS('Outages (event ledger)'!$H$2:$H$65,'Outages (event ledger)'!$A$2:$A$65,AQ$2,'Outages (event ledger)'!$E$2:$E$65,"&lt;="&amp;$B183,'Outages (event ledger)'!$G$2:$G$65,"&gt;="&amp;$B183)</f>
        <v>0</v>
      </c>
      <c r="AR183" s="29" t="n">
        <f aca="false">SUMIFS('Outages (event ledger)'!$H$2:$H$65,'Outages (event ledger)'!$A$2:$A$65,AR$2,'Outages (event ledger)'!$E$2:$E$65,"&lt;="&amp;$B183,'Outages (event ledger)'!$G$2:$G$65,"&gt;="&amp;$B183)</f>
        <v>0</v>
      </c>
      <c r="AS183" s="29" t="n">
        <f aca="false">SUMIFS('Outages (event ledger)'!$H$2:$H$65,'Outages (event ledger)'!$A$2:$A$65,AS$2,'Outages (event ledger)'!$E$2:$E$65,"&lt;="&amp;$B183,'Outages (event ledger)'!$G$2:$G$65,"&gt;="&amp;$B183)</f>
        <v>0</v>
      </c>
      <c r="AT183" s="29" t="n">
        <f aca="false">SUMIFS('Outages (event ledger)'!$H$2:$H$65,'Outages (event ledger)'!$A$2:$A$65,AT$2,'Outages (event ledger)'!$E$2:$E$65,"&lt;="&amp;$B183,'Outages (event ledger)'!$G$2:$G$65,"&gt;="&amp;$B183)</f>
        <v>0</v>
      </c>
      <c r="AU183" s="29" t="n">
        <f aca="false">SUMIFS('Outages (event ledger)'!$H$2:$H$65,'Outages (event ledger)'!$A$2:$A$65,AU$2,'Outages (event ledger)'!$E$2:$E$65,"&lt;="&amp;$B183,'Outages (event ledger)'!$G$2:$G$65,"&gt;="&amp;$B183)</f>
        <v>0</v>
      </c>
      <c r="AV183" s="29" t="n">
        <f aca="false">SUMIFS('Outages (event ledger)'!$H$2:$H$65,'Outages (event ledger)'!$A$2:$A$65,AV$2,'Outages (event ledger)'!$E$2:$E$65,"&lt;="&amp;$B183,'Outages (event ledger)'!$G$2:$G$65,"&gt;="&amp;$B183)</f>
        <v>0</v>
      </c>
      <c r="AW183" s="29" t="n">
        <f aca="false">SUMIFS('Outages (event ledger)'!$H$2:$H$65,'Outages (event ledger)'!$A$2:$A$65,AW$2,'Outages (event ledger)'!$E$2:$E$65,"&lt;="&amp;$B183,'Outages (event ledger)'!$G$2:$G$65,"&gt;="&amp;$B183)</f>
        <v>0</v>
      </c>
      <c r="AX183" s="29" t="n">
        <f aca="false">SUMIFS('Outages (event ledger)'!$H$2:$H$65,'Outages (event ledger)'!$A$2:$A$65,AX$2,'Outages (event ledger)'!$E$2:$E$65,"&lt;="&amp;$B183,'Outages (event ledger)'!$G$2:$G$65,"&gt;="&amp;$B183)</f>
        <v>6.6</v>
      </c>
      <c r="AY183" s="29" t="n">
        <f aca="false">SUMIFS('Outages (event ledger)'!$H$2:$H$65,'Outages (event ledger)'!$A$2:$A$65,AY$2,'Outages (event ledger)'!$E$2:$E$65,"&lt;="&amp;$B183,'Outages (event ledger)'!$G$2:$G$65,"&gt;="&amp;$B183)</f>
        <v>0</v>
      </c>
      <c r="AZ183" s="29" t="n">
        <f aca="false">SUMIFS('Outages (event ledger)'!$H$2:$H$65,'Outages (event ledger)'!$A$2:$A$65,AZ$2,'Outages (event ledger)'!$E$2:$E$65,"&lt;="&amp;$B183,'Outages (event ledger)'!$G$2:$G$65,"&gt;="&amp;$B183)</f>
        <v>0</v>
      </c>
      <c r="BA183" s="29" t="n">
        <f aca="false">SUMIFS('Outages (event ledger)'!$H$2:$H$65,'Outages (event ledger)'!$A$2:$A$65,BA$2,'Outages (event ledger)'!$E$2:$E$65,"&lt;="&amp;$B183,'Outages (event ledger)'!$G$2:$G$65,"&gt;="&amp;$B183)</f>
        <v>0</v>
      </c>
      <c r="BB183" s="29" t="n">
        <f aca="false">SUMIFS('Outages (event ledger)'!$H$2:$H$65,'Outages (event ledger)'!$A$2:$A$65,BB$2,'Outages (event ledger)'!$E$2:$E$65,"&lt;="&amp;$B183,'Outages (event ledger)'!$G$2:$G$65,"&gt;="&amp;$B183)</f>
        <v>0</v>
      </c>
      <c r="BC183" s="29" t="n">
        <f aca="false">SUMIFS('Outages (event ledger)'!$H$2:$H$65,'Outages (event ledger)'!$A$2:$A$65,BC$2,'Outages (event ledger)'!$E$2:$E$65,"&lt;="&amp;$B183,'Outages (event ledger)'!$G$2:$G$65,"&gt;="&amp;$B183)</f>
        <v>0</v>
      </c>
      <c r="BD183" s="29" t="n">
        <f aca="false">SUMIFS('Outages (event ledger)'!$H$2:$H$65,'Outages (event ledger)'!$A$2:$A$65,BD$2,'Outages (event ledger)'!$E$2:$E$65,"&lt;="&amp;$B183,'Outages (event ledger)'!$G$2:$G$65,"&gt;="&amp;$B183)</f>
        <v>0</v>
      </c>
      <c r="BE183" s="29" t="n">
        <f aca="false">SUMIFS('Outages (event ledger)'!$H$2:$H$65,'Outages (event ledger)'!$A$2:$A$65,BE$2,'Outages (event ledger)'!$E$2:$E$65,"&lt;="&amp;$B183,'Outages (event ledger)'!$G$2:$G$65,"&gt;="&amp;$B183)</f>
        <v>0</v>
      </c>
      <c r="BF183" s="29" t="n">
        <f aca="false">SUMIFS('Outages (event ledger)'!$H$2:$H$65,'Outages (event ledger)'!$A$2:$A$65,BF$2,'Outages (event ledger)'!$E$2:$E$65,"&lt;="&amp;$B183,'Outages (event ledger)'!$G$2:$G$65,"&gt;="&amp;$B183)</f>
        <v>0</v>
      </c>
      <c r="BG183" s="29" t="n">
        <f aca="false">SUMIFS('Outages (event ledger)'!$H$2:$H$65,'Outages (event ledger)'!$A$2:$A$65,BG$2,'Outages (event ledger)'!$E$2:$E$65,"&lt;="&amp;$B183,'Outages (event ledger)'!$G$2:$G$65,"&gt;="&amp;$B183)</f>
        <v>0</v>
      </c>
      <c r="BH183" s="29" t="n">
        <f aca="false">SUMIFS('Outages (event ledger)'!$H$2:$H$65,'Outages (event ledger)'!$A$2:$A$65,BH$2,'Outages (event ledger)'!$E$2:$E$65,"&lt;="&amp;$B183,'Outages (event ledger)'!$G$2:$G$65,"&gt;="&amp;$B183)</f>
        <v>0</v>
      </c>
      <c r="BI183" s="29" t="n">
        <f aca="false">SUMIFS('Outages (event ledger)'!$H$2:$H$65,'Outages (event ledger)'!$A$2:$A$65,BI$2,'Outages (event ledger)'!$E$2:$E$65,"&lt;="&amp;$B183,'Outages (event ledger)'!$G$2:$G$65,"&gt;="&amp;$B183)</f>
        <v>6.7</v>
      </c>
    </row>
    <row r="184" customFormat="false" ht="15" hidden="false" customHeight="false" outlineLevel="0" collapsed="false">
      <c r="A184" s="27" t="n">
        <v>45689</v>
      </c>
      <c r="B184" s="28" t="n">
        <v>202502</v>
      </c>
      <c r="C184" s="25" t="n">
        <f aca="false">SUM(D184:BI184)</f>
        <v>23.3</v>
      </c>
      <c r="D184" s="29" t="n">
        <f aca="false">SUMIFS('Outages (event ledger)'!$H$2:$H$65,'Outages (event ledger)'!$A$2:$A$65,D$2,'Outages (event ledger)'!$E$2:$E$65,"&lt;="&amp;$B184,'Outages (event ledger)'!$G$2:$G$65,"&gt;="&amp;$B184)</f>
        <v>0</v>
      </c>
      <c r="E184" s="29" t="n">
        <f aca="false">SUMIFS('Outages (event ledger)'!$H$2:$H$65,'Outages (event ledger)'!$A$2:$A$65,E$2,'Outages (event ledger)'!$E$2:$E$65,"&lt;="&amp;$B184,'Outages (event ledger)'!$G$2:$G$65,"&gt;="&amp;$B184)</f>
        <v>0</v>
      </c>
      <c r="F184" s="29" t="n">
        <f aca="false">SUMIFS('Outages (event ledger)'!$H$2:$H$65,'Outages (event ledger)'!$A$2:$A$65,F$2,'Outages (event ledger)'!$E$2:$E$65,"&lt;="&amp;$B184,'Outages (event ledger)'!$G$2:$G$65,"&gt;="&amp;$B184)</f>
        <v>0</v>
      </c>
      <c r="G184" s="29" t="n">
        <f aca="false">SUMIFS('Outages (event ledger)'!$H$2:$H$65,'Outages (event ledger)'!$A$2:$A$65,G$2,'Outages (event ledger)'!$E$2:$E$65,"&lt;="&amp;$B184,'Outages (event ledger)'!$G$2:$G$65,"&gt;="&amp;$B184)</f>
        <v>0</v>
      </c>
      <c r="H184" s="29" t="n">
        <f aca="false">SUMIFS('Outages (event ledger)'!$H$2:$H$65,'Outages (event ledger)'!$A$2:$A$65,H$2,'Outages (event ledger)'!$E$2:$E$65,"&lt;="&amp;$B184,'Outages (event ledger)'!$G$2:$G$65,"&gt;="&amp;$B184)</f>
        <v>0</v>
      </c>
      <c r="I184" s="29" t="n">
        <f aca="false">SUMIFS('Outages (event ledger)'!$H$2:$H$65,'Outages (event ledger)'!$A$2:$A$65,I$2,'Outages (event ledger)'!$E$2:$E$65,"&lt;="&amp;$B184,'Outages (event ledger)'!$G$2:$G$65,"&gt;="&amp;$B184)</f>
        <v>0</v>
      </c>
      <c r="J184" s="29" t="n">
        <f aca="false">SUMIFS('Outages (event ledger)'!$H$2:$H$65,'Outages (event ledger)'!$A$2:$A$65,J$2,'Outages (event ledger)'!$E$2:$E$65,"&lt;="&amp;$B184,'Outages (event ledger)'!$G$2:$G$65,"&gt;="&amp;$B184)</f>
        <v>0</v>
      </c>
      <c r="K184" s="29" t="n">
        <f aca="false">SUMIFS('Outages (event ledger)'!$H$2:$H$65,'Outages (event ledger)'!$A$2:$A$65,K$2,'Outages (event ledger)'!$E$2:$E$65,"&lt;="&amp;$B184,'Outages (event ledger)'!$G$2:$G$65,"&gt;="&amp;$B184)</f>
        <v>0</v>
      </c>
      <c r="L184" s="29" t="n">
        <f aca="false">SUMIFS('Outages (event ledger)'!$H$2:$H$65,'Outages (event ledger)'!$A$2:$A$65,L$2,'Outages (event ledger)'!$E$2:$E$65,"&lt;="&amp;$B184,'Outages (event ledger)'!$G$2:$G$65,"&gt;="&amp;$B184)</f>
        <v>0</v>
      </c>
      <c r="M184" s="29" t="n">
        <f aca="false">SUMIFS('Outages (event ledger)'!$H$2:$H$65,'Outages (event ledger)'!$A$2:$A$65,M$2,'Outages (event ledger)'!$E$2:$E$65,"&lt;="&amp;$B184,'Outages (event ledger)'!$G$2:$G$65,"&gt;="&amp;$B184)</f>
        <v>0</v>
      </c>
      <c r="N184" s="29" t="n">
        <f aca="false">SUMIFS('Outages (event ledger)'!$H$2:$H$65,'Outages (event ledger)'!$A$2:$A$65,N$2,'Outages (event ledger)'!$E$2:$E$65,"&lt;="&amp;$B184,'Outages (event ledger)'!$G$2:$G$65,"&gt;="&amp;$B184)</f>
        <v>0</v>
      </c>
      <c r="O184" s="29" t="n">
        <f aca="false">SUMIFS('Outages (event ledger)'!$H$2:$H$65,'Outages (event ledger)'!$A$2:$A$65,O$2,'Outages (event ledger)'!$E$2:$E$65,"&lt;="&amp;$B184,'Outages (event ledger)'!$G$2:$G$65,"&gt;="&amp;$B184)</f>
        <v>0</v>
      </c>
      <c r="P184" s="29" t="n">
        <f aca="false">SUMIFS('Outages (event ledger)'!$H$2:$H$65,'Outages (event ledger)'!$A$2:$A$65,P$2,'Outages (event ledger)'!$E$2:$E$65,"&lt;="&amp;$B184,'Outages (event ledger)'!$G$2:$G$65,"&gt;="&amp;$B184)</f>
        <v>0</v>
      </c>
      <c r="Q184" s="29" t="n">
        <f aca="false">SUMIFS('Outages (event ledger)'!$H$2:$H$65,'Outages (event ledger)'!$A$2:$A$65,Q$2,'Outages (event ledger)'!$E$2:$E$65,"&lt;="&amp;$B184,'Outages (event ledger)'!$G$2:$G$65,"&gt;="&amp;$B184)</f>
        <v>0</v>
      </c>
      <c r="R184" s="29" t="n">
        <f aca="false">SUMIFS('Outages (event ledger)'!$H$2:$H$65,'Outages (event ledger)'!$A$2:$A$65,R$2,'Outages (event ledger)'!$E$2:$E$65,"&lt;="&amp;$B184,'Outages (event ledger)'!$G$2:$G$65,"&gt;="&amp;$B184)</f>
        <v>0</v>
      </c>
      <c r="S184" s="29" t="n">
        <f aca="false">SUMIFS('Outages (event ledger)'!$H$2:$H$65,'Outages (event ledger)'!$A$2:$A$65,S$2,'Outages (event ledger)'!$E$2:$E$65,"&lt;="&amp;$B184,'Outages (event ledger)'!$G$2:$G$65,"&gt;="&amp;$B184)</f>
        <v>0</v>
      </c>
      <c r="T184" s="29" t="n">
        <f aca="false">SUMIFS('Outages (event ledger)'!$H$2:$H$65,'Outages (event ledger)'!$A$2:$A$65,T$2,'Outages (event ledger)'!$E$2:$E$65,"&lt;="&amp;$B184,'Outages (event ledger)'!$G$2:$G$65,"&gt;="&amp;$B184)</f>
        <v>0</v>
      </c>
      <c r="U184" s="29" t="n">
        <f aca="false">SUMIFS('Outages (event ledger)'!$H$2:$H$65,'Outages (event ledger)'!$A$2:$A$65,U$2,'Outages (event ledger)'!$E$2:$E$65,"&lt;="&amp;$B184,'Outages (event ledger)'!$G$2:$G$65,"&gt;="&amp;$B184)</f>
        <v>0</v>
      </c>
      <c r="V184" s="29" t="n">
        <f aca="false">SUMIFS('Outages (event ledger)'!$H$2:$H$65,'Outages (event ledger)'!$A$2:$A$65,V$2,'Outages (event ledger)'!$E$2:$E$65,"&lt;="&amp;$B184,'Outages (event ledger)'!$G$2:$G$65,"&gt;="&amp;$B184)</f>
        <v>0</v>
      </c>
      <c r="W184" s="29" t="n">
        <f aca="false">SUMIFS('Outages (event ledger)'!$H$2:$H$65,'Outages (event ledger)'!$A$2:$A$65,W$2,'Outages (event ledger)'!$E$2:$E$65,"&lt;="&amp;$B184,'Outages (event ledger)'!$G$2:$G$65,"&gt;="&amp;$B184)</f>
        <v>0</v>
      </c>
      <c r="X184" s="29" t="n">
        <f aca="false">SUMIFS('Outages (event ledger)'!$H$2:$H$65,'Outages (event ledger)'!$A$2:$A$65,X$2,'Outages (event ledger)'!$E$2:$E$65,"&lt;="&amp;$B184,'Outages (event ledger)'!$G$2:$G$65,"&gt;="&amp;$B184)</f>
        <v>0</v>
      </c>
      <c r="Y184" s="29" t="n">
        <f aca="false">SUMIFS('Outages (event ledger)'!$H$2:$H$65,'Outages (event ledger)'!$A$2:$A$65,Y$2,'Outages (event ledger)'!$E$2:$E$65,"&lt;="&amp;$B184,'Outages (event ledger)'!$G$2:$G$65,"&gt;="&amp;$B184)</f>
        <v>0</v>
      </c>
      <c r="Z184" s="29" t="n">
        <f aca="false">SUMIFS('Outages (event ledger)'!$H$2:$H$65,'Outages (event ledger)'!$A$2:$A$65,Z$2,'Outages (event ledger)'!$E$2:$E$65,"&lt;="&amp;$B184,'Outages (event ledger)'!$G$2:$G$65,"&gt;="&amp;$B184)</f>
        <v>0</v>
      </c>
      <c r="AA184" s="29" t="n">
        <f aca="false">SUMIFS('Outages (event ledger)'!$H$2:$H$65,'Outages (event ledger)'!$A$2:$A$65,AA$2,'Outages (event ledger)'!$E$2:$E$65,"&lt;="&amp;$B184,'Outages (event ledger)'!$G$2:$G$65,"&gt;="&amp;$B184)</f>
        <v>2</v>
      </c>
      <c r="AB184" s="29" t="n">
        <f aca="false">SUMIFS('Outages (event ledger)'!$H$2:$H$65,'Outages (event ledger)'!$A$2:$A$65,AB$2,'Outages (event ledger)'!$E$2:$E$65,"&lt;="&amp;$B184,'Outages (event ledger)'!$G$2:$G$65,"&gt;="&amp;$B184)</f>
        <v>8</v>
      </c>
      <c r="AC184" s="29" t="n">
        <f aca="false">SUMIFS('Outages (event ledger)'!$H$2:$H$65,'Outages (event ledger)'!$A$2:$A$65,AC$2,'Outages (event ledger)'!$E$2:$E$65,"&lt;="&amp;$B184,'Outages (event ledger)'!$G$2:$G$65,"&gt;="&amp;$B184)</f>
        <v>0</v>
      </c>
      <c r="AD184" s="29" t="n">
        <f aca="false">SUMIFS('Outages (event ledger)'!$H$2:$H$65,'Outages (event ledger)'!$A$2:$A$65,AD$2,'Outages (event ledger)'!$E$2:$E$65,"&lt;="&amp;$B184,'Outages (event ledger)'!$G$2:$G$65,"&gt;="&amp;$B184)</f>
        <v>0</v>
      </c>
      <c r="AE184" s="29" t="n">
        <f aca="false">SUMIFS('Outages (event ledger)'!$H$2:$H$65,'Outages (event ledger)'!$A$2:$A$65,AE$2,'Outages (event ledger)'!$E$2:$E$65,"&lt;="&amp;$B184,'Outages (event ledger)'!$G$2:$G$65,"&gt;="&amp;$B184)</f>
        <v>0</v>
      </c>
      <c r="AF184" s="29" t="n">
        <f aca="false">SUMIFS('Outages (event ledger)'!$H$2:$H$65,'Outages (event ledger)'!$A$2:$A$65,AF$2,'Outages (event ledger)'!$E$2:$E$65,"&lt;="&amp;$B184,'Outages (event ledger)'!$G$2:$G$65,"&gt;="&amp;$B184)</f>
        <v>0</v>
      </c>
      <c r="AG184" s="29" t="n">
        <f aca="false">SUMIFS('Outages (event ledger)'!$H$2:$H$65,'Outages (event ledger)'!$A$2:$A$65,AG$2,'Outages (event ledger)'!$E$2:$E$65,"&lt;="&amp;$B184,'Outages (event ledger)'!$G$2:$G$65,"&gt;="&amp;$B184)</f>
        <v>0</v>
      </c>
      <c r="AH184" s="29" t="n">
        <f aca="false">SUMIFS('Outages (event ledger)'!$H$2:$H$65,'Outages (event ledger)'!$A$2:$A$65,AH$2,'Outages (event ledger)'!$E$2:$E$65,"&lt;="&amp;$B184,'Outages (event ledger)'!$G$2:$G$65,"&gt;="&amp;$B184)</f>
        <v>0</v>
      </c>
      <c r="AI184" s="29" t="n">
        <f aca="false">SUMIFS('Outages (event ledger)'!$H$2:$H$65,'Outages (event ledger)'!$A$2:$A$65,AI$2,'Outages (event ledger)'!$E$2:$E$65,"&lt;="&amp;$B184,'Outages (event ledger)'!$G$2:$G$65,"&gt;="&amp;$B184)</f>
        <v>0</v>
      </c>
      <c r="AJ184" s="29" t="n">
        <f aca="false">SUMIFS('Outages (event ledger)'!$H$2:$H$65,'Outages (event ledger)'!$A$2:$A$65,AJ$2,'Outages (event ledger)'!$E$2:$E$65,"&lt;="&amp;$B184,'Outages (event ledger)'!$G$2:$G$65,"&gt;="&amp;$B184)</f>
        <v>0</v>
      </c>
      <c r="AK184" s="29" t="n">
        <f aca="false">SUMIFS('Outages (event ledger)'!$H$2:$H$65,'Outages (event ledger)'!$A$2:$A$65,AK$2,'Outages (event ledger)'!$E$2:$E$65,"&lt;="&amp;$B184,'Outages (event ledger)'!$G$2:$G$65,"&gt;="&amp;$B184)</f>
        <v>0</v>
      </c>
      <c r="AL184" s="29" t="n">
        <f aca="false">SUMIFS('Outages (event ledger)'!$H$2:$H$65,'Outages (event ledger)'!$A$2:$A$65,AL$2,'Outages (event ledger)'!$E$2:$E$65,"&lt;="&amp;$B184,'Outages (event ledger)'!$G$2:$G$65,"&gt;="&amp;$B184)</f>
        <v>0</v>
      </c>
      <c r="AM184" s="29" t="n">
        <f aca="false">SUMIFS('Outages (event ledger)'!$H$2:$H$65,'Outages (event ledger)'!$A$2:$A$65,AM$2,'Outages (event ledger)'!$E$2:$E$65,"&lt;="&amp;$B184,'Outages (event ledger)'!$G$2:$G$65,"&gt;="&amp;$B184)</f>
        <v>0</v>
      </c>
      <c r="AN184" s="29" t="n">
        <f aca="false">SUMIFS('Outages (event ledger)'!$H$2:$H$65,'Outages (event ledger)'!$A$2:$A$65,AN$2,'Outages (event ledger)'!$E$2:$E$65,"&lt;="&amp;$B184,'Outages (event ledger)'!$G$2:$G$65,"&gt;="&amp;$B184)</f>
        <v>0</v>
      </c>
      <c r="AO184" s="29" t="n">
        <f aca="false">SUMIFS('Outages (event ledger)'!$H$2:$H$65,'Outages (event ledger)'!$A$2:$A$65,AO$2,'Outages (event ledger)'!$E$2:$E$65,"&lt;="&amp;$B184,'Outages (event ledger)'!$G$2:$G$65,"&gt;="&amp;$B184)</f>
        <v>0</v>
      </c>
      <c r="AP184" s="29" t="n">
        <f aca="false">SUMIFS('Outages (event ledger)'!$H$2:$H$65,'Outages (event ledger)'!$A$2:$A$65,AP$2,'Outages (event ledger)'!$E$2:$E$65,"&lt;="&amp;$B184,'Outages (event ledger)'!$G$2:$G$65,"&gt;="&amp;$B184)</f>
        <v>0</v>
      </c>
      <c r="AQ184" s="29" t="n">
        <f aca="false">SUMIFS('Outages (event ledger)'!$H$2:$H$65,'Outages (event ledger)'!$A$2:$A$65,AQ$2,'Outages (event ledger)'!$E$2:$E$65,"&lt;="&amp;$B184,'Outages (event ledger)'!$G$2:$G$65,"&gt;="&amp;$B184)</f>
        <v>0</v>
      </c>
      <c r="AR184" s="29" t="n">
        <f aca="false">SUMIFS('Outages (event ledger)'!$H$2:$H$65,'Outages (event ledger)'!$A$2:$A$65,AR$2,'Outages (event ledger)'!$E$2:$E$65,"&lt;="&amp;$B184,'Outages (event ledger)'!$G$2:$G$65,"&gt;="&amp;$B184)</f>
        <v>0</v>
      </c>
      <c r="AS184" s="29" t="n">
        <f aca="false">SUMIFS('Outages (event ledger)'!$H$2:$H$65,'Outages (event ledger)'!$A$2:$A$65,AS$2,'Outages (event ledger)'!$E$2:$E$65,"&lt;="&amp;$B184,'Outages (event ledger)'!$G$2:$G$65,"&gt;="&amp;$B184)</f>
        <v>0</v>
      </c>
      <c r="AT184" s="29" t="n">
        <f aca="false">SUMIFS('Outages (event ledger)'!$H$2:$H$65,'Outages (event ledger)'!$A$2:$A$65,AT$2,'Outages (event ledger)'!$E$2:$E$65,"&lt;="&amp;$B184,'Outages (event ledger)'!$G$2:$G$65,"&gt;="&amp;$B184)</f>
        <v>0</v>
      </c>
      <c r="AU184" s="29" t="n">
        <f aca="false">SUMIFS('Outages (event ledger)'!$H$2:$H$65,'Outages (event ledger)'!$A$2:$A$65,AU$2,'Outages (event ledger)'!$E$2:$E$65,"&lt;="&amp;$B184,'Outages (event ledger)'!$G$2:$G$65,"&gt;="&amp;$B184)</f>
        <v>0</v>
      </c>
      <c r="AV184" s="29" t="n">
        <f aca="false">SUMIFS('Outages (event ledger)'!$H$2:$H$65,'Outages (event ledger)'!$A$2:$A$65,AV$2,'Outages (event ledger)'!$E$2:$E$65,"&lt;="&amp;$B184,'Outages (event ledger)'!$G$2:$G$65,"&gt;="&amp;$B184)</f>
        <v>0</v>
      </c>
      <c r="AW184" s="29" t="n">
        <f aca="false">SUMIFS('Outages (event ledger)'!$H$2:$H$65,'Outages (event ledger)'!$A$2:$A$65,AW$2,'Outages (event ledger)'!$E$2:$E$65,"&lt;="&amp;$B184,'Outages (event ledger)'!$G$2:$G$65,"&gt;="&amp;$B184)</f>
        <v>0</v>
      </c>
      <c r="AX184" s="29" t="n">
        <f aca="false">SUMIFS('Outages (event ledger)'!$H$2:$H$65,'Outages (event ledger)'!$A$2:$A$65,AX$2,'Outages (event ledger)'!$E$2:$E$65,"&lt;="&amp;$B184,'Outages (event ledger)'!$G$2:$G$65,"&gt;="&amp;$B184)</f>
        <v>6.6</v>
      </c>
      <c r="AY184" s="29" t="n">
        <f aca="false">SUMIFS('Outages (event ledger)'!$H$2:$H$65,'Outages (event ledger)'!$A$2:$A$65,AY$2,'Outages (event ledger)'!$E$2:$E$65,"&lt;="&amp;$B184,'Outages (event ledger)'!$G$2:$G$65,"&gt;="&amp;$B184)</f>
        <v>0</v>
      </c>
      <c r="AZ184" s="29" t="n">
        <f aca="false">SUMIFS('Outages (event ledger)'!$H$2:$H$65,'Outages (event ledger)'!$A$2:$A$65,AZ$2,'Outages (event ledger)'!$E$2:$E$65,"&lt;="&amp;$B184,'Outages (event ledger)'!$G$2:$G$65,"&gt;="&amp;$B184)</f>
        <v>0</v>
      </c>
      <c r="BA184" s="29" t="n">
        <f aca="false">SUMIFS('Outages (event ledger)'!$H$2:$H$65,'Outages (event ledger)'!$A$2:$A$65,BA$2,'Outages (event ledger)'!$E$2:$E$65,"&lt;="&amp;$B184,'Outages (event ledger)'!$G$2:$G$65,"&gt;="&amp;$B184)</f>
        <v>0</v>
      </c>
      <c r="BB184" s="29" t="n">
        <f aca="false">SUMIFS('Outages (event ledger)'!$H$2:$H$65,'Outages (event ledger)'!$A$2:$A$65,BB$2,'Outages (event ledger)'!$E$2:$E$65,"&lt;="&amp;$B184,'Outages (event ledger)'!$G$2:$G$65,"&gt;="&amp;$B184)</f>
        <v>0</v>
      </c>
      <c r="BC184" s="29" t="n">
        <f aca="false">SUMIFS('Outages (event ledger)'!$H$2:$H$65,'Outages (event ledger)'!$A$2:$A$65,BC$2,'Outages (event ledger)'!$E$2:$E$65,"&lt;="&amp;$B184,'Outages (event ledger)'!$G$2:$G$65,"&gt;="&amp;$B184)</f>
        <v>0</v>
      </c>
      <c r="BD184" s="29" t="n">
        <f aca="false">SUMIFS('Outages (event ledger)'!$H$2:$H$65,'Outages (event ledger)'!$A$2:$A$65,BD$2,'Outages (event ledger)'!$E$2:$E$65,"&lt;="&amp;$B184,'Outages (event ledger)'!$G$2:$G$65,"&gt;="&amp;$B184)</f>
        <v>0</v>
      </c>
      <c r="BE184" s="29" t="n">
        <f aca="false">SUMIFS('Outages (event ledger)'!$H$2:$H$65,'Outages (event ledger)'!$A$2:$A$65,BE$2,'Outages (event ledger)'!$E$2:$E$65,"&lt;="&amp;$B184,'Outages (event ledger)'!$G$2:$G$65,"&gt;="&amp;$B184)</f>
        <v>0</v>
      </c>
      <c r="BF184" s="29" t="n">
        <f aca="false">SUMIFS('Outages (event ledger)'!$H$2:$H$65,'Outages (event ledger)'!$A$2:$A$65,BF$2,'Outages (event ledger)'!$E$2:$E$65,"&lt;="&amp;$B184,'Outages (event ledger)'!$G$2:$G$65,"&gt;="&amp;$B184)</f>
        <v>0</v>
      </c>
      <c r="BG184" s="29" t="n">
        <f aca="false">SUMIFS('Outages (event ledger)'!$H$2:$H$65,'Outages (event ledger)'!$A$2:$A$65,BG$2,'Outages (event ledger)'!$E$2:$E$65,"&lt;="&amp;$B184,'Outages (event ledger)'!$G$2:$G$65,"&gt;="&amp;$B184)</f>
        <v>0</v>
      </c>
      <c r="BH184" s="29" t="n">
        <f aca="false">SUMIFS('Outages (event ledger)'!$H$2:$H$65,'Outages (event ledger)'!$A$2:$A$65,BH$2,'Outages (event ledger)'!$E$2:$E$65,"&lt;="&amp;$B184,'Outages (event ledger)'!$G$2:$G$65,"&gt;="&amp;$B184)</f>
        <v>0</v>
      </c>
      <c r="BI184" s="29" t="n">
        <f aca="false">SUMIFS('Outages (event ledger)'!$H$2:$H$65,'Outages (event ledger)'!$A$2:$A$65,BI$2,'Outages (event ledger)'!$E$2:$E$65,"&lt;="&amp;$B184,'Outages (event ledger)'!$G$2:$G$65,"&gt;="&amp;$B184)</f>
        <v>6.7</v>
      </c>
    </row>
    <row r="185" customFormat="false" ht="15" hidden="false" customHeight="false" outlineLevel="0" collapsed="false">
      <c r="A185" s="27" t="n">
        <v>45717</v>
      </c>
      <c r="B185" s="28" t="n">
        <v>202503</v>
      </c>
      <c r="C185" s="25" t="n">
        <f aca="false">SUM(D185:BI185)</f>
        <v>23.3</v>
      </c>
      <c r="D185" s="29" t="n">
        <f aca="false">SUMIFS('Outages (event ledger)'!$H$2:$H$65,'Outages (event ledger)'!$A$2:$A$65,D$2,'Outages (event ledger)'!$E$2:$E$65,"&lt;="&amp;$B185,'Outages (event ledger)'!$G$2:$G$65,"&gt;="&amp;$B185)</f>
        <v>0</v>
      </c>
      <c r="E185" s="29" t="n">
        <f aca="false">SUMIFS('Outages (event ledger)'!$H$2:$H$65,'Outages (event ledger)'!$A$2:$A$65,E$2,'Outages (event ledger)'!$E$2:$E$65,"&lt;="&amp;$B185,'Outages (event ledger)'!$G$2:$G$65,"&gt;="&amp;$B185)</f>
        <v>0</v>
      </c>
      <c r="F185" s="29" t="n">
        <f aca="false">SUMIFS('Outages (event ledger)'!$H$2:$H$65,'Outages (event ledger)'!$A$2:$A$65,F$2,'Outages (event ledger)'!$E$2:$E$65,"&lt;="&amp;$B185,'Outages (event ledger)'!$G$2:$G$65,"&gt;="&amp;$B185)</f>
        <v>0</v>
      </c>
      <c r="G185" s="29" t="n">
        <f aca="false">SUMIFS('Outages (event ledger)'!$H$2:$H$65,'Outages (event ledger)'!$A$2:$A$65,G$2,'Outages (event ledger)'!$E$2:$E$65,"&lt;="&amp;$B185,'Outages (event ledger)'!$G$2:$G$65,"&gt;="&amp;$B185)</f>
        <v>0</v>
      </c>
      <c r="H185" s="29" t="n">
        <f aca="false">SUMIFS('Outages (event ledger)'!$H$2:$H$65,'Outages (event ledger)'!$A$2:$A$65,H$2,'Outages (event ledger)'!$E$2:$E$65,"&lt;="&amp;$B185,'Outages (event ledger)'!$G$2:$G$65,"&gt;="&amp;$B185)</f>
        <v>0</v>
      </c>
      <c r="I185" s="29" t="n">
        <f aca="false">SUMIFS('Outages (event ledger)'!$H$2:$H$65,'Outages (event ledger)'!$A$2:$A$65,I$2,'Outages (event ledger)'!$E$2:$E$65,"&lt;="&amp;$B185,'Outages (event ledger)'!$G$2:$G$65,"&gt;="&amp;$B185)</f>
        <v>0</v>
      </c>
      <c r="J185" s="29" t="n">
        <f aca="false">SUMIFS('Outages (event ledger)'!$H$2:$H$65,'Outages (event ledger)'!$A$2:$A$65,J$2,'Outages (event ledger)'!$E$2:$E$65,"&lt;="&amp;$B185,'Outages (event ledger)'!$G$2:$G$65,"&gt;="&amp;$B185)</f>
        <v>0</v>
      </c>
      <c r="K185" s="29" t="n">
        <f aca="false">SUMIFS('Outages (event ledger)'!$H$2:$H$65,'Outages (event ledger)'!$A$2:$A$65,K$2,'Outages (event ledger)'!$E$2:$E$65,"&lt;="&amp;$B185,'Outages (event ledger)'!$G$2:$G$65,"&gt;="&amp;$B185)</f>
        <v>0</v>
      </c>
      <c r="L185" s="29" t="n">
        <f aca="false">SUMIFS('Outages (event ledger)'!$H$2:$H$65,'Outages (event ledger)'!$A$2:$A$65,L$2,'Outages (event ledger)'!$E$2:$E$65,"&lt;="&amp;$B185,'Outages (event ledger)'!$G$2:$G$65,"&gt;="&amp;$B185)</f>
        <v>0</v>
      </c>
      <c r="M185" s="29" t="n">
        <f aca="false">SUMIFS('Outages (event ledger)'!$H$2:$H$65,'Outages (event ledger)'!$A$2:$A$65,M$2,'Outages (event ledger)'!$E$2:$E$65,"&lt;="&amp;$B185,'Outages (event ledger)'!$G$2:$G$65,"&gt;="&amp;$B185)</f>
        <v>0</v>
      </c>
      <c r="N185" s="29" t="n">
        <f aca="false">SUMIFS('Outages (event ledger)'!$H$2:$H$65,'Outages (event ledger)'!$A$2:$A$65,N$2,'Outages (event ledger)'!$E$2:$E$65,"&lt;="&amp;$B185,'Outages (event ledger)'!$G$2:$G$65,"&gt;="&amp;$B185)</f>
        <v>0</v>
      </c>
      <c r="O185" s="29" t="n">
        <f aca="false">SUMIFS('Outages (event ledger)'!$H$2:$H$65,'Outages (event ledger)'!$A$2:$A$65,O$2,'Outages (event ledger)'!$E$2:$E$65,"&lt;="&amp;$B185,'Outages (event ledger)'!$G$2:$G$65,"&gt;="&amp;$B185)</f>
        <v>0</v>
      </c>
      <c r="P185" s="29" t="n">
        <f aca="false">SUMIFS('Outages (event ledger)'!$H$2:$H$65,'Outages (event ledger)'!$A$2:$A$65,P$2,'Outages (event ledger)'!$E$2:$E$65,"&lt;="&amp;$B185,'Outages (event ledger)'!$G$2:$G$65,"&gt;="&amp;$B185)</f>
        <v>0</v>
      </c>
      <c r="Q185" s="29" t="n">
        <f aca="false">SUMIFS('Outages (event ledger)'!$H$2:$H$65,'Outages (event ledger)'!$A$2:$A$65,Q$2,'Outages (event ledger)'!$E$2:$E$65,"&lt;="&amp;$B185,'Outages (event ledger)'!$G$2:$G$65,"&gt;="&amp;$B185)</f>
        <v>0</v>
      </c>
      <c r="R185" s="29" t="n">
        <f aca="false">SUMIFS('Outages (event ledger)'!$H$2:$H$65,'Outages (event ledger)'!$A$2:$A$65,R$2,'Outages (event ledger)'!$E$2:$E$65,"&lt;="&amp;$B185,'Outages (event ledger)'!$G$2:$G$65,"&gt;="&amp;$B185)</f>
        <v>0</v>
      </c>
      <c r="S185" s="29" t="n">
        <f aca="false">SUMIFS('Outages (event ledger)'!$H$2:$H$65,'Outages (event ledger)'!$A$2:$A$65,S$2,'Outages (event ledger)'!$E$2:$E$65,"&lt;="&amp;$B185,'Outages (event ledger)'!$G$2:$G$65,"&gt;="&amp;$B185)</f>
        <v>0</v>
      </c>
      <c r="T185" s="29" t="n">
        <f aca="false">SUMIFS('Outages (event ledger)'!$H$2:$H$65,'Outages (event ledger)'!$A$2:$A$65,T$2,'Outages (event ledger)'!$E$2:$E$65,"&lt;="&amp;$B185,'Outages (event ledger)'!$G$2:$G$65,"&gt;="&amp;$B185)</f>
        <v>0</v>
      </c>
      <c r="U185" s="29" t="n">
        <f aca="false">SUMIFS('Outages (event ledger)'!$H$2:$H$65,'Outages (event ledger)'!$A$2:$A$65,U$2,'Outages (event ledger)'!$E$2:$E$65,"&lt;="&amp;$B185,'Outages (event ledger)'!$G$2:$G$65,"&gt;="&amp;$B185)</f>
        <v>0</v>
      </c>
      <c r="V185" s="29" t="n">
        <f aca="false">SUMIFS('Outages (event ledger)'!$H$2:$H$65,'Outages (event ledger)'!$A$2:$A$65,V$2,'Outages (event ledger)'!$E$2:$E$65,"&lt;="&amp;$B185,'Outages (event ledger)'!$G$2:$G$65,"&gt;="&amp;$B185)</f>
        <v>0</v>
      </c>
      <c r="W185" s="29" t="n">
        <f aca="false">SUMIFS('Outages (event ledger)'!$H$2:$H$65,'Outages (event ledger)'!$A$2:$A$65,W$2,'Outages (event ledger)'!$E$2:$E$65,"&lt;="&amp;$B185,'Outages (event ledger)'!$G$2:$G$65,"&gt;="&amp;$B185)</f>
        <v>0</v>
      </c>
      <c r="X185" s="29" t="n">
        <f aca="false">SUMIFS('Outages (event ledger)'!$H$2:$H$65,'Outages (event ledger)'!$A$2:$A$65,X$2,'Outages (event ledger)'!$E$2:$E$65,"&lt;="&amp;$B185,'Outages (event ledger)'!$G$2:$G$65,"&gt;="&amp;$B185)</f>
        <v>0</v>
      </c>
      <c r="Y185" s="29" t="n">
        <f aca="false">SUMIFS('Outages (event ledger)'!$H$2:$H$65,'Outages (event ledger)'!$A$2:$A$65,Y$2,'Outages (event ledger)'!$E$2:$E$65,"&lt;="&amp;$B185,'Outages (event ledger)'!$G$2:$G$65,"&gt;="&amp;$B185)</f>
        <v>0</v>
      </c>
      <c r="Z185" s="29" t="n">
        <f aca="false">SUMIFS('Outages (event ledger)'!$H$2:$H$65,'Outages (event ledger)'!$A$2:$A$65,Z$2,'Outages (event ledger)'!$E$2:$E$65,"&lt;="&amp;$B185,'Outages (event ledger)'!$G$2:$G$65,"&gt;="&amp;$B185)</f>
        <v>0</v>
      </c>
      <c r="AA185" s="29" t="n">
        <f aca="false">SUMIFS('Outages (event ledger)'!$H$2:$H$65,'Outages (event ledger)'!$A$2:$A$65,AA$2,'Outages (event ledger)'!$E$2:$E$65,"&lt;="&amp;$B185,'Outages (event ledger)'!$G$2:$G$65,"&gt;="&amp;$B185)</f>
        <v>2</v>
      </c>
      <c r="AB185" s="29" t="n">
        <f aca="false">SUMIFS('Outages (event ledger)'!$H$2:$H$65,'Outages (event ledger)'!$A$2:$A$65,AB$2,'Outages (event ledger)'!$E$2:$E$65,"&lt;="&amp;$B185,'Outages (event ledger)'!$G$2:$G$65,"&gt;="&amp;$B185)</f>
        <v>8</v>
      </c>
      <c r="AC185" s="29" t="n">
        <f aca="false">SUMIFS('Outages (event ledger)'!$H$2:$H$65,'Outages (event ledger)'!$A$2:$A$65,AC$2,'Outages (event ledger)'!$E$2:$E$65,"&lt;="&amp;$B185,'Outages (event ledger)'!$G$2:$G$65,"&gt;="&amp;$B185)</f>
        <v>0</v>
      </c>
      <c r="AD185" s="29" t="n">
        <f aca="false">SUMIFS('Outages (event ledger)'!$H$2:$H$65,'Outages (event ledger)'!$A$2:$A$65,AD$2,'Outages (event ledger)'!$E$2:$E$65,"&lt;="&amp;$B185,'Outages (event ledger)'!$G$2:$G$65,"&gt;="&amp;$B185)</f>
        <v>0</v>
      </c>
      <c r="AE185" s="29" t="n">
        <f aca="false">SUMIFS('Outages (event ledger)'!$H$2:$H$65,'Outages (event ledger)'!$A$2:$A$65,AE$2,'Outages (event ledger)'!$E$2:$E$65,"&lt;="&amp;$B185,'Outages (event ledger)'!$G$2:$G$65,"&gt;="&amp;$B185)</f>
        <v>0</v>
      </c>
      <c r="AF185" s="29" t="n">
        <f aca="false">SUMIFS('Outages (event ledger)'!$H$2:$H$65,'Outages (event ledger)'!$A$2:$A$65,AF$2,'Outages (event ledger)'!$E$2:$E$65,"&lt;="&amp;$B185,'Outages (event ledger)'!$G$2:$G$65,"&gt;="&amp;$B185)</f>
        <v>0</v>
      </c>
      <c r="AG185" s="29" t="n">
        <f aca="false">SUMIFS('Outages (event ledger)'!$H$2:$H$65,'Outages (event ledger)'!$A$2:$A$65,AG$2,'Outages (event ledger)'!$E$2:$E$65,"&lt;="&amp;$B185,'Outages (event ledger)'!$G$2:$G$65,"&gt;="&amp;$B185)</f>
        <v>0</v>
      </c>
      <c r="AH185" s="29" t="n">
        <f aca="false">SUMIFS('Outages (event ledger)'!$H$2:$H$65,'Outages (event ledger)'!$A$2:$A$65,AH$2,'Outages (event ledger)'!$E$2:$E$65,"&lt;="&amp;$B185,'Outages (event ledger)'!$G$2:$G$65,"&gt;="&amp;$B185)</f>
        <v>0</v>
      </c>
      <c r="AI185" s="29" t="n">
        <f aca="false">SUMIFS('Outages (event ledger)'!$H$2:$H$65,'Outages (event ledger)'!$A$2:$A$65,AI$2,'Outages (event ledger)'!$E$2:$E$65,"&lt;="&amp;$B185,'Outages (event ledger)'!$G$2:$G$65,"&gt;="&amp;$B185)</f>
        <v>0</v>
      </c>
      <c r="AJ185" s="29" t="n">
        <f aca="false">SUMIFS('Outages (event ledger)'!$H$2:$H$65,'Outages (event ledger)'!$A$2:$A$65,AJ$2,'Outages (event ledger)'!$E$2:$E$65,"&lt;="&amp;$B185,'Outages (event ledger)'!$G$2:$G$65,"&gt;="&amp;$B185)</f>
        <v>0</v>
      </c>
      <c r="AK185" s="29" t="n">
        <f aca="false">SUMIFS('Outages (event ledger)'!$H$2:$H$65,'Outages (event ledger)'!$A$2:$A$65,AK$2,'Outages (event ledger)'!$E$2:$E$65,"&lt;="&amp;$B185,'Outages (event ledger)'!$G$2:$G$65,"&gt;="&amp;$B185)</f>
        <v>0</v>
      </c>
      <c r="AL185" s="29" t="n">
        <f aca="false">SUMIFS('Outages (event ledger)'!$H$2:$H$65,'Outages (event ledger)'!$A$2:$A$65,AL$2,'Outages (event ledger)'!$E$2:$E$65,"&lt;="&amp;$B185,'Outages (event ledger)'!$G$2:$G$65,"&gt;="&amp;$B185)</f>
        <v>0</v>
      </c>
      <c r="AM185" s="29" t="n">
        <f aca="false">SUMIFS('Outages (event ledger)'!$H$2:$H$65,'Outages (event ledger)'!$A$2:$A$65,AM$2,'Outages (event ledger)'!$E$2:$E$65,"&lt;="&amp;$B185,'Outages (event ledger)'!$G$2:$G$65,"&gt;="&amp;$B185)</f>
        <v>0</v>
      </c>
      <c r="AN185" s="29" t="n">
        <f aca="false">SUMIFS('Outages (event ledger)'!$H$2:$H$65,'Outages (event ledger)'!$A$2:$A$65,AN$2,'Outages (event ledger)'!$E$2:$E$65,"&lt;="&amp;$B185,'Outages (event ledger)'!$G$2:$G$65,"&gt;="&amp;$B185)</f>
        <v>0</v>
      </c>
      <c r="AO185" s="29" t="n">
        <f aca="false">SUMIFS('Outages (event ledger)'!$H$2:$H$65,'Outages (event ledger)'!$A$2:$A$65,AO$2,'Outages (event ledger)'!$E$2:$E$65,"&lt;="&amp;$B185,'Outages (event ledger)'!$G$2:$G$65,"&gt;="&amp;$B185)</f>
        <v>0</v>
      </c>
      <c r="AP185" s="29" t="n">
        <f aca="false">SUMIFS('Outages (event ledger)'!$H$2:$H$65,'Outages (event ledger)'!$A$2:$A$65,AP$2,'Outages (event ledger)'!$E$2:$E$65,"&lt;="&amp;$B185,'Outages (event ledger)'!$G$2:$G$65,"&gt;="&amp;$B185)</f>
        <v>0</v>
      </c>
      <c r="AQ185" s="29" t="n">
        <f aca="false">SUMIFS('Outages (event ledger)'!$H$2:$H$65,'Outages (event ledger)'!$A$2:$A$65,AQ$2,'Outages (event ledger)'!$E$2:$E$65,"&lt;="&amp;$B185,'Outages (event ledger)'!$G$2:$G$65,"&gt;="&amp;$B185)</f>
        <v>0</v>
      </c>
      <c r="AR185" s="29" t="n">
        <f aca="false">SUMIFS('Outages (event ledger)'!$H$2:$H$65,'Outages (event ledger)'!$A$2:$A$65,AR$2,'Outages (event ledger)'!$E$2:$E$65,"&lt;="&amp;$B185,'Outages (event ledger)'!$G$2:$G$65,"&gt;="&amp;$B185)</f>
        <v>0</v>
      </c>
      <c r="AS185" s="29" t="n">
        <f aca="false">SUMIFS('Outages (event ledger)'!$H$2:$H$65,'Outages (event ledger)'!$A$2:$A$65,AS$2,'Outages (event ledger)'!$E$2:$E$65,"&lt;="&amp;$B185,'Outages (event ledger)'!$G$2:$G$65,"&gt;="&amp;$B185)</f>
        <v>0</v>
      </c>
      <c r="AT185" s="29" t="n">
        <f aca="false">SUMIFS('Outages (event ledger)'!$H$2:$H$65,'Outages (event ledger)'!$A$2:$A$65,AT$2,'Outages (event ledger)'!$E$2:$E$65,"&lt;="&amp;$B185,'Outages (event ledger)'!$G$2:$G$65,"&gt;="&amp;$B185)</f>
        <v>0</v>
      </c>
      <c r="AU185" s="29" t="n">
        <f aca="false">SUMIFS('Outages (event ledger)'!$H$2:$H$65,'Outages (event ledger)'!$A$2:$A$65,AU$2,'Outages (event ledger)'!$E$2:$E$65,"&lt;="&amp;$B185,'Outages (event ledger)'!$G$2:$G$65,"&gt;="&amp;$B185)</f>
        <v>0</v>
      </c>
      <c r="AV185" s="29" t="n">
        <f aca="false">SUMIFS('Outages (event ledger)'!$H$2:$H$65,'Outages (event ledger)'!$A$2:$A$65,AV$2,'Outages (event ledger)'!$E$2:$E$65,"&lt;="&amp;$B185,'Outages (event ledger)'!$G$2:$G$65,"&gt;="&amp;$B185)</f>
        <v>0</v>
      </c>
      <c r="AW185" s="29" t="n">
        <f aca="false">SUMIFS('Outages (event ledger)'!$H$2:$H$65,'Outages (event ledger)'!$A$2:$A$65,AW$2,'Outages (event ledger)'!$E$2:$E$65,"&lt;="&amp;$B185,'Outages (event ledger)'!$G$2:$G$65,"&gt;="&amp;$B185)</f>
        <v>0</v>
      </c>
      <c r="AX185" s="29" t="n">
        <f aca="false">SUMIFS('Outages (event ledger)'!$H$2:$H$65,'Outages (event ledger)'!$A$2:$A$65,AX$2,'Outages (event ledger)'!$E$2:$E$65,"&lt;="&amp;$B185,'Outages (event ledger)'!$G$2:$G$65,"&gt;="&amp;$B185)</f>
        <v>6.6</v>
      </c>
      <c r="AY185" s="29" t="n">
        <f aca="false">SUMIFS('Outages (event ledger)'!$H$2:$H$65,'Outages (event ledger)'!$A$2:$A$65,AY$2,'Outages (event ledger)'!$E$2:$E$65,"&lt;="&amp;$B185,'Outages (event ledger)'!$G$2:$G$65,"&gt;="&amp;$B185)</f>
        <v>0</v>
      </c>
      <c r="AZ185" s="29" t="n">
        <f aca="false">SUMIFS('Outages (event ledger)'!$H$2:$H$65,'Outages (event ledger)'!$A$2:$A$65,AZ$2,'Outages (event ledger)'!$E$2:$E$65,"&lt;="&amp;$B185,'Outages (event ledger)'!$G$2:$G$65,"&gt;="&amp;$B185)</f>
        <v>0</v>
      </c>
      <c r="BA185" s="29" t="n">
        <f aca="false">SUMIFS('Outages (event ledger)'!$H$2:$H$65,'Outages (event ledger)'!$A$2:$A$65,BA$2,'Outages (event ledger)'!$E$2:$E$65,"&lt;="&amp;$B185,'Outages (event ledger)'!$G$2:$G$65,"&gt;="&amp;$B185)</f>
        <v>0</v>
      </c>
      <c r="BB185" s="29" t="n">
        <f aca="false">SUMIFS('Outages (event ledger)'!$H$2:$H$65,'Outages (event ledger)'!$A$2:$A$65,BB$2,'Outages (event ledger)'!$E$2:$E$65,"&lt;="&amp;$B185,'Outages (event ledger)'!$G$2:$G$65,"&gt;="&amp;$B185)</f>
        <v>0</v>
      </c>
      <c r="BC185" s="29" t="n">
        <f aca="false">SUMIFS('Outages (event ledger)'!$H$2:$H$65,'Outages (event ledger)'!$A$2:$A$65,BC$2,'Outages (event ledger)'!$E$2:$E$65,"&lt;="&amp;$B185,'Outages (event ledger)'!$G$2:$G$65,"&gt;="&amp;$B185)</f>
        <v>0</v>
      </c>
      <c r="BD185" s="29" t="n">
        <f aca="false">SUMIFS('Outages (event ledger)'!$H$2:$H$65,'Outages (event ledger)'!$A$2:$A$65,BD$2,'Outages (event ledger)'!$E$2:$E$65,"&lt;="&amp;$B185,'Outages (event ledger)'!$G$2:$G$65,"&gt;="&amp;$B185)</f>
        <v>0</v>
      </c>
      <c r="BE185" s="29" t="n">
        <f aca="false">SUMIFS('Outages (event ledger)'!$H$2:$H$65,'Outages (event ledger)'!$A$2:$A$65,BE$2,'Outages (event ledger)'!$E$2:$E$65,"&lt;="&amp;$B185,'Outages (event ledger)'!$G$2:$G$65,"&gt;="&amp;$B185)</f>
        <v>0</v>
      </c>
      <c r="BF185" s="29" t="n">
        <f aca="false">SUMIFS('Outages (event ledger)'!$H$2:$H$65,'Outages (event ledger)'!$A$2:$A$65,BF$2,'Outages (event ledger)'!$E$2:$E$65,"&lt;="&amp;$B185,'Outages (event ledger)'!$G$2:$G$65,"&gt;="&amp;$B185)</f>
        <v>0</v>
      </c>
      <c r="BG185" s="29" t="n">
        <f aca="false">SUMIFS('Outages (event ledger)'!$H$2:$H$65,'Outages (event ledger)'!$A$2:$A$65,BG$2,'Outages (event ledger)'!$E$2:$E$65,"&lt;="&amp;$B185,'Outages (event ledger)'!$G$2:$G$65,"&gt;="&amp;$B185)</f>
        <v>0</v>
      </c>
      <c r="BH185" s="29" t="n">
        <f aca="false">SUMIFS('Outages (event ledger)'!$H$2:$H$65,'Outages (event ledger)'!$A$2:$A$65,BH$2,'Outages (event ledger)'!$E$2:$E$65,"&lt;="&amp;$B185,'Outages (event ledger)'!$G$2:$G$65,"&gt;="&amp;$B185)</f>
        <v>0</v>
      </c>
      <c r="BI185" s="29" t="n">
        <f aca="false">SUMIFS('Outages (event ledger)'!$H$2:$H$65,'Outages (event ledger)'!$A$2:$A$65,BI$2,'Outages (event ledger)'!$E$2:$E$65,"&lt;="&amp;$B185,'Outages (event ledger)'!$G$2:$G$65,"&gt;="&amp;$B185)</f>
        <v>6.7</v>
      </c>
    </row>
    <row r="186" customFormat="false" ht="15" hidden="false" customHeight="false" outlineLevel="0" collapsed="false">
      <c r="A186" s="27" t="n">
        <v>45748</v>
      </c>
      <c r="B186" s="28" t="n">
        <v>202504</v>
      </c>
      <c r="C186" s="25" t="n">
        <f aca="false">SUM(D186:BI186)</f>
        <v>23.8</v>
      </c>
      <c r="D186" s="29" t="n">
        <f aca="false">SUMIFS('Outages (event ledger)'!$H$2:$H$65,'Outages (event ledger)'!$A$2:$A$65,D$2,'Outages (event ledger)'!$E$2:$E$65,"&lt;="&amp;$B186,'Outages (event ledger)'!$G$2:$G$65,"&gt;="&amp;$B186)</f>
        <v>0</v>
      </c>
      <c r="E186" s="29" t="n">
        <f aca="false">SUMIFS('Outages (event ledger)'!$H$2:$H$65,'Outages (event ledger)'!$A$2:$A$65,E$2,'Outages (event ledger)'!$E$2:$E$65,"&lt;="&amp;$B186,'Outages (event ledger)'!$G$2:$G$65,"&gt;="&amp;$B186)</f>
        <v>0</v>
      </c>
      <c r="F186" s="29" t="n">
        <f aca="false">SUMIFS('Outages (event ledger)'!$H$2:$H$65,'Outages (event ledger)'!$A$2:$A$65,F$2,'Outages (event ledger)'!$E$2:$E$65,"&lt;="&amp;$B186,'Outages (event ledger)'!$G$2:$G$65,"&gt;="&amp;$B186)</f>
        <v>0</v>
      </c>
      <c r="G186" s="29" t="n">
        <f aca="false">SUMIFS('Outages (event ledger)'!$H$2:$H$65,'Outages (event ledger)'!$A$2:$A$65,G$2,'Outages (event ledger)'!$E$2:$E$65,"&lt;="&amp;$B186,'Outages (event ledger)'!$G$2:$G$65,"&gt;="&amp;$B186)</f>
        <v>0</v>
      </c>
      <c r="H186" s="29" t="n">
        <f aca="false">SUMIFS('Outages (event ledger)'!$H$2:$H$65,'Outages (event ledger)'!$A$2:$A$65,H$2,'Outages (event ledger)'!$E$2:$E$65,"&lt;="&amp;$B186,'Outages (event ledger)'!$G$2:$G$65,"&gt;="&amp;$B186)</f>
        <v>0</v>
      </c>
      <c r="I186" s="29" t="n">
        <f aca="false">SUMIFS('Outages (event ledger)'!$H$2:$H$65,'Outages (event ledger)'!$A$2:$A$65,I$2,'Outages (event ledger)'!$E$2:$E$65,"&lt;="&amp;$B186,'Outages (event ledger)'!$G$2:$G$65,"&gt;="&amp;$B186)</f>
        <v>0</v>
      </c>
      <c r="J186" s="29" t="n">
        <f aca="false">SUMIFS('Outages (event ledger)'!$H$2:$H$65,'Outages (event ledger)'!$A$2:$A$65,J$2,'Outages (event ledger)'!$E$2:$E$65,"&lt;="&amp;$B186,'Outages (event ledger)'!$G$2:$G$65,"&gt;="&amp;$B186)</f>
        <v>0</v>
      </c>
      <c r="K186" s="29" t="n">
        <f aca="false">SUMIFS('Outages (event ledger)'!$H$2:$H$65,'Outages (event ledger)'!$A$2:$A$65,K$2,'Outages (event ledger)'!$E$2:$E$65,"&lt;="&amp;$B186,'Outages (event ledger)'!$G$2:$G$65,"&gt;="&amp;$B186)</f>
        <v>0</v>
      </c>
      <c r="L186" s="29" t="n">
        <f aca="false">SUMIFS('Outages (event ledger)'!$H$2:$H$65,'Outages (event ledger)'!$A$2:$A$65,L$2,'Outages (event ledger)'!$E$2:$E$65,"&lt;="&amp;$B186,'Outages (event ledger)'!$G$2:$G$65,"&gt;="&amp;$B186)</f>
        <v>0</v>
      </c>
      <c r="M186" s="29" t="n">
        <f aca="false">SUMIFS('Outages (event ledger)'!$H$2:$H$65,'Outages (event ledger)'!$A$2:$A$65,M$2,'Outages (event ledger)'!$E$2:$E$65,"&lt;="&amp;$B186,'Outages (event ledger)'!$G$2:$G$65,"&gt;="&amp;$B186)</f>
        <v>0</v>
      </c>
      <c r="N186" s="29" t="n">
        <f aca="false">SUMIFS('Outages (event ledger)'!$H$2:$H$65,'Outages (event ledger)'!$A$2:$A$65,N$2,'Outages (event ledger)'!$E$2:$E$65,"&lt;="&amp;$B186,'Outages (event ledger)'!$G$2:$G$65,"&gt;="&amp;$B186)</f>
        <v>0</v>
      </c>
      <c r="O186" s="29" t="n">
        <f aca="false">SUMIFS('Outages (event ledger)'!$H$2:$H$65,'Outages (event ledger)'!$A$2:$A$65,O$2,'Outages (event ledger)'!$E$2:$E$65,"&lt;="&amp;$B186,'Outages (event ledger)'!$G$2:$G$65,"&gt;="&amp;$B186)</f>
        <v>0</v>
      </c>
      <c r="P186" s="29" t="n">
        <f aca="false">SUMIFS('Outages (event ledger)'!$H$2:$H$65,'Outages (event ledger)'!$A$2:$A$65,P$2,'Outages (event ledger)'!$E$2:$E$65,"&lt;="&amp;$B186,'Outages (event ledger)'!$G$2:$G$65,"&gt;="&amp;$B186)</f>
        <v>0</v>
      </c>
      <c r="Q186" s="29" t="n">
        <f aca="false">SUMIFS('Outages (event ledger)'!$H$2:$H$65,'Outages (event ledger)'!$A$2:$A$65,Q$2,'Outages (event ledger)'!$E$2:$E$65,"&lt;="&amp;$B186,'Outages (event ledger)'!$G$2:$G$65,"&gt;="&amp;$B186)</f>
        <v>0</v>
      </c>
      <c r="R186" s="29" t="n">
        <f aca="false">SUMIFS('Outages (event ledger)'!$H$2:$H$65,'Outages (event ledger)'!$A$2:$A$65,R$2,'Outages (event ledger)'!$E$2:$E$65,"&lt;="&amp;$B186,'Outages (event ledger)'!$G$2:$G$65,"&gt;="&amp;$B186)</f>
        <v>0</v>
      </c>
      <c r="S186" s="29" t="n">
        <f aca="false">SUMIFS('Outages (event ledger)'!$H$2:$H$65,'Outages (event ledger)'!$A$2:$A$65,S$2,'Outages (event ledger)'!$E$2:$E$65,"&lt;="&amp;$B186,'Outages (event ledger)'!$G$2:$G$65,"&gt;="&amp;$B186)</f>
        <v>0</v>
      </c>
      <c r="T186" s="29" t="n">
        <f aca="false">SUMIFS('Outages (event ledger)'!$H$2:$H$65,'Outages (event ledger)'!$A$2:$A$65,T$2,'Outages (event ledger)'!$E$2:$E$65,"&lt;="&amp;$B186,'Outages (event ledger)'!$G$2:$G$65,"&gt;="&amp;$B186)</f>
        <v>0</v>
      </c>
      <c r="U186" s="29" t="n">
        <f aca="false">SUMIFS('Outages (event ledger)'!$H$2:$H$65,'Outages (event ledger)'!$A$2:$A$65,U$2,'Outages (event ledger)'!$E$2:$E$65,"&lt;="&amp;$B186,'Outages (event ledger)'!$G$2:$G$65,"&gt;="&amp;$B186)</f>
        <v>0</v>
      </c>
      <c r="V186" s="29" t="n">
        <f aca="false">SUMIFS('Outages (event ledger)'!$H$2:$H$65,'Outages (event ledger)'!$A$2:$A$65,V$2,'Outages (event ledger)'!$E$2:$E$65,"&lt;="&amp;$B186,'Outages (event ledger)'!$G$2:$G$65,"&gt;="&amp;$B186)</f>
        <v>0</v>
      </c>
      <c r="W186" s="29" t="n">
        <f aca="false">SUMIFS('Outages (event ledger)'!$H$2:$H$65,'Outages (event ledger)'!$A$2:$A$65,W$2,'Outages (event ledger)'!$E$2:$E$65,"&lt;="&amp;$B186,'Outages (event ledger)'!$G$2:$G$65,"&gt;="&amp;$B186)</f>
        <v>0</v>
      </c>
      <c r="X186" s="29" t="n">
        <f aca="false">SUMIFS('Outages (event ledger)'!$H$2:$H$65,'Outages (event ledger)'!$A$2:$A$65,X$2,'Outages (event ledger)'!$E$2:$E$65,"&lt;="&amp;$B186,'Outages (event ledger)'!$G$2:$G$65,"&gt;="&amp;$B186)</f>
        <v>0</v>
      </c>
      <c r="Y186" s="29" t="n">
        <f aca="false">SUMIFS('Outages (event ledger)'!$H$2:$H$65,'Outages (event ledger)'!$A$2:$A$65,Y$2,'Outages (event ledger)'!$E$2:$E$65,"&lt;="&amp;$B186,'Outages (event ledger)'!$G$2:$G$65,"&gt;="&amp;$B186)</f>
        <v>0</v>
      </c>
      <c r="Z186" s="29" t="n">
        <f aca="false">SUMIFS('Outages (event ledger)'!$H$2:$H$65,'Outages (event ledger)'!$A$2:$A$65,Z$2,'Outages (event ledger)'!$E$2:$E$65,"&lt;="&amp;$B186,'Outages (event ledger)'!$G$2:$G$65,"&gt;="&amp;$B186)</f>
        <v>0</v>
      </c>
      <c r="AA186" s="29" t="n">
        <f aca="false">SUMIFS('Outages (event ledger)'!$H$2:$H$65,'Outages (event ledger)'!$A$2:$A$65,AA$2,'Outages (event ledger)'!$E$2:$E$65,"&lt;="&amp;$B186,'Outages (event ledger)'!$G$2:$G$65,"&gt;="&amp;$B186)</f>
        <v>2</v>
      </c>
      <c r="AB186" s="29" t="n">
        <f aca="false">SUMIFS('Outages (event ledger)'!$H$2:$H$65,'Outages (event ledger)'!$A$2:$A$65,AB$2,'Outages (event ledger)'!$E$2:$E$65,"&lt;="&amp;$B186,'Outages (event ledger)'!$G$2:$G$65,"&gt;="&amp;$B186)</f>
        <v>8</v>
      </c>
      <c r="AC186" s="29" t="n">
        <f aca="false">SUMIFS('Outages (event ledger)'!$H$2:$H$65,'Outages (event ledger)'!$A$2:$A$65,AC$2,'Outages (event ledger)'!$E$2:$E$65,"&lt;="&amp;$B186,'Outages (event ledger)'!$G$2:$G$65,"&gt;="&amp;$B186)</f>
        <v>0</v>
      </c>
      <c r="AD186" s="29" t="n">
        <f aca="false">SUMIFS('Outages (event ledger)'!$H$2:$H$65,'Outages (event ledger)'!$A$2:$A$65,AD$2,'Outages (event ledger)'!$E$2:$E$65,"&lt;="&amp;$B186,'Outages (event ledger)'!$G$2:$G$65,"&gt;="&amp;$B186)</f>
        <v>0</v>
      </c>
      <c r="AE186" s="29" t="n">
        <f aca="false">SUMIFS('Outages (event ledger)'!$H$2:$H$65,'Outages (event ledger)'!$A$2:$A$65,AE$2,'Outages (event ledger)'!$E$2:$E$65,"&lt;="&amp;$B186,'Outages (event ledger)'!$G$2:$G$65,"&gt;="&amp;$B186)</f>
        <v>0.5</v>
      </c>
      <c r="AF186" s="29" t="n">
        <f aca="false">SUMIFS('Outages (event ledger)'!$H$2:$H$65,'Outages (event ledger)'!$A$2:$A$65,AF$2,'Outages (event ledger)'!$E$2:$E$65,"&lt;="&amp;$B186,'Outages (event ledger)'!$G$2:$G$65,"&gt;="&amp;$B186)</f>
        <v>0</v>
      </c>
      <c r="AG186" s="29" t="n">
        <f aca="false">SUMIFS('Outages (event ledger)'!$H$2:$H$65,'Outages (event ledger)'!$A$2:$A$65,AG$2,'Outages (event ledger)'!$E$2:$E$65,"&lt;="&amp;$B186,'Outages (event ledger)'!$G$2:$G$65,"&gt;="&amp;$B186)</f>
        <v>0</v>
      </c>
      <c r="AH186" s="29" t="n">
        <f aca="false">SUMIFS('Outages (event ledger)'!$H$2:$H$65,'Outages (event ledger)'!$A$2:$A$65,AH$2,'Outages (event ledger)'!$E$2:$E$65,"&lt;="&amp;$B186,'Outages (event ledger)'!$G$2:$G$65,"&gt;="&amp;$B186)</f>
        <v>0</v>
      </c>
      <c r="AI186" s="29" t="n">
        <f aca="false">SUMIFS('Outages (event ledger)'!$H$2:$H$65,'Outages (event ledger)'!$A$2:$A$65,AI$2,'Outages (event ledger)'!$E$2:$E$65,"&lt;="&amp;$B186,'Outages (event ledger)'!$G$2:$G$65,"&gt;="&amp;$B186)</f>
        <v>0</v>
      </c>
      <c r="AJ186" s="29" t="n">
        <f aca="false">SUMIFS('Outages (event ledger)'!$H$2:$H$65,'Outages (event ledger)'!$A$2:$A$65,AJ$2,'Outages (event ledger)'!$E$2:$E$65,"&lt;="&amp;$B186,'Outages (event ledger)'!$G$2:$G$65,"&gt;="&amp;$B186)</f>
        <v>0</v>
      </c>
      <c r="AK186" s="29" t="n">
        <f aca="false">SUMIFS('Outages (event ledger)'!$H$2:$H$65,'Outages (event ledger)'!$A$2:$A$65,AK$2,'Outages (event ledger)'!$E$2:$E$65,"&lt;="&amp;$B186,'Outages (event ledger)'!$G$2:$G$65,"&gt;="&amp;$B186)</f>
        <v>0</v>
      </c>
      <c r="AL186" s="29" t="n">
        <f aca="false">SUMIFS('Outages (event ledger)'!$H$2:$H$65,'Outages (event ledger)'!$A$2:$A$65,AL$2,'Outages (event ledger)'!$E$2:$E$65,"&lt;="&amp;$B186,'Outages (event ledger)'!$G$2:$G$65,"&gt;="&amp;$B186)</f>
        <v>0</v>
      </c>
      <c r="AM186" s="29" t="n">
        <f aca="false">SUMIFS('Outages (event ledger)'!$H$2:$H$65,'Outages (event ledger)'!$A$2:$A$65,AM$2,'Outages (event ledger)'!$E$2:$E$65,"&lt;="&amp;$B186,'Outages (event ledger)'!$G$2:$G$65,"&gt;="&amp;$B186)</f>
        <v>0</v>
      </c>
      <c r="AN186" s="29" t="n">
        <f aca="false">SUMIFS('Outages (event ledger)'!$H$2:$H$65,'Outages (event ledger)'!$A$2:$A$65,AN$2,'Outages (event ledger)'!$E$2:$E$65,"&lt;="&amp;$B186,'Outages (event ledger)'!$G$2:$G$65,"&gt;="&amp;$B186)</f>
        <v>0</v>
      </c>
      <c r="AO186" s="29" t="n">
        <f aca="false">SUMIFS('Outages (event ledger)'!$H$2:$H$65,'Outages (event ledger)'!$A$2:$A$65,AO$2,'Outages (event ledger)'!$E$2:$E$65,"&lt;="&amp;$B186,'Outages (event ledger)'!$G$2:$G$65,"&gt;="&amp;$B186)</f>
        <v>0</v>
      </c>
      <c r="AP186" s="29" t="n">
        <f aca="false">SUMIFS('Outages (event ledger)'!$H$2:$H$65,'Outages (event ledger)'!$A$2:$A$65,AP$2,'Outages (event ledger)'!$E$2:$E$65,"&lt;="&amp;$B186,'Outages (event ledger)'!$G$2:$G$65,"&gt;="&amp;$B186)</f>
        <v>0</v>
      </c>
      <c r="AQ186" s="29" t="n">
        <f aca="false">SUMIFS('Outages (event ledger)'!$H$2:$H$65,'Outages (event ledger)'!$A$2:$A$65,AQ$2,'Outages (event ledger)'!$E$2:$E$65,"&lt;="&amp;$B186,'Outages (event ledger)'!$G$2:$G$65,"&gt;="&amp;$B186)</f>
        <v>0</v>
      </c>
      <c r="AR186" s="29" t="n">
        <f aca="false">SUMIFS('Outages (event ledger)'!$H$2:$H$65,'Outages (event ledger)'!$A$2:$A$65,AR$2,'Outages (event ledger)'!$E$2:$E$65,"&lt;="&amp;$B186,'Outages (event ledger)'!$G$2:$G$65,"&gt;="&amp;$B186)</f>
        <v>0</v>
      </c>
      <c r="AS186" s="29" t="n">
        <f aca="false">SUMIFS('Outages (event ledger)'!$H$2:$H$65,'Outages (event ledger)'!$A$2:$A$65,AS$2,'Outages (event ledger)'!$E$2:$E$65,"&lt;="&amp;$B186,'Outages (event ledger)'!$G$2:$G$65,"&gt;="&amp;$B186)</f>
        <v>0</v>
      </c>
      <c r="AT186" s="29" t="n">
        <f aca="false">SUMIFS('Outages (event ledger)'!$H$2:$H$65,'Outages (event ledger)'!$A$2:$A$65,AT$2,'Outages (event ledger)'!$E$2:$E$65,"&lt;="&amp;$B186,'Outages (event ledger)'!$G$2:$G$65,"&gt;="&amp;$B186)</f>
        <v>0</v>
      </c>
      <c r="AU186" s="29" t="n">
        <f aca="false">SUMIFS('Outages (event ledger)'!$H$2:$H$65,'Outages (event ledger)'!$A$2:$A$65,AU$2,'Outages (event ledger)'!$E$2:$E$65,"&lt;="&amp;$B186,'Outages (event ledger)'!$G$2:$G$65,"&gt;="&amp;$B186)</f>
        <v>0</v>
      </c>
      <c r="AV186" s="29" t="n">
        <f aca="false">SUMIFS('Outages (event ledger)'!$H$2:$H$65,'Outages (event ledger)'!$A$2:$A$65,AV$2,'Outages (event ledger)'!$E$2:$E$65,"&lt;="&amp;$B186,'Outages (event ledger)'!$G$2:$G$65,"&gt;="&amp;$B186)</f>
        <v>0</v>
      </c>
      <c r="AW186" s="29" t="n">
        <f aca="false">SUMIFS('Outages (event ledger)'!$H$2:$H$65,'Outages (event ledger)'!$A$2:$A$65,AW$2,'Outages (event ledger)'!$E$2:$E$65,"&lt;="&amp;$B186,'Outages (event ledger)'!$G$2:$G$65,"&gt;="&amp;$B186)</f>
        <v>0</v>
      </c>
      <c r="AX186" s="29" t="n">
        <f aca="false">SUMIFS('Outages (event ledger)'!$H$2:$H$65,'Outages (event ledger)'!$A$2:$A$65,AX$2,'Outages (event ledger)'!$E$2:$E$65,"&lt;="&amp;$B186,'Outages (event ledger)'!$G$2:$G$65,"&gt;="&amp;$B186)</f>
        <v>6.6</v>
      </c>
      <c r="AY186" s="29" t="n">
        <f aca="false">SUMIFS('Outages (event ledger)'!$H$2:$H$65,'Outages (event ledger)'!$A$2:$A$65,AY$2,'Outages (event ledger)'!$E$2:$E$65,"&lt;="&amp;$B186,'Outages (event ledger)'!$G$2:$G$65,"&gt;="&amp;$B186)</f>
        <v>0</v>
      </c>
      <c r="AZ186" s="29" t="n">
        <f aca="false">SUMIFS('Outages (event ledger)'!$H$2:$H$65,'Outages (event ledger)'!$A$2:$A$65,AZ$2,'Outages (event ledger)'!$E$2:$E$65,"&lt;="&amp;$B186,'Outages (event ledger)'!$G$2:$G$65,"&gt;="&amp;$B186)</f>
        <v>0</v>
      </c>
      <c r="BA186" s="29" t="n">
        <f aca="false">SUMIFS('Outages (event ledger)'!$H$2:$H$65,'Outages (event ledger)'!$A$2:$A$65,BA$2,'Outages (event ledger)'!$E$2:$E$65,"&lt;="&amp;$B186,'Outages (event ledger)'!$G$2:$G$65,"&gt;="&amp;$B186)</f>
        <v>0</v>
      </c>
      <c r="BB186" s="29" t="n">
        <f aca="false">SUMIFS('Outages (event ledger)'!$H$2:$H$65,'Outages (event ledger)'!$A$2:$A$65,BB$2,'Outages (event ledger)'!$E$2:$E$65,"&lt;="&amp;$B186,'Outages (event ledger)'!$G$2:$G$65,"&gt;="&amp;$B186)</f>
        <v>0</v>
      </c>
      <c r="BC186" s="29" t="n">
        <f aca="false">SUMIFS('Outages (event ledger)'!$H$2:$H$65,'Outages (event ledger)'!$A$2:$A$65,BC$2,'Outages (event ledger)'!$E$2:$E$65,"&lt;="&amp;$B186,'Outages (event ledger)'!$G$2:$G$65,"&gt;="&amp;$B186)</f>
        <v>0</v>
      </c>
      <c r="BD186" s="29" t="n">
        <f aca="false">SUMIFS('Outages (event ledger)'!$H$2:$H$65,'Outages (event ledger)'!$A$2:$A$65,BD$2,'Outages (event ledger)'!$E$2:$E$65,"&lt;="&amp;$B186,'Outages (event ledger)'!$G$2:$G$65,"&gt;="&amp;$B186)</f>
        <v>0</v>
      </c>
      <c r="BE186" s="29" t="n">
        <f aca="false">SUMIFS('Outages (event ledger)'!$H$2:$H$65,'Outages (event ledger)'!$A$2:$A$65,BE$2,'Outages (event ledger)'!$E$2:$E$65,"&lt;="&amp;$B186,'Outages (event ledger)'!$G$2:$G$65,"&gt;="&amp;$B186)</f>
        <v>0</v>
      </c>
      <c r="BF186" s="29" t="n">
        <f aca="false">SUMIFS('Outages (event ledger)'!$H$2:$H$65,'Outages (event ledger)'!$A$2:$A$65,BF$2,'Outages (event ledger)'!$E$2:$E$65,"&lt;="&amp;$B186,'Outages (event ledger)'!$G$2:$G$65,"&gt;="&amp;$B186)</f>
        <v>0</v>
      </c>
      <c r="BG186" s="29" t="n">
        <f aca="false">SUMIFS('Outages (event ledger)'!$H$2:$H$65,'Outages (event ledger)'!$A$2:$A$65,BG$2,'Outages (event ledger)'!$E$2:$E$65,"&lt;="&amp;$B186,'Outages (event ledger)'!$G$2:$G$65,"&gt;="&amp;$B186)</f>
        <v>0</v>
      </c>
      <c r="BH186" s="29" t="n">
        <f aca="false">SUMIFS('Outages (event ledger)'!$H$2:$H$65,'Outages (event ledger)'!$A$2:$A$65,BH$2,'Outages (event ledger)'!$E$2:$E$65,"&lt;="&amp;$B186,'Outages (event ledger)'!$G$2:$G$65,"&gt;="&amp;$B186)</f>
        <v>0</v>
      </c>
      <c r="BI186" s="29" t="n">
        <f aca="false">SUMIFS('Outages (event ledger)'!$H$2:$H$65,'Outages (event ledger)'!$A$2:$A$65,BI$2,'Outages (event ledger)'!$E$2:$E$65,"&lt;="&amp;$B186,'Outages (event ledger)'!$G$2:$G$65,"&gt;="&amp;$B186)</f>
        <v>6.7</v>
      </c>
    </row>
    <row r="187" customFormat="false" ht="15" hidden="false" customHeight="false" outlineLevel="0" collapsed="false">
      <c r="A187" s="27" t="n">
        <v>45778</v>
      </c>
      <c r="B187" s="28" t="n">
        <v>202505</v>
      </c>
      <c r="C187" s="25" t="n">
        <f aca="false">SUM(D187:BI187)</f>
        <v>23.3</v>
      </c>
      <c r="D187" s="29" t="n">
        <f aca="false">SUMIFS('Outages (event ledger)'!$H$2:$H$65,'Outages (event ledger)'!$A$2:$A$65,D$2,'Outages (event ledger)'!$E$2:$E$65,"&lt;="&amp;$B187,'Outages (event ledger)'!$G$2:$G$65,"&gt;="&amp;$B187)</f>
        <v>0</v>
      </c>
      <c r="E187" s="29" t="n">
        <f aca="false">SUMIFS('Outages (event ledger)'!$H$2:$H$65,'Outages (event ledger)'!$A$2:$A$65,E$2,'Outages (event ledger)'!$E$2:$E$65,"&lt;="&amp;$B187,'Outages (event ledger)'!$G$2:$G$65,"&gt;="&amp;$B187)</f>
        <v>0</v>
      </c>
      <c r="F187" s="29" t="n">
        <f aca="false">SUMIFS('Outages (event ledger)'!$H$2:$H$65,'Outages (event ledger)'!$A$2:$A$65,F$2,'Outages (event ledger)'!$E$2:$E$65,"&lt;="&amp;$B187,'Outages (event ledger)'!$G$2:$G$65,"&gt;="&amp;$B187)</f>
        <v>0</v>
      </c>
      <c r="G187" s="29" t="n">
        <f aca="false">SUMIFS('Outages (event ledger)'!$H$2:$H$65,'Outages (event ledger)'!$A$2:$A$65,G$2,'Outages (event ledger)'!$E$2:$E$65,"&lt;="&amp;$B187,'Outages (event ledger)'!$G$2:$G$65,"&gt;="&amp;$B187)</f>
        <v>0</v>
      </c>
      <c r="H187" s="29" t="n">
        <f aca="false">SUMIFS('Outages (event ledger)'!$H$2:$H$65,'Outages (event ledger)'!$A$2:$A$65,H$2,'Outages (event ledger)'!$E$2:$E$65,"&lt;="&amp;$B187,'Outages (event ledger)'!$G$2:$G$65,"&gt;="&amp;$B187)</f>
        <v>0</v>
      </c>
      <c r="I187" s="29" t="n">
        <f aca="false">SUMIFS('Outages (event ledger)'!$H$2:$H$65,'Outages (event ledger)'!$A$2:$A$65,I$2,'Outages (event ledger)'!$E$2:$E$65,"&lt;="&amp;$B187,'Outages (event ledger)'!$G$2:$G$65,"&gt;="&amp;$B187)</f>
        <v>0</v>
      </c>
      <c r="J187" s="29" t="n">
        <f aca="false">SUMIFS('Outages (event ledger)'!$H$2:$H$65,'Outages (event ledger)'!$A$2:$A$65,J$2,'Outages (event ledger)'!$E$2:$E$65,"&lt;="&amp;$B187,'Outages (event ledger)'!$G$2:$G$65,"&gt;="&amp;$B187)</f>
        <v>0</v>
      </c>
      <c r="K187" s="29" t="n">
        <f aca="false">SUMIFS('Outages (event ledger)'!$H$2:$H$65,'Outages (event ledger)'!$A$2:$A$65,K$2,'Outages (event ledger)'!$E$2:$E$65,"&lt;="&amp;$B187,'Outages (event ledger)'!$G$2:$G$65,"&gt;="&amp;$B187)</f>
        <v>0</v>
      </c>
      <c r="L187" s="29" t="n">
        <f aca="false">SUMIFS('Outages (event ledger)'!$H$2:$H$65,'Outages (event ledger)'!$A$2:$A$65,L$2,'Outages (event ledger)'!$E$2:$E$65,"&lt;="&amp;$B187,'Outages (event ledger)'!$G$2:$G$65,"&gt;="&amp;$B187)</f>
        <v>0</v>
      </c>
      <c r="M187" s="29" t="n">
        <f aca="false">SUMIFS('Outages (event ledger)'!$H$2:$H$65,'Outages (event ledger)'!$A$2:$A$65,M$2,'Outages (event ledger)'!$E$2:$E$65,"&lt;="&amp;$B187,'Outages (event ledger)'!$G$2:$G$65,"&gt;="&amp;$B187)</f>
        <v>0</v>
      </c>
      <c r="N187" s="29" t="n">
        <f aca="false">SUMIFS('Outages (event ledger)'!$H$2:$H$65,'Outages (event ledger)'!$A$2:$A$65,N$2,'Outages (event ledger)'!$E$2:$E$65,"&lt;="&amp;$B187,'Outages (event ledger)'!$G$2:$G$65,"&gt;="&amp;$B187)</f>
        <v>0</v>
      </c>
      <c r="O187" s="29" t="n">
        <f aca="false">SUMIFS('Outages (event ledger)'!$H$2:$H$65,'Outages (event ledger)'!$A$2:$A$65,O$2,'Outages (event ledger)'!$E$2:$E$65,"&lt;="&amp;$B187,'Outages (event ledger)'!$G$2:$G$65,"&gt;="&amp;$B187)</f>
        <v>0</v>
      </c>
      <c r="P187" s="29" t="n">
        <f aca="false">SUMIFS('Outages (event ledger)'!$H$2:$H$65,'Outages (event ledger)'!$A$2:$A$65,P$2,'Outages (event ledger)'!$E$2:$E$65,"&lt;="&amp;$B187,'Outages (event ledger)'!$G$2:$G$65,"&gt;="&amp;$B187)</f>
        <v>0</v>
      </c>
      <c r="Q187" s="29" t="n">
        <f aca="false">SUMIFS('Outages (event ledger)'!$H$2:$H$65,'Outages (event ledger)'!$A$2:$A$65,Q$2,'Outages (event ledger)'!$E$2:$E$65,"&lt;="&amp;$B187,'Outages (event ledger)'!$G$2:$G$65,"&gt;="&amp;$B187)</f>
        <v>0</v>
      </c>
      <c r="R187" s="29" t="n">
        <f aca="false">SUMIFS('Outages (event ledger)'!$H$2:$H$65,'Outages (event ledger)'!$A$2:$A$65,R$2,'Outages (event ledger)'!$E$2:$E$65,"&lt;="&amp;$B187,'Outages (event ledger)'!$G$2:$G$65,"&gt;="&amp;$B187)</f>
        <v>0</v>
      </c>
      <c r="S187" s="29" t="n">
        <f aca="false">SUMIFS('Outages (event ledger)'!$H$2:$H$65,'Outages (event ledger)'!$A$2:$A$65,S$2,'Outages (event ledger)'!$E$2:$E$65,"&lt;="&amp;$B187,'Outages (event ledger)'!$G$2:$G$65,"&gt;="&amp;$B187)</f>
        <v>0</v>
      </c>
      <c r="T187" s="29" t="n">
        <f aca="false">SUMIFS('Outages (event ledger)'!$H$2:$H$65,'Outages (event ledger)'!$A$2:$A$65,T$2,'Outages (event ledger)'!$E$2:$E$65,"&lt;="&amp;$B187,'Outages (event ledger)'!$G$2:$G$65,"&gt;="&amp;$B187)</f>
        <v>0</v>
      </c>
      <c r="U187" s="29" t="n">
        <f aca="false">SUMIFS('Outages (event ledger)'!$H$2:$H$65,'Outages (event ledger)'!$A$2:$A$65,U$2,'Outages (event ledger)'!$E$2:$E$65,"&lt;="&amp;$B187,'Outages (event ledger)'!$G$2:$G$65,"&gt;="&amp;$B187)</f>
        <v>0</v>
      </c>
      <c r="V187" s="29" t="n">
        <f aca="false">SUMIFS('Outages (event ledger)'!$H$2:$H$65,'Outages (event ledger)'!$A$2:$A$65,V$2,'Outages (event ledger)'!$E$2:$E$65,"&lt;="&amp;$B187,'Outages (event ledger)'!$G$2:$G$65,"&gt;="&amp;$B187)</f>
        <v>0</v>
      </c>
      <c r="W187" s="29" t="n">
        <f aca="false">SUMIFS('Outages (event ledger)'!$H$2:$H$65,'Outages (event ledger)'!$A$2:$A$65,W$2,'Outages (event ledger)'!$E$2:$E$65,"&lt;="&amp;$B187,'Outages (event ledger)'!$G$2:$G$65,"&gt;="&amp;$B187)</f>
        <v>0</v>
      </c>
      <c r="X187" s="29" t="n">
        <f aca="false">SUMIFS('Outages (event ledger)'!$H$2:$H$65,'Outages (event ledger)'!$A$2:$A$65,X$2,'Outages (event ledger)'!$E$2:$E$65,"&lt;="&amp;$B187,'Outages (event ledger)'!$G$2:$G$65,"&gt;="&amp;$B187)</f>
        <v>0</v>
      </c>
      <c r="Y187" s="29" t="n">
        <f aca="false">SUMIFS('Outages (event ledger)'!$H$2:$H$65,'Outages (event ledger)'!$A$2:$A$65,Y$2,'Outages (event ledger)'!$E$2:$E$65,"&lt;="&amp;$B187,'Outages (event ledger)'!$G$2:$G$65,"&gt;="&amp;$B187)</f>
        <v>0</v>
      </c>
      <c r="Z187" s="29" t="n">
        <f aca="false">SUMIFS('Outages (event ledger)'!$H$2:$H$65,'Outages (event ledger)'!$A$2:$A$65,Z$2,'Outages (event ledger)'!$E$2:$E$65,"&lt;="&amp;$B187,'Outages (event ledger)'!$G$2:$G$65,"&gt;="&amp;$B187)</f>
        <v>0</v>
      </c>
      <c r="AA187" s="29" t="n">
        <f aca="false">SUMIFS('Outages (event ledger)'!$H$2:$H$65,'Outages (event ledger)'!$A$2:$A$65,AA$2,'Outages (event ledger)'!$E$2:$E$65,"&lt;="&amp;$B187,'Outages (event ledger)'!$G$2:$G$65,"&gt;="&amp;$B187)</f>
        <v>2</v>
      </c>
      <c r="AB187" s="29" t="n">
        <f aca="false">SUMIFS('Outages (event ledger)'!$H$2:$H$65,'Outages (event ledger)'!$A$2:$A$65,AB$2,'Outages (event ledger)'!$E$2:$E$65,"&lt;="&amp;$B187,'Outages (event ledger)'!$G$2:$G$65,"&gt;="&amp;$B187)</f>
        <v>8</v>
      </c>
      <c r="AC187" s="29" t="n">
        <f aca="false">SUMIFS('Outages (event ledger)'!$H$2:$H$65,'Outages (event ledger)'!$A$2:$A$65,AC$2,'Outages (event ledger)'!$E$2:$E$65,"&lt;="&amp;$B187,'Outages (event ledger)'!$G$2:$G$65,"&gt;="&amp;$B187)</f>
        <v>0</v>
      </c>
      <c r="AD187" s="29" t="n">
        <f aca="false">SUMIFS('Outages (event ledger)'!$H$2:$H$65,'Outages (event ledger)'!$A$2:$A$65,AD$2,'Outages (event ledger)'!$E$2:$E$65,"&lt;="&amp;$B187,'Outages (event ledger)'!$G$2:$G$65,"&gt;="&amp;$B187)</f>
        <v>0</v>
      </c>
      <c r="AE187" s="29" t="n">
        <f aca="false">SUMIFS('Outages (event ledger)'!$H$2:$H$65,'Outages (event ledger)'!$A$2:$A$65,AE$2,'Outages (event ledger)'!$E$2:$E$65,"&lt;="&amp;$B187,'Outages (event ledger)'!$G$2:$G$65,"&gt;="&amp;$B187)</f>
        <v>0</v>
      </c>
      <c r="AF187" s="29" t="n">
        <f aca="false">SUMIFS('Outages (event ledger)'!$H$2:$H$65,'Outages (event ledger)'!$A$2:$A$65,AF$2,'Outages (event ledger)'!$E$2:$E$65,"&lt;="&amp;$B187,'Outages (event ledger)'!$G$2:$G$65,"&gt;="&amp;$B187)</f>
        <v>0</v>
      </c>
      <c r="AG187" s="29" t="n">
        <f aca="false">SUMIFS('Outages (event ledger)'!$H$2:$H$65,'Outages (event ledger)'!$A$2:$A$65,AG$2,'Outages (event ledger)'!$E$2:$E$65,"&lt;="&amp;$B187,'Outages (event ledger)'!$G$2:$G$65,"&gt;="&amp;$B187)</f>
        <v>0</v>
      </c>
      <c r="AH187" s="29" t="n">
        <f aca="false">SUMIFS('Outages (event ledger)'!$H$2:$H$65,'Outages (event ledger)'!$A$2:$A$65,AH$2,'Outages (event ledger)'!$E$2:$E$65,"&lt;="&amp;$B187,'Outages (event ledger)'!$G$2:$G$65,"&gt;="&amp;$B187)</f>
        <v>0</v>
      </c>
      <c r="AI187" s="29" t="n">
        <f aca="false">SUMIFS('Outages (event ledger)'!$H$2:$H$65,'Outages (event ledger)'!$A$2:$A$65,AI$2,'Outages (event ledger)'!$E$2:$E$65,"&lt;="&amp;$B187,'Outages (event ledger)'!$G$2:$G$65,"&gt;="&amp;$B187)</f>
        <v>0</v>
      </c>
      <c r="AJ187" s="29" t="n">
        <f aca="false">SUMIFS('Outages (event ledger)'!$H$2:$H$65,'Outages (event ledger)'!$A$2:$A$65,AJ$2,'Outages (event ledger)'!$E$2:$E$65,"&lt;="&amp;$B187,'Outages (event ledger)'!$G$2:$G$65,"&gt;="&amp;$B187)</f>
        <v>0</v>
      </c>
      <c r="AK187" s="29" t="n">
        <f aca="false">SUMIFS('Outages (event ledger)'!$H$2:$H$65,'Outages (event ledger)'!$A$2:$A$65,AK$2,'Outages (event ledger)'!$E$2:$E$65,"&lt;="&amp;$B187,'Outages (event ledger)'!$G$2:$G$65,"&gt;="&amp;$B187)</f>
        <v>0</v>
      </c>
      <c r="AL187" s="29" t="n">
        <f aca="false">SUMIFS('Outages (event ledger)'!$H$2:$H$65,'Outages (event ledger)'!$A$2:$A$65,AL$2,'Outages (event ledger)'!$E$2:$E$65,"&lt;="&amp;$B187,'Outages (event ledger)'!$G$2:$G$65,"&gt;="&amp;$B187)</f>
        <v>0</v>
      </c>
      <c r="AM187" s="29" t="n">
        <f aca="false">SUMIFS('Outages (event ledger)'!$H$2:$H$65,'Outages (event ledger)'!$A$2:$A$65,AM$2,'Outages (event ledger)'!$E$2:$E$65,"&lt;="&amp;$B187,'Outages (event ledger)'!$G$2:$G$65,"&gt;="&amp;$B187)</f>
        <v>0</v>
      </c>
      <c r="AN187" s="29" t="n">
        <f aca="false">SUMIFS('Outages (event ledger)'!$H$2:$H$65,'Outages (event ledger)'!$A$2:$A$65,AN$2,'Outages (event ledger)'!$E$2:$E$65,"&lt;="&amp;$B187,'Outages (event ledger)'!$G$2:$G$65,"&gt;="&amp;$B187)</f>
        <v>0</v>
      </c>
      <c r="AO187" s="29" t="n">
        <f aca="false">SUMIFS('Outages (event ledger)'!$H$2:$H$65,'Outages (event ledger)'!$A$2:$A$65,AO$2,'Outages (event ledger)'!$E$2:$E$65,"&lt;="&amp;$B187,'Outages (event ledger)'!$G$2:$G$65,"&gt;="&amp;$B187)</f>
        <v>0</v>
      </c>
      <c r="AP187" s="29" t="n">
        <f aca="false">SUMIFS('Outages (event ledger)'!$H$2:$H$65,'Outages (event ledger)'!$A$2:$A$65,AP$2,'Outages (event ledger)'!$E$2:$E$65,"&lt;="&amp;$B187,'Outages (event ledger)'!$G$2:$G$65,"&gt;="&amp;$B187)</f>
        <v>0</v>
      </c>
      <c r="AQ187" s="29" t="n">
        <f aca="false">SUMIFS('Outages (event ledger)'!$H$2:$H$65,'Outages (event ledger)'!$A$2:$A$65,AQ$2,'Outages (event ledger)'!$E$2:$E$65,"&lt;="&amp;$B187,'Outages (event ledger)'!$G$2:$G$65,"&gt;="&amp;$B187)</f>
        <v>0</v>
      </c>
      <c r="AR187" s="29" t="n">
        <f aca="false">SUMIFS('Outages (event ledger)'!$H$2:$H$65,'Outages (event ledger)'!$A$2:$A$65,AR$2,'Outages (event ledger)'!$E$2:$E$65,"&lt;="&amp;$B187,'Outages (event ledger)'!$G$2:$G$65,"&gt;="&amp;$B187)</f>
        <v>0</v>
      </c>
      <c r="AS187" s="29" t="n">
        <f aca="false">SUMIFS('Outages (event ledger)'!$H$2:$H$65,'Outages (event ledger)'!$A$2:$A$65,AS$2,'Outages (event ledger)'!$E$2:$E$65,"&lt;="&amp;$B187,'Outages (event ledger)'!$G$2:$G$65,"&gt;="&amp;$B187)</f>
        <v>0</v>
      </c>
      <c r="AT187" s="29" t="n">
        <f aca="false">SUMIFS('Outages (event ledger)'!$H$2:$H$65,'Outages (event ledger)'!$A$2:$A$65,AT$2,'Outages (event ledger)'!$E$2:$E$65,"&lt;="&amp;$B187,'Outages (event ledger)'!$G$2:$G$65,"&gt;="&amp;$B187)</f>
        <v>0</v>
      </c>
      <c r="AU187" s="29" t="n">
        <f aca="false">SUMIFS('Outages (event ledger)'!$H$2:$H$65,'Outages (event ledger)'!$A$2:$A$65,AU$2,'Outages (event ledger)'!$E$2:$E$65,"&lt;="&amp;$B187,'Outages (event ledger)'!$G$2:$G$65,"&gt;="&amp;$B187)</f>
        <v>0</v>
      </c>
      <c r="AV187" s="29" t="n">
        <f aca="false">SUMIFS('Outages (event ledger)'!$H$2:$H$65,'Outages (event ledger)'!$A$2:$A$65,AV$2,'Outages (event ledger)'!$E$2:$E$65,"&lt;="&amp;$B187,'Outages (event ledger)'!$G$2:$G$65,"&gt;="&amp;$B187)</f>
        <v>0</v>
      </c>
      <c r="AW187" s="29" t="n">
        <f aca="false">SUMIFS('Outages (event ledger)'!$H$2:$H$65,'Outages (event ledger)'!$A$2:$A$65,AW$2,'Outages (event ledger)'!$E$2:$E$65,"&lt;="&amp;$B187,'Outages (event ledger)'!$G$2:$G$65,"&gt;="&amp;$B187)</f>
        <v>0</v>
      </c>
      <c r="AX187" s="29" t="n">
        <f aca="false">SUMIFS('Outages (event ledger)'!$H$2:$H$65,'Outages (event ledger)'!$A$2:$A$65,AX$2,'Outages (event ledger)'!$E$2:$E$65,"&lt;="&amp;$B187,'Outages (event ledger)'!$G$2:$G$65,"&gt;="&amp;$B187)</f>
        <v>6.6</v>
      </c>
      <c r="AY187" s="29" t="n">
        <f aca="false">SUMIFS('Outages (event ledger)'!$H$2:$H$65,'Outages (event ledger)'!$A$2:$A$65,AY$2,'Outages (event ledger)'!$E$2:$E$65,"&lt;="&amp;$B187,'Outages (event ledger)'!$G$2:$G$65,"&gt;="&amp;$B187)</f>
        <v>0</v>
      </c>
      <c r="AZ187" s="29" t="n">
        <f aca="false">SUMIFS('Outages (event ledger)'!$H$2:$H$65,'Outages (event ledger)'!$A$2:$A$65,AZ$2,'Outages (event ledger)'!$E$2:$E$65,"&lt;="&amp;$B187,'Outages (event ledger)'!$G$2:$G$65,"&gt;="&amp;$B187)</f>
        <v>0</v>
      </c>
      <c r="BA187" s="29" t="n">
        <f aca="false">SUMIFS('Outages (event ledger)'!$H$2:$H$65,'Outages (event ledger)'!$A$2:$A$65,BA$2,'Outages (event ledger)'!$E$2:$E$65,"&lt;="&amp;$B187,'Outages (event ledger)'!$G$2:$G$65,"&gt;="&amp;$B187)</f>
        <v>0</v>
      </c>
      <c r="BB187" s="29" t="n">
        <f aca="false">SUMIFS('Outages (event ledger)'!$H$2:$H$65,'Outages (event ledger)'!$A$2:$A$65,BB$2,'Outages (event ledger)'!$E$2:$E$65,"&lt;="&amp;$B187,'Outages (event ledger)'!$G$2:$G$65,"&gt;="&amp;$B187)</f>
        <v>0</v>
      </c>
      <c r="BC187" s="29" t="n">
        <f aca="false">SUMIFS('Outages (event ledger)'!$H$2:$H$65,'Outages (event ledger)'!$A$2:$A$65,BC$2,'Outages (event ledger)'!$E$2:$E$65,"&lt;="&amp;$B187,'Outages (event ledger)'!$G$2:$G$65,"&gt;="&amp;$B187)</f>
        <v>0</v>
      </c>
      <c r="BD187" s="29" t="n">
        <f aca="false">SUMIFS('Outages (event ledger)'!$H$2:$H$65,'Outages (event ledger)'!$A$2:$A$65,BD$2,'Outages (event ledger)'!$E$2:$E$65,"&lt;="&amp;$B187,'Outages (event ledger)'!$G$2:$G$65,"&gt;="&amp;$B187)</f>
        <v>0</v>
      </c>
      <c r="BE187" s="29" t="n">
        <f aca="false">SUMIFS('Outages (event ledger)'!$H$2:$H$65,'Outages (event ledger)'!$A$2:$A$65,BE$2,'Outages (event ledger)'!$E$2:$E$65,"&lt;="&amp;$B187,'Outages (event ledger)'!$G$2:$G$65,"&gt;="&amp;$B187)</f>
        <v>0</v>
      </c>
      <c r="BF187" s="29" t="n">
        <f aca="false">SUMIFS('Outages (event ledger)'!$H$2:$H$65,'Outages (event ledger)'!$A$2:$A$65,BF$2,'Outages (event ledger)'!$E$2:$E$65,"&lt;="&amp;$B187,'Outages (event ledger)'!$G$2:$G$65,"&gt;="&amp;$B187)</f>
        <v>0</v>
      </c>
      <c r="BG187" s="29" t="n">
        <f aca="false">SUMIFS('Outages (event ledger)'!$H$2:$H$65,'Outages (event ledger)'!$A$2:$A$65,BG$2,'Outages (event ledger)'!$E$2:$E$65,"&lt;="&amp;$B187,'Outages (event ledger)'!$G$2:$G$65,"&gt;="&amp;$B187)</f>
        <v>0</v>
      </c>
      <c r="BH187" s="29" t="n">
        <f aca="false">SUMIFS('Outages (event ledger)'!$H$2:$H$65,'Outages (event ledger)'!$A$2:$A$65,BH$2,'Outages (event ledger)'!$E$2:$E$65,"&lt;="&amp;$B187,'Outages (event ledger)'!$G$2:$G$65,"&gt;="&amp;$B187)</f>
        <v>0</v>
      </c>
      <c r="BI187" s="29" t="n">
        <f aca="false">SUMIFS('Outages (event ledger)'!$H$2:$H$65,'Outages (event ledger)'!$A$2:$A$65,BI$2,'Outages (event ledger)'!$E$2:$E$65,"&lt;="&amp;$B187,'Outages (event ledger)'!$G$2:$G$65,"&gt;="&amp;$B187)</f>
        <v>6.7</v>
      </c>
    </row>
    <row r="188" customFormat="false" ht="15" hidden="false" customHeight="false" outlineLevel="0" collapsed="false">
      <c r="A188" s="27" t="n">
        <v>45809</v>
      </c>
      <c r="B188" s="28" t="n">
        <v>202506</v>
      </c>
      <c r="C188" s="25" t="n">
        <f aca="false">SUM(D188:BI188)</f>
        <v>23.3</v>
      </c>
      <c r="D188" s="29" t="n">
        <f aca="false">SUMIFS('Outages (event ledger)'!$H$2:$H$65,'Outages (event ledger)'!$A$2:$A$65,D$2,'Outages (event ledger)'!$E$2:$E$65,"&lt;="&amp;$B188,'Outages (event ledger)'!$G$2:$G$65,"&gt;="&amp;$B188)</f>
        <v>0</v>
      </c>
      <c r="E188" s="29" t="n">
        <f aca="false">SUMIFS('Outages (event ledger)'!$H$2:$H$65,'Outages (event ledger)'!$A$2:$A$65,E$2,'Outages (event ledger)'!$E$2:$E$65,"&lt;="&amp;$B188,'Outages (event ledger)'!$G$2:$G$65,"&gt;="&amp;$B188)</f>
        <v>0</v>
      </c>
      <c r="F188" s="29" t="n">
        <f aca="false">SUMIFS('Outages (event ledger)'!$H$2:$H$65,'Outages (event ledger)'!$A$2:$A$65,F$2,'Outages (event ledger)'!$E$2:$E$65,"&lt;="&amp;$B188,'Outages (event ledger)'!$G$2:$G$65,"&gt;="&amp;$B188)</f>
        <v>0</v>
      </c>
      <c r="G188" s="29" t="n">
        <f aca="false">SUMIFS('Outages (event ledger)'!$H$2:$H$65,'Outages (event ledger)'!$A$2:$A$65,G$2,'Outages (event ledger)'!$E$2:$E$65,"&lt;="&amp;$B188,'Outages (event ledger)'!$G$2:$G$65,"&gt;="&amp;$B188)</f>
        <v>0</v>
      </c>
      <c r="H188" s="29" t="n">
        <f aca="false">SUMIFS('Outages (event ledger)'!$H$2:$H$65,'Outages (event ledger)'!$A$2:$A$65,H$2,'Outages (event ledger)'!$E$2:$E$65,"&lt;="&amp;$B188,'Outages (event ledger)'!$G$2:$G$65,"&gt;="&amp;$B188)</f>
        <v>0</v>
      </c>
      <c r="I188" s="29" t="n">
        <f aca="false">SUMIFS('Outages (event ledger)'!$H$2:$H$65,'Outages (event ledger)'!$A$2:$A$65,I$2,'Outages (event ledger)'!$E$2:$E$65,"&lt;="&amp;$B188,'Outages (event ledger)'!$G$2:$G$65,"&gt;="&amp;$B188)</f>
        <v>0</v>
      </c>
      <c r="J188" s="29" t="n">
        <f aca="false">SUMIFS('Outages (event ledger)'!$H$2:$H$65,'Outages (event ledger)'!$A$2:$A$65,J$2,'Outages (event ledger)'!$E$2:$E$65,"&lt;="&amp;$B188,'Outages (event ledger)'!$G$2:$G$65,"&gt;="&amp;$B188)</f>
        <v>0</v>
      </c>
      <c r="K188" s="29" t="n">
        <f aca="false">SUMIFS('Outages (event ledger)'!$H$2:$H$65,'Outages (event ledger)'!$A$2:$A$65,K$2,'Outages (event ledger)'!$E$2:$E$65,"&lt;="&amp;$B188,'Outages (event ledger)'!$G$2:$G$65,"&gt;="&amp;$B188)</f>
        <v>0</v>
      </c>
      <c r="L188" s="29" t="n">
        <f aca="false">SUMIFS('Outages (event ledger)'!$H$2:$H$65,'Outages (event ledger)'!$A$2:$A$65,L$2,'Outages (event ledger)'!$E$2:$E$65,"&lt;="&amp;$B188,'Outages (event ledger)'!$G$2:$G$65,"&gt;="&amp;$B188)</f>
        <v>0</v>
      </c>
      <c r="M188" s="29" t="n">
        <f aca="false">SUMIFS('Outages (event ledger)'!$H$2:$H$65,'Outages (event ledger)'!$A$2:$A$65,M$2,'Outages (event ledger)'!$E$2:$E$65,"&lt;="&amp;$B188,'Outages (event ledger)'!$G$2:$G$65,"&gt;="&amp;$B188)</f>
        <v>0</v>
      </c>
      <c r="N188" s="29" t="n">
        <f aca="false">SUMIFS('Outages (event ledger)'!$H$2:$H$65,'Outages (event ledger)'!$A$2:$A$65,N$2,'Outages (event ledger)'!$E$2:$E$65,"&lt;="&amp;$B188,'Outages (event ledger)'!$G$2:$G$65,"&gt;="&amp;$B188)</f>
        <v>0</v>
      </c>
      <c r="O188" s="29" t="n">
        <f aca="false">SUMIFS('Outages (event ledger)'!$H$2:$H$65,'Outages (event ledger)'!$A$2:$A$65,O$2,'Outages (event ledger)'!$E$2:$E$65,"&lt;="&amp;$B188,'Outages (event ledger)'!$G$2:$G$65,"&gt;="&amp;$B188)</f>
        <v>0</v>
      </c>
      <c r="P188" s="29" t="n">
        <f aca="false">SUMIFS('Outages (event ledger)'!$H$2:$H$65,'Outages (event ledger)'!$A$2:$A$65,P$2,'Outages (event ledger)'!$E$2:$E$65,"&lt;="&amp;$B188,'Outages (event ledger)'!$G$2:$G$65,"&gt;="&amp;$B188)</f>
        <v>0</v>
      </c>
      <c r="Q188" s="29" t="n">
        <f aca="false">SUMIFS('Outages (event ledger)'!$H$2:$H$65,'Outages (event ledger)'!$A$2:$A$65,Q$2,'Outages (event ledger)'!$E$2:$E$65,"&lt;="&amp;$B188,'Outages (event ledger)'!$G$2:$G$65,"&gt;="&amp;$B188)</f>
        <v>0</v>
      </c>
      <c r="R188" s="29" t="n">
        <f aca="false">SUMIFS('Outages (event ledger)'!$H$2:$H$65,'Outages (event ledger)'!$A$2:$A$65,R$2,'Outages (event ledger)'!$E$2:$E$65,"&lt;="&amp;$B188,'Outages (event ledger)'!$G$2:$G$65,"&gt;="&amp;$B188)</f>
        <v>0</v>
      </c>
      <c r="S188" s="29" t="n">
        <f aca="false">SUMIFS('Outages (event ledger)'!$H$2:$H$65,'Outages (event ledger)'!$A$2:$A$65,S$2,'Outages (event ledger)'!$E$2:$E$65,"&lt;="&amp;$B188,'Outages (event ledger)'!$G$2:$G$65,"&gt;="&amp;$B188)</f>
        <v>0</v>
      </c>
      <c r="T188" s="29" t="n">
        <f aca="false">SUMIFS('Outages (event ledger)'!$H$2:$H$65,'Outages (event ledger)'!$A$2:$A$65,T$2,'Outages (event ledger)'!$E$2:$E$65,"&lt;="&amp;$B188,'Outages (event ledger)'!$G$2:$G$65,"&gt;="&amp;$B188)</f>
        <v>0</v>
      </c>
      <c r="U188" s="29" t="n">
        <f aca="false">SUMIFS('Outages (event ledger)'!$H$2:$H$65,'Outages (event ledger)'!$A$2:$A$65,U$2,'Outages (event ledger)'!$E$2:$E$65,"&lt;="&amp;$B188,'Outages (event ledger)'!$G$2:$G$65,"&gt;="&amp;$B188)</f>
        <v>0</v>
      </c>
      <c r="V188" s="29" t="n">
        <f aca="false">SUMIFS('Outages (event ledger)'!$H$2:$H$65,'Outages (event ledger)'!$A$2:$A$65,V$2,'Outages (event ledger)'!$E$2:$E$65,"&lt;="&amp;$B188,'Outages (event ledger)'!$G$2:$G$65,"&gt;="&amp;$B188)</f>
        <v>0</v>
      </c>
      <c r="W188" s="29" t="n">
        <f aca="false">SUMIFS('Outages (event ledger)'!$H$2:$H$65,'Outages (event ledger)'!$A$2:$A$65,W$2,'Outages (event ledger)'!$E$2:$E$65,"&lt;="&amp;$B188,'Outages (event ledger)'!$G$2:$G$65,"&gt;="&amp;$B188)</f>
        <v>0</v>
      </c>
      <c r="X188" s="29" t="n">
        <f aca="false">SUMIFS('Outages (event ledger)'!$H$2:$H$65,'Outages (event ledger)'!$A$2:$A$65,X$2,'Outages (event ledger)'!$E$2:$E$65,"&lt;="&amp;$B188,'Outages (event ledger)'!$G$2:$G$65,"&gt;="&amp;$B188)</f>
        <v>0</v>
      </c>
      <c r="Y188" s="29" t="n">
        <f aca="false">SUMIFS('Outages (event ledger)'!$H$2:$H$65,'Outages (event ledger)'!$A$2:$A$65,Y$2,'Outages (event ledger)'!$E$2:$E$65,"&lt;="&amp;$B188,'Outages (event ledger)'!$G$2:$G$65,"&gt;="&amp;$B188)</f>
        <v>0</v>
      </c>
      <c r="Z188" s="29" t="n">
        <f aca="false">SUMIFS('Outages (event ledger)'!$H$2:$H$65,'Outages (event ledger)'!$A$2:$A$65,Z$2,'Outages (event ledger)'!$E$2:$E$65,"&lt;="&amp;$B188,'Outages (event ledger)'!$G$2:$G$65,"&gt;="&amp;$B188)</f>
        <v>0</v>
      </c>
      <c r="AA188" s="29" t="n">
        <f aca="false">SUMIFS('Outages (event ledger)'!$H$2:$H$65,'Outages (event ledger)'!$A$2:$A$65,AA$2,'Outages (event ledger)'!$E$2:$E$65,"&lt;="&amp;$B188,'Outages (event ledger)'!$G$2:$G$65,"&gt;="&amp;$B188)</f>
        <v>2</v>
      </c>
      <c r="AB188" s="29" t="n">
        <f aca="false">SUMIFS('Outages (event ledger)'!$H$2:$H$65,'Outages (event ledger)'!$A$2:$A$65,AB$2,'Outages (event ledger)'!$E$2:$E$65,"&lt;="&amp;$B188,'Outages (event ledger)'!$G$2:$G$65,"&gt;="&amp;$B188)</f>
        <v>8</v>
      </c>
      <c r="AC188" s="29" t="n">
        <f aca="false">SUMIFS('Outages (event ledger)'!$H$2:$H$65,'Outages (event ledger)'!$A$2:$A$65,AC$2,'Outages (event ledger)'!$E$2:$E$65,"&lt;="&amp;$B188,'Outages (event ledger)'!$G$2:$G$65,"&gt;="&amp;$B188)</f>
        <v>0</v>
      </c>
      <c r="AD188" s="29" t="n">
        <f aca="false">SUMIFS('Outages (event ledger)'!$H$2:$H$65,'Outages (event ledger)'!$A$2:$A$65,AD$2,'Outages (event ledger)'!$E$2:$E$65,"&lt;="&amp;$B188,'Outages (event ledger)'!$G$2:$G$65,"&gt;="&amp;$B188)</f>
        <v>0</v>
      </c>
      <c r="AE188" s="29" t="n">
        <f aca="false">SUMIFS('Outages (event ledger)'!$H$2:$H$65,'Outages (event ledger)'!$A$2:$A$65,AE$2,'Outages (event ledger)'!$E$2:$E$65,"&lt;="&amp;$B188,'Outages (event ledger)'!$G$2:$G$65,"&gt;="&amp;$B188)</f>
        <v>0</v>
      </c>
      <c r="AF188" s="29" t="n">
        <f aca="false">SUMIFS('Outages (event ledger)'!$H$2:$H$65,'Outages (event ledger)'!$A$2:$A$65,AF$2,'Outages (event ledger)'!$E$2:$E$65,"&lt;="&amp;$B188,'Outages (event ledger)'!$G$2:$G$65,"&gt;="&amp;$B188)</f>
        <v>0</v>
      </c>
      <c r="AG188" s="29" t="n">
        <f aca="false">SUMIFS('Outages (event ledger)'!$H$2:$H$65,'Outages (event ledger)'!$A$2:$A$65,AG$2,'Outages (event ledger)'!$E$2:$E$65,"&lt;="&amp;$B188,'Outages (event ledger)'!$G$2:$G$65,"&gt;="&amp;$B188)</f>
        <v>0</v>
      </c>
      <c r="AH188" s="29" t="n">
        <f aca="false">SUMIFS('Outages (event ledger)'!$H$2:$H$65,'Outages (event ledger)'!$A$2:$A$65,AH$2,'Outages (event ledger)'!$E$2:$E$65,"&lt;="&amp;$B188,'Outages (event ledger)'!$G$2:$G$65,"&gt;="&amp;$B188)</f>
        <v>0</v>
      </c>
      <c r="AI188" s="29" t="n">
        <f aca="false">SUMIFS('Outages (event ledger)'!$H$2:$H$65,'Outages (event ledger)'!$A$2:$A$65,AI$2,'Outages (event ledger)'!$E$2:$E$65,"&lt;="&amp;$B188,'Outages (event ledger)'!$G$2:$G$65,"&gt;="&amp;$B188)</f>
        <v>0</v>
      </c>
      <c r="AJ188" s="29" t="n">
        <f aca="false">SUMIFS('Outages (event ledger)'!$H$2:$H$65,'Outages (event ledger)'!$A$2:$A$65,AJ$2,'Outages (event ledger)'!$E$2:$E$65,"&lt;="&amp;$B188,'Outages (event ledger)'!$G$2:$G$65,"&gt;="&amp;$B188)</f>
        <v>0</v>
      </c>
      <c r="AK188" s="29" t="n">
        <f aca="false">SUMIFS('Outages (event ledger)'!$H$2:$H$65,'Outages (event ledger)'!$A$2:$A$65,AK$2,'Outages (event ledger)'!$E$2:$E$65,"&lt;="&amp;$B188,'Outages (event ledger)'!$G$2:$G$65,"&gt;="&amp;$B188)</f>
        <v>0</v>
      </c>
      <c r="AL188" s="29" t="n">
        <f aca="false">SUMIFS('Outages (event ledger)'!$H$2:$H$65,'Outages (event ledger)'!$A$2:$A$65,AL$2,'Outages (event ledger)'!$E$2:$E$65,"&lt;="&amp;$B188,'Outages (event ledger)'!$G$2:$G$65,"&gt;="&amp;$B188)</f>
        <v>0</v>
      </c>
      <c r="AM188" s="29" t="n">
        <f aca="false">SUMIFS('Outages (event ledger)'!$H$2:$H$65,'Outages (event ledger)'!$A$2:$A$65,AM$2,'Outages (event ledger)'!$E$2:$E$65,"&lt;="&amp;$B188,'Outages (event ledger)'!$G$2:$G$65,"&gt;="&amp;$B188)</f>
        <v>0</v>
      </c>
      <c r="AN188" s="29" t="n">
        <f aca="false">SUMIFS('Outages (event ledger)'!$H$2:$H$65,'Outages (event ledger)'!$A$2:$A$65,AN$2,'Outages (event ledger)'!$E$2:$E$65,"&lt;="&amp;$B188,'Outages (event ledger)'!$G$2:$G$65,"&gt;="&amp;$B188)</f>
        <v>0</v>
      </c>
      <c r="AO188" s="29" t="n">
        <f aca="false">SUMIFS('Outages (event ledger)'!$H$2:$H$65,'Outages (event ledger)'!$A$2:$A$65,AO$2,'Outages (event ledger)'!$E$2:$E$65,"&lt;="&amp;$B188,'Outages (event ledger)'!$G$2:$G$65,"&gt;="&amp;$B188)</f>
        <v>0</v>
      </c>
      <c r="AP188" s="29" t="n">
        <f aca="false">SUMIFS('Outages (event ledger)'!$H$2:$H$65,'Outages (event ledger)'!$A$2:$A$65,AP$2,'Outages (event ledger)'!$E$2:$E$65,"&lt;="&amp;$B188,'Outages (event ledger)'!$G$2:$G$65,"&gt;="&amp;$B188)</f>
        <v>0</v>
      </c>
      <c r="AQ188" s="29" t="n">
        <f aca="false">SUMIFS('Outages (event ledger)'!$H$2:$H$65,'Outages (event ledger)'!$A$2:$A$65,AQ$2,'Outages (event ledger)'!$E$2:$E$65,"&lt;="&amp;$B188,'Outages (event ledger)'!$G$2:$G$65,"&gt;="&amp;$B188)</f>
        <v>0</v>
      </c>
      <c r="AR188" s="29" t="n">
        <f aca="false">SUMIFS('Outages (event ledger)'!$H$2:$H$65,'Outages (event ledger)'!$A$2:$A$65,AR$2,'Outages (event ledger)'!$E$2:$E$65,"&lt;="&amp;$B188,'Outages (event ledger)'!$G$2:$G$65,"&gt;="&amp;$B188)</f>
        <v>0</v>
      </c>
      <c r="AS188" s="29" t="n">
        <f aca="false">SUMIFS('Outages (event ledger)'!$H$2:$H$65,'Outages (event ledger)'!$A$2:$A$65,AS$2,'Outages (event ledger)'!$E$2:$E$65,"&lt;="&amp;$B188,'Outages (event ledger)'!$G$2:$G$65,"&gt;="&amp;$B188)</f>
        <v>0</v>
      </c>
      <c r="AT188" s="29" t="n">
        <f aca="false">SUMIFS('Outages (event ledger)'!$H$2:$H$65,'Outages (event ledger)'!$A$2:$A$65,AT$2,'Outages (event ledger)'!$E$2:$E$65,"&lt;="&amp;$B188,'Outages (event ledger)'!$G$2:$G$65,"&gt;="&amp;$B188)</f>
        <v>0</v>
      </c>
      <c r="AU188" s="29" t="n">
        <f aca="false">SUMIFS('Outages (event ledger)'!$H$2:$H$65,'Outages (event ledger)'!$A$2:$A$65,AU$2,'Outages (event ledger)'!$E$2:$E$65,"&lt;="&amp;$B188,'Outages (event ledger)'!$G$2:$G$65,"&gt;="&amp;$B188)</f>
        <v>0</v>
      </c>
      <c r="AV188" s="29" t="n">
        <f aca="false">SUMIFS('Outages (event ledger)'!$H$2:$H$65,'Outages (event ledger)'!$A$2:$A$65,AV$2,'Outages (event ledger)'!$E$2:$E$65,"&lt;="&amp;$B188,'Outages (event ledger)'!$G$2:$G$65,"&gt;="&amp;$B188)</f>
        <v>0</v>
      </c>
      <c r="AW188" s="29" t="n">
        <f aca="false">SUMIFS('Outages (event ledger)'!$H$2:$H$65,'Outages (event ledger)'!$A$2:$A$65,AW$2,'Outages (event ledger)'!$E$2:$E$65,"&lt;="&amp;$B188,'Outages (event ledger)'!$G$2:$G$65,"&gt;="&amp;$B188)</f>
        <v>0</v>
      </c>
      <c r="AX188" s="29" t="n">
        <f aca="false">SUMIFS('Outages (event ledger)'!$H$2:$H$65,'Outages (event ledger)'!$A$2:$A$65,AX$2,'Outages (event ledger)'!$E$2:$E$65,"&lt;="&amp;$B188,'Outages (event ledger)'!$G$2:$G$65,"&gt;="&amp;$B188)</f>
        <v>6.6</v>
      </c>
      <c r="AY188" s="29" t="n">
        <f aca="false">SUMIFS('Outages (event ledger)'!$H$2:$H$65,'Outages (event ledger)'!$A$2:$A$65,AY$2,'Outages (event ledger)'!$E$2:$E$65,"&lt;="&amp;$B188,'Outages (event ledger)'!$G$2:$G$65,"&gt;="&amp;$B188)</f>
        <v>0</v>
      </c>
      <c r="AZ188" s="29" t="n">
        <f aca="false">SUMIFS('Outages (event ledger)'!$H$2:$H$65,'Outages (event ledger)'!$A$2:$A$65,AZ$2,'Outages (event ledger)'!$E$2:$E$65,"&lt;="&amp;$B188,'Outages (event ledger)'!$G$2:$G$65,"&gt;="&amp;$B188)</f>
        <v>0</v>
      </c>
      <c r="BA188" s="29" t="n">
        <f aca="false">SUMIFS('Outages (event ledger)'!$H$2:$H$65,'Outages (event ledger)'!$A$2:$A$65,BA$2,'Outages (event ledger)'!$E$2:$E$65,"&lt;="&amp;$B188,'Outages (event ledger)'!$G$2:$G$65,"&gt;="&amp;$B188)</f>
        <v>0</v>
      </c>
      <c r="BB188" s="29" t="n">
        <f aca="false">SUMIFS('Outages (event ledger)'!$H$2:$H$65,'Outages (event ledger)'!$A$2:$A$65,BB$2,'Outages (event ledger)'!$E$2:$E$65,"&lt;="&amp;$B188,'Outages (event ledger)'!$G$2:$G$65,"&gt;="&amp;$B188)</f>
        <v>0</v>
      </c>
      <c r="BC188" s="29" t="n">
        <f aca="false">SUMIFS('Outages (event ledger)'!$H$2:$H$65,'Outages (event ledger)'!$A$2:$A$65,BC$2,'Outages (event ledger)'!$E$2:$E$65,"&lt;="&amp;$B188,'Outages (event ledger)'!$G$2:$G$65,"&gt;="&amp;$B188)</f>
        <v>0</v>
      </c>
      <c r="BD188" s="29" t="n">
        <f aca="false">SUMIFS('Outages (event ledger)'!$H$2:$H$65,'Outages (event ledger)'!$A$2:$A$65,BD$2,'Outages (event ledger)'!$E$2:$E$65,"&lt;="&amp;$B188,'Outages (event ledger)'!$G$2:$G$65,"&gt;="&amp;$B188)</f>
        <v>0</v>
      </c>
      <c r="BE188" s="29" t="n">
        <f aca="false">SUMIFS('Outages (event ledger)'!$H$2:$H$65,'Outages (event ledger)'!$A$2:$A$65,BE$2,'Outages (event ledger)'!$E$2:$E$65,"&lt;="&amp;$B188,'Outages (event ledger)'!$G$2:$G$65,"&gt;="&amp;$B188)</f>
        <v>0</v>
      </c>
      <c r="BF188" s="29" t="n">
        <f aca="false">SUMIFS('Outages (event ledger)'!$H$2:$H$65,'Outages (event ledger)'!$A$2:$A$65,BF$2,'Outages (event ledger)'!$E$2:$E$65,"&lt;="&amp;$B188,'Outages (event ledger)'!$G$2:$G$65,"&gt;="&amp;$B188)</f>
        <v>0</v>
      </c>
      <c r="BG188" s="29" t="n">
        <f aca="false">SUMIFS('Outages (event ledger)'!$H$2:$H$65,'Outages (event ledger)'!$A$2:$A$65,BG$2,'Outages (event ledger)'!$E$2:$E$65,"&lt;="&amp;$B188,'Outages (event ledger)'!$G$2:$G$65,"&gt;="&amp;$B188)</f>
        <v>0</v>
      </c>
      <c r="BH188" s="29" t="n">
        <f aca="false">SUMIFS('Outages (event ledger)'!$H$2:$H$65,'Outages (event ledger)'!$A$2:$A$65,BH$2,'Outages (event ledger)'!$E$2:$E$65,"&lt;="&amp;$B188,'Outages (event ledger)'!$G$2:$G$65,"&gt;="&amp;$B188)</f>
        <v>0</v>
      </c>
      <c r="BI188" s="29" t="n">
        <f aca="false">SUMIFS('Outages (event ledger)'!$H$2:$H$65,'Outages (event ledger)'!$A$2:$A$65,BI$2,'Outages (event ledger)'!$E$2:$E$65,"&lt;="&amp;$B188,'Outages (event ledger)'!$G$2:$G$65,"&gt;="&amp;$B188)</f>
        <v>6.7</v>
      </c>
    </row>
    <row r="189" customFormat="false" ht="15" hidden="false" customHeight="false" outlineLevel="0" collapsed="false">
      <c r="A189" s="27" t="n">
        <v>45839</v>
      </c>
      <c r="B189" s="28" t="n">
        <v>202507</v>
      </c>
      <c r="C189" s="25" t="n">
        <f aca="false">SUM(D189:BI189)</f>
        <v>23.3</v>
      </c>
      <c r="D189" s="29" t="n">
        <f aca="false">SUMIFS('Outages (event ledger)'!$H$2:$H$65,'Outages (event ledger)'!$A$2:$A$65,D$2,'Outages (event ledger)'!$E$2:$E$65,"&lt;="&amp;$B189,'Outages (event ledger)'!$G$2:$G$65,"&gt;="&amp;$B189)</f>
        <v>0</v>
      </c>
      <c r="E189" s="29" t="n">
        <f aca="false">SUMIFS('Outages (event ledger)'!$H$2:$H$65,'Outages (event ledger)'!$A$2:$A$65,E$2,'Outages (event ledger)'!$E$2:$E$65,"&lt;="&amp;$B189,'Outages (event ledger)'!$G$2:$G$65,"&gt;="&amp;$B189)</f>
        <v>0</v>
      </c>
      <c r="F189" s="29" t="n">
        <f aca="false">SUMIFS('Outages (event ledger)'!$H$2:$H$65,'Outages (event ledger)'!$A$2:$A$65,F$2,'Outages (event ledger)'!$E$2:$E$65,"&lt;="&amp;$B189,'Outages (event ledger)'!$G$2:$G$65,"&gt;="&amp;$B189)</f>
        <v>0</v>
      </c>
      <c r="G189" s="29" t="n">
        <f aca="false">SUMIFS('Outages (event ledger)'!$H$2:$H$65,'Outages (event ledger)'!$A$2:$A$65,G$2,'Outages (event ledger)'!$E$2:$E$65,"&lt;="&amp;$B189,'Outages (event ledger)'!$G$2:$G$65,"&gt;="&amp;$B189)</f>
        <v>0</v>
      </c>
      <c r="H189" s="29" t="n">
        <f aca="false">SUMIFS('Outages (event ledger)'!$H$2:$H$65,'Outages (event ledger)'!$A$2:$A$65,H$2,'Outages (event ledger)'!$E$2:$E$65,"&lt;="&amp;$B189,'Outages (event ledger)'!$G$2:$G$65,"&gt;="&amp;$B189)</f>
        <v>0</v>
      </c>
      <c r="I189" s="29" t="n">
        <f aca="false">SUMIFS('Outages (event ledger)'!$H$2:$H$65,'Outages (event ledger)'!$A$2:$A$65,I$2,'Outages (event ledger)'!$E$2:$E$65,"&lt;="&amp;$B189,'Outages (event ledger)'!$G$2:$G$65,"&gt;="&amp;$B189)</f>
        <v>0</v>
      </c>
      <c r="J189" s="29" t="n">
        <f aca="false">SUMIFS('Outages (event ledger)'!$H$2:$H$65,'Outages (event ledger)'!$A$2:$A$65,J$2,'Outages (event ledger)'!$E$2:$E$65,"&lt;="&amp;$B189,'Outages (event ledger)'!$G$2:$G$65,"&gt;="&amp;$B189)</f>
        <v>0</v>
      </c>
      <c r="K189" s="29" t="n">
        <f aca="false">SUMIFS('Outages (event ledger)'!$H$2:$H$65,'Outages (event ledger)'!$A$2:$A$65,K$2,'Outages (event ledger)'!$E$2:$E$65,"&lt;="&amp;$B189,'Outages (event ledger)'!$G$2:$G$65,"&gt;="&amp;$B189)</f>
        <v>0</v>
      </c>
      <c r="L189" s="29" t="n">
        <f aca="false">SUMIFS('Outages (event ledger)'!$H$2:$H$65,'Outages (event ledger)'!$A$2:$A$65,L$2,'Outages (event ledger)'!$E$2:$E$65,"&lt;="&amp;$B189,'Outages (event ledger)'!$G$2:$G$65,"&gt;="&amp;$B189)</f>
        <v>0</v>
      </c>
      <c r="M189" s="29" t="n">
        <f aca="false">SUMIFS('Outages (event ledger)'!$H$2:$H$65,'Outages (event ledger)'!$A$2:$A$65,M$2,'Outages (event ledger)'!$E$2:$E$65,"&lt;="&amp;$B189,'Outages (event ledger)'!$G$2:$G$65,"&gt;="&amp;$B189)</f>
        <v>0</v>
      </c>
      <c r="N189" s="29" t="n">
        <f aca="false">SUMIFS('Outages (event ledger)'!$H$2:$H$65,'Outages (event ledger)'!$A$2:$A$65,N$2,'Outages (event ledger)'!$E$2:$E$65,"&lt;="&amp;$B189,'Outages (event ledger)'!$G$2:$G$65,"&gt;="&amp;$B189)</f>
        <v>0</v>
      </c>
      <c r="O189" s="29" t="n">
        <f aca="false">SUMIFS('Outages (event ledger)'!$H$2:$H$65,'Outages (event ledger)'!$A$2:$A$65,O$2,'Outages (event ledger)'!$E$2:$E$65,"&lt;="&amp;$B189,'Outages (event ledger)'!$G$2:$G$65,"&gt;="&amp;$B189)</f>
        <v>0</v>
      </c>
      <c r="P189" s="29" t="n">
        <f aca="false">SUMIFS('Outages (event ledger)'!$H$2:$H$65,'Outages (event ledger)'!$A$2:$A$65,P$2,'Outages (event ledger)'!$E$2:$E$65,"&lt;="&amp;$B189,'Outages (event ledger)'!$G$2:$G$65,"&gt;="&amp;$B189)</f>
        <v>0</v>
      </c>
      <c r="Q189" s="29" t="n">
        <f aca="false">SUMIFS('Outages (event ledger)'!$H$2:$H$65,'Outages (event ledger)'!$A$2:$A$65,Q$2,'Outages (event ledger)'!$E$2:$E$65,"&lt;="&amp;$B189,'Outages (event ledger)'!$G$2:$G$65,"&gt;="&amp;$B189)</f>
        <v>0</v>
      </c>
      <c r="R189" s="29" t="n">
        <f aca="false">SUMIFS('Outages (event ledger)'!$H$2:$H$65,'Outages (event ledger)'!$A$2:$A$65,R$2,'Outages (event ledger)'!$E$2:$E$65,"&lt;="&amp;$B189,'Outages (event ledger)'!$G$2:$G$65,"&gt;="&amp;$B189)</f>
        <v>0</v>
      </c>
      <c r="S189" s="29" t="n">
        <f aca="false">SUMIFS('Outages (event ledger)'!$H$2:$H$65,'Outages (event ledger)'!$A$2:$A$65,S$2,'Outages (event ledger)'!$E$2:$E$65,"&lt;="&amp;$B189,'Outages (event ledger)'!$G$2:$G$65,"&gt;="&amp;$B189)</f>
        <v>0</v>
      </c>
      <c r="T189" s="29" t="n">
        <f aca="false">SUMIFS('Outages (event ledger)'!$H$2:$H$65,'Outages (event ledger)'!$A$2:$A$65,T$2,'Outages (event ledger)'!$E$2:$E$65,"&lt;="&amp;$B189,'Outages (event ledger)'!$G$2:$G$65,"&gt;="&amp;$B189)</f>
        <v>0</v>
      </c>
      <c r="U189" s="29" t="n">
        <f aca="false">SUMIFS('Outages (event ledger)'!$H$2:$H$65,'Outages (event ledger)'!$A$2:$A$65,U$2,'Outages (event ledger)'!$E$2:$E$65,"&lt;="&amp;$B189,'Outages (event ledger)'!$G$2:$G$65,"&gt;="&amp;$B189)</f>
        <v>0</v>
      </c>
      <c r="V189" s="29" t="n">
        <f aca="false">SUMIFS('Outages (event ledger)'!$H$2:$H$65,'Outages (event ledger)'!$A$2:$A$65,V$2,'Outages (event ledger)'!$E$2:$E$65,"&lt;="&amp;$B189,'Outages (event ledger)'!$G$2:$G$65,"&gt;="&amp;$B189)</f>
        <v>0</v>
      </c>
      <c r="W189" s="29" t="n">
        <f aca="false">SUMIFS('Outages (event ledger)'!$H$2:$H$65,'Outages (event ledger)'!$A$2:$A$65,W$2,'Outages (event ledger)'!$E$2:$E$65,"&lt;="&amp;$B189,'Outages (event ledger)'!$G$2:$G$65,"&gt;="&amp;$B189)</f>
        <v>0</v>
      </c>
      <c r="X189" s="29" t="n">
        <f aca="false">SUMIFS('Outages (event ledger)'!$H$2:$H$65,'Outages (event ledger)'!$A$2:$A$65,X$2,'Outages (event ledger)'!$E$2:$E$65,"&lt;="&amp;$B189,'Outages (event ledger)'!$G$2:$G$65,"&gt;="&amp;$B189)</f>
        <v>0</v>
      </c>
      <c r="Y189" s="29" t="n">
        <f aca="false">SUMIFS('Outages (event ledger)'!$H$2:$H$65,'Outages (event ledger)'!$A$2:$A$65,Y$2,'Outages (event ledger)'!$E$2:$E$65,"&lt;="&amp;$B189,'Outages (event ledger)'!$G$2:$G$65,"&gt;="&amp;$B189)</f>
        <v>0</v>
      </c>
      <c r="Z189" s="29" t="n">
        <f aca="false">SUMIFS('Outages (event ledger)'!$H$2:$H$65,'Outages (event ledger)'!$A$2:$A$65,Z$2,'Outages (event ledger)'!$E$2:$E$65,"&lt;="&amp;$B189,'Outages (event ledger)'!$G$2:$G$65,"&gt;="&amp;$B189)</f>
        <v>0</v>
      </c>
      <c r="AA189" s="29" t="n">
        <f aca="false">SUMIFS('Outages (event ledger)'!$H$2:$H$65,'Outages (event ledger)'!$A$2:$A$65,AA$2,'Outages (event ledger)'!$E$2:$E$65,"&lt;="&amp;$B189,'Outages (event ledger)'!$G$2:$G$65,"&gt;="&amp;$B189)</f>
        <v>2</v>
      </c>
      <c r="AB189" s="29" t="n">
        <f aca="false">SUMIFS('Outages (event ledger)'!$H$2:$H$65,'Outages (event ledger)'!$A$2:$A$65,AB$2,'Outages (event ledger)'!$E$2:$E$65,"&lt;="&amp;$B189,'Outages (event ledger)'!$G$2:$G$65,"&gt;="&amp;$B189)</f>
        <v>8</v>
      </c>
      <c r="AC189" s="29" t="n">
        <f aca="false">SUMIFS('Outages (event ledger)'!$H$2:$H$65,'Outages (event ledger)'!$A$2:$A$65,AC$2,'Outages (event ledger)'!$E$2:$E$65,"&lt;="&amp;$B189,'Outages (event ledger)'!$G$2:$G$65,"&gt;="&amp;$B189)</f>
        <v>0</v>
      </c>
      <c r="AD189" s="29" t="n">
        <f aca="false">SUMIFS('Outages (event ledger)'!$H$2:$H$65,'Outages (event ledger)'!$A$2:$A$65,AD$2,'Outages (event ledger)'!$E$2:$E$65,"&lt;="&amp;$B189,'Outages (event ledger)'!$G$2:$G$65,"&gt;="&amp;$B189)</f>
        <v>0</v>
      </c>
      <c r="AE189" s="29" t="n">
        <f aca="false">SUMIFS('Outages (event ledger)'!$H$2:$H$65,'Outages (event ledger)'!$A$2:$A$65,AE$2,'Outages (event ledger)'!$E$2:$E$65,"&lt;="&amp;$B189,'Outages (event ledger)'!$G$2:$G$65,"&gt;="&amp;$B189)</f>
        <v>0</v>
      </c>
      <c r="AF189" s="29" t="n">
        <f aca="false">SUMIFS('Outages (event ledger)'!$H$2:$H$65,'Outages (event ledger)'!$A$2:$A$65,AF$2,'Outages (event ledger)'!$E$2:$E$65,"&lt;="&amp;$B189,'Outages (event ledger)'!$G$2:$G$65,"&gt;="&amp;$B189)</f>
        <v>0</v>
      </c>
      <c r="AG189" s="29" t="n">
        <f aca="false">SUMIFS('Outages (event ledger)'!$H$2:$H$65,'Outages (event ledger)'!$A$2:$A$65,AG$2,'Outages (event ledger)'!$E$2:$E$65,"&lt;="&amp;$B189,'Outages (event ledger)'!$G$2:$G$65,"&gt;="&amp;$B189)</f>
        <v>0</v>
      </c>
      <c r="AH189" s="29" t="n">
        <f aca="false">SUMIFS('Outages (event ledger)'!$H$2:$H$65,'Outages (event ledger)'!$A$2:$A$65,AH$2,'Outages (event ledger)'!$E$2:$E$65,"&lt;="&amp;$B189,'Outages (event ledger)'!$G$2:$G$65,"&gt;="&amp;$B189)</f>
        <v>0</v>
      </c>
      <c r="AI189" s="29" t="n">
        <f aca="false">SUMIFS('Outages (event ledger)'!$H$2:$H$65,'Outages (event ledger)'!$A$2:$A$65,AI$2,'Outages (event ledger)'!$E$2:$E$65,"&lt;="&amp;$B189,'Outages (event ledger)'!$G$2:$G$65,"&gt;="&amp;$B189)</f>
        <v>0</v>
      </c>
      <c r="AJ189" s="29" t="n">
        <f aca="false">SUMIFS('Outages (event ledger)'!$H$2:$H$65,'Outages (event ledger)'!$A$2:$A$65,AJ$2,'Outages (event ledger)'!$E$2:$E$65,"&lt;="&amp;$B189,'Outages (event ledger)'!$G$2:$G$65,"&gt;="&amp;$B189)</f>
        <v>0</v>
      </c>
      <c r="AK189" s="29" t="n">
        <f aca="false">SUMIFS('Outages (event ledger)'!$H$2:$H$65,'Outages (event ledger)'!$A$2:$A$65,AK$2,'Outages (event ledger)'!$E$2:$E$65,"&lt;="&amp;$B189,'Outages (event ledger)'!$G$2:$G$65,"&gt;="&amp;$B189)</f>
        <v>0</v>
      </c>
      <c r="AL189" s="29" t="n">
        <f aca="false">SUMIFS('Outages (event ledger)'!$H$2:$H$65,'Outages (event ledger)'!$A$2:$A$65,AL$2,'Outages (event ledger)'!$E$2:$E$65,"&lt;="&amp;$B189,'Outages (event ledger)'!$G$2:$G$65,"&gt;="&amp;$B189)</f>
        <v>0</v>
      </c>
      <c r="AM189" s="29" t="n">
        <f aca="false">SUMIFS('Outages (event ledger)'!$H$2:$H$65,'Outages (event ledger)'!$A$2:$A$65,AM$2,'Outages (event ledger)'!$E$2:$E$65,"&lt;="&amp;$B189,'Outages (event ledger)'!$G$2:$G$65,"&gt;="&amp;$B189)</f>
        <v>0</v>
      </c>
      <c r="AN189" s="29" t="n">
        <f aca="false">SUMIFS('Outages (event ledger)'!$H$2:$H$65,'Outages (event ledger)'!$A$2:$A$65,AN$2,'Outages (event ledger)'!$E$2:$E$65,"&lt;="&amp;$B189,'Outages (event ledger)'!$G$2:$G$65,"&gt;="&amp;$B189)</f>
        <v>0</v>
      </c>
      <c r="AO189" s="29" t="n">
        <f aca="false">SUMIFS('Outages (event ledger)'!$H$2:$H$65,'Outages (event ledger)'!$A$2:$A$65,AO$2,'Outages (event ledger)'!$E$2:$E$65,"&lt;="&amp;$B189,'Outages (event ledger)'!$G$2:$G$65,"&gt;="&amp;$B189)</f>
        <v>0</v>
      </c>
      <c r="AP189" s="29" t="n">
        <f aca="false">SUMIFS('Outages (event ledger)'!$H$2:$H$65,'Outages (event ledger)'!$A$2:$A$65,AP$2,'Outages (event ledger)'!$E$2:$E$65,"&lt;="&amp;$B189,'Outages (event ledger)'!$G$2:$G$65,"&gt;="&amp;$B189)</f>
        <v>0</v>
      </c>
      <c r="AQ189" s="29" t="n">
        <f aca="false">SUMIFS('Outages (event ledger)'!$H$2:$H$65,'Outages (event ledger)'!$A$2:$A$65,AQ$2,'Outages (event ledger)'!$E$2:$E$65,"&lt;="&amp;$B189,'Outages (event ledger)'!$G$2:$G$65,"&gt;="&amp;$B189)</f>
        <v>0</v>
      </c>
      <c r="AR189" s="29" t="n">
        <f aca="false">SUMIFS('Outages (event ledger)'!$H$2:$H$65,'Outages (event ledger)'!$A$2:$A$65,AR$2,'Outages (event ledger)'!$E$2:$E$65,"&lt;="&amp;$B189,'Outages (event ledger)'!$G$2:$G$65,"&gt;="&amp;$B189)</f>
        <v>0</v>
      </c>
      <c r="AS189" s="29" t="n">
        <f aca="false">SUMIFS('Outages (event ledger)'!$H$2:$H$65,'Outages (event ledger)'!$A$2:$A$65,AS$2,'Outages (event ledger)'!$E$2:$E$65,"&lt;="&amp;$B189,'Outages (event ledger)'!$G$2:$G$65,"&gt;="&amp;$B189)</f>
        <v>0</v>
      </c>
      <c r="AT189" s="29" t="n">
        <f aca="false">SUMIFS('Outages (event ledger)'!$H$2:$H$65,'Outages (event ledger)'!$A$2:$A$65,AT$2,'Outages (event ledger)'!$E$2:$E$65,"&lt;="&amp;$B189,'Outages (event ledger)'!$G$2:$G$65,"&gt;="&amp;$B189)</f>
        <v>0</v>
      </c>
      <c r="AU189" s="29" t="n">
        <f aca="false">SUMIFS('Outages (event ledger)'!$H$2:$H$65,'Outages (event ledger)'!$A$2:$A$65,AU$2,'Outages (event ledger)'!$E$2:$E$65,"&lt;="&amp;$B189,'Outages (event ledger)'!$G$2:$G$65,"&gt;="&amp;$B189)</f>
        <v>0</v>
      </c>
      <c r="AV189" s="29" t="n">
        <f aca="false">SUMIFS('Outages (event ledger)'!$H$2:$H$65,'Outages (event ledger)'!$A$2:$A$65,AV$2,'Outages (event ledger)'!$E$2:$E$65,"&lt;="&amp;$B189,'Outages (event ledger)'!$G$2:$G$65,"&gt;="&amp;$B189)</f>
        <v>0</v>
      </c>
      <c r="AW189" s="29" t="n">
        <f aca="false">SUMIFS('Outages (event ledger)'!$H$2:$H$65,'Outages (event ledger)'!$A$2:$A$65,AW$2,'Outages (event ledger)'!$E$2:$E$65,"&lt;="&amp;$B189,'Outages (event ledger)'!$G$2:$G$65,"&gt;="&amp;$B189)</f>
        <v>0</v>
      </c>
      <c r="AX189" s="29" t="n">
        <f aca="false">SUMIFS('Outages (event ledger)'!$H$2:$H$65,'Outages (event ledger)'!$A$2:$A$65,AX$2,'Outages (event ledger)'!$E$2:$E$65,"&lt;="&amp;$B189,'Outages (event ledger)'!$G$2:$G$65,"&gt;="&amp;$B189)</f>
        <v>6.6</v>
      </c>
      <c r="AY189" s="29" t="n">
        <f aca="false">SUMIFS('Outages (event ledger)'!$H$2:$H$65,'Outages (event ledger)'!$A$2:$A$65,AY$2,'Outages (event ledger)'!$E$2:$E$65,"&lt;="&amp;$B189,'Outages (event ledger)'!$G$2:$G$65,"&gt;="&amp;$B189)</f>
        <v>0</v>
      </c>
      <c r="AZ189" s="29" t="n">
        <f aca="false">SUMIFS('Outages (event ledger)'!$H$2:$H$65,'Outages (event ledger)'!$A$2:$A$65,AZ$2,'Outages (event ledger)'!$E$2:$E$65,"&lt;="&amp;$B189,'Outages (event ledger)'!$G$2:$G$65,"&gt;="&amp;$B189)</f>
        <v>0</v>
      </c>
      <c r="BA189" s="29" t="n">
        <f aca="false">SUMIFS('Outages (event ledger)'!$H$2:$H$65,'Outages (event ledger)'!$A$2:$A$65,BA$2,'Outages (event ledger)'!$E$2:$E$65,"&lt;="&amp;$B189,'Outages (event ledger)'!$G$2:$G$65,"&gt;="&amp;$B189)</f>
        <v>0</v>
      </c>
      <c r="BB189" s="29" t="n">
        <f aca="false">SUMIFS('Outages (event ledger)'!$H$2:$H$65,'Outages (event ledger)'!$A$2:$A$65,BB$2,'Outages (event ledger)'!$E$2:$E$65,"&lt;="&amp;$B189,'Outages (event ledger)'!$G$2:$G$65,"&gt;="&amp;$B189)</f>
        <v>0</v>
      </c>
      <c r="BC189" s="29" t="n">
        <f aca="false">SUMIFS('Outages (event ledger)'!$H$2:$H$65,'Outages (event ledger)'!$A$2:$A$65,BC$2,'Outages (event ledger)'!$E$2:$E$65,"&lt;="&amp;$B189,'Outages (event ledger)'!$G$2:$G$65,"&gt;="&amp;$B189)</f>
        <v>0</v>
      </c>
      <c r="BD189" s="29" t="n">
        <f aca="false">SUMIFS('Outages (event ledger)'!$H$2:$H$65,'Outages (event ledger)'!$A$2:$A$65,BD$2,'Outages (event ledger)'!$E$2:$E$65,"&lt;="&amp;$B189,'Outages (event ledger)'!$G$2:$G$65,"&gt;="&amp;$B189)</f>
        <v>0</v>
      </c>
      <c r="BE189" s="29" t="n">
        <f aca="false">SUMIFS('Outages (event ledger)'!$H$2:$H$65,'Outages (event ledger)'!$A$2:$A$65,BE$2,'Outages (event ledger)'!$E$2:$E$65,"&lt;="&amp;$B189,'Outages (event ledger)'!$G$2:$G$65,"&gt;="&amp;$B189)</f>
        <v>0</v>
      </c>
      <c r="BF189" s="29" t="n">
        <f aca="false">SUMIFS('Outages (event ledger)'!$H$2:$H$65,'Outages (event ledger)'!$A$2:$A$65,BF$2,'Outages (event ledger)'!$E$2:$E$65,"&lt;="&amp;$B189,'Outages (event ledger)'!$G$2:$G$65,"&gt;="&amp;$B189)</f>
        <v>0</v>
      </c>
      <c r="BG189" s="29" t="n">
        <f aca="false">SUMIFS('Outages (event ledger)'!$H$2:$H$65,'Outages (event ledger)'!$A$2:$A$65,BG$2,'Outages (event ledger)'!$E$2:$E$65,"&lt;="&amp;$B189,'Outages (event ledger)'!$G$2:$G$65,"&gt;="&amp;$B189)</f>
        <v>0</v>
      </c>
      <c r="BH189" s="29" t="n">
        <f aca="false">SUMIFS('Outages (event ledger)'!$H$2:$H$65,'Outages (event ledger)'!$A$2:$A$65,BH$2,'Outages (event ledger)'!$E$2:$E$65,"&lt;="&amp;$B189,'Outages (event ledger)'!$G$2:$G$65,"&gt;="&amp;$B189)</f>
        <v>0</v>
      </c>
      <c r="BI189" s="29" t="n">
        <f aca="false">SUMIFS('Outages (event ledger)'!$H$2:$H$65,'Outages (event ledger)'!$A$2:$A$65,BI$2,'Outages (event ledger)'!$E$2:$E$65,"&lt;="&amp;$B189,'Outages (event ledger)'!$G$2:$G$65,"&gt;="&amp;$B189)</f>
        <v>6.7</v>
      </c>
    </row>
    <row r="190" customFormat="false" ht="15" hidden="false" customHeight="false" outlineLevel="0" collapsed="false">
      <c r="A190" s="27" t="n">
        <v>45870</v>
      </c>
      <c r="B190" s="28" t="n">
        <v>202508</v>
      </c>
      <c r="C190" s="25" t="n">
        <f aca="false">SUM(D190:BI190)</f>
        <v>23.3</v>
      </c>
      <c r="D190" s="29" t="n">
        <f aca="false">SUMIFS('Outages (event ledger)'!$H$2:$H$65,'Outages (event ledger)'!$A$2:$A$65,D$2,'Outages (event ledger)'!$E$2:$E$65,"&lt;="&amp;$B190,'Outages (event ledger)'!$G$2:$G$65,"&gt;="&amp;$B190)</f>
        <v>0</v>
      </c>
      <c r="E190" s="29" t="n">
        <f aca="false">SUMIFS('Outages (event ledger)'!$H$2:$H$65,'Outages (event ledger)'!$A$2:$A$65,E$2,'Outages (event ledger)'!$E$2:$E$65,"&lt;="&amp;$B190,'Outages (event ledger)'!$G$2:$G$65,"&gt;="&amp;$B190)</f>
        <v>0</v>
      </c>
      <c r="F190" s="29" t="n">
        <f aca="false">SUMIFS('Outages (event ledger)'!$H$2:$H$65,'Outages (event ledger)'!$A$2:$A$65,F$2,'Outages (event ledger)'!$E$2:$E$65,"&lt;="&amp;$B190,'Outages (event ledger)'!$G$2:$G$65,"&gt;="&amp;$B190)</f>
        <v>0</v>
      </c>
      <c r="G190" s="29" t="n">
        <f aca="false">SUMIFS('Outages (event ledger)'!$H$2:$H$65,'Outages (event ledger)'!$A$2:$A$65,G$2,'Outages (event ledger)'!$E$2:$E$65,"&lt;="&amp;$B190,'Outages (event ledger)'!$G$2:$G$65,"&gt;="&amp;$B190)</f>
        <v>0</v>
      </c>
      <c r="H190" s="29" t="n">
        <f aca="false">SUMIFS('Outages (event ledger)'!$H$2:$H$65,'Outages (event ledger)'!$A$2:$A$65,H$2,'Outages (event ledger)'!$E$2:$E$65,"&lt;="&amp;$B190,'Outages (event ledger)'!$G$2:$G$65,"&gt;="&amp;$B190)</f>
        <v>0</v>
      </c>
      <c r="I190" s="29" t="n">
        <f aca="false">SUMIFS('Outages (event ledger)'!$H$2:$H$65,'Outages (event ledger)'!$A$2:$A$65,I$2,'Outages (event ledger)'!$E$2:$E$65,"&lt;="&amp;$B190,'Outages (event ledger)'!$G$2:$G$65,"&gt;="&amp;$B190)</f>
        <v>0</v>
      </c>
      <c r="J190" s="29" t="n">
        <f aca="false">SUMIFS('Outages (event ledger)'!$H$2:$H$65,'Outages (event ledger)'!$A$2:$A$65,J$2,'Outages (event ledger)'!$E$2:$E$65,"&lt;="&amp;$B190,'Outages (event ledger)'!$G$2:$G$65,"&gt;="&amp;$B190)</f>
        <v>0</v>
      </c>
      <c r="K190" s="29" t="n">
        <f aca="false">SUMIFS('Outages (event ledger)'!$H$2:$H$65,'Outages (event ledger)'!$A$2:$A$65,K$2,'Outages (event ledger)'!$E$2:$E$65,"&lt;="&amp;$B190,'Outages (event ledger)'!$G$2:$G$65,"&gt;="&amp;$B190)</f>
        <v>0</v>
      </c>
      <c r="L190" s="29" t="n">
        <f aca="false">SUMIFS('Outages (event ledger)'!$H$2:$H$65,'Outages (event ledger)'!$A$2:$A$65,L$2,'Outages (event ledger)'!$E$2:$E$65,"&lt;="&amp;$B190,'Outages (event ledger)'!$G$2:$G$65,"&gt;="&amp;$B190)</f>
        <v>0</v>
      </c>
      <c r="M190" s="29" t="n">
        <f aca="false">SUMIFS('Outages (event ledger)'!$H$2:$H$65,'Outages (event ledger)'!$A$2:$A$65,M$2,'Outages (event ledger)'!$E$2:$E$65,"&lt;="&amp;$B190,'Outages (event ledger)'!$G$2:$G$65,"&gt;="&amp;$B190)</f>
        <v>0</v>
      </c>
      <c r="N190" s="29" t="n">
        <f aca="false">SUMIFS('Outages (event ledger)'!$H$2:$H$65,'Outages (event ledger)'!$A$2:$A$65,N$2,'Outages (event ledger)'!$E$2:$E$65,"&lt;="&amp;$B190,'Outages (event ledger)'!$G$2:$G$65,"&gt;="&amp;$B190)</f>
        <v>0</v>
      </c>
      <c r="O190" s="29" t="n">
        <f aca="false">SUMIFS('Outages (event ledger)'!$H$2:$H$65,'Outages (event ledger)'!$A$2:$A$65,O$2,'Outages (event ledger)'!$E$2:$E$65,"&lt;="&amp;$B190,'Outages (event ledger)'!$G$2:$G$65,"&gt;="&amp;$B190)</f>
        <v>0</v>
      </c>
      <c r="P190" s="29" t="n">
        <f aca="false">SUMIFS('Outages (event ledger)'!$H$2:$H$65,'Outages (event ledger)'!$A$2:$A$65,P$2,'Outages (event ledger)'!$E$2:$E$65,"&lt;="&amp;$B190,'Outages (event ledger)'!$G$2:$G$65,"&gt;="&amp;$B190)</f>
        <v>0</v>
      </c>
      <c r="Q190" s="29" t="n">
        <f aca="false">SUMIFS('Outages (event ledger)'!$H$2:$H$65,'Outages (event ledger)'!$A$2:$A$65,Q$2,'Outages (event ledger)'!$E$2:$E$65,"&lt;="&amp;$B190,'Outages (event ledger)'!$G$2:$G$65,"&gt;="&amp;$B190)</f>
        <v>0</v>
      </c>
      <c r="R190" s="29" t="n">
        <f aca="false">SUMIFS('Outages (event ledger)'!$H$2:$H$65,'Outages (event ledger)'!$A$2:$A$65,R$2,'Outages (event ledger)'!$E$2:$E$65,"&lt;="&amp;$B190,'Outages (event ledger)'!$G$2:$G$65,"&gt;="&amp;$B190)</f>
        <v>0</v>
      </c>
      <c r="S190" s="29" t="n">
        <f aca="false">SUMIFS('Outages (event ledger)'!$H$2:$H$65,'Outages (event ledger)'!$A$2:$A$65,S$2,'Outages (event ledger)'!$E$2:$E$65,"&lt;="&amp;$B190,'Outages (event ledger)'!$G$2:$G$65,"&gt;="&amp;$B190)</f>
        <v>0</v>
      </c>
      <c r="T190" s="29" t="n">
        <f aca="false">SUMIFS('Outages (event ledger)'!$H$2:$H$65,'Outages (event ledger)'!$A$2:$A$65,T$2,'Outages (event ledger)'!$E$2:$E$65,"&lt;="&amp;$B190,'Outages (event ledger)'!$G$2:$G$65,"&gt;="&amp;$B190)</f>
        <v>0</v>
      </c>
      <c r="U190" s="29" t="n">
        <f aca="false">SUMIFS('Outages (event ledger)'!$H$2:$H$65,'Outages (event ledger)'!$A$2:$A$65,U$2,'Outages (event ledger)'!$E$2:$E$65,"&lt;="&amp;$B190,'Outages (event ledger)'!$G$2:$G$65,"&gt;="&amp;$B190)</f>
        <v>0</v>
      </c>
      <c r="V190" s="29" t="n">
        <f aca="false">SUMIFS('Outages (event ledger)'!$H$2:$H$65,'Outages (event ledger)'!$A$2:$A$65,V$2,'Outages (event ledger)'!$E$2:$E$65,"&lt;="&amp;$B190,'Outages (event ledger)'!$G$2:$G$65,"&gt;="&amp;$B190)</f>
        <v>0</v>
      </c>
      <c r="W190" s="29" t="n">
        <f aca="false">SUMIFS('Outages (event ledger)'!$H$2:$H$65,'Outages (event ledger)'!$A$2:$A$65,W$2,'Outages (event ledger)'!$E$2:$E$65,"&lt;="&amp;$B190,'Outages (event ledger)'!$G$2:$G$65,"&gt;="&amp;$B190)</f>
        <v>0</v>
      </c>
      <c r="X190" s="29" t="n">
        <f aca="false">SUMIFS('Outages (event ledger)'!$H$2:$H$65,'Outages (event ledger)'!$A$2:$A$65,X$2,'Outages (event ledger)'!$E$2:$E$65,"&lt;="&amp;$B190,'Outages (event ledger)'!$G$2:$G$65,"&gt;="&amp;$B190)</f>
        <v>0</v>
      </c>
      <c r="Y190" s="29" t="n">
        <f aca="false">SUMIFS('Outages (event ledger)'!$H$2:$H$65,'Outages (event ledger)'!$A$2:$A$65,Y$2,'Outages (event ledger)'!$E$2:$E$65,"&lt;="&amp;$B190,'Outages (event ledger)'!$G$2:$G$65,"&gt;="&amp;$B190)</f>
        <v>0</v>
      </c>
      <c r="Z190" s="29" t="n">
        <f aca="false">SUMIFS('Outages (event ledger)'!$H$2:$H$65,'Outages (event ledger)'!$A$2:$A$65,Z$2,'Outages (event ledger)'!$E$2:$E$65,"&lt;="&amp;$B190,'Outages (event ledger)'!$G$2:$G$65,"&gt;="&amp;$B190)</f>
        <v>0</v>
      </c>
      <c r="AA190" s="29" t="n">
        <f aca="false">SUMIFS('Outages (event ledger)'!$H$2:$H$65,'Outages (event ledger)'!$A$2:$A$65,AA$2,'Outages (event ledger)'!$E$2:$E$65,"&lt;="&amp;$B190,'Outages (event ledger)'!$G$2:$G$65,"&gt;="&amp;$B190)</f>
        <v>2</v>
      </c>
      <c r="AB190" s="29" t="n">
        <f aca="false">SUMIFS('Outages (event ledger)'!$H$2:$H$65,'Outages (event ledger)'!$A$2:$A$65,AB$2,'Outages (event ledger)'!$E$2:$E$65,"&lt;="&amp;$B190,'Outages (event ledger)'!$G$2:$G$65,"&gt;="&amp;$B190)</f>
        <v>8</v>
      </c>
      <c r="AC190" s="29" t="n">
        <f aca="false">SUMIFS('Outages (event ledger)'!$H$2:$H$65,'Outages (event ledger)'!$A$2:$A$65,AC$2,'Outages (event ledger)'!$E$2:$E$65,"&lt;="&amp;$B190,'Outages (event ledger)'!$G$2:$G$65,"&gt;="&amp;$B190)</f>
        <v>0</v>
      </c>
      <c r="AD190" s="29" t="n">
        <f aca="false">SUMIFS('Outages (event ledger)'!$H$2:$H$65,'Outages (event ledger)'!$A$2:$A$65,AD$2,'Outages (event ledger)'!$E$2:$E$65,"&lt;="&amp;$B190,'Outages (event ledger)'!$G$2:$G$65,"&gt;="&amp;$B190)</f>
        <v>0</v>
      </c>
      <c r="AE190" s="29" t="n">
        <f aca="false">SUMIFS('Outages (event ledger)'!$H$2:$H$65,'Outages (event ledger)'!$A$2:$A$65,AE$2,'Outages (event ledger)'!$E$2:$E$65,"&lt;="&amp;$B190,'Outages (event ledger)'!$G$2:$G$65,"&gt;="&amp;$B190)</f>
        <v>0</v>
      </c>
      <c r="AF190" s="29" t="n">
        <f aca="false">SUMIFS('Outages (event ledger)'!$H$2:$H$65,'Outages (event ledger)'!$A$2:$A$65,AF$2,'Outages (event ledger)'!$E$2:$E$65,"&lt;="&amp;$B190,'Outages (event ledger)'!$G$2:$G$65,"&gt;="&amp;$B190)</f>
        <v>0</v>
      </c>
      <c r="AG190" s="29" t="n">
        <f aca="false">SUMIFS('Outages (event ledger)'!$H$2:$H$65,'Outages (event ledger)'!$A$2:$A$65,AG$2,'Outages (event ledger)'!$E$2:$E$65,"&lt;="&amp;$B190,'Outages (event ledger)'!$G$2:$G$65,"&gt;="&amp;$B190)</f>
        <v>0</v>
      </c>
      <c r="AH190" s="29" t="n">
        <f aca="false">SUMIFS('Outages (event ledger)'!$H$2:$H$65,'Outages (event ledger)'!$A$2:$A$65,AH$2,'Outages (event ledger)'!$E$2:$E$65,"&lt;="&amp;$B190,'Outages (event ledger)'!$G$2:$G$65,"&gt;="&amp;$B190)</f>
        <v>0</v>
      </c>
      <c r="AI190" s="29" t="n">
        <f aca="false">SUMIFS('Outages (event ledger)'!$H$2:$H$65,'Outages (event ledger)'!$A$2:$A$65,AI$2,'Outages (event ledger)'!$E$2:$E$65,"&lt;="&amp;$B190,'Outages (event ledger)'!$G$2:$G$65,"&gt;="&amp;$B190)</f>
        <v>0</v>
      </c>
      <c r="AJ190" s="29" t="n">
        <f aca="false">SUMIFS('Outages (event ledger)'!$H$2:$H$65,'Outages (event ledger)'!$A$2:$A$65,AJ$2,'Outages (event ledger)'!$E$2:$E$65,"&lt;="&amp;$B190,'Outages (event ledger)'!$G$2:$G$65,"&gt;="&amp;$B190)</f>
        <v>0</v>
      </c>
      <c r="AK190" s="29" t="n">
        <f aca="false">SUMIFS('Outages (event ledger)'!$H$2:$H$65,'Outages (event ledger)'!$A$2:$A$65,AK$2,'Outages (event ledger)'!$E$2:$E$65,"&lt;="&amp;$B190,'Outages (event ledger)'!$G$2:$G$65,"&gt;="&amp;$B190)</f>
        <v>0</v>
      </c>
      <c r="AL190" s="29" t="n">
        <f aca="false">SUMIFS('Outages (event ledger)'!$H$2:$H$65,'Outages (event ledger)'!$A$2:$A$65,AL$2,'Outages (event ledger)'!$E$2:$E$65,"&lt;="&amp;$B190,'Outages (event ledger)'!$G$2:$G$65,"&gt;="&amp;$B190)</f>
        <v>0</v>
      </c>
      <c r="AM190" s="29" t="n">
        <f aca="false">SUMIFS('Outages (event ledger)'!$H$2:$H$65,'Outages (event ledger)'!$A$2:$A$65,AM$2,'Outages (event ledger)'!$E$2:$E$65,"&lt;="&amp;$B190,'Outages (event ledger)'!$G$2:$G$65,"&gt;="&amp;$B190)</f>
        <v>0</v>
      </c>
      <c r="AN190" s="29" t="n">
        <f aca="false">SUMIFS('Outages (event ledger)'!$H$2:$H$65,'Outages (event ledger)'!$A$2:$A$65,AN$2,'Outages (event ledger)'!$E$2:$E$65,"&lt;="&amp;$B190,'Outages (event ledger)'!$G$2:$G$65,"&gt;="&amp;$B190)</f>
        <v>0</v>
      </c>
      <c r="AO190" s="29" t="n">
        <f aca="false">SUMIFS('Outages (event ledger)'!$H$2:$H$65,'Outages (event ledger)'!$A$2:$A$65,AO$2,'Outages (event ledger)'!$E$2:$E$65,"&lt;="&amp;$B190,'Outages (event ledger)'!$G$2:$G$65,"&gt;="&amp;$B190)</f>
        <v>0</v>
      </c>
      <c r="AP190" s="29" t="n">
        <f aca="false">SUMIFS('Outages (event ledger)'!$H$2:$H$65,'Outages (event ledger)'!$A$2:$A$65,AP$2,'Outages (event ledger)'!$E$2:$E$65,"&lt;="&amp;$B190,'Outages (event ledger)'!$G$2:$G$65,"&gt;="&amp;$B190)</f>
        <v>0</v>
      </c>
      <c r="AQ190" s="29" t="n">
        <f aca="false">SUMIFS('Outages (event ledger)'!$H$2:$H$65,'Outages (event ledger)'!$A$2:$A$65,AQ$2,'Outages (event ledger)'!$E$2:$E$65,"&lt;="&amp;$B190,'Outages (event ledger)'!$G$2:$G$65,"&gt;="&amp;$B190)</f>
        <v>0</v>
      </c>
      <c r="AR190" s="29" t="n">
        <f aca="false">SUMIFS('Outages (event ledger)'!$H$2:$H$65,'Outages (event ledger)'!$A$2:$A$65,AR$2,'Outages (event ledger)'!$E$2:$E$65,"&lt;="&amp;$B190,'Outages (event ledger)'!$G$2:$G$65,"&gt;="&amp;$B190)</f>
        <v>0</v>
      </c>
      <c r="AS190" s="29" t="n">
        <f aca="false">SUMIFS('Outages (event ledger)'!$H$2:$H$65,'Outages (event ledger)'!$A$2:$A$65,AS$2,'Outages (event ledger)'!$E$2:$E$65,"&lt;="&amp;$B190,'Outages (event ledger)'!$G$2:$G$65,"&gt;="&amp;$B190)</f>
        <v>0</v>
      </c>
      <c r="AT190" s="29" t="n">
        <f aca="false">SUMIFS('Outages (event ledger)'!$H$2:$H$65,'Outages (event ledger)'!$A$2:$A$65,AT$2,'Outages (event ledger)'!$E$2:$E$65,"&lt;="&amp;$B190,'Outages (event ledger)'!$G$2:$G$65,"&gt;="&amp;$B190)</f>
        <v>0</v>
      </c>
      <c r="AU190" s="29" t="n">
        <f aca="false">SUMIFS('Outages (event ledger)'!$H$2:$H$65,'Outages (event ledger)'!$A$2:$A$65,AU$2,'Outages (event ledger)'!$E$2:$E$65,"&lt;="&amp;$B190,'Outages (event ledger)'!$G$2:$G$65,"&gt;="&amp;$B190)</f>
        <v>0</v>
      </c>
      <c r="AV190" s="29" t="n">
        <f aca="false">SUMIFS('Outages (event ledger)'!$H$2:$H$65,'Outages (event ledger)'!$A$2:$A$65,AV$2,'Outages (event ledger)'!$E$2:$E$65,"&lt;="&amp;$B190,'Outages (event ledger)'!$G$2:$G$65,"&gt;="&amp;$B190)</f>
        <v>0</v>
      </c>
      <c r="AW190" s="29" t="n">
        <f aca="false">SUMIFS('Outages (event ledger)'!$H$2:$H$65,'Outages (event ledger)'!$A$2:$A$65,AW$2,'Outages (event ledger)'!$E$2:$E$65,"&lt;="&amp;$B190,'Outages (event ledger)'!$G$2:$G$65,"&gt;="&amp;$B190)</f>
        <v>0</v>
      </c>
      <c r="AX190" s="29" t="n">
        <f aca="false">SUMIFS('Outages (event ledger)'!$H$2:$H$65,'Outages (event ledger)'!$A$2:$A$65,AX$2,'Outages (event ledger)'!$E$2:$E$65,"&lt;="&amp;$B190,'Outages (event ledger)'!$G$2:$G$65,"&gt;="&amp;$B190)</f>
        <v>6.6</v>
      </c>
      <c r="AY190" s="29" t="n">
        <f aca="false">SUMIFS('Outages (event ledger)'!$H$2:$H$65,'Outages (event ledger)'!$A$2:$A$65,AY$2,'Outages (event ledger)'!$E$2:$E$65,"&lt;="&amp;$B190,'Outages (event ledger)'!$G$2:$G$65,"&gt;="&amp;$B190)</f>
        <v>0</v>
      </c>
      <c r="AZ190" s="29" t="n">
        <f aca="false">SUMIFS('Outages (event ledger)'!$H$2:$H$65,'Outages (event ledger)'!$A$2:$A$65,AZ$2,'Outages (event ledger)'!$E$2:$E$65,"&lt;="&amp;$B190,'Outages (event ledger)'!$G$2:$G$65,"&gt;="&amp;$B190)</f>
        <v>0</v>
      </c>
      <c r="BA190" s="29" t="n">
        <f aca="false">SUMIFS('Outages (event ledger)'!$H$2:$H$65,'Outages (event ledger)'!$A$2:$A$65,BA$2,'Outages (event ledger)'!$E$2:$E$65,"&lt;="&amp;$B190,'Outages (event ledger)'!$G$2:$G$65,"&gt;="&amp;$B190)</f>
        <v>0</v>
      </c>
      <c r="BB190" s="29" t="n">
        <f aca="false">SUMIFS('Outages (event ledger)'!$H$2:$H$65,'Outages (event ledger)'!$A$2:$A$65,BB$2,'Outages (event ledger)'!$E$2:$E$65,"&lt;="&amp;$B190,'Outages (event ledger)'!$G$2:$G$65,"&gt;="&amp;$B190)</f>
        <v>0</v>
      </c>
      <c r="BC190" s="29" t="n">
        <f aca="false">SUMIFS('Outages (event ledger)'!$H$2:$H$65,'Outages (event ledger)'!$A$2:$A$65,BC$2,'Outages (event ledger)'!$E$2:$E$65,"&lt;="&amp;$B190,'Outages (event ledger)'!$G$2:$G$65,"&gt;="&amp;$B190)</f>
        <v>0</v>
      </c>
      <c r="BD190" s="29" t="n">
        <f aca="false">SUMIFS('Outages (event ledger)'!$H$2:$H$65,'Outages (event ledger)'!$A$2:$A$65,BD$2,'Outages (event ledger)'!$E$2:$E$65,"&lt;="&amp;$B190,'Outages (event ledger)'!$G$2:$G$65,"&gt;="&amp;$B190)</f>
        <v>0</v>
      </c>
      <c r="BE190" s="29" t="n">
        <f aca="false">SUMIFS('Outages (event ledger)'!$H$2:$H$65,'Outages (event ledger)'!$A$2:$A$65,BE$2,'Outages (event ledger)'!$E$2:$E$65,"&lt;="&amp;$B190,'Outages (event ledger)'!$G$2:$G$65,"&gt;="&amp;$B190)</f>
        <v>0</v>
      </c>
      <c r="BF190" s="29" t="n">
        <f aca="false">SUMIFS('Outages (event ledger)'!$H$2:$H$65,'Outages (event ledger)'!$A$2:$A$65,BF$2,'Outages (event ledger)'!$E$2:$E$65,"&lt;="&amp;$B190,'Outages (event ledger)'!$G$2:$G$65,"&gt;="&amp;$B190)</f>
        <v>0</v>
      </c>
      <c r="BG190" s="29" t="n">
        <f aca="false">SUMIFS('Outages (event ledger)'!$H$2:$H$65,'Outages (event ledger)'!$A$2:$A$65,BG$2,'Outages (event ledger)'!$E$2:$E$65,"&lt;="&amp;$B190,'Outages (event ledger)'!$G$2:$G$65,"&gt;="&amp;$B190)</f>
        <v>0</v>
      </c>
      <c r="BH190" s="29" t="n">
        <f aca="false">SUMIFS('Outages (event ledger)'!$H$2:$H$65,'Outages (event ledger)'!$A$2:$A$65,BH$2,'Outages (event ledger)'!$E$2:$E$65,"&lt;="&amp;$B190,'Outages (event ledger)'!$G$2:$G$65,"&gt;="&amp;$B190)</f>
        <v>0</v>
      </c>
      <c r="BI190" s="29" t="n">
        <f aca="false">SUMIFS('Outages (event ledger)'!$H$2:$H$65,'Outages (event ledger)'!$A$2:$A$65,BI$2,'Outages (event ledger)'!$E$2:$E$65,"&lt;="&amp;$B190,'Outages (event ledger)'!$G$2:$G$65,"&gt;="&amp;$B190)</f>
        <v>6.7</v>
      </c>
    </row>
    <row r="191" customFormat="false" ht="15" hidden="false" customHeight="false" outlineLevel="0" collapsed="false">
      <c r="A191" s="27" t="n">
        <v>45901</v>
      </c>
      <c r="B191" s="28" t="n">
        <v>202509</v>
      </c>
      <c r="C191" s="25" t="n">
        <f aca="false">SUM(D191:BI191)</f>
        <v>23.3</v>
      </c>
      <c r="D191" s="29" t="n">
        <f aca="false">SUMIFS('Outages (event ledger)'!$H$2:$H$65,'Outages (event ledger)'!$A$2:$A$65,D$2,'Outages (event ledger)'!$E$2:$E$65,"&lt;="&amp;$B191,'Outages (event ledger)'!$G$2:$G$65,"&gt;="&amp;$B191)</f>
        <v>0</v>
      </c>
      <c r="E191" s="29" t="n">
        <f aca="false">SUMIFS('Outages (event ledger)'!$H$2:$H$65,'Outages (event ledger)'!$A$2:$A$65,E$2,'Outages (event ledger)'!$E$2:$E$65,"&lt;="&amp;$B191,'Outages (event ledger)'!$G$2:$G$65,"&gt;="&amp;$B191)</f>
        <v>0</v>
      </c>
      <c r="F191" s="29" t="n">
        <f aca="false">SUMIFS('Outages (event ledger)'!$H$2:$H$65,'Outages (event ledger)'!$A$2:$A$65,F$2,'Outages (event ledger)'!$E$2:$E$65,"&lt;="&amp;$B191,'Outages (event ledger)'!$G$2:$G$65,"&gt;="&amp;$B191)</f>
        <v>0</v>
      </c>
      <c r="G191" s="29" t="n">
        <f aca="false">SUMIFS('Outages (event ledger)'!$H$2:$H$65,'Outages (event ledger)'!$A$2:$A$65,G$2,'Outages (event ledger)'!$E$2:$E$65,"&lt;="&amp;$B191,'Outages (event ledger)'!$G$2:$G$65,"&gt;="&amp;$B191)</f>
        <v>0</v>
      </c>
      <c r="H191" s="29" t="n">
        <f aca="false">SUMIFS('Outages (event ledger)'!$H$2:$H$65,'Outages (event ledger)'!$A$2:$A$65,H$2,'Outages (event ledger)'!$E$2:$E$65,"&lt;="&amp;$B191,'Outages (event ledger)'!$G$2:$G$65,"&gt;="&amp;$B191)</f>
        <v>0</v>
      </c>
      <c r="I191" s="29" t="n">
        <f aca="false">SUMIFS('Outages (event ledger)'!$H$2:$H$65,'Outages (event ledger)'!$A$2:$A$65,I$2,'Outages (event ledger)'!$E$2:$E$65,"&lt;="&amp;$B191,'Outages (event ledger)'!$G$2:$G$65,"&gt;="&amp;$B191)</f>
        <v>0</v>
      </c>
      <c r="J191" s="29" t="n">
        <f aca="false">SUMIFS('Outages (event ledger)'!$H$2:$H$65,'Outages (event ledger)'!$A$2:$A$65,J$2,'Outages (event ledger)'!$E$2:$E$65,"&lt;="&amp;$B191,'Outages (event ledger)'!$G$2:$G$65,"&gt;="&amp;$B191)</f>
        <v>0</v>
      </c>
      <c r="K191" s="29" t="n">
        <f aca="false">SUMIFS('Outages (event ledger)'!$H$2:$H$65,'Outages (event ledger)'!$A$2:$A$65,K$2,'Outages (event ledger)'!$E$2:$E$65,"&lt;="&amp;$B191,'Outages (event ledger)'!$G$2:$G$65,"&gt;="&amp;$B191)</f>
        <v>0</v>
      </c>
      <c r="L191" s="29" t="n">
        <f aca="false">SUMIFS('Outages (event ledger)'!$H$2:$H$65,'Outages (event ledger)'!$A$2:$A$65,L$2,'Outages (event ledger)'!$E$2:$E$65,"&lt;="&amp;$B191,'Outages (event ledger)'!$G$2:$G$65,"&gt;="&amp;$B191)</f>
        <v>0</v>
      </c>
      <c r="M191" s="29" t="n">
        <f aca="false">SUMIFS('Outages (event ledger)'!$H$2:$H$65,'Outages (event ledger)'!$A$2:$A$65,M$2,'Outages (event ledger)'!$E$2:$E$65,"&lt;="&amp;$B191,'Outages (event ledger)'!$G$2:$G$65,"&gt;="&amp;$B191)</f>
        <v>0</v>
      </c>
      <c r="N191" s="29" t="n">
        <f aca="false">SUMIFS('Outages (event ledger)'!$H$2:$H$65,'Outages (event ledger)'!$A$2:$A$65,N$2,'Outages (event ledger)'!$E$2:$E$65,"&lt;="&amp;$B191,'Outages (event ledger)'!$G$2:$G$65,"&gt;="&amp;$B191)</f>
        <v>0</v>
      </c>
      <c r="O191" s="29" t="n">
        <f aca="false">SUMIFS('Outages (event ledger)'!$H$2:$H$65,'Outages (event ledger)'!$A$2:$A$65,O$2,'Outages (event ledger)'!$E$2:$E$65,"&lt;="&amp;$B191,'Outages (event ledger)'!$G$2:$G$65,"&gt;="&amp;$B191)</f>
        <v>0</v>
      </c>
      <c r="P191" s="29" t="n">
        <f aca="false">SUMIFS('Outages (event ledger)'!$H$2:$H$65,'Outages (event ledger)'!$A$2:$A$65,P$2,'Outages (event ledger)'!$E$2:$E$65,"&lt;="&amp;$B191,'Outages (event ledger)'!$G$2:$G$65,"&gt;="&amp;$B191)</f>
        <v>0</v>
      </c>
      <c r="Q191" s="29" t="n">
        <f aca="false">SUMIFS('Outages (event ledger)'!$H$2:$H$65,'Outages (event ledger)'!$A$2:$A$65,Q$2,'Outages (event ledger)'!$E$2:$E$65,"&lt;="&amp;$B191,'Outages (event ledger)'!$G$2:$G$65,"&gt;="&amp;$B191)</f>
        <v>0</v>
      </c>
      <c r="R191" s="29" t="n">
        <f aca="false">SUMIFS('Outages (event ledger)'!$H$2:$H$65,'Outages (event ledger)'!$A$2:$A$65,R$2,'Outages (event ledger)'!$E$2:$E$65,"&lt;="&amp;$B191,'Outages (event ledger)'!$G$2:$G$65,"&gt;="&amp;$B191)</f>
        <v>0</v>
      </c>
      <c r="S191" s="29" t="n">
        <f aca="false">SUMIFS('Outages (event ledger)'!$H$2:$H$65,'Outages (event ledger)'!$A$2:$A$65,S$2,'Outages (event ledger)'!$E$2:$E$65,"&lt;="&amp;$B191,'Outages (event ledger)'!$G$2:$G$65,"&gt;="&amp;$B191)</f>
        <v>0</v>
      </c>
      <c r="T191" s="29" t="n">
        <f aca="false">SUMIFS('Outages (event ledger)'!$H$2:$H$65,'Outages (event ledger)'!$A$2:$A$65,T$2,'Outages (event ledger)'!$E$2:$E$65,"&lt;="&amp;$B191,'Outages (event ledger)'!$G$2:$G$65,"&gt;="&amp;$B191)</f>
        <v>0</v>
      </c>
      <c r="U191" s="29" t="n">
        <f aca="false">SUMIFS('Outages (event ledger)'!$H$2:$H$65,'Outages (event ledger)'!$A$2:$A$65,U$2,'Outages (event ledger)'!$E$2:$E$65,"&lt;="&amp;$B191,'Outages (event ledger)'!$G$2:$G$65,"&gt;="&amp;$B191)</f>
        <v>0</v>
      </c>
      <c r="V191" s="29" t="n">
        <f aca="false">SUMIFS('Outages (event ledger)'!$H$2:$H$65,'Outages (event ledger)'!$A$2:$A$65,V$2,'Outages (event ledger)'!$E$2:$E$65,"&lt;="&amp;$B191,'Outages (event ledger)'!$G$2:$G$65,"&gt;="&amp;$B191)</f>
        <v>0</v>
      </c>
      <c r="W191" s="29" t="n">
        <f aca="false">SUMIFS('Outages (event ledger)'!$H$2:$H$65,'Outages (event ledger)'!$A$2:$A$65,W$2,'Outages (event ledger)'!$E$2:$E$65,"&lt;="&amp;$B191,'Outages (event ledger)'!$G$2:$G$65,"&gt;="&amp;$B191)</f>
        <v>0</v>
      </c>
      <c r="X191" s="29" t="n">
        <f aca="false">SUMIFS('Outages (event ledger)'!$H$2:$H$65,'Outages (event ledger)'!$A$2:$A$65,X$2,'Outages (event ledger)'!$E$2:$E$65,"&lt;="&amp;$B191,'Outages (event ledger)'!$G$2:$G$65,"&gt;="&amp;$B191)</f>
        <v>0</v>
      </c>
      <c r="Y191" s="29" t="n">
        <f aca="false">SUMIFS('Outages (event ledger)'!$H$2:$H$65,'Outages (event ledger)'!$A$2:$A$65,Y$2,'Outages (event ledger)'!$E$2:$E$65,"&lt;="&amp;$B191,'Outages (event ledger)'!$G$2:$G$65,"&gt;="&amp;$B191)</f>
        <v>0</v>
      </c>
      <c r="Z191" s="29" t="n">
        <f aca="false">SUMIFS('Outages (event ledger)'!$H$2:$H$65,'Outages (event ledger)'!$A$2:$A$65,Z$2,'Outages (event ledger)'!$E$2:$E$65,"&lt;="&amp;$B191,'Outages (event ledger)'!$G$2:$G$65,"&gt;="&amp;$B191)</f>
        <v>0</v>
      </c>
      <c r="AA191" s="29" t="n">
        <f aca="false">SUMIFS('Outages (event ledger)'!$H$2:$H$65,'Outages (event ledger)'!$A$2:$A$65,AA$2,'Outages (event ledger)'!$E$2:$E$65,"&lt;="&amp;$B191,'Outages (event ledger)'!$G$2:$G$65,"&gt;="&amp;$B191)</f>
        <v>2</v>
      </c>
      <c r="AB191" s="29" t="n">
        <f aca="false">SUMIFS('Outages (event ledger)'!$H$2:$H$65,'Outages (event ledger)'!$A$2:$A$65,AB$2,'Outages (event ledger)'!$E$2:$E$65,"&lt;="&amp;$B191,'Outages (event ledger)'!$G$2:$G$65,"&gt;="&amp;$B191)</f>
        <v>8</v>
      </c>
      <c r="AC191" s="29" t="n">
        <f aca="false">SUMIFS('Outages (event ledger)'!$H$2:$H$65,'Outages (event ledger)'!$A$2:$A$65,AC$2,'Outages (event ledger)'!$E$2:$E$65,"&lt;="&amp;$B191,'Outages (event ledger)'!$G$2:$G$65,"&gt;="&amp;$B191)</f>
        <v>0</v>
      </c>
      <c r="AD191" s="29" t="n">
        <f aca="false">SUMIFS('Outages (event ledger)'!$H$2:$H$65,'Outages (event ledger)'!$A$2:$A$65,AD$2,'Outages (event ledger)'!$E$2:$E$65,"&lt;="&amp;$B191,'Outages (event ledger)'!$G$2:$G$65,"&gt;="&amp;$B191)</f>
        <v>0</v>
      </c>
      <c r="AE191" s="29" t="n">
        <f aca="false">SUMIFS('Outages (event ledger)'!$H$2:$H$65,'Outages (event ledger)'!$A$2:$A$65,AE$2,'Outages (event ledger)'!$E$2:$E$65,"&lt;="&amp;$B191,'Outages (event ledger)'!$G$2:$G$65,"&gt;="&amp;$B191)</f>
        <v>0</v>
      </c>
      <c r="AF191" s="29" t="n">
        <f aca="false">SUMIFS('Outages (event ledger)'!$H$2:$H$65,'Outages (event ledger)'!$A$2:$A$65,AF$2,'Outages (event ledger)'!$E$2:$E$65,"&lt;="&amp;$B191,'Outages (event ledger)'!$G$2:$G$65,"&gt;="&amp;$B191)</f>
        <v>0</v>
      </c>
      <c r="AG191" s="29" t="n">
        <f aca="false">SUMIFS('Outages (event ledger)'!$H$2:$H$65,'Outages (event ledger)'!$A$2:$A$65,AG$2,'Outages (event ledger)'!$E$2:$E$65,"&lt;="&amp;$B191,'Outages (event ledger)'!$G$2:$G$65,"&gt;="&amp;$B191)</f>
        <v>0</v>
      </c>
      <c r="AH191" s="29" t="n">
        <f aca="false">SUMIFS('Outages (event ledger)'!$H$2:$H$65,'Outages (event ledger)'!$A$2:$A$65,AH$2,'Outages (event ledger)'!$E$2:$E$65,"&lt;="&amp;$B191,'Outages (event ledger)'!$G$2:$G$65,"&gt;="&amp;$B191)</f>
        <v>0</v>
      </c>
      <c r="AI191" s="29" t="n">
        <f aca="false">SUMIFS('Outages (event ledger)'!$H$2:$H$65,'Outages (event ledger)'!$A$2:$A$65,AI$2,'Outages (event ledger)'!$E$2:$E$65,"&lt;="&amp;$B191,'Outages (event ledger)'!$G$2:$G$65,"&gt;="&amp;$B191)</f>
        <v>0</v>
      </c>
      <c r="AJ191" s="29" t="n">
        <f aca="false">SUMIFS('Outages (event ledger)'!$H$2:$H$65,'Outages (event ledger)'!$A$2:$A$65,AJ$2,'Outages (event ledger)'!$E$2:$E$65,"&lt;="&amp;$B191,'Outages (event ledger)'!$G$2:$G$65,"&gt;="&amp;$B191)</f>
        <v>0</v>
      </c>
      <c r="AK191" s="29" t="n">
        <f aca="false">SUMIFS('Outages (event ledger)'!$H$2:$H$65,'Outages (event ledger)'!$A$2:$A$65,AK$2,'Outages (event ledger)'!$E$2:$E$65,"&lt;="&amp;$B191,'Outages (event ledger)'!$G$2:$G$65,"&gt;="&amp;$B191)</f>
        <v>0</v>
      </c>
      <c r="AL191" s="29" t="n">
        <f aca="false">SUMIFS('Outages (event ledger)'!$H$2:$H$65,'Outages (event ledger)'!$A$2:$A$65,AL$2,'Outages (event ledger)'!$E$2:$E$65,"&lt;="&amp;$B191,'Outages (event ledger)'!$G$2:$G$65,"&gt;="&amp;$B191)</f>
        <v>0</v>
      </c>
      <c r="AM191" s="29" t="n">
        <f aca="false">SUMIFS('Outages (event ledger)'!$H$2:$H$65,'Outages (event ledger)'!$A$2:$A$65,AM$2,'Outages (event ledger)'!$E$2:$E$65,"&lt;="&amp;$B191,'Outages (event ledger)'!$G$2:$G$65,"&gt;="&amp;$B191)</f>
        <v>0</v>
      </c>
      <c r="AN191" s="29" t="n">
        <f aca="false">SUMIFS('Outages (event ledger)'!$H$2:$H$65,'Outages (event ledger)'!$A$2:$A$65,AN$2,'Outages (event ledger)'!$E$2:$E$65,"&lt;="&amp;$B191,'Outages (event ledger)'!$G$2:$G$65,"&gt;="&amp;$B191)</f>
        <v>0</v>
      </c>
      <c r="AO191" s="29" t="n">
        <f aca="false">SUMIFS('Outages (event ledger)'!$H$2:$H$65,'Outages (event ledger)'!$A$2:$A$65,AO$2,'Outages (event ledger)'!$E$2:$E$65,"&lt;="&amp;$B191,'Outages (event ledger)'!$G$2:$G$65,"&gt;="&amp;$B191)</f>
        <v>0</v>
      </c>
      <c r="AP191" s="29" t="n">
        <f aca="false">SUMIFS('Outages (event ledger)'!$H$2:$H$65,'Outages (event ledger)'!$A$2:$A$65,AP$2,'Outages (event ledger)'!$E$2:$E$65,"&lt;="&amp;$B191,'Outages (event ledger)'!$G$2:$G$65,"&gt;="&amp;$B191)</f>
        <v>0</v>
      </c>
      <c r="AQ191" s="29" t="n">
        <f aca="false">SUMIFS('Outages (event ledger)'!$H$2:$H$65,'Outages (event ledger)'!$A$2:$A$65,AQ$2,'Outages (event ledger)'!$E$2:$E$65,"&lt;="&amp;$B191,'Outages (event ledger)'!$G$2:$G$65,"&gt;="&amp;$B191)</f>
        <v>0</v>
      </c>
      <c r="AR191" s="29" t="n">
        <f aca="false">SUMIFS('Outages (event ledger)'!$H$2:$H$65,'Outages (event ledger)'!$A$2:$A$65,AR$2,'Outages (event ledger)'!$E$2:$E$65,"&lt;="&amp;$B191,'Outages (event ledger)'!$G$2:$G$65,"&gt;="&amp;$B191)</f>
        <v>0</v>
      </c>
      <c r="AS191" s="29" t="n">
        <f aca="false">SUMIFS('Outages (event ledger)'!$H$2:$H$65,'Outages (event ledger)'!$A$2:$A$65,AS$2,'Outages (event ledger)'!$E$2:$E$65,"&lt;="&amp;$B191,'Outages (event ledger)'!$G$2:$G$65,"&gt;="&amp;$B191)</f>
        <v>0</v>
      </c>
      <c r="AT191" s="29" t="n">
        <f aca="false">SUMIFS('Outages (event ledger)'!$H$2:$H$65,'Outages (event ledger)'!$A$2:$A$65,AT$2,'Outages (event ledger)'!$E$2:$E$65,"&lt;="&amp;$B191,'Outages (event ledger)'!$G$2:$G$65,"&gt;="&amp;$B191)</f>
        <v>0</v>
      </c>
      <c r="AU191" s="29" t="n">
        <f aca="false">SUMIFS('Outages (event ledger)'!$H$2:$H$65,'Outages (event ledger)'!$A$2:$A$65,AU$2,'Outages (event ledger)'!$E$2:$E$65,"&lt;="&amp;$B191,'Outages (event ledger)'!$G$2:$G$65,"&gt;="&amp;$B191)</f>
        <v>0</v>
      </c>
      <c r="AV191" s="29" t="n">
        <f aca="false">SUMIFS('Outages (event ledger)'!$H$2:$H$65,'Outages (event ledger)'!$A$2:$A$65,AV$2,'Outages (event ledger)'!$E$2:$E$65,"&lt;="&amp;$B191,'Outages (event ledger)'!$G$2:$G$65,"&gt;="&amp;$B191)</f>
        <v>0</v>
      </c>
      <c r="AW191" s="29" t="n">
        <f aca="false">SUMIFS('Outages (event ledger)'!$H$2:$H$65,'Outages (event ledger)'!$A$2:$A$65,AW$2,'Outages (event ledger)'!$E$2:$E$65,"&lt;="&amp;$B191,'Outages (event ledger)'!$G$2:$G$65,"&gt;="&amp;$B191)</f>
        <v>0</v>
      </c>
      <c r="AX191" s="29" t="n">
        <f aca="false">SUMIFS('Outages (event ledger)'!$H$2:$H$65,'Outages (event ledger)'!$A$2:$A$65,AX$2,'Outages (event ledger)'!$E$2:$E$65,"&lt;="&amp;$B191,'Outages (event ledger)'!$G$2:$G$65,"&gt;="&amp;$B191)</f>
        <v>6.6</v>
      </c>
      <c r="AY191" s="29" t="n">
        <f aca="false">SUMIFS('Outages (event ledger)'!$H$2:$H$65,'Outages (event ledger)'!$A$2:$A$65,AY$2,'Outages (event ledger)'!$E$2:$E$65,"&lt;="&amp;$B191,'Outages (event ledger)'!$G$2:$G$65,"&gt;="&amp;$B191)</f>
        <v>0</v>
      </c>
      <c r="AZ191" s="29" t="n">
        <f aca="false">SUMIFS('Outages (event ledger)'!$H$2:$H$65,'Outages (event ledger)'!$A$2:$A$65,AZ$2,'Outages (event ledger)'!$E$2:$E$65,"&lt;="&amp;$B191,'Outages (event ledger)'!$G$2:$G$65,"&gt;="&amp;$B191)</f>
        <v>0</v>
      </c>
      <c r="BA191" s="29" t="n">
        <f aca="false">SUMIFS('Outages (event ledger)'!$H$2:$H$65,'Outages (event ledger)'!$A$2:$A$65,BA$2,'Outages (event ledger)'!$E$2:$E$65,"&lt;="&amp;$B191,'Outages (event ledger)'!$G$2:$G$65,"&gt;="&amp;$B191)</f>
        <v>0</v>
      </c>
      <c r="BB191" s="29" t="n">
        <f aca="false">SUMIFS('Outages (event ledger)'!$H$2:$H$65,'Outages (event ledger)'!$A$2:$A$65,BB$2,'Outages (event ledger)'!$E$2:$E$65,"&lt;="&amp;$B191,'Outages (event ledger)'!$G$2:$G$65,"&gt;="&amp;$B191)</f>
        <v>0</v>
      </c>
      <c r="BC191" s="29" t="n">
        <f aca="false">SUMIFS('Outages (event ledger)'!$H$2:$H$65,'Outages (event ledger)'!$A$2:$A$65,BC$2,'Outages (event ledger)'!$E$2:$E$65,"&lt;="&amp;$B191,'Outages (event ledger)'!$G$2:$G$65,"&gt;="&amp;$B191)</f>
        <v>0</v>
      </c>
      <c r="BD191" s="29" t="n">
        <f aca="false">SUMIFS('Outages (event ledger)'!$H$2:$H$65,'Outages (event ledger)'!$A$2:$A$65,BD$2,'Outages (event ledger)'!$E$2:$E$65,"&lt;="&amp;$B191,'Outages (event ledger)'!$G$2:$G$65,"&gt;="&amp;$B191)</f>
        <v>0</v>
      </c>
      <c r="BE191" s="29" t="n">
        <f aca="false">SUMIFS('Outages (event ledger)'!$H$2:$H$65,'Outages (event ledger)'!$A$2:$A$65,BE$2,'Outages (event ledger)'!$E$2:$E$65,"&lt;="&amp;$B191,'Outages (event ledger)'!$G$2:$G$65,"&gt;="&amp;$B191)</f>
        <v>0</v>
      </c>
      <c r="BF191" s="29" t="n">
        <f aca="false">SUMIFS('Outages (event ledger)'!$H$2:$H$65,'Outages (event ledger)'!$A$2:$A$65,BF$2,'Outages (event ledger)'!$E$2:$E$65,"&lt;="&amp;$B191,'Outages (event ledger)'!$G$2:$G$65,"&gt;="&amp;$B191)</f>
        <v>0</v>
      </c>
      <c r="BG191" s="29" t="n">
        <f aca="false">SUMIFS('Outages (event ledger)'!$H$2:$H$65,'Outages (event ledger)'!$A$2:$A$65,BG$2,'Outages (event ledger)'!$E$2:$E$65,"&lt;="&amp;$B191,'Outages (event ledger)'!$G$2:$G$65,"&gt;="&amp;$B191)</f>
        <v>0</v>
      </c>
      <c r="BH191" s="29" t="n">
        <f aca="false">SUMIFS('Outages (event ledger)'!$H$2:$H$65,'Outages (event ledger)'!$A$2:$A$65,BH$2,'Outages (event ledger)'!$E$2:$E$65,"&lt;="&amp;$B191,'Outages (event ledger)'!$G$2:$G$65,"&gt;="&amp;$B191)</f>
        <v>0</v>
      </c>
      <c r="BI191" s="29" t="n">
        <f aca="false">SUMIFS('Outages (event ledger)'!$H$2:$H$65,'Outages (event ledger)'!$A$2:$A$65,BI$2,'Outages (event ledger)'!$E$2:$E$65,"&lt;="&amp;$B191,'Outages (event ledger)'!$G$2:$G$65,"&gt;="&amp;$B191)</f>
        <v>6.7</v>
      </c>
    </row>
    <row r="192" customFormat="false" ht="15" hidden="false" customHeight="false" outlineLevel="0" collapsed="false">
      <c r="A192" s="27" t="n">
        <v>45931</v>
      </c>
      <c r="B192" s="28" t="n">
        <v>202510</v>
      </c>
      <c r="C192" s="25" t="n">
        <f aca="false">SUM(D192:BI192)</f>
        <v>23.3</v>
      </c>
      <c r="D192" s="29" t="n">
        <f aca="false">SUMIFS('Outages (event ledger)'!$H$2:$H$65,'Outages (event ledger)'!$A$2:$A$65,D$2,'Outages (event ledger)'!$E$2:$E$65,"&lt;="&amp;$B192,'Outages (event ledger)'!$G$2:$G$65,"&gt;="&amp;$B192)</f>
        <v>0</v>
      </c>
      <c r="E192" s="29" t="n">
        <f aca="false">SUMIFS('Outages (event ledger)'!$H$2:$H$65,'Outages (event ledger)'!$A$2:$A$65,E$2,'Outages (event ledger)'!$E$2:$E$65,"&lt;="&amp;$B192,'Outages (event ledger)'!$G$2:$G$65,"&gt;="&amp;$B192)</f>
        <v>0</v>
      </c>
      <c r="F192" s="29" t="n">
        <f aca="false">SUMIFS('Outages (event ledger)'!$H$2:$H$65,'Outages (event ledger)'!$A$2:$A$65,F$2,'Outages (event ledger)'!$E$2:$E$65,"&lt;="&amp;$B192,'Outages (event ledger)'!$G$2:$G$65,"&gt;="&amp;$B192)</f>
        <v>0</v>
      </c>
      <c r="G192" s="29" t="n">
        <f aca="false">SUMIFS('Outages (event ledger)'!$H$2:$H$65,'Outages (event ledger)'!$A$2:$A$65,G$2,'Outages (event ledger)'!$E$2:$E$65,"&lt;="&amp;$B192,'Outages (event ledger)'!$G$2:$G$65,"&gt;="&amp;$B192)</f>
        <v>0</v>
      </c>
      <c r="H192" s="29" t="n">
        <f aca="false">SUMIFS('Outages (event ledger)'!$H$2:$H$65,'Outages (event ledger)'!$A$2:$A$65,H$2,'Outages (event ledger)'!$E$2:$E$65,"&lt;="&amp;$B192,'Outages (event ledger)'!$G$2:$G$65,"&gt;="&amp;$B192)</f>
        <v>0</v>
      </c>
      <c r="I192" s="29" t="n">
        <f aca="false">SUMIFS('Outages (event ledger)'!$H$2:$H$65,'Outages (event ledger)'!$A$2:$A$65,I$2,'Outages (event ledger)'!$E$2:$E$65,"&lt;="&amp;$B192,'Outages (event ledger)'!$G$2:$G$65,"&gt;="&amp;$B192)</f>
        <v>0</v>
      </c>
      <c r="J192" s="29" t="n">
        <f aca="false">SUMIFS('Outages (event ledger)'!$H$2:$H$65,'Outages (event ledger)'!$A$2:$A$65,J$2,'Outages (event ledger)'!$E$2:$E$65,"&lt;="&amp;$B192,'Outages (event ledger)'!$G$2:$G$65,"&gt;="&amp;$B192)</f>
        <v>0</v>
      </c>
      <c r="K192" s="29" t="n">
        <f aca="false">SUMIFS('Outages (event ledger)'!$H$2:$H$65,'Outages (event ledger)'!$A$2:$A$65,K$2,'Outages (event ledger)'!$E$2:$E$65,"&lt;="&amp;$B192,'Outages (event ledger)'!$G$2:$G$65,"&gt;="&amp;$B192)</f>
        <v>0</v>
      </c>
      <c r="L192" s="29" t="n">
        <f aca="false">SUMIFS('Outages (event ledger)'!$H$2:$H$65,'Outages (event ledger)'!$A$2:$A$65,L$2,'Outages (event ledger)'!$E$2:$E$65,"&lt;="&amp;$B192,'Outages (event ledger)'!$G$2:$G$65,"&gt;="&amp;$B192)</f>
        <v>0</v>
      </c>
      <c r="M192" s="29" t="n">
        <f aca="false">SUMIFS('Outages (event ledger)'!$H$2:$H$65,'Outages (event ledger)'!$A$2:$A$65,M$2,'Outages (event ledger)'!$E$2:$E$65,"&lt;="&amp;$B192,'Outages (event ledger)'!$G$2:$G$65,"&gt;="&amp;$B192)</f>
        <v>0</v>
      </c>
      <c r="N192" s="29" t="n">
        <f aca="false">SUMIFS('Outages (event ledger)'!$H$2:$H$65,'Outages (event ledger)'!$A$2:$A$65,N$2,'Outages (event ledger)'!$E$2:$E$65,"&lt;="&amp;$B192,'Outages (event ledger)'!$G$2:$G$65,"&gt;="&amp;$B192)</f>
        <v>0</v>
      </c>
      <c r="O192" s="29" t="n">
        <f aca="false">SUMIFS('Outages (event ledger)'!$H$2:$H$65,'Outages (event ledger)'!$A$2:$A$65,O$2,'Outages (event ledger)'!$E$2:$E$65,"&lt;="&amp;$B192,'Outages (event ledger)'!$G$2:$G$65,"&gt;="&amp;$B192)</f>
        <v>0</v>
      </c>
      <c r="P192" s="29" t="n">
        <f aca="false">SUMIFS('Outages (event ledger)'!$H$2:$H$65,'Outages (event ledger)'!$A$2:$A$65,P$2,'Outages (event ledger)'!$E$2:$E$65,"&lt;="&amp;$B192,'Outages (event ledger)'!$G$2:$G$65,"&gt;="&amp;$B192)</f>
        <v>0</v>
      </c>
      <c r="Q192" s="29" t="n">
        <f aca="false">SUMIFS('Outages (event ledger)'!$H$2:$H$65,'Outages (event ledger)'!$A$2:$A$65,Q$2,'Outages (event ledger)'!$E$2:$E$65,"&lt;="&amp;$B192,'Outages (event ledger)'!$G$2:$G$65,"&gt;="&amp;$B192)</f>
        <v>0</v>
      </c>
      <c r="R192" s="29" t="n">
        <f aca="false">SUMIFS('Outages (event ledger)'!$H$2:$H$65,'Outages (event ledger)'!$A$2:$A$65,R$2,'Outages (event ledger)'!$E$2:$E$65,"&lt;="&amp;$B192,'Outages (event ledger)'!$G$2:$G$65,"&gt;="&amp;$B192)</f>
        <v>0</v>
      </c>
      <c r="S192" s="29" t="n">
        <f aca="false">SUMIFS('Outages (event ledger)'!$H$2:$H$65,'Outages (event ledger)'!$A$2:$A$65,S$2,'Outages (event ledger)'!$E$2:$E$65,"&lt;="&amp;$B192,'Outages (event ledger)'!$G$2:$G$65,"&gt;="&amp;$B192)</f>
        <v>0</v>
      </c>
      <c r="T192" s="29" t="n">
        <f aca="false">SUMIFS('Outages (event ledger)'!$H$2:$H$65,'Outages (event ledger)'!$A$2:$A$65,T$2,'Outages (event ledger)'!$E$2:$E$65,"&lt;="&amp;$B192,'Outages (event ledger)'!$G$2:$G$65,"&gt;="&amp;$B192)</f>
        <v>0</v>
      </c>
      <c r="U192" s="29" t="n">
        <f aca="false">SUMIFS('Outages (event ledger)'!$H$2:$H$65,'Outages (event ledger)'!$A$2:$A$65,U$2,'Outages (event ledger)'!$E$2:$E$65,"&lt;="&amp;$B192,'Outages (event ledger)'!$G$2:$G$65,"&gt;="&amp;$B192)</f>
        <v>0</v>
      </c>
      <c r="V192" s="29" t="n">
        <f aca="false">SUMIFS('Outages (event ledger)'!$H$2:$H$65,'Outages (event ledger)'!$A$2:$A$65,V$2,'Outages (event ledger)'!$E$2:$E$65,"&lt;="&amp;$B192,'Outages (event ledger)'!$G$2:$G$65,"&gt;="&amp;$B192)</f>
        <v>0</v>
      </c>
      <c r="W192" s="29" t="n">
        <f aca="false">SUMIFS('Outages (event ledger)'!$H$2:$H$65,'Outages (event ledger)'!$A$2:$A$65,W$2,'Outages (event ledger)'!$E$2:$E$65,"&lt;="&amp;$B192,'Outages (event ledger)'!$G$2:$G$65,"&gt;="&amp;$B192)</f>
        <v>0</v>
      </c>
      <c r="X192" s="29" t="n">
        <f aca="false">SUMIFS('Outages (event ledger)'!$H$2:$H$65,'Outages (event ledger)'!$A$2:$A$65,X$2,'Outages (event ledger)'!$E$2:$E$65,"&lt;="&amp;$B192,'Outages (event ledger)'!$G$2:$G$65,"&gt;="&amp;$B192)</f>
        <v>0</v>
      </c>
      <c r="Y192" s="29" t="n">
        <f aca="false">SUMIFS('Outages (event ledger)'!$H$2:$H$65,'Outages (event ledger)'!$A$2:$A$65,Y$2,'Outages (event ledger)'!$E$2:$E$65,"&lt;="&amp;$B192,'Outages (event ledger)'!$G$2:$G$65,"&gt;="&amp;$B192)</f>
        <v>0</v>
      </c>
      <c r="Z192" s="29" t="n">
        <f aca="false">SUMIFS('Outages (event ledger)'!$H$2:$H$65,'Outages (event ledger)'!$A$2:$A$65,Z$2,'Outages (event ledger)'!$E$2:$E$65,"&lt;="&amp;$B192,'Outages (event ledger)'!$G$2:$G$65,"&gt;="&amp;$B192)</f>
        <v>0</v>
      </c>
      <c r="AA192" s="29" t="n">
        <f aca="false">SUMIFS('Outages (event ledger)'!$H$2:$H$65,'Outages (event ledger)'!$A$2:$A$65,AA$2,'Outages (event ledger)'!$E$2:$E$65,"&lt;="&amp;$B192,'Outages (event ledger)'!$G$2:$G$65,"&gt;="&amp;$B192)</f>
        <v>2</v>
      </c>
      <c r="AB192" s="29" t="n">
        <f aca="false">SUMIFS('Outages (event ledger)'!$H$2:$H$65,'Outages (event ledger)'!$A$2:$A$65,AB$2,'Outages (event ledger)'!$E$2:$E$65,"&lt;="&amp;$B192,'Outages (event ledger)'!$G$2:$G$65,"&gt;="&amp;$B192)</f>
        <v>8</v>
      </c>
      <c r="AC192" s="29" t="n">
        <f aca="false">SUMIFS('Outages (event ledger)'!$H$2:$H$65,'Outages (event ledger)'!$A$2:$A$65,AC$2,'Outages (event ledger)'!$E$2:$E$65,"&lt;="&amp;$B192,'Outages (event ledger)'!$G$2:$G$65,"&gt;="&amp;$B192)</f>
        <v>0</v>
      </c>
      <c r="AD192" s="29" t="n">
        <f aca="false">SUMIFS('Outages (event ledger)'!$H$2:$H$65,'Outages (event ledger)'!$A$2:$A$65,AD$2,'Outages (event ledger)'!$E$2:$E$65,"&lt;="&amp;$B192,'Outages (event ledger)'!$G$2:$G$65,"&gt;="&amp;$B192)</f>
        <v>0</v>
      </c>
      <c r="AE192" s="29" t="n">
        <f aca="false">SUMIFS('Outages (event ledger)'!$H$2:$H$65,'Outages (event ledger)'!$A$2:$A$65,AE$2,'Outages (event ledger)'!$E$2:$E$65,"&lt;="&amp;$B192,'Outages (event ledger)'!$G$2:$G$65,"&gt;="&amp;$B192)</f>
        <v>0</v>
      </c>
      <c r="AF192" s="29" t="n">
        <f aca="false">SUMIFS('Outages (event ledger)'!$H$2:$H$65,'Outages (event ledger)'!$A$2:$A$65,AF$2,'Outages (event ledger)'!$E$2:$E$65,"&lt;="&amp;$B192,'Outages (event ledger)'!$G$2:$G$65,"&gt;="&amp;$B192)</f>
        <v>0</v>
      </c>
      <c r="AG192" s="29" t="n">
        <f aca="false">SUMIFS('Outages (event ledger)'!$H$2:$H$65,'Outages (event ledger)'!$A$2:$A$65,AG$2,'Outages (event ledger)'!$E$2:$E$65,"&lt;="&amp;$B192,'Outages (event ledger)'!$G$2:$G$65,"&gt;="&amp;$B192)</f>
        <v>0</v>
      </c>
      <c r="AH192" s="29" t="n">
        <f aca="false">SUMIFS('Outages (event ledger)'!$H$2:$H$65,'Outages (event ledger)'!$A$2:$A$65,AH$2,'Outages (event ledger)'!$E$2:$E$65,"&lt;="&amp;$B192,'Outages (event ledger)'!$G$2:$G$65,"&gt;="&amp;$B192)</f>
        <v>0</v>
      </c>
      <c r="AI192" s="29" t="n">
        <f aca="false">SUMIFS('Outages (event ledger)'!$H$2:$H$65,'Outages (event ledger)'!$A$2:$A$65,AI$2,'Outages (event ledger)'!$E$2:$E$65,"&lt;="&amp;$B192,'Outages (event ledger)'!$G$2:$G$65,"&gt;="&amp;$B192)</f>
        <v>0</v>
      </c>
      <c r="AJ192" s="29" t="n">
        <f aca="false">SUMIFS('Outages (event ledger)'!$H$2:$H$65,'Outages (event ledger)'!$A$2:$A$65,AJ$2,'Outages (event ledger)'!$E$2:$E$65,"&lt;="&amp;$B192,'Outages (event ledger)'!$G$2:$G$65,"&gt;="&amp;$B192)</f>
        <v>0</v>
      </c>
      <c r="AK192" s="29" t="n">
        <f aca="false">SUMIFS('Outages (event ledger)'!$H$2:$H$65,'Outages (event ledger)'!$A$2:$A$65,AK$2,'Outages (event ledger)'!$E$2:$E$65,"&lt;="&amp;$B192,'Outages (event ledger)'!$G$2:$G$65,"&gt;="&amp;$B192)</f>
        <v>0</v>
      </c>
      <c r="AL192" s="29" t="n">
        <f aca="false">SUMIFS('Outages (event ledger)'!$H$2:$H$65,'Outages (event ledger)'!$A$2:$A$65,AL$2,'Outages (event ledger)'!$E$2:$E$65,"&lt;="&amp;$B192,'Outages (event ledger)'!$G$2:$G$65,"&gt;="&amp;$B192)</f>
        <v>0</v>
      </c>
      <c r="AM192" s="29" t="n">
        <f aca="false">SUMIFS('Outages (event ledger)'!$H$2:$H$65,'Outages (event ledger)'!$A$2:$A$65,AM$2,'Outages (event ledger)'!$E$2:$E$65,"&lt;="&amp;$B192,'Outages (event ledger)'!$G$2:$G$65,"&gt;="&amp;$B192)</f>
        <v>0</v>
      </c>
      <c r="AN192" s="29" t="n">
        <f aca="false">SUMIFS('Outages (event ledger)'!$H$2:$H$65,'Outages (event ledger)'!$A$2:$A$65,AN$2,'Outages (event ledger)'!$E$2:$E$65,"&lt;="&amp;$B192,'Outages (event ledger)'!$G$2:$G$65,"&gt;="&amp;$B192)</f>
        <v>0</v>
      </c>
      <c r="AO192" s="29" t="n">
        <f aca="false">SUMIFS('Outages (event ledger)'!$H$2:$H$65,'Outages (event ledger)'!$A$2:$A$65,AO$2,'Outages (event ledger)'!$E$2:$E$65,"&lt;="&amp;$B192,'Outages (event ledger)'!$G$2:$G$65,"&gt;="&amp;$B192)</f>
        <v>0</v>
      </c>
      <c r="AP192" s="29" t="n">
        <f aca="false">SUMIFS('Outages (event ledger)'!$H$2:$H$65,'Outages (event ledger)'!$A$2:$A$65,AP$2,'Outages (event ledger)'!$E$2:$E$65,"&lt;="&amp;$B192,'Outages (event ledger)'!$G$2:$G$65,"&gt;="&amp;$B192)</f>
        <v>0</v>
      </c>
      <c r="AQ192" s="29" t="n">
        <f aca="false">SUMIFS('Outages (event ledger)'!$H$2:$H$65,'Outages (event ledger)'!$A$2:$A$65,AQ$2,'Outages (event ledger)'!$E$2:$E$65,"&lt;="&amp;$B192,'Outages (event ledger)'!$G$2:$G$65,"&gt;="&amp;$B192)</f>
        <v>0</v>
      </c>
      <c r="AR192" s="29" t="n">
        <f aca="false">SUMIFS('Outages (event ledger)'!$H$2:$H$65,'Outages (event ledger)'!$A$2:$A$65,AR$2,'Outages (event ledger)'!$E$2:$E$65,"&lt;="&amp;$B192,'Outages (event ledger)'!$G$2:$G$65,"&gt;="&amp;$B192)</f>
        <v>0</v>
      </c>
      <c r="AS192" s="29" t="n">
        <f aca="false">SUMIFS('Outages (event ledger)'!$H$2:$H$65,'Outages (event ledger)'!$A$2:$A$65,AS$2,'Outages (event ledger)'!$E$2:$E$65,"&lt;="&amp;$B192,'Outages (event ledger)'!$G$2:$G$65,"&gt;="&amp;$B192)</f>
        <v>0</v>
      </c>
      <c r="AT192" s="29" t="n">
        <f aca="false">SUMIFS('Outages (event ledger)'!$H$2:$H$65,'Outages (event ledger)'!$A$2:$A$65,AT$2,'Outages (event ledger)'!$E$2:$E$65,"&lt;="&amp;$B192,'Outages (event ledger)'!$G$2:$G$65,"&gt;="&amp;$B192)</f>
        <v>0</v>
      </c>
      <c r="AU192" s="29" t="n">
        <f aca="false">SUMIFS('Outages (event ledger)'!$H$2:$H$65,'Outages (event ledger)'!$A$2:$A$65,AU$2,'Outages (event ledger)'!$E$2:$E$65,"&lt;="&amp;$B192,'Outages (event ledger)'!$G$2:$G$65,"&gt;="&amp;$B192)</f>
        <v>0</v>
      </c>
      <c r="AV192" s="29" t="n">
        <f aca="false">SUMIFS('Outages (event ledger)'!$H$2:$H$65,'Outages (event ledger)'!$A$2:$A$65,AV$2,'Outages (event ledger)'!$E$2:$E$65,"&lt;="&amp;$B192,'Outages (event ledger)'!$G$2:$G$65,"&gt;="&amp;$B192)</f>
        <v>0</v>
      </c>
      <c r="AW192" s="29" t="n">
        <f aca="false">SUMIFS('Outages (event ledger)'!$H$2:$H$65,'Outages (event ledger)'!$A$2:$A$65,AW$2,'Outages (event ledger)'!$E$2:$E$65,"&lt;="&amp;$B192,'Outages (event ledger)'!$G$2:$G$65,"&gt;="&amp;$B192)</f>
        <v>0</v>
      </c>
      <c r="AX192" s="29" t="n">
        <f aca="false">SUMIFS('Outages (event ledger)'!$H$2:$H$65,'Outages (event ledger)'!$A$2:$A$65,AX$2,'Outages (event ledger)'!$E$2:$E$65,"&lt;="&amp;$B192,'Outages (event ledger)'!$G$2:$G$65,"&gt;="&amp;$B192)</f>
        <v>6.6</v>
      </c>
      <c r="AY192" s="29" t="n">
        <f aca="false">SUMIFS('Outages (event ledger)'!$H$2:$H$65,'Outages (event ledger)'!$A$2:$A$65,AY$2,'Outages (event ledger)'!$E$2:$E$65,"&lt;="&amp;$B192,'Outages (event ledger)'!$G$2:$G$65,"&gt;="&amp;$B192)</f>
        <v>0</v>
      </c>
      <c r="AZ192" s="29" t="n">
        <f aca="false">SUMIFS('Outages (event ledger)'!$H$2:$H$65,'Outages (event ledger)'!$A$2:$A$65,AZ$2,'Outages (event ledger)'!$E$2:$E$65,"&lt;="&amp;$B192,'Outages (event ledger)'!$G$2:$G$65,"&gt;="&amp;$B192)</f>
        <v>0</v>
      </c>
      <c r="BA192" s="29" t="n">
        <f aca="false">SUMIFS('Outages (event ledger)'!$H$2:$H$65,'Outages (event ledger)'!$A$2:$A$65,BA$2,'Outages (event ledger)'!$E$2:$E$65,"&lt;="&amp;$B192,'Outages (event ledger)'!$G$2:$G$65,"&gt;="&amp;$B192)</f>
        <v>0</v>
      </c>
      <c r="BB192" s="29" t="n">
        <f aca="false">SUMIFS('Outages (event ledger)'!$H$2:$H$65,'Outages (event ledger)'!$A$2:$A$65,BB$2,'Outages (event ledger)'!$E$2:$E$65,"&lt;="&amp;$B192,'Outages (event ledger)'!$G$2:$G$65,"&gt;="&amp;$B192)</f>
        <v>0</v>
      </c>
      <c r="BC192" s="29" t="n">
        <f aca="false">SUMIFS('Outages (event ledger)'!$H$2:$H$65,'Outages (event ledger)'!$A$2:$A$65,BC$2,'Outages (event ledger)'!$E$2:$E$65,"&lt;="&amp;$B192,'Outages (event ledger)'!$G$2:$G$65,"&gt;="&amp;$B192)</f>
        <v>0</v>
      </c>
      <c r="BD192" s="29" t="n">
        <f aca="false">SUMIFS('Outages (event ledger)'!$H$2:$H$65,'Outages (event ledger)'!$A$2:$A$65,BD$2,'Outages (event ledger)'!$E$2:$E$65,"&lt;="&amp;$B192,'Outages (event ledger)'!$G$2:$G$65,"&gt;="&amp;$B192)</f>
        <v>0</v>
      </c>
      <c r="BE192" s="29" t="n">
        <f aca="false">SUMIFS('Outages (event ledger)'!$H$2:$H$65,'Outages (event ledger)'!$A$2:$A$65,BE$2,'Outages (event ledger)'!$E$2:$E$65,"&lt;="&amp;$B192,'Outages (event ledger)'!$G$2:$G$65,"&gt;="&amp;$B192)</f>
        <v>0</v>
      </c>
      <c r="BF192" s="29" t="n">
        <f aca="false">SUMIFS('Outages (event ledger)'!$H$2:$H$65,'Outages (event ledger)'!$A$2:$A$65,BF$2,'Outages (event ledger)'!$E$2:$E$65,"&lt;="&amp;$B192,'Outages (event ledger)'!$G$2:$G$65,"&gt;="&amp;$B192)</f>
        <v>0</v>
      </c>
      <c r="BG192" s="29" t="n">
        <f aca="false">SUMIFS('Outages (event ledger)'!$H$2:$H$65,'Outages (event ledger)'!$A$2:$A$65,BG$2,'Outages (event ledger)'!$E$2:$E$65,"&lt;="&amp;$B192,'Outages (event ledger)'!$G$2:$G$65,"&gt;="&amp;$B192)</f>
        <v>0</v>
      </c>
      <c r="BH192" s="29" t="n">
        <f aca="false">SUMIFS('Outages (event ledger)'!$H$2:$H$65,'Outages (event ledger)'!$A$2:$A$65,BH$2,'Outages (event ledger)'!$E$2:$E$65,"&lt;="&amp;$B192,'Outages (event ledger)'!$G$2:$G$65,"&gt;="&amp;$B192)</f>
        <v>0</v>
      </c>
      <c r="BI192" s="29" t="n">
        <f aca="false">SUMIFS('Outages (event ledger)'!$H$2:$H$65,'Outages (event ledger)'!$A$2:$A$65,BI$2,'Outages (event ledger)'!$E$2:$E$65,"&lt;="&amp;$B192,'Outages (event ledger)'!$G$2:$G$65,"&gt;="&amp;$B192)</f>
        <v>6.7</v>
      </c>
    </row>
    <row r="193" customFormat="false" ht="15" hidden="false" customHeight="false" outlineLevel="0" collapsed="false">
      <c r="A193" s="27" t="n">
        <v>45962</v>
      </c>
      <c r="B193" s="28" t="n">
        <v>202511</v>
      </c>
      <c r="C193" s="25" t="n">
        <f aca="false">SUM(D193:BI193)</f>
        <v>23.3</v>
      </c>
      <c r="D193" s="29" t="n">
        <f aca="false">SUMIFS('Outages (event ledger)'!$H$2:$H$65,'Outages (event ledger)'!$A$2:$A$65,D$2,'Outages (event ledger)'!$E$2:$E$65,"&lt;="&amp;$B193,'Outages (event ledger)'!$G$2:$G$65,"&gt;="&amp;$B193)</f>
        <v>0</v>
      </c>
      <c r="E193" s="29" t="n">
        <f aca="false">SUMIFS('Outages (event ledger)'!$H$2:$H$65,'Outages (event ledger)'!$A$2:$A$65,E$2,'Outages (event ledger)'!$E$2:$E$65,"&lt;="&amp;$B193,'Outages (event ledger)'!$G$2:$G$65,"&gt;="&amp;$B193)</f>
        <v>0</v>
      </c>
      <c r="F193" s="29" t="n">
        <f aca="false">SUMIFS('Outages (event ledger)'!$H$2:$H$65,'Outages (event ledger)'!$A$2:$A$65,F$2,'Outages (event ledger)'!$E$2:$E$65,"&lt;="&amp;$B193,'Outages (event ledger)'!$G$2:$G$65,"&gt;="&amp;$B193)</f>
        <v>0</v>
      </c>
      <c r="G193" s="29" t="n">
        <f aca="false">SUMIFS('Outages (event ledger)'!$H$2:$H$65,'Outages (event ledger)'!$A$2:$A$65,G$2,'Outages (event ledger)'!$E$2:$E$65,"&lt;="&amp;$B193,'Outages (event ledger)'!$G$2:$G$65,"&gt;="&amp;$B193)</f>
        <v>0</v>
      </c>
      <c r="H193" s="29" t="n">
        <f aca="false">SUMIFS('Outages (event ledger)'!$H$2:$H$65,'Outages (event ledger)'!$A$2:$A$65,H$2,'Outages (event ledger)'!$E$2:$E$65,"&lt;="&amp;$B193,'Outages (event ledger)'!$G$2:$G$65,"&gt;="&amp;$B193)</f>
        <v>0</v>
      </c>
      <c r="I193" s="29" t="n">
        <f aca="false">SUMIFS('Outages (event ledger)'!$H$2:$H$65,'Outages (event ledger)'!$A$2:$A$65,I$2,'Outages (event ledger)'!$E$2:$E$65,"&lt;="&amp;$B193,'Outages (event ledger)'!$G$2:$G$65,"&gt;="&amp;$B193)</f>
        <v>0</v>
      </c>
      <c r="J193" s="29" t="n">
        <f aca="false">SUMIFS('Outages (event ledger)'!$H$2:$H$65,'Outages (event ledger)'!$A$2:$A$65,J$2,'Outages (event ledger)'!$E$2:$E$65,"&lt;="&amp;$B193,'Outages (event ledger)'!$G$2:$G$65,"&gt;="&amp;$B193)</f>
        <v>0</v>
      </c>
      <c r="K193" s="29" t="n">
        <f aca="false">SUMIFS('Outages (event ledger)'!$H$2:$H$65,'Outages (event ledger)'!$A$2:$A$65,K$2,'Outages (event ledger)'!$E$2:$E$65,"&lt;="&amp;$B193,'Outages (event ledger)'!$G$2:$G$65,"&gt;="&amp;$B193)</f>
        <v>0</v>
      </c>
      <c r="L193" s="29" t="n">
        <f aca="false">SUMIFS('Outages (event ledger)'!$H$2:$H$65,'Outages (event ledger)'!$A$2:$A$65,L$2,'Outages (event ledger)'!$E$2:$E$65,"&lt;="&amp;$B193,'Outages (event ledger)'!$G$2:$G$65,"&gt;="&amp;$B193)</f>
        <v>0</v>
      </c>
      <c r="M193" s="29" t="n">
        <f aca="false">SUMIFS('Outages (event ledger)'!$H$2:$H$65,'Outages (event ledger)'!$A$2:$A$65,M$2,'Outages (event ledger)'!$E$2:$E$65,"&lt;="&amp;$B193,'Outages (event ledger)'!$G$2:$G$65,"&gt;="&amp;$B193)</f>
        <v>0</v>
      </c>
      <c r="N193" s="29" t="n">
        <f aca="false">SUMIFS('Outages (event ledger)'!$H$2:$H$65,'Outages (event ledger)'!$A$2:$A$65,N$2,'Outages (event ledger)'!$E$2:$E$65,"&lt;="&amp;$B193,'Outages (event ledger)'!$G$2:$G$65,"&gt;="&amp;$B193)</f>
        <v>0</v>
      </c>
      <c r="O193" s="29" t="n">
        <f aca="false">SUMIFS('Outages (event ledger)'!$H$2:$H$65,'Outages (event ledger)'!$A$2:$A$65,O$2,'Outages (event ledger)'!$E$2:$E$65,"&lt;="&amp;$B193,'Outages (event ledger)'!$G$2:$G$65,"&gt;="&amp;$B193)</f>
        <v>0</v>
      </c>
      <c r="P193" s="29" t="n">
        <f aca="false">SUMIFS('Outages (event ledger)'!$H$2:$H$65,'Outages (event ledger)'!$A$2:$A$65,P$2,'Outages (event ledger)'!$E$2:$E$65,"&lt;="&amp;$B193,'Outages (event ledger)'!$G$2:$G$65,"&gt;="&amp;$B193)</f>
        <v>0</v>
      </c>
      <c r="Q193" s="29" t="n">
        <f aca="false">SUMIFS('Outages (event ledger)'!$H$2:$H$65,'Outages (event ledger)'!$A$2:$A$65,Q$2,'Outages (event ledger)'!$E$2:$E$65,"&lt;="&amp;$B193,'Outages (event ledger)'!$G$2:$G$65,"&gt;="&amp;$B193)</f>
        <v>0</v>
      </c>
      <c r="R193" s="29" t="n">
        <f aca="false">SUMIFS('Outages (event ledger)'!$H$2:$H$65,'Outages (event ledger)'!$A$2:$A$65,R$2,'Outages (event ledger)'!$E$2:$E$65,"&lt;="&amp;$B193,'Outages (event ledger)'!$G$2:$G$65,"&gt;="&amp;$B193)</f>
        <v>0</v>
      </c>
      <c r="S193" s="29" t="n">
        <f aca="false">SUMIFS('Outages (event ledger)'!$H$2:$H$65,'Outages (event ledger)'!$A$2:$A$65,S$2,'Outages (event ledger)'!$E$2:$E$65,"&lt;="&amp;$B193,'Outages (event ledger)'!$G$2:$G$65,"&gt;="&amp;$B193)</f>
        <v>0</v>
      </c>
      <c r="T193" s="29" t="n">
        <f aca="false">SUMIFS('Outages (event ledger)'!$H$2:$H$65,'Outages (event ledger)'!$A$2:$A$65,T$2,'Outages (event ledger)'!$E$2:$E$65,"&lt;="&amp;$B193,'Outages (event ledger)'!$G$2:$G$65,"&gt;="&amp;$B193)</f>
        <v>0</v>
      </c>
      <c r="U193" s="29" t="n">
        <f aca="false">SUMIFS('Outages (event ledger)'!$H$2:$H$65,'Outages (event ledger)'!$A$2:$A$65,U$2,'Outages (event ledger)'!$E$2:$E$65,"&lt;="&amp;$B193,'Outages (event ledger)'!$G$2:$G$65,"&gt;="&amp;$B193)</f>
        <v>0</v>
      </c>
      <c r="V193" s="29" t="n">
        <f aca="false">SUMIFS('Outages (event ledger)'!$H$2:$H$65,'Outages (event ledger)'!$A$2:$A$65,V$2,'Outages (event ledger)'!$E$2:$E$65,"&lt;="&amp;$B193,'Outages (event ledger)'!$G$2:$G$65,"&gt;="&amp;$B193)</f>
        <v>0</v>
      </c>
      <c r="W193" s="29" t="n">
        <f aca="false">SUMIFS('Outages (event ledger)'!$H$2:$H$65,'Outages (event ledger)'!$A$2:$A$65,W$2,'Outages (event ledger)'!$E$2:$E$65,"&lt;="&amp;$B193,'Outages (event ledger)'!$G$2:$G$65,"&gt;="&amp;$B193)</f>
        <v>0</v>
      </c>
      <c r="X193" s="29" t="n">
        <f aca="false">SUMIFS('Outages (event ledger)'!$H$2:$H$65,'Outages (event ledger)'!$A$2:$A$65,X$2,'Outages (event ledger)'!$E$2:$E$65,"&lt;="&amp;$B193,'Outages (event ledger)'!$G$2:$G$65,"&gt;="&amp;$B193)</f>
        <v>0</v>
      </c>
      <c r="Y193" s="29" t="n">
        <f aca="false">SUMIFS('Outages (event ledger)'!$H$2:$H$65,'Outages (event ledger)'!$A$2:$A$65,Y$2,'Outages (event ledger)'!$E$2:$E$65,"&lt;="&amp;$B193,'Outages (event ledger)'!$G$2:$G$65,"&gt;="&amp;$B193)</f>
        <v>0</v>
      </c>
      <c r="Z193" s="29" t="n">
        <f aca="false">SUMIFS('Outages (event ledger)'!$H$2:$H$65,'Outages (event ledger)'!$A$2:$A$65,Z$2,'Outages (event ledger)'!$E$2:$E$65,"&lt;="&amp;$B193,'Outages (event ledger)'!$G$2:$G$65,"&gt;="&amp;$B193)</f>
        <v>0</v>
      </c>
      <c r="AA193" s="29" t="n">
        <f aca="false">SUMIFS('Outages (event ledger)'!$H$2:$H$65,'Outages (event ledger)'!$A$2:$A$65,AA$2,'Outages (event ledger)'!$E$2:$E$65,"&lt;="&amp;$B193,'Outages (event ledger)'!$G$2:$G$65,"&gt;="&amp;$B193)</f>
        <v>2</v>
      </c>
      <c r="AB193" s="29" t="n">
        <f aca="false">SUMIFS('Outages (event ledger)'!$H$2:$H$65,'Outages (event ledger)'!$A$2:$A$65,AB$2,'Outages (event ledger)'!$E$2:$E$65,"&lt;="&amp;$B193,'Outages (event ledger)'!$G$2:$G$65,"&gt;="&amp;$B193)</f>
        <v>8</v>
      </c>
      <c r="AC193" s="29" t="n">
        <f aca="false">SUMIFS('Outages (event ledger)'!$H$2:$H$65,'Outages (event ledger)'!$A$2:$A$65,AC$2,'Outages (event ledger)'!$E$2:$E$65,"&lt;="&amp;$B193,'Outages (event ledger)'!$G$2:$G$65,"&gt;="&amp;$B193)</f>
        <v>0</v>
      </c>
      <c r="AD193" s="29" t="n">
        <f aca="false">SUMIFS('Outages (event ledger)'!$H$2:$H$65,'Outages (event ledger)'!$A$2:$A$65,AD$2,'Outages (event ledger)'!$E$2:$E$65,"&lt;="&amp;$B193,'Outages (event ledger)'!$G$2:$G$65,"&gt;="&amp;$B193)</f>
        <v>0</v>
      </c>
      <c r="AE193" s="29" t="n">
        <f aca="false">SUMIFS('Outages (event ledger)'!$H$2:$H$65,'Outages (event ledger)'!$A$2:$A$65,AE$2,'Outages (event ledger)'!$E$2:$E$65,"&lt;="&amp;$B193,'Outages (event ledger)'!$G$2:$G$65,"&gt;="&amp;$B193)</f>
        <v>0</v>
      </c>
      <c r="AF193" s="29" t="n">
        <f aca="false">SUMIFS('Outages (event ledger)'!$H$2:$H$65,'Outages (event ledger)'!$A$2:$A$65,AF$2,'Outages (event ledger)'!$E$2:$E$65,"&lt;="&amp;$B193,'Outages (event ledger)'!$G$2:$G$65,"&gt;="&amp;$B193)</f>
        <v>0</v>
      </c>
      <c r="AG193" s="29" t="n">
        <f aca="false">SUMIFS('Outages (event ledger)'!$H$2:$H$65,'Outages (event ledger)'!$A$2:$A$65,AG$2,'Outages (event ledger)'!$E$2:$E$65,"&lt;="&amp;$B193,'Outages (event ledger)'!$G$2:$G$65,"&gt;="&amp;$B193)</f>
        <v>0</v>
      </c>
      <c r="AH193" s="29" t="n">
        <f aca="false">SUMIFS('Outages (event ledger)'!$H$2:$H$65,'Outages (event ledger)'!$A$2:$A$65,AH$2,'Outages (event ledger)'!$E$2:$E$65,"&lt;="&amp;$B193,'Outages (event ledger)'!$G$2:$G$65,"&gt;="&amp;$B193)</f>
        <v>0</v>
      </c>
      <c r="AI193" s="29" t="n">
        <f aca="false">SUMIFS('Outages (event ledger)'!$H$2:$H$65,'Outages (event ledger)'!$A$2:$A$65,AI$2,'Outages (event ledger)'!$E$2:$E$65,"&lt;="&amp;$B193,'Outages (event ledger)'!$G$2:$G$65,"&gt;="&amp;$B193)</f>
        <v>0</v>
      </c>
      <c r="AJ193" s="29" t="n">
        <f aca="false">SUMIFS('Outages (event ledger)'!$H$2:$H$65,'Outages (event ledger)'!$A$2:$A$65,AJ$2,'Outages (event ledger)'!$E$2:$E$65,"&lt;="&amp;$B193,'Outages (event ledger)'!$G$2:$G$65,"&gt;="&amp;$B193)</f>
        <v>0</v>
      </c>
      <c r="AK193" s="29" t="n">
        <f aca="false">SUMIFS('Outages (event ledger)'!$H$2:$H$65,'Outages (event ledger)'!$A$2:$A$65,AK$2,'Outages (event ledger)'!$E$2:$E$65,"&lt;="&amp;$B193,'Outages (event ledger)'!$G$2:$G$65,"&gt;="&amp;$B193)</f>
        <v>0</v>
      </c>
      <c r="AL193" s="29" t="n">
        <f aca="false">SUMIFS('Outages (event ledger)'!$H$2:$H$65,'Outages (event ledger)'!$A$2:$A$65,AL$2,'Outages (event ledger)'!$E$2:$E$65,"&lt;="&amp;$B193,'Outages (event ledger)'!$G$2:$G$65,"&gt;="&amp;$B193)</f>
        <v>0</v>
      </c>
      <c r="AM193" s="29" t="n">
        <f aca="false">SUMIFS('Outages (event ledger)'!$H$2:$H$65,'Outages (event ledger)'!$A$2:$A$65,AM$2,'Outages (event ledger)'!$E$2:$E$65,"&lt;="&amp;$B193,'Outages (event ledger)'!$G$2:$G$65,"&gt;="&amp;$B193)</f>
        <v>0</v>
      </c>
      <c r="AN193" s="29" t="n">
        <f aca="false">SUMIFS('Outages (event ledger)'!$H$2:$H$65,'Outages (event ledger)'!$A$2:$A$65,AN$2,'Outages (event ledger)'!$E$2:$E$65,"&lt;="&amp;$B193,'Outages (event ledger)'!$G$2:$G$65,"&gt;="&amp;$B193)</f>
        <v>0</v>
      </c>
      <c r="AO193" s="29" t="n">
        <f aca="false">SUMIFS('Outages (event ledger)'!$H$2:$H$65,'Outages (event ledger)'!$A$2:$A$65,AO$2,'Outages (event ledger)'!$E$2:$E$65,"&lt;="&amp;$B193,'Outages (event ledger)'!$G$2:$G$65,"&gt;="&amp;$B193)</f>
        <v>0</v>
      </c>
      <c r="AP193" s="29" t="n">
        <f aca="false">SUMIFS('Outages (event ledger)'!$H$2:$H$65,'Outages (event ledger)'!$A$2:$A$65,AP$2,'Outages (event ledger)'!$E$2:$E$65,"&lt;="&amp;$B193,'Outages (event ledger)'!$G$2:$G$65,"&gt;="&amp;$B193)</f>
        <v>0</v>
      </c>
      <c r="AQ193" s="29" t="n">
        <f aca="false">SUMIFS('Outages (event ledger)'!$H$2:$H$65,'Outages (event ledger)'!$A$2:$A$65,AQ$2,'Outages (event ledger)'!$E$2:$E$65,"&lt;="&amp;$B193,'Outages (event ledger)'!$G$2:$G$65,"&gt;="&amp;$B193)</f>
        <v>0</v>
      </c>
      <c r="AR193" s="29" t="n">
        <f aca="false">SUMIFS('Outages (event ledger)'!$H$2:$H$65,'Outages (event ledger)'!$A$2:$A$65,AR$2,'Outages (event ledger)'!$E$2:$E$65,"&lt;="&amp;$B193,'Outages (event ledger)'!$G$2:$G$65,"&gt;="&amp;$B193)</f>
        <v>0</v>
      </c>
      <c r="AS193" s="29" t="n">
        <f aca="false">SUMIFS('Outages (event ledger)'!$H$2:$H$65,'Outages (event ledger)'!$A$2:$A$65,AS$2,'Outages (event ledger)'!$E$2:$E$65,"&lt;="&amp;$B193,'Outages (event ledger)'!$G$2:$G$65,"&gt;="&amp;$B193)</f>
        <v>0</v>
      </c>
      <c r="AT193" s="29" t="n">
        <f aca="false">SUMIFS('Outages (event ledger)'!$H$2:$H$65,'Outages (event ledger)'!$A$2:$A$65,AT$2,'Outages (event ledger)'!$E$2:$E$65,"&lt;="&amp;$B193,'Outages (event ledger)'!$G$2:$G$65,"&gt;="&amp;$B193)</f>
        <v>0</v>
      </c>
      <c r="AU193" s="29" t="n">
        <f aca="false">SUMIFS('Outages (event ledger)'!$H$2:$H$65,'Outages (event ledger)'!$A$2:$A$65,AU$2,'Outages (event ledger)'!$E$2:$E$65,"&lt;="&amp;$B193,'Outages (event ledger)'!$G$2:$G$65,"&gt;="&amp;$B193)</f>
        <v>0</v>
      </c>
      <c r="AV193" s="29" t="n">
        <f aca="false">SUMIFS('Outages (event ledger)'!$H$2:$H$65,'Outages (event ledger)'!$A$2:$A$65,AV$2,'Outages (event ledger)'!$E$2:$E$65,"&lt;="&amp;$B193,'Outages (event ledger)'!$G$2:$G$65,"&gt;="&amp;$B193)</f>
        <v>0</v>
      </c>
      <c r="AW193" s="29" t="n">
        <f aca="false">SUMIFS('Outages (event ledger)'!$H$2:$H$65,'Outages (event ledger)'!$A$2:$A$65,AW$2,'Outages (event ledger)'!$E$2:$E$65,"&lt;="&amp;$B193,'Outages (event ledger)'!$G$2:$G$65,"&gt;="&amp;$B193)</f>
        <v>0</v>
      </c>
      <c r="AX193" s="29" t="n">
        <f aca="false">SUMIFS('Outages (event ledger)'!$H$2:$H$65,'Outages (event ledger)'!$A$2:$A$65,AX$2,'Outages (event ledger)'!$E$2:$E$65,"&lt;="&amp;$B193,'Outages (event ledger)'!$G$2:$G$65,"&gt;="&amp;$B193)</f>
        <v>6.6</v>
      </c>
      <c r="AY193" s="29" t="n">
        <f aca="false">SUMIFS('Outages (event ledger)'!$H$2:$H$65,'Outages (event ledger)'!$A$2:$A$65,AY$2,'Outages (event ledger)'!$E$2:$E$65,"&lt;="&amp;$B193,'Outages (event ledger)'!$G$2:$G$65,"&gt;="&amp;$B193)</f>
        <v>0</v>
      </c>
      <c r="AZ193" s="29" t="n">
        <f aca="false">SUMIFS('Outages (event ledger)'!$H$2:$H$65,'Outages (event ledger)'!$A$2:$A$65,AZ$2,'Outages (event ledger)'!$E$2:$E$65,"&lt;="&amp;$B193,'Outages (event ledger)'!$G$2:$G$65,"&gt;="&amp;$B193)</f>
        <v>0</v>
      </c>
      <c r="BA193" s="29" t="n">
        <f aca="false">SUMIFS('Outages (event ledger)'!$H$2:$H$65,'Outages (event ledger)'!$A$2:$A$65,BA$2,'Outages (event ledger)'!$E$2:$E$65,"&lt;="&amp;$B193,'Outages (event ledger)'!$G$2:$G$65,"&gt;="&amp;$B193)</f>
        <v>0</v>
      </c>
      <c r="BB193" s="29" t="n">
        <f aca="false">SUMIFS('Outages (event ledger)'!$H$2:$H$65,'Outages (event ledger)'!$A$2:$A$65,BB$2,'Outages (event ledger)'!$E$2:$E$65,"&lt;="&amp;$B193,'Outages (event ledger)'!$G$2:$G$65,"&gt;="&amp;$B193)</f>
        <v>0</v>
      </c>
      <c r="BC193" s="29" t="n">
        <f aca="false">SUMIFS('Outages (event ledger)'!$H$2:$H$65,'Outages (event ledger)'!$A$2:$A$65,BC$2,'Outages (event ledger)'!$E$2:$E$65,"&lt;="&amp;$B193,'Outages (event ledger)'!$G$2:$G$65,"&gt;="&amp;$B193)</f>
        <v>0</v>
      </c>
      <c r="BD193" s="29" t="n">
        <f aca="false">SUMIFS('Outages (event ledger)'!$H$2:$H$65,'Outages (event ledger)'!$A$2:$A$65,BD$2,'Outages (event ledger)'!$E$2:$E$65,"&lt;="&amp;$B193,'Outages (event ledger)'!$G$2:$G$65,"&gt;="&amp;$B193)</f>
        <v>0</v>
      </c>
      <c r="BE193" s="29" t="n">
        <f aca="false">SUMIFS('Outages (event ledger)'!$H$2:$H$65,'Outages (event ledger)'!$A$2:$A$65,BE$2,'Outages (event ledger)'!$E$2:$E$65,"&lt;="&amp;$B193,'Outages (event ledger)'!$G$2:$G$65,"&gt;="&amp;$B193)</f>
        <v>0</v>
      </c>
      <c r="BF193" s="29" t="n">
        <f aca="false">SUMIFS('Outages (event ledger)'!$H$2:$H$65,'Outages (event ledger)'!$A$2:$A$65,BF$2,'Outages (event ledger)'!$E$2:$E$65,"&lt;="&amp;$B193,'Outages (event ledger)'!$G$2:$G$65,"&gt;="&amp;$B193)</f>
        <v>0</v>
      </c>
      <c r="BG193" s="29" t="n">
        <f aca="false">SUMIFS('Outages (event ledger)'!$H$2:$H$65,'Outages (event ledger)'!$A$2:$A$65,BG$2,'Outages (event ledger)'!$E$2:$E$65,"&lt;="&amp;$B193,'Outages (event ledger)'!$G$2:$G$65,"&gt;="&amp;$B193)</f>
        <v>0</v>
      </c>
      <c r="BH193" s="29" t="n">
        <f aca="false">SUMIFS('Outages (event ledger)'!$H$2:$H$65,'Outages (event ledger)'!$A$2:$A$65,BH$2,'Outages (event ledger)'!$E$2:$E$65,"&lt;="&amp;$B193,'Outages (event ledger)'!$G$2:$G$65,"&gt;="&amp;$B193)</f>
        <v>0</v>
      </c>
      <c r="BI193" s="29" t="n">
        <f aca="false">SUMIFS('Outages (event ledger)'!$H$2:$H$65,'Outages (event ledger)'!$A$2:$A$65,BI$2,'Outages (event ledger)'!$E$2:$E$65,"&lt;="&amp;$B193,'Outages (event ledger)'!$G$2:$G$65,"&gt;="&amp;$B193)</f>
        <v>6.7</v>
      </c>
    </row>
    <row r="194" customFormat="false" ht="15" hidden="false" customHeight="false" outlineLevel="0" collapsed="false">
      <c r="A194" s="27" t="n">
        <v>45992</v>
      </c>
      <c r="B194" s="28" t="n">
        <v>202512</v>
      </c>
      <c r="C194" s="25" t="n">
        <f aca="false">SUM(D194:BI194)</f>
        <v>23.3</v>
      </c>
      <c r="D194" s="29" t="n">
        <f aca="false">SUMIFS('Outages (event ledger)'!$H$2:$H$65,'Outages (event ledger)'!$A$2:$A$65,D$2,'Outages (event ledger)'!$E$2:$E$65,"&lt;="&amp;$B194,'Outages (event ledger)'!$G$2:$G$65,"&gt;="&amp;$B194)</f>
        <v>0</v>
      </c>
      <c r="E194" s="29" t="n">
        <f aca="false">SUMIFS('Outages (event ledger)'!$H$2:$H$65,'Outages (event ledger)'!$A$2:$A$65,E$2,'Outages (event ledger)'!$E$2:$E$65,"&lt;="&amp;$B194,'Outages (event ledger)'!$G$2:$G$65,"&gt;="&amp;$B194)</f>
        <v>0</v>
      </c>
      <c r="F194" s="29" t="n">
        <f aca="false">SUMIFS('Outages (event ledger)'!$H$2:$H$65,'Outages (event ledger)'!$A$2:$A$65,F$2,'Outages (event ledger)'!$E$2:$E$65,"&lt;="&amp;$B194,'Outages (event ledger)'!$G$2:$G$65,"&gt;="&amp;$B194)</f>
        <v>0</v>
      </c>
      <c r="G194" s="29" t="n">
        <f aca="false">SUMIFS('Outages (event ledger)'!$H$2:$H$65,'Outages (event ledger)'!$A$2:$A$65,G$2,'Outages (event ledger)'!$E$2:$E$65,"&lt;="&amp;$B194,'Outages (event ledger)'!$G$2:$G$65,"&gt;="&amp;$B194)</f>
        <v>0</v>
      </c>
      <c r="H194" s="29" t="n">
        <f aca="false">SUMIFS('Outages (event ledger)'!$H$2:$H$65,'Outages (event ledger)'!$A$2:$A$65,H$2,'Outages (event ledger)'!$E$2:$E$65,"&lt;="&amp;$B194,'Outages (event ledger)'!$G$2:$G$65,"&gt;="&amp;$B194)</f>
        <v>0</v>
      </c>
      <c r="I194" s="29" t="n">
        <f aca="false">SUMIFS('Outages (event ledger)'!$H$2:$H$65,'Outages (event ledger)'!$A$2:$A$65,I$2,'Outages (event ledger)'!$E$2:$E$65,"&lt;="&amp;$B194,'Outages (event ledger)'!$G$2:$G$65,"&gt;="&amp;$B194)</f>
        <v>0</v>
      </c>
      <c r="J194" s="29" t="n">
        <f aca="false">SUMIFS('Outages (event ledger)'!$H$2:$H$65,'Outages (event ledger)'!$A$2:$A$65,J$2,'Outages (event ledger)'!$E$2:$E$65,"&lt;="&amp;$B194,'Outages (event ledger)'!$G$2:$G$65,"&gt;="&amp;$B194)</f>
        <v>0</v>
      </c>
      <c r="K194" s="29" t="n">
        <f aca="false">SUMIFS('Outages (event ledger)'!$H$2:$H$65,'Outages (event ledger)'!$A$2:$A$65,K$2,'Outages (event ledger)'!$E$2:$E$65,"&lt;="&amp;$B194,'Outages (event ledger)'!$G$2:$G$65,"&gt;="&amp;$B194)</f>
        <v>0</v>
      </c>
      <c r="L194" s="29" t="n">
        <f aca="false">SUMIFS('Outages (event ledger)'!$H$2:$H$65,'Outages (event ledger)'!$A$2:$A$65,L$2,'Outages (event ledger)'!$E$2:$E$65,"&lt;="&amp;$B194,'Outages (event ledger)'!$G$2:$G$65,"&gt;="&amp;$B194)</f>
        <v>0</v>
      </c>
      <c r="M194" s="29" t="n">
        <f aca="false">SUMIFS('Outages (event ledger)'!$H$2:$H$65,'Outages (event ledger)'!$A$2:$A$65,M$2,'Outages (event ledger)'!$E$2:$E$65,"&lt;="&amp;$B194,'Outages (event ledger)'!$G$2:$G$65,"&gt;="&amp;$B194)</f>
        <v>0</v>
      </c>
      <c r="N194" s="29" t="n">
        <f aca="false">SUMIFS('Outages (event ledger)'!$H$2:$H$65,'Outages (event ledger)'!$A$2:$A$65,N$2,'Outages (event ledger)'!$E$2:$E$65,"&lt;="&amp;$B194,'Outages (event ledger)'!$G$2:$G$65,"&gt;="&amp;$B194)</f>
        <v>0</v>
      </c>
      <c r="O194" s="29" t="n">
        <f aca="false">SUMIFS('Outages (event ledger)'!$H$2:$H$65,'Outages (event ledger)'!$A$2:$A$65,O$2,'Outages (event ledger)'!$E$2:$E$65,"&lt;="&amp;$B194,'Outages (event ledger)'!$G$2:$G$65,"&gt;="&amp;$B194)</f>
        <v>0</v>
      </c>
      <c r="P194" s="29" t="n">
        <f aca="false">SUMIFS('Outages (event ledger)'!$H$2:$H$65,'Outages (event ledger)'!$A$2:$A$65,P$2,'Outages (event ledger)'!$E$2:$E$65,"&lt;="&amp;$B194,'Outages (event ledger)'!$G$2:$G$65,"&gt;="&amp;$B194)</f>
        <v>0</v>
      </c>
      <c r="Q194" s="29" t="n">
        <f aca="false">SUMIFS('Outages (event ledger)'!$H$2:$H$65,'Outages (event ledger)'!$A$2:$A$65,Q$2,'Outages (event ledger)'!$E$2:$E$65,"&lt;="&amp;$B194,'Outages (event ledger)'!$G$2:$G$65,"&gt;="&amp;$B194)</f>
        <v>0</v>
      </c>
      <c r="R194" s="29" t="n">
        <f aca="false">SUMIFS('Outages (event ledger)'!$H$2:$H$65,'Outages (event ledger)'!$A$2:$A$65,R$2,'Outages (event ledger)'!$E$2:$E$65,"&lt;="&amp;$B194,'Outages (event ledger)'!$G$2:$G$65,"&gt;="&amp;$B194)</f>
        <v>0</v>
      </c>
      <c r="S194" s="29" t="n">
        <f aca="false">SUMIFS('Outages (event ledger)'!$H$2:$H$65,'Outages (event ledger)'!$A$2:$A$65,S$2,'Outages (event ledger)'!$E$2:$E$65,"&lt;="&amp;$B194,'Outages (event ledger)'!$G$2:$G$65,"&gt;="&amp;$B194)</f>
        <v>0</v>
      </c>
      <c r="T194" s="29" t="n">
        <f aca="false">SUMIFS('Outages (event ledger)'!$H$2:$H$65,'Outages (event ledger)'!$A$2:$A$65,T$2,'Outages (event ledger)'!$E$2:$E$65,"&lt;="&amp;$B194,'Outages (event ledger)'!$G$2:$G$65,"&gt;="&amp;$B194)</f>
        <v>0</v>
      </c>
      <c r="U194" s="29" t="n">
        <f aca="false">SUMIFS('Outages (event ledger)'!$H$2:$H$65,'Outages (event ledger)'!$A$2:$A$65,U$2,'Outages (event ledger)'!$E$2:$E$65,"&lt;="&amp;$B194,'Outages (event ledger)'!$G$2:$G$65,"&gt;="&amp;$B194)</f>
        <v>0</v>
      </c>
      <c r="V194" s="29" t="n">
        <f aca="false">SUMIFS('Outages (event ledger)'!$H$2:$H$65,'Outages (event ledger)'!$A$2:$A$65,V$2,'Outages (event ledger)'!$E$2:$E$65,"&lt;="&amp;$B194,'Outages (event ledger)'!$G$2:$G$65,"&gt;="&amp;$B194)</f>
        <v>0</v>
      </c>
      <c r="W194" s="29" t="n">
        <f aca="false">SUMIFS('Outages (event ledger)'!$H$2:$H$65,'Outages (event ledger)'!$A$2:$A$65,W$2,'Outages (event ledger)'!$E$2:$E$65,"&lt;="&amp;$B194,'Outages (event ledger)'!$G$2:$G$65,"&gt;="&amp;$B194)</f>
        <v>0</v>
      </c>
      <c r="X194" s="29" t="n">
        <f aca="false">SUMIFS('Outages (event ledger)'!$H$2:$H$65,'Outages (event ledger)'!$A$2:$A$65,X$2,'Outages (event ledger)'!$E$2:$E$65,"&lt;="&amp;$B194,'Outages (event ledger)'!$G$2:$G$65,"&gt;="&amp;$B194)</f>
        <v>0</v>
      </c>
      <c r="Y194" s="29" t="n">
        <f aca="false">SUMIFS('Outages (event ledger)'!$H$2:$H$65,'Outages (event ledger)'!$A$2:$A$65,Y$2,'Outages (event ledger)'!$E$2:$E$65,"&lt;="&amp;$B194,'Outages (event ledger)'!$G$2:$G$65,"&gt;="&amp;$B194)</f>
        <v>0</v>
      </c>
      <c r="Z194" s="29" t="n">
        <f aca="false">SUMIFS('Outages (event ledger)'!$H$2:$H$65,'Outages (event ledger)'!$A$2:$A$65,Z$2,'Outages (event ledger)'!$E$2:$E$65,"&lt;="&amp;$B194,'Outages (event ledger)'!$G$2:$G$65,"&gt;="&amp;$B194)</f>
        <v>0</v>
      </c>
      <c r="AA194" s="29" t="n">
        <f aca="false">SUMIFS('Outages (event ledger)'!$H$2:$H$65,'Outages (event ledger)'!$A$2:$A$65,AA$2,'Outages (event ledger)'!$E$2:$E$65,"&lt;="&amp;$B194,'Outages (event ledger)'!$G$2:$G$65,"&gt;="&amp;$B194)</f>
        <v>2</v>
      </c>
      <c r="AB194" s="29" t="n">
        <f aca="false">SUMIFS('Outages (event ledger)'!$H$2:$H$65,'Outages (event ledger)'!$A$2:$A$65,AB$2,'Outages (event ledger)'!$E$2:$E$65,"&lt;="&amp;$B194,'Outages (event ledger)'!$G$2:$G$65,"&gt;="&amp;$B194)</f>
        <v>8</v>
      </c>
      <c r="AC194" s="29" t="n">
        <f aca="false">SUMIFS('Outages (event ledger)'!$H$2:$H$65,'Outages (event ledger)'!$A$2:$A$65,AC$2,'Outages (event ledger)'!$E$2:$E$65,"&lt;="&amp;$B194,'Outages (event ledger)'!$G$2:$G$65,"&gt;="&amp;$B194)</f>
        <v>0</v>
      </c>
      <c r="AD194" s="29" t="n">
        <f aca="false">SUMIFS('Outages (event ledger)'!$H$2:$H$65,'Outages (event ledger)'!$A$2:$A$65,AD$2,'Outages (event ledger)'!$E$2:$E$65,"&lt;="&amp;$B194,'Outages (event ledger)'!$G$2:$G$65,"&gt;="&amp;$B194)</f>
        <v>0</v>
      </c>
      <c r="AE194" s="29" t="n">
        <f aca="false">SUMIFS('Outages (event ledger)'!$H$2:$H$65,'Outages (event ledger)'!$A$2:$A$65,AE$2,'Outages (event ledger)'!$E$2:$E$65,"&lt;="&amp;$B194,'Outages (event ledger)'!$G$2:$G$65,"&gt;="&amp;$B194)</f>
        <v>0</v>
      </c>
      <c r="AF194" s="29" t="n">
        <f aca="false">SUMIFS('Outages (event ledger)'!$H$2:$H$65,'Outages (event ledger)'!$A$2:$A$65,AF$2,'Outages (event ledger)'!$E$2:$E$65,"&lt;="&amp;$B194,'Outages (event ledger)'!$G$2:$G$65,"&gt;="&amp;$B194)</f>
        <v>0</v>
      </c>
      <c r="AG194" s="29" t="n">
        <f aca="false">SUMIFS('Outages (event ledger)'!$H$2:$H$65,'Outages (event ledger)'!$A$2:$A$65,AG$2,'Outages (event ledger)'!$E$2:$E$65,"&lt;="&amp;$B194,'Outages (event ledger)'!$G$2:$G$65,"&gt;="&amp;$B194)</f>
        <v>0</v>
      </c>
      <c r="AH194" s="29" t="n">
        <f aca="false">SUMIFS('Outages (event ledger)'!$H$2:$H$65,'Outages (event ledger)'!$A$2:$A$65,AH$2,'Outages (event ledger)'!$E$2:$E$65,"&lt;="&amp;$B194,'Outages (event ledger)'!$G$2:$G$65,"&gt;="&amp;$B194)</f>
        <v>0</v>
      </c>
      <c r="AI194" s="29" t="n">
        <f aca="false">SUMIFS('Outages (event ledger)'!$H$2:$H$65,'Outages (event ledger)'!$A$2:$A$65,AI$2,'Outages (event ledger)'!$E$2:$E$65,"&lt;="&amp;$B194,'Outages (event ledger)'!$G$2:$G$65,"&gt;="&amp;$B194)</f>
        <v>0</v>
      </c>
      <c r="AJ194" s="29" t="n">
        <f aca="false">SUMIFS('Outages (event ledger)'!$H$2:$H$65,'Outages (event ledger)'!$A$2:$A$65,AJ$2,'Outages (event ledger)'!$E$2:$E$65,"&lt;="&amp;$B194,'Outages (event ledger)'!$G$2:$G$65,"&gt;="&amp;$B194)</f>
        <v>0</v>
      </c>
      <c r="AK194" s="29" t="n">
        <f aca="false">SUMIFS('Outages (event ledger)'!$H$2:$H$65,'Outages (event ledger)'!$A$2:$A$65,AK$2,'Outages (event ledger)'!$E$2:$E$65,"&lt;="&amp;$B194,'Outages (event ledger)'!$G$2:$G$65,"&gt;="&amp;$B194)</f>
        <v>0</v>
      </c>
      <c r="AL194" s="29" t="n">
        <f aca="false">SUMIFS('Outages (event ledger)'!$H$2:$H$65,'Outages (event ledger)'!$A$2:$A$65,AL$2,'Outages (event ledger)'!$E$2:$E$65,"&lt;="&amp;$B194,'Outages (event ledger)'!$G$2:$G$65,"&gt;="&amp;$B194)</f>
        <v>0</v>
      </c>
      <c r="AM194" s="29" t="n">
        <f aca="false">SUMIFS('Outages (event ledger)'!$H$2:$H$65,'Outages (event ledger)'!$A$2:$A$65,AM$2,'Outages (event ledger)'!$E$2:$E$65,"&lt;="&amp;$B194,'Outages (event ledger)'!$G$2:$G$65,"&gt;="&amp;$B194)</f>
        <v>0</v>
      </c>
      <c r="AN194" s="29" t="n">
        <f aca="false">SUMIFS('Outages (event ledger)'!$H$2:$H$65,'Outages (event ledger)'!$A$2:$A$65,AN$2,'Outages (event ledger)'!$E$2:$E$65,"&lt;="&amp;$B194,'Outages (event ledger)'!$G$2:$G$65,"&gt;="&amp;$B194)</f>
        <v>0</v>
      </c>
      <c r="AO194" s="29" t="n">
        <f aca="false">SUMIFS('Outages (event ledger)'!$H$2:$H$65,'Outages (event ledger)'!$A$2:$A$65,AO$2,'Outages (event ledger)'!$E$2:$E$65,"&lt;="&amp;$B194,'Outages (event ledger)'!$G$2:$G$65,"&gt;="&amp;$B194)</f>
        <v>0</v>
      </c>
      <c r="AP194" s="29" t="n">
        <f aca="false">SUMIFS('Outages (event ledger)'!$H$2:$H$65,'Outages (event ledger)'!$A$2:$A$65,AP$2,'Outages (event ledger)'!$E$2:$E$65,"&lt;="&amp;$B194,'Outages (event ledger)'!$G$2:$G$65,"&gt;="&amp;$B194)</f>
        <v>0</v>
      </c>
      <c r="AQ194" s="29" t="n">
        <f aca="false">SUMIFS('Outages (event ledger)'!$H$2:$H$65,'Outages (event ledger)'!$A$2:$A$65,AQ$2,'Outages (event ledger)'!$E$2:$E$65,"&lt;="&amp;$B194,'Outages (event ledger)'!$G$2:$G$65,"&gt;="&amp;$B194)</f>
        <v>0</v>
      </c>
      <c r="AR194" s="29" t="n">
        <f aca="false">SUMIFS('Outages (event ledger)'!$H$2:$H$65,'Outages (event ledger)'!$A$2:$A$65,AR$2,'Outages (event ledger)'!$E$2:$E$65,"&lt;="&amp;$B194,'Outages (event ledger)'!$G$2:$G$65,"&gt;="&amp;$B194)</f>
        <v>0</v>
      </c>
      <c r="AS194" s="29" t="n">
        <f aca="false">SUMIFS('Outages (event ledger)'!$H$2:$H$65,'Outages (event ledger)'!$A$2:$A$65,AS$2,'Outages (event ledger)'!$E$2:$E$65,"&lt;="&amp;$B194,'Outages (event ledger)'!$G$2:$G$65,"&gt;="&amp;$B194)</f>
        <v>0</v>
      </c>
      <c r="AT194" s="29" t="n">
        <f aca="false">SUMIFS('Outages (event ledger)'!$H$2:$H$65,'Outages (event ledger)'!$A$2:$A$65,AT$2,'Outages (event ledger)'!$E$2:$E$65,"&lt;="&amp;$B194,'Outages (event ledger)'!$G$2:$G$65,"&gt;="&amp;$B194)</f>
        <v>0</v>
      </c>
      <c r="AU194" s="29" t="n">
        <f aca="false">SUMIFS('Outages (event ledger)'!$H$2:$H$65,'Outages (event ledger)'!$A$2:$A$65,AU$2,'Outages (event ledger)'!$E$2:$E$65,"&lt;="&amp;$B194,'Outages (event ledger)'!$G$2:$G$65,"&gt;="&amp;$B194)</f>
        <v>0</v>
      </c>
      <c r="AV194" s="29" t="n">
        <f aca="false">SUMIFS('Outages (event ledger)'!$H$2:$H$65,'Outages (event ledger)'!$A$2:$A$65,AV$2,'Outages (event ledger)'!$E$2:$E$65,"&lt;="&amp;$B194,'Outages (event ledger)'!$G$2:$G$65,"&gt;="&amp;$B194)</f>
        <v>0</v>
      </c>
      <c r="AW194" s="29" t="n">
        <f aca="false">SUMIFS('Outages (event ledger)'!$H$2:$H$65,'Outages (event ledger)'!$A$2:$A$65,AW$2,'Outages (event ledger)'!$E$2:$E$65,"&lt;="&amp;$B194,'Outages (event ledger)'!$G$2:$G$65,"&gt;="&amp;$B194)</f>
        <v>0</v>
      </c>
      <c r="AX194" s="29" t="n">
        <f aca="false">SUMIFS('Outages (event ledger)'!$H$2:$H$65,'Outages (event ledger)'!$A$2:$A$65,AX$2,'Outages (event ledger)'!$E$2:$E$65,"&lt;="&amp;$B194,'Outages (event ledger)'!$G$2:$G$65,"&gt;="&amp;$B194)</f>
        <v>6.6</v>
      </c>
      <c r="AY194" s="29" t="n">
        <f aca="false">SUMIFS('Outages (event ledger)'!$H$2:$H$65,'Outages (event ledger)'!$A$2:$A$65,AY$2,'Outages (event ledger)'!$E$2:$E$65,"&lt;="&amp;$B194,'Outages (event ledger)'!$G$2:$G$65,"&gt;="&amp;$B194)</f>
        <v>0</v>
      </c>
      <c r="AZ194" s="29" t="n">
        <f aca="false">SUMIFS('Outages (event ledger)'!$H$2:$H$65,'Outages (event ledger)'!$A$2:$A$65,AZ$2,'Outages (event ledger)'!$E$2:$E$65,"&lt;="&amp;$B194,'Outages (event ledger)'!$G$2:$G$65,"&gt;="&amp;$B194)</f>
        <v>0</v>
      </c>
      <c r="BA194" s="29" t="n">
        <f aca="false">SUMIFS('Outages (event ledger)'!$H$2:$H$65,'Outages (event ledger)'!$A$2:$A$65,BA$2,'Outages (event ledger)'!$E$2:$E$65,"&lt;="&amp;$B194,'Outages (event ledger)'!$G$2:$G$65,"&gt;="&amp;$B194)</f>
        <v>0</v>
      </c>
      <c r="BB194" s="29" t="n">
        <f aca="false">SUMIFS('Outages (event ledger)'!$H$2:$H$65,'Outages (event ledger)'!$A$2:$A$65,BB$2,'Outages (event ledger)'!$E$2:$E$65,"&lt;="&amp;$B194,'Outages (event ledger)'!$G$2:$G$65,"&gt;="&amp;$B194)</f>
        <v>0</v>
      </c>
      <c r="BC194" s="29" t="n">
        <f aca="false">SUMIFS('Outages (event ledger)'!$H$2:$H$65,'Outages (event ledger)'!$A$2:$A$65,BC$2,'Outages (event ledger)'!$E$2:$E$65,"&lt;="&amp;$B194,'Outages (event ledger)'!$G$2:$G$65,"&gt;="&amp;$B194)</f>
        <v>0</v>
      </c>
      <c r="BD194" s="29" t="n">
        <f aca="false">SUMIFS('Outages (event ledger)'!$H$2:$H$65,'Outages (event ledger)'!$A$2:$A$65,BD$2,'Outages (event ledger)'!$E$2:$E$65,"&lt;="&amp;$B194,'Outages (event ledger)'!$G$2:$G$65,"&gt;="&amp;$B194)</f>
        <v>0</v>
      </c>
      <c r="BE194" s="29" t="n">
        <f aca="false">SUMIFS('Outages (event ledger)'!$H$2:$H$65,'Outages (event ledger)'!$A$2:$A$65,BE$2,'Outages (event ledger)'!$E$2:$E$65,"&lt;="&amp;$B194,'Outages (event ledger)'!$G$2:$G$65,"&gt;="&amp;$B194)</f>
        <v>0</v>
      </c>
      <c r="BF194" s="29" t="n">
        <f aca="false">SUMIFS('Outages (event ledger)'!$H$2:$H$65,'Outages (event ledger)'!$A$2:$A$65,BF$2,'Outages (event ledger)'!$E$2:$E$65,"&lt;="&amp;$B194,'Outages (event ledger)'!$G$2:$G$65,"&gt;="&amp;$B194)</f>
        <v>0</v>
      </c>
      <c r="BG194" s="29" t="n">
        <f aca="false">SUMIFS('Outages (event ledger)'!$H$2:$H$65,'Outages (event ledger)'!$A$2:$A$65,BG$2,'Outages (event ledger)'!$E$2:$E$65,"&lt;="&amp;$B194,'Outages (event ledger)'!$G$2:$G$65,"&gt;="&amp;$B194)</f>
        <v>0</v>
      </c>
      <c r="BH194" s="29" t="n">
        <f aca="false">SUMIFS('Outages (event ledger)'!$H$2:$H$65,'Outages (event ledger)'!$A$2:$A$65,BH$2,'Outages (event ledger)'!$E$2:$E$65,"&lt;="&amp;$B194,'Outages (event ledger)'!$G$2:$G$65,"&gt;="&amp;$B194)</f>
        <v>0</v>
      </c>
      <c r="BI194" s="29" t="n">
        <f aca="false">SUMIFS('Outages (event ledger)'!$H$2:$H$65,'Outages (event ledger)'!$A$2:$A$65,BI$2,'Outages (event ledger)'!$E$2:$E$65,"&lt;="&amp;$B194,'Outages (event ledger)'!$G$2:$G$65,"&gt;="&amp;$B194)</f>
        <v>6.7</v>
      </c>
    </row>
    <row r="195" customFormat="false" ht="15" hidden="false" customHeight="false" outlineLevel="0" collapsed="false">
      <c r="A195" s="23" t="n">
        <v>46023</v>
      </c>
      <c r="B195" s="24" t="n">
        <v>202601</v>
      </c>
      <c r="C195" s="25" t="n">
        <f aca="false">SUM(D195:BI195)</f>
        <v>23.3</v>
      </c>
      <c r="D195" s="26" t="n">
        <f aca="false">SUMIFS('Outages (event ledger)'!$H$2:$H$65,'Outages (event ledger)'!$A$2:$A$65,D$2,'Outages (event ledger)'!$E$2:$E$65,"&lt;="&amp;$B195,'Outages (event ledger)'!$G$2:$G$65,"&gt;="&amp;$B195)</f>
        <v>0</v>
      </c>
      <c r="E195" s="26" t="n">
        <f aca="false">SUMIFS('Outages (event ledger)'!$H$2:$H$65,'Outages (event ledger)'!$A$2:$A$65,E$2,'Outages (event ledger)'!$E$2:$E$65,"&lt;="&amp;$B195,'Outages (event ledger)'!$G$2:$G$65,"&gt;="&amp;$B195)</f>
        <v>0</v>
      </c>
      <c r="F195" s="26" t="n">
        <f aca="false">SUMIFS('Outages (event ledger)'!$H$2:$H$65,'Outages (event ledger)'!$A$2:$A$65,F$2,'Outages (event ledger)'!$E$2:$E$65,"&lt;="&amp;$B195,'Outages (event ledger)'!$G$2:$G$65,"&gt;="&amp;$B195)</f>
        <v>0</v>
      </c>
      <c r="G195" s="26" t="n">
        <f aca="false">SUMIFS('Outages (event ledger)'!$H$2:$H$65,'Outages (event ledger)'!$A$2:$A$65,G$2,'Outages (event ledger)'!$E$2:$E$65,"&lt;="&amp;$B195,'Outages (event ledger)'!$G$2:$G$65,"&gt;="&amp;$B195)</f>
        <v>0</v>
      </c>
      <c r="H195" s="26" t="n">
        <f aca="false">SUMIFS('Outages (event ledger)'!$H$2:$H$65,'Outages (event ledger)'!$A$2:$A$65,H$2,'Outages (event ledger)'!$E$2:$E$65,"&lt;="&amp;$B195,'Outages (event ledger)'!$G$2:$G$65,"&gt;="&amp;$B195)</f>
        <v>0</v>
      </c>
      <c r="I195" s="26" t="n">
        <f aca="false">SUMIFS('Outages (event ledger)'!$H$2:$H$65,'Outages (event ledger)'!$A$2:$A$65,I$2,'Outages (event ledger)'!$E$2:$E$65,"&lt;="&amp;$B195,'Outages (event ledger)'!$G$2:$G$65,"&gt;="&amp;$B195)</f>
        <v>0</v>
      </c>
      <c r="J195" s="26" t="n">
        <f aca="false">SUMIFS('Outages (event ledger)'!$H$2:$H$65,'Outages (event ledger)'!$A$2:$A$65,J$2,'Outages (event ledger)'!$E$2:$E$65,"&lt;="&amp;$B195,'Outages (event ledger)'!$G$2:$G$65,"&gt;="&amp;$B195)</f>
        <v>0</v>
      </c>
      <c r="K195" s="26" t="n">
        <f aca="false">SUMIFS('Outages (event ledger)'!$H$2:$H$65,'Outages (event ledger)'!$A$2:$A$65,K$2,'Outages (event ledger)'!$E$2:$E$65,"&lt;="&amp;$B195,'Outages (event ledger)'!$G$2:$G$65,"&gt;="&amp;$B195)</f>
        <v>0</v>
      </c>
      <c r="L195" s="26" t="n">
        <f aca="false">SUMIFS('Outages (event ledger)'!$H$2:$H$65,'Outages (event ledger)'!$A$2:$A$65,L$2,'Outages (event ledger)'!$E$2:$E$65,"&lt;="&amp;$B195,'Outages (event ledger)'!$G$2:$G$65,"&gt;="&amp;$B195)</f>
        <v>0</v>
      </c>
      <c r="M195" s="26" t="n">
        <f aca="false">SUMIFS('Outages (event ledger)'!$H$2:$H$65,'Outages (event ledger)'!$A$2:$A$65,M$2,'Outages (event ledger)'!$E$2:$E$65,"&lt;="&amp;$B195,'Outages (event ledger)'!$G$2:$G$65,"&gt;="&amp;$B195)</f>
        <v>0</v>
      </c>
      <c r="N195" s="26" t="n">
        <f aca="false">SUMIFS('Outages (event ledger)'!$H$2:$H$65,'Outages (event ledger)'!$A$2:$A$65,N$2,'Outages (event ledger)'!$E$2:$E$65,"&lt;="&amp;$B195,'Outages (event ledger)'!$G$2:$G$65,"&gt;="&amp;$B195)</f>
        <v>0</v>
      </c>
      <c r="O195" s="26" t="n">
        <f aca="false">SUMIFS('Outages (event ledger)'!$H$2:$H$65,'Outages (event ledger)'!$A$2:$A$65,O$2,'Outages (event ledger)'!$E$2:$E$65,"&lt;="&amp;$B195,'Outages (event ledger)'!$G$2:$G$65,"&gt;="&amp;$B195)</f>
        <v>0</v>
      </c>
      <c r="P195" s="26" t="n">
        <f aca="false">SUMIFS('Outages (event ledger)'!$H$2:$H$65,'Outages (event ledger)'!$A$2:$A$65,P$2,'Outages (event ledger)'!$E$2:$E$65,"&lt;="&amp;$B195,'Outages (event ledger)'!$G$2:$G$65,"&gt;="&amp;$B195)</f>
        <v>0</v>
      </c>
      <c r="Q195" s="26" t="n">
        <f aca="false">SUMIFS('Outages (event ledger)'!$H$2:$H$65,'Outages (event ledger)'!$A$2:$A$65,Q$2,'Outages (event ledger)'!$E$2:$E$65,"&lt;="&amp;$B195,'Outages (event ledger)'!$G$2:$G$65,"&gt;="&amp;$B195)</f>
        <v>0</v>
      </c>
      <c r="R195" s="26" t="n">
        <f aca="false">SUMIFS('Outages (event ledger)'!$H$2:$H$65,'Outages (event ledger)'!$A$2:$A$65,R$2,'Outages (event ledger)'!$E$2:$E$65,"&lt;="&amp;$B195,'Outages (event ledger)'!$G$2:$G$65,"&gt;="&amp;$B195)</f>
        <v>0</v>
      </c>
      <c r="S195" s="26" t="n">
        <f aca="false">SUMIFS('Outages (event ledger)'!$H$2:$H$65,'Outages (event ledger)'!$A$2:$A$65,S$2,'Outages (event ledger)'!$E$2:$E$65,"&lt;="&amp;$B195,'Outages (event ledger)'!$G$2:$G$65,"&gt;="&amp;$B195)</f>
        <v>0</v>
      </c>
      <c r="T195" s="26" t="n">
        <f aca="false">SUMIFS('Outages (event ledger)'!$H$2:$H$65,'Outages (event ledger)'!$A$2:$A$65,T$2,'Outages (event ledger)'!$E$2:$E$65,"&lt;="&amp;$B195,'Outages (event ledger)'!$G$2:$G$65,"&gt;="&amp;$B195)</f>
        <v>0</v>
      </c>
      <c r="U195" s="26" t="n">
        <f aca="false">SUMIFS('Outages (event ledger)'!$H$2:$H$65,'Outages (event ledger)'!$A$2:$A$65,U$2,'Outages (event ledger)'!$E$2:$E$65,"&lt;="&amp;$B195,'Outages (event ledger)'!$G$2:$G$65,"&gt;="&amp;$B195)</f>
        <v>0</v>
      </c>
      <c r="V195" s="26" t="n">
        <f aca="false">SUMIFS('Outages (event ledger)'!$H$2:$H$65,'Outages (event ledger)'!$A$2:$A$65,V$2,'Outages (event ledger)'!$E$2:$E$65,"&lt;="&amp;$B195,'Outages (event ledger)'!$G$2:$G$65,"&gt;="&amp;$B195)</f>
        <v>0</v>
      </c>
      <c r="W195" s="26" t="n">
        <f aca="false">SUMIFS('Outages (event ledger)'!$H$2:$H$65,'Outages (event ledger)'!$A$2:$A$65,W$2,'Outages (event ledger)'!$E$2:$E$65,"&lt;="&amp;$B195,'Outages (event ledger)'!$G$2:$G$65,"&gt;="&amp;$B195)</f>
        <v>0</v>
      </c>
      <c r="X195" s="26" t="n">
        <f aca="false">SUMIFS('Outages (event ledger)'!$H$2:$H$65,'Outages (event ledger)'!$A$2:$A$65,X$2,'Outages (event ledger)'!$E$2:$E$65,"&lt;="&amp;$B195,'Outages (event ledger)'!$G$2:$G$65,"&gt;="&amp;$B195)</f>
        <v>0</v>
      </c>
      <c r="Y195" s="26" t="n">
        <f aca="false">SUMIFS('Outages (event ledger)'!$H$2:$H$65,'Outages (event ledger)'!$A$2:$A$65,Y$2,'Outages (event ledger)'!$E$2:$E$65,"&lt;="&amp;$B195,'Outages (event ledger)'!$G$2:$G$65,"&gt;="&amp;$B195)</f>
        <v>0</v>
      </c>
      <c r="Z195" s="26" t="n">
        <f aca="false">SUMIFS('Outages (event ledger)'!$H$2:$H$65,'Outages (event ledger)'!$A$2:$A$65,Z$2,'Outages (event ledger)'!$E$2:$E$65,"&lt;="&amp;$B195,'Outages (event ledger)'!$G$2:$G$65,"&gt;="&amp;$B195)</f>
        <v>0</v>
      </c>
      <c r="AA195" s="26" t="n">
        <f aca="false">SUMIFS('Outages (event ledger)'!$H$2:$H$65,'Outages (event ledger)'!$A$2:$A$65,AA$2,'Outages (event ledger)'!$E$2:$E$65,"&lt;="&amp;$B195,'Outages (event ledger)'!$G$2:$G$65,"&gt;="&amp;$B195)</f>
        <v>2</v>
      </c>
      <c r="AB195" s="26" t="n">
        <f aca="false">SUMIFS('Outages (event ledger)'!$H$2:$H$65,'Outages (event ledger)'!$A$2:$A$65,AB$2,'Outages (event ledger)'!$E$2:$E$65,"&lt;="&amp;$B195,'Outages (event ledger)'!$G$2:$G$65,"&gt;="&amp;$B195)</f>
        <v>8</v>
      </c>
      <c r="AC195" s="26" t="n">
        <f aca="false">SUMIFS('Outages (event ledger)'!$H$2:$H$65,'Outages (event ledger)'!$A$2:$A$65,AC$2,'Outages (event ledger)'!$E$2:$E$65,"&lt;="&amp;$B195,'Outages (event ledger)'!$G$2:$G$65,"&gt;="&amp;$B195)</f>
        <v>0</v>
      </c>
      <c r="AD195" s="26" t="n">
        <f aca="false">SUMIFS('Outages (event ledger)'!$H$2:$H$65,'Outages (event ledger)'!$A$2:$A$65,AD$2,'Outages (event ledger)'!$E$2:$E$65,"&lt;="&amp;$B195,'Outages (event ledger)'!$G$2:$G$65,"&gt;="&amp;$B195)</f>
        <v>0</v>
      </c>
      <c r="AE195" s="26" t="n">
        <f aca="false">SUMIFS('Outages (event ledger)'!$H$2:$H$65,'Outages (event ledger)'!$A$2:$A$65,AE$2,'Outages (event ledger)'!$E$2:$E$65,"&lt;="&amp;$B195,'Outages (event ledger)'!$G$2:$G$65,"&gt;="&amp;$B195)</f>
        <v>0</v>
      </c>
      <c r="AF195" s="26" t="n">
        <f aca="false">SUMIFS('Outages (event ledger)'!$H$2:$H$65,'Outages (event ledger)'!$A$2:$A$65,AF$2,'Outages (event ledger)'!$E$2:$E$65,"&lt;="&amp;$B195,'Outages (event ledger)'!$G$2:$G$65,"&gt;="&amp;$B195)</f>
        <v>0</v>
      </c>
      <c r="AG195" s="26" t="n">
        <f aca="false">SUMIFS('Outages (event ledger)'!$H$2:$H$65,'Outages (event ledger)'!$A$2:$A$65,AG$2,'Outages (event ledger)'!$E$2:$E$65,"&lt;="&amp;$B195,'Outages (event ledger)'!$G$2:$G$65,"&gt;="&amp;$B195)</f>
        <v>0</v>
      </c>
      <c r="AH195" s="26" t="n">
        <f aca="false">SUMIFS('Outages (event ledger)'!$H$2:$H$65,'Outages (event ledger)'!$A$2:$A$65,AH$2,'Outages (event ledger)'!$E$2:$E$65,"&lt;="&amp;$B195,'Outages (event ledger)'!$G$2:$G$65,"&gt;="&amp;$B195)</f>
        <v>0</v>
      </c>
      <c r="AI195" s="26" t="n">
        <f aca="false">SUMIFS('Outages (event ledger)'!$H$2:$H$65,'Outages (event ledger)'!$A$2:$A$65,AI$2,'Outages (event ledger)'!$E$2:$E$65,"&lt;="&amp;$B195,'Outages (event ledger)'!$G$2:$G$65,"&gt;="&amp;$B195)</f>
        <v>0</v>
      </c>
      <c r="AJ195" s="26" t="n">
        <f aca="false">SUMIFS('Outages (event ledger)'!$H$2:$H$65,'Outages (event ledger)'!$A$2:$A$65,AJ$2,'Outages (event ledger)'!$E$2:$E$65,"&lt;="&amp;$B195,'Outages (event ledger)'!$G$2:$G$65,"&gt;="&amp;$B195)</f>
        <v>0</v>
      </c>
      <c r="AK195" s="26" t="n">
        <f aca="false">SUMIFS('Outages (event ledger)'!$H$2:$H$65,'Outages (event ledger)'!$A$2:$A$65,AK$2,'Outages (event ledger)'!$E$2:$E$65,"&lt;="&amp;$B195,'Outages (event ledger)'!$G$2:$G$65,"&gt;="&amp;$B195)</f>
        <v>0</v>
      </c>
      <c r="AL195" s="26" t="n">
        <f aca="false">SUMIFS('Outages (event ledger)'!$H$2:$H$65,'Outages (event ledger)'!$A$2:$A$65,AL$2,'Outages (event ledger)'!$E$2:$E$65,"&lt;="&amp;$B195,'Outages (event ledger)'!$G$2:$G$65,"&gt;="&amp;$B195)</f>
        <v>0</v>
      </c>
      <c r="AM195" s="26" t="n">
        <f aca="false">SUMIFS('Outages (event ledger)'!$H$2:$H$65,'Outages (event ledger)'!$A$2:$A$65,AM$2,'Outages (event ledger)'!$E$2:$E$65,"&lt;="&amp;$B195,'Outages (event ledger)'!$G$2:$G$65,"&gt;="&amp;$B195)</f>
        <v>0</v>
      </c>
      <c r="AN195" s="26" t="n">
        <f aca="false">SUMIFS('Outages (event ledger)'!$H$2:$H$65,'Outages (event ledger)'!$A$2:$A$65,AN$2,'Outages (event ledger)'!$E$2:$E$65,"&lt;="&amp;$B195,'Outages (event ledger)'!$G$2:$G$65,"&gt;="&amp;$B195)</f>
        <v>0</v>
      </c>
      <c r="AO195" s="26" t="n">
        <f aca="false">SUMIFS('Outages (event ledger)'!$H$2:$H$65,'Outages (event ledger)'!$A$2:$A$65,AO$2,'Outages (event ledger)'!$E$2:$E$65,"&lt;="&amp;$B195,'Outages (event ledger)'!$G$2:$G$65,"&gt;="&amp;$B195)</f>
        <v>0</v>
      </c>
      <c r="AP195" s="26" t="n">
        <f aca="false">SUMIFS('Outages (event ledger)'!$H$2:$H$65,'Outages (event ledger)'!$A$2:$A$65,AP$2,'Outages (event ledger)'!$E$2:$E$65,"&lt;="&amp;$B195,'Outages (event ledger)'!$G$2:$G$65,"&gt;="&amp;$B195)</f>
        <v>0</v>
      </c>
      <c r="AQ195" s="26" t="n">
        <f aca="false">SUMIFS('Outages (event ledger)'!$H$2:$H$65,'Outages (event ledger)'!$A$2:$A$65,AQ$2,'Outages (event ledger)'!$E$2:$E$65,"&lt;="&amp;$B195,'Outages (event ledger)'!$G$2:$G$65,"&gt;="&amp;$B195)</f>
        <v>0</v>
      </c>
      <c r="AR195" s="26" t="n">
        <f aca="false">SUMIFS('Outages (event ledger)'!$H$2:$H$65,'Outages (event ledger)'!$A$2:$A$65,AR$2,'Outages (event ledger)'!$E$2:$E$65,"&lt;="&amp;$B195,'Outages (event ledger)'!$G$2:$G$65,"&gt;="&amp;$B195)</f>
        <v>0</v>
      </c>
      <c r="AS195" s="26" t="n">
        <f aca="false">SUMIFS('Outages (event ledger)'!$H$2:$H$65,'Outages (event ledger)'!$A$2:$A$65,AS$2,'Outages (event ledger)'!$E$2:$E$65,"&lt;="&amp;$B195,'Outages (event ledger)'!$G$2:$G$65,"&gt;="&amp;$B195)</f>
        <v>0</v>
      </c>
      <c r="AT195" s="26" t="n">
        <f aca="false">SUMIFS('Outages (event ledger)'!$H$2:$H$65,'Outages (event ledger)'!$A$2:$A$65,AT$2,'Outages (event ledger)'!$E$2:$E$65,"&lt;="&amp;$B195,'Outages (event ledger)'!$G$2:$G$65,"&gt;="&amp;$B195)</f>
        <v>0</v>
      </c>
      <c r="AU195" s="26" t="n">
        <f aca="false">SUMIFS('Outages (event ledger)'!$H$2:$H$65,'Outages (event ledger)'!$A$2:$A$65,AU$2,'Outages (event ledger)'!$E$2:$E$65,"&lt;="&amp;$B195,'Outages (event ledger)'!$G$2:$G$65,"&gt;="&amp;$B195)</f>
        <v>0</v>
      </c>
      <c r="AV195" s="26" t="n">
        <f aca="false">SUMIFS('Outages (event ledger)'!$H$2:$H$65,'Outages (event ledger)'!$A$2:$A$65,AV$2,'Outages (event ledger)'!$E$2:$E$65,"&lt;="&amp;$B195,'Outages (event ledger)'!$G$2:$G$65,"&gt;="&amp;$B195)</f>
        <v>0</v>
      </c>
      <c r="AW195" s="26" t="n">
        <f aca="false">SUMIFS('Outages (event ledger)'!$H$2:$H$65,'Outages (event ledger)'!$A$2:$A$65,AW$2,'Outages (event ledger)'!$E$2:$E$65,"&lt;="&amp;$B195,'Outages (event ledger)'!$G$2:$G$65,"&gt;="&amp;$B195)</f>
        <v>0</v>
      </c>
      <c r="AX195" s="26" t="n">
        <f aca="false">SUMIFS('Outages (event ledger)'!$H$2:$H$65,'Outages (event ledger)'!$A$2:$A$65,AX$2,'Outages (event ledger)'!$E$2:$E$65,"&lt;="&amp;$B195,'Outages (event ledger)'!$G$2:$G$65,"&gt;="&amp;$B195)</f>
        <v>6.6</v>
      </c>
      <c r="AY195" s="26" t="n">
        <f aca="false">SUMIFS('Outages (event ledger)'!$H$2:$H$65,'Outages (event ledger)'!$A$2:$A$65,AY$2,'Outages (event ledger)'!$E$2:$E$65,"&lt;="&amp;$B195,'Outages (event ledger)'!$G$2:$G$65,"&gt;="&amp;$B195)</f>
        <v>0</v>
      </c>
      <c r="AZ195" s="26" t="n">
        <f aca="false">SUMIFS('Outages (event ledger)'!$H$2:$H$65,'Outages (event ledger)'!$A$2:$A$65,AZ$2,'Outages (event ledger)'!$E$2:$E$65,"&lt;="&amp;$B195,'Outages (event ledger)'!$G$2:$G$65,"&gt;="&amp;$B195)</f>
        <v>0</v>
      </c>
      <c r="BA195" s="26" t="n">
        <f aca="false">SUMIFS('Outages (event ledger)'!$H$2:$H$65,'Outages (event ledger)'!$A$2:$A$65,BA$2,'Outages (event ledger)'!$E$2:$E$65,"&lt;="&amp;$B195,'Outages (event ledger)'!$G$2:$G$65,"&gt;="&amp;$B195)</f>
        <v>0</v>
      </c>
      <c r="BB195" s="26" t="n">
        <f aca="false">SUMIFS('Outages (event ledger)'!$H$2:$H$65,'Outages (event ledger)'!$A$2:$A$65,BB$2,'Outages (event ledger)'!$E$2:$E$65,"&lt;="&amp;$B195,'Outages (event ledger)'!$G$2:$G$65,"&gt;="&amp;$B195)</f>
        <v>0</v>
      </c>
      <c r="BC195" s="26" t="n">
        <f aca="false">SUMIFS('Outages (event ledger)'!$H$2:$H$65,'Outages (event ledger)'!$A$2:$A$65,BC$2,'Outages (event ledger)'!$E$2:$E$65,"&lt;="&amp;$B195,'Outages (event ledger)'!$G$2:$G$65,"&gt;="&amp;$B195)</f>
        <v>0</v>
      </c>
      <c r="BD195" s="26" t="n">
        <f aca="false">SUMIFS('Outages (event ledger)'!$H$2:$H$65,'Outages (event ledger)'!$A$2:$A$65,BD$2,'Outages (event ledger)'!$E$2:$E$65,"&lt;="&amp;$B195,'Outages (event ledger)'!$G$2:$G$65,"&gt;="&amp;$B195)</f>
        <v>0</v>
      </c>
      <c r="BE195" s="26" t="n">
        <f aca="false">SUMIFS('Outages (event ledger)'!$H$2:$H$65,'Outages (event ledger)'!$A$2:$A$65,BE$2,'Outages (event ledger)'!$E$2:$E$65,"&lt;="&amp;$B195,'Outages (event ledger)'!$G$2:$G$65,"&gt;="&amp;$B195)</f>
        <v>0</v>
      </c>
      <c r="BF195" s="26" t="n">
        <f aca="false">SUMIFS('Outages (event ledger)'!$H$2:$H$65,'Outages (event ledger)'!$A$2:$A$65,BF$2,'Outages (event ledger)'!$E$2:$E$65,"&lt;="&amp;$B195,'Outages (event ledger)'!$G$2:$G$65,"&gt;="&amp;$B195)</f>
        <v>0</v>
      </c>
      <c r="BG195" s="26" t="n">
        <f aca="false">SUMIFS('Outages (event ledger)'!$H$2:$H$65,'Outages (event ledger)'!$A$2:$A$65,BG$2,'Outages (event ledger)'!$E$2:$E$65,"&lt;="&amp;$B195,'Outages (event ledger)'!$G$2:$G$65,"&gt;="&amp;$B195)</f>
        <v>0</v>
      </c>
      <c r="BH195" s="26" t="n">
        <f aca="false">SUMIFS('Outages (event ledger)'!$H$2:$H$65,'Outages (event ledger)'!$A$2:$A$65,BH$2,'Outages (event ledger)'!$E$2:$E$65,"&lt;="&amp;$B195,'Outages (event ledger)'!$G$2:$G$65,"&gt;="&amp;$B195)</f>
        <v>0</v>
      </c>
      <c r="BI195" s="26" t="n">
        <f aca="false">SUMIFS('Outages (event ledger)'!$H$2:$H$65,'Outages (event ledger)'!$A$2:$A$65,BI$2,'Outages (event ledger)'!$E$2:$E$65,"&lt;="&amp;$B195,'Outages (event ledger)'!$G$2:$G$65,"&gt;="&amp;$B195)</f>
        <v>6.7</v>
      </c>
    </row>
    <row r="196" customFormat="false" ht="15" hidden="false" customHeight="false" outlineLevel="0" collapsed="false">
      <c r="A196" s="23" t="n">
        <v>46054</v>
      </c>
      <c r="B196" s="24" t="n">
        <v>202602</v>
      </c>
      <c r="C196" s="25" t="n">
        <f aca="false">SUM(D196:BI196)</f>
        <v>23.3</v>
      </c>
      <c r="D196" s="26" t="n">
        <f aca="false">SUMIFS('Outages (event ledger)'!$H$2:$H$65,'Outages (event ledger)'!$A$2:$A$65,D$2,'Outages (event ledger)'!$E$2:$E$65,"&lt;="&amp;$B196,'Outages (event ledger)'!$G$2:$G$65,"&gt;="&amp;$B196)</f>
        <v>0</v>
      </c>
      <c r="E196" s="26" t="n">
        <f aca="false">SUMIFS('Outages (event ledger)'!$H$2:$H$65,'Outages (event ledger)'!$A$2:$A$65,E$2,'Outages (event ledger)'!$E$2:$E$65,"&lt;="&amp;$B196,'Outages (event ledger)'!$G$2:$G$65,"&gt;="&amp;$B196)</f>
        <v>0</v>
      </c>
      <c r="F196" s="26" t="n">
        <f aca="false">SUMIFS('Outages (event ledger)'!$H$2:$H$65,'Outages (event ledger)'!$A$2:$A$65,F$2,'Outages (event ledger)'!$E$2:$E$65,"&lt;="&amp;$B196,'Outages (event ledger)'!$G$2:$G$65,"&gt;="&amp;$B196)</f>
        <v>0</v>
      </c>
      <c r="G196" s="26" t="n">
        <f aca="false">SUMIFS('Outages (event ledger)'!$H$2:$H$65,'Outages (event ledger)'!$A$2:$A$65,G$2,'Outages (event ledger)'!$E$2:$E$65,"&lt;="&amp;$B196,'Outages (event ledger)'!$G$2:$G$65,"&gt;="&amp;$B196)</f>
        <v>0</v>
      </c>
      <c r="H196" s="26" t="n">
        <f aca="false">SUMIFS('Outages (event ledger)'!$H$2:$H$65,'Outages (event ledger)'!$A$2:$A$65,H$2,'Outages (event ledger)'!$E$2:$E$65,"&lt;="&amp;$B196,'Outages (event ledger)'!$G$2:$G$65,"&gt;="&amp;$B196)</f>
        <v>0</v>
      </c>
      <c r="I196" s="26" t="n">
        <f aca="false">SUMIFS('Outages (event ledger)'!$H$2:$H$65,'Outages (event ledger)'!$A$2:$A$65,I$2,'Outages (event ledger)'!$E$2:$E$65,"&lt;="&amp;$B196,'Outages (event ledger)'!$G$2:$G$65,"&gt;="&amp;$B196)</f>
        <v>0</v>
      </c>
      <c r="J196" s="26" t="n">
        <f aca="false">SUMIFS('Outages (event ledger)'!$H$2:$H$65,'Outages (event ledger)'!$A$2:$A$65,J$2,'Outages (event ledger)'!$E$2:$E$65,"&lt;="&amp;$B196,'Outages (event ledger)'!$G$2:$G$65,"&gt;="&amp;$B196)</f>
        <v>0</v>
      </c>
      <c r="K196" s="26" t="n">
        <f aca="false">SUMIFS('Outages (event ledger)'!$H$2:$H$65,'Outages (event ledger)'!$A$2:$A$65,K$2,'Outages (event ledger)'!$E$2:$E$65,"&lt;="&amp;$B196,'Outages (event ledger)'!$G$2:$G$65,"&gt;="&amp;$B196)</f>
        <v>0</v>
      </c>
      <c r="L196" s="26" t="n">
        <f aca="false">SUMIFS('Outages (event ledger)'!$H$2:$H$65,'Outages (event ledger)'!$A$2:$A$65,L$2,'Outages (event ledger)'!$E$2:$E$65,"&lt;="&amp;$B196,'Outages (event ledger)'!$G$2:$G$65,"&gt;="&amp;$B196)</f>
        <v>0</v>
      </c>
      <c r="M196" s="26" t="n">
        <f aca="false">SUMIFS('Outages (event ledger)'!$H$2:$H$65,'Outages (event ledger)'!$A$2:$A$65,M$2,'Outages (event ledger)'!$E$2:$E$65,"&lt;="&amp;$B196,'Outages (event ledger)'!$G$2:$G$65,"&gt;="&amp;$B196)</f>
        <v>0</v>
      </c>
      <c r="N196" s="26" t="n">
        <f aca="false">SUMIFS('Outages (event ledger)'!$H$2:$H$65,'Outages (event ledger)'!$A$2:$A$65,N$2,'Outages (event ledger)'!$E$2:$E$65,"&lt;="&amp;$B196,'Outages (event ledger)'!$G$2:$G$65,"&gt;="&amp;$B196)</f>
        <v>0</v>
      </c>
      <c r="O196" s="26" t="n">
        <f aca="false">SUMIFS('Outages (event ledger)'!$H$2:$H$65,'Outages (event ledger)'!$A$2:$A$65,O$2,'Outages (event ledger)'!$E$2:$E$65,"&lt;="&amp;$B196,'Outages (event ledger)'!$G$2:$G$65,"&gt;="&amp;$B196)</f>
        <v>0</v>
      </c>
      <c r="P196" s="26" t="n">
        <f aca="false">SUMIFS('Outages (event ledger)'!$H$2:$H$65,'Outages (event ledger)'!$A$2:$A$65,P$2,'Outages (event ledger)'!$E$2:$E$65,"&lt;="&amp;$B196,'Outages (event ledger)'!$G$2:$G$65,"&gt;="&amp;$B196)</f>
        <v>0</v>
      </c>
      <c r="Q196" s="26" t="n">
        <f aca="false">SUMIFS('Outages (event ledger)'!$H$2:$H$65,'Outages (event ledger)'!$A$2:$A$65,Q$2,'Outages (event ledger)'!$E$2:$E$65,"&lt;="&amp;$B196,'Outages (event ledger)'!$G$2:$G$65,"&gt;="&amp;$B196)</f>
        <v>0</v>
      </c>
      <c r="R196" s="26" t="n">
        <f aca="false">SUMIFS('Outages (event ledger)'!$H$2:$H$65,'Outages (event ledger)'!$A$2:$A$65,R$2,'Outages (event ledger)'!$E$2:$E$65,"&lt;="&amp;$B196,'Outages (event ledger)'!$G$2:$G$65,"&gt;="&amp;$B196)</f>
        <v>0</v>
      </c>
      <c r="S196" s="26" t="n">
        <f aca="false">SUMIFS('Outages (event ledger)'!$H$2:$H$65,'Outages (event ledger)'!$A$2:$A$65,S$2,'Outages (event ledger)'!$E$2:$E$65,"&lt;="&amp;$B196,'Outages (event ledger)'!$G$2:$G$65,"&gt;="&amp;$B196)</f>
        <v>0</v>
      </c>
      <c r="T196" s="26" t="n">
        <f aca="false">SUMIFS('Outages (event ledger)'!$H$2:$H$65,'Outages (event ledger)'!$A$2:$A$65,T$2,'Outages (event ledger)'!$E$2:$E$65,"&lt;="&amp;$B196,'Outages (event ledger)'!$G$2:$G$65,"&gt;="&amp;$B196)</f>
        <v>0</v>
      </c>
      <c r="U196" s="26" t="n">
        <f aca="false">SUMIFS('Outages (event ledger)'!$H$2:$H$65,'Outages (event ledger)'!$A$2:$A$65,U$2,'Outages (event ledger)'!$E$2:$E$65,"&lt;="&amp;$B196,'Outages (event ledger)'!$G$2:$G$65,"&gt;="&amp;$B196)</f>
        <v>0</v>
      </c>
      <c r="V196" s="26" t="n">
        <f aca="false">SUMIFS('Outages (event ledger)'!$H$2:$H$65,'Outages (event ledger)'!$A$2:$A$65,V$2,'Outages (event ledger)'!$E$2:$E$65,"&lt;="&amp;$B196,'Outages (event ledger)'!$G$2:$G$65,"&gt;="&amp;$B196)</f>
        <v>0</v>
      </c>
      <c r="W196" s="26" t="n">
        <f aca="false">SUMIFS('Outages (event ledger)'!$H$2:$H$65,'Outages (event ledger)'!$A$2:$A$65,W$2,'Outages (event ledger)'!$E$2:$E$65,"&lt;="&amp;$B196,'Outages (event ledger)'!$G$2:$G$65,"&gt;="&amp;$B196)</f>
        <v>0</v>
      </c>
      <c r="X196" s="26" t="n">
        <f aca="false">SUMIFS('Outages (event ledger)'!$H$2:$H$65,'Outages (event ledger)'!$A$2:$A$65,X$2,'Outages (event ledger)'!$E$2:$E$65,"&lt;="&amp;$B196,'Outages (event ledger)'!$G$2:$G$65,"&gt;="&amp;$B196)</f>
        <v>0</v>
      </c>
      <c r="Y196" s="26" t="n">
        <f aca="false">SUMIFS('Outages (event ledger)'!$H$2:$H$65,'Outages (event ledger)'!$A$2:$A$65,Y$2,'Outages (event ledger)'!$E$2:$E$65,"&lt;="&amp;$B196,'Outages (event ledger)'!$G$2:$G$65,"&gt;="&amp;$B196)</f>
        <v>0</v>
      </c>
      <c r="Z196" s="26" t="n">
        <f aca="false">SUMIFS('Outages (event ledger)'!$H$2:$H$65,'Outages (event ledger)'!$A$2:$A$65,Z$2,'Outages (event ledger)'!$E$2:$E$65,"&lt;="&amp;$B196,'Outages (event ledger)'!$G$2:$G$65,"&gt;="&amp;$B196)</f>
        <v>0</v>
      </c>
      <c r="AA196" s="26" t="n">
        <f aca="false">SUMIFS('Outages (event ledger)'!$H$2:$H$65,'Outages (event ledger)'!$A$2:$A$65,AA$2,'Outages (event ledger)'!$E$2:$E$65,"&lt;="&amp;$B196,'Outages (event ledger)'!$G$2:$G$65,"&gt;="&amp;$B196)</f>
        <v>2</v>
      </c>
      <c r="AB196" s="26" t="n">
        <f aca="false">SUMIFS('Outages (event ledger)'!$H$2:$H$65,'Outages (event ledger)'!$A$2:$A$65,AB$2,'Outages (event ledger)'!$E$2:$E$65,"&lt;="&amp;$B196,'Outages (event ledger)'!$G$2:$G$65,"&gt;="&amp;$B196)</f>
        <v>8</v>
      </c>
      <c r="AC196" s="26" t="n">
        <f aca="false">SUMIFS('Outages (event ledger)'!$H$2:$H$65,'Outages (event ledger)'!$A$2:$A$65,AC$2,'Outages (event ledger)'!$E$2:$E$65,"&lt;="&amp;$B196,'Outages (event ledger)'!$G$2:$G$65,"&gt;="&amp;$B196)</f>
        <v>0</v>
      </c>
      <c r="AD196" s="26" t="n">
        <f aca="false">SUMIFS('Outages (event ledger)'!$H$2:$H$65,'Outages (event ledger)'!$A$2:$A$65,AD$2,'Outages (event ledger)'!$E$2:$E$65,"&lt;="&amp;$B196,'Outages (event ledger)'!$G$2:$G$65,"&gt;="&amp;$B196)</f>
        <v>0</v>
      </c>
      <c r="AE196" s="26" t="n">
        <f aca="false">SUMIFS('Outages (event ledger)'!$H$2:$H$65,'Outages (event ledger)'!$A$2:$A$65,AE$2,'Outages (event ledger)'!$E$2:$E$65,"&lt;="&amp;$B196,'Outages (event ledger)'!$G$2:$G$65,"&gt;="&amp;$B196)</f>
        <v>0</v>
      </c>
      <c r="AF196" s="26" t="n">
        <f aca="false">SUMIFS('Outages (event ledger)'!$H$2:$H$65,'Outages (event ledger)'!$A$2:$A$65,AF$2,'Outages (event ledger)'!$E$2:$E$65,"&lt;="&amp;$B196,'Outages (event ledger)'!$G$2:$G$65,"&gt;="&amp;$B196)</f>
        <v>0</v>
      </c>
      <c r="AG196" s="26" t="n">
        <f aca="false">SUMIFS('Outages (event ledger)'!$H$2:$H$65,'Outages (event ledger)'!$A$2:$A$65,AG$2,'Outages (event ledger)'!$E$2:$E$65,"&lt;="&amp;$B196,'Outages (event ledger)'!$G$2:$G$65,"&gt;="&amp;$B196)</f>
        <v>0</v>
      </c>
      <c r="AH196" s="26" t="n">
        <f aca="false">SUMIFS('Outages (event ledger)'!$H$2:$H$65,'Outages (event ledger)'!$A$2:$A$65,AH$2,'Outages (event ledger)'!$E$2:$E$65,"&lt;="&amp;$B196,'Outages (event ledger)'!$G$2:$G$65,"&gt;="&amp;$B196)</f>
        <v>0</v>
      </c>
      <c r="AI196" s="26" t="n">
        <f aca="false">SUMIFS('Outages (event ledger)'!$H$2:$H$65,'Outages (event ledger)'!$A$2:$A$65,AI$2,'Outages (event ledger)'!$E$2:$E$65,"&lt;="&amp;$B196,'Outages (event ledger)'!$G$2:$G$65,"&gt;="&amp;$B196)</f>
        <v>0</v>
      </c>
      <c r="AJ196" s="26" t="n">
        <f aca="false">SUMIFS('Outages (event ledger)'!$H$2:$H$65,'Outages (event ledger)'!$A$2:$A$65,AJ$2,'Outages (event ledger)'!$E$2:$E$65,"&lt;="&amp;$B196,'Outages (event ledger)'!$G$2:$G$65,"&gt;="&amp;$B196)</f>
        <v>0</v>
      </c>
      <c r="AK196" s="26" t="n">
        <f aca="false">SUMIFS('Outages (event ledger)'!$H$2:$H$65,'Outages (event ledger)'!$A$2:$A$65,AK$2,'Outages (event ledger)'!$E$2:$E$65,"&lt;="&amp;$B196,'Outages (event ledger)'!$G$2:$G$65,"&gt;="&amp;$B196)</f>
        <v>0</v>
      </c>
      <c r="AL196" s="26" t="n">
        <f aca="false">SUMIFS('Outages (event ledger)'!$H$2:$H$65,'Outages (event ledger)'!$A$2:$A$65,AL$2,'Outages (event ledger)'!$E$2:$E$65,"&lt;="&amp;$B196,'Outages (event ledger)'!$G$2:$G$65,"&gt;="&amp;$B196)</f>
        <v>0</v>
      </c>
      <c r="AM196" s="26" t="n">
        <f aca="false">SUMIFS('Outages (event ledger)'!$H$2:$H$65,'Outages (event ledger)'!$A$2:$A$65,AM$2,'Outages (event ledger)'!$E$2:$E$65,"&lt;="&amp;$B196,'Outages (event ledger)'!$G$2:$G$65,"&gt;="&amp;$B196)</f>
        <v>0</v>
      </c>
      <c r="AN196" s="26" t="n">
        <f aca="false">SUMIFS('Outages (event ledger)'!$H$2:$H$65,'Outages (event ledger)'!$A$2:$A$65,AN$2,'Outages (event ledger)'!$E$2:$E$65,"&lt;="&amp;$B196,'Outages (event ledger)'!$G$2:$G$65,"&gt;="&amp;$B196)</f>
        <v>0</v>
      </c>
      <c r="AO196" s="26" t="n">
        <f aca="false">SUMIFS('Outages (event ledger)'!$H$2:$H$65,'Outages (event ledger)'!$A$2:$A$65,AO$2,'Outages (event ledger)'!$E$2:$E$65,"&lt;="&amp;$B196,'Outages (event ledger)'!$G$2:$G$65,"&gt;="&amp;$B196)</f>
        <v>0</v>
      </c>
      <c r="AP196" s="26" t="n">
        <f aca="false">SUMIFS('Outages (event ledger)'!$H$2:$H$65,'Outages (event ledger)'!$A$2:$A$65,AP$2,'Outages (event ledger)'!$E$2:$E$65,"&lt;="&amp;$B196,'Outages (event ledger)'!$G$2:$G$65,"&gt;="&amp;$B196)</f>
        <v>0</v>
      </c>
      <c r="AQ196" s="26" t="n">
        <f aca="false">SUMIFS('Outages (event ledger)'!$H$2:$H$65,'Outages (event ledger)'!$A$2:$A$65,AQ$2,'Outages (event ledger)'!$E$2:$E$65,"&lt;="&amp;$B196,'Outages (event ledger)'!$G$2:$G$65,"&gt;="&amp;$B196)</f>
        <v>0</v>
      </c>
      <c r="AR196" s="26" t="n">
        <f aca="false">SUMIFS('Outages (event ledger)'!$H$2:$H$65,'Outages (event ledger)'!$A$2:$A$65,AR$2,'Outages (event ledger)'!$E$2:$E$65,"&lt;="&amp;$B196,'Outages (event ledger)'!$G$2:$G$65,"&gt;="&amp;$B196)</f>
        <v>0</v>
      </c>
      <c r="AS196" s="26" t="n">
        <f aca="false">SUMIFS('Outages (event ledger)'!$H$2:$H$65,'Outages (event ledger)'!$A$2:$A$65,AS$2,'Outages (event ledger)'!$E$2:$E$65,"&lt;="&amp;$B196,'Outages (event ledger)'!$G$2:$G$65,"&gt;="&amp;$B196)</f>
        <v>0</v>
      </c>
      <c r="AT196" s="26" t="n">
        <f aca="false">SUMIFS('Outages (event ledger)'!$H$2:$H$65,'Outages (event ledger)'!$A$2:$A$65,AT$2,'Outages (event ledger)'!$E$2:$E$65,"&lt;="&amp;$B196,'Outages (event ledger)'!$G$2:$G$65,"&gt;="&amp;$B196)</f>
        <v>0</v>
      </c>
      <c r="AU196" s="26" t="n">
        <f aca="false">SUMIFS('Outages (event ledger)'!$H$2:$H$65,'Outages (event ledger)'!$A$2:$A$65,AU$2,'Outages (event ledger)'!$E$2:$E$65,"&lt;="&amp;$B196,'Outages (event ledger)'!$G$2:$G$65,"&gt;="&amp;$B196)</f>
        <v>0</v>
      </c>
      <c r="AV196" s="26" t="n">
        <f aca="false">SUMIFS('Outages (event ledger)'!$H$2:$H$65,'Outages (event ledger)'!$A$2:$A$65,AV$2,'Outages (event ledger)'!$E$2:$E$65,"&lt;="&amp;$B196,'Outages (event ledger)'!$G$2:$G$65,"&gt;="&amp;$B196)</f>
        <v>0</v>
      </c>
      <c r="AW196" s="26" t="n">
        <f aca="false">SUMIFS('Outages (event ledger)'!$H$2:$H$65,'Outages (event ledger)'!$A$2:$A$65,AW$2,'Outages (event ledger)'!$E$2:$E$65,"&lt;="&amp;$B196,'Outages (event ledger)'!$G$2:$G$65,"&gt;="&amp;$B196)</f>
        <v>0</v>
      </c>
      <c r="AX196" s="26" t="n">
        <f aca="false">SUMIFS('Outages (event ledger)'!$H$2:$H$65,'Outages (event ledger)'!$A$2:$A$65,AX$2,'Outages (event ledger)'!$E$2:$E$65,"&lt;="&amp;$B196,'Outages (event ledger)'!$G$2:$G$65,"&gt;="&amp;$B196)</f>
        <v>6.6</v>
      </c>
      <c r="AY196" s="26" t="n">
        <f aca="false">SUMIFS('Outages (event ledger)'!$H$2:$H$65,'Outages (event ledger)'!$A$2:$A$65,AY$2,'Outages (event ledger)'!$E$2:$E$65,"&lt;="&amp;$B196,'Outages (event ledger)'!$G$2:$G$65,"&gt;="&amp;$B196)</f>
        <v>0</v>
      </c>
      <c r="AZ196" s="26" t="n">
        <f aca="false">SUMIFS('Outages (event ledger)'!$H$2:$H$65,'Outages (event ledger)'!$A$2:$A$65,AZ$2,'Outages (event ledger)'!$E$2:$E$65,"&lt;="&amp;$B196,'Outages (event ledger)'!$G$2:$G$65,"&gt;="&amp;$B196)</f>
        <v>0</v>
      </c>
      <c r="BA196" s="26" t="n">
        <f aca="false">SUMIFS('Outages (event ledger)'!$H$2:$H$65,'Outages (event ledger)'!$A$2:$A$65,BA$2,'Outages (event ledger)'!$E$2:$E$65,"&lt;="&amp;$B196,'Outages (event ledger)'!$G$2:$G$65,"&gt;="&amp;$B196)</f>
        <v>0</v>
      </c>
      <c r="BB196" s="26" t="n">
        <f aca="false">SUMIFS('Outages (event ledger)'!$H$2:$H$65,'Outages (event ledger)'!$A$2:$A$65,BB$2,'Outages (event ledger)'!$E$2:$E$65,"&lt;="&amp;$B196,'Outages (event ledger)'!$G$2:$G$65,"&gt;="&amp;$B196)</f>
        <v>0</v>
      </c>
      <c r="BC196" s="26" t="n">
        <f aca="false">SUMIFS('Outages (event ledger)'!$H$2:$H$65,'Outages (event ledger)'!$A$2:$A$65,BC$2,'Outages (event ledger)'!$E$2:$E$65,"&lt;="&amp;$B196,'Outages (event ledger)'!$G$2:$G$65,"&gt;="&amp;$B196)</f>
        <v>0</v>
      </c>
      <c r="BD196" s="26" t="n">
        <f aca="false">SUMIFS('Outages (event ledger)'!$H$2:$H$65,'Outages (event ledger)'!$A$2:$A$65,BD$2,'Outages (event ledger)'!$E$2:$E$65,"&lt;="&amp;$B196,'Outages (event ledger)'!$G$2:$G$65,"&gt;="&amp;$B196)</f>
        <v>0</v>
      </c>
      <c r="BE196" s="26" t="n">
        <f aca="false">SUMIFS('Outages (event ledger)'!$H$2:$H$65,'Outages (event ledger)'!$A$2:$A$65,BE$2,'Outages (event ledger)'!$E$2:$E$65,"&lt;="&amp;$B196,'Outages (event ledger)'!$G$2:$G$65,"&gt;="&amp;$B196)</f>
        <v>0</v>
      </c>
      <c r="BF196" s="26" t="n">
        <f aca="false">SUMIFS('Outages (event ledger)'!$H$2:$H$65,'Outages (event ledger)'!$A$2:$A$65,BF$2,'Outages (event ledger)'!$E$2:$E$65,"&lt;="&amp;$B196,'Outages (event ledger)'!$G$2:$G$65,"&gt;="&amp;$B196)</f>
        <v>0</v>
      </c>
      <c r="BG196" s="26" t="n">
        <f aca="false">SUMIFS('Outages (event ledger)'!$H$2:$H$65,'Outages (event ledger)'!$A$2:$A$65,BG$2,'Outages (event ledger)'!$E$2:$E$65,"&lt;="&amp;$B196,'Outages (event ledger)'!$G$2:$G$65,"&gt;="&amp;$B196)</f>
        <v>0</v>
      </c>
      <c r="BH196" s="26" t="n">
        <f aca="false">SUMIFS('Outages (event ledger)'!$H$2:$H$65,'Outages (event ledger)'!$A$2:$A$65,BH$2,'Outages (event ledger)'!$E$2:$E$65,"&lt;="&amp;$B196,'Outages (event ledger)'!$G$2:$G$65,"&gt;="&amp;$B196)</f>
        <v>0</v>
      </c>
      <c r="BI196" s="26" t="n">
        <f aca="false">SUMIFS('Outages (event ledger)'!$H$2:$H$65,'Outages (event ledger)'!$A$2:$A$65,BI$2,'Outages (event ledger)'!$E$2:$E$65,"&lt;="&amp;$B196,'Outages (event ledger)'!$G$2:$G$65,"&gt;="&amp;$B196)</f>
        <v>6.7</v>
      </c>
    </row>
    <row r="197" customFormat="false" ht="15" hidden="false" customHeight="false" outlineLevel="0" collapsed="false">
      <c r="A197" s="23" t="n">
        <v>46082</v>
      </c>
      <c r="B197" s="24" t="n">
        <v>202603</v>
      </c>
      <c r="C197" s="25" t="n">
        <f aca="false">SUM(D197:BI197)</f>
        <v>42.6</v>
      </c>
      <c r="D197" s="26" t="n">
        <f aca="false">SUMIFS('Outages (event ledger)'!$H$2:$H$65,'Outages (event ledger)'!$A$2:$A$65,D$2,'Outages (event ledger)'!$E$2:$E$65,"&lt;="&amp;$B197,'Outages (event ledger)'!$G$2:$G$65,"&gt;="&amp;$B197)</f>
        <v>0</v>
      </c>
      <c r="E197" s="26" t="n">
        <f aca="false">SUMIFS('Outages (event ledger)'!$H$2:$H$65,'Outages (event ledger)'!$A$2:$A$65,E$2,'Outages (event ledger)'!$E$2:$E$65,"&lt;="&amp;$B197,'Outages (event ledger)'!$G$2:$G$65,"&gt;="&amp;$B197)</f>
        <v>0</v>
      </c>
      <c r="F197" s="26" t="n">
        <f aca="false">SUMIFS('Outages (event ledger)'!$H$2:$H$65,'Outages (event ledger)'!$A$2:$A$65,F$2,'Outages (event ledger)'!$E$2:$E$65,"&lt;="&amp;$B197,'Outages (event ledger)'!$G$2:$G$65,"&gt;="&amp;$B197)</f>
        <v>0</v>
      </c>
      <c r="G197" s="26" t="n">
        <f aca="false">SUMIFS('Outages (event ledger)'!$H$2:$H$65,'Outages (event ledger)'!$A$2:$A$65,G$2,'Outages (event ledger)'!$E$2:$E$65,"&lt;="&amp;$B197,'Outages (event ledger)'!$G$2:$G$65,"&gt;="&amp;$B197)</f>
        <v>0</v>
      </c>
      <c r="H197" s="26" t="n">
        <f aca="false">SUMIFS('Outages (event ledger)'!$H$2:$H$65,'Outages (event ledger)'!$A$2:$A$65,H$2,'Outages (event ledger)'!$E$2:$E$65,"&lt;="&amp;$B197,'Outages (event ledger)'!$G$2:$G$65,"&gt;="&amp;$B197)</f>
        <v>0</v>
      </c>
      <c r="I197" s="26" t="n">
        <f aca="false">SUMIFS('Outages (event ledger)'!$H$2:$H$65,'Outages (event ledger)'!$A$2:$A$65,I$2,'Outages (event ledger)'!$E$2:$E$65,"&lt;="&amp;$B197,'Outages (event ledger)'!$G$2:$G$65,"&gt;="&amp;$B197)</f>
        <v>0</v>
      </c>
      <c r="J197" s="26" t="n">
        <f aca="false">SUMIFS('Outages (event ledger)'!$H$2:$H$65,'Outages (event ledger)'!$A$2:$A$65,J$2,'Outages (event ledger)'!$E$2:$E$65,"&lt;="&amp;$B197,'Outages (event ledger)'!$G$2:$G$65,"&gt;="&amp;$B197)</f>
        <v>0</v>
      </c>
      <c r="K197" s="26" t="n">
        <f aca="false">SUMIFS('Outages (event ledger)'!$H$2:$H$65,'Outages (event ledger)'!$A$2:$A$65,K$2,'Outages (event ledger)'!$E$2:$E$65,"&lt;="&amp;$B197,'Outages (event ledger)'!$G$2:$G$65,"&gt;="&amp;$B197)</f>
        <v>0</v>
      </c>
      <c r="L197" s="26" t="n">
        <f aca="false">SUMIFS('Outages (event ledger)'!$H$2:$H$65,'Outages (event ledger)'!$A$2:$A$65,L$2,'Outages (event ledger)'!$E$2:$E$65,"&lt;="&amp;$B197,'Outages (event ledger)'!$G$2:$G$65,"&gt;="&amp;$B197)</f>
        <v>1.5</v>
      </c>
      <c r="M197" s="26" t="n">
        <f aca="false">SUMIFS('Outages (event ledger)'!$H$2:$H$65,'Outages (event ledger)'!$A$2:$A$65,M$2,'Outages (event ledger)'!$E$2:$E$65,"&lt;="&amp;$B197,'Outages (event ledger)'!$G$2:$G$65,"&gt;="&amp;$B197)</f>
        <v>0</v>
      </c>
      <c r="N197" s="26" t="n">
        <f aca="false">SUMIFS('Outages (event ledger)'!$H$2:$H$65,'Outages (event ledger)'!$A$2:$A$65,N$2,'Outages (event ledger)'!$E$2:$E$65,"&lt;="&amp;$B197,'Outages (event ledger)'!$G$2:$G$65,"&gt;="&amp;$B197)</f>
        <v>3</v>
      </c>
      <c r="O197" s="26" t="n">
        <f aca="false">SUMIFS('Outages (event ledger)'!$H$2:$H$65,'Outages (event ledger)'!$A$2:$A$65,O$2,'Outages (event ledger)'!$E$2:$E$65,"&lt;="&amp;$B197,'Outages (event ledger)'!$G$2:$G$65,"&gt;="&amp;$B197)</f>
        <v>0</v>
      </c>
      <c r="P197" s="26" t="n">
        <f aca="false">SUMIFS('Outages (event ledger)'!$H$2:$H$65,'Outages (event ledger)'!$A$2:$A$65,P$2,'Outages (event ledger)'!$E$2:$E$65,"&lt;="&amp;$B197,'Outages (event ledger)'!$G$2:$G$65,"&gt;="&amp;$B197)</f>
        <v>0</v>
      </c>
      <c r="Q197" s="26" t="n">
        <f aca="false">SUMIFS('Outages (event ledger)'!$H$2:$H$65,'Outages (event ledger)'!$A$2:$A$65,Q$2,'Outages (event ledger)'!$E$2:$E$65,"&lt;="&amp;$B197,'Outages (event ledger)'!$G$2:$G$65,"&gt;="&amp;$B197)</f>
        <v>0</v>
      </c>
      <c r="R197" s="26" t="n">
        <f aca="false">SUMIFS('Outages (event ledger)'!$H$2:$H$65,'Outages (event ledger)'!$A$2:$A$65,R$2,'Outages (event ledger)'!$E$2:$E$65,"&lt;="&amp;$B197,'Outages (event ledger)'!$G$2:$G$65,"&gt;="&amp;$B197)</f>
        <v>2</v>
      </c>
      <c r="S197" s="26" t="n">
        <f aca="false">SUMIFS('Outages (event ledger)'!$H$2:$H$65,'Outages (event ledger)'!$A$2:$A$65,S$2,'Outages (event ledger)'!$E$2:$E$65,"&lt;="&amp;$B197,'Outages (event ledger)'!$G$2:$G$65,"&gt;="&amp;$B197)</f>
        <v>0</v>
      </c>
      <c r="T197" s="26" t="n">
        <f aca="false">SUMIFS('Outages (event ledger)'!$H$2:$H$65,'Outages (event ledger)'!$A$2:$A$65,T$2,'Outages (event ledger)'!$E$2:$E$65,"&lt;="&amp;$B197,'Outages (event ledger)'!$G$2:$G$65,"&gt;="&amp;$B197)</f>
        <v>0</v>
      </c>
      <c r="U197" s="26" t="n">
        <f aca="false">SUMIFS('Outages (event ledger)'!$H$2:$H$65,'Outages (event ledger)'!$A$2:$A$65,U$2,'Outages (event ledger)'!$E$2:$E$65,"&lt;="&amp;$B197,'Outages (event ledger)'!$G$2:$G$65,"&gt;="&amp;$B197)</f>
        <v>0</v>
      </c>
      <c r="V197" s="26" t="n">
        <f aca="false">SUMIFS('Outages (event ledger)'!$H$2:$H$65,'Outages (event ledger)'!$A$2:$A$65,V$2,'Outages (event ledger)'!$E$2:$E$65,"&lt;="&amp;$B197,'Outages (event ledger)'!$G$2:$G$65,"&gt;="&amp;$B197)</f>
        <v>0</v>
      </c>
      <c r="W197" s="26" t="n">
        <f aca="false">SUMIFS('Outages (event ledger)'!$H$2:$H$65,'Outages (event ledger)'!$A$2:$A$65,W$2,'Outages (event ledger)'!$E$2:$E$65,"&lt;="&amp;$B197,'Outages (event ledger)'!$G$2:$G$65,"&gt;="&amp;$B197)</f>
        <v>0</v>
      </c>
      <c r="X197" s="26" t="n">
        <f aca="false">SUMIFS('Outages (event ledger)'!$H$2:$H$65,'Outages (event ledger)'!$A$2:$A$65,X$2,'Outages (event ledger)'!$E$2:$E$65,"&lt;="&amp;$B197,'Outages (event ledger)'!$G$2:$G$65,"&gt;="&amp;$B197)</f>
        <v>0</v>
      </c>
      <c r="Y197" s="26" t="n">
        <f aca="false">SUMIFS('Outages (event ledger)'!$H$2:$H$65,'Outages (event ledger)'!$A$2:$A$65,Y$2,'Outages (event ledger)'!$E$2:$E$65,"&lt;="&amp;$B197,'Outages (event ledger)'!$G$2:$G$65,"&gt;="&amp;$B197)</f>
        <v>0</v>
      </c>
      <c r="Z197" s="26" t="n">
        <f aca="false">SUMIFS('Outages (event ledger)'!$H$2:$H$65,'Outages (event ledger)'!$A$2:$A$65,Z$2,'Outages (event ledger)'!$E$2:$E$65,"&lt;="&amp;$B197,'Outages (event ledger)'!$G$2:$G$65,"&gt;="&amp;$B197)</f>
        <v>0</v>
      </c>
      <c r="AA197" s="26" t="n">
        <f aca="false">SUMIFS('Outages (event ledger)'!$H$2:$H$65,'Outages (event ledger)'!$A$2:$A$65,AA$2,'Outages (event ledger)'!$E$2:$E$65,"&lt;="&amp;$B197,'Outages (event ledger)'!$G$2:$G$65,"&gt;="&amp;$B197)</f>
        <v>2</v>
      </c>
      <c r="AB197" s="26" t="n">
        <f aca="false">SUMIFS('Outages (event ledger)'!$H$2:$H$65,'Outages (event ledger)'!$A$2:$A$65,AB$2,'Outages (event ledger)'!$E$2:$E$65,"&lt;="&amp;$B197,'Outages (event ledger)'!$G$2:$G$65,"&gt;="&amp;$B197)</f>
        <v>8</v>
      </c>
      <c r="AC197" s="26" t="n">
        <f aca="false">SUMIFS('Outages (event ledger)'!$H$2:$H$65,'Outages (event ledger)'!$A$2:$A$65,AC$2,'Outages (event ledger)'!$E$2:$E$65,"&lt;="&amp;$B197,'Outages (event ledger)'!$G$2:$G$65,"&gt;="&amp;$B197)</f>
        <v>0</v>
      </c>
      <c r="AD197" s="26" t="n">
        <f aca="false">SUMIFS('Outages (event ledger)'!$H$2:$H$65,'Outages (event ledger)'!$A$2:$A$65,AD$2,'Outages (event ledger)'!$E$2:$E$65,"&lt;="&amp;$B197,'Outages (event ledger)'!$G$2:$G$65,"&gt;="&amp;$B197)</f>
        <v>0</v>
      </c>
      <c r="AE197" s="26" t="n">
        <f aca="false">SUMIFS('Outages (event ledger)'!$H$2:$H$65,'Outages (event ledger)'!$A$2:$A$65,AE$2,'Outages (event ledger)'!$E$2:$E$65,"&lt;="&amp;$B197,'Outages (event ledger)'!$G$2:$G$65,"&gt;="&amp;$B197)</f>
        <v>0</v>
      </c>
      <c r="AF197" s="26" t="n">
        <f aca="false">SUMIFS('Outages (event ledger)'!$H$2:$H$65,'Outages (event ledger)'!$A$2:$A$65,AF$2,'Outages (event ledger)'!$E$2:$E$65,"&lt;="&amp;$B197,'Outages (event ledger)'!$G$2:$G$65,"&gt;="&amp;$B197)</f>
        <v>0</v>
      </c>
      <c r="AG197" s="26" t="n">
        <f aca="false">SUMIFS('Outages (event ledger)'!$H$2:$H$65,'Outages (event ledger)'!$A$2:$A$65,AG$2,'Outages (event ledger)'!$E$2:$E$65,"&lt;="&amp;$B197,'Outages (event ledger)'!$G$2:$G$65,"&gt;="&amp;$B197)</f>
        <v>0</v>
      </c>
      <c r="AH197" s="26" t="n">
        <f aca="false">SUMIFS('Outages (event ledger)'!$H$2:$H$65,'Outages (event ledger)'!$A$2:$A$65,AH$2,'Outages (event ledger)'!$E$2:$E$65,"&lt;="&amp;$B197,'Outages (event ledger)'!$G$2:$G$65,"&gt;="&amp;$B197)</f>
        <v>0</v>
      </c>
      <c r="AI197" s="26" t="n">
        <f aca="false">SUMIFS('Outages (event ledger)'!$H$2:$H$65,'Outages (event ledger)'!$A$2:$A$65,AI$2,'Outages (event ledger)'!$E$2:$E$65,"&lt;="&amp;$B197,'Outages (event ledger)'!$G$2:$G$65,"&gt;="&amp;$B197)</f>
        <v>0</v>
      </c>
      <c r="AJ197" s="26" t="n">
        <f aca="false">SUMIFS('Outages (event ledger)'!$H$2:$H$65,'Outages (event ledger)'!$A$2:$A$65,AJ$2,'Outages (event ledger)'!$E$2:$E$65,"&lt;="&amp;$B197,'Outages (event ledger)'!$G$2:$G$65,"&gt;="&amp;$B197)</f>
        <v>0</v>
      </c>
      <c r="AK197" s="26" t="n">
        <f aca="false">SUMIFS('Outages (event ledger)'!$H$2:$H$65,'Outages (event ledger)'!$A$2:$A$65,AK$2,'Outages (event ledger)'!$E$2:$E$65,"&lt;="&amp;$B197,'Outages (event ledger)'!$G$2:$G$65,"&gt;="&amp;$B197)</f>
        <v>0</v>
      </c>
      <c r="AL197" s="26" t="n">
        <f aca="false">SUMIFS('Outages (event ledger)'!$H$2:$H$65,'Outages (event ledger)'!$A$2:$A$65,AL$2,'Outages (event ledger)'!$E$2:$E$65,"&lt;="&amp;$B197,'Outages (event ledger)'!$G$2:$G$65,"&gt;="&amp;$B197)</f>
        <v>0</v>
      </c>
      <c r="AM197" s="26" t="n">
        <f aca="false">SUMIFS('Outages (event ledger)'!$H$2:$H$65,'Outages (event ledger)'!$A$2:$A$65,AM$2,'Outages (event ledger)'!$E$2:$E$65,"&lt;="&amp;$B197,'Outages (event ledger)'!$G$2:$G$65,"&gt;="&amp;$B197)</f>
        <v>0</v>
      </c>
      <c r="AN197" s="26" t="n">
        <f aca="false">SUMIFS('Outages (event ledger)'!$H$2:$H$65,'Outages (event ledger)'!$A$2:$A$65,AN$2,'Outages (event ledger)'!$E$2:$E$65,"&lt;="&amp;$B197,'Outages (event ledger)'!$G$2:$G$65,"&gt;="&amp;$B197)</f>
        <v>0</v>
      </c>
      <c r="AO197" s="26" t="n">
        <f aca="false">SUMIFS('Outages (event ledger)'!$H$2:$H$65,'Outages (event ledger)'!$A$2:$A$65,AO$2,'Outages (event ledger)'!$E$2:$E$65,"&lt;="&amp;$B197,'Outages (event ledger)'!$G$2:$G$65,"&gt;="&amp;$B197)</f>
        <v>0</v>
      </c>
      <c r="AP197" s="26" t="n">
        <f aca="false">SUMIFS('Outages (event ledger)'!$H$2:$H$65,'Outages (event ledger)'!$A$2:$A$65,AP$2,'Outages (event ledger)'!$E$2:$E$65,"&lt;="&amp;$B197,'Outages (event ledger)'!$G$2:$G$65,"&gt;="&amp;$B197)</f>
        <v>0</v>
      </c>
      <c r="AQ197" s="26" t="n">
        <f aca="false">SUMIFS('Outages (event ledger)'!$H$2:$H$65,'Outages (event ledger)'!$A$2:$A$65,AQ$2,'Outages (event ledger)'!$E$2:$E$65,"&lt;="&amp;$B197,'Outages (event ledger)'!$G$2:$G$65,"&gt;="&amp;$B197)</f>
        <v>0</v>
      </c>
      <c r="AR197" s="26" t="n">
        <f aca="false">SUMIFS('Outages (event ledger)'!$H$2:$H$65,'Outages (event ledger)'!$A$2:$A$65,AR$2,'Outages (event ledger)'!$E$2:$E$65,"&lt;="&amp;$B197,'Outages (event ledger)'!$G$2:$G$65,"&gt;="&amp;$B197)</f>
        <v>12.8</v>
      </c>
      <c r="AS197" s="26" t="n">
        <f aca="false">SUMIFS('Outages (event ledger)'!$H$2:$H$65,'Outages (event ledger)'!$A$2:$A$65,AS$2,'Outages (event ledger)'!$E$2:$E$65,"&lt;="&amp;$B197,'Outages (event ledger)'!$G$2:$G$65,"&gt;="&amp;$B197)</f>
        <v>0</v>
      </c>
      <c r="AT197" s="26" t="n">
        <f aca="false">SUMIFS('Outages (event ledger)'!$H$2:$H$65,'Outages (event ledger)'!$A$2:$A$65,AT$2,'Outages (event ledger)'!$E$2:$E$65,"&lt;="&amp;$B197,'Outages (event ledger)'!$G$2:$G$65,"&gt;="&amp;$B197)</f>
        <v>0</v>
      </c>
      <c r="AU197" s="26" t="n">
        <f aca="false">SUMIFS('Outages (event ledger)'!$H$2:$H$65,'Outages (event ledger)'!$A$2:$A$65,AU$2,'Outages (event ledger)'!$E$2:$E$65,"&lt;="&amp;$B197,'Outages (event ledger)'!$G$2:$G$65,"&gt;="&amp;$B197)</f>
        <v>0</v>
      </c>
      <c r="AV197" s="26" t="n">
        <f aca="false">SUMIFS('Outages (event ledger)'!$H$2:$H$65,'Outages (event ledger)'!$A$2:$A$65,AV$2,'Outages (event ledger)'!$E$2:$E$65,"&lt;="&amp;$B197,'Outages (event ledger)'!$G$2:$G$65,"&gt;="&amp;$B197)</f>
        <v>0</v>
      </c>
      <c r="AW197" s="26" t="n">
        <f aca="false">SUMIFS('Outages (event ledger)'!$H$2:$H$65,'Outages (event ledger)'!$A$2:$A$65,AW$2,'Outages (event ledger)'!$E$2:$E$65,"&lt;="&amp;$B197,'Outages (event ledger)'!$G$2:$G$65,"&gt;="&amp;$B197)</f>
        <v>0</v>
      </c>
      <c r="AX197" s="26" t="n">
        <f aca="false">SUMIFS('Outages (event ledger)'!$H$2:$H$65,'Outages (event ledger)'!$A$2:$A$65,AX$2,'Outages (event ledger)'!$E$2:$E$65,"&lt;="&amp;$B197,'Outages (event ledger)'!$G$2:$G$65,"&gt;="&amp;$B197)</f>
        <v>6.6</v>
      </c>
      <c r="AY197" s="26" t="n">
        <f aca="false">SUMIFS('Outages (event ledger)'!$H$2:$H$65,'Outages (event ledger)'!$A$2:$A$65,AY$2,'Outages (event ledger)'!$E$2:$E$65,"&lt;="&amp;$B197,'Outages (event ledger)'!$G$2:$G$65,"&gt;="&amp;$B197)</f>
        <v>0</v>
      </c>
      <c r="AZ197" s="26" t="n">
        <f aca="false">SUMIFS('Outages (event ledger)'!$H$2:$H$65,'Outages (event ledger)'!$A$2:$A$65,AZ$2,'Outages (event ledger)'!$E$2:$E$65,"&lt;="&amp;$B197,'Outages (event ledger)'!$G$2:$G$65,"&gt;="&amp;$B197)</f>
        <v>0</v>
      </c>
      <c r="BA197" s="26" t="n">
        <f aca="false">SUMIFS('Outages (event ledger)'!$H$2:$H$65,'Outages (event ledger)'!$A$2:$A$65,BA$2,'Outages (event ledger)'!$E$2:$E$65,"&lt;="&amp;$B197,'Outages (event ledger)'!$G$2:$G$65,"&gt;="&amp;$B197)</f>
        <v>0</v>
      </c>
      <c r="BB197" s="26" t="n">
        <f aca="false">SUMIFS('Outages (event ledger)'!$H$2:$H$65,'Outages (event ledger)'!$A$2:$A$65,BB$2,'Outages (event ledger)'!$E$2:$E$65,"&lt;="&amp;$B197,'Outages (event ledger)'!$G$2:$G$65,"&gt;="&amp;$B197)</f>
        <v>0</v>
      </c>
      <c r="BC197" s="26" t="n">
        <f aca="false">SUMIFS('Outages (event ledger)'!$H$2:$H$65,'Outages (event ledger)'!$A$2:$A$65,BC$2,'Outages (event ledger)'!$E$2:$E$65,"&lt;="&amp;$B197,'Outages (event ledger)'!$G$2:$G$65,"&gt;="&amp;$B197)</f>
        <v>0</v>
      </c>
      <c r="BD197" s="26" t="n">
        <f aca="false">SUMIFS('Outages (event ledger)'!$H$2:$H$65,'Outages (event ledger)'!$A$2:$A$65,BD$2,'Outages (event ledger)'!$E$2:$E$65,"&lt;="&amp;$B197,'Outages (event ledger)'!$G$2:$G$65,"&gt;="&amp;$B197)</f>
        <v>0</v>
      </c>
      <c r="BE197" s="26" t="n">
        <f aca="false">SUMIFS('Outages (event ledger)'!$H$2:$H$65,'Outages (event ledger)'!$A$2:$A$65,BE$2,'Outages (event ledger)'!$E$2:$E$65,"&lt;="&amp;$B197,'Outages (event ledger)'!$G$2:$G$65,"&gt;="&amp;$B197)</f>
        <v>0</v>
      </c>
      <c r="BF197" s="26" t="n">
        <f aca="false">SUMIFS('Outages (event ledger)'!$H$2:$H$65,'Outages (event ledger)'!$A$2:$A$65,BF$2,'Outages (event ledger)'!$E$2:$E$65,"&lt;="&amp;$B197,'Outages (event ledger)'!$G$2:$G$65,"&gt;="&amp;$B197)</f>
        <v>0</v>
      </c>
      <c r="BG197" s="26" t="n">
        <f aca="false">SUMIFS('Outages (event ledger)'!$H$2:$H$65,'Outages (event ledger)'!$A$2:$A$65,BG$2,'Outages (event ledger)'!$E$2:$E$65,"&lt;="&amp;$B197,'Outages (event ledger)'!$G$2:$G$65,"&gt;="&amp;$B197)</f>
        <v>0</v>
      </c>
      <c r="BH197" s="26" t="n">
        <f aca="false">SUMIFS('Outages (event ledger)'!$H$2:$H$65,'Outages (event ledger)'!$A$2:$A$65,BH$2,'Outages (event ledger)'!$E$2:$E$65,"&lt;="&amp;$B197,'Outages (event ledger)'!$G$2:$G$65,"&gt;="&amp;$B197)</f>
        <v>0</v>
      </c>
      <c r="BI197" s="26" t="n">
        <f aca="false">SUMIFS('Outages (event ledger)'!$H$2:$H$65,'Outages (event ledger)'!$A$2:$A$65,BI$2,'Outages (event ledger)'!$E$2:$E$65,"&lt;="&amp;$B197,'Outages (event ledger)'!$G$2:$G$65,"&gt;="&amp;$B197)</f>
        <v>6.7</v>
      </c>
    </row>
    <row r="198" customFormat="false" ht="15" hidden="false" customHeight="false" outlineLevel="0" collapsed="false">
      <c r="A198" s="23" t="n">
        <v>46113</v>
      </c>
      <c r="B198" s="24" t="n">
        <v>202604</v>
      </c>
      <c r="C198" s="25" t="n">
        <f aca="false">SUM(D198:BI198)</f>
        <v>40.1</v>
      </c>
      <c r="D198" s="26" t="n">
        <f aca="false">SUMIFS('Outages (event ledger)'!$H$2:$H$65,'Outages (event ledger)'!$A$2:$A$65,D$2,'Outages (event ledger)'!$E$2:$E$65,"&lt;="&amp;$B198,'Outages (event ledger)'!$G$2:$G$65,"&gt;="&amp;$B198)</f>
        <v>0</v>
      </c>
      <c r="E198" s="26" t="n">
        <f aca="false">SUMIFS('Outages (event ledger)'!$H$2:$H$65,'Outages (event ledger)'!$A$2:$A$65,E$2,'Outages (event ledger)'!$E$2:$E$65,"&lt;="&amp;$B198,'Outages (event ledger)'!$G$2:$G$65,"&gt;="&amp;$B198)</f>
        <v>0</v>
      </c>
      <c r="F198" s="26" t="n">
        <f aca="false">SUMIFS('Outages (event ledger)'!$H$2:$H$65,'Outages (event ledger)'!$A$2:$A$65,F$2,'Outages (event ledger)'!$E$2:$E$65,"&lt;="&amp;$B198,'Outages (event ledger)'!$G$2:$G$65,"&gt;="&amp;$B198)</f>
        <v>0</v>
      </c>
      <c r="G198" s="26" t="n">
        <f aca="false">SUMIFS('Outages (event ledger)'!$H$2:$H$65,'Outages (event ledger)'!$A$2:$A$65,G$2,'Outages (event ledger)'!$E$2:$E$65,"&lt;="&amp;$B198,'Outages (event ledger)'!$G$2:$G$65,"&gt;="&amp;$B198)</f>
        <v>0</v>
      </c>
      <c r="H198" s="26" t="n">
        <f aca="false">SUMIFS('Outages (event ledger)'!$H$2:$H$65,'Outages (event ledger)'!$A$2:$A$65,H$2,'Outages (event ledger)'!$E$2:$E$65,"&lt;="&amp;$B198,'Outages (event ledger)'!$G$2:$G$65,"&gt;="&amp;$B198)</f>
        <v>0</v>
      </c>
      <c r="I198" s="26" t="n">
        <f aca="false">SUMIFS('Outages (event ledger)'!$H$2:$H$65,'Outages (event ledger)'!$A$2:$A$65,I$2,'Outages (event ledger)'!$E$2:$E$65,"&lt;="&amp;$B198,'Outages (event ledger)'!$G$2:$G$65,"&gt;="&amp;$B198)</f>
        <v>0</v>
      </c>
      <c r="J198" s="26" t="n">
        <f aca="false">SUMIFS('Outages (event ledger)'!$H$2:$H$65,'Outages (event ledger)'!$A$2:$A$65,J$2,'Outages (event ledger)'!$E$2:$E$65,"&lt;="&amp;$B198,'Outages (event ledger)'!$G$2:$G$65,"&gt;="&amp;$B198)</f>
        <v>0</v>
      </c>
      <c r="K198" s="26" t="n">
        <f aca="false">SUMIFS('Outages (event ledger)'!$H$2:$H$65,'Outages (event ledger)'!$A$2:$A$65,K$2,'Outages (event ledger)'!$E$2:$E$65,"&lt;="&amp;$B198,'Outages (event ledger)'!$G$2:$G$65,"&gt;="&amp;$B198)</f>
        <v>0</v>
      </c>
      <c r="L198" s="26" t="n">
        <f aca="false">SUMIFS('Outages (event ledger)'!$H$2:$H$65,'Outages (event ledger)'!$A$2:$A$65,L$2,'Outages (event ledger)'!$E$2:$E$65,"&lt;="&amp;$B198,'Outages (event ledger)'!$G$2:$G$65,"&gt;="&amp;$B198)</f>
        <v>0</v>
      </c>
      <c r="M198" s="26" t="n">
        <f aca="false">SUMIFS('Outages (event ledger)'!$H$2:$H$65,'Outages (event ledger)'!$A$2:$A$65,M$2,'Outages (event ledger)'!$E$2:$E$65,"&lt;="&amp;$B198,'Outages (event ledger)'!$G$2:$G$65,"&gt;="&amp;$B198)</f>
        <v>0</v>
      </c>
      <c r="N198" s="26" t="n">
        <f aca="false">SUMIFS('Outages (event ledger)'!$H$2:$H$65,'Outages (event ledger)'!$A$2:$A$65,N$2,'Outages (event ledger)'!$E$2:$E$65,"&lt;="&amp;$B198,'Outages (event ledger)'!$G$2:$G$65,"&gt;="&amp;$B198)</f>
        <v>0</v>
      </c>
      <c r="O198" s="26" t="n">
        <f aca="false">SUMIFS('Outages (event ledger)'!$H$2:$H$65,'Outages (event ledger)'!$A$2:$A$65,O$2,'Outages (event ledger)'!$E$2:$E$65,"&lt;="&amp;$B198,'Outages (event ledger)'!$G$2:$G$65,"&gt;="&amp;$B198)</f>
        <v>0</v>
      </c>
      <c r="P198" s="26" t="n">
        <f aca="false">SUMIFS('Outages (event ledger)'!$H$2:$H$65,'Outages (event ledger)'!$A$2:$A$65,P$2,'Outages (event ledger)'!$E$2:$E$65,"&lt;="&amp;$B198,'Outages (event ledger)'!$G$2:$G$65,"&gt;="&amp;$B198)</f>
        <v>0</v>
      </c>
      <c r="Q198" s="26" t="n">
        <f aca="false">SUMIFS('Outages (event ledger)'!$H$2:$H$65,'Outages (event ledger)'!$A$2:$A$65,Q$2,'Outages (event ledger)'!$E$2:$E$65,"&lt;="&amp;$B198,'Outages (event ledger)'!$G$2:$G$65,"&gt;="&amp;$B198)</f>
        <v>0</v>
      </c>
      <c r="R198" s="26" t="n">
        <f aca="false">SUMIFS('Outages (event ledger)'!$H$2:$H$65,'Outages (event ledger)'!$A$2:$A$65,R$2,'Outages (event ledger)'!$E$2:$E$65,"&lt;="&amp;$B198,'Outages (event ledger)'!$G$2:$G$65,"&gt;="&amp;$B198)</f>
        <v>4</v>
      </c>
      <c r="S198" s="26" t="n">
        <f aca="false">SUMIFS('Outages (event ledger)'!$H$2:$H$65,'Outages (event ledger)'!$A$2:$A$65,S$2,'Outages (event ledger)'!$E$2:$E$65,"&lt;="&amp;$B198,'Outages (event ledger)'!$G$2:$G$65,"&gt;="&amp;$B198)</f>
        <v>0</v>
      </c>
      <c r="T198" s="26" t="n">
        <f aca="false">SUMIFS('Outages (event ledger)'!$H$2:$H$65,'Outages (event ledger)'!$A$2:$A$65,T$2,'Outages (event ledger)'!$E$2:$E$65,"&lt;="&amp;$B198,'Outages (event ledger)'!$G$2:$G$65,"&gt;="&amp;$B198)</f>
        <v>0</v>
      </c>
      <c r="U198" s="26" t="n">
        <f aca="false">SUMIFS('Outages (event ledger)'!$H$2:$H$65,'Outages (event ledger)'!$A$2:$A$65,U$2,'Outages (event ledger)'!$E$2:$E$65,"&lt;="&amp;$B198,'Outages (event ledger)'!$G$2:$G$65,"&gt;="&amp;$B198)</f>
        <v>0</v>
      </c>
      <c r="V198" s="26" t="n">
        <f aca="false">SUMIFS('Outages (event ledger)'!$H$2:$H$65,'Outages (event ledger)'!$A$2:$A$65,V$2,'Outages (event ledger)'!$E$2:$E$65,"&lt;="&amp;$B198,'Outages (event ledger)'!$G$2:$G$65,"&gt;="&amp;$B198)</f>
        <v>0</v>
      </c>
      <c r="W198" s="26" t="n">
        <f aca="false">SUMIFS('Outages (event ledger)'!$H$2:$H$65,'Outages (event ledger)'!$A$2:$A$65,W$2,'Outages (event ledger)'!$E$2:$E$65,"&lt;="&amp;$B198,'Outages (event ledger)'!$G$2:$G$65,"&gt;="&amp;$B198)</f>
        <v>0</v>
      </c>
      <c r="X198" s="26" t="n">
        <f aca="false">SUMIFS('Outages (event ledger)'!$H$2:$H$65,'Outages (event ledger)'!$A$2:$A$65,X$2,'Outages (event ledger)'!$E$2:$E$65,"&lt;="&amp;$B198,'Outages (event ledger)'!$G$2:$G$65,"&gt;="&amp;$B198)</f>
        <v>0</v>
      </c>
      <c r="Y198" s="26" t="n">
        <f aca="false">SUMIFS('Outages (event ledger)'!$H$2:$H$65,'Outages (event ledger)'!$A$2:$A$65,Y$2,'Outages (event ledger)'!$E$2:$E$65,"&lt;="&amp;$B198,'Outages (event ledger)'!$G$2:$G$65,"&gt;="&amp;$B198)</f>
        <v>0</v>
      </c>
      <c r="Z198" s="26" t="n">
        <f aca="false">SUMIFS('Outages (event ledger)'!$H$2:$H$65,'Outages (event ledger)'!$A$2:$A$65,Z$2,'Outages (event ledger)'!$E$2:$E$65,"&lt;="&amp;$B198,'Outages (event ledger)'!$G$2:$G$65,"&gt;="&amp;$B198)</f>
        <v>0</v>
      </c>
      <c r="AA198" s="26" t="n">
        <f aca="false">SUMIFS('Outages (event ledger)'!$H$2:$H$65,'Outages (event ledger)'!$A$2:$A$65,AA$2,'Outages (event ledger)'!$E$2:$E$65,"&lt;="&amp;$B198,'Outages (event ledger)'!$G$2:$G$65,"&gt;="&amp;$B198)</f>
        <v>2</v>
      </c>
      <c r="AB198" s="26" t="n">
        <f aca="false">SUMIFS('Outages (event ledger)'!$H$2:$H$65,'Outages (event ledger)'!$A$2:$A$65,AB$2,'Outages (event ledger)'!$E$2:$E$65,"&lt;="&amp;$B198,'Outages (event ledger)'!$G$2:$G$65,"&gt;="&amp;$B198)</f>
        <v>8</v>
      </c>
      <c r="AC198" s="26" t="n">
        <f aca="false">SUMIFS('Outages (event ledger)'!$H$2:$H$65,'Outages (event ledger)'!$A$2:$A$65,AC$2,'Outages (event ledger)'!$E$2:$E$65,"&lt;="&amp;$B198,'Outages (event ledger)'!$G$2:$G$65,"&gt;="&amp;$B198)</f>
        <v>0</v>
      </c>
      <c r="AD198" s="26" t="n">
        <f aca="false">SUMIFS('Outages (event ledger)'!$H$2:$H$65,'Outages (event ledger)'!$A$2:$A$65,AD$2,'Outages (event ledger)'!$E$2:$E$65,"&lt;="&amp;$B198,'Outages (event ledger)'!$G$2:$G$65,"&gt;="&amp;$B198)</f>
        <v>0</v>
      </c>
      <c r="AE198" s="26" t="n">
        <f aca="false">SUMIFS('Outages (event ledger)'!$H$2:$H$65,'Outages (event ledger)'!$A$2:$A$65,AE$2,'Outages (event ledger)'!$E$2:$E$65,"&lt;="&amp;$B198,'Outages (event ledger)'!$G$2:$G$65,"&gt;="&amp;$B198)</f>
        <v>0</v>
      </c>
      <c r="AF198" s="26" t="n">
        <f aca="false">SUMIFS('Outages (event ledger)'!$H$2:$H$65,'Outages (event ledger)'!$A$2:$A$65,AF$2,'Outages (event ledger)'!$E$2:$E$65,"&lt;="&amp;$B198,'Outages (event ledger)'!$G$2:$G$65,"&gt;="&amp;$B198)</f>
        <v>0</v>
      </c>
      <c r="AG198" s="26" t="n">
        <f aca="false">SUMIFS('Outages (event ledger)'!$H$2:$H$65,'Outages (event ledger)'!$A$2:$A$65,AG$2,'Outages (event ledger)'!$E$2:$E$65,"&lt;="&amp;$B198,'Outages (event ledger)'!$G$2:$G$65,"&gt;="&amp;$B198)</f>
        <v>0</v>
      </c>
      <c r="AH198" s="26" t="n">
        <f aca="false">SUMIFS('Outages (event ledger)'!$H$2:$H$65,'Outages (event ledger)'!$A$2:$A$65,AH$2,'Outages (event ledger)'!$E$2:$E$65,"&lt;="&amp;$B198,'Outages (event ledger)'!$G$2:$G$65,"&gt;="&amp;$B198)</f>
        <v>0</v>
      </c>
      <c r="AI198" s="26" t="n">
        <f aca="false">SUMIFS('Outages (event ledger)'!$H$2:$H$65,'Outages (event ledger)'!$A$2:$A$65,AI$2,'Outages (event ledger)'!$E$2:$E$65,"&lt;="&amp;$B198,'Outages (event ledger)'!$G$2:$G$65,"&gt;="&amp;$B198)</f>
        <v>0</v>
      </c>
      <c r="AJ198" s="26" t="n">
        <f aca="false">SUMIFS('Outages (event ledger)'!$H$2:$H$65,'Outages (event ledger)'!$A$2:$A$65,AJ$2,'Outages (event ledger)'!$E$2:$E$65,"&lt;="&amp;$B198,'Outages (event ledger)'!$G$2:$G$65,"&gt;="&amp;$B198)</f>
        <v>0</v>
      </c>
      <c r="AK198" s="26" t="n">
        <f aca="false">SUMIFS('Outages (event ledger)'!$H$2:$H$65,'Outages (event ledger)'!$A$2:$A$65,AK$2,'Outages (event ledger)'!$E$2:$E$65,"&lt;="&amp;$B198,'Outages (event ledger)'!$G$2:$G$65,"&gt;="&amp;$B198)</f>
        <v>0</v>
      </c>
      <c r="AL198" s="26" t="n">
        <f aca="false">SUMIFS('Outages (event ledger)'!$H$2:$H$65,'Outages (event ledger)'!$A$2:$A$65,AL$2,'Outages (event ledger)'!$E$2:$E$65,"&lt;="&amp;$B198,'Outages (event ledger)'!$G$2:$G$65,"&gt;="&amp;$B198)</f>
        <v>0</v>
      </c>
      <c r="AM198" s="26" t="n">
        <f aca="false">SUMIFS('Outages (event ledger)'!$H$2:$H$65,'Outages (event ledger)'!$A$2:$A$65,AM$2,'Outages (event ledger)'!$E$2:$E$65,"&lt;="&amp;$B198,'Outages (event ledger)'!$G$2:$G$65,"&gt;="&amp;$B198)</f>
        <v>0</v>
      </c>
      <c r="AN198" s="26" t="n">
        <f aca="false">SUMIFS('Outages (event ledger)'!$H$2:$H$65,'Outages (event ledger)'!$A$2:$A$65,AN$2,'Outages (event ledger)'!$E$2:$E$65,"&lt;="&amp;$B198,'Outages (event ledger)'!$G$2:$G$65,"&gt;="&amp;$B198)</f>
        <v>0</v>
      </c>
      <c r="AO198" s="26" t="n">
        <f aca="false">SUMIFS('Outages (event ledger)'!$H$2:$H$65,'Outages (event ledger)'!$A$2:$A$65,AO$2,'Outages (event ledger)'!$E$2:$E$65,"&lt;="&amp;$B198,'Outages (event ledger)'!$G$2:$G$65,"&gt;="&amp;$B198)</f>
        <v>0</v>
      </c>
      <c r="AP198" s="26" t="n">
        <f aca="false">SUMIFS('Outages (event ledger)'!$H$2:$H$65,'Outages (event ledger)'!$A$2:$A$65,AP$2,'Outages (event ledger)'!$E$2:$E$65,"&lt;="&amp;$B198,'Outages (event ledger)'!$G$2:$G$65,"&gt;="&amp;$B198)</f>
        <v>0</v>
      </c>
      <c r="AQ198" s="26" t="n">
        <f aca="false">SUMIFS('Outages (event ledger)'!$H$2:$H$65,'Outages (event ledger)'!$A$2:$A$65,AQ$2,'Outages (event ledger)'!$E$2:$E$65,"&lt;="&amp;$B198,'Outages (event ledger)'!$G$2:$G$65,"&gt;="&amp;$B198)</f>
        <v>0</v>
      </c>
      <c r="AR198" s="26" t="n">
        <f aca="false">SUMIFS('Outages (event ledger)'!$H$2:$H$65,'Outages (event ledger)'!$A$2:$A$65,AR$2,'Outages (event ledger)'!$E$2:$E$65,"&lt;="&amp;$B198,'Outages (event ledger)'!$G$2:$G$65,"&gt;="&amp;$B198)</f>
        <v>12.8</v>
      </c>
      <c r="AS198" s="26" t="n">
        <f aca="false">SUMIFS('Outages (event ledger)'!$H$2:$H$65,'Outages (event ledger)'!$A$2:$A$65,AS$2,'Outages (event ledger)'!$E$2:$E$65,"&lt;="&amp;$B198,'Outages (event ledger)'!$G$2:$G$65,"&gt;="&amp;$B198)</f>
        <v>0</v>
      </c>
      <c r="AT198" s="26" t="n">
        <f aca="false">SUMIFS('Outages (event ledger)'!$H$2:$H$65,'Outages (event ledger)'!$A$2:$A$65,AT$2,'Outages (event ledger)'!$E$2:$E$65,"&lt;="&amp;$B198,'Outages (event ledger)'!$G$2:$G$65,"&gt;="&amp;$B198)</f>
        <v>0</v>
      </c>
      <c r="AU198" s="26" t="n">
        <f aca="false">SUMIFS('Outages (event ledger)'!$H$2:$H$65,'Outages (event ledger)'!$A$2:$A$65,AU$2,'Outages (event ledger)'!$E$2:$E$65,"&lt;="&amp;$B198,'Outages (event ledger)'!$G$2:$G$65,"&gt;="&amp;$B198)</f>
        <v>0</v>
      </c>
      <c r="AV198" s="26" t="n">
        <f aca="false">SUMIFS('Outages (event ledger)'!$H$2:$H$65,'Outages (event ledger)'!$A$2:$A$65,AV$2,'Outages (event ledger)'!$E$2:$E$65,"&lt;="&amp;$B198,'Outages (event ledger)'!$G$2:$G$65,"&gt;="&amp;$B198)</f>
        <v>0</v>
      </c>
      <c r="AW198" s="26" t="n">
        <f aca="false">SUMIFS('Outages (event ledger)'!$H$2:$H$65,'Outages (event ledger)'!$A$2:$A$65,AW$2,'Outages (event ledger)'!$E$2:$E$65,"&lt;="&amp;$B198,'Outages (event ledger)'!$G$2:$G$65,"&gt;="&amp;$B198)</f>
        <v>0</v>
      </c>
      <c r="AX198" s="26" t="n">
        <f aca="false">SUMIFS('Outages (event ledger)'!$H$2:$H$65,'Outages (event ledger)'!$A$2:$A$65,AX$2,'Outages (event ledger)'!$E$2:$E$65,"&lt;="&amp;$B198,'Outages (event ledger)'!$G$2:$G$65,"&gt;="&amp;$B198)</f>
        <v>6.6</v>
      </c>
      <c r="AY198" s="26" t="n">
        <f aca="false">SUMIFS('Outages (event ledger)'!$H$2:$H$65,'Outages (event ledger)'!$A$2:$A$65,AY$2,'Outages (event ledger)'!$E$2:$E$65,"&lt;="&amp;$B198,'Outages (event ledger)'!$G$2:$G$65,"&gt;="&amp;$B198)</f>
        <v>0</v>
      </c>
      <c r="AZ198" s="26" t="n">
        <f aca="false">SUMIFS('Outages (event ledger)'!$H$2:$H$65,'Outages (event ledger)'!$A$2:$A$65,AZ$2,'Outages (event ledger)'!$E$2:$E$65,"&lt;="&amp;$B198,'Outages (event ledger)'!$G$2:$G$65,"&gt;="&amp;$B198)</f>
        <v>0</v>
      </c>
      <c r="BA198" s="26" t="n">
        <f aca="false">SUMIFS('Outages (event ledger)'!$H$2:$H$65,'Outages (event ledger)'!$A$2:$A$65,BA$2,'Outages (event ledger)'!$E$2:$E$65,"&lt;="&amp;$B198,'Outages (event ledger)'!$G$2:$G$65,"&gt;="&amp;$B198)</f>
        <v>0</v>
      </c>
      <c r="BB198" s="26" t="n">
        <f aca="false">SUMIFS('Outages (event ledger)'!$H$2:$H$65,'Outages (event ledger)'!$A$2:$A$65,BB$2,'Outages (event ledger)'!$E$2:$E$65,"&lt;="&amp;$B198,'Outages (event ledger)'!$G$2:$G$65,"&gt;="&amp;$B198)</f>
        <v>0</v>
      </c>
      <c r="BC198" s="26" t="n">
        <f aca="false">SUMIFS('Outages (event ledger)'!$H$2:$H$65,'Outages (event ledger)'!$A$2:$A$65,BC$2,'Outages (event ledger)'!$E$2:$E$65,"&lt;="&amp;$B198,'Outages (event ledger)'!$G$2:$G$65,"&gt;="&amp;$B198)</f>
        <v>0</v>
      </c>
      <c r="BD198" s="26" t="n">
        <f aca="false">SUMIFS('Outages (event ledger)'!$H$2:$H$65,'Outages (event ledger)'!$A$2:$A$65,BD$2,'Outages (event ledger)'!$E$2:$E$65,"&lt;="&amp;$B198,'Outages (event ledger)'!$G$2:$G$65,"&gt;="&amp;$B198)</f>
        <v>0</v>
      </c>
      <c r="BE198" s="26" t="n">
        <f aca="false">SUMIFS('Outages (event ledger)'!$H$2:$H$65,'Outages (event ledger)'!$A$2:$A$65,BE$2,'Outages (event ledger)'!$E$2:$E$65,"&lt;="&amp;$B198,'Outages (event ledger)'!$G$2:$G$65,"&gt;="&amp;$B198)</f>
        <v>0</v>
      </c>
      <c r="BF198" s="26" t="n">
        <f aca="false">SUMIFS('Outages (event ledger)'!$H$2:$H$65,'Outages (event ledger)'!$A$2:$A$65,BF$2,'Outages (event ledger)'!$E$2:$E$65,"&lt;="&amp;$B198,'Outages (event ledger)'!$G$2:$G$65,"&gt;="&amp;$B198)</f>
        <v>0</v>
      </c>
      <c r="BG198" s="26" t="n">
        <f aca="false">SUMIFS('Outages (event ledger)'!$H$2:$H$65,'Outages (event ledger)'!$A$2:$A$65,BG$2,'Outages (event ledger)'!$E$2:$E$65,"&lt;="&amp;$B198,'Outages (event ledger)'!$G$2:$G$65,"&gt;="&amp;$B198)</f>
        <v>0</v>
      </c>
      <c r="BH198" s="26" t="n">
        <f aca="false">SUMIFS('Outages (event ledger)'!$H$2:$H$65,'Outages (event ledger)'!$A$2:$A$65,BH$2,'Outages (event ledger)'!$E$2:$E$65,"&lt;="&amp;$B198,'Outages (event ledger)'!$G$2:$G$65,"&gt;="&amp;$B198)</f>
        <v>0</v>
      </c>
      <c r="BI198" s="26" t="n">
        <f aca="false">SUMIFS('Outages (event ledger)'!$H$2:$H$65,'Outages (event ledger)'!$A$2:$A$65,BI$2,'Outages (event ledger)'!$E$2:$E$65,"&lt;="&amp;$B198,'Outages (event ledger)'!$G$2:$G$65,"&gt;="&amp;$B198)</f>
        <v>6.7</v>
      </c>
    </row>
    <row r="199" customFormat="false" ht="15" hidden="false" customHeight="false" outlineLevel="0" collapsed="false">
      <c r="A199" s="23" t="n">
        <v>46143</v>
      </c>
      <c r="B199" s="24" t="n">
        <v>202605</v>
      </c>
      <c r="C199" s="25" t="n">
        <f aca="false">SUM(D199:BI199)</f>
        <v>40.1</v>
      </c>
      <c r="D199" s="26" t="n">
        <f aca="false">SUMIFS('Outages (event ledger)'!$H$2:$H$65,'Outages (event ledger)'!$A$2:$A$65,D$2,'Outages (event ledger)'!$E$2:$E$65,"&lt;="&amp;$B199,'Outages (event ledger)'!$G$2:$G$65,"&gt;="&amp;$B199)</f>
        <v>0</v>
      </c>
      <c r="E199" s="26" t="n">
        <f aca="false">SUMIFS('Outages (event ledger)'!$H$2:$H$65,'Outages (event ledger)'!$A$2:$A$65,E$2,'Outages (event ledger)'!$E$2:$E$65,"&lt;="&amp;$B199,'Outages (event ledger)'!$G$2:$G$65,"&gt;="&amp;$B199)</f>
        <v>0</v>
      </c>
      <c r="F199" s="26" t="n">
        <f aca="false">SUMIFS('Outages (event ledger)'!$H$2:$H$65,'Outages (event ledger)'!$A$2:$A$65,F$2,'Outages (event ledger)'!$E$2:$E$65,"&lt;="&amp;$B199,'Outages (event ledger)'!$G$2:$G$65,"&gt;="&amp;$B199)</f>
        <v>0</v>
      </c>
      <c r="G199" s="26" t="n">
        <f aca="false">SUMIFS('Outages (event ledger)'!$H$2:$H$65,'Outages (event ledger)'!$A$2:$A$65,G$2,'Outages (event ledger)'!$E$2:$E$65,"&lt;="&amp;$B199,'Outages (event ledger)'!$G$2:$G$65,"&gt;="&amp;$B199)</f>
        <v>0</v>
      </c>
      <c r="H199" s="26" t="n">
        <f aca="false">SUMIFS('Outages (event ledger)'!$H$2:$H$65,'Outages (event ledger)'!$A$2:$A$65,H$2,'Outages (event ledger)'!$E$2:$E$65,"&lt;="&amp;$B199,'Outages (event ledger)'!$G$2:$G$65,"&gt;="&amp;$B199)</f>
        <v>0</v>
      </c>
      <c r="I199" s="26" t="n">
        <f aca="false">SUMIFS('Outages (event ledger)'!$H$2:$H$65,'Outages (event ledger)'!$A$2:$A$65,I$2,'Outages (event ledger)'!$E$2:$E$65,"&lt;="&amp;$B199,'Outages (event ledger)'!$G$2:$G$65,"&gt;="&amp;$B199)</f>
        <v>0</v>
      </c>
      <c r="J199" s="26" t="n">
        <f aca="false">SUMIFS('Outages (event ledger)'!$H$2:$H$65,'Outages (event ledger)'!$A$2:$A$65,J$2,'Outages (event ledger)'!$E$2:$E$65,"&lt;="&amp;$B199,'Outages (event ledger)'!$G$2:$G$65,"&gt;="&amp;$B199)</f>
        <v>0</v>
      </c>
      <c r="K199" s="26" t="n">
        <f aca="false">SUMIFS('Outages (event ledger)'!$H$2:$H$65,'Outages (event ledger)'!$A$2:$A$65,K$2,'Outages (event ledger)'!$E$2:$E$65,"&lt;="&amp;$B199,'Outages (event ledger)'!$G$2:$G$65,"&gt;="&amp;$B199)</f>
        <v>0</v>
      </c>
      <c r="L199" s="26" t="n">
        <f aca="false">SUMIFS('Outages (event ledger)'!$H$2:$H$65,'Outages (event ledger)'!$A$2:$A$65,L$2,'Outages (event ledger)'!$E$2:$E$65,"&lt;="&amp;$B199,'Outages (event ledger)'!$G$2:$G$65,"&gt;="&amp;$B199)</f>
        <v>0</v>
      </c>
      <c r="M199" s="26" t="n">
        <f aca="false">SUMIFS('Outages (event ledger)'!$H$2:$H$65,'Outages (event ledger)'!$A$2:$A$65,M$2,'Outages (event ledger)'!$E$2:$E$65,"&lt;="&amp;$B199,'Outages (event ledger)'!$G$2:$G$65,"&gt;="&amp;$B199)</f>
        <v>0</v>
      </c>
      <c r="N199" s="26" t="n">
        <f aca="false">SUMIFS('Outages (event ledger)'!$H$2:$H$65,'Outages (event ledger)'!$A$2:$A$65,N$2,'Outages (event ledger)'!$E$2:$E$65,"&lt;="&amp;$B199,'Outages (event ledger)'!$G$2:$G$65,"&gt;="&amp;$B199)</f>
        <v>0</v>
      </c>
      <c r="O199" s="26" t="n">
        <f aca="false">SUMIFS('Outages (event ledger)'!$H$2:$H$65,'Outages (event ledger)'!$A$2:$A$65,O$2,'Outages (event ledger)'!$E$2:$E$65,"&lt;="&amp;$B199,'Outages (event ledger)'!$G$2:$G$65,"&gt;="&amp;$B199)</f>
        <v>0</v>
      </c>
      <c r="P199" s="26" t="n">
        <f aca="false">SUMIFS('Outages (event ledger)'!$H$2:$H$65,'Outages (event ledger)'!$A$2:$A$65,P$2,'Outages (event ledger)'!$E$2:$E$65,"&lt;="&amp;$B199,'Outages (event ledger)'!$G$2:$G$65,"&gt;="&amp;$B199)</f>
        <v>0</v>
      </c>
      <c r="Q199" s="26" t="n">
        <f aca="false">SUMIFS('Outages (event ledger)'!$H$2:$H$65,'Outages (event ledger)'!$A$2:$A$65,Q$2,'Outages (event ledger)'!$E$2:$E$65,"&lt;="&amp;$B199,'Outages (event ledger)'!$G$2:$G$65,"&gt;="&amp;$B199)</f>
        <v>0</v>
      </c>
      <c r="R199" s="26" t="n">
        <f aca="false">SUMIFS('Outages (event ledger)'!$H$2:$H$65,'Outages (event ledger)'!$A$2:$A$65,R$2,'Outages (event ledger)'!$E$2:$E$65,"&lt;="&amp;$B199,'Outages (event ledger)'!$G$2:$G$65,"&gt;="&amp;$B199)</f>
        <v>0</v>
      </c>
      <c r="S199" s="26" t="n">
        <f aca="false">SUMIFS('Outages (event ledger)'!$H$2:$H$65,'Outages (event ledger)'!$A$2:$A$65,S$2,'Outages (event ledger)'!$E$2:$E$65,"&lt;="&amp;$B199,'Outages (event ledger)'!$G$2:$G$65,"&gt;="&amp;$B199)</f>
        <v>0</v>
      </c>
      <c r="T199" s="26" t="n">
        <f aca="false">SUMIFS('Outages (event ledger)'!$H$2:$H$65,'Outages (event ledger)'!$A$2:$A$65,T$2,'Outages (event ledger)'!$E$2:$E$65,"&lt;="&amp;$B199,'Outages (event ledger)'!$G$2:$G$65,"&gt;="&amp;$B199)</f>
        <v>0</v>
      </c>
      <c r="U199" s="26" t="n">
        <f aca="false">SUMIFS('Outages (event ledger)'!$H$2:$H$65,'Outages (event ledger)'!$A$2:$A$65,U$2,'Outages (event ledger)'!$E$2:$E$65,"&lt;="&amp;$B199,'Outages (event ledger)'!$G$2:$G$65,"&gt;="&amp;$B199)</f>
        <v>0</v>
      </c>
      <c r="V199" s="26" t="n">
        <f aca="false">SUMIFS('Outages (event ledger)'!$H$2:$H$65,'Outages (event ledger)'!$A$2:$A$65,V$2,'Outages (event ledger)'!$E$2:$E$65,"&lt;="&amp;$B199,'Outages (event ledger)'!$G$2:$G$65,"&gt;="&amp;$B199)</f>
        <v>0</v>
      </c>
      <c r="W199" s="26" t="n">
        <f aca="false">SUMIFS('Outages (event ledger)'!$H$2:$H$65,'Outages (event ledger)'!$A$2:$A$65,W$2,'Outages (event ledger)'!$E$2:$E$65,"&lt;="&amp;$B199,'Outages (event ledger)'!$G$2:$G$65,"&gt;="&amp;$B199)</f>
        <v>0</v>
      </c>
      <c r="X199" s="26" t="n">
        <f aca="false">SUMIFS('Outages (event ledger)'!$H$2:$H$65,'Outages (event ledger)'!$A$2:$A$65,X$2,'Outages (event ledger)'!$E$2:$E$65,"&lt;="&amp;$B199,'Outages (event ledger)'!$G$2:$G$65,"&gt;="&amp;$B199)</f>
        <v>0</v>
      </c>
      <c r="Y199" s="26" t="n">
        <f aca="false">SUMIFS('Outages (event ledger)'!$H$2:$H$65,'Outages (event ledger)'!$A$2:$A$65,Y$2,'Outages (event ledger)'!$E$2:$E$65,"&lt;="&amp;$B199,'Outages (event ledger)'!$G$2:$G$65,"&gt;="&amp;$B199)</f>
        <v>0</v>
      </c>
      <c r="Z199" s="26" t="n">
        <f aca="false">SUMIFS('Outages (event ledger)'!$H$2:$H$65,'Outages (event ledger)'!$A$2:$A$65,Z$2,'Outages (event ledger)'!$E$2:$E$65,"&lt;="&amp;$B199,'Outages (event ledger)'!$G$2:$G$65,"&gt;="&amp;$B199)</f>
        <v>0</v>
      </c>
      <c r="AA199" s="26" t="n">
        <f aca="false">SUMIFS('Outages (event ledger)'!$H$2:$H$65,'Outages (event ledger)'!$A$2:$A$65,AA$2,'Outages (event ledger)'!$E$2:$E$65,"&lt;="&amp;$B199,'Outages (event ledger)'!$G$2:$G$65,"&gt;="&amp;$B199)</f>
        <v>2</v>
      </c>
      <c r="AB199" s="26" t="n">
        <f aca="false">SUMIFS('Outages (event ledger)'!$H$2:$H$65,'Outages (event ledger)'!$A$2:$A$65,AB$2,'Outages (event ledger)'!$E$2:$E$65,"&lt;="&amp;$B199,'Outages (event ledger)'!$G$2:$G$65,"&gt;="&amp;$B199)</f>
        <v>8</v>
      </c>
      <c r="AC199" s="26" t="n">
        <f aca="false">SUMIFS('Outages (event ledger)'!$H$2:$H$65,'Outages (event ledger)'!$A$2:$A$65,AC$2,'Outages (event ledger)'!$E$2:$E$65,"&lt;="&amp;$B199,'Outages (event ledger)'!$G$2:$G$65,"&gt;="&amp;$B199)</f>
        <v>0</v>
      </c>
      <c r="AD199" s="26" t="n">
        <f aca="false">SUMIFS('Outages (event ledger)'!$H$2:$H$65,'Outages (event ledger)'!$A$2:$A$65,AD$2,'Outages (event ledger)'!$E$2:$E$65,"&lt;="&amp;$B199,'Outages (event ledger)'!$G$2:$G$65,"&gt;="&amp;$B199)</f>
        <v>0</v>
      </c>
      <c r="AE199" s="26" t="n">
        <f aca="false">SUMIFS('Outages (event ledger)'!$H$2:$H$65,'Outages (event ledger)'!$A$2:$A$65,AE$2,'Outages (event ledger)'!$E$2:$E$65,"&lt;="&amp;$B199,'Outages (event ledger)'!$G$2:$G$65,"&gt;="&amp;$B199)</f>
        <v>0</v>
      </c>
      <c r="AF199" s="26" t="n">
        <f aca="false">SUMIFS('Outages (event ledger)'!$H$2:$H$65,'Outages (event ledger)'!$A$2:$A$65,AF$2,'Outages (event ledger)'!$E$2:$E$65,"&lt;="&amp;$B199,'Outages (event ledger)'!$G$2:$G$65,"&gt;="&amp;$B199)</f>
        <v>0</v>
      </c>
      <c r="AG199" s="26" t="n">
        <f aca="false">SUMIFS('Outages (event ledger)'!$H$2:$H$65,'Outages (event ledger)'!$A$2:$A$65,AG$2,'Outages (event ledger)'!$E$2:$E$65,"&lt;="&amp;$B199,'Outages (event ledger)'!$G$2:$G$65,"&gt;="&amp;$B199)</f>
        <v>0</v>
      </c>
      <c r="AH199" s="26" t="n">
        <f aca="false">SUMIFS('Outages (event ledger)'!$H$2:$H$65,'Outages (event ledger)'!$A$2:$A$65,AH$2,'Outages (event ledger)'!$E$2:$E$65,"&lt;="&amp;$B199,'Outages (event ledger)'!$G$2:$G$65,"&gt;="&amp;$B199)</f>
        <v>0</v>
      </c>
      <c r="AI199" s="26" t="n">
        <f aca="false">SUMIFS('Outages (event ledger)'!$H$2:$H$65,'Outages (event ledger)'!$A$2:$A$65,AI$2,'Outages (event ledger)'!$E$2:$E$65,"&lt;="&amp;$B199,'Outages (event ledger)'!$G$2:$G$65,"&gt;="&amp;$B199)</f>
        <v>0</v>
      </c>
      <c r="AJ199" s="26" t="n">
        <f aca="false">SUMIFS('Outages (event ledger)'!$H$2:$H$65,'Outages (event ledger)'!$A$2:$A$65,AJ$2,'Outages (event ledger)'!$E$2:$E$65,"&lt;="&amp;$B199,'Outages (event ledger)'!$G$2:$G$65,"&gt;="&amp;$B199)</f>
        <v>0</v>
      </c>
      <c r="AK199" s="26" t="n">
        <f aca="false">SUMIFS('Outages (event ledger)'!$H$2:$H$65,'Outages (event ledger)'!$A$2:$A$65,AK$2,'Outages (event ledger)'!$E$2:$E$65,"&lt;="&amp;$B199,'Outages (event ledger)'!$G$2:$G$65,"&gt;="&amp;$B199)</f>
        <v>0</v>
      </c>
      <c r="AL199" s="26" t="n">
        <f aca="false">SUMIFS('Outages (event ledger)'!$H$2:$H$65,'Outages (event ledger)'!$A$2:$A$65,AL$2,'Outages (event ledger)'!$E$2:$E$65,"&lt;="&amp;$B199,'Outages (event ledger)'!$G$2:$G$65,"&gt;="&amp;$B199)</f>
        <v>0</v>
      </c>
      <c r="AM199" s="26" t="n">
        <f aca="false">SUMIFS('Outages (event ledger)'!$H$2:$H$65,'Outages (event ledger)'!$A$2:$A$65,AM$2,'Outages (event ledger)'!$E$2:$E$65,"&lt;="&amp;$B199,'Outages (event ledger)'!$G$2:$G$65,"&gt;="&amp;$B199)</f>
        <v>0</v>
      </c>
      <c r="AN199" s="26" t="n">
        <f aca="false">SUMIFS('Outages (event ledger)'!$H$2:$H$65,'Outages (event ledger)'!$A$2:$A$65,AN$2,'Outages (event ledger)'!$E$2:$E$65,"&lt;="&amp;$B199,'Outages (event ledger)'!$G$2:$G$65,"&gt;="&amp;$B199)</f>
        <v>0</v>
      </c>
      <c r="AO199" s="26" t="n">
        <f aca="false">SUMIFS('Outages (event ledger)'!$H$2:$H$65,'Outages (event ledger)'!$A$2:$A$65,AO$2,'Outages (event ledger)'!$E$2:$E$65,"&lt;="&amp;$B199,'Outages (event ledger)'!$G$2:$G$65,"&gt;="&amp;$B199)</f>
        <v>0</v>
      </c>
      <c r="AP199" s="26" t="n">
        <f aca="false">SUMIFS('Outages (event ledger)'!$H$2:$H$65,'Outages (event ledger)'!$A$2:$A$65,AP$2,'Outages (event ledger)'!$E$2:$E$65,"&lt;="&amp;$B199,'Outages (event ledger)'!$G$2:$G$65,"&gt;="&amp;$B199)</f>
        <v>0</v>
      </c>
      <c r="AQ199" s="26" t="n">
        <f aca="false">SUMIFS('Outages (event ledger)'!$H$2:$H$65,'Outages (event ledger)'!$A$2:$A$65,AQ$2,'Outages (event ledger)'!$E$2:$E$65,"&lt;="&amp;$B199,'Outages (event ledger)'!$G$2:$G$65,"&gt;="&amp;$B199)</f>
        <v>0</v>
      </c>
      <c r="AR199" s="26" t="n">
        <f aca="false">SUMIFS('Outages (event ledger)'!$H$2:$H$65,'Outages (event ledger)'!$A$2:$A$65,AR$2,'Outages (event ledger)'!$E$2:$E$65,"&lt;="&amp;$B199,'Outages (event ledger)'!$G$2:$G$65,"&gt;="&amp;$B199)</f>
        <v>12.8</v>
      </c>
      <c r="AS199" s="26" t="n">
        <f aca="false">SUMIFS('Outages (event ledger)'!$H$2:$H$65,'Outages (event ledger)'!$A$2:$A$65,AS$2,'Outages (event ledger)'!$E$2:$E$65,"&lt;="&amp;$B199,'Outages (event ledger)'!$G$2:$G$65,"&gt;="&amp;$B199)</f>
        <v>0</v>
      </c>
      <c r="AT199" s="26" t="n">
        <f aca="false">SUMIFS('Outages (event ledger)'!$H$2:$H$65,'Outages (event ledger)'!$A$2:$A$65,AT$2,'Outages (event ledger)'!$E$2:$E$65,"&lt;="&amp;$B199,'Outages (event ledger)'!$G$2:$G$65,"&gt;="&amp;$B199)</f>
        <v>0</v>
      </c>
      <c r="AU199" s="26" t="n">
        <f aca="false">SUMIFS('Outages (event ledger)'!$H$2:$H$65,'Outages (event ledger)'!$A$2:$A$65,AU$2,'Outages (event ledger)'!$E$2:$E$65,"&lt;="&amp;$B199,'Outages (event ledger)'!$G$2:$G$65,"&gt;="&amp;$B199)</f>
        <v>0</v>
      </c>
      <c r="AV199" s="26" t="n">
        <f aca="false">SUMIFS('Outages (event ledger)'!$H$2:$H$65,'Outages (event ledger)'!$A$2:$A$65,AV$2,'Outages (event ledger)'!$E$2:$E$65,"&lt;="&amp;$B199,'Outages (event ledger)'!$G$2:$G$65,"&gt;="&amp;$B199)</f>
        <v>0</v>
      </c>
      <c r="AW199" s="26" t="n">
        <f aca="false">SUMIFS('Outages (event ledger)'!$H$2:$H$65,'Outages (event ledger)'!$A$2:$A$65,AW$2,'Outages (event ledger)'!$E$2:$E$65,"&lt;="&amp;$B199,'Outages (event ledger)'!$G$2:$G$65,"&gt;="&amp;$B199)</f>
        <v>0</v>
      </c>
      <c r="AX199" s="26" t="n">
        <f aca="false">SUMIFS('Outages (event ledger)'!$H$2:$H$65,'Outages (event ledger)'!$A$2:$A$65,AX$2,'Outages (event ledger)'!$E$2:$E$65,"&lt;="&amp;$B199,'Outages (event ledger)'!$G$2:$G$65,"&gt;="&amp;$B199)</f>
        <v>6.6</v>
      </c>
      <c r="AY199" s="26" t="n">
        <f aca="false">SUMIFS('Outages (event ledger)'!$H$2:$H$65,'Outages (event ledger)'!$A$2:$A$65,AY$2,'Outages (event ledger)'!$E$2:$E$65,"&lt;="&amp;$B199,'Outages (event ledger)'!$G$2:$G$65,"&gt;="&amp;$B199)</f>
        <v>0</v>
      </c>
      <c r="AZ199" s="26" t="n">
        <f aca="false">SUMIFS('Outages (event ledger)'!$H$2:$H$65,'Outages (event ledger)'!$A$2:$A$65,AZ$2,'Outages (event ledger)'!$E$2:$E$65,"&lt;="&amp;$B199,'Outages (event ledger)'!$G$2:$G$65,"&gt;="&amp;$B199)</f>
        <v>0</v>
      </c>
      <c r="BA199" s="26" t="n">
        <f aca="false">SUMIFS('Outages (event ledger)'!$H$2:$H$65,'Outages (event ledger)'!$A$2:$A$65,BA$2,'Outages (event ledger)'!$E$2:$E$65,"&lt;="&amp;$B199,'Outages (event ledger)'!$G$2:$G$65,"&gt;="&amp;$B199)</f>
        <v>0</v>
      </c>
      <c r="BB199" s="26" t="n">
        <f aca="false">SUMIFS('Outages (event ledger)'!$H$2:$H$65,'Outages (event ledger)'!$A$2:$A$65,BB$2,'Outages (event ledger)'!$E$2:$E$65,"&lt;="&amp;$B199,'Outages (event ledger)'!$G$2:$G$65,"&gt;="&amp;$B199)</f>
        <v>0</v>
      </c>
      <c r="BC199" s="26" t="n">
        <f aca="false">SUMIFS('Outages (event ledger)'!$H$2:$H$65,'Outages (event ledger)'!$A$2:$A$65,BC$2,'Outages (event ledger)'!$E$2:$E$65,"&lt;="&amp;$B199,'Outages (event ledger)'!$G$2:$G$65,"&gt;="&amp;$B199)</f>
        <v>0</v>
      </c>
      <c r="BD199" s="26" t="n">
        <f aca="false">SUMIFS('Outages (event ledger)'!$H$2:$H$65,'Outages (event ledger)'!$A$2:$A$65,BD$2,'Outages (event ledger)'!$E$2:$E$65,"&lt;="&amp;$B199,'Outages (event ledger)'!$G$2:$G$65,"&gt;="&amp;$B199)</f>
        <v>0</v>
      </c>
      <c r="BE199" s="26" t="n">
        <f aca="false">SUMIFS('Outages (event ledger)'!$H$2:$H$65,'Outages (event ledger)'!$A$2:$A$65,BE$2,'Outages (event ledger)'!$E$2:$E$65,"&lt;="&amp;$B199,'Outages (event ledger)'!$G$2:$G$65,"&gt;="&amp;$B199)</f>
        <v>4</v>
      </c>
      <c r="BF199" s="26" t="n">
        <f aca="false">SUMIFS('Outages (event ledger)'!$H$2:$H$65,'Outages (event ledger)'!$A$2:$A$65,BF$2,'Outages (event ledger)'!$E$2:$E$65,"&lt;="&amp;$B199,'Outages (event ledger)'!$G$2:$G$65,"&gt;="&amp;$B199)</f>
        <v>0</v>
      </c>
      <c r="BG199" s="26" t="n">
        <f aca="false">SUMIFS('Outages (event ledger)'!$H$2:$H$65,'Outages (event ledger)'!$A$2:$A$65,BG$2,'Outages (event ledger)'!$E$2:$E$65,"&lt;="&amp;$B199,'Outages (event ledger)'!$G$2:$G$65,"&gt;="&amp;$B199)</f>
        <v>0</v>
      </c>
      <c r="BH199" s="26" t="n">
        <f aca="false">SUMIFS('Outages (event ledger)'!$H$2:$H$65,'Outages (event ledger)'!$A$2:$A$65,BH$2,'Outages (event ledger)'!$E$2:$E$65,"&lt;="&amp;$B199,'Outages (event ledger)'!$G$2:$G$65,"&gt;="&amp;$B199)</f>
        <v>0</v>
      </c>
      <c r="BI199" s="26" t="n">
        <f aca="false">SUMIFS('Outages (event ledger)'!$H$2:$H$65,'Outages (event ledger)'!$A$2:$A$65,BI$2,'Outages (event ledger)'!$E$2:$E$65,"&lt;="&amp;$B199,'Outages (event ledger)'!$G$2:$G$65,"&gt;="&amp;$B199)</f>
        <v>6.7</v>
      </c>
    </row>
    <row r="200" customFormat="false" ht="15" hidden="false" customHeight="false" outlineLevel="0" collapsed="false">
      <c r="A200" s="23" t="n">
        <v>46174</v>
      </c>
      <c r="B200" s="24" t="n">
        <v>202606</v>
      </c>
      <c r="C200" s="25" t="n">
        <f aca="false">SUM(D200:BI200)</f>
        <v>36.1</v>
      </c>
      <c r="D200" s="26" t="n">
        <f aca="false">SUMIFS('Outages (event ledger)'!$H$2:$H$65,'Outages (event ledger)'!$A$2:$A$65,D$2,'Outages (event ledger)'!$E$2:$E$65,"&lt;="&amp;$B200,'Outages (event ledger)'!$G$2:$G$65,"&gt;="&amp;$B200)</f>
        <v>0</v>
      </c>
      <c r="E200" s="26" t="n">
        <f aca="false">SUMIFS('Outages (event ledger)'!$H$2:$H$65,'Outages (event ledger)'!$A$2:$A$65,E$2,'Outages (event ledger)'!$E$2:$E$65,"&lt;="&amp;$B200,'Outages (event ledger)'!$G$2:$G$65,"&gt;="&amp;$B200)</f>
        <v>0</v>
      </c>
      <c r="F200" s="26" t="n">
        <f aca="false">SUMIFS('Outages (event ledger)'!$H$2:$H$65,'Outages (event ledger)'!$A$2:$A$65,F$2,'Outages (event ledger)'!$E$2:$E$65,"&lt;="&amp;$B200,'Outages (event ledger)'!$G$2:$G$65,"&gt;="&amp;$B200)</f>
        <v>0</v>
      </c>
      <c r="G200" s="26" t="n">
        <f aca="false">SUMIFS('Outages (event ledger)'!$H$2:$H$65,'Outages (event ledger)'!$A$2:$A$65,G$2,'Outages (event ledger)'!$E$2:$E$65,"&lt;="&amp;$B200,'Outages (event ledger)'!$G$2:$G$65,"&gt;="&amp;$B200)</f>
        <v>0</v>
      </c>
      <c r="H200" s="26" t="n">
        <f aca="false">SUMIFS('Outages (event ledger)'!$H$2:$H$65,'Outages (event ledger)'!$A$2:$A$65,H$2,'Outages (event ledger)'!$E$2:$E$65,"&lt;="&amp;$B200,'Outages (event ledger)'!$G$2:$G$65,"&gt;="&amp;$B200)</f>
        <v>0</v>
      </c>
      <c r="I200" s="26" t="n">
        <f aca="false">SUMIFS('Outages (event ledger)'!$H$2:$H$65,'Outages (event ledger)'!$A$2:$A$65,I$2,'Outages (event ledger)'!$E$2:$E$65,"&lt;="&amp;$B200,'Outages (event ledger)'!$G$2:$G$65,"&gt;="&amp;$B200)</f>
        <v>0</v>
      </c>
      <c r="J200" s="26" t="n">
        <f aca="false">SUMIFS('Outages (event ledger)'!$H$2:$H$65,'Outages (event ledger)'!$A$2:$A$65,J$2,'Outages (event ledger)'!$E$2:$E$65,"&lt;="&amp;$B200,'Outages (event ledger)'!$G$2:$G$65,"&gt;="&amp;$B200)</f>
        <v>0</v>
      </c>
      <c r="K200" s="26" t="n">
        <f aca="false">SUMIFS('Outages (event ledger)'!$H$2:$H$65,'Outages (event ledger)'!$A$2:$A$65,K$2,'Outages (event ledger)'!$E$2:$E$65,"&lt;="&amp;$B200,'Outages (event ledger)'!$G$2:$G$65,"&gt;="&amp;$B200)</f>
        <v>0</v>
      </c>
      <c r="L200" s="26" t="n">
        <f aca="false">SUMIFS('Outages (event ledger)'!$H$2:$H$65,'Outages (event ledger)'!$A$2:$A$65,L$2,'Outages (event ledger)'!$E$2:$E$65,"&lt;="&amp;$B200,'Outages (event ledger)'!$G$2:$G$65,"&gt;="&amp;$B200)</f>
        <v>0</v>
      </c>
      <c r="M200" s="26" t="n">
        <f aca="false">SUMIFS('Outages (event ledger)'!$H$2:$H$65,'Outages (event ledger)'!$A$2:$A$65,M$2,'Outages (event ledger)'!$E$2:$E$65,"&lt;="&amp;$B200,'Outages (event ledger)'!$G$2:$G$65,"&gt;="&amp;$B200)</f>
        <v>0</v>
      </c>
      <c r="N200" s="26" t="n">
        <f aca="false">SUMIFS('Outages (event ledger)'!$H$2:$H$65,'Outages (event ledger)'!$A$2:$A$65,N$2,'Outages (event ledger)'!$E$2:$E$65,"&lt;="&amp;$B200,'Outages (event ledger)'!$G$2:$G$65,"&gt;="&amp;$B200)</f>
        <v>0</v>
      </c>
      <c r="O200" s="26" t="n">
        <f aca="false">SUMIFS('Outages (event ledger)'!$H$2:$H$65,'Outages (event ledger)'!$A$2:$A$65,O$2,'Outages (event ledger)'!$E$2:$E$65,"&lt;="&amp;$B200,'Outages (event ledger)'!$G$2:$G$65,"&gt;="&amp;$B200)</f>
        <v>0</v>
      </c>
      <c r="P200" s="26" t="n">
        <f aca="false">SUMIFS('Outages (event ledger)'!$H$2:$H$65,'Outages (event ledger)'!$A$2:$A$65,P$2,'Outages (event ledger)'!$E$2:$E$65,"&lt;="&amp;$B200,'Outages (event ledger)'!$G$2:$G$65,"&gt;="&amp;$B200)</f>
        <v>0</v>
      </c>
      <c r="Q200" s="26" t="n">
        <f aca="false">SUMIFS('Outages (event ledger)'!$H$2:$H$65,'Outages (event ledger)'!$A$2:$A$65,Q$2,'Outages (event ledger)'!$E$2:$E$65,"&lt;="&amp;$B200,'Outages (event ledger)'!$G$2:$G$65,"&gt;="&amp;$B200)</f>
        <v>0</v>
      </c>
      <c r="R200" s="26" t="n">
        <f aca="false">SUMIFS('Outages (event ledger)'!$H$2:$H$65,'Outages (event ledger)'!$A$2:$A$65,R$2,'Outages (event ledger)'!$E$2:$E$65,"&lt;="&amp;$B200,'Outages (event ledger)'!$G$2:$G$65,"&gt;="&amp;$B200)</f>
        <v>0</v>
      </c>
      <c r="S200" s="26" t="n">
        <f aca="false">SUMIFS('Outages (event ledger)'!$H$2:$H$65,'Outages (event ledger)'!$A$2:$A$65,S$2,'Outages (event ledger)'!$E$2:$E$65,"&lt;="&amp;$B200,'Outages (event ledger)'!$G$2:$G$65,"&gt;="&amp;$B200)</f>
        <v>0</v>
      </c>
      <c r="T200" s="26" t="n">
        <f aca="false">SUMIFS('Outages (event ledger)'!$H$2:$H$65,'Outages (event ledger)'!$A$2:$A$65,T$2,'Outages (event ledger)'!$E$2:$E$65,"&lt;="&amp;$B200,'Outages (event ledger)'!$G$2:$G$65,"&gt;="&amp;$B200)</f>
        <v>0</v>
      </c>
      <c r="U200" s="26" t="n">
        <f aca="false">SUMIFS('Outages (event ledger)'!$H$2:$H$65,'Outages (event ledger)'!$A$2:$A$65,U$2,'Outages (event ledger)'!$E$2:$E$65,"&lt;="&amp;$B200,'Outages (event ledger)'!$G$2:$G$65,"&gt;="&amp;$B200)</f>
        <v>0</v>
      </c>
      <c r="V200" s="26" t="n">
        <f aca="false">SUMIFS('Outages (event ledger)'!$H$2:$H$65,'Outages (event ledger)'!$A$2:$A$65,V$2,'Outages (event ledger)'!$E$2:$E$65,"&lt;="&amp;$B200,'Outages (event ledger)'!$G$2:$G$65,"&gt;="&amp;$B200)</f>
        <v>0</v>
      </c>
      <c r="W200" s="26" t="n">
        <f aca="false">SUMIFS('Outages (event ledger)'!$H$2:$H$65,'Outages (event ledger)'!$A$2:$A$65,W$2,'Outages (event ledger)'!$E$2:$E$65,"&lt;="&amp;$B200,'Outages (event ledger)'!$G$2:$G$65,"&gt;="&amp;$B200)</f>
        <v>0</v>
      </c>
      <c r="X200" s="26" t="n">
        <f aca="false">SUMIFS('Outages (event ledger)'!$H$2:$H$65,'Outages (event ledger)'!$A$2:$A$65,X$2,'Outages (event ledger)'!$E$2:$E$65,"&lt;="&amp;$B200,'Outages (event ledger)'!$G$2:$G$65,"&gt;="&amp;$B200)</f>
        <v>0</v>
      </c>
      <c r="Y200" s="26" t="n">
        <f aca="false">SUMIFS('Outages (event ledger)'!$H$2:$H$65,'Outages (event ledger)'!$A$2:$A$65,Y$2,'Outages (event ledger)'!$E$2:$E$65,"&lt;="&amp;$B200,'Outages (event ledger)'!$G$2:$G$65,"&gt;="&amp;$B200)</f>
        <v>0</v>
      </c>
      <c r="Z200" s="26" t="n">
        <f aca="false">SUMIFS('Outages (event ledger)'!$H$2:$H$65,'Outages (event ledger)'!$A$2:$A$65,Z$2,'Outages (event ledger)'!$E$2:$E$65,"&lt;="&amp;$B200,'Outages (event ledger)'!$G$2:$G$65,"&gt;="&amp;$B200)</f>
        <v>0</v>
      </c>
      <c r="AA200" s="26" t="n">
        <f aca="false">SUMIFS('Outages (event ledger)'!$H$2:$H$65,'Outages (event ledger)'!$A$2:$A$65,AA$2,'Outages (event ledger)'!$E$2:$E$65,"&lt;="&amp;$B200,'Outages (event ledger)'!$G$2:$G$65,"&gt;="&amp;$B200)</f>
        <v>2</v>
      </c>
      <c r="AB200" s="26" t="n">
        <f aca="false">SUMIFS('Outages (event ledger)'!$H$2:$H$65,'Outages (event ledger)'!$A$2:$A$65,AB$2,'Outages (event ledger)'!$E$2:$E$65,"&lt;="&amp;$B200,'Outages (event ledger)'!$G$2:$G$65,"&gt;="&amp;$B200)</f>
        <v>8</v>
      </c>
      <c r="AC200" s="26" t="n">
        <f aca="false">SUMIFS('Outages (event ledger)'!$H$2:$H$65,'Outages (event ledger)'!$A$2:$A$65,AC$2,'Outages (event ledger)'!$E$2:$E$65,"&lt;="&amp;$B200,'Outages (event ledger)'!$G$2:$G$65,"&gt;="&amp;$B200)</f>
        <v>0</v>
      </c>
      <c r="AD200" s="26" t="n">
        <f aca="false">SUMIFS('Outages (event ledger)'!$H$2:$H$65,'Outages (event ledger)'!$A$2:$A$65,AD$2,'Outages (event ledger)'!$E$2:$E$65,"&lt;="&amp;$B200,'Outages (event ledger)'!$G$2:$G$65,"&gt;="&amp;$B200)</f>
        <v>0</v>
      </c>
      <c r="AE200" s="26" t="n">
        <f aca="false">SUMIFS('Outages (event ledger)'!$H$2:$H$65,'Outages (event ledger)'!$A$2:$A$65,AE$2,'Outages (event ledger)'!$E$2:$E$65,"&lt;="&amp;$B200,'Outages (event ledger)'!$G$2:$G$65,"&gt;="&amp;$B200)</f>
        <v>0</v>
      </c>
      <c r="AF200" s="26" t="n">
        <f aca="false">SUMIFS('Outages (event ledger)'!$H$2:$H$65,'Outages (event ledger)'!$A$2:$A$65,AF$2,'Outages (event ledger)'!$E$2:$E$65,"&lt;="&amp;$B200,'Outages (event ledger)'!$G$2:$G$65,"&gt;="&amp;$B200)</f>
        <v>0</v>
      </c>
      <c r="AG200" s="26" t="n">
        <f aca="false">SUMIFS('Outages (event ledger)'!$H$2:$H$65,'Outages (event ledger)'!$A$2:$A$65,AG$2,'Outages (event ledger)'!$E$2:$E$65,"&lt;="&amp;$B200,'Outages (event ledger)'!$G$2:$G$65,"&gt;="&amp;$B200)</f>
        <v>0</v>
      </c>
      <c r="AH200" s="26" t="n">
        <f aca="false">SUMIFS('Outages (event ledger)'!$H$2:$H$65,'Outages (event ledger)'!$A$2:$A$65,AH$2,'Outages (event ledger)'!$E$2:$E$65,"&lt;="&amp;$B200,'Outages (event ledger)'!$G$2:$G$65,"&gt;="&amp;$B200)</f>
        <v>0</v>
      </c>
      <c r="AI200" s="26" t="n">
        <f aca="false">SUMIFS('Outages (event ledger)'!$H$2:$H$65,'Outages (event ledger)'!$A$2:$A$65,AI$2,'Outages (event ledger)'!$E$2:$E$65,"&lt;="&amp;$B200,'Outages (event ledger)'!$G$2:$G$65,"&gt;="&amp;$B200)</f>
        <v>0</v>
      </c>
      <c r="AJ200" s="26" t="n">
        <f aca="false">SUMIFS('Outages (event ledger)'!$H$2:$H$65,'Outages (event ledger)'!$A$2:$A$65,AJ$2,'Outages (event ledger)'!$E$2:$E$65,"&lt;="&amp;$B200,'Outages (event ledger)'!$G$2:$G$65,"&gt;="&amp;$B200)</f>
        <v>0</v>
      </c>
      <c r="AK200" s="26" t="n">
        <f aca="false">SUMIFS('Outages (event ledger)'!$H$2:$H$65,'Outages (event ledger)'!$A$2:$A$65,AK$2,'Outages (event ledger)'!$E$2:$E$65,"&lt;="&amp;$B200,'Outages (event ledger)'!$G$2:$G$65,"&gt;="&amp;$B200)</f>
        <v>0</v>
      </c>
      <c r="AL200" s="26" t="n">
        <f aca="false">SUMIFS('Outages (event ledger)'!$H$2:$H$65,'Outages (event ledger)'!$A$2:$A$65,AL$2,'Outages (event ledger)'!$E$2:$E$65,"&lt;="&amp;$B200,'Outages (event ledger)'!$G$2:$G$65,"&gt;="&amp;$B200)</f>
        <v>0</v>
      </c>
      <c r="AM200" s="26" t="n">
        <f aca="false">SUMIFS('Outages (event ledger)'!$H$2:$H$65,'Outages (event ledger)'!$A$2:$A$65,AM$2,'Outages (event ledger)'!$E$2:$E$65,"&lt;="&amp;$B200,'Outages (event ledger)'!$G$2:$G$65,"&gt;="&amp;$B200)</f>
        <v>0</v>
      </c>
      <c r="AN200" s="26" t="n">
        <f aca="false">SUMIFS('Outages (event ledger)'!$H$2:$H$65,'Outages (event ledger)'!$A$2:$A$65,AN$2,'Outages (event ledger)'!$E$2:$E$65,"&lt;="&amp;$B200,'Outages (event ledger)'!$G$2:$G$65,"&gt;="&amp;$B200)</f>
        <v>0</v>
      </c>
      <c r="AO200" s="26" t="n">
        <f aca="false">SUMIFS('Outages (event ledger)'!$H$2:$H$65,'Outages (event ledger)'!$A$2:$A$65,AO$2,'Outages (event ledger)'!$E$2:$E$65,"&lt;="&amp;$B200,'Outages (event ledger)'!$G$2:$G$65,"&gt;="&amp;$B200)</f>
        <v>0</v>
      </c>
      <c r="AP200" s="26" t="n">
        <f aca="false">SUMIFS('Outages (event ledger)'!$H$2:$H$65,'Outages (event ledger)'!$A$2:$A$65,AP$2,'Outages (event ledger)'!$E$2:$E$65,"&lt;="&amp;$B200,'Outages (event ledger)'!$G$2:$G$65,"&gt;="&amp;$B200)</f>
        <v>0</v>
      </c>
      <c r="AQ200" s="26" t="n">
        <f aca="false">SUMIFS('Outages (event ledger)'!$H$2:$H$65,'Outages (event ledger)'!$A$2:$A$65,AQ$2,'Outages (event ledger)'!$E$2:$E$65,"&lt;="&amp;$B200,'Outages (event ledger)'!$G$2:$G$65,"&gt;="&amp;$B200)</f>
        <v>0</v>
      </c>
      <c r="AR200" s="26" t="n">
        <f aca="false">SUMIFS('Outages (event ledger)'!$H$2:$H$65,'Outages (event ledger)'!$A$2:$A$65,AR$2,'Outages (event ledger)'!$E$2:$E$65,"&lt;="&amp;$B200,'Outages (event ledger)'!$G$2:$G$65,"&gt;="&amp;$B200)</f>
        <v>12.8</v>
      </c>
      <c r="AS200" s="26" t="n">
        <f aca="false">SUMIFS('Outages (event ledger)'!$H$2:$H$65,'Outages (event ledger)'!$A$2:$A$65,AS$2,'Outages (event ledger)'!$E$2:$E$65,"&lt;="&amp;$B200,'Outages (event ledger)'!$G$2:$G$65,"&gt;="&amp;$B200)</f>
        <v>0</v>
      </c>
      <c r="AT200" s="26" t="n">
        <f aca="false">SUMIFS('Outages (event ledger)'!$H$2:$H$65,'Outages (event ledger)'!$A$2:$A$65,AT$2,'Outages (event ledger)'!$E$2:$E$65,"&lt;="&amp;$B200,'Outages (event ledger)'!$G$2:$G$65,"&gt;="&amp;$B200)</f>
        <v>0</v>
      </c>
      <c r="AU200" s="26" t="n">
        <f aca="false">SUMIFS('Outages (event ledger)'!$H$2:$H$65,'Outages (event ledger)'!$A$2:$A$65,AU$2,'Outages (event ledger)'!$E$2:$E$65,"&lt;="&amp;$B200,'Outages (event ledger)'!$G$2:$G$65,"&gt;="&amp;$B200)</f>
        <v>0</v>
      </c>
      <c r="AV200" s="26" t="n">
        <f aca="false">SUMIFS('Outages (event ledger)'!$H$2:$H$65,'Outages (event ledger)'!$A$2:$A$65,AV$2,'Outages (event ledger)'!$E$2:$E$65,"&lt;="&amp;$B200,'Outages (event ledger)'!$G$2:$G$65,"&gt;="&amp;$B200)</f>
        <v>0</v>
      </c>
      <c r="AW200" s="26" t="n">
        <f aca="false">SUMIFS('Outages (event ledger)'!$H$2:$H$65,'Outages (event ledger)'!$A$2:$A$65,AW$2,'Outages (event ledger)'!$E$2:$E$65,"&lt;="&amp;$B200,'Outages (event ledger)'!$G$2:$G$65,"&gt;="&amp;$B200)</f>
        <v>0</v>
      </c>
      <c r="AX200" s="26" t="n">
        <f aca="false">SUMIFS('Outages (event ledger)'!$H$2:$H$65,'Outages (event ledger)'!$A$2:$A$65,AX$2,'Outages (event ledger)'!$E$2:$E$65,"&lt;="&amp;$B200,'Outages (event ledger)'!$G$2:$G$65,"&gt;="&amp;$B200)</f>
        <v>6.6</v>
      </c>
      <c r="AY200" s="26" t="n">
        <f aca="false">SUMIFS('Outages (event ledger)'!$H$2:$H$65,'Outages (event ledger)'!$A$2:$A$65,AY$2,'Outages (event ledger)'!$E$2:$E$65,"&lt;="&amp;$B200,'Outages (event ledger)'!$G$2:$G$65,"&gt;="&amp;$B200)</f>
        <v>0</v>
      </c>
      <c r="AZ200" s="26" t="n">
        <f aca="false">SUMIFS('Outages (event ledger)'!$H$2:$H$65,'Outages (event ledger)'!$A$2:$A$65,AZ$2,'Outages (event ledger)'!$E$2:$E$65,"&lt;="&amp;$B200,'Outages (event ledger)'!$G$2:$G$65,"&gt;="&amp;$B200)</f>
        <v>0</v>
      </c>
      <c r="BA200" s="26" t="n">
        <f aca="false">SUMIFS('Outages (event ledger)'!$H$2:$H$65,'Outages (event ledger)'!$A$2:$A$65,BA$2,'Outages (event ledger)'!$E$2:$E$65,"&lt;="&amp;$B200,'Outages (event ledger)'!$G$2:$G$65,"&gt;="&amp;$B200)</f>
        <v>0</v>
      </c>
      <c r="BB200" s="26" t="n">
        <f aca="false">SUMIFS('Outages (event ledger)'!$H$2:$H$65,'Outages (event ledger)'!$A$2:$A$65,BB$2,'Outages (event ledger)'!$E$2:$E$65,"&lt;="&amp;$B200,'Outages (event ledger)'!$G$2:$G$65,"&gt;="&amp;$B200)</f>
        <v>0</v>
      </c>
      <c r="BC200" s="26" t="n">
        <f aca="false">SUMIFS('Outages (event ledger)'!$H$2:$H$65,'Outages (event ledger)'!$A$2:$A$65,BC$2,'Outages (event ledger)'!$E$2:$E$65,"&lt;="&amp;$B200,'Outages (event ledger)'!$G$2:$G$65,"&gt;="&amp;$B200)</f>
        <v>0</v>
      </c>
      <c r="BD200" s="26" t="n">
        <f aca="false">SUMIFS('Outages (event ledger)'!$H$2:$H$65,'Outages (event ledger)'!$A$2:$A$65,BD$2,'Outages (event ledger)'!$E$2:$E$65,"&lt;="&amp;$B200,'Outages (event ledger)'!$G$2:$G$65,"&gt;="&amp;$B200)</f>
        <v>0</v>
      </c>
      <c r="BE200" s="26" t="n">
        <f aca="false">SUMIFS('Outages (event ledger)'!$H$2:$H$65,'Outages (event ledger)'!$A$2:$A$65,BE$2,'Outages (event ledger)'!$E$2:$E$65,"&lt;="&amp;$B200,'Outages (event ledger)'!$G$2:$G$65,"&gt;="&amp;$B200)</f>
        <v>0</v>
      </c>
      <c r="BF200" s="26" t="n">
        <f aca="false">SUMIFS('Outages (event ledger)'!$H$2:$H$65,'Outages (event ledger)'!$A$2:$A$65,BF$2,'Outages (event ledger)'!$E$2:$E$65,"&lt;="&amp;$B200,'Outages (event ledger)'!$G$2:$G$65,"&gt;="&amp;$B200)</f>
        <v>0</v>
      </c>
      <c r="BG200" s="26" t="n">
        <f aca="false">SUMIFS('Outages (event ledger)'!$H$2:$H$65,'Outages (event ledger)'!$A$2:$A$65,BG$2,'Outages (event ledger)'!$E$2:$E$65,"&lt;="&amp;$B200,'Outages (event ledger)'!$G$2:$G$65,"&gt;="&amp;$B200)</f>
        <v>0</v>
      </c>
      <c r="BH200" s="26" t="n">
        <f aca="false">SUMIFS('Outages (event ledger)'!$H$2:$H$65,'Outages (event ledger)'!$A$2:$A$65,BH$2,'Outages (event ledger)'!$E$2:$E$65,"&lt;="&amp;$B200,'Outages (event ledger)'!$G$2:$G$65,"&gt;="&amp;$B200)</f>
        <v>0</v>
      </c>
      <c r="BI200" s="26" t="n">
        <f aca="false">SUMIFS('Outages (event ledger)'!$H$2:$H$65,'Outages (event ledger)'!$A$2:$A$65,BI$2,'Outages (event ledger)'!$E$2:$E$65,"&lt;="&amp;$B200,'Outages (event ledger)'!$G$2:$G$65,"&gt;="&amp;$B200)</f>
        <v>6.7</v>
      </c>
    </row>
    <row r="201" customFormat="false" ht="15" hidden="false" customHeight="false" outlineLevel="0" collapsed="false">
      <c r="A201" s="23" t="n">
        <v>46204</v>
      </c>
      <c r="B201" s="24" t="n">
        <v>202607</v>
      </c>
      <c r="C201" s="25" t="n">
        <f aca="false">SUM(D201:BI201)</f>
        <v>36.1</v>
      </c>
      <c r="D201" s="26" t="n">
        <f aca="false">SUMIFS('Outages (event ledger)'!$H$2:$H$65,'Outages (event ledger)'!$A$2:$A$65,D$2,'Outages (event ledger)'!$E$2:$E$65,"&lt;="&amp;$B201,'Outages (event ledger)'!$G$2:$G$65,"&gt;="&amp;$B201)</f>
        <v>0</v>
      </c>
      <c r="E201" s="26" t="n">
        <f aca="false">SUMIFS('Outages (event ledger)'!$H$2:$H$65,'Outages (event ledger)'!$A$2:$A$65,E$2,'Outages (event ledger)'!$E$2:$E$65,"&lt;="&amp;$B201,'Outages (event ledger)'!$G$2:$G$65,"&gt;="&amp;$B201)</f>
        <v>0</v>
      </c>
      <c r="F201" s="26" t="n">
        <f aca="false">SUMIFS('Outages (event ledger)'!$H$2:$H$65,'Outages (event ledger)'!$A$2:$A$65,F$2,'Outages (event ledger)'!$E$2:$E$65,"&lt;="&amp;$B201,'Outages (event ledger)'!$G$2:$G$65,"&gt;="&amp;$B201)</f>
        <v>0</v>
      </c>
      <c r="G201" s="26" t="n">
        <f aca="false">SUMIFS('Outages (event ledger)'!$H$2:$H$65,'Outages (event ledger)'!$A$2:$A$65,G$2,'Outages (event ledger)'!$E$2:$E$65,"&lt;="&amp;$B201,'Outages (event ledger)'!$G$2:$G$65,"&gt;="&amp;$B201)</f>
        <v>0</v>
      </c>
      <c r="H201" s="26" t="n">
        <f aca="false">SUMIFS('Outages (event ledger)'!$H$2:$H$65,'Outages (event ledger)'!$A$2:$A$65,H$2,'Outages (event ledger)'!$E$2:$E$65,"&lt;="&amp;$B201,'Outages (event ledger)'!$G$2:$G$65,"&gt;="&amp;$B201)</f>
        <v>0</v>
      </c>
      <c r="I201" s="26" t="n">
        <f aca="false">SUMIFS('Outages (event ledger)'!$H$2:$H$65,'Outages (event ledger)'!$A$2:$A$65,I$2,'Outages (event ledger)'!$E$2:$E$65,"&lt;="&amp;$B201,'Outages (event ledger)'!$G$2:$G$65,"&gt;="&amp;$B201)</f>
        <v>0</v>
      </c>
      <c r="J201" s="26" t="n">
        <f aca="false">SUMIFS('Outages (event ledger)'!$H$2:$H$65,'Outages (event ledger)'!$A$2:$A$65,J$2,'Outages (event ledger)'!$E$2:$E$65,"&lt;="&amp;$B201,'Outages (event ledger)'!$G$2:$G$65,"&gt;="&amp;$B201)</f>
        <v>0</v>
      </c>
      <c r="K201" s="26" t="n">
        <f aca="false">SUMIFS('Outages (event ledger)'!$H$2:$H$65,'Outages (event ledger)'!$A$2:$A$65,K$2,'Outages (event ledger)'!$E$2:$E$65,"&lt;="&amp;$B201,'Outages (event ledger)'!$G$2:$G$65,"&gt;="&amp;$B201)</f>
        <v>0</v>
      </c>
      <c r="L201" s="26" t="n">
        <f aca="false">SUMIFS('Outages (event ledger)'!$H$2:$H$65,'Outages (event ledger)'!$A$2:$A$65,L$2,'Outages (event ledger)'!$E$2:$E$65,"&lt;="&amp;$B201,'Outages (event ledger)'!$G$2:$G$65,"&gt;="&amp;$B201)</f>
        <v>0</v>
      </c>
      <c r="M201" s="26" t="n">
        <f aca="false">SUMIFS('Outages (event ledger)'!$H$2:$H$65,'Outages (event ledger)'!$A$2:$A$65,M$2,'Outages (event ledger)'!$E$2:$E$65,"&lt;="&amp;$B201,'Outages (event ledger)'!$G$2:$G$65,"&gt;="&amp;$B201)</f>
        <v>0</v>
      </c>
      <c r="N201" s="26" t="n">
        <f aca="false">SUMIFS('Outages (event ledger)'!$H$2:$H$65,'Outages (event ledger)'!$A$2:$A$65,N$2,'Outages (event ledger)'!$E$2:$E$65,"&lt;="&amp;$B201,'Outages (event ledger)'!$G$2:$G$65,"&gt;="&amp;$B201)</f>
        <v>0</v>
      </c>
      <c r="O201" s="26" t="n">
        <f aca="false">SUMIFS('Outages (event ledger)'!$H$2:$H$65,'Outages (event ledger)'!$A$2:$A$65,O$2,'Outages (event ledger)'!$E$2:$E$65,"&lt;="&amp;$B201,'Outages (event ledger)'!$G$2:$G$65,"&gt;="&amp;$B201)</f>
        <v>0</v>
      </c>
      <c r="P201" s="26" t="n">
        <f aca="false">SUMIFS('Outages (event ledger)'!$H$2:$H$65,'Outages (event ledger)'!$A$2:$A$65,P$2,'Outages (event ledger)'!$E$2:$E$65,"&lt;="&amp;$B201,'Outages (event ledger)'!$G$2:$G$65,"&gt;="&amp;$B201)</f>
        <v>0</v>
      </c>
      <c r="Q201" s="26" t="n">
        <f aca="false">SUMIFS('Outages (event ledger)'!$H$2:$H$65,'Outages (event ledger)'!$A$2:$A$65,Q$2,'Outages (event ledger)'!$E$2:$E$65,"&lt;="&amp;$B201,'Outages (event ledger)'!$G$2:$G$65,"&gt;="&amp;$B201)</f>
        <v>0</v>
      </c>
      <c r="R201" s="26" t="n">
        <f aca="false">SUMIFS('Outages (event ledger)'!$H$2:$H$65,'Outages (event ledger)'!$A$2:$A$65,R$2,'Outages (event ledger)'!$E$2:$E$65,"&lt;="&amp;$B201,'Outages (event ledger)'!$G$2:$G$65,"&gt;="&amp;$B201)</f>
        <v>0</v>
      </c>
      <c r="S201" s="26" t="n">
        <f aca="false">SUMIFS('Outages (event ledger)'!$H$2:$H$65,'Outages (event ledger)'!$A$2:$A$65,S$2,'Outages (event ledger)'!$E$2:$E$65,"&lt;="&amp;$B201,'Outages (event ledger)'!$G$2:$G$65,"&gt;="&amp;$B201)</f>
        <v>0</v>
      </c>
      <c r="T201" s="26" t="n">
        <f aca="false">SUMIFS('Outages (event ledger)'!$H$2:$H$65,'Outages (event ledger)'!$A$2:$A$65,T$2,'Outages (event ledger)'!$E$2:$E$65,"&lt;="&amp;$B201,'Outages (event ledger)'!$G$2:$G$65,"&gt;="&amp;$B201)</f>
        <v>0</v>
      </c>
      <c r="U201" s="26" t="n">
        <f aca="false">SUMIFS('Outages (event ledger)'!$H$2:$H$65,'Outages (event ledger)'!$A$2:$A$65,U$2,'Outages (event ledger)'!$E$2:$E$65,"&lt;="&amp;$B201,'Outages (event ledger)'!$G$2:$G$65,"&gt;="&amp;$B201)</f>
        <v>0</v>
      </c>
      <c r="V201" s="26" t="n">
        <f aca="false">SUMIFS('Outages (event ledger)'!$H$2:$H$65,'Outages (event ledger)'!$A$2:$A$65,V$2,'Outages (event ledger)'!$E$2:$E$65,"&lt;="&amp;$B201,'Outages (event ledger)'!$G$2:$G$65,"&gt;="&amp;$B201)</f>
        <v>0</v>
      </c>
      <c r="W201" s="26" t="n">
        <f aca="false">SUMIFS('Outages (event ledger)'!$H$2:$H$65,'Outages (event ledger)'!$A$2:$A$65,W$2,'Outages (event ledger)'!$E$2:$E$65,"&lt;="&amp;$B201,'Outages (event ledger)'!$G$2:$G$65,"&gt;="&amp;$B201)</f>
        <v>0</v>
      </c>
      <c r="X201" s="26" t="n">
        <f aca="false">SUMIFS('Outages (event ledger)'!$H$2:$H$65,'Outages (event ledger)'!$A$2:$A$65,X$2,'Outages (event ledger)'!$E$2:$E$65,"&lt;="&amp;$B201,'Outages (event ledger)'!$G$2:$G$65,"&gt;="&amp;$B201)</f>
        <v>0</v>
      </c>
      <c r="Y201" s="26" t="n">
        <f aca="false">SUMIFS('Outages (event ledger)'!$H$2:$H$65,'Outages (event ledger)'!$A$2:$A$65,Y$2,'Outages (event ledger)'!$E$2:$E$65,"&lt;="&amp;$B201,'Outages (event ledger)'!$G$2:$G$65,"&gt;="&amp;$B201)</f>
        <v>0</v>
      </c>
      <c r="Z201" s="26" t="n">
        <f aca="false">SUMIFS('Outages (event ledger)'!$H$2:$H$65,'Outages (event ledger)'!$A$2:$A$65,Z$2,'Outages (event ledger)'!$E$2:$E$65,"&lt;="&amp;$B201,'Outages (event ledger)'!$G$2:$G$65,"&gt;="&amp;$B201)</f>
        <v>0</v>
      </c>
      <c r="AA201" s="26" t="n">
        <f aca="false">SUMIFS('Outages (event ledger)'!$H$2:$H$65,'Outages (event ledger)'!$A$2:$A$65,AA$2,'Outages (event ledger)'!$E$2:$E$65,"&lt;="&amp;$B201,'Outages (event ledger)'!$G$2:$G$65,"&gt;="&amp;$B201)</f>
        <v>2</v>
      </c>
      <c r="AB201" s="26" t="n">
        <f aca="false">SUMIFS('Outages (event ledger)'!$H$2:$H$65,'Outages (event ledger)'!$A$2:$A$65,AB$2,'Outages (event ledger)'!$E$2:$E$65,"&lt;="&amp;$B201,'Outages (event ledger)'!$G$2:$G$65,"&gt;="&amp;$B201)</f>
        <v>8</v>
      </c>
      <c r="AC201" s="26" t="n">
        <f aca="false">SUMIFS('Outages (event ledger)'!$H$2:$H$65,'Outages (event ledger)'!$A$2:$A$65,AC$2,'Outages (event ledger)'!$E$2:$E$65,"&lt;="&amp;$B201,'Outages (event ledger)'!$G$2:$G$65,"&gt;="&amp;$B201)</f>
        <v>0</v>
      </c>
      <c r="AD201" s="26" t="n">
        <f aca="false">SUMIFS('Outages (event ledger)'!$H$2:$H$65,'Outages (event ledger)'!$A$2:$A$65,AD$2,'Outages (event ledger)'!$E$2:$E$65,"&lt;="&amp;$B201,'Outages (event ledger)'!$G$2:$G$65,"&gt;="&amp;$B201)</f>
        <v>0</v>
      </c>
      <c r="AE201" s="26" t="n">
        <f aca="false">SUMIFS('Outages (event ledger)'!$H$2:$H$65,'Outages (event ledger)'!$A$2:$A$65,AE$2,'Outages (event ledger)'!$E$2:$E$65,"&lt;="&amp;$B201,'Outages (event ledger)'!$G$2:$G$65,"&gt;="&amp;$B201)</f>
        <v>0</v>
      </c>
      <c r="AF201" s="26" t="n">
        <f aca="false">SUMIFS('Outages (event ledger)'!$H$2:$H$65,'Outages (event ledger)'!$A$2:$A$65,AF$2,'Outages (event ledger)'!$E$2:$E$65,"&lt;="&amp;$B201,'Outages (event ledger)'!$G$2:$G$65,"&gt;="&amp;$B201)</f>
        <v>0</v>
      </c>
      <c r="AG201" s="26" t="n">
        <f aca="false">SUMIFS('Outages (event ledger)'!$H$2:$H$65,'Outages (event ledger)'!$A$2:$A$65,AG$2,'Outages (event ledger)'!$E$2:$E$65,"&lt;="&amp;$B201,'Outages (event ledger)'!$G$2:$G$65,"&gt;="&amp;$B201)</f>
        <v>0</v>
      </c>
      <c r="AH201" s="26" t="n">
        <f aca="false">SUMIFS('Outages (event ledger)'!$H$2:$H$65,'Outages (event ledger)'!$A$2:$A$65,AH$2,'Outages (event ledger)'!$E$2:$E$65,"&lt;="&amp;$B201,'Outages (event ledger)'!$G$2:$G$65,"&gt;="&amp;$B201)</f>
        <v>0</v>
      </c>
      <c r="AI201" s="26" t="n">
        <f aca="false">SUMIFS('Outages (event ledger)'!$H$2:$H$65,'Outages (event ledger)'!$A$2:$A$65,AI$2,'Outages (event ledger)'!$E$2:$E$65,"&lt;="&amp;$B201,'Outages (event ledger)'!$G$2:$G$65,"&gt;="&amp;$B201)</f>
        <v>0</v>
      </c>
      <c r="AJ201" s="26" t="n">
        <f aca="false">SUMIFS('Outages (event ledger)'!$H$2:$H$65,'Outages (event ledger)'!$A$2:$A$65,AJ$2,'Outages (event ledger)'!$E$2:$E$65,"&lt;="&amp;$B201,'Outages (event ledger)'!$G$2:$G$65,"&gt;="&amp;$B201)</f>
        <v>0</v>
      </c>
      <c r="AK201" s="26" t="n">
        <f aca="false">SUMIFS('Outages (event ledger)'!$H$2:$H$65,'Outages (event ledger)'!$A$2:$A$65,AK$2,'Outages (event ledger)'!$E$2:$E$65,"&lt;="&amp;$B201,'Outages (event ledger)'!$G$2:$G$65,"&gt;="&amp;$B201)</f>
        <v>0</v>
      </c>
      <c r="AL201" s="26" t="n">
        <f aca="false">SUMIFS('Outages (event ledger)'!$H$2:$H$65,'Outages (event ledger)'!$A$2:$A$65,AL$2,'Outages (event ledger)'!$E$2:$E$65,"&lt;="&amp;$B201,'Outages (event ledger)'!$G$2:$G$65,"&gt;="&amp;$B201)</f>
        <v>0</v>
      </c>
      <c r="AM201" s="26" t="n">
        <f aca="false">SUMIFS('Outages (event ledger)'!$H$2:$H$65,'Outages (event ledger)'!$A$2:$A$65,AM$2,'Outages (event ledger)'!$E$2:$E$65,"&lt;="&amp;$B201,'Outages (event ledger)'!$G$2:$G$65,"&gt;="&amp;$B201)</f>
        <v>0</v>
      </c>
      <c r="AN201" s="26" t="n">
        <f aca="false">SUMIFS('Outages (event ledger)'!$H$2:$H$65,'Outages (event ledger)'!$A$2:$A$65,AN$2,'Outages (event ledger)'!$E$2:$E$65,"&lt;="&amp;$B201,'Outages (event ledger)'!$G$2:$G$65,"&gt;="&amp;$B201)</f>
        <v>0</v>
      </c>
      <c r="AO201" s="26" t="n">
        <f aca="false">SUMIFS('Outages (event ledger)'!$H$2:$H$65,'Outages (event ledger)'!$A$2:$A$65,AO$2,'Outages (event ledger)'!$E$2:$E$65,"&lt;="&amp;$B201,'Outages (event ledger)'!$G$2:$G$65,"&gt;="&amp;$B201)</f>
        <v>0</v>
      </c>
      <c r="AP201" s="26" t="n">
        <f aca="false">SUMIFS('Outages (event ledger)'!$H$2:$H$65,'Outages (event ledger)'!$A$2:$A$65,AP$2,'Outages (event ledger)'!$E$2:$E$65,"&lt;="&amp;$B201,'Outages (event ledger)'!$G$2:$G$65,"&gt;="&amp;$B201)</f>
        <v>0</v>
      </c>
      <c r="AQ201" s="26" t="n">
        <f aca="false">SUMIFS('Outages (event ledger)'!$H$2:$H$65,'Outages (event ledger)'!$A$2:$A$65,AQ$2,'Outages (event ledger)'!$E$2:$E$65,"&lt;="&amp;$B201,'Outages (event ledger)'!$G$2:$G$65,"&gt;="&amp;$B201)</f>
        <v>0</v>
      </c>
      <c r="AR201" s="26" t="n">
        <f aca="false">SUMIFS('Outages (event ledger)'!$H$2:$H$65,'Outages (event ledger)'!$A$2:$A$65,AR$2,'Outages (event ledger)'!$E$2:$E$65,"&lt;="&amp;$B201,'Outages (event ledger)'!$G$2:$G$65,"&gt;="&amp;$B201)</f>
        <v>12.8</v>
      </c>
      <c r="AS201" s="26" t="n">
        <f aca="false">SUMIFS('Outages (event ledger)'!$H$2:$H$65,'Outages (event ledger)'!$A$2:$A$65,AS$2,'Outages (event ledger)'!$E$2:$E$65,"&lt;="&amp;$B201,'Outages (event ledger)'!$G$2:$G$65,"&gt;="&amp;$B201)</f>
        <v>0</v>
      </c>
      <c r="AT201" s="26" t="n">
        <f aca="false">SUMIFS('Outages (event ledger)'!$H$2:$H$65,'Outages (event ledger)'!$A$2:$A$65,AT$2,'Outages (event ledger)'!$E$2:$E$65,"&lt;="&amp;$B201,'Outages (event ledger)'!$G$2:$G$65,"&gt;="&amp;$B201)</f>
        <v>0</v>
      </c>
      <c r="AU201" s="26" t="n">
        <f aca="false">SUMIFS('Outages (event ledger)'!$H$2:$H$65,'Outages (event ledger)'!$A$2:$A$65,AU$2,'Outages (event ledger)'!$E$2:$E$65,"&lt;="&amp;$B201,'Outages (event ledger)'!$G$2:$G$65,"&gt;="&amp;$B201)</f>
        <v>0</v>
      </c>
      <c r="AV201" s="26" t="n">
        <f aca="false">SUMIFS('Outages (event ledger)'!$H$2:$H$65,'Outages (event ledger)'!$A$2:$A$65,AV$2,'Outages (event ledger)'!$E$2:$E$65,"&lt;="&amp;$B201,'Outages (event ledger)'!$G$2:$G$65,"&gt;="&amp;$B201)</f>
        <v>0</v>
      </c>
      <c r="AW201" s="26" t="n">
        <f aca="false">SUMIFS('Outages (event ledger)'!$H$2:$H$65,'Outages (event ledger)'!$A$2:$A$65,AW$2,'Outages (event ledger)'!$E$2:$E$65,"&lt;="&amp;$B201,'Outages (event ledger)'!$G$2:$G$65,"&gt;="&amp;$B201)</f>
        <v>0</v>
      </c>
      <c r="AX201" s="26" t="n">
        <f aca="false">SUMIFS('Outages (event ledger)'!$H$2:$H$65,'Outages (event ledger)'!$A$2:$A$65,AX$2,'Outages (event ledger)'!$E$2:$E$65,"&lt;="&amp;$B201,'Outages (event ledger)'!$G$2:$G$65,"&gt;="&amp;$B201)</f>
        <v>6.6</v>
      </c>
      <c r="AY201" s="26" t="n">
        <f aca="false">SUMIFS('Outages (event ledger)'!$H$2:$H$65,'Outages (event ledger)'!$A$2:$A$65,AY$2,'Outages (event ledger)'!$E$2:$E$65,"&lt;="&amp;$B201,'Outages (event ledger)'!$G$2:$G$65,"&gt;="&amp;$B201)</f>
        <v>0</v>
      </c>
      <c r="AZ201" s="26" t="n">
        <f aca="false">SUMIFS('Outages (event ledger)'!$H$2:$H$65,'Outages (event ledger)'!$A$2:$A$65,AZ$2,'Outages (event ledger)'!$E$2:$E$65,"&lt;="&amp;$B201,'Outages (event ledger)'!$G$2:$G$65,"&gt;="&amp;$B201)</f>
        <v>0</v>
      </c>
      <c r="BA201" s="26" t="n">
        <f aca="false">SUMIFS('Outages (event ledger)'!$H$2:$H$65,'Outages (event ledger)'!$A$2:$A$65,BA$2,'Outages (event ledger)'!$E$2:$E$65,"&lt;="&amp;$B201,'Outages (event ledger)'!$G$2:$G$65,"&gt;="&amp;$B201)</f>
        <v>0</v>
      </c>
      <c r="BB201" s="26" t="n">
        <f aca="false">SUMIFS('Outages (event ledger)'!$H$2:$H$65,'Outages (event ledger)'!$A$2:$A$65,BB$2,'Outages (event ledger)'!$E$2:$E$65,"&lt;="&amp;$B201,'Outages (event ledger)'!$G$2:$G$65,"&gt;="&amp;$B201)</f>
        <v>0</v>
      </c>
      <c r="BC201" s="26" t="n">
        <f aca="false">SUMIFS('Outages (event ledger)'!$H$2:$H$65,'Outages (event ledger)'!$A$2:$A$65,BC$2,'Outages (event ledger)'!$E$2:$E$65,"&lt;="&amp;$B201,'Outages (event ledger)'!$G$2:$G$65,"&gt;="&amp;$B201)</f>
        <v>0</v>
      </c>
      <c r="BD201" s="26" t="n">
        <f aca="false">SUMIFS('Outages (event ledger)'!$H$2:$H$65,'Outages (event ledger)'!$A$2:$A$65,BD$2,'Outages (event ledger)'!$E$2:$E$65,"&lt;="&amp;$B201,'Outages (event ledger)'!$G$2:$G$65,"&gt;="&amp;$B201)</f>
        <v>0</v>
      </c>
      <c r="BE201" s="26" t="n">
        <f aca="false">SUMIFS('Outages (event ledger)'!$H$2:$H$65,'Outages (event ledger)'!$A$2:$A$65,BE$2,'Outages (event ledger)'!$E$2:$E$65,"&lt;="&amp;$B201,'Outages (event ledger)'!$G$2:$G$65,"&gt;="&amp;$B201)</f>
        <v>0</v>
      </c>
      <c r="BF201" s="26" t="n">
        <f aca="false">SUMIFS('Outages (event ledger)'!$H$2:$H$65,'Outages (event ledger)'!$A$2:$A$65,BF$2,'Outages (event ledger)'!$E$2:$E$65,"&lt;="&amp;$B201,'Outages (event ledger)'!$G$2:$G$65,"&gt;="&amp;$B201)</f>
        <v>0</v>
      </c>
      <c r="BG201" s="26" t="n">
        <f aca="false">SUMIFS('Outages (event ledger)'!$H$2:$H$65,'Outages (event ledger)'!$A$2:$A$65,BG$2,'Outages (event ledger)'!$E$2:$E$65,"&lt;="&amp;$B201,'Outages (event ledger)'!$G$2:$G$65,"&gt;="&amp;$B201)</f>
        <v>0</v>
      </c>
      <c r="BH201" s="26" t="n">
        <f aca="false">SUMIFS('Outages (event ledger)'!$H$2:$H$65,'Outages (event ledger)'!$A$2:$A$65,BH$2,'Outages (event ledger)'!$E$2:$E$65,"&lt;="&amp;$B201,'Outages (event ledger)'!$G$2:$G$65,"&gt;="&amp;$B201)</f>
        <v>0</v>
      </c>
      <c r="BI201" s="26" t="n">
        <f aca="false">SUMIFS('Outages (event ledger)'!$H$2:$H$65,'Outages (event ledger)'!$A$2:$A$65,BI$2,'Outages (event ledger)'!$E$2:$E$65,"&lt;="&amp;$B201,'Outages (event ledger)'!$G$2:$G$65,"&gt;="&amp;$B201)</f>
        <v>6.7</v>
      </c>
    </row>
    <row r="202" customFormat="false" ht="15" hidden="false" customHeight="false" outlineLevel="0" collapsed="false">
      <c r="A202" s="23" t="n">
        <v>46235</v>
      </c>
      <c r="B202" s="24" t="n">
        <v>202608</v>
      </c>
      <c r="C202" s="25" t="n">
        <f aca="false">SUM(D202:BI202)</f>
        <v>36.1</v>
      </c>
      <c r="D202" s="26" t="n">
        <f aca="false">SUMIFS('Outages (event ledger)'!$H$2:$H$65,'Outages (event ledger)'!$A$2:$A$65,D$2,'Outages (event ledger)'!$E$2:$E$65,"&lt;="&amp;$B202,'Outages (event ledger)'!$G$2:$G$65,"&gt;="&amp;$B202)</f>
        <v>0</v>
      </c>
      <c r="E202" s="26" t="n">
        <f aca="false">SUMIFS('Outages (event ledger)'!$H$2:$H$65,'Outages (event ledger)'!$A$2:$A$65,E$2,'Outages (event ledger)'!$E$2:$E$65,"&lt;="&amp;$B202,'Outages (event ledger)'!$G$2:$G$65,"&gt;="&amp;$B202)</f>
        <v>0</v>
      </c>
      <c r="F202" s="26" t="n">
        <f aca="false">SUMIFS('Outages (event ledger)'!$H$2:$H$65,'Outages (event ledger)'!$A$2:$A$65,F$2,'Outages (event ledger)'!$E$2:$E$65,"&lt;="&amp;$B202,'Outages (event ledger)'!$G$2:$G$65,"&gt;="&amp;$B202)</f>
        <v>0</v>
      </c>
      <c r="G202" s="26" t="n">
        <f aca="false">SUMIFS('Outages (event ledger)'!$H$2:$H$65,'Outages (event ledger)'!$A$2:$A$65,G$2,'Outages (event ledger)'!$E$2:$E$65,"&lt;="&amp;$B202,'Outages (event ledger)'!$G$2:$G$65,"&gt;="&amp;$B202)</f>
        <v>0</v>
      </c>
      <c r="H202" s="26" t="n">
        <f aca="false">SUMIFS('Outages (event ledger)'!$H$2:$H$65,'Outages (event ledger)'!$A$2:$A$65,H$2,'Outages (event ledger)'!$E$2:$E$65,"&lt;="&amp;$B202,'Outages (event ledger)'!$G$2:$G$65,"&gt;="&amp;$B202)</f>
        <v>0</v>
      </c>
      <c r="I202" s="26" t="n">
        <f aca="false">SUMIFS('Outages (event ledger)'!$H$2:$H$65,'Outages (event ledger)'!$A$2:$A$65,I$2,'Outages (event ledger)'!$E$2:$E$65,"&lt;="&amp;$B202,'Outages (event ledger)'!$G$2:$G$65,"&gt;="&amp;$B202)</f>
        <v>0</v>
      </c>
      <c r="J202" s="26" t="n">
        <f aca="false">SUMIFS('Outages (event ledger)'!$H$2:$H$65,'Outages (event ledger)'!$A$2:$A$65,J$2,'Outages (event ledger)'!$E$2:$E$65,"&lt;="&amp;$B202,'Outages (event ledger)'!$G$2:$G$65,"&gt;="&amp;$B202)</f>
        <v>0</v>
      </c>
      <c r="K202" s="26" t="n">
        <f aca="false">SUMIFS('Outages (event ledger)'!$H$2:$H$65,'Outages (event ledger)'!$A$2:$A$65,K$2,'Outages (event ledger)'!$E$2:$E$65,"&lt;="&amp;$B202,'Outages (event ledger)'!$G$2:$G$65,"&gt;="&amp;$B202)</f>
        <v>0</v>
      </c>
      <c r="L202" s="26" t="n">
        <f aca="false">SUMIFS('Outages (event ledger)'!$H$2:$H$65,'Outages (event ledger)'!$A$2:$A$65,L$2,'Outages (event ledger)'!$E$2:$E$65,"&lt;="&amp;$B202,'Outages (event ledger)'!$G$2:$G$65,"&gt;="&amp;$B202)</f>
        <v>0</v>
      </c>
      <c r="M202" s="26" t="n">
        <f aca="false">SUMIFS('Outages (event ledger)'!$H$2:$H$65,'Outages (event ledger)'!$A$2:$A$65,M$2,'Outages (event ledger)'!$E$2:$E$65,"&lt;="&amp;$B202,'Outages (event ledger)'!$G$2:$G$65,"&gt;="&amp;$B202)</f>
        <v>0</v>
      </c>
      <c r="N202" s="26" t="n">
        <f aca="false">SUMIFS('Outages (event ledger)'!$H$2:$H$65,'Outages (event ledger)'!$A$2:$A$65,N$2,'Outages (event ledger)'!$E$2:$E$65,"&lt;="&amp;$B202,'Outages (event ledger)'!$G$2:$G$65,"&gt;="&amp;$B202)</f>
        <v>0</v>
      </c>
      <c r="O202" s="26" t="n">
        <f aca="false">SUMIFS('Outages (event ledger)'!$H$2:$H$65,'Outages (event ledger)'!$A$2:$A$65,O$2,'Outages (event ledger)'!$E$2:$E$65,"&lt;="&amp;$B202,'Outages (event ledger)'!$G$2:$G$65,"&gt;="&amp;$B202)</f>
        <v>0</v>
      </c>
      <c r="P202" s="26" t="n">
        <f aca="false">SUMIFS('Outages (event ledger)'!$H$2:$H$65,'Outages (event ledger)'!$A$2:$A$65,P$2,'Outages (event ledger)'!$E$2:$E$65,"&lt;="&amp;$B202,'Outages (event ledger)'!$G$2:$G$65,"&gt;="&amp;$B202)</f>
        <v>0</v>
      </c>
      <c r="Q202" s="26" t="n">
        <f aca="false">SUMIFS('Outages (event ledger)'!$H$2:$H$65,'Outages (event ledger)'!$A$2:$A$65,Q$2,'Outages (event ledger)'!$E$2:$E$65,"&lt;="&amp;$B202,'Outages (event ledger)'!$G$2:$G$65,"&gt;="&amp;$B202)</f>
        <v>0</v>
      </c>
      <c r="R202" s="26" t="n">
        <f aca="false">SUMIFS('Outages (event ledger)'!$H$2:$H$65,'Outages (event ledger)'!$A$2:$A$65,R$2,'Outages (event ledger)'!$E$2:$E$65,"&lt;="&amp;$B202,'Outages (event ledger)'!$G$2:$G$65,"&gt;="&amp;$B202)</f>
        <v>0</v>
      </c>
      <c r="S202" s="26" t="n">
        <f aca="false">SUMIFS('Outages (event ledger)'!$H$2:$H$65,'Outages (event ledger)'!$A$2:$A$65,S$2,'Outages (event ledger)'!$E$2:$E$65,"&lt;="&amp;$B202,'Outages (event ledger)'!$G$2:$G$65,"&gt;="&amp;$B202)</f>
        <v>0</v>
      </c>
      <c r="T202" s="26" t="n">
        <f aca="false">SUMIFS('Outages (event ledger)'!$H$2:$H$65,'Outages (event ledger)'!$A$2:$A$65,T$2,'Outages (event ledger)'!$E$2:$E$65,"&lt;="&amp;$B202,'Outages (event ledger)'!$G$2:$G$65,"&gt;="&amp;$B202)</f>
        <v>0</v>
      </c>
      <c r="U202" s="26" t="n">
        <f aca="false">SUMIFS('Outages (event ledger)'!$H$2:$H$65,'Outages (event ledger)'!$A$2:$A$65,U$2,'Outages (event ledger)'!$E$2:$E$65,"&lt;="&amp;$B202,'Outages (event ledger)'!$G$2:$G$65,"&gt;="&amp;$B202)</f>
        <v>0</v>
      </c>
      <c r="V202" s="26" t="n">
        <f aca="false">SUMIFS('Outages (event ledger)'!$H$2:$H$65,'Outages (event ledger)'!$A$2:$A$65,V$2,'Outages (event ledger)'!$E$2:$E$65,"&lt;="&amp;$B202,'Outages (event ledger)'!$G$2:$G$65,"&gt;="&amp;$B202)</f>
        <v>0</v>
      </c>
      <c r="W202" s="26" t="n">
        <f aca="false">SUMIFS('Outages (event ledger)'!$H$2:$H$65,'Outages (event ledger)'!$A$2:$A$65,W$2,'Outages (event ledger)'!$E$2:$E$65,"&lt;="&amp;$B202,'Outages (event ledger)'!$G$2:$G$65,"&gt;="&amp;$B202)</f>
        <v>0</v>
      </c>
      <c r="X202" s="26" t="n">
        <f aca="false">SUMIFS('Outages (event ledger)'!$H$2:$H$65,'Outages (event ledger)'!$A$2:$A$65,X$2,'Outages (event ledger)'!$E$2:$E$65,"&lt;="&amp;$B202,'Outages (event ledger)'!$G$2:$G$65,"&gt;="&amp;$B202)</f>
        <v>0</v>
      </c>
      <c r="Y202" s="26" t="n">
        <f aca="false">SUMIFS('Outages (event ledger)'!$H$2:$H$65,'Outages (event ledger)'!$A$2:$A$65,Y$2,'Outages (event ledger)'!$E$2:$E$65,"&lt;="&amp;$B202,'Outages (event ledger)'!$G$2:$G$65,"&gt;="&amp;$B202)</f>
        <v>0</v>
      </c>
      <c r="Z202" s="26" t="n">
        <f aca="false">SUMIFS('Outages (event ledger)'!$H$2:$H$65,'Outages (event ledger)'!$A$2:$A$65,Z$2,'Outages (event ledger)'!$E$2:$E$65,"&lt;="&amp;$B202,'Outages (event ledger)'!$G$2:$G$65,"&gt;="&amp;$B202)</f>
        <v>0</v>
      </c>
      <c r="AA202" s="26" t="n">
        <f aca="false">SUMIFS('Outages (event ledger)'!$H$2:$H$65,'Outages (event ledger)'!$A$2:$A$65,AA$2,'Outages (event ledger)'!$E$2:$E$65,"&lt;="&amp;$B202,'Outages (event ledger)'!$G$2:$G$65,"&gt;="&amp;$B202)</f>
        <v>2</v>
      </c>
      <c r="AB202" s="26" t="n">
        <f aca="false">SUMIFS('Outages (event ledger)'!$H$2:$H$65,'Outages (event ledger)'!$A$2:$A$65,AB$2,'Outages (event ledger)'!$E$2:$E$65,"&lt;="&amp;$B202,'Outages (event ledger)'!$G$2:$G$65,"&gt;="&amp;$B202)</f>
        <v>8</v>
      </c>
      <c r="AC202" s="26" t="n">
        <f aca="false">SUMIFS('Outages (event ledger)'!$H$2:$H$65,'Outages (event ledger)'!$A$2:$A$65,AC$2,'Outages (event ledger)'!$E$2:$E$65,"&lt;="&amp;$B202,'Outages (event ledger)'!$G$2:$G$65,"&gt;="&amp;$B202)</f>
        <v>0</v>
      </c>
      <c r="AD202" s="26" t="n">
        <f aca="false">SUMIFS('Outages (event ledger)'!$H$2:$H$65,'Outages (event ledger)'!$A$2:$A$65,AD$2,'Outages (event ledger)'!$E$2:$E$65,"&lt;="&amp;$B202,'Outages (event ledger)'!$G$2:$G$65,"&gt;="&amp;$B202)</f>
        <v>0</v>
      </c>
      <c r="AE202" s="26" t="n">
        <f aca="false">SUMIFS('Outages (event ledger)'!$H$2:$H$65,'Outages (event ledger)'!$A$2:$A$65,AE$2,'Outages (event ledger)'!$E$2:$E$65,"&lt;="&amp;$B202,'Outages (event ledger)'!$G$2:$G$65,"&gt;="&amp;$B202)</f>
        <v>0</v>
      </c>
      <c r="AF202" s="26" t="n">
        <f aca="false">SUMIFS('Outages (event ledger)'!$H$2:$H$65,'Outages (event ledger)'!$A$2:$A$65,AF$2,'Outages (event ledger)'!$E$2:$E$65,"&lt;="&amp;$B202,'Outages (event ledger)'!$G$2:$G$65,"&gt;="&amp;$B202)</f>
        <v>0</v>
      </c>
      <c r="AG202" s="26" t="n">
        <f aca="false">SUMIFS('Outages (event ledger)'!$H$2:$H$65,'Outages (event ledger)'!$A$2:$A$65,AG$2,'Outages (event ledger)'!$E$2:$E$65,"&lt;="&amp;$B202,'Outages (event ledger)'!$G$2:$G$65,"&gt;="&amp;$B202)</f>
        <v>0</v>
      </c>
      <c r="AH202" s="26" t="n">
        <f aca="false">SUMIFS('Outages (event ledger)'!$H$2:$H$65,'Outages (event ledger)'!$A$2:$A$65,AH$2,'Outages (event ledger)'!$E$2:$E$65,"&lt;="&amp;$B202,'Outages (event ledger)'!$G$2:$G$65,"&gt;="&amp;$B202)</f>
        <v>0</v>
      </c>
      <c r="AI202" s="26" t="n">
        <f aca="false">SUMIFS('Outages (event ledger)'!$H$2:$H$65,'Outages (event ledger)'!$A$2:$A$65,AI$2,'Outages (event ledger)'!$E$2:$E$65,"&lt;="&amp;$B202,'Outages (event ledger)'!$G$2:$G$65,"&gt;="&amp;$B202)</f>
        <v>0</v>
      </c>
      <c r="AJ202" s="26" t="n">
        <f aca="false">SUMIFS('Outages (event ledger)'!$H$2:$H$65,'Outages (event ledger)'!$A$2:$A$65,AJ$2,'Outages (event ledger)'!$E$2:$E$65,"&lt;="&amp;$B202,'Outages (event ledger)'!$G$2:$G$65,"&gt;="&amp;$B202)</f>
        <v>0</v>
      </c>
      <c r="AK202" s="26" t="n">
        <f aca="false">SUMIFS('Outages (event ledger)'!$H$2:$H$65,'Outages (event ledger)'!$A$2:$A$65,AK$2,'Outages (event ledger)'!$E$2:$E$65,"&lt;="&amp;$B202,'Outages (event ledger)'!$G$2:$G$65,"&gt;="&amp;$B202)</f>
        <v>0</v>
      </c>
      <c r="AL202" s="26" t="n">
        <f aca="false">SUMIFS('Outages (event ledger)'!$H$2:$H$65,'Outages (event ledger)'!$A$2:$A$65,AL$2,'Outages (event ledger)'!$E$2:$E$65,"&lt;="&amp;$B202,'Outages (event ledger)'!$G$2:$G$65,"&gt;="&amp;$B202)</f>
        <v>0</v>
      </c>
      <c r="AM202" s="26" t="n">
        <f aca="false">SUMIFS('Outages (event ledger)'!$H$2:$H$65,'Outages (event ledger)'!$A$2:$A$65,AM$2,'Outages (event ledger)'!$E$2:$E$65,"&lt;="&amp;$B202,'Outages (event ledger)'!$G$2:$G$65,"&gt;="&amp;$B202)</f>
        <v>0</v>
      </c>
      <c r="AN202" s="26" t="n">
        <f aca="false">SUMIFS('Outages (event ledger)'!$H$2:$H$65,'Outages (event ledger)'!$A$2:$A$65,AN$2,'Outages (event ledger)'!$E$2:$E$65,"&lt;="&amp;$B202,'Outages (event ledger)'!$G$2:$G$65,"&gt;="&amp;$B202)</f>
        <v>0</v>
      </c>
      <c r="AO202" s="26" t="n">
        <f aca="false">SUMIFS('Outages (event ledger)'!$H$2:$H$65,'Outages (event ledger)'!$A$2:$A$65,AO$2,'Outages (event ledger)'!$E$2:$E$65,"&lt;="&amp;$B202,'Outages (event ledger)'!$G$2:$G$65,"&gt;="&amp;$B202)</f>
        <v>0</v>
      </c>
      <c r="AP202" s="26" t="n">
        <f aca="false">SUMIFS('Outages (event ledger)'!$H$2:$H$65,'Outages (event ledger)'!$A$2:$A$65,AP$2,'Outages (event ledger)'!$E$2:$E$65,"&lt;="&amp;$B202,'Outages (event ledger)'!$G$2:$G$65,"&gt;="&amp;$B202)</f>
        <v>0</v>
      </c>
      <c r="AQ202" s="26" t="n">
        <f aca="false">SUMIFS('Outages (event ledger)'!$H$2:$H$65,'Outages (event ledger)'!$A$2:$A$65,AQ$2,'Outages (event ledger)'!$E$2:$E$65,"&lt;="&amp;$B202,'Outages (event ledger)'!$G$2:$G$65,"&gt;="&amp;$B202)</f>
        <v>0</v>
      </c>
      <c r="AR202" s="26" t="n">
        <f aca="false">SUMIFS('Outages (event ledger)'!$H$2:$H$65,'Outages (event ledger)'!$A$2:$A$65,AR$2,'Outages (event ledger)'!$E$2:$E$65,"&lt;="&amp;$B202,'Outages (event ledger)'!$G$2:$G$65,"&gt;="&amp;$B202)</f>
        <v>12.8</v>
      </c>
      <c r="AS202" s="26" t="n">
        <f aca="false">SUMIFS('Outages (event ledger)'!$H$2:$H$65,'Outages (event ledger)'!$A$2:$A$65,AS$2,'Outages (event ledger)'!$E$2:$E$65,"&lt;="&amp;$B202,'Outages (event ledger)'!$G$2:$G$65,"&gt;="&amp;$B202)</f>
        <v>0</v>
      </c>
      <c r="AT202" s="26" t="n">
        <f aca="false">SUMIFS('Outages (event ledger)'!$H$2:$H$65,'Outages (event ledger)'!$A$2:$A$65,AT$2,'Outages (event ledger)'!$E$2:$E$65,"&lt;="&amp;$B202,'Outages (event ledger)'!$G$2:$G$65,"&gt;="&amp;$B202)</f>
        <v>0</v>
      </c>
      <c r="AU202" s="26" t="n">
        <f aca="false">SUMIFS('Outages (event ledger)'!$H$2:$H$65,'Outages (event ledger)'!$A$2:$A$65,AU$2,'Outages (event ledger)'!$E$2:$E$65,"&lt;="&amp;$B202,'Outages (event ledger)'!$G$2:$G$65,"&gt;="&amp;$B202)</f>
        <v>0</v>
      </c>
      <c r="AV202" s="26" t="n">
        <f aca="false">SUMIFS('Outages (event ledger)'!$H$2:$H$65,'Outages (event ledger)'!$A$2:$A$65,AV$2,'Outages (event ledger)'!$E$2:$E$65,"&lt;="&amp;$B202,'Outages (event ledger)'!$G$2:$G$65,"&gt;="&amp;$B202)</f>
        <v>0</v>
      </c>
      <c r="AW202" s="26" t="n">
        <f aca="false">SUMIFS('Outages (event ledger)'!$H$2:$H$65,'Outages (event ledger)'!$A$2:$A$65,AW$2,'Outages (event ledger)'!$E$2:$E$65,"&lt;="&amp;$B202,'Outages (event ledger)'!$G$2:$G$65,"&gt;="&amp;$B202)</f>
        <v>0</v>
      </c>
      <c r="AX202" s="26" t="n">
        <f aca="false">SUMIFS('Outages (event ledger)'!$H$2:$H$65,'Outages (event ledger)'!$A$2:$A$65,AX$2,'Outages (event ledger)'!$E$2:$E$65,"&lt;="&amp;$B202,'Outages (event ledger)'!$G$2:$G$65,"&gt;="&amp;$B202)</f>
        <v>6.6</v>
      </c>
      <c r="AY202" s="26" t="n">
        <f aca="false">SUMIFS('Outages (event ledger)'!$H$2:$H$65,'Outages (event ledger)'!$A$2:$A$65,AY$2,'Outages (event ledger)'!$E$2:$E$65,"&lt;="&amp;$B202,'Outages (event ledger)'!$G$2:$G$65,"&gt;="&amp;$B202)</f>
        <v>0</v>
      </c>
      <c r="AZ202" s="26" t="n">
        <f aca="false">SUMIFS('Outages (event ledger)'!$H$2:$H$65,'Outages (event ledger)'!$A$2:$A$65,AZ$2,'Outages (event ledger)'!$E$2:$E$65,"&lt;="&amp;$B202,'Outages (event ledger)'!$G$2:$G$65,"&gt;="&amp;$B202)</f>
        <v>0</v>
      </c>
      <c r="BA202" s="26" t="n">
        <f aca="false">SUMIFS('Outages (event ledger)'!$H$2:$H$65,'Outages (event ledger)'!$A$2:$A$65,BA$2,'Outages (event ledger)'!$E$2:$E$65,"&lt;="&amp;$B202,'Outages (event ledger)'!$G$2:$G$65,"&gt;="&amp;$B202)</f>
        <v>0</v>
      </c>
      <c r="BB202" s="26" t="n">
        <f aca="false">SUMIFS('Outages (event ledger)'!$H$2:$H$65,'Outages (event ledger)'!$A$2:$A$65,BB$2,'Outages (event ledger)'!$E$2:$E$65,"&lt;="&amp;$B202,'Outages (event ledger)'!$G$2:$G$65,"&gt;="&amp;$B202)</f>
        <v>0</v>
      </c>
      <c r="BC202" s="26" t="n">
        <f aca="false">SUMIFS('Outages (event ledger)'!$H$2:$H$65,'Outages (event ledger)'!$A$2:$A$65,BC$2,'Outages (event ledger)'!$E$2:$E$65,"&lt;="&amp;$B202,'Outages (event ledger)'!$G$2:$G$65,"&gt;="&amp;$B202)</f>
        <v>0</v>
      </c>
      <c r="BD202" s="26" t="n">
        <f aca="false">SUMIFS('Outages (event ledger)'!$H$2:$H$65,'Outages (event ledger)'!$A$2:$A$65,BD$2,'Outages (event ledger)'!$E$2:$E$65,"&lt;="&amp;$B202,'Outages (event ledger)'!$G$2:$G$65,"&gt;="&amp;$B202)</f>
        <v>0</v>
      </c>
      <c r="BE202" s="26" t="n">
        <f aca="false">SUMIFS('Outages (event ledger)'!$H$2:$H$65,'Outages (event ledger)'!$A$2:$A$65,BE$2,'Outages (event ledger)'!$E$2:$E$65,"&lt;="&amp;$B202,'Outages (event ledger)'!$G$2:$G$65,"&gt;="&amp;$B202)</f>
        <v>0</v>
      </c>
      <c r="BF202" s="26" t="n">
        <f aca="false">SUMIFS('Outages (event ledger)'!$H$2:$H$65,'Outages (event ledger)'!$A$2:$A$65,BF$2,'Outages (event ledger)'!$E$2:$E$65,"&lt;="&amp;$B202,'Outages (event ledger)'!$G$2:$G$65,"&gt;="&amp;$B202)</f>
        <v>0</v>
      </c>
      <c r="BG202" s="26" t="n">
        <f aca="false">SUMIFS('Outages (event ledger)'!$H$2:$H$65,'Outages (event ledger)'!$A$2:$A$65,BG$2,'Outages (event ledger)'!$E$2:$E$65,"&lt;="&amp;$B202,'Outages (event ledger)'!$G$2:$G$65,"&gt;="&amp;$B202)</f>
        <v>0</v>
      </c>
      <c r="BH202" s="26" t="n">
        <f aca="false">SUMIFS('Outages (event ledger)'!$H$2:$H$65,'Outages (event ledger)'!$A$2:$A$65,BH$2,'Outages (event ledger)'!$E$2:$E$65,"&lt;="&amp;$B202,'Outages (event ledger)'!$G$2:$G$65,"&gt;="&amp;$B202)</f>
        <v>0</v>
      </c>
      <c r="BI202" s="26" t="n">
        <f aca="false">SUMIFS('Outages (event ledger)'!$H$2:$H$65,'Outages (event ledger)'!$A$2:$A$65,BI$2,'Outages (event ledger)'!$E$2:$E$65,"&lt;="&amp;$B202,'Outages (event ledger)'!$G$2:$G$65,"&gt;="&amp;$B202)</f>
        <v>6.7</v>
      </c>
    </row>
    <row r="203" customFormat="false" ht="15" hidden="false" customHeight="false" outlineLevel="0" collapsed="false">
      <c r="A203" s="23" t="n">
        <v>46266</v>
      </c>
      <c r="B203" s="24" t="n">
        <v>202609</v>
      </c>
      <c r="C203" s="25" t="n">
        <f aca="false">SUM(D203:BI203)</f>
        <v>36.1</v>
      </c>
      <c r="D203" s="26" t="n">
        <f aca="false">SUMIFS('Outages (event ledger)'!$H$2:$H$65,'Outages (event ledger)'!$A$2:$A$65,D$2,'Outages (event ledger)'!$E$2:$E$65,"&lt;="&amp;$B203,'Outages (event ledger)'!$G$2:$G$65,"&gt;="&amp;$B203)</f>
        <v>0</v>
      </c>
      <c r="E203" s="26" t="n">
        <f aca="false">SUMIFS('Outages (event ledger)'!$H$2:$H$65,'Outages (event ledger)'!$A$2:$A$65,E$2,'Outages (event ledger)'!$E$2:$E$65,"&lt;="&amp;$B203,'Outages (event ledger)'!$G$2:$G$65,"&gt;="&amp;$B203)</f>
        <v>0</v>
      </c>
      <c r="F203" s="26" t="n">
        <f aca="false">SUMIFS('Outages (event ledger)'!$H$2:$H$65,'Outages (event ledger)'!$A$2:$A$65,F$2,'Outages (event ledger)'!$E$2:$E$65,"&lt;="&amp;$B203,'Outages (event ledger)'!$G$2:$G$65,"&gt;="&amp;$B203)</f>
        <v>0</v>
      </c>
      <c r="G203" s="26" t="n">
        <f aca="false">SUMIFS('Outages (event ledger)'!$H$2:$H$65,'Outages (event ledger)'!$A$2:$A$65,G$2,'Outages (event ledger)'!$E$2:$E$65,"&lt;="&amp;$B203,'Outages (event ledger)'!$G$2:$G$65,"&gt;="&amp;$B203)</f>
        <v>0</v>
      </c>
      <c r="H203" s="26" t="n">
        <f aca="false">SUMIFS('Outages (event ledger)'!$H$2:$H$65,'Outages (event ledger)'!$A$2:$A$65,H$2,'Outages (event ledger)'!$E$2:$E$65,"&lt;="&amp;$B203,'Outages (event ledger)'!$G$2:$G$65,"&gt;="&amp;$B203)</f>
        <v>0</v>
      </c>
      <c r="I203" s="26" t="n">
        <f aca="false">SUMIFS('Outages (event ledger)'!$H$2:$H$65,'Outages (event ledger)'!$A$2:$A$65,I$2,'Outages (event ledger)'!$E$2:$E$65,"&lt;="&amp;$B203,'Outages (event ledger)'!$G$2:$G$65,"&gt;="&amp;$B203)</f>
        <v>0</v>
      </c>
      <c r="J203" s="26" t="n">
        <f aca="false">SUMIFS('Outages (event ledger)'!$H$2:$H$65,'Outages (event ledger)'!$A$2:$A$65,J$2,'Outages (event ledger)'!$E$2:$E$65,"&lt;="&amp;$B203,'Outages (event ledger)'!$G$2:$G$65,"&gt;="&amp;$B203)</f>
        <v>0</v>
      </c>
      <c r="K203" s="26" t="n">
        <f aca="false">SUMIFS('Outages (event ledger)'!$H$2:$H$65,'Outages (event ledger)'!$A$2:$A$65,K$2,'Outages (event ledger)'!$E$2:$E$65,"&lt;="&amp;$B203,'Outages (event ledger)'!$G$2:$G$65,"&gt;="&amp;$B203)</f>
        <v>0</v>
      </c>
      <c r="L203" s="26" t="n">
        <f aca="false">SUMIFS('Outages (event ledger)'!$H$2:$H$65,'Outages (event ledger)'!$A$2:$A$65,L$2,'Outages (event ledger)'!$E$2:$E$65,"&lt;="&amp;$B203,'Outages (event ledger)'!$G$2:$G$65,"&gt;="&amp;$B203)</f>
        <v>0</v>
      </c>
      <c r="M203" s="26" t="n">
        <f aca="false">SUMIFS('Outages (event ledger)'!$H$2:$H$65,'Outages (event ledger)'!$A$2:$A$65,M$2,'Outages (event ledger)'!$E$2:$E$65,"&lt;="&amp;$B203,'Outages (event ledger)'!$G$2:$G$65,"&gt;="&amp;$B203)</f>
        <v>0</v>
      </c>
      <c r="N203" s="26" t="n">
        <f aca="false">SUMIFS('Outages (event ledger)'!$H$2:$H$65,'Outages (event ledger)'!$A$2:$A$65,N$2,'Outages (event ledger)'!$E$2:$E$65,"&lt;="&amp;$B203,'Outages (event ledger)'!$G$2:$G$65,"&gt;="&amp;$B203)</f>
        <v>0</v>
      </c>
      <c r="O203" s="26" t="n">
        <f aca="false">SUMIFS('Outages (event ledger)'!$H$2:$H$65,'Outages (event ledger)'!$A$2:$A$65,O$2,'Outages (event ledger)'!$E$2:$E$65,"&lt;="&amp;$B203,'Outages (event ledger)'!$G$2:$G$65,"&gt;="&amp;$B203)</f>
        <v>0</v>
      </c>
      <c r="P203" s="26" t="n">
        <f aca="false">SUMIFS('Outages (event ledger)'!$H$2:$H$65,'Outages (event ledger)'!$A$2:$A$65,P$2,'Outages (event ledger)'!$E$2:$E$65,"&lt;="&amp;$B203,'Outages (event ledger)'!$G$2:$G$65,"&gt;="&amp;$B203)</f>
        <v>0</v>
      </c>
      <c r="Q203" s="26" t="n">
        <f aca="false">SUMIFS('Outages (event ledger)'!$H$2:$H$65,'Outages (event ledger)'!$A$2:$A$65,Q$2,'Outages (event ledger)'!$E$2:$E$65,"&lt;="&amp;$B203,'Outages (event ledger)'!$G$2:$G$65,"&gt;="&amp;$B203)</f>
        <v>0</v>
      </c>
      <c r="R203" s="26" t="n">
        <f aca="false">SUMIFS('Outages (event ledger)'!$H$2:$H$65,'Outages (event ledger)'!$A$2:$A$65,R$2,'Outages (event ledger)'!$E$2:$E$65,"&lt;="&amp;$B203,'Outages (event ledger)'!$G$2:$G$65,"&gt;="&amp;$B203)</f>
        <v>0</v>
      </c>
      <c r="S203" s="26" t="n">
        <f aca="false">SUMIFS('Outages (event ledger)'!$H$2:$H$65,'Outages (event ledger)'!$A$2:$A$65,S$2,'Outages (event ledger)'!$E$2:$E$65,"&lt;="&amp;$B203,'Outages (event ledger)'!$G$2:$G$65,"&gt;="&amp;$B203)</f>
        <v>0</v>
      </c>
      <c r="T203" s="26" t="n">
        <f aca="false">SUMIFS('Outages (event ledger)'!$H$2:$H$65,'Outages (event ledger)'!$A$2:$A$65,T$2,'Outages (event ledger)'!$E$2:$E$65,"&lt;="&amp;$B203,'Outages (event ledger)'!$G$2:$G$65,"&gt;="&amp;$B203)</f>
        <v>0</v>
      </c>
      <c r="U203" s="26" t="n">
        <f aca="false">SUMIFS('Outages (event ledger)'!$H$2:$H$65,'Outages (event ledger)'!$A$2:$A$65,U$2,'Outages (event ledger)'!$E$2:$E$65,"&lt;="&amp;$B203,'Outages (event ledger)'!$G$2:$G$65,"&gt;="&amp;$B203)</f>
        <v>0</v>
      </c>
      <c r="V203" s="26" t="n">
        <f aca="false">SUMIFS('Outages (event ledger)'!$H$2:$H$65,'Outages (event ledger)'!$A$2:$A$65,V$2,'Outages (event ledger)'!$E$2:$E$65,"&lt;="&amp;$B203,'Outages (event ledger)'!$G$2:$G$65,"&gt;="&amp;$B203)</f>
        <v>0</v>
      </c>
      <c r="W203" s="26" t="n">
        <f aca="false">SUMIFS('Outages (event ledger)'!$H$2:$H$65,'Outages (event ledger)'!$A$2:$A$65,W$2,'Outages (event ledger)'!$E$2:$E$65,"&lt;="&amp;$B203,'Outages (event ledger)'!$G$2:$G$65,"&gt;="&amp;$B203)</f>
        <v>0</v>
      </c>
      <c r="X203" s="26" t="n">
        <f aca="false">SUMIFS('Outages (event ledger)'!$H$2:$H$65,'Outages (event ledger)'!$A$2:$A$65,X$2,'Outages (event ledger)'!$E$2:$E$65,"&lt;="&amp;$B203,'Outages (event ledger)'!$G$2:$G$65,"&gt;="&amp;$B203)</f>
        <v>0</v>
      </c>
      <c r="Y203" s="26" t="n">
        <f aca="false">SUMIFS('Outages (event ledger)'!$H$2:$H$65,'Outages (event ledger)'!$A$2:$A$65,Y$2,'Outages (event ledger)'!$E$2:$E$65,"&lt;="&amp;$B203,'Outages (event ledger)'!$G$2:$G$65,"&gt;="&amp;$B203)</f>
        <v>0</v>
      </c>
      <c r="Z203" s="26" t="n">
        <f aca="false">SUMIFS('Outages (event ledger)'!$H$2:$H$65,'Outages (event ledger)'!$A$2:$A$65,Z$2,'Outages (event ledger)'!$E$2:$E$65,"&lt;="&amp;$B203,'Outages (event ledger)'!$G$2:$G$65,"&gt;="&amp;$B203)</f>
        <v>0</v>
      </c>
      <c r="AA203" s="26" t="n">
        <f aca="false">SUMIFS('Outages (event ledger)'!$H$2:$H$65,'Outages (event ledger)'!$A$2:$A$65,AA$2,'Outages (event ledger)'!$E$2:$E$65,"&lt;="&amp;$B203,'Outages (event ledger)'!$G$2:$G$65,"&gt;="&amp;$B203)</f>
        <v>2</v>
      </c>
      <c r="AB203" s="26" t="n">
        <f aca="false">SUMIFS('Outages (event ledger)'!$H$2:$H$65,'Outages (event ledger)'!$A$2:$A$65,AB$2,'Outages (event ledger)'!$E$2:$E$65,"&lt;="&amp;$B203,'Outages (event ledger)'!$G$2:$G$65,"&gt;="&amp;$B203)</f>
        <v>8</v>
      </c>
      <c r="AC203" s="26" t="n">
        <f aca="false">SUMIFS('Outages (event ledger)'!$H$2:$H$65,'Outages (event ledger)'!$A$2:$A$65,AC$2,'Outages (event ledger)'!$E$2:$E$65,"&lt;="&amp;$B203,'Outages (event ledger)'!$G$2:$G$65,"&gt;="&amp;$B203)</f>
        <v>0</v>
      </c>
      <c r="AD203" s="26" t="n">
        <f aca="false">SUMIFS('Outages (event ledger)'!$H$2:$H$65,'Outages (event ledger)'!$A$2:$A$65,AD$2,'Outages (event ledger)'!$E$2:$E$65,"&lt;="&amp;$B203,'Outages (event ledger)'!$G$2:$G$65,"&gt;="&amp;$B203)</f>
        <v>0</v>
      </c>
      <c r="AE203" s="26" t="n">
        <f aca="false">SUMIFS('Outages (event ledger)'!$H$2:$H$65,'Outages (event ledger)'!$A$2:$A$65,AE$2,'Outages (event ledger)'!$E$2:$E$65,"&lt;="&amp;$B203,'Outages (event ledger)'!$G$2:$G$65,"&gt;="&amp;$B203)</f>
        <v>0</v>
      </c>
      <c r="AF203" s="26" t="n">
        <f aca="false">SUMIFS('Outages (event ledger)'!$H$2:$H$65,'Outages (event ledger)'!$A$2:$A$65,AF$2,'Outages (event ledger)'!$E$2:$E$65,"&lt;="&amp;$B203,'Outages (event ledger)'!$G$2:$G$65,"&gt;="&amp;$B203)</f>
        <v>0</v>
      </c>
      <c r="AG203" s="26" t="n">
        <f aca="false">SUMIFS('Outages (event ledger)'!$H$2:$H$65,'Outages (event ledger)'!$A$2:$A$65,AG$2,'Outages (event ledger)'!$E$2:$E$65,"&lt;="&amp;$B203,'Outages (event ledger)'!$G$2:$G$65,"&gt;="&amp;$B203)</f>
        <v>0</v>
      </c>
      <c r="AH203" s="26" t="n">
        <f aca="false">SUMIFS('Outages (event ledger)'!$H$2:$H$65,'Outages (event ledger)'!$A$2:$A$65,AH$2,'Outages (event ledger)'!$E$2:$E$65,"&lt;="&amp;$B203,'Outages (event ledger)'!$G$2:$G$65,"&gt;="&amp;$B203)</f>
        <v>0</v>
      </c>
      <c r="AI203" s="26" t="n">
        <f aca="false">SUMIFS('Outages (event ledger)'!$H$2:$H$65,'Outages (event ledger)'!$A$2:$A$65,AI$2,'Outages (event ledger)'!$E$2:$E$65,"&lt;="&amp;$B203,'Outages (event ledger)'!$G$2:$G$65,"&gt;="&amp;$B203)</f>
        <v>0</v>
      </c>
      <c r="AJ203" s="26" t="n">
        <f aca="false">SUMIFS('Outages (event ledger)'!$H$2:$H$65,'Outages (event ledger)'!$A$2:$A$65,AJ$2,'Outages (event ledger)'!$E$2:$E$65,"&lt;="&amp;$B203,'Outages (event ledger)'!$G$2:$G$65,"&gt;="&amp;$B203)</f>
        <v>0</v>
      </c>
      <c r="AK203" s="26" t="n">
        <f aca="false">SUMIFS('Outages (event ledger)'!$H$2:$H$65,'Outages (event ledger)'!$A$2:$A$65,AK$2,'Outages (event ledger)'!$E$2:$E$65,"&lt;="&amp;$B203,'Outages (event ledger)'!$G$2:$G$65,"&gt;="&amp;$B203)</f>
        <v>0</v>
      </c>
      <c r="AL203" s="26" t="n">
        <f aca="false">SUMIFS('Outages (event ledger)'!$H$2:$H$65,'Outages (event ledger)'!$A$2:$A$65,AL$2,'Outages (event ledger)'!$E$2:$E$65,"&lt;="&amp;$B203,'Outages (event ledger)'!$G$2:$G$65,"&gt;="&amp;$B203)</f>
        <v>0</v>
      </c>
      <c r="AM203" s="26" t="n">
        <f aca="false">SUMIFS('Outages (event ledger)'!$H$2:$H$65,'Outages (event ledger)'!$A$2:$A$65,AM$2,'Outages (event ledger)'!$E$2:$E$65,"&lt;="&amp;$B203,'Outages (event ledger)'!$G$2:$G$65,"&gt;="&amp;$B203)</f>
        <v>0</v>
      </c>
      <c r="AN203" s="26" t="n">
        <f aca="false">SUMIFS('Outages (event ledger)'!$H$2:$H$65,'Outages (event ledger)'!$A$2:$A$65,AN$2,'Outages (event ledger)'!$E$2:$E$65,"&lt;="&amp;$B203,'Outages (event ledger)'!$G$2:$G$65,"&gt;="&amp;$B203)</f>
        <v>0</v>
      </c>
      <c r="AO203" s="26" t="n">
        <f aca="false">SUMIFS('Outages (event ledger)'!$H$2:$H$65,'Outages (event ledger)'!$A$2:$A$65,AO$2,'Outages (event ledger)'!$E$2:$E$65,"&lt;="&amp;$B203,'Outages (event ledger)'!$G$2:$G$65,"&gt;="&amp;$B203)</f>
        <v>0</v>
      </c>
      <c r="AP203" s="26" t="n">
        <f aca="false">SUMIFS('Outages (event ledger)'!$H$2:$H$65,'Outages (event ledger)'!$A$2:$A$65,AP$2,'Outages (event ledger)'!$E$2:$E$65,"&lt;="&amp;$B203,'Outages (event ledger)'!$G$2:$G$65,"&gt;="&amp;$B203)</f>
        <v>0</v>
      </c>
      <c r="AQ203" s="26" t="n">
        <f aca="false">SUMIFS('Outages (event ledger)'!$H$2:$H$65,'Outages (event ledger)'!$A$2:$A$65,AQ$2,'Outages (event ledger)'!$E$2:$E$65,"&lt;="&amp;$B203,'Outages (event ledger)'!$G$2:$G$65,"&gt;="&amp;$B203)</f>
        <v>0</v>
      </c>
      <c r="AR203" s="26" t="n">
        <f aca="false">SUMIFS('Outages (event ledger)'!$H$2:$H$65,'Outages (event ledger)'!$A$2:$A$65,AR$2,'Outages (event ledger)'!$E$2:$E$65,"&lt;="&amp;$B203,'Outages (event ledger)'!$G$2:$G$65,"&gt;="&amp;$B203)</f>
        <v>12.8</v>
      </c>
      <c r="AS203" s="26" t="n">
        <f aca="false">SUMIFS('Outages (event ledger)'!$H$2:$H$65,'Outages (event ledger)'!$A$2:$A$65,AS$2,'Outages (event ledger)'!$E$2:$E$65,"&lt;="&amp;$B203,'Outages (event ledger)'!$G$2:$G$65,"&gt;="&amp;$B203)</f>
        <v>0</v>
      </c>
      <c r="AT203" s="26" t="n">
        <f aca="false">SUMIFS('Outages (event ledger)'!$H$2:$H$65,'Outages (event ledger)'!$A$2:$A$65,AT$2,'Outages (event ledger)'!$E$2:$E$65,"&lt;="&amp;$B203,'Outages (event ledger)'!$G$2:$G$65,"&gt;="&amp;$B203)</f>
        <v>0</v>
      </c>
      <c r="AU203" s="26" t="n">
        <f aca="false">SUMIFS('Outages (event ledger)'!$H$2:$H$65,'Outages (event ledger)'!$A$2:$A$65,AU$2,'Outages (event ledger)'!$E$2:$E$65,"&lt;="&amp;$B203,'Outages (event ledger)'!$G$2:$G$65,"&gt;="&amp;$B203)</f>
        <v>0</v>
      </c>
      <c r="AV203" s="26" t="n">
        <f aca="false">SUMIFS('Outages (event ledger)'!$H$2:$H$65,'Outages (event ledger)'!$A$2:$A$65,AV$2,'Outages (event ledger)'!$E$2:$E$65,"&lt;="&amp;$B203,'Outages (event ledger)'!$G$2:$G$65,"&gt;="&amp;$B203)</f>
        <v>0</v>
      </c>
      <c r="AW203" s="26" t="n">
        <f aca="false">SUMIFS('Outages (event ledger)'!$H$2:$H$65,'Outages (event ledger)'!$A$2:$A$65,AW$2,'Outages (event ledger)'!$E$2:$E$65,"&lt;="&amp;$B203,'Outages (event ledger)'!$G$2:$G$65,"&gt;="&amp;$B203)</f>
        <v>0</v>
      </c>
      <c r="AX203" s="26" t="n">
        <f aca="false">SUMIFS('Outages (event ledger)'!$H$2:$H$65,'Outages (event ledger)'!$A$2:$A$65,AX$2,'Outages (event ledger)'!$E$2:$E$65,"&lt;="&amp;$B203,'Outages (event ledger)'!$G$2:$G$65,"&gt;="&amp;$B203)</f>
        <v>6.6</v>
      </c>
      <c r="AY203" s="26" t="n">
        <f aca="false">SUMIFS('Outages (event ledger)'!$H$2:$H$65,'Outages (event ledger)'!$A$2:$A$65,AY$2,'Outages (event ledger)'!$E$2:$E$65,"&lt;="&amp;$B203,'Outages (event ledger)'!$G$2:$G$65,"&gt;="&amp;$B203)</f>
        <v>0</v>
      </c>
      <c r="AZ203" s="26" t="n">
        <f aca="false">SUMIFS('Outages (event ledger)'!$H$2:$H$65,'Outages (event ledger)'!$A$2:$A$65,AZ$2,'Outages (event ledger)'!$E$2:$E$65,"&lt;="&amp;$B203,'Outages (event ledger)'!$G$2:$G$65,"&gt;="&amp;$B203)</f>
        <v>0</v>
      </c>
      <c r="BA203" s="26" t="n">
        <f aca="false">SUMIFS('Outages (event ledger)'!$H$2:$H$65,'Outages (event ledger)'!$A$2:$A$65,BA$2,'Outages (event ledger)'!$E$2:$E$65,"&lt;="&amp;$B203,'Outages (event ledger)'!$G$2:$G$65,"&gt;="&amp;$B203)</f>
        <v>0</v>
      </c>
      <c r="BB203" s="26" t="n">
        <f aca="false">SUMIFS('Outages (event ledger)'!$H$2:$H$65,'Outages (event ledger)'!$A$2:$A$65,BB$2,'Outages (event ledger)'!$E$2:$E$65,"&lt;="&amp;$B203,'Outages (event ledger)'!$G$2:$G$65,"&gt;="&amp;$B203)</f>
        <v>0</v>
      </c>
      <c r="BC203" s="26" t="n">
        <f aca="false">SUMIFS('Outages (event ledger)'!$H$2:$H$65,'Outages (event ledger)'!$A$2:$A$65,BC$2,'Outages (event ledger)'!$E$2:$E$65,"&lt;="&amp;$B203,'Outages (event ledger)'!$G$2:$G$65,"&gt;="&amp;$B203)</f>
        <v>0</v>
      </c>
      <c r="BD203" s="26" t="n">
        <f aca="false">SUMIFS('Outages (event ledger)'!$H$2:$H$65,'Outages (event ledger)'!$A$2:$A$65,BD$2,'Outages (event ledger)'!$E$2:$E$65,"&lt;="&amp;$B203,'Outages (event ledger)'!$G$2:$G$65,"&gt;="&amp;$B203)</f>
        <v>0</v>
      </c>
      <c r="BE203" s="26" t="n">
        <f aca="false">SUMIFS('Outages (event ledger)'!$H$2:$H$65,'Outages (event ledger)'!$A$2:$A$65,BE$2,'Outages (event ledger)'!$E$2:$E$65,"&lt;="&amp;$B203,'Outages (event ledger)'!$G$2:$G$65,"&gt;="&amp;$B203)</f>
        <v>0</v>
      </c>
      <c r="BF203" s="26" t="n">
        <f aca="false">SUMIFS('Outages (event ledger)'!$H$2:$H$65,'Outages (event ledger)'!$A$2:$A$65,BF$2,'Outages (event ledger)'!$E$2:$E$65,"&lt;="&amp;$B203,'Outages (event ledger)'!$G$2:$G$65,"&gt;="&amp;$B203)</f>
        <v>0</v>
      </c>
      <c r="BG203" s="26" t="n">
        <f aca="false">SUMIFS('Outages (event ledger)'!$H$2:$H$65,'Outages (event ledger)'!$A$2:$A$65,BG$2,'Outages (event ledger)'!$E$2:$E$65,"&lt;="&amp;$B203,'Outages (event ledger)'!$G$2:$G$65,"&gt;="&amp;$B203)</f>
        <v>0</v>
      </c>
      <c r="BH203" s="26" t="n">
        <f aca="false">SUMIFS('Outages (event ledger)'!$H$2:$H$65,'Outages (event ledger)'!$A$2:$A$65,BH$2,'Outages (event ledger)'!$E$2:$E$65,"&lt;="&amp;$B203,'Outages (event ledger)'!$G$2:$G$65,"&gt;="&amp;$B203)</f>
        <v>0</v>
      </c>
      <c r="BI203" s="26" t="n">
        <f aca="false">SUMIFS('Outages (event ledger)'!$H$2:$H$65,'Outages (event ledger)'!$A$2:$A$65,BI$2,'Outages (event ledger)'!$E$2:$E$65,"&lt;="&amp;$B203,'Outages (event ledger)'!$G$2:$G$65,"&gt;="&amp;$B203)</f>
        <v>6.7</v>
      </c>
    </row>
    <row r="204" customFormat="false" ht="15" hidden="false" customHeight="false" outlineLevel="0" collapsed="false">
      <c r="A204" s="23" t="n">
        <v>46296</v>
      </c>
      <c r="B204" s="24" t="n">
        <v>202610</v>
      </c>
      <c r="C204" s="25" t="n">
        <f aca="false">SUM(D204:BI204)</f>
        <v>36.1</v>
      </c>
      <c r="D204" s="26" t="n">
        <f aca="false">SUMIFS('Outages (event ledger)'!$H$2:$H$65,'Outages (event ledger)'!$A$2:$A$65,D$2,'Outages (event ledger)'!$E$2:$E$65,"&lt;="&amp;$B204,'Outages (event ledger)'!$G$2:$G$65,"&gt;="&amp;$B204)</f>
        <v>0</v>
      </c>
      <c r="E204" s="26" t="n">
        <f aca="false">SUMIFS('Outages (event ledger)'!$H$2:$H$65,'Outages (event ledger)'!$A$2:$A$65,E$2,'Outages (event ledger)'!$E$2:$E$65,"&lt;="&amp;$B204,'Outages (event ledger)'!$G$2:$G$65,"&gt;="&amp;$B204)</f>
        <v>0</v>
      </c>
      <c r="F204" s="26" t="n">
        <f aca="false">SUMIFS('Outages (event ledger)'!$H$2:$H$65,'Outages (event ledger)'!$A$2:$A$65,F$2,'Outages (event ledger)'!$E$2:$E$65,"&lt;="&amp;$B204,'Outages (event ledger)'!$G$2:$G$65,"&gt;="&amp;$B204)</f>
        <v>0</v>
      </c>
      <c r="G204" s="26" t="n">
        <f aca="false">SUMIFS('Outages (event ledger)'!$H$2:$H$65,'Outages (event ledger)'!$A$2:$A$65,G$2,'Outages (event ledger)'!$E$2:$E$65,"&lt;="&amp;$B204,'Outages (event ledger)'!$G$2:$G$65,"&gt;="&amp;$B204)</f>
        <v>0</v>
      </c>
      <c r="H204" s="26" t="n">
        <f aca="false">SUMIFS('Outages (event ledger)'!$H$2:$H$65,'Outages (event ledger)'!$A$2:$A$65,H$2,'Outages (event ledger)'!$E$2:$E$65,"&lt;="&amp;$B204,'Outages (event ledger)'!$G$2:$G$65,"&gt;="&amp;$B204)</f>
        <v>0</v>
      </c>
      <c r="I204" s="26" t="n">
        <f aca="false">SUMIFS('Outages (event ledger)'!$H$2:$H$65,'Outages (event ledger)'!$A$2:$A$65,I$2,'Outages (event ledger)'!$E$2:$E$65,"&lt;="&amp;$B204,'Outages (event ledger)'!$G$2:$G$65,"&gt;="&amp;$B204)</f>
        <v>0</v>
      </c>
      <c r="J204" s="26" t="n">
        <f aca="false">SUMIFS('Outages (event ledger)'!$H$2:$H$65,'Outages (event ledger)'!$A$2:$A$65,J$2,'Outages (event ledger)'!$E$2:$E$65,"&lt;="&amp;$B204,'Outages (event ledger)'!$G$2:$G$65,"&gt;="&amp;$B204)</f>
        <v>0</v>
      </c>
      <c r="K204" s="26" t="n">
        <f aca="false">SUMIFS('Outages (event ledger)'!$H$2:$H$65,'Outages (event ledger)'!$A$2:$A$65,K$2,'Outages (event ledger)'!$E$2:$E$65,"&lt;="&amp;$B204,'Outages (event ledger)'!$G$2:$G$65,"&gt;="&amp;$B204)</f>
        <v>0</v>
      </c>
      <c r="L204" s="26" t="n">
        <f aca="false">SUMIFS('Outages (event ledger)'!$H$2:$H$65,'Outages (event ledger)'!$A$2:$A$65,L$2,'Outages (event ledger)'!$E$2:$E$65,"&lt;="&amp;$B204,'Outages (event ledger)'!$G$2:$G$65,"&gt;="&amp;$B204)</f>
        <v>0</v>
      </c>
      <c r="M204" s="26" t="n">
        <f aca="false">SUMIFS('Outages (event ledger)'!$H$2:$H$65,'Outages (event ledger)'!$A$2:$A$65,M$2,'Outages (event ledger)'!$E$2:$E$65,"&lt;="&amp;$B204,'Outages (event ledger)'!$G$2:$G$65,"&gt;="&amp;$B204)</f>
        <v>0</v>
      </c>
      <c r="N204" s="26" t="n">
        <f aca="false">SUMIFS('Outages (event ledger)'!$H$2:$H$65,'Outages (event ledger)'!$A$2:$A$65,N$2,'Outages (event ledger)'!$E$2:$E$65,"&lt;="&amp;$B204,'Outages (event ledger)'!$G$2:$G$65,"&gt;="&amp;$B204)</f>
        <v>0</v>
      </c>
      <c r="O204" s="26" t="n">
        <f aca="false">SUMIFS('Outages (event ledger)'!$H$2:$H$65,'Outages (event ledger)'!$A$2:$A$65,O$2,'Outages (event ledger)'!$E$2:$E$65,"&lt;="&amp;$B204,'Outages (event ledger)'!$G$2:$G$65,"&gt;="&amp;$B204)</f>
        <v>0</v>
      </c>
      <c r="P204" s="26" t="n">
        <f aca="false">SUMIFS('Outages (event ledger)'!$H$2:$H$65,'Outages (event ledger)'!$A$2:$A$65,P$2,'Outages (event ledger)'!$E$2:$E$65,"&lt;="&amp;$B204,'Outages (event ledger)'!$G$2:$G$65,"&gt;="&amp;$B204)</f>
        <v>0</v>
      </c>
      <c r="Q204" s="26" t="n">
        <f aca="false">SUMIFS('Outages (event ledger)'!$H$2:$H$65,'Outages (event ledger)'!$A$2:$A$65,Q$2,'Outages (event ledger)'!$E$2:$E$65,"&lt;="&amp;$B204,'Outages (event ledger)'!$G$2:$G$65,"&gt;="&amp;$B204)</f>
        <v>0</v>
      </c>
      <c r="R204" s="26" t="n">
        <f aca="false">SUMIFS('Outages (event ledger)'!$H$2:$H$65,'Outages (event ledger)'!$A$2:$A$65,R$2,'Outages (event ledger)'!$E$2:$E$65,"&lt;="&amp;$B204,'Outages (event ledger)'!$G$2:$G$65,"&gt;="&amp;$B204)</f>
        <v>0</v>
      </c>
      <c r="S204" s="26" t="n">
        <f aca="false">SUMIFS('Outages (event ledger)'!$H$2:$H$65,'Outages (event ledger)'!$A$2:$A$65,S$2,'Outages (event ledger)'!$E$2:$E$65,"&lt;="&amp;$B204,'Outages (event ledger)'!$G$2:$G$65,"&gt;="&amp;$B204)</f>
        <v>0</v>
      </c>
      <c r="T204" s="26" t="n">
        <f aca="false">SUMIFS('Outages (event ledger)'!$H$2:$H$65,'Outages (event ledger)'!$A$2:$A$65,T$2,'Outages (event ledger)'!$E$2:$E$65,"&lt;="&amp;$B204,'Outages (event ledger)'!$G$2:$G$65,"&gt;="&amp;$B204)</f>
        <v>0</v>
      </c>
      <c r="U204" s="26" t="n">
        <f aca="false">SUMIFS('Outages (event ledger)'!$H$2:$H$65,'Outages (event ledger)'!$A$2:$A$65,U$2,'Outages (event ledger)'!$E$2:$E$65,"&lt;="&amp;$B204,'Outages (event ledger)'!$G$2:$G$65,"&gt;="&amp;$B204)</f>
        <v>0</v>
      </c>
      <c r="V204" s="26" t="n">
        <f aca="false">SUMIFS('Outages (event ledger)'!$H$2:$H$65,'Outages (event ledger)'!$A$2:$A$65,V$2,'Outages (event ledger)'!$E$2:$E$65,"&lt;="&amp;$B204,'Outages (event ledger)'!$G$2:$G$65,"&gt;="&amp;$B204)</f>
        <v>0</v>
      </c>
      <c r="W204" s="26" t="n">
        <f aca="false">SUMIFS('Outages (event ledger)'!$H$2:$H$65,'Outages (event ledger)'!$A$2:$A$65,W$2,'Outages (event ledger)'!$E$2:$E$65,"&lt;="&amp;$B204,'Outages (event ledger)'!$G$2:$G$65,"&gt;="&amp;$B204)</f>
        <v>0</v>
      </c>
      <c r="X204" s="26" t="n">
        <f aca="false">SUMIFS('Outages (event ledger)'!$H$2:$H$65,'Outages (event ledger)'!$A$2:$A$65,X$2,'Outages (event ledger)'!$E$2:$E$65,"&lt;="&amp;$B204,'Outages (event ledger)'!$G$2:$G$65,"&gt;="&amp;$B204)</f>
        <v>0</v>
      </c>
      <c r="Y204" s="26" t="n">
        <f aca="false">SUMIFS('Outages (event ledger)'!$H$2:$H$65,'Outages (event ledger)'!$A$2:$A$65,Y$2,'Outages (event ledger)'!$E$2:$E$65,"&lt;="&amp;$B204,'Outages (event ledger)'!$G$2:$G$65,"&gt;="&amp;$B204)</f>
        <v>0</v>
      </c>
      <c r="Z204" s="26" t="n">
        <f aca="false">SUMIFS('Outages (event ledger)'!$H$2:$H$65,'Outages (event ledger)'!$A$2:$A$65,Z$2,'Outages (event ledger)'!$E$2:$E$65,"&lt;="&amp;$B204,'Outages (event ledger)'!$G$2:$G$65,"&gt;="&amp;$B204)</f>
        <v>0</v>
      </c>
      <c r="AA204" s="26" t="n">
        <f aca="false">SUMIFS('Outages (event ledger)'!$H$2:$H$65,'Outages (event ledger)'!$A$2:$A$65,AA$2,'Outages (event ledger)'!$E$2:$E$65,"&lt;="&amp;$B204,'Outages (event ledger)'!$G$2:$G$65,"&gt;="&amp;$B204)</f>
        <v>2</v>
      </c>
      <c r="AB204" s="26" t="n">
        <f aca="false">SUMIFS('Outages (event ledger)'!$H$2:$H$65,'Outages (event ledger)'!$A$2:$A$65,AB$2,'Outages (event ledger)'!$E$2:$E$65,"&lt;="&amp;$B204,'Outages (event ledger)'!$G$2:$G$65,"&gt;="&amp;$B204)</f>
        <v>8</v>
      </c>
      <c r="AC204" s="26" t="n">
        <f aca="false">SUMIFS('Outages (event ledger)'!$H$2:$H$65,'Outages (event ledger)'!$A$2:$A$65,AC$2,'Outages (event ledger)'!$E$2:$E$65,"&lt;="&amp;$B204,'Outages (event ledger)'!$G$2:$G$65,"&gt;="&amp;$B204)</f>
        <v>0</v>
      </c>
      <c r="AD204" s="26" t="n">
        <f aca="false">SUMIFS('Outages (event ledger)'!$H$2:$H$65,'Outages (event ledger)'!$A$2:$A$65,AD$2,'Outages (event ledger)'!$E$2:$E$65,"&lt;="&amp;$B204,'Outages (event ledger)'!$G$2:$G$65,"&gt;="&amp;$B204)</f>
        <v>0</v>
      </c>
      <c r="AE204" s="26" t="n">
        <f aca="false">SUMIFS('Outages (event ledger)'!$H$2:$H$65,'Outages (event ledger)'!$A$2:$A$65,AE$2,'Outages (event ledger)'!$E$2:$E$65,"&lt;="&amp;$B204,'Outages (event ledger)'!$G$2:$G$65,"&gt;="&amp;$B204)</f>
        <v>0</v>
      </c>
      <c r="AF204" s="26" t="n">
        <f aca="false">SUMIFS('Outages (event ledger)'!$H$2:$H$65,'Outages (event ledger)'!$A$2:$A$65,AF$2,'Outages (event ledger)'!$E$2:$E$65,"&lt;="&amp;$B204,'Outages (event ledger)'!$G$2:$G$65,"&gt;="&amp;$B204)</f>
        <v>0</v>
      </c>
      <c r="AG204" s="26" t="n">
        <f aca="false">SUMIFS('Outages (event ledger)'!$H$2:$H$65,'Outages (event ledger)'!$A$2:$A$65,AG$2,'Outages (event ledger)'!$E$2:$E$65,"&lt;="&amp;$B204,'Outages (event ledger)'!$G$2:$G$65,"&gt;="&amp;$B204)</f>
        <v>0</v>
      </c>
      <c r="AH204" s="26" t="n">
        <f aca="false">SUMIFS('Outages (event ledger)'!$H$2:$H$65,'Outages (event ledger)'!$A$2:$A$65,AH$2,'Outages (event ledger)'!$E$2:$E$65,"&lt;="&amp;$B204,'Outages (event ledger)'!$G$2:$G$65,"&gt;="&amp;$B204)</f>
        <v>0</v>
      </c>
      <c r="AI204" s="26" t="n">
        <f aca="false">SUMIFS('Outages (event ledger)'!$H$2:$H$65,'Outages (event ledger)'!$A$2:$A$65,AI$2,'Outages (event ledger)'!$E$2:$E$65,"&lt;="&amp;$B204,'Outages (event ledger)'!$G$2:$G$65,"&gt;="&amp;$B204)</f>
        <v>0</v>
      </c>
      <c r="AJ204" s="26" t="n">
        <f aca="false">SUMIFS('Outages (event ledger)'!$H$2:$H$65,'Outages (event ledger)'!$A$2:$A$65,AJ$2,'Outages (event ledger)'!$E$2:$E$65,"&lt;="&amp;$B204,'Outages (event ledger)'!$G$2:$G$65,"&gt;="&amp;$B204)</f>
        <v>0</v>
      </c>
      <c r="AK204" s="26" t="n">
        <f aca="false">SUMIFS('Outages (event ledger)'!$H$2:$H$65,'Outages (event ledger)'!$A$2:$A$65,AK$2,'Outages (event ledger)'!$E$2:$E$65,"&lt;="&amp;$B204,'Outages (event ledger)'!$G$2:$G$65,"&gt;="&amp;$B204)</f>
        <v>0</v>
      </c>
      <c r="AL204" s="26" t="n">
        <f aca="false">SUMIFS('Outages (event ledger)'!$H$2:$H$65,'Outages (event ledger)'!$A$2:$A$65,AL$2,'Outages (event ledger)'!$E$2:$E$65,"&lt;="&amp;$B204,'Outages (event ledger)'!$G$2:$G$65,"&gt;="&amp;$B204)</f>
        <v>0</v>
      </c>
      <c r="AM204" s="26" t="n">
        <f aca="false">SUMIFS('Outages (event ledger)'!$H$2:$H$65,'Outages (event ledger)'!$A$2:$A$65,AM$2,'Outages (event ledger)'!$E$2:$E$65,"&lt;="&amp;$B204,'Outages (event ledger)'!$G$2:$G$65,"&gt;="&amp;$B204)</f>
        <v>0</v>
      </c>
      <c r="AN204" s="26" t="n">
        <f aca="false">SUMIFS('Outages (event ledger)'!$H$2:$H$65,'Outages (event ledger)'!$A$2:$A$65,AN$2,'Outages (event ledger)'!$E$2:$E$65,"&lt;="&amp;$B204,'Outages (event ledger)'!$G$2:$G$65,"&gt;="&amp;$B204)</f>
        <v>0</v>
      </c>
      <c r="AO204" s="26" t="n">
        <f aca="false">SUMIFS('Outages (event ledger)'!$H$2:$H$65,'Outages (event ledger)'!$A$2:$A$65,AO$2,'Outages (event ledger)'!$E$2:$E$65,"&lt;="&amp;$B204,'Outages (event ledger)'!$G$2:$G$65,"&gt;="&amp;$B204)</f>
        <v>0</v>
      </c>
      <c r="AP204" s="26" t="n">
        <f aca="false">SUMIFS('Outages (event ledger)'!$H$2:$H$65,'Outages (event ledger)'!$A$2:$A$65,AP$2,'Outages (event ledger)'!$E$2:$E$65,"&lt;="&amp;$B204,'Outages (event ledger)'!$G$2:$G$65,"&gt;="&amp;$B204)</f>
        <v>0</v>
      </c>
      <c r="AQ204" s="26" t="n">
        <f aca="false">SUMIFS('Outages (event ledger)'!$H$2:$H$65,'Outages (event ledger)'!$A$2:$A$65,AQ$2,'Outages (event ledger)'!$E$2:$E$65,"&lt;="&amp;$B204,'Outages (event ledger)'!$G$2:$G$65,"&gt;="&amp;$B204)</f>
        <v>0</v>
      </c>
      <c r="AR204" s="26" t="n">
        <f aca="false">SUMIFS('Outages (event ledger)'!$H$2:$H$65,'Outages (event ledger)'!$A$2:$A$65,AR$2,'Outages (event ledger)'!$E$2:$E$65,"&lt;="&amp;$B204,'Outages (event ledger)'!$G$2:$G$65,"&gt;="&amp;$B204)</f>
        <v>12.8</v>
      </c>
      <c r="AS204" s="26" t="n">
        <f aca="false">SUMIFS('Outages (event ledger)'!$H$2:$H$65,'Outages (event ledger)'!$A$2:$A$65,AS$2,'Outages (event ledger)'!$E$2:$E$65,"&lt;="&amp;$B204,'Outages (event ledger)'!$G$2:$G$65,"&gt;="&amp;$B204)</f>
        <v>0</v>
      </c>
      <c r="AT204" s="26" t="n">
        <f aca="false">SUMIFS('Outages (event ledger)'!$H$2:$H$65,'Outages (event ledger)'!$A$2:$A$65,AT$2,'Outages (event ledger)'!$E$2:$E$65,"&lt;="&amp;$B204,'Outages (event ledger)'!$G$2:$G$65,"&gt;="&amp;$B204)</f>
        <v>0</v>
      </c>
      <c r="AU204" s="26" t="n">
        <f aca="false">SUMIFS('Outages (event ledger)'!$H$2:$H$65,'Outages (event ledger)'!$A$2:$A$65,AU$2,'Outages (event ledger)'!$E$2:$E$65,"&lt;="&amp;$B204,'Outages (event ledger)'!$G$2:$G$65,"&gt;="&amp;$B204)</f>
        <v>0</v>
      </c>
      <c r="AV204" s="26" t="n">
        <f aca="false">SUMIFS('Outages (event ledger)'!$H$2:$H$65,'Outages (event ledger)'!$A$2:$A$65,AV$2,'Outages (event ledger)'!$E$2:$E$65,"&lt;="&amp;$B204,'Outages (event ledger)'!$G$2:$G$65,"&gt;="&amp;$B204)</f>
        <v>0</v>
      </c>
      <c r="AW204" s="26" t="n">
        <f aca="false">SUMIFS('Outages (event ledger)'!$H$2:$H$65,'Outages (event ledger)'!$A$2:$A$65,AW$2,'Outages (event ledger)'!$E$2:$E$65,"&lt;="&amp;$B204,'Outages (event ledger)'!$G$2:$G$65,"&gt;="&amp;$B204)</f>
        <v>0</v>
      </c>
      <c r="AX204" s="26" t="n">
        <f aca="false">SUMIFS('Outages (event ledger)'!$H$2:$H$65,'Outages (event ledger)'!$A$2:$A$65,AX$2,'Outages (event ledger)'!$E$2:$E$65,"&lt;="&amp;$B204,'Outages (event ledger)'!$G$2:$G$65,"&gt;="&amp;$B204)</f>
        <v>6.6</v>
      </c>
      <c r="AY204" s="26" t="n">
        <f aca="false">SUMIFS('Outages (event ledger)'!$H$2:$H$65,'Outages (event ledger)'!$A$2:$A$65,AY$2,'Outages (event ledger)'!$E$2:$E$65,"&lt;="&amp;$B204,'Outages (event ledger)'!$G$2:$G$65,"&gt;="&amp;$B204)</f>
        <v>0</v>
      </c>
      <c r="AZ204" s="26" t="n">
        <f aca="false">SUMIFS('Outages (event ledger)'!$H$2:$H$65,'Outages (event ledger)'!$A$2:$A$65,AZ$2,'Outages (event ledger)'!$E$2:$E$65,"&lt;="&amp;$B204,'Outages (event ledger)'!$G$2:$G$65,"&gt;="&amp;$B204)</f>
        <v>0</v>
      </c>
      <c r="BA204" s="26" t="n">
        <f aca="false">SUMIFS('Outages (event ledger)'!$H$2:$H$65,'Outages (event ledger)'!$A$2:$A$65,BA$2,'Outages (event ledger)'!$E$2:$E$65,"&lt;="&amp;$B204,'Outages (event ledger)'!$G$2:$G$65,"&gt;="&amp;$B204)</f>
        <v>0</v>
      </c>
      <c r="BB204" s="26" t="n">
        <f aca="false">SUMIFS('Outages (event ledger)'!$H$2:$H$65,'Outages (event ledger)'!$A$2:$A$65,BB$2,'Outages (event ledger)'!$E$2:$E$65,"&lt;="&amp;$B204,'Outages (event ledger)'!$G$2:$G$65,"&gt;="&amp;$B204)</f>
        <v>0</v>
      </c>
      <c r="BC204" s="26" t="n">
        <f aca="false">SUMIFS('Outages (event ledger)'!$H$2:$H$65,'Outages (event ledger)'!$A$2:$A$65,BC$2,'Outages (event ledger)'!$E$2:$E$65,"&lt;="&amp;$B204,'Outages (event ledger)'!$G$2:$G$65,"&gt;="&amp;$B204)</f>
        <v>0</v>
      </c>
      <c r="BD204" s="26" t="n">
        <f aca="false">SUMIFS('Outages (event ledger)'!$H$2:$H$65,'Outages (event ledger)'!$A$2:$A$65,BD$2,'Outages (event ledger)'!$E$2:$E$65,"&lt;="&amp;$B204,'Outages (event ledger)'!$G$2:$G$65,"&gt;="&amp;$B204)</f>
        <v>0</v>
      </c>
      <c r="BE204" s="26" t="n">
        <f aca="false">SUMIFS('Outages (event ledger)'!$H$2:$H$65,'Outages (event ledger)'!$A$2:$A$65,BE$2,'Outages (event ledger)'!$E$2:$E$65,"&lt;="&amp;$B204,'Outages (event ledger)'!$G$2:$G$65,"&gt;="&amp;$B204)</f>
        <v>0</v>
      </c>
      <c r="BF204" s="26" t="n">
        <f aca="false">SUMIFS('Outages (event ledger)'!$H$2:$H$65,'Outages (event ledger)'!$A$2:$A$65,BF$2,'Outages (event ledger)'!$E$2:$E$65,"&lt;="&amp;$B204,'Outages (event ledger)'!$G$2:$G$65,"&gt;="&amp;$B204)</f>
        <v>0</v>
      </c>
      <c r="BG204" s="26" t="n">
        <f aca="false">SUMIFS('Outages (event ledger)'!$H$2:$H$65,'Outages (event ledger)'!$A$2:$A$65,BG$2,'Outages (event ledger)'!$E$2:$E$65,"&lt;="&amp;$B204,'Outages (event ledger)'!$G$2:$G$65,"&gt;="&amp;$B204)</f>
        <v>0</v>
      </c>
      <c r="BH204" s="26" t="n">
        <f aca="false">SUMIFS('Outages (event ledger)'!$H$2:$H$65,'Outages (event ledger)'!$A$2:$A$65,BH$2,'Outages (event ledger)'!$E$2:$E$65,"&lt;="&amp;$B204,'Outages (event ledger)'!$G$2:$G$65,"&gt;="&amp;$B204)</f>
        <v>0</v>
      </c>
      <c r="BI204" s="26" t="n">
        <f aca="false">SUMIFS('Outages (event ledger)'!$H$2:$H$65,'Outages (event ledger)'!$A$2:$A$65,BI$2,'Outages (event ledger)'!$E$2:$E$65,"&lt;="&amp;$B204,'Outages (event ledger)'!$G$2:$G$65,"&gt;="&amp;$B204)</f>
        <v>6.7</v>
      </c>
    </row>
    <row r="205" customFormat="false" ht="15" hidden="false" customHeight="false" outlineLevel="0" collapsed="false">
      <c r="A205" s="23" t="n">
        <v>46327</v>
      </c>
      <c r="B205" s="24" t="n">
        <v>202611</v>
      </c>
      <c r="C205" s="25" t="n">
        <f aca="false">SUM(D205:BI205)</f>
        <v>36.1</v>
      </c>
      <c r="D205" s="26" t="n">
        <f aca="false">SUMIFS('Outages (event ledger)'!$H$2:$H$65,'Outages (event ledger)'!$A$2:$A$65,D$2,'Outages (event ledger)'!$E$2:$E$65,"&lt;="&amp;$B205,'Outages (event ledger)'!$G$2:$G$65,"&gt;="&amp;$B205)</f>
        <v>0</v>
      </c>
      <c r="E205" s="26" t="n">
        <f aca="false">SUMIFS('Outages (event ledger)'!$H$2:$H$65,'Outages (event ledger)'!$A$2:$A$65,E$2,'Outages (event ledger)'!$E$2:$E$65,"&lt;="&amp;$B205,'Outages (event ledger)'!$G$2:$G$65,"&gt;="&amp;$B205)</f>
        <v>0</v>
      </c>
      <c r="F205" s="26" t="n">
        <f aca="false">SUMIFS('Outages (event ledger)'!$H$2:$H$65,'Outages (event ledger)'!$A$2:$A$65,F$2,'Outages (event ledger)'!$E$2:$E$65,"&lt;="&amp;$B205,'Outages (event ledger)'!$G$2:$G$65,"&gt;="&amp;$B205)</f>
        <v>0</v>
      </c>
      <c r="G205" s="26" t="n">
        <f aca="false">SUMIFS('Outages (event ledger)'!$H$2:$H$65,'Outages (event ledger)'!$A$2:$A$65,G$2,'Outages (event ledger)'!$E$2:$E$65,"&lt;="&amp;$B205,'Outages (event ledger)'!$G$2:$G$65,"&gt;="&amp;$B205)</f>
        <v>0</v>
      </c>
      <c r="H205" s="26" t="n">
        <f aca="false">SUMIFS('Outages (event ledger)'!$H$2:$H$65,'Outages (event ledger)'!$A$2:$A$65,H$2,'Outages (event ledger)'!$E$2:$E$65,"&lt;="&amp;$B205,'Outages (event ledger)'!$G$2:$G$65,"&gt;="&amp;$B205)</f>
        <v>0</v>
      </c>
      <c r="I205" s="26" t="n">
        <f aca="false">SUMIFS('Outages (event ledger)'!$H$2:$H$65,'Outages (event ledger)'!$A$2:$A$65,I$2,'Outages (event ledger)'!$E$2:$E$65,"&lt;="&amp;$B205,'Outages (event ledger)'!$G$2:$G$65,"&gt;="&amp;$B205)</f>
        <v>0</v>
      </c>
      <c r="J205" s="26" t="n">
        <f aca="false">SUMIFS('Outages (event ledger)'!$H$2:$H$65,'Outages (event ledger)'!$A$2:$A$65,J$2,'Outages (event ledger)'!$E$2:$E$65,"&lt;="&amp;$B205,'Outages (event ledger)'!$G$2:$G$65,"&gt;="&amp;$B205)</f>
        <v>0</v>
      </c>
      <c r="K205" s="26" t="n">
        <f aca="false">SUMIFS('Outages (event ledger)'!$H$2:$H$65,'Outages (event ledger)'!$A$2:$A$65,K$2,'Outages (event ledger)'!$E$2:$E$65,"&lt;="&amp;$B205,'Outages (event ledger)'!$G$2:$G$65,"&gt;="&amp;$B205)</f>
        <v>0</v>
      </c>
      <c r="L205" s="26" t="n">
        <f aca="false">SUMIFS('Outages (event ledger)'!$H$2:$H$65,'Outages (event ledger)'!$A$2:$A$65,L$2,'Outages (event ledger)'!$E$2:$E$65,"&lt;="&amp;$B205,'Outages (event ledger)'!$G$2:$G$65,"&gt;="&amp;$B205)</f>
        <v>0</v>
      </c>
      <c r="M205" s="26" t="n">
        <f aca="false">SUMIFS('Outages (event ledger)'!$H$2:$H$65,'Outages (event ledger)'!$A$2:$A$65,M$2,'Outages (event ledger)'!$E$2:$E$65,"&lt;="&amp;$B205,'Outages (event ledger)'!$G$2:$G$65,"&gt;="&amp;$B205)</f>
        <v>0</v>
      </c>
      <c r="N205" s="26" t="n">
        <f aca="false">SUMIFS('Outages (event ledger)'!$H$2:$H$65,'Outages (event ledger)'!$A$2:$A$65,N$2,'Outages (event ledger)'!$E$2:$E$65,"&lt;="&amp;$B205,'Outages (event ledger)'!$G$2:$G$65,"&gt;="&amp;$B205)</f>
        <v>0</v>
      </c>
      <c r="O205" s="26" t="n">
        <f aca="false">SUMIFS('Outages (event ledger)'!$H$2:$H$65,'Outages (event ledger)'!$A$2:$A$65,O$2,'Outages (event ledger)'!$E$2:$E$65,"&lt;="&amp;$B205,'Outages (event ledger)'!$G$2:$G$65,"&gt;="&amp;$B205)</f>
        <v>0</v>
      </c>
      <c r="P205" s="26" t="n">
        <f aca="false">SUMIFS('Outages (event ledger)'!$H$2:$H$65,'Outages (event ledger)'!$A$2:$A$65,P$2,'Outages (event ledger)'!$E$2:$E$65,"&lt;="&amp;$B205,'Outages (event ledger)'!$G$2:$G$65,"&gt;="&amp;$B205)</f>
        <v>0</v>
      </c>
      <c r="Q205" s="26" t="n">
        <f aca="false">SUMIFS('Outages (event ledger)'!$H$2:$H$65,'Outages (event ledger)'!$A$2:$A$65,Q$2,'Outages (event ledger)'!$E$2:$E$65,"&lt;="&amp;$B205,'Outages (event ledger)'!$G$2:$G$65,"&gt;="&amp;$B205)</f>
        <v>0</v>
      </c>
      <c r="R205" s="26" t="n">
        <f aca="false">SUMIFS('Outages (event ledger)'!$H$2:$H$65,'Outages (event ledger)'!$A$2:$A$65,R$2,'Outages (event ledger)'!$E$2:$E$65,"&lt;="&amp;$B205,'Outages (event ledger)'!$G$2:$G$65,"&gt;="&amp;$B205)</f>
        <v>0</v>
      </c>
      <c r="S205" s="26" t="n">
        <f aca="false">SUMIFS('Outages (event ledger)'!$H$2:$H$65,'Outages (event ledger)'!$A$2:$A$65,S$2,'Outages (event ledger)'!$E$2:$E$65,"&lt;="&amp;$B205,'Outages (event ledger)'!$G$2:$G$65,"&gt;="&amp;$B205)</f>
        <v>0</v>
      </c>
      <c r="T205" s="26" t="n">
        <f aca="false">SUMIFS('Outages (event ledger)'!$H$2:$H$65,'Outages (event ledger)'!$A$2:$A$65,T$2,'Outages (event ledger)'!$E$2:$E$65,"&lt;="&amp;$B205,'Outages (event ledger)'!$G$2:$G$65,"&gt;="&amp;$B205)</f>
        <v>0</v>
      </c>
      <c r="U205" s="26" t="n">
        <f aca="false">SUMIFS('Outages (event ledger)'!$H$2:$H$65,'Outages (event ledger)'!$A$2:$A$65,U$2,'Outages (event ledger)'!$E$2:$E$65,"&lt;="&amp;$B205,'Outages (event ledger)'!$G$2:$G$65,"&gt;="&amp;$B205)</f>
        <v>0</v>
      </c>
      <c r="V205" s="26" t="n">
        <f aca="false">SUMIFS('Outages (event ledger)'!$H$2:$H$65,'Outages (event ledger)'!$A$2:$A$65,V$2,'Outages (event ledger)'!$E$2:$E$65,"&lt;="&amp;$B205,'Outages (event ledger)'!$G$2:$G$65,"&gt;="&amp;$B205)</f>
        <v>0</v>
      </c>
      <c r="W205" s="26" t="n">
        <f aca="false">SUMIFS('Outages (event ledger)'!$H$2:$H$65,'Outages (event ledger)'!$A$2:$A$65,W$2,'Outages (event ledger)'!$E$2:$E$65,"&lt;="&amp;$B205,'Outages (event ledger)'!$G$2:$G$65,"&gt;="&amp;$B205)</f>
        <v>0</v>
      </c>
      <c r="X205" s="26" t="n">
        <f aca="false">SUMIFS('Outages (event ledger)'!$H$2:$H$65,'Outages (event ledger)'!$A$2:$A$65,X$2,'Outages (event ledger)'!$E$2:$E$65,"&lt;="&amp;$B205,'Outages (event ledger)'!$G$2:$G$65,"&gt;="&amp;$B205)</f>
        <v>0</v>
      </c>
      <c r="Y205" s="26" t="n">
        <f aca="false">SUMIFS('Outages (event ledger)'!$H$2:$H$65,'Outages (event ledger)'!$A$2:$A$65,Y$2,'Outages (event ledger)'!$E$2:$E$65,"&lt;="&amp;$B205,'Outages (event ledger)'!$G$2:$G$65,"&gt;="&amp;$B205)</f>
        <v>0</v>
      </c>
      <c r="Z205" s="26" t="n">
        <f aca="false">SUMIFS('Outages (event ledger)'!$H$2:$H$65,'Outages (event ledger)'!$A$2:$A$65,Z$2,'Outages (event ledger)'!$E$2:$E$65,"&lt;="&amp;$B205,'Outages (event ledger)'!$G$2:$G$65,"&gt;="&amp;$B205)</f>
        <v>0</v>
      </c>
      <c r="AA205" s="26" t="n">
        <f aca="false">SUMIFS('Outages (event ledger)'!$H$2:$H$65,'Outages (event ledger)'!$A$2:$A$65,AA$2,'Outages (event ledger)'!$E$2:$E$65,"&lt;="&amp;$B205,'Outages (event ledger)'!$G$2:$G$65,"&gt;="&amp;$B205)</f>
        <v>2</v>
      </c>
      <c r="AB205" s="26" t="n">
        <f aca="false">SUMIFS('Outages (event ledger)'!$H$2:$H$65,'Outages (event ledger)'!$A$2:$A$65,AB$2,'Outages (event ledger)'!$E$2:$E$65,"&lt;="&amp;$B205,'Outages (event ledger)'!$G$2:$G$65,"&gt;="&amp;$B205)</f>
        <v>8</v>
      </c>
      <c r="AC205" s="26" t="n">
        <f aca="false">SUMIFS('Outages (event ledger)'!$H$2:$H$65,'Outages (event ledger)'!$A$2:$A$65,AC$2,'Outages (event ledger)'!$E$2:$E$65,"&lt;="&amp;$B205,'Outages (event ledger)'!$G$2:$G$65,"&gt;="&amp;$B205)</f>
        <v>0</v>
      </c>
      <c r="AD205" s="26" t="n">
        <f aca="false">SUMIFS('Outages (event ledger)'!$H$2:$H$65,'Outages (event ledger)'!$A$2:$A$65,AD$2,'Outages (event ledger)'!$E$2:$E$65,"&lt;="&amp;$B205,'Outages (event ledger)'!$G$2:$G$65,"&gt;="&amp;$B205)</f>
        <v>0</v>
      </c>
      <c r="AE205" s="26" t="n">
        <f aca="false">SUMIFS('Outages (event ledger)'!$H$2:$H$65,'Outages (event ledger)'!$A$2:$A$65,AE$2,'Outages (event ledger)'!$E$2:$E$65,"&lt;="&amp;$B205,'Outages (event ledger)'!$G$2:$G$65,"&gt;="&amp;$B205)</f>
        <v>0</v>
      </c>
      <c r="AF205" s="26" t="n">
        <f aca="false">SUMIFS('Outages (event ledger)'!$H$2:$H$65,'Outages (event ledger)'!$A$2:$A$65,AF$2,'Outages (event ledger)'!$E$2:$E$65,"&lt;="&amp;$B205,'Outages (event ledger)'!$G$2:$G$65,"&gt;="&amp;$B205)</f>
        <v>0</v>
      </c>
      <c r="AG205" s="26" t="n">
        <f aca="false">SUMIFS('Outages (event ledger)'!$H$2:$H$65,'Outages (event ledger)'!$A$2:$A$65,AG$2,'Outages (event ledger)'!$E$2:$E$65,"&lt;="&amp;$B205,'Outages (event ledger)'!$G$2:$G$65,"&gt;="&amp;$B205)</f>
        <v>0</v>
      </c>
      <c r="AH205" s="26" t="n">
        <f aca="false">SUMIFS('Outages (event ledger)'!$H$2:$H$65,'Outages (event ledger)'!$A$2:$A$65,AH$2,'Outages (event ledger)'!$E$2:$E$65,"&lt;="&amp;$B205,'Outages (event ledger)'!$G$2:$G$65,"&gt;="&amp;$B205)</f>
        <v>0</v>
      </c>
      <c r="AI205" s="26" t="n">
        <f aca="false">SUMIFS('Outages (event ledger)'!$H$2:$H$65,'Outages (event ledger)'!$A$2:$A$65,AI$2,'Outages (event ledger)'!$E$2:$E$65,"&lt;="&amp;$B205,'Outages (event ledger)'!$G$2:$G$65,"&gt;="&amp;$B205)</f>
        <v>0</v>
      </c>
      <c r="AJ205" s="26" t="n">
        <f aca="false">SUMIFS('Outages (event ledger)'!$H$2:$H$65,'Outages (event ledger)'!$A$2:$A$65,AJ$2,'Outages (event ledger)'!$E$2:$E$65,"&lt;="&amp;$B205,'Outages (event ledger)'!$G$2:$G$65,"&gt;="&amp;$B205)</f>
        <v>0</v>
      </c>
      <c r="AK205" s="26" t="n">
        <f aca="false">SUMIFS('Outages (event ledger)'!$H$2:$H$65,'Outages (event ledger)'!$A$2:$A$65,AK$2,'Outages (event ledger)'!$E$2:$E$65,"&lt;="&amp;$B205,'Outages (event ledger)'!$G$2:$G$65,"&gt;="&amp;$B205)</f>
        <v>0</v>
      </c>
      <c r="AL205" s="26" t="n">
        <f aca="false">SUMIFS('Outages (event ledger)'!$H$2:$H$65,'Outages (event ledger)'!$A$2:$A$65,AL$2,'Outages (event ledger)'!$E$2:$E$65,"&lt;="&amp;$B205,'Outages (event ledger)'!$G$2:$G$65,"&gt;="&amp;$B205)</f>
        <v>0</v>
      </c>
      <c r="AM205" s="26" t="n">
        <f aca="false">SUMIFS('Outages (event ledger)'!$H$2:$H$65,'Outages (event ledger)'!$A$2:$A$65,AM$2,'Outages (event ledger)'!$E$2:$E$65,"&lt;="&amp;$B205,'Outages (event ledger)'!$G$2:$G$65,"&gt;="&amp;$B205)</f>
        <v>0</v>
      </c>
      <c r="AN205" s="26" t="n">
        <f aca="false">SUMIFS('Outages (event ledger)'!$H$2:$H$65,'Outages (event ledger)'!$A$2:$A$65,AN$2,'Outages (event ledger)'!$E$2:$E$65,"&lt;="&amp;$B205,'Outages (event ledger)'!$G$2:$G$65,"&gt;="&amp;$B205)</f>
        <v>0</v>
      </c>
      <c r="AO205" s="26" t="n">
        <f aca="false">SUMIFS('Outages (event ledger)'!$H$2:$H$65,'Outages (event ledger)'!$A$2:$A$65,AO$2,'Outages (event ledger)'!$E$2:$E$65,"&lt;="&amp;$B205,'Outages (event ledger)'!$G$2:$G$65,"&gt;="&amp;$B205)</f>
        <v>0</v>
      </c>
      <c r="AP205" s="26" t="n">
        <f aca="false">SUMIFS('Outages (event ledger)'!$H$2:$H$65,'Outages (event ledger)'!$A$2:$A$65,AP$2,'Outages (event ledger)'!$E$2:$E$65,"&lt;="&amp;$B205,'Outages (event ledger)'!$G$2:$G$65,"&gt;="&amp;$B205)</f>
        <v>0</v>
      </c>
      <c r="AQ205" s="26" t="n">
        <f aca="false">SUMIFS('Outages (event ledger)'!$H$2:$H$65,'Outages (event ledger)'!$A$2:$A$65,AQ$2,'Outages (event ledger)'!$E$2:$E$65,"&lt;="&amp;$B205,'Outages (event ledger)'!$G$2:$G$65,"&gt;="&amp;$B205)</f>
        <v>0</v>
      </c>
      <c r="AR205" s="26" t="n">
        <f aca="false">SUMIFS('Outages (event ledger)'!$H$2:$H$65,'Outages (event ledger)'!$A$2:$A$65,AR$2,'Outages (event ledger)'!$E$2:$E$65,"&lt;="&amp;$B205,'Outages (event ledger)'!$G$2:$G$65,"&gt;="&amp;$B205)</f>
        <v>12.8</v>
      </c>
      <c r="AS205" s="26" t="n">
        <f aca="false">SUMIFS('Outages (event ledger)'!$H$2:$H$65,'Outages (event ledger)'!$A$2:$A$65,AS$2,'Outages (event ledger)'!$E$2:$E$65,"&lt;="&amp;$B205,'Outages (event ledger)'!$G$2:$G$65,"&gt;="&amp;$B205)</f>
        <v>0</v>
      </c>
      <c r="AT205" s="26" t="n">
        <f aca="false">SUMIFS('Outages (event ledger)'!$H$2:$H$65,'Outages (event ledger)'!$A$2:$A$65,AT$2,'Outages (event ledger)'!$E$2:$E$65,"&lt;="&amp;$B205,'Outages (event ledger)'!$G$2:$G$65,"&gt;="&amp;$B205)</f>
        <v>0</v>
      </c>
      <c r="AU205" s="26" t="n">
        <f aca="false">SUMIFS('Outages (event ledger)'!$H$2:$H$65,'Outages (event ledger)'!$A$2:$A$65,AU$2,'Outages (event ledger)'!$E$2:$E$65,"&lt;="&amp;$B205,'Outages (event ledger)'!$G$2:$G$65,"&gt;="&amp;$B205)</f>
        <v>0</v>
      </c>
      <c r="AV205" s="26" t="n">
        <f aca="false">SUMIFS('Outages (event ledger)'!$H$2:$H$65,'Outages (event ledger)'!$A$2:$A$65,AV$2,'Outages (event ledger)'!$E$2:$E$65,"&lt;="&amp;$B205,'Outages (event ledger)'!$G$2:$G$65,"&gt;="&amp;$B205)</f>
        <v>0</v>
      </c>
      <c r="AW205" s="26" t="n">
        <f aca="false">SUMIFS('Outages (event ledger)'!$H$2:$H$65,'Outages (event ledger)'!$A$2:$A$65,AW$2,'Outages (event ledger)'!$E$2:$E$65,"&lt;="&amp;$B205,'Outages (event ledger)'!$G$2:$G$65,"&gt;="&amp;$B205)</f>
        <v>0</v>
      </c>
      <c r="AX205" s="26" t="n">
        <f aca="false">SUMIFS('Outages (event ledger)'!$H$2:$H$65,'Outages (event ledger)'!$A$2:$A$65,AX$2,'Outages (event ledger)'!$E$2:$E$65,"&lt;="&amp;$B205,'Outages (event ledger)'!$G$2:$G$65,"&gt;="&amp;$B205)</f>
        <v>6.6</v>
      </c>
      <c r="AY205" s="26" t="n">
        <f aca="false">SUMIFS('Outages (event ledger)'!$H$2:$H$65,'Outages (event ledger)'!$A$2:$A$65,AY$2,'Outages (event ledger)'!$E$2:$E$65,"&lt;="&amp;$B205,'Outages (event ledger)'!$G$2:$G$65,"&gt;="&amp;$B205)</f>
        <v>0</v>
      </c>
      <c r="AZ205" s="26" t="n">
        <f aca="false">SUMIFS('Outages (event ledger)'!$H$2:$H$65,'Outages (event ledger)'!$A$2:$A$65,AZ$2,'Outages (event ledger)'!$E$2:$E$65,"&lt;="&amp;$B205,'Outages (event ledger)'!$G$2:$G$65,"&gt;="&amp;$B205)</f>
        <v>0</v>
      </c>
      <c r="BA205" s="26" t="n">
        <f aca="false">SUMIFS('Outages (event ledger)'!$H$2:$H$65,'Outages (event ledger)'!$A$2:$A$65,BA$2,'Outages (event ledger)'!$E$2:$E$65,"&lt;="&amp;$B205,'Outages (event ledger)'!$G$2:$G$65,"&gt;="&amp;$B205)</f>
        <v>0</v>
      </c>
      <c r="BB205" s="26" t="n">
        <f aca="false">SUMIFS('Outages (event ledger)'!$H$2:$H$65,'Outages (event ledger)'!$A$2:$A$65,BB$2,'Outages (event ledger)'!$E$2:$E$65,"&lt;="&amp;$B205,'Outages (event ledger)'!$G$2:$G$65,"&gt;="&amp;$B205)</f>
        <v>0</v>
      </c>
      <c r="BC205" s="26" t="n">
        <f aca="false">SUMIFS('Outages (event ledger)'!$H$2:$H$65,'Outages (event ledger)'!$A$2:$A$65,BC$2,'Outages (event ledger)'!$E$2:$E$65,"&lt;="&amp;$B205,'Outages (event ledger)'!$G$2:$G$65,"&gt;="&amp;$B205)</f>
        <v>0</v>
      </c>
      <c r="BD205" s="26" t="n">
        <f aca="false">SUMIFS('Outages (event ledger)'!$H$2:$H$65,'Outages (event ledger)'!$A$2:$A$65,BD$2,'Outages (event ledger)'!$E$2:$E$65,"&lt;="&amp;$B205,'Outages (event ledger)'!$G$2:$G$65,"&gt;="&amp;$B205)</f>
        <v>0</v>
      </c>
      <c r="BE205" s="26" t="n">
        <f aca="false">SUMIFS('Outages (event ledger)'!$H$2:$H$65,'Outages (event ledger)'!$A$2:$A$65,BE$2,'Outages (event ledger)'!$E$2:$E$65,"&lt;="&amp;$B205,'Outages (event ledger)'!$G$2:$G$65,"&gt;="&amp;$B205)</f>
        <v>0</v>
      </c>
      <c r="BF205" s="26" t="n">
        <f aca="false">SUMIFS('Outages (event ledger)'!$H$2:$H$65,'Outages (event ledger)'!$A$2:$A$65,BF$2,'Outages (event ledger)'!$E$2:$E$65,"&lt;="&amp;$B205,'Outages (event ledger)'!$G$2:$G$65,"&gt;="&amp;$B205)</f>
        <v>0</v>
      </c>
      <c r="BG205" s="26" t="n">
        <f aca="false">SUMIFS('Outages (event ledger)'!$H$2:$H$65,'Outages (event ledger)'!$A$2:$A$65,BG$2,'Outages (event ledger)'!$E$2:$E$65,"&lt;="&amp;$B205,'Outages (event ledger)'!$G$2:$G$65,"&gt;="&amp;$B205)</f>
        <v>0</v>
      </c>
      <c r="BH205" s="26" t="n">
        <f aca="false">SUMIFS('Outages (event ledger)'!$H$2:$H$65,'Outages (event ledger)'!$A$2:$A$65,BH$2,'Outages (event ledger)'!$E$2:$E$65,"&lt;="&amp;$B205,'Outages (event ledger)'!$G$2:$G$65,"&gt;="&amp;$B205)</f>
        <v>0</v>
      </c>
      <c r="BI205" s="26" t="n">
        <f aca="false">SUMIFS('Outages (event ledger)'!$H$2:$H$65,'Outages (event ledger)'!$A$2:$A$65,BI$2,'Outages (event ledger)'!$E$2:$E$65,"&lt;="&amp;$B205,'Outages (event ledger)'!$G$2:$G$65,"&gt;="&amp;$B205)</f>
        <v>6.7</v>
      </c>
    </row>
    <row r="206" customFormat="false" ht="15" hidden="false" customHeight="false" outlineLevel="0" collapsed="false">
      <c r="A206" s="23" t="n">
        <v>46357</v>
      </c>
      <c r="B206" s="24" t="n">
        <v>202612</v>
      </c>
      <c r="C206" s="25" t="n">
        <f aca="false">SUM(D206:BI206)</f>
        <v>36.1</v>
      </c>
      <c r="D206" s="26" t="n">
        <f aca="false">SUMIFS('Outages (event ledger)'!$H$2:$H$65,'Outages (event ledger)'!$A$2:$A$65,D$2,'Outages (event ledger)'!$E$2:$E$65,"&lt;="&amp;$B206,'Outages (event ledger)'!$G$2:$G$65,"&gt;="&amp;$B206)</f>
        <v>0</v>
      </c>
      <c r="E206" s="26" t="n">
        <f aca="false">SUMIFS('Outages (event ledger)'!$H$2:$H$65,'Outages (event ledger)'!$A$2:$A$65,E$2,'Outages (event ledger)'!$E$2:$E$65,"&lt;="&amp;$B206,'Outages (event ledger)'!$G$2:$G$65,"&gt;="&amp;$B206)</f>
        <v>0</v>
      </c>
      <c r="F206" s="26" t="n">
        <f aca="false">SUMIFS('Outages (event ledger)'!$H$2:$H$65,'Outages (event ledger)'!$A$2:$A$65,F$2,'Outages (event ledger)'!$E$2:$E$65,"&lt;="&amp;$B206,'Outages (event ledger)'!$G$2:$G$65,"&gt;="&amp;$B206)</f>
        <v>0</v>
      </c>
      <c r="G206" s="26" t="n">
        <f aca="false">SUMIFS('Outages (event ledger)'!$H$2:$H$65,'Outages (event ledger)'!$A$2:$A$65,G$2,'Outages (event ledger)'!$E$2:$E$65,"&lt;="&amp;$B206,'Outages (event ledger)'!$G$2:$G$65,"&gt;="&amp;$B206)</f>
        <v>0</v>
      </c>
      <c r="H206" s="26" t="n">
        <f aca="false">SUMIFS('Outages (event ledger)'!$H$2:$H$65,'Outages (event ledger)'!$A$2:$A$65,H$2,'Outages (event ledger)'!$E$2:$E$65,"&lt;="&amp;$B206,'Outages (event ledger)'!$G$2:$G$65,"&gt;="&amp;$B206)</f>
        <v>0</v>
      </c>
      <c r="I206" s="26" t="n">
        <f aca="false">SUMIFS('Outages (event ledger)'!$H$2:$H$65,'Outages (event ledger)'!$A$2:$A$65,I$2,'Outages (event ledger)'!$E$2:$E$65,"&lt;="&amp;$B206,'Outages (event ledger)'!$G$2:$G$65,"&gt;="&amp;$B206)</f>
        <v>0</v>
      </c>
      <c r="J206" s="26" t="n">
        <f aca="false">SUMIFS('Outages (event ledger)'!$H$2:$H$65,'Outages (event ledger)'!$A$2:$A$65,J$2,'Outages (event ledger)'!$E$2:$E$65,"&lt;="&amp;$B206,'Outages (event ledger)'!$G$2:$G$65,"&gt;="&amp;$B206)</f>
        <v>0</v>
      </c>
      <c r="K206" s="26" t="n">
        <f aca="false">SUMIFS('Outages (event ledger)'!$H$2:$H$65,'Outages (event ledger)'!$A$2:$A$65,K$2,'Outages (event ledger)'!$E$2:$E$65,"&lt;="&amp;$B206,'Outages (event ledger)'!$G$2:$G$65,"&gt;="&amp;$B206)</f>
        <v>0</v>
      </c>
      <c r="L206" s="26" t="n">
        <f aca="false">SUMIFS('Outages (event ledger)'!$H$2:$H$65,'Outages (event ledger)'!$A$2:$A$65,L$2,'Outages (event ledger)'!$E$2:$E$65,"&lt;="&amp;$B206,'Outages (event ledger)'!$G$2:$G$65,"&gt;="&amp;$B206)</f>
        <v>0</v>
      </c>
      <c r="M206" s="26" t="n">
        <f aca="false">SUMIFS('Outages (event ledger)'!$H$2:$H$65,'Outages (event ledger)'!$A$2:$A$65,M$2,'Outages (event ledger)'!$E$2:$E$65,"&lt;="&amp;$B206,'Outages (event ledger)'!$G$2:$G$65,"&gt;="&amp;$B206)</f>
        <v>0</v>
      </c>
      <c r="N206" s="26" t="n">
        <f aca="false">SUMIFS('Outages (event ledger)'!$H$2:$H$65,'Outages (event ledger)'!$A$2:$A$65,N$2,'Outages (event ledger)'!$E$2:$E$65,"&lt;="&amp;$B206,'Outages (event ledger)'!$G$2:$G$65,"&gt;="&amp;$B206)</f>
        <v>0</v>
      </c>
      <c r="O206" s="26" t="n">
        <f aca="false">SUMIFS('Outages (event ledger)'!$H$2:$H$65,'Outages (event ledger)'!$A$2:$A$65,O$2,'Outages (event ledger)'!$E$2:$E$65,"&lt;="&amp;$B206,'Outages (event ledger)'!$G$2:$G$65,"&gt;="&amp;$B206)</f>
        <v>0</v>
      </c>
      <c r="P206" s="26" t="n">
        <f aca="false">SUMIFS('Outages (event ledger)'!$H$2:$H$65,'Outages (event ledger)'!$A$2:$A$65,P$2,'Outages (event ledger)'!$E$2:$E$65,"&lt;="&amp;$B206,'Outages (event ledger)'!$G$2:$G$65,"&gt;="&amp;$B206)</f>
        <v>0</v>
      </c>
      <c r="Q206" s="26" t="n">
        <f aca="false">SUMIFS('Outages (event ledger)'!$H$2:$H$65,'Outages (event ledger)'!$A$2:$A$65,Q$2,'Outages (event ledger)'!$E$2:$E$65,"&lt;="&amp;$B206,'Outages (event ledger)'!$G$2:$G$65,"&gt;="&amp;$B206)</f>
        <v>0</v>
      </c>
      <c r="R206" s="26" t="n">
        <f aca="false">SUMIFS('Outages (event ledger)'!$H$2:$H$65,'Outages (event ledger)'!$A$2:$A$65,R$2,'Outages (event ledger)'!$E$2:$E$65,"&lt;="&amp;$B206,'Outages (event ledger)'!$G$2:$G$65,"&gt;="&amp;$B206)</f>
        <v>0</v>
      </c>
      <c r="S206" s="26" t="n">
        <f aca="false">SUMIFS('Outages (event ledger)'!$H$2:$H$65,'Outages (event ledger)'!$A$2:$A$65,S$2,'Outages (event ledger)'!$E$2:$E$65,"&lt;="&amp;$B206,'Outages (event ledger)'!$G$2:$G$65,"&gt;="&amp;$B206)</f>
        <v>0</v>
      </c>
      <c r="T206" s="26" t="n">
        <f aca="false">SUMIFS('Outages (event ledger)'!$H$2:$H$65,'Outages (event ledger)'!$A$2:$A$65,T$2,'Outages (event ledger)'!$E$2:$E$65,"&lt;="&amp;$B206,'Outages (event ledger)'!$G$2:$G$65,"&gt;="&amp;$B206)</f>
        <v>0</v>
      </c>
      <c r="U206" s="26" t="n">
        <f aca="false">SUMIFS('Outages (event ledger)'!$H$2:$H$65,'Outages (event ledger)'!$A$2:$A$65,U$2,'Outages (event ledger)'!$E$2:$E$65,"&lt;="&amp;$B206,'Outages (event ledger)'!$G$2:$G$65,"&gt;="&amp;$B206)</f>
        <v>0</v>
      </c>
      <c r="V206" s="26" t="n">
        <f aca="false">SUMIFS('Outages (event ledger)'!$H$2:$H$65,'Outages (event ledger)'!$A$2:$A$65,V$2,'Outages (event ledger)'!$E$2:$E$65,"&lt;="&amp;$B206,'Outages (event ledger)'!$G$2:$G$65,"&gt;="&amp;$B206)</f>
        <v>0</v>
      </c>
      <c r="W206" s="26" t="n">
        <f aca="false">SUMIFS('Outages (event ledger)'!$H$2:$H$65,'Outages (event ledger)'!$A$2:$A$65,W$2,'Outages (event ledger)'!$E$2:$E$65,"&lt;="&amp;$B206,'Outages (event ledger)'!$G$2:$G$65,"&gt;="&amp;$B206)</f>
        <v>0</v>
      </c>
      <c r="X206" s="26" t="n">
        <f aca="false">SUMIFS('Outages (event ledger)'!$H$2:$H$65,'Outages (event ledger)'!$A$2:$A$65,X$2,'Outages (event ledger)'!$E$2:$E$65,"&lt;="&amp;$B206,'Outages (event ledger)'!$G$2:$G$65,"&gt;="&amp;$B206)</f>
        <v>0</v>
      </c>
      <c r="Y206" s="26" t="n">
        <f aca="false">SUMIFS('Outages (event ledger)'!$H$2:$H$65,'Outages (event ledger)'!$A$2:$A$65,Y$2,'Outages (event ledger)'!$E$2:$E$65,"&lt;="&amp;$B206,'Outages (event ledger)'!$G$2:$G$65,"&gt;="&amp;$B206)</f>
        <v>0</v>
      </c>
      <c r="Z206" s="26" t="n">
        <f aca="false">SUMIFS('Outages (event ledger)'!$H$2:$H$65,'Outages (event ledger)'!$A$2:$A$65,Z$2,'Outages (event ledger)'!$E$2:$E$65,"&lt;="&amp;$B206,'Outages (event ledger)'!$G$2:$G$65,"&gt;="&amp;$B206)</f>
        <v>0</v>
      </c>
      <c r="AA206" s="26" t="n">
        <f aca="false">SUMIFS('Outages (event ledger)'!$H$2:$H$65,'Outages (event ledger)'!$A$2:$A$65,AA$2,'Outages (event ledger)'!$E$2:$E$65,"&lt;="&amp;$B206,'Outages (event ledger)'!$G$2:$G$65,"&gt;="&amp;$B206)</f>
        <v>2</v>
      </c>
      <c r="AB206" s="26" t="n">
        <f aca="false">SUMIFS('Outages (event ledger)'!$H$2:$H$65,'Outages (event ledger)'!$A$2:$A$65,AB$2,'Outages (event ledger)'!$E$2:$E$65,"&lt;="&amp;$B206,'Outages (event ledger)'!$G$2:$G$65,"&gt;="&amp;$B206)</f>
        <v>8</v>
      </c>
      <c r="AC206" s="26" t="n">
        <f aca="false">SUMIFS('Outages (event ledger)'!$H$2:$H$65,'Outages (event ledger)'!$A$2:$A$65,AC$2,'Outages (event ledger)'!$E$2:$E$65,"&lt;="&amp;$B206,'Outages (event ledger)'!$G$2:$G$65,"&gt;="&amp;$B206)</f>
        <v>0</v>
      </c>
      <c r="AD206" s="26" t="n">
        <f aca="false">SUMIFS('Outages (event ledger)'!$H$2:$H$65,'Outages (event ledger)'!$A$2:$A$65,AD$2,'Outages (event ledger)'!$E$2:$E$65,"&lt;="&amp;$B206,'Outages (event ledger)'!$G$2:$G$65,"&gt;="&amp;$B206)</f>
        <v>0</v>
      </c>
      <c r="AE206" s="26" t="n">
        <f aca="false">SUMIFS('Outages (event ledger)'!$H$2:$H$65,'Outages (event ledger)'!$A$2:$A$65,AE$2,'Outages (event ledger)'!$E$2:$E$65,"&lt;="&amp;$B206,'Outages (event ledger)'!$G$2:$G$65,"&gt;="&amp;$B206)</f>
        <v>0</v>
      </c>
      <c r="AF206" s="26" t="n">
        <f aca="false">SUMIFS('Outages (event ledger)'!$H$2:$H$65,'Outages (event ledger)'!$A$2:$A$65,AF$2,'Outages (event ledger)'!$E$2:$E$65,"&lt;="&amp;$B206,'Outages (event ledger)'!$G$2:$G$65,"&gt;="&amp;$B206)</f>
        <v>0</v>
      </c>
      <c r="AG206" s="26" t="n">
        <f aca="false">SUMIFS('Outages (event ledger)'!$H$2:$H$65,'Outages (event ledger)'!$A$2:$A$65,AG$2,'Outages (event ledger)'!$E$2:$E$65,"&lt;="&amp;$B206,'Outages (event ledger)'!$G$2:$G$65,"&gt;="&amp;$B206)</f>
        <v>0</v>
      </c>
      <c r="AH206" s="26" t="n">
        <f aca="false">SUMIFS('Outages (event ledger)'!$H$2:$H$65,'Outages (event ledger)'!$A$2:$A$65,AH$2,'Outages (event ledger)'!$E$2:$E$65,"&lt;="&amp;$B206,'Outages (event ledger)'!$G$2:$G$65,"&gt;="&amp;$B206)</f>
        <v>0</v>
      </c>
      <c r="AI206" s="26" t="n">
        <f aca="false">SUMIFS('Outages (event ledger)'!$H$2:$H$65,'Outages (event ledger)'!$A$2:$A$65,AI$2,'Outages (event ledger)'!$E$2:$E$65,"&lt;="&amp;$B206,'Outages (event ledger)'!$G$2:$G$65,"&gt;="&amp;$B206)</f>
        <v>0</v>
      </c>
      <c r="AJ206" s="26" t="n">
        <f aca="false">SUMIFS('Outages (event ledger)'!$H$2:$H$65,'Outages (event ledger)'!$A$2:$A$65,AJ$2,'Outages (event ledger)'!$E$2:$E$65,"&lt;="&amp;$B206,'Outages (event ledger)'!$G$2:$G$65,"&gt;="&amp;$B206)</f>
        <v>0</v>
      </c>
      <c r="AK206" s="26" t="n">
        <f aca="false">SUMIFS('Outages (event ledger)'!$H$2:$H$65,'Outages (event ledger)'!$A$2:$A$65,AK$2,'Outages (event ledger)'!$E$2:$E$65,"&lt;="&amp;$B206,'Outages (event ledger)'!$G$2:$G$65,"&gt;="&amp;$B206)</f>
        <v>0</v>
      </c>
      <c r="AL206" s="26" t="n">
        <f aca="false">SUMIFS('Outages (event ledger)'!$H$2:$H$65,'Outages (event ledger)'!$A$2:$A$65,AL$2,'Outages (event ledger)'!$E$2:$E$65,"&lt;="&amp;$B206,'Outages (event ledger)'!$G$2:$G$65,"&gt;="&amp;$B206)</f>
        <v>0</v>
      </c>
      <c r="AM206" s="26" t="n">
        <f aca="false">SUMIFS('Outages (event ledger)'!$H$2:$H$65,'Outages (event ledger)'!$A$2:$A$65,AM$2,'Outages (event ledger)'!$E$2:$E$65,"&lt;="&amp;$B206,'Outages (event ledger)'!$G$2:$G$65,"&gt;="&amp;$B206)</f>
        <v>0</v>
      </c>
      <c r="AN206" s="26" t="n">
        <f aca="false">SUMIFS('Outages (event ledger)'!$H$2:$H$65,'Outages (event ledger)'!$A$2:$A$65,AN$2,'Outages (event ledger)'!$E$2:$E$65,"&lt;="&amp;$B206,'Outages (event ledger)'!$G$2:$G$65,"&gt;="&amp;$B206)</f>
        <v>0</v>
      </c>
      <c r="AO206" s="26" t="n">
        <f aca="false">SUMIFS('Outages (event ledger)'!$H$2:$H$65,'Outages (event ledger)'!$A$2:$A$65,AO$2,'Outages (event ledger)'!$E$2:$E$65,"&lt;="&amp;$B206,'Outages (event ledger)'!$G$2:$G$65,"&gt;="&amp;$B206)</f>
        <v>0</v>
      </c>
      <c r="AP206" s="26" t="n">
        <f aca="false">SUMIFS('Outages (event ledger)'!$H$2:$H$65,'Outages (event ledger)'!$A$2:$A$65,AP$2,'Outages (event ledger)'!$E$2:$E$65,"&lt;="&amp;$B206,'Outages (event ledger)'!$G$2:$G$65,"&gt;="&amp;$B206)</f>
        <v>0</v>
      </c>
      <c r="AQ206" s="26" t="n">
        <f aca="false">SUMIFS('Outages (event ledger)'!$H$2:$H$65,'Outages (event ledger)'!$A$2:$A$65,AQ$2,'Outages (event ledger)'!$E$2:$E$65,"&lt;="&amp;$B206,'Outages (event ledger)'!$G$2:$G$65,"&gt;="&amp;$B206)</f>
        <v>0</v>
      </c>
      <c r="AR206" s="26" t="n">
        <f aca="false">SUMIFS('Outages (event ledger)'!$H$2:$H$65,'Outages (event ledger)'!$A$2:$A$65,AR$2,'Outages (event ledger)'!$E$2:$E$65,"&lt;="&amp;$B206,'Outages (event ledger)'!$G$2:$G$65,"&gt;="&amp;$B206)</f>
        <v>12.8</v>
      </c>
      <c r="AS206" s="26" t="n">
        <f aca="false">SUMIFS('Outages (event ledger)'!$H$2:$H$65,'Outages (event ledger)'!$A$2:$A$65,AS$2,'Outages (event ledger)'!$E$2:$E$65,"&lt;="&amp;$B206,'Outages (event ledger)'!$G$2:$G$65,"&gt;="&amp;$B206)</f>
        <v>0</v>
      </c>
      <c r="AT206" s="26" t="n">
        <f aca="false">SUMIFS('Outages (event ledger)'!$H$2:$H$65,'Outages (event ledger)'!$A$2:$A$65,AT$2,'Outages (event ledger)'!$E$2:$E$65,"&lt;="&amp;$B206,'Outages (event ledger)'!$G$2:$G$65,"&gt;="&amp;$B206)</f>
        <v>0</v>
      </c>
      <c r="AU206" s="26" t="n">
        <f aca="false">SUMIFS('Outages (event ledger)'!$H$2:$H$65,'Outages (event ledger)'!$A$2:$A$65,AU$2,'Outages (event ledger)'!$E$2:$E$65,"&lt;="&amp;$B206,'Outages (event ledger)'!$G$2:$G$65,"&gt;="&amp;$B206)</f>
        <v>0</v>
      </c>
      <c r="AV206" s="26" t="n">
        <f aca="false">SUMIFS('Outages (event ledger)'!$H$2:$H$65,'Outages (event ledger)'!$A$2:$A$65,AV$2,'Outages (event ledger)'!$E$2:$E$65,"&lt;="&amp;$B206,'Outages (event ledger)'!$G$2:$G$65,"&gt;="&amp;$B206)</f>
        <v>0</v>
      </c>
      <c r="AW206" s="26" t="n">
        <f aca="false">SUMIFS('Outages (event ledger)'!$H$2:$H$65,'Outages (event ledger)'!$A$2:$A$65,AW$2,'Outages (event ledger)'!$E$2:$E$65,"&lt;="&amp;$B206,'Outages (event ledger)'!$G$2:$G$65,"&gt;="&amp;$B206)</f>
        <v>0</v>
      </c>
      <c r="AX206" s="26" t="n">
        <f aca="false">SUMIFS('Outages (event ledger)'!$H$2:$H$65,'Outages (event ledger)'!$A$2:$A$65,AX$2,'Outages (event ledger)'!$E$2:$E$65,"&lt;="&amp;$B206,'Outages (event ledger)'!$G$2:$G$65,"&gt;="&amp;$B206)</f>
        <v>6.6</v>
      </c>
      <c r="AY206" s="26" t="n">
        <f aca="false">SUMIFS('Outages (event ledger)'!$H$2:$H$65,'Outages (event ledger)'!$A$2:$A$65,AY$2,'Outages (event ledger)'!$E$2:$E$65,"&lt;="&amp;$B206,'Outages (event ledger)'!$G$2:$G$65,"&gt;="&amp;$B206)</f>
        <v>0</v>
      </c>
      <c r="AZ206" s="26" t="n">
        <f aca="false">SUMIFS('Outages (event ledger)'!$H$2:$H$65,'Outages (event ledger)'!$A$2:$A$65,AZ$2,'Outages (event ledger)'!$E$2:$E$65,"&lt;="&amp;$B206,'Outages (event ledger)'!$G$2:$G$65,"&gt;="&amp;$B206)</f>
        <v>0</v>
      </c>
      <c r="BA206" s="26" t="n">
        <f aca="false">SUMIFS('Outages (event ledger)'!$H$2:$H$65,'Outages (event ledger)'!$A$2:$A$65,BA$2,'Outages (event ledger)'!$E$2:$E$65,"&lt;="&amp;$B206,'Outages (event ledger)'!$G$2:$G$65,"&gt;="&amp;$B206)</f>
        <v>0</v>
      </c>
      <c r="BB206" s="26" t="n">
        <f aca="false">SUMIFS('Outages (event ledger)'!$H$2:$H$65,'Outages (event ledger)'!$A$2:$A$65,BB$2,'Outages (event ledger)'!$E$2:$E$65,"&lt;="&amp;$B206,'Outages (event ledger)'!$G$2:$G$65,"&gt;="&amp;$B206)</f>
        <v>0</v>
      </c>
      <c r="BC206" s="26" t="n">
        <f aca="false">SUMIFS('Outages (event ledger)'!$H$2:$H$65,'Outages (event ledger)'!$A$2:$A$65,BC$2,'Outages (event ledger)'!$E$2:$E$65,"&lt;="&amp;$B206,'Outages (event ledger)'!$G$2:$G$65,"&gt;="&amp;$B206)</f>
        <v>0</v>
      </c>
      <c r="BD206" s="26" t="n">
        <f aca="false">SUMIFS('Outages (event ledger)'!$H$2:$H$65,'Outages (event ledger)'!$A$2:$A$65,BD$2,'Outages (event ledger)'!$E$2:$E$65,"&lt;="&amp;$B206,'Outages (event ledger)'!$G$2:$G$65,"&gt;="&amp;$B206)</f>
        <v>0</v>
      </c>
      <c r="BE206" s="26" t="n">
        <f aca="false">SUMIFS('Outages (event ledger)'!$H$2:$H$65,'Outages (event ledger)'!$A$2:$A$65,BE$2,'Outages (event ledger)'!$E$2:$E$65,"&lt;="&amp;$B206,'Outages (event ledger)'!$G$2:$G$65,"&gt;="&amp;$B206)</f>
        <v>0</v>
      </c>
      <c r="BF206" s="26" t="n">
        <f aca="false">SUMIFS('Outages (event ledger)'!$H$2:$H$65,'Outages (event ledger)'!$A$2:$A$65,BF$2,'Outages (event ledger)'!$E$2:$E$65,"&lt;="&amp;$B206,'Outages (event ledger)'!$G$2:$G$65,"&gt;="&amp;$B206)</f>
        <v>0</v>
      </c>
      <c r="BG206" s="26" t="n">
        <f aca="false">SUMIFS('Outages (event ledger)'!$H$2:$H$65,'Outages (event ledger)'!$A$2:$A$65,BG$2,'Outages (event ledger)'!$E$2:$E$65,"&lt;="&amp;$B206,'Outages (event ledger)'!$G$2:$G$65,"&gt;="&amp;$B206)</f>
        <v>0</v>
      </c>
      <c r="BH206" s="26" t="n">
        <f aca="false">SUMIFS('Outages (event ledger)'!$H$2:$H$65,'Outages (event ledger)'!$A$2:$A$65,BH$2,'Outages (event ledger)'!$E$2:$E$65,"&lt;="&amp;$B206,'Outages (event ledger)'!$G$2:$G$65,"&gt;="&amp;$B206)</f>
        <v>0</v>
      </c>
      <c r="BI206" s="26" t="n">
        <f aca="false">SUMIFS('Outages (event ledger)'!$H$2:$H$65,'Outages (event ledger)'!$A$2:$A$65,BI$2,'Outages (event ledger)'!$E$2:$E$65,"&lt;="&amp;$B206,'Outages (event ledger)'!$G$2:$G$65,"&gt;="&amp;$B206)</f>
        <v>6.7</v>
      </c>
    </row>
    <row r="208" customFormat="false" ht="31.5" hidden="false" customHeight="true" outlineLevel="0" collapsed="false">
      <c r="A208" s="30" t="s">
        <v>108</v>
      </c>
      <c r="B208" s="30"/>
      <c r="C208" s="30"/>
      <c r="D208" s="30"/>
      <c r="E208" s="30"/>
      <c r="F208" s="30"/>
      <c r="G208" s="30"/>
      <c r="H208" s="30"/>
      <c r="I208" s="30"/>
      <c r="J208" s="30"/>
      <c r="K208" s="30"/>
      <c r="L208" s="30"/>
      <c r="M208" s="30"/>
      <c r="N208" s="30"/>
      <c r="O208" s="30"/>
      <c r="P208" s="30"/>
      <c r="Q208" s="30"/>
      <c r="R208" s="30"/>
      <c r="S208" s="30"/>
      <c r="T208" s="30"/>
    </row>
    <row r="209" customFormat="false" ht="31.5" hidden="false" customHeight="true" outlineLevel="0" collapsed="false">
      <c r="A209" s="31" t="s">
        <v>109</v>
      </c>
      <c r="B209" s="31"/>
      <c r="C209" s="31"/>
      <c r="D209" s="31"/>
      <c r="E209" s="31"/>
      <c r="F209" s="31"/>
      <c r="G209" s="31"/>
      <c r="H209" s="31"/>
      <c r="I209" s="31"/>
      <c r="J209" s="31"/>
      <c r="K209" s="31"/>
      <c r="L209" s="31"/>
      <c r="M209" s="31"/>
      <c r="N209" s="31"/>
      <c r="O209" s="31"/>
      <c r="P209" s="31"/>
      <c r="Q209" s="31"/>
      <c r="R209" s="31"/>
      <c r="S209" s="31"/>
      <c r="T209" s="31"/>
    </row>
    <row r="210" customFormat="false" ht="31.5" hidden="false" customHeight="true" outlineLevel="0" collapsed="false">
      <c r="A210" s="31" t="s">
        <v>110</v>
      </c>
      <c r="B210" s="31"/>
      <c r="C210" s="31"/>
      <c r="D210" s="31"/>
      <c r="E210" s="31"/>
      <c r="F210" s="31"/>
      <c r="G210" s="31"/>
      <c r="H210" s="31"/>
      <c r="I210" s="31"/>
      <c r="J210" s="31"/>
      <c r="K210" s="31"/>
      <c r="L210" s="31"/>
      <c r="M210" s="31"/>
      <c r="N210" s="31"/>
      <c r="O210" s="31"/>
      <c r="P210" s="31"/>
      <c r="Q210" s="31"/>
      <c r="R210" s="31"/>
      <c r="S210" s="31"/>
      <c r="T210" s="31"/>
    </row>
    <row r="211" customFormat="false" ht="31.5" hidden="false" customHeight="true" outlineLevel="0" collapsed="false">
      <c r="A211" s="31" t="s">
        <v>111</v>
      </c>
      <c r="B211" s="31"/>
      <c r="C211" s="31"/>
      <c r="D211" s="31"/>
      <c r="E211" s="31"/>
      <c r="F211" s="31"/>
      <c r="G211" s="31"/>
      <c r="H211" s="31"/>
      <c r="I211" s="31"/>
      <c r="J211" s="31"/>
      <c r="K211" s="31"/>
      <c r="L211" s="31"/>
      <c r="M211" s="31"/>
      <c r="N211" s="31"/>
      <c r="O211" s="31"/>
      <c r="P211" s="31"/>
      <c r="Q211" s="31"/>
      <c r="R211" s="31"/>
      <c r="S211" s="31"/>
      <c r="T211" s="31"/>
    </row>
  </sheetData>
  <mergeCells count="15">
    <mergeCell ref="A1:C1"/>
    <mergeCell ref="D1:G1"/>
    <mergeCell ref="I1:R1"/>
    <mergeCell ref="W1:X1"/>
    <mergeCell ref="Y1:Z1"/>
    <mergeCell ref="AB1:AD1"/>
    <mergeCell ref="AE1:AG1"/>
    <mergeCell ref="AI1:AJ1"/>
    <mergeCell ref="AM1:AN1"/>
    <mergeCell ref="AS1:AW1"/>
    <mergeCell ref="AZ1:BH1"/>
    <mergeCell ref="A208:T208"/>
    <mergeCell ref="A209:T209"/>
    <mergeCell ref="A210:T210"/>
    <mergeCell ref="A211:T2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2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2"/>
    <col collapsed="false" customWidth="true" hidden="false" outlineLevel="0" max="61" min="4" style="0" width="6"/>
  </cols>
  <sheetData>
    <row r="1" customFormat="false" ht="15.75" hidden="false" customHeight="true" outlineLevel="0" collapsed="false">
      <c r="A1" s="32" t="s">
        <v>20</v>
      </c>
      <c r="B1" s="32"/>
      <c r="C1" s="32"/>
      <c r="D1" s="33" t="s">
        <v>21</v>
      </c>
      <c r="E1" s="33"/>
      <c r="F1" s="33"/>
      <c r="G1" s="33"/>
      <c r="H1" s="34" t="s">
        <v>22</v>
      </c>
      <c r="I1" s="35" t="s">
        <v>23</v>
      </c>
      <c r="J1" s="35"/>
      <c r="K1" s="35"/>
      <c r="L1" s="35"/>
      <c r="M1" s="35"/>
      <c r="N1" s="35"/>
      <c r="O1" s="35"/>
      <c r="P1" s="35"/>
      <c r="Q1" s="35"/>
      <c r="R1" s="35"/>
      <c r="S1" s="36" t="s">
        <v>24</v>
      </c>
      <c r="T1" s="13" t="s">
        <v>25</v>
      </c>
      <c r="U1" s="21" t="s">
        <v>26</v>
      </c>
      <c r="V1" s="14" t="s">
        <v>27</v>
      </c>
      <c r="W1" s="37" t="s">
        <v>28</v>
      </c>
      <c r="X1" s="37"/>
      <c r="Y1" s="33" t="s">
        <v>29</v>
      </c>
      <c r="Z1" s="33"/>
      <c r="AA1" s="34" t="s">
        <v>30</v>
      </c>
      <c r="AB1" s="35" t="s">
        <v>31</v>
      </c>
      <c r="AC1" s="35"/>
      <c r="AD1" s="35"/>
      <c r="AE1" s="38" t="s">
        <v>32</v>
      </c>
      <c r="AF1" s="38"/>
      <c r="AG1" s="38"/>
      <c r="AH1" s="13" t="s">
        <v>33</v>
      </c>
      <c r="AI1" s="9" t="s">
        <v>34</v>
      </c>
      <c r="AJ1" s="9"/>
      <c r="AK1" s="14" t="s">
        <v>35</v>
      </c>
      <c r="AL1" s="15" t="s">
        <v>36</v>
      </c>
      <c r="AM1" s="33" t="s">
        <v>37</v>
      </c>
      <c r="AN1" s="33"/>
      <c r="AO1" s="34" t="s">
        <v>38</v>
      </c>
      <c r="AP1" s="39" t="s">
        <v>39</v>
      </c>
      <c r="AQ1" s="36" t="s">
        <v>40</v>
      </c>
      <c r="AR1" s="13" t="s">
        <v>41</v>
      </c>
      <c r="AS1" s="9" t="s">
        <v>42</v>
      </c>
      <c r="AT1" s="9"/>
      <c r="AU1" s="9"/>
      <c r="AV1" s="9"/>
      <c r="AW1" s="9"/>
      <c r="AX1" s="14" t="s">
        <v>43</v>
      </c>
      <c r="AY1" s="15" t="s">
        <v>44</v>
      </c>
      <c r="AZ1" s="33" t="s">
        <v>45</v>
      </c>
      <c r="BA1" s="33"/>
      <c r="BB1" s="33"/>
      <c r="BC1" s="33"/>
      <c r="BD1" s="33"/>
      <c r="BE1" s="33"/>
      <c r="BF1" s="33"/>
      <c r="BG1" s="33"/>
      <c r="BH1" s="33"/>
      <c r="BI1" s="34" t="s">
        <v>46</v>
      </c>
    </row>
    <row r="2" customFormat="false" ht="91.5" hidden="false" customHeight="true" outlineLevel="0" collapsed="false">
      <c r="A2" s="40" t="s">
        <v>47</v>
      </c>
      <c r="B2" s="40" t="s">
        <v>48</v>
      </c>
      <c r="C2" s="40" t="s">
        <v>112</v>
      </c>
      <c r="D2" s="41" t="s">
        <v>50</v>
      </c>
      <c r="E2" s="41" t="s">
        <v>51</v>
      </c>
      <c r="F2" s="41" t="s">
        <v>52</v>
      </c>
      <c r="G2" s="41" t="s">
        <v>53</v>
      </c>
      <c r="H2" s="41" t="s">
        <v>54</v>
      </c>
      <c r="I2" s="41" t="s">
        <v>55</v>
      </c>
      <c r="J2" s="41" t="s">
        <v>56</v>
      </c>
      <c r="K2" s="41" t="s">
        <v>57</v>
      </c>
      <c r="L2" s="41" t="s">
        <v>58</v>
      </c>
      <c r="M2" s="41" t="s">
        <v>59</v>
      </c>
      <c r="N2" s="41" t="s">
        <v>60</v>
      </c>
      <c r="O2" s="41" t="s">
        <v>61</v>
      </c>
      <c r="P2" s="41" t="s">
        <v>62</v>
      </c>
      <c r="Q2" s="41" t="s">
        <v>63</v>
      </c>
      <c r="R2" s="41" t="s">
        <v>64</v>
      </c>
      <c r="S2" s="41" t="s">
        <v>65</v>
      </c>
      <c r="T2" s="41" t="s">
        <v>66</v>
      </c>
      <c r="U2" s="41" t="s">
        <v>67</v>
      </c>
      <c r="V2" s="41" t="s">
        <v>68</v>
      </c>
      <c r="W2" s="41" t="s">
        <v>69</v>
      </c>
      <c r="X2" s="41" t="s">
        <v>70</v>
      </c>
      <c r="Y2" s="41" t="s">
        <v>71</v>
      </c>
      <c r="Z2" s="41" t="s">
        <v>72</v>
      </c>
      <c r="AA2" s="41" t="s">
        <v>73</v>
      </c>
      <c r="AB2" s="41" t="s">
        <v>74</v>
      </c>
      <c r="AC2" s="41" t="s">
        <v>75</v>
      </c>
      <c r="AD2" s="41" t="s">
        <v>76</v>
      </c>
      <c r="AE2" s="41" t="s">
        <v>77</v>
      </c>
      <c r="AF2" s="41" t="s">
        <v>78</v>
      </c>
      <c r="AG2" s="41" t="s">
        <v>79</v>
      </c>
      <c r="AH2" s="41" t="s">
        <v>80</v>
      </c>
      <c r="AI2" s="41" t="s">
        <v>81</v>
      </c>
      <c r="AJ2" s="41" t="s">
        <v>82</v>
      </c>
      <c r="AK2" s="41" t="s">
        <v>83</v>
      </c>
      <c r="AL2" s="41" t="s">
        <v>84</v>
      </c>
      <c r="AM2" s="41" t="s">
        <v>85</v>
      </c>
      <c r="AN2" s="41" t="s">
        <v>86</v>
      </c>
      <c r="AO2" s="41" t="s">
        <v>87</v>
      </c>
      <c r="AP2" s="41" t="s">
        <v>88</v>
      </c>
      <c r="AQ2" s="41" t="s">
        <v>89</v>
      </c>
      <c r="AR2" s="41" t="s">
        <v>90</v>
      </c>
      <c r="AS2" s="41" t="s">
        <v>91</v>
      </c>
      <c r="AT2" s="41" t="s">
        <v>92</v>
      </c>
      <c r="AU2" s="41" t="s">
        <v>93</v>
      </c>
      <c r="AV2" s="41" t="s">
        <v>94</v>
      </c>
      <c r="AW2" s="41" t="s">
        <v>95</v>
      </c>
      <c r="AX2" s="41" t="s">
        <v>96</v>
      </c>
      <c r="AY2" s="41" t="s">
        <v>97</v>
      </c>
      <c r="AZ2" s="41" t="s">
        <v>98</v>
      </c>
      <c r="BA2" s="41" t="s">
        <v>99</v>
      </c>
      <c r="BB2" s="41" t="s">
        <v>100</v>
      </c>
      <c r="BC2" s="41" t="s">
        <v>101</v>
      </c>
      <c r="BD2" s="41" t="s">
        <v>102</v>
      </c>
      <c r="BE2" s="41" t="s">
        <v>103</v>
      </c>
      <c r="BF2" s="41" t="s">
        <v>104</v>
      </c>
      <c r="BG2" s="41" t="s">
        <v>105</v>
      </c>
      <c r="BH2" s="41" t="s">
        <v>106</v>
      </c>
      <c r="BI2" s="41" t="s">
        <v>107</v>
      </c>
    </row>
    <row r="3" customFormat="false" ht="15" hidden="false" customHeight="false" outlineLevel="0" collapsed="false">
      <c r="A3" s="23" t="n">
        <v>40179</v>
      </c>
      <c r="B3" s="24" t="n">
        <v>201001</v>
      </c>
      <c r="C3" s="42" t="n">
        <f aca="false">SUMIFS('Additions (monthly)'!$E$2:$E$106,'Additions (monthly)'!$B$2:$B$106,"&lt;="&amp;$B3)</f>
        <v>243.22</v>
      </c>
      <c r="D3" s="43" t="n">
        <f aca="false">SUMIFS('Additions (monthly)'!$E$2:$E$106,'Additions (monthly)'!$D$2:$D$106,D$2,'Additions (monthly)'!$B$2:$B$106,"&lt;="&amp;$B3)</f>
        <v>7.9</v>
      </c>
      <c r="E3" s="43" t="n">
        <f aca="false">SUMIFS('Additions (monthly)'!$E$2:$E$106,'Additions (monthly)'!$D$2:$D$106,E$2,'Additions (monthly)'!$B$2:$B$106,"&lt;="&amp;$B3)</f>
        <v>8.4</v>
      </c>
      <c r="F3" s="43" t="n">
        <f aca="false">SUMIFS('Additions (monthly)'!$E$2:$E$106,'Additions (monthly)'!$D$2:$D$106,F$2,'Additions (monthly)'!$B$2:$B$106,"&lt;="&amp;$B3)</f>
        <v>0</v>
      </c>
      <c r="G3" s="43" t="n">
        <f aca="false">SUMIFS('Additions (monthly)'!$E$2:$E$106,'Additions (monthly)'!$D$2:$D$106,G$2,'Additions (monthly)'!$B$2:$B$106,"&lt;="&amp;$B3)</f>
        <v>0</v>
      </c>
      <c r="H3" s="43" t="n">
        <f aca="false">SUMIFS('Additions (monthly)'!$E$2:$E$106,'Additions (monthly)'!$D$2:$D$106,H$2,'Additions (monthly)'!$B$2:$B$106,"&lt;="&amp;$B3)</f>
        <v>0</v>
      </c>
      <c r="I3" s="43" t="n">
        <f aca="false">SUMIFS('Additions (monthly)'!$E$2:$E$106,'Additions (monthly)'!$D$2:$D$106,I$2,'Additions (monthly)'!$B$2:$B$106,"&lt;="&amp;$B3)</f>
        <v>0</v>
      </c>
      <c r="J3" s="43" t="n">
        <f aca="false">SUMIFS('Additions (monthly)'!$E$2:$E$106,'Additions (monthly)'!$D$2:$D$106,J$2,'Additions (monthly)'!$B$2:$B$106,"&lt;="&amp;$B3)</f>
        <v>3.7</v>
      </c>
      <c r="K3" s="43" t="n">
        <f aca="false">SUMIFS('Additions (monthly)'!$E$2:$E$106,'Additions (monthly)'!$D$2:$D$106,K$2,'Additions (monthly)'!$B$2:$B$106,"&lt;="&amp;$B3)</f>
        <v>0</v>
      </c>
      <c r="L3" s="43" t="n">
        <f aca="false">SUMIFS('Additions (monthly)'!$E$2:$E$106,'Additions (monthly)'!$D$2:$D$106,L$2,'Additions (monthly)'!$B$2:$B$106,"&lt;="&amp;$B3)</f>
        <v>0</v>
      </c>
      <c r="M3" s="43" t="n">
        <f aca="false">SUMIFS('Additions (monthly)'!$E$2:$E$106,'Additions (monthly)'!$D$2:$D$106,M$2,'Additions (monthly)'!$B$2:$B$106,"&lt;="&amp;$B3)</f>
        <v>0</v>
      </c>
      <c r="N3" s="43" t="n">
        <f aca="false">SUMIFS('Additions (monthly)'!$E$2:$E$106,'Additions (monthly)'!$D$2:$D$106,N$2,'Additions (monthly)'!$B$2:$B$106,"&lt;="&amp;$B3)</f>
        <v>14.2</v>
      </c>
      <c r="O3" s="43" t="n">
        <f aca="false">SUMIFS('Additions (monthly)'!$E$2:$E$106,'Additions (monthly)'!$D$2:$D$106,O$2,'Additions (monthly)'!$B$2:$B$106,"&lt;="&amp;$B3)</f>
        <v>0</v>
      </c>
      <c r="P3" s="43" t="n">
        <f aca="false">SUMIFS('Additions (monthly)'!$E$2:$E$106,'Additions (monthly)'!$D$2:$D$106,P$2,'Additions (monthly)'!$B$2:$B$106,"&lt;="&amp;$B3)</f>
        <v>0</v>
      </c>
      <c r="Q3" s="43" t="n">
        <f aca="false">SUMIFS('Additions (monthly)'!$E$2:$E$106,'Additions (monthly)'!$D$2:$D$106,Q$2,'Additions (monthly)'!$B$2:$B$106,"&lt;="&amp;$B3)</f>
        <v>0</v>
      </c>
      <c r="R3" s="43" t="n">
        <f aca="false">SUMIFS('Additions (monthly)'!$E$2:$E$106,'Additions (monthly)'!$D$2:$D$106,R$2,'Additions (monthly)'!$B$2:$B$106,"&lt;="&amp;$B3)</f>
        <v>0</v>
      </c>
      <c r="S3" s="43" t="n">
        <f aca="false">SUMIFS('Additions (monthly)'!$E$2:$E$106,'Additions (monthly)'!$D$2:$D$106,S$2,'Additions (monthly)'!$B$2:$B$106,"&lt;="&amp;$B3)</f>
        <v>7.2</v>
      </c>
      <c r="T3" s="43" t="n">
        <f aca="false">SUMIFS('Additions (monthly)'!$E$2:$E$106,'Additions (monthly)'!$D$2:$D$106,T$2,'Additions (monthly)'!$B$2:$B$106,"&lt;="&amp;$B3)</f>
        <v>0</v>
      </c>
      <c r="U3" s="43" t="n">
        <f aca="false">SUMIFS('Additions (monthly)'!$E$2:$E$106,'Additions (monthly)'!$D$2:$D$106,U$2,'Additions (monthly)'!$B$2:$B$106,"&lt;="&amp;$B3)</f>
        <v>0</v>
      </c>
      <c r="V3" s="43" t="n">
        <f aca="false">SUMIFS('Additions (monthly)'!$E$2:$E$106,'Additions (monthly)'!$D$2:$D$106,V$2,'Additions (monthly)'!$B$2:$B$106,"&lt;="&amp;$B3)</f>
        <v>3.87</v>
      </c>
      <c r="W3" s="43" t="n">
        <f aca="false">SUMIFS('Additions (monthly)'!$E$2:$E$106,'Additions (monthly)'!$D$2:$D$106,W$2,'Additions (monthly)'!$B$2:$B$106,"&lt;="&amp;$B3)</f>
        <v>0</v>
      </c>
      <c r="X3" s="43" t="n">
        <f aca="false">SUMIFS('Additions (monthly)'!$E$2:$E$106,'Additions (monthly)'!$D$2:$D$106,X$2,'Additions (monthly)'!$B$2:$B$106,"&lt;="&amp;$B3)</f>
        <v>0</v>
      </c>
      <c r="Y3" s="43" t="n">
        <f aca="false">SUMIFS('Additions (monthly)'!$E$2:$E$106,'Additions (monthly)'!$D$2:$D$106,Y$2,'Additions (monthly)'!$B$2:$B$106,"&lt;="&amp;$B3)</f>
        <v>5</v>
      </c>
      <c r="Z3" s="43" t="n">
        <f aca="false">SUMIFS('Additions (monthly)'!$E$2:$E$106,'Additions (monthly)'!$D$2:$D$106,Z$2,'Additions (monthly)'!$B$2:$B$106,"&lt;="&amp;$B3)</f>
        <v>7.2</v>
      </c>
      <c r="AA3" s="43" t="n">
        <f aca="false">SUMIFS('Additions (monthly)'!$E$2:$E$106,'Additions (monthly)'!$D$2:$D$106,AA$2,'Additions (monthly)'!$B$2:$B$106,"&lt;="&amp;$B3)</f>
        <v>3.7</v>
      </c>
      <c r="AB3" s="43" t="n">
        <f aca="false">SUMIFS('Additions (monthly)'!$E$2:$E$106,'Additions (monthly)'!$D$2:$D$106,AB$2,'Additions (monthly)'!$B$2:$B$106,"&lt;="&amp;$B3)</f>
        <v>16.95</v>
      </c>
      <c r="AC3" s="43" t="n">
        <f aca="false">SUMIFS('Additions (monthly)'!$E$2:$E$106,'Additions (monthly)'!$D$2:$D$106,AC$2,'Additions (monthly)'!$B$2:$B$106,"&lt;="&amp;$B3)</f>
        <v>0</v>
      </c>
      <c r="AD3" s="43" t="n">
        <f aca="false">SUMIFS('Additions (monthly)'!$E$2:$E$106,'Additions (monthly)'!$D$2:$D$106,AD$2,'Additions (monthly)'!$B$2:$B$106,"&lt;="&amp;$B3)</f>
        <v>7.6</v>
      </c>
      <c r="AE3" s="43" t="n">
        <f aca="false">SUMIFS('Additions (monthly)'!$E$2:$E$106,'Additions (monthly)'!$D$2:$D$106,AE$2,'Additions (monthly)'!$B$2:$B$106,"&lt;="&amp;$B3)</f>
        <v>25.7</v>
      </c>
      <c r="AF3" s="43" t="n">
        <f aca="false">SUMIFS('Additions (monthly)'!$E$2:$E$106,'Additions (monthly)'!$D$2:$D$106,AF$2,'Additions (monthly)'!$B$2:$B$106,"&lt;="&amp;$B3)</f>
        <v>0</v>
      </c>
      <c r="AG3" s="43" t="n">
        <f aca="false">SUMIFS('Additions (monthly)'!$E$2:$E$106,'Additions (monthly)'!$D$2:$D$106,AG$2,'Additions (monthly)'!$B$2:$B$106,"&lt;="&amp;$B3)</f>
        <v>0</v>
      </c>
      <c r="AH3" s="43" t="n">
        <f aca="false">SUMIFS('Additions (monthly)'!$E$2:$E$106,'Additions (monthly)'!$D$2:$D$106,AH$2,'Additions (monthly)'!$B$2:$B$106,"&lt;="&amp;$B3)</f>
        <v>0</v>
      </c>
      <c r="AI3" s="43" t="n">
        <f aca="false">SUMIFS('Additions (monthly)'!$E$2:$E$106,'Additions (monthly)'!$D$2:$D$106,AI$2,'Additions (monthly)'!$B$2:$B$106,"&lt;="&amp;$B3)</f>
        <v>0</v>
      </c>
      <c r="AJ3" s="43" t="n">
        <f aca="false">SUMIFS('Additions (monthly)'!$E$2:$E$106,'Additions (monthly)'!$D$2:$D$106,AJ$2,'Additions (monthly)'!$B$2:$B$106,"&lt;="&amp;$B3)</f>
        <v>0</v>
      </c>
      <c r="AK3" s="43" t="n">
        <f aca="false">SUMIFS('Additions (monthly)'!$E$2:$E$106,'Additions (monthly)'!$D$2:$D$106,AK$2,'Additions (monthly)'!$B$2:$B$106,"&lt;="&amp;$B3)</f>
        <v>0</v>
      </c>
      <c r="AL3" s="43" t="n">
        <f aca="false">SUMIFS('Additions (monthly)'!$E$2:$E$106,'Additions (monthly)'!$D$2:$D$106,AL$2,'Additions (monthly)'!$B$2:$B$106,"&lt;="&amp;$B3)</f>
        <v>22.2</v>
      </c>
      <c r="AM3" s="43" t="n">
        <f aca="false">SUMIFS('Additions (monthly)'!$E$2:$E$106,'Additions (monthly)'!$D$2:$D$106,AM$2,'Additions (monthly)'!$B$2:$B$106,"&lt;="&amp;$B3)</f>
        <v>0</v>
      </c>
      <c r="AN3" s="43" t="n">
        <f aca="false">SUMIFS('Additions (monthly)'!$E$2:$E$106,'Additions (monthly)'!$D$2:$D$106,AN$2,'Additions (monthly)'!$B$2:$B$106,"&lt;="&amp;$B3)</f>
        <v>4.3</v>
      </c>
      <c r="AO3" s="43" t="n">
        <f aca="false">SUMIFS('Additions (monthly)'!$E$2:$E$106,'Additions (monthly)'!$D$2:$D$106,AO$2,'Additions (monthly)'!$B$2:$B$106,"&lt;="&amp;$B3)</f>
        <v>10.4</v>
      </c>
      <c r="AP3" s="43" t="n">
        <f aca="false">SUMIFS('Additions (monthly)'!$E$2:$E$106,'Additions (monthly)'!$D$2:$D$106,AP$2,'Additions (monthly)'!$B$2:$B$106,"&lt;="&amp;$B3)</f>
        <v>0</v>
      </c>
      <c r="AQ3" s="43" t="n">
        <f aca="false">SUMIFS('Additions (monthly)'!$E$2:$E$106,'Additions (monthly)'!$D$2:$D$106,AQ$2,'Additions (monthly)'!$B$2:$B$106,"&lt;="&amp;$B3)</f>
        <v>0</v>
      </c>
      <c r="AR3" s="43" t="n">
        <f aca="false">SUMIFS('Additions (monthly)'!$E$2:$E$106,'Additions (monthly)'!$D$2:$D$106,AR$2,'Additions (monthly)'!$B$2:$B$106,"&lt;="&amp;$B3)</f>
        <v>61.5</v>
      </c>
      <c r="AS3" s="43" t="n">
        <f aca="false">SUMIFS('Additions (monthly)'!$E$2:$E$106,'Additions (monthly)'!$D$2:$D$106,AS$2,'Additions (monthly)'!$B$2:$B$106,"&lt;="&amp;$B3)</f>
        <v>0</v>
      </c>
      <c r="AT3" s="43" t="n">
        <f aca="false">SUMIFS('Additions (monthly)'!$E$2:$E$106,'Additions (monthly)'!$D$2:$D$106,AT$2,'Additions (monthly)'!$B$2:$B$106,"&lt;="&amp;$B3)</f>
        <v>0</v>
      </c>
      <c r="AU3" s="43" t="n">
        <f aca="false">SUMIFS('Additions (monthly)'!$E$2:$E$106,'Additions (monthly)'!$D$2:$D$106,AU$2,'Additions (monthly)'!$B$2:$B$106,"&lt;="&amp;$B3)</f>
        <v>9.6</v>
      </c>
      <c r="AV3" s="43" t="n">
        <f aca="false">SUMIFS('Additions (monthly)'!$E$2:$E$106,'Additions (monthly)'!$D$2:$D$106,AV$2,'Additions (monthly)'!$B$2:$B$106,"&lt;="&amp;$B3)</f>
        <v>0</v>
      </c>
      <c r="AW3" s="43" t="n">
        <f aca="false">SUMIFS('Additions (monthly)'!$E$2:$E$106,'Additions (monthly)'!$D$2:$D$106,AW$2,'Additions (monthly)'!$B$2:$B$106,"&lt;="&amp;$B3)</f>
        <v>0</v>
      </c>
      <c r="AX3" s="43" t="n">
        <f aca="false">SUMIFS('Additions (monthly)'!$E$2:$E$106,'Additions (monthly)'!$D$2:$D$106,AX$2,'Additions (monthly)'!$B$2:$B$106,"&lt;="&amp;$B3)</f>
        <v>11.8</v>
      </c>
      <c r="AY3" s="43" t="n">
        <f aca="false">SUMIFS('Additions (monthly)'!$E$2:$E$106,'Additions (monthly)'!$D$2:$D$106,AY$2,'Additions (monthly)'!$B$2:$B$106,"&lt;="&amp;$B3)</f>
        <v>5.3</v>
      </c>
      <c r="AZ3" s="43" t="n">
        <f aca="false">SUMIFS('Additions (monthly)'!$E$2:$E$106,'Additions (monthly)'!$D$2:$D$106,AZ$2,'Additions (monthly)'!$B$2:$B$106,"&lt;="&amp;$B3)</f>
        <v>0</v>
      </c>
      <c r="BA3" s="43" t="n">
        <f aca="false">SUMIFS('Additions (monthly)'!$E$2:$E$106,'Additions (monthly)'!$D$2:$D$106,BA$2,'Additions (monthly)'!$B$2:$B$106,"&lt;="&amp;$B3)</f>
        <v>0</v>
      </c>
      <c r="BB3" s="43" t="n">
        <f aca="false">SUMIFS('Additions (monthly)'!$E$2:$E$106,'Additions (monthly)'!$D$2:$D$106,BB$2,'Additions (monthly)'!$B$2:$B$106,"&lt;="&amp;$B3)</f>
        <v>0</v>
      </c>
      <c r="BC3" s="43" t="n">
        <f aca="false">SUMIFS('Additions (monthly)'!$E$2:$E$106,'Additions (monthly)'!$D$2:$D$106,BC$2,'Additions (monthly)'!$B$2:$B$106,"&lt;="&amp;$B3)</f>
        <v>0</v>
      </c>
      <c r="BD3" s="43" t="n">
        <f aca="false">SUMIFS('Additions (monthly)'!$E$2:$E$106,'Additions (monthly)'!$D$2:$D$106,BD$2,'Additions (monthly)'!$B$2:$B$106,"&lt;="&amp;$B3)</f>
        <v>0</v>
      </c>
      <c r="BE3" s="43" t="n">
        <f aca="false">SUMIFS('Additions (monthly)'!$E$2:$E$106,'Additions (monthly)'!$D$2:$D$106,BE$2,'Additions (monthly)'!$B$2:$B$106,"&lt;="&amp;$B3)</f>
        <v>0</v>
      </c>
      <c r="BF3" s="43" t="n">
        <f aca="false">SUMIFS('Additions (monthly)'!$E$2:$E$106,'Additions (monthly)'!$D$2:$D$106,BF$2,'Additions (monthly)'!$B$2:$B$106,"&lt;="&amp;$B3)</f>
        <v>0</v>
      </c>
      <c r="BG3" s="43" t="n">
        <f aca="false">SUMIFS('Additions (monthly)'!$E$2:$E$106,'Additions (monthly)'!$D$2:$D$106,BG$2,'Additions (monthly)'!$B$2:$B$106,"&lt;="&amp;$B3)</f>
        <v>0</v>
      </c>
      <c r="BH3" s="43" t="n">
        <f aca="false">SUMIFS('Additions (monthly)'!$E$2:$E$106,'Additions (monthly)'!$D$2:$D$106,BH$2,'Additions (monthly)'!$B$2:$B$106,"&lt;="&amp;$B3)</f>
        <v>0</v>
      </c>
      <c r="BI3" s="43" t="n">
        <f aca="false">SUMIFS('Additions (monthly)'!$E$2:$E$106,'Additions (monthly)'!$D$2:$D$106,BI$2,'Additions (monthly)'!$B$2:$B$106,"&lt;="&amp;$B3)</f>
        <v>6.7</v>
      </c>
    </row>
    <row r="4" customFormat="false" ht="15" hidden="false" customHeight="false" outlineLevel="0" collapsed="false">
      <c r="A4" s="23" t="n">
        <v>40210</v>
      </c>
      <c r="B4" s="24" t="n">
        <v>201002</v>
      </c>
      <c r="C4" s="42" t="n">
        <f aca="false">SUMIFS('Additions (monthly)'!$E$2:$E$106,'Additions (monthly)'!$B$2:$B$106,"&lt;="&amp;$B4)</f>
        <v>243.22</v>
      </c>
      <c r="D4" s="43" t="n">
        <f aca="false">SUMIFS('Additions (monthly)'!$E$2:$E$106,'Additions (monthly)'!$D$2:$D$106,D$2,'Additions (monthly)'!$B$2:$B$106,"&lt;="&amp;$B4)</f>
        <v>7.9</v>
      </c>
      <c r="E4" s="43" t="n">
        <f aca="false">SUMIFS('Additions (monthly)'!$E$2:$E$106,'Additions (monthly)'!$D$2:$D$106,E$2,'Additions (monthly)'!$B$2:$B$106,"&lt;="&amp;$B4)</f>
        <v>8.4</v>
      </c>
      <c r="F4" s="43" t="n">
        <f aca="false">SUMIFS('Additions (monthly)'!$E$2:$E$106,'Additions (monthly)'!$D$2:$D$106,F$2,'Additions (monthly)'!$B$2:$B$106,"&lt;="&amp;$B4)</f>
        <v>0</v>
      </c>
      <c r="G4" s="43" t="n">
        <f aca="false">SUMIFS('Additions (monthly)'!$E$2:$E$106,'Additions (monthly)'!$D$2:$D$106,G$2,'Additions (monthly)'!$B$2:$B$106,"&lt;="&amp;$B4)</f>
        <v>0</v>
      </c>
      <c r="H4" s="43" t="n">
        <f aca="false">SUMIFS('Additions (monthly)'!$E$2:$E$106,'Additions (monthly)'!$D$2:$D$106,H$2,'Additions (monthly)'!$B$2:$B$106,"&lt;="&amp;$B4)</f>
        <v>0</v>
      </c>
      <c r="I4" s="43" t="n">
        <f aca="false">SUMIFS('Additions (monthly)'!$E$2:$E$106,'Additions (monthly)'!$D$2:$D$106,I$2,'Additions (monthly)'!$B$2:$B$106,"&lt;="&amp;$B4)</f>
        <v>0</v>
      </c>
      <c r="J4" s="43" t="n">
        <f aca="false">SUMIFS('Additions (monthly)'!$E$2:$E$106,'Additions (monthly)'!$D$2:$D$106,J$2,'Additions (monthly)'!$B$2:$B$106,"&lt;="&amp;$B4)</f>
        <v>3.7</v>
      </c>
      <c r="K4" s="43" t="n">
        <f aca="false">SUMIFS('Additions (monthly)'!$E$2:$E$106,'Additions (monthly)'!$D$2:$D$106,K$2,'Additions (monthly)'!$B$2:$B$106,"&lt;="&amp;$B4)</f>
        <v>0</v>
      </c>
      <c r="L4" s="43" t="n">
        <f aca="false">SUMIFS('Additions (monthly)'!$E$2:$E$106,'Additions (monthly)'!$D$2:$D$106,L$2,'Additions (monthly)'!$B$2:$B$106,"&lt;="&amp;$B4)</f>
        <v>0</v>
      </c>
      <c r="M4" s="43" t="n">
        <f aca="false">SUMIFS('Additions (monthly)'!$E$2:$E$106,'Additions (monthly)'!$D$2:$D$106,M$2,'Additions (monthly)'!$B$2:$B$106,"&lt;="&amp;$B4)</f>
        <v>0</v>
      </c>
      <c r="N4" s="43" t="n">
        <f aca="false">SUMIFS('Additions (monthly)'!$E$2:$E$106,'Additions (monthly)'!$D$2:$D$106,N$2,'Additions (monthly)'!$B$2:$B$106,"&lt;="&amp;$B4)</f>
        <v>14.2</v>
      </c>
      <c r="O4" s="43" t="n">
        <f aca="false">SUMIFS('Additions (monthly)'!$E$2:$E$106,'Additions (monthly)'!$D$2:$D$106,O$2,'Additions (monthly)'!$B$2:$B$106,"&lt;="&amp;$B4)</f>
        <v>0</v>
      </c>
      <c r="P4" s="43" t="n">
        <f aca="false">SUMIFS('Additions (monthly)'!$E$2:$E$106,'Additions (monthly)'!$D$2:$D$106,P$2,'Additions (monthly)'!$B$2:$B$106,"&lt;="&amp;$B4)</f>
        <v>0</v>
      </c>
      <c r="Q4" s="43" t="n">
        <f aca="false">SUMIFS('Additions (monthly)'!$E$2:$E$106,'Additions (monthly)'!$D$2:$D$106,Q$2,'Additions (monthly)'!$B$2:$B$106,"&lt;="&amp;$B4)</f>
        <v>0</v>
      </c>
      <c r="R4" s="43" t="n">
        <f aca="false">SUMIFS('Additions (monthly)'!$E$2:$E$106,'Additions (monthly)'!$D$2:$D$106,R$2,'Additions (monthly)'!$B$2:$B$106,"&lt;="&amp;$B4)</f>
        <v>0</v>
      </c>
      <c r="S4" s="43" t="n">
        <f aca="false">SUMIFS('Additions (monthly)'!$E$2:$E$106,'Additions (monthly)'!$D$2:$D$106,S$2,'Additions (monthly)'!$B$2:$B$106,"&lt;="&amp;$B4)</f>
        <v>7.2</v>
      </c>
      <c r="T4" s="43" t="n">
        <f aca="false">SUMIFS('Additions (monthly)'!$E$2:$E$106,'Additions (monthly)'!$D$2:$D$106,T$2,'Additions (monthly)'!$B$2:$B$106,"&lt;="&amp;$B4)</f>
        <v>0</v>
      </c>
      <c r="U4" s="43" t="n">
        <f aca="false">SUMIFS('Additions (monthly)'!$E$2:$E$106,'Additions (monthly)'!$D$2:$D$106,U$2,'Additions (monthly)'!$B$2:$B$106,"&lt;="&amp;$B4)</f>
        <v>0</v>
      </c>
      <c r="V4" s="43" t="n">
        <f aca="false">SUMIFS('Additions (monthly)'!$E$2:$E$106,'Additions (monthly)'!$D$2:$D$106,V$2,'Additions (monthly)'!$B$2:$B$106,"&lt;="&amp;$B4)</f>
        <v>3.87</v>
      </c>
      <c r="W4" s="43" t="n">
        <f aca="false">SUMIFS('Additions (monthly)'!$E$2:$E$106,'Additions (monthly)'!$D$2:$D$106,W$2,'Additions (monthly)'!$B$2:$B$106,"&lt;="&amp;$B4)</f>
        <v>0</v>
      </c>
      <c r="X4" s="43" t="n">
        <f aca="false">SUMIFS('Additions (monthly)'!$E$2:$E$106,'Additions (monthly)'!$D$2:$D$106,X$2,'Additions (monthly)'!$B$2:$B$106,"&lt;="&amp;$B4)</f>
        <v>0</v>
      </c>
      <c r="Y4" s="43" t="n">
        <f aca="false">SUMIFS('Additions (monthly)'!$E$2:$E$106,'Additions (monthly)'!$D$2:$D$106,Y$2,'Additions (monthly)'!$B$2:$B$106,"&lt;="&amp;$B4)</f>
        <v>5</v>
      </c>
      <c r="Z4" s="43" t="n">
        <f aca="false">SUMIFS('Additions (monthly)'!$E$2:$E$106,'Additions (monthly)'!$D$2:$D$106,Z$2,'Additions (monthly)'!$B$2:$B$106,"&lt;="&amp;$B4)</f>
        <v>7.2</v>
      </c>
      <c r="AA4" s="43" t="n">
        <f aca="false">SUMIFS('Additions (monthly)'!$E$2:$E$106,'Additions (monthly)'!$D$2:$D$106,AA$2,'Additions (monthly)'!$B$2:$B$106,"&lt;="&amp;$B4)</f>
        <v>3.7</v>
      </c>
      <c r="AB4" s="43" t="n">
        <f aca="false">SUMIFS('Additions (monthly)'!$E$2:$E$106,'Additions (monthly)'!$D$2:$D$106,AB$2,'Additions (monthly)'!$B$2:$B$106,"&lt;="&amp;$B4)</f>
        <v>16.95</v>
      </c>
      <c r="AC4" s="43" t="n">
        <f aca="false">SUMIFS('Additions (monthly)'!$E$2:$E$106,'Additions (monthly)'!$D$2:$D$106,AC$2,'Additions (monthly)'!$B$2:$B$106,"&lt;="&amp;$B4)</f>
        <v>0</v>
      </c>
      <c r="AD4" s="43" t="n">
        <f aca="false">SUMIFS('Additions (monthly)'!$E$2:$E$106,'Additions (monthly)'!$D$2:$D$106,AD$2,'Additions (monthly)'!$B$2:$B$106,"&lt;="&amp;$B4)</f>
        <v>7.6</v>
      </c>
      <c r="AE4" s="43" t="n">
        <f aca="false">SUMIFS('Additions (monthly)'!$E$2:$E$106,'Additions (monthly)'!$D$2:$D$106,AE$2,'Additions (monthly)'!$B$2:$B$106,"&lt;="&amp;$B4)</f>
        <v>25.7</v>
      </c>
      <c r="AF4" s="43" t="n">
        <f aca="false">SUMIFS('Additions (monthly)'!$E$2:$E$106,'Additions (monthly)'!$D$2:$D$106,AF$2,'Additions (monthly)'!$B$2:$B$106,"&lt;="&amp;$B4)</f>
        <v>0</v>
      </c>
      <c r="AG4" s="43" t="n">
        <f aca="false">SUMIFS('Additions (monthly)'!$E$2:$E$106,'Additions (monthly)'!$D$2:$D$106,AG$2,'Additions (monthly)'!$B$2:$B$106,"&lt;="&amp;$B4)</f>
        <v>0</v>
      </c>
      <c r="AH4" s="43" t="n">
        <f aca="false">SUMIFS('Additions (monthly)'!$E$2:$E$106,'Additions (monthly)'!$D$2:$D$106,AH$2,'Additions (monthly)'!$B$2:$B$106,"&lt;="&amp;$B4)</f>
        <v>0</v>
      </c>
      <c r="AI4" s="43" t="n">
        <f aca="false">SUMIFS('Additions (monthly)'!$E$2:$E$106,'Additions (monthly)'!$D$2:$D$106,AI$2,'Additions (monthly)'!$B$2:$B$106,"&lt;="&amp;$B4)</f>
        <v>0</v>
      </c>
      <c r="AJ4" s="43" t="n">
        <f aca="false">SUMIFS('Additions (monthly)'!$E$2:$E$106,'Additions (monthly)'!$D$2:$D$106,AJ$2,'Additions (monthly)'!$B$2:$B$106,"&lt;="&amp;$B4)</f>
        <v>0</v>
      </c>
      <c r="AK4" s="43" t="n">
        <f aca="false">SUMIFS('Additions (monthly)'!$E$2:$E$106,'Additions (monthly)'!$D$2:$D$106,AK$2,'Additions (monthly)'!$B$2:$B$106,"&lt;="&amp;$B4)</f>
        <v>0</v>
      </c>
      <c r="AL4" s="43" t="n">
        <f aca="false">SUMIFS('Additions (monthly)'!$E$2:$E$106,'Additions (monthly)'!$D$2:$D$106,AL$2,'Additions (monthly)'!$B$2:$B$106,"&lt;="&amp;$B4)</f>
        <v>22.2</v>
      </c>
      <c r="AM4" s="43" t="n">
        <f aca="false">SUMIFS('Additions (monthly)'!$E$2:$E$106,'Additions (monthly)'!$D$2:$D$106,AM$2,'Additions (monthly)'!$B$2:$B$106,"&lt;="&amp;$B4)</f>
        <v>0</v>
      </c>
      <c r="AN4" s="43" t="n">
        <f aca="false">SUMIFS('Additions (monthly)'!$E$2:$E$106,'Additions (monthly)'!$D$2:$D$106,AN$2,'Additions (monthly)'!$B$2:$B$106,"&lt;="&amp;$B4)</f>
        <v>4.3</v>
      </c>
      <c r="AO4" s="43" t="n">
        <f aca="false">SUMIFS('Additions (monthly)'!$E$2:$E$106,'Additions (monthly)'!$D$2:$D$106,AO$2,'Additions (monthly)'!$B$2:$B$106,"&lt;="&amp;$B4)</f>
        <v>10.4</v>
      </c>
      <c r="AP4" s="43" t="n">
        <f aca="false">SUMIFS('Additions (monthly)'!$E$2:$E$106,'Additions (monthly)'!$D$2:$D$106,AP$2,'Additions (monthly)'!$B$2:$B$106,"&lt;="&amp;$B4)</f>
        <v>0</v>
      </c>
      <c r="AQ4" s="43" t="n">
        <f aca="false">SUMIFS('Additions (monthly)'!$E$2:$E$106,'Additions (monthly)'!$D$2:$D$106,AQ$2,'Additions (monthly)'!$B$2:$B$106,"&lt;="&amp;$B4)</f>
        <v>0</v>
      </c>
      <c r="AR4" s="43" t="n">
        <f aca="false">SUMIFS('Additions (monthly)'!$E$2:$E$106,'Additions (monthly)'!$D$2:$D$106,AR$2,'Additions (monthly)'!$B$2:$B$106,"&lt;="&amp;$B4)</f>
        <v>61.5</v>
      </c>
      <c r="AS4" s="43" t="n">
        <f aca="false">SUMIFS('Additions (monthly)'!$E$2:$E$106,'Additions (monthly)'!$D$2:$D$106,AS$2,'Additions (monthly)'!$B$2:$B$106,"&lt;="&amp;$B4)</f>
        <v>0</v>
      </c>
      <c r="AT4" s="43" t="n">
        <f aca="false">SUMIFS('Additions (monthly)'!$E$2:$E$106,'Additions (monthly)'!$D$2:$D$106,AT$2,'Additions (monthly)'!$B$2:$B$106,"&lt;="&amp;$B4)</f>
        <v>0</v>
      </c>
      <c r="AU4" s="43" t="n">
        <f aca="false">SUMIFS('Additions (monthly)'!$E$2:$E$106,'Additions (monthly)'!$D$2:$D$106,AU$2,'Additions (monthly)'!$B$2:$B$106,"&lt;="&amp;$B4)</f>
        <v>9.6</v>
      </c>
      <c r="AV4" s="43" t="n">
        <f aca="false">SUMIFS('Additions (monthly)'!$E$2:$E$106,'Additions (monthly)'!$D$2:$D$106,AV$2,'Additions (monthly)'!$B$2:$B$106,"&lt;="&amp;$B4)</f>
        <v>0</v>
      </c>
      <c r="AW4" s="43" t="n">
        <f aca="false">SUMIFS('Additions (monthly)'!$E$2:$E$106,'Additions (monthly)'!$D$2:$D$106,AW$2,'Additions (monthly)'!$B$2:$B$106,"&lt;="&amp;$B4)</f>
        <v>0</v>
      </c>
      <c r="AX4" s="43" t="n">
        <f aca="false">SUMIFS('Additions (monthly)'!$E$2:$E$106,'Additions (monthly)'!$D$2:$D$106,AX$2,'Additions (monthly)'!$B$2:$B$106,"&lt;="&amp;$B4)</f>
        <v>11.8</v>
      </c>
      <c r="AY4" s="43" t="n">
        <f aca="false">SUMIFS('Additions (monthly)'!$E$2:$E$106,'Additions (monthly)'!$D$2:$D$106,AY$2,'Additions (monthly)'!$B$2:$B$106,"&lt;="&amp;$B4)</f>
        <v>5.3</v>
      </c>
      <c r="AZ4" s="43" t="n">
        <f aca="false">SUMIFS('Additions (monthly)'!$E$2:$E$106,'Additions (monthly)'!$D$2:$D$106,AZ$2,'Additions (monthly)'!$B$2:$B$106,"&lt;="&amp;$B4)</f>
        <v>0</v>
      </c>
      <c r="BA4" s="43" t="n">
        <f aca="false">SUMIFS('Additions (monthly)'!$E$2:$E$106,'Additions (monthly)'!$D$2:$D$106,BA$2,'Additions (monthly)'!$B$2:$B$106,"&lt;="&amp;$B4)</f>
        <v>0</v>
      </c>
      <c r="BB4" s="43" t="n">
        <f aca="false">SUMIFS('Additions (monthly)'!$E$2:$E$106,'Additions (monthly)'!$D$2:$D$106,BB$2,'Additions (monthly)'!$B$2:$B$106,"&lt;="&amp;$B4)</f>
        <v>0</v>
      </c>
      <c r="BC4" s="43" t="n">
        <f aca="false">SUMIFS('Additions (monthly)'!$E$2:$E$106,'Additions (monthly)'!$D$2:$D$106,BC$2,'Additions (monthly)'!$B$2:$B$106,"&lt;="&amp;$B4)</f>
        <v>0</v>
      </c>
      <c r="BD4" s="43" t="n">
        <f aca="false">SUMIFS('Additions (monthly)'!$E$2:$E$106,'Additions (monthly)'!$D$2:$D$106,BD$2,'Additions (monthly)'!$B$2:$B$106,"&lt;="&amp;$B4)</f>
        <v>0</v>
      </c>
      <c r="BE4" s="43" t="n">
        <f aca="false">SUMIFS('Additions (monthly)'!$E$2:$E$106,'Additions (monthly)'!$D$2:$D$106,BE$2,'Additions (monthly)'!$B$2:$B$106,"&lt;="&amp;$B4)</f>
        <v>0</v>
      </c>
      <c r="BF4" s="43" t="n">
        <f aca="false">SUMIFS('Additions (monthly)'!$E$2:$E$106,'Additions (monthly)'!$D$2:$D$106,BF$2,'Additions (monthly)'!$B$2:$B$106,"&lt;="&amp;$B4)</f>
        <v>0</v>
      </c>
      <c r="BG4" s="43" t="n">
        <f aca="false">SUMIFS('Additions (monthly)'!$E$2:$E$106,'Additions (monthly)'!$D$2:$D$106,BG$2,'Additions (monthly)'!$B$2:$B$106,"&lt;="&amp;$B4)</f>
        <v>0</v>
      </c>
      <c r="BH4" s="43" t="n">
        <f aca="false">SUMIFS('Additions (monthly)'!$E$2:$E$106,'Additions (monthly)'!$D$2:$D$106,BH$2,'Additions (monthly)'!$B$2:$B$106,"&lt;="&amp;$B4)</f>
        <v>0</v>
      </c>
      <c r="BI4" s="43" t="n">
        <f aca="false">SUMIFS('Additions (monthly)'!$E$2:$E$106,'Additions (monthly)'!$D$2:$D$106,BI$2,'Additions (monthly)'!$B$2:$B$106,"&lt;="&amp;$B4)</f>
        <v>6.7</v>
      </c>
    </row>
    <row r="5" customFormat="false" ht="15" hidden="false" customHeight="false" outlineLevel="0" collapsed="false">
      <c r="A5" s="23" t="n">
        <v>40238</v>
      </c>
      <c r="B5" s="24" t="n">
        <v>201003</v>
      </c>
      <c r="C5" s="42" t="n">
        <f aca="false">SUMIFS('Additions (monthly)'!$E$2:$E$106,'Additions (monthly)'!$B$2:$B$106,"&lt;="&amp;$B5)</f>
        <v>243.22</v>
      </c>
      <c r="D5" s="43" t="n">
        <f aca="false">SUMIFS('Additions (monthly)'!$E$2:$E$106,'Additions (monthly)'!$D$2:$D$106,D$2,'Additions (monthly)'!$B$2:$B$106,"&lt;="&amp;$B5)</f>
        <v>7.9</v>
      </c>
      <c r="E5" s="43" t="n">
        <f aca="false">SUMIFS('Additions (monthly)'!$E$2:$E$106,'Additions (monthly)'!$D$2:$D$106,E$2,'Additions (monthly)'!$B$2:$B$106,"&lt;="&amp;$B5)</f>
        <v>8.4</v>
      </c>
      <c r="F5" s="43" t="n">
        <f aca="false">SUMIFS('Additions (monthly)'!$E$2:$E$106,'Additions (monthly)'!$D$2:$D$106,F$2,'Additions (monthly)'!$B$2:$B$106,"&lt;="&amp;$B5)</f>
        <v>0</v>
      </c>
      <c r="G5" s="43" t="n">
        <f aca="false">SUMIFS('Additions (monthly)'!$E$2:$E$106,'Additions (monthly)'!$D$2:$D$106,G$2,'Additions (monthly)'!$B$2:$B$106,"&lt;="&amp;$B5)</f>
        <v>0</v>
      </c>
      <c r="H5" s="43" t="n">
        <f aca="false">SUMIFS('Additions (monthly)'!$E$2:$E$106,'Additions (monthly)'!$D$2:$D$106,H$2,'Additions (monthly)'!$B$2:$B$106,"&lt;="&amp;$B5)</f>
        <v>0</v>
      </c>
      <c r="I5" s="43" t="n">
        <f aca="false">SUMIFS('Additions (monthly)'!$E$2:$E$106,'Additions (monthly)'!$D$2:$D$106,I$2,'Additions (monthly)'!$B$2:$B$106,"&lt;="&amp;$B5)</f>
        <v>0</v>
      </c>
      <c r="J5" s="43" t="n">
        <f aca="false">SUMIFS('Additions (monthly)'!$E$2:$E$106,'Additions (monthly)'!$D$2:$D$106,J$2,'Additions (monthly)'!$B$2:$B$106,"&lt;="&amp;$B5)</f>
        <v>3.7</v>
      </c>
      <c r="K5" s="43" t="n">
        <f aca="false">SUMIFS('Additions (monthly)'!$E$2:$E$106,'Additions (monthly)'!$D$2:$D$106,K$2,'Additions (monthly)'!$B$2:$B$106,"&lt;="&amp;$B5)</f>
        <v>0</v>
      </c>
      <c r="L5" s="43" t="n">
        <f aca="false">SUMIFS('Additions (monthly)'!$E$2:$E$106,'Additions (monthly)'!$D$2:$D$106,L$2,'Additions (monthly)'!$B$2:$B$106,"&lt;="&amp;$B5)</f>
        <v>0</v>
      </c>
      <c r="M5" s="43" t="n">
        <f aca="false">SUMIFS('Additions (monthly)'!$E$2:$E$106,'Additions (monthly)'!$D$2:$D$106,M$2,'Additions (monthly)'!$B$2:$B$106,"&lt;="&amp;$B5)</f>
        <v>0</v>
      </c>
      <c r="N5" s="43" t="n">
        <f aca="false">SUMIFS('Additions (monthly)'!$E$2:$E$106,'Additions (monthly)'!$D$2:$D$106,N$2,'Additions (monthly)'!$B$2:$B$106,"&lt;="&amp;$B5)</f>
        <v>14.2</v>
      </c>
      <c r="O5" s="43" t="n">
        <f aca="false">SUMIFS('Additions (monthly)'!$E$2:$E$106,'Additions (monthly)'!$D$2:$D$106,O$2,'Additions (monthly)'!$B$2:$B$106,"&lt;="&amp;$B5)</f>
        <v>0</v>
      </c>
      <c r="P5" s="43" t="n">
        <f aca="false">SUMIFS('Additions (monthly)'!$E$2:$E$106,'Additions (monthly)'!$D$2:$D$106,P$2,'Additions (monthly)'!$B$2:$B$106,"&lt;="&amp;$B5)</f>
        <v>0</v>
      </c>
      <c r="Q5" s="43" t="n">
        <f aca="false">SUMIFS('Additions (monthly)'!$E$2:$E$106,'Additions (monthly)'!$D$2:$D$106,Q$2,'Additions (monthly)'!$B$2:$B$106,"&lt;="&amp;$B5)</f>
        <v>0</v>
      </c>
      <c r="R5" s="43" t="n">
        <f aca="false">SUMIFS('Additions (monthly)'!$E$2:$E$106,'Additions (monthly)'!$D$2:$D$106,R$2,'Additions (monthly)'!$B$2:$B$106,"&lt;="&amp;$B5)</f>
        <v>0</v>
      </c>
      <c r="S5" s="43" t="n">
        <f aca="false">SUMIFS('Additions (monthly)'!$E$2:$E$106,'Additions (monthly)'!$D$2:$D$106,S$2,'Additions (monthly)'!$B$2:$B$106,"&lt;="&amp;$B5)</f>
        <v>7.2</v>
      </c>
      <c r="T5" s="43" t="n">
        <f aca="false">SUMIFS('Additions (monthly)'!$E$2:$E$106,'Additions (monthly)'!$D$2:$D$106,T$2,'Additions (monthly)'!$B$2:$B$106,"&lt;="&amp;$B5)</f>
        <v>0</v>
      </c>
      <c r="U5" s="43" t="n">
        <f aca="false">SUMIFS('Additions (monthly)'!$E$2:$E$106,'Additions (monthly)'!$D$2:$D$106,U$2,'Additions (monthly)'!$B$2:$B$106,"&lt;="&amp;$B5)</f>
        <v>0</v>
      </c>
      <c r="V5" s="43" t="n">
        <f aca="false">SUMIFS('Additions (monthly)'!$E$2:$E$106,'Additions (monthly)'!$D$2:$D$106,V$2,'Additions (monthly)'!$B$2:$B$106,"&lt;="&amp;$B5)</f>
        <v>3.87</v>
      </c>
      <c r="W5" s="43" t="n">
        <f aca="false">SUMIFS('Additions (monthly)'!$E$2:$E$106,'Additions (monthly)'!$D$2:$D$106,W$2,'Additions (monthly)'!$B$2:$B$106,"&lt;="&amp;$B5)</f>
        <v>0</v>
      </c>
      <c r="X5" s="43" t="n">
        <f aca="false">SUMIFS('Additions (monthly)'!$E$2:$E$106,'Additions (monthly)'!$D$2:$D$106,X$2,'Additions (monthly)'!$B$2:$B$106,"&lt;="&amp;$B5)</f>
        <v>0</v>
      </c>
      <c r="Y5" s="43" t="n">
        <f aca="false">SUMIFS('Additions (monthly)'!$E$2:$E$106,'Additions (monthly)'!$D$2:$D$106,Y$2,'Additions (monthly)'!$B$2:$B$106,"&lt;="&amp;$B5)</f>
        <v>5</v>
      </c>
      <c r="Z5" s="43" t="n">
        <f aca="false">SUMIFS('Additions (monthly)'!$E$2:$E$106,'Additions (monthly)'!$D$2:$D$106,Z$2,'Additions (monthly)'!$B$2:$B$106,"&lt;="&amp;$B5)</f>
        <v>7.2</v>
      </c>
      <c r="AA5" s="43" t="n">
        <f aca="false">SUMIFS('Additions (monthly)'!$E$2:$E$106,'Additions (monthly)'!$D$2:$D$106,AA$2,'Additions (monthly)'!$B$2:$B$106,"&lt;="&amp;$B5)</f>
        <v>3.7</v>
      </c>
      <c r="AB5" s="43" t="n">
        <f aca="false">SUMIFS('Additions (monthly)'!$E$2:$E$106,'Additions (monthly)'!$D$2:$D$106,AB$2,'Additions (monthly)'!$B$2:$B$106,"&lt;="&amp;$B5)</f>
        <v>16.95</v>
      </c>
      <c r="AC5" s="43" t="n">
        <f aca="false">SUMIFS('Additions (monthly)'!$E$2:$E$106,'Additions (monthly)'!$D$2:$D$106,AC$2,'Additions (monthly)'!$B$2:$B$106,"&lt;="&amp;$B5)</f>
        <v>0</v>
      </c>
      <c r="AD5" s="43" t="n">
        <f aca="false">SUMIFS('Additions (monthly)'!$E$2:$E$106,'Additions (monthly)'!$D$2:$D$106,AD$2,'Additions (monthly)'!$B$2:$B$106,"&lt;="&amp;$B5)</f>
        <v>7.6</v>
      </c>
      <c r="AE5" s="43" t="n">
        <f aca="false">SUMIFS('Additions (monthly)'!$E$2:$E$106,'Additions (monthly)'!$D$2:$D$106,AE$2,'Additions (monthly)'!$B$2:$B$106,"&lt;="&amp;$B5)</f>
        <v>25.7</v>
      </c>
      <c r="AF5" s="43" t="n">
        <f aca="false">SUMIFS('Additions (monthly)'!$E$2:$E$106,'Additions (monthly)'!$D$2:$D$106,AF$2,'Additions (monthly)'!$B$2:$B$106,"&lt;="&amp;$B5)</f>
        <v>0</v>
      </c>
      <c r="AG5" s="43" t="n">
        <f aca="false">SUMIFS('Additions (monthly)'!$E$2:$E$106,'Additions (monthly)'!$D$2:$D$106,AG$2,'Additions (monthly)'!$B$2:$B$106,"&lt;="&amp;$B5)</f>
        <v>0</v>
      </c>
      <c r="AH5" s="43" t="n">
        <f aca="false">SUMIFS('Additions (monthly)'!$E$2:$E$106,'Additions (monthly)'!$D$2:$D$106,AH$2,'Additions (monthly)'!$B$2:$B$106,"&lt;="&amp;$B5)</f>
        <v>0</v>
      </c>
      <c r="AI5" s="43" t="n">
        <f aca="false">SUMIFS('Additions (monthly)'!$E$2:$E$106,'Additions (monthly)'!$D$2:$D$106,AI$2,'Additions (monthly)'!$B$2:$B$106,"&lt;="&amp;$B5)</f>
        <v>0</v>
      </c>
      <c r="AJ5" s="43" t="n">
        <f aca="false">SUMIFS('Additions (monthly)'!$E$2:$E$106,'Additions (monthly)'!$D$2:$D$106,AJ$2,'Additions (monthly)'!$B$2:$B$106,"&lt;="&amp;$B5)</f>
        <v>0</v>
      </c>
      <c r="AK5" s="43" t="n">
        <f aca="false">SUMIFS('Additions (monthly)'!$E$2:$E$106,'Additions (monthly)'!$D$2:$D$106,AK$2,'Additions (monthly)'!$B$2:$B$106,"&lt;="&amp;$B5)</f>
        <v>0</v>
      </c>
      <c r="AL5" s="43" t="n">
        <f aca="false">SUMIFS('Additions (monthly)'!$E$2:$E$106,'Additions (monthly)'!$D$2:$D$106,AL$2,'Additions (monthly)'!$B$2:$B$106,"&lt;="&amp;$B5)</f>
        <v>22.2</v>
      </c>
      <c r="AM5" s="43" t="n">
        <f aca="false">SUMIFS('Additions (monthly)'!$E$2:$E$106,'Additions (monthly)'!$D$2:$D$106,AM$2,'Additions (monthly)'!$B$2:$B$106,"&lt;="&amp;$B5)</f>
        <v>0</v>
      </c>
      <c r="AN5" s="43" t="n">
        <f aca="false">SUMIFS('Additions (monthly)'!$E$2:$E$106,'Additions (monthly)'!$D$2:$D$106,AN$2,'Additions (monthly)'!$B$2:$B$106,"&lt;="&amp;$B5)</f>
        <v>4.3</v>
      </c>
      <c r="AO5" s="43" t="n">
        <f aca="false">SUMIFS('Additions (monthly)'!$E$2:$E$106,'Additions (monthly)'!$D$2:$D$106,AO$2,'Additions (monthly)'!$B$2:$B$106,"&lt;="&amp;$B5)</f>
        <v>10.4</v>
      </c>
      <c r="AP5" s="43" t="n">
        <f aca="false">SUMIFS('Additions (monthly)'!$E$2:$E$106,'Additions (monthly)'!$D$2:$D$106,AP$2,'Additions (monthly)'!$B$2:$B$106,"&lt;="&amp;$B5)</f>
        <v>0</v>
      </c>
      <c r="AQ5" s="43" t="n">
        <f aca="false">SUMIFS('Additions (monthly)'!$E$2:$E$106,'Additions (monthly)'!$D$2:$D$106,AQ$2,'Additions (monthly)'!$B$2:$B$106,"&lt;="&amp;$B5)</f>
        <v>0</v>
      </c>
      <c r="AR5" s="43" t="n">
        <f aca="false">SUMIFS('Additions (monthly)'!$E$2:$E$106,'Additions (monthly)'!$D$2:$D$106,AR$2,'Additions (monthly)'!$B$2:$B$106,"&lt;="&amp;$B5)</f>
        <v>61.5</v>
      </c>
      <c r="AS5" s="43" t="n">
        <f aca="false">SUMIFS('Additions (monthly)'!$E$2:$E$106,'Additions (monthly)'!$D$2:$D$106,AS$2,'Additions (monthly)'!$B$2:$B$106,"&lt;="&amp;$B5)</f>
        <v>0</v>
      </c>
      <c r="AT5" s="43" t="n">
        <f aca="false">SUMIFS('Additions (monthly)'!$E$2:$E$106,'Additions (monthly)'!$D$2:$D$106,AT$2,'Additions (monthly)'!$B$2:$B$106,"&lt;="&amp;$B5)</f>
        <v>0</v>
      </c>
      <c r="AU5" s="43" t="n">
        <f aca="false">SUMIFS('Additions (monthly)'!$E$2:$E$106,'Additions (monthly)'!$D$2:$D$106,AU$2,'Additions (monthly)'!$B$2:$B$106,"&lt;="&amp;$B5)</f>
        <v>9.6</v>
      </c>
      <c r="AV5" s="43" t="n">
        <f aca="false">SUMIFS('Additions (monthly)'!$E$2:$E$106,'Additions (monthly)'!$D$2:$D$106,AV$2,'Additions (monthly)'!$B$2:$B$106,"&lt;="&amp;$B5)</f>
        <v>0</v>
      </c>
      <c r="AW5" s="43" t="n">
        <f aca="false">SUMIFS('Additions (monthly)'!$E$2:$E$106,'Additions (monthly)'!$D$2:$D$106,AW$2,'Additions (monthly)'!$B$2:$B$106,"&lt;="&amp;$B5)</f>
        <v>0</v>
      </c>
      <c r="AX5" s="43" t="n">
        <f aca="false">SUMIFS('Additions (monthly)'!$E$2:$E$106,'Additions (monthly)'!$D$2:$D$106,AX$2,'Additions (monthly)'!$B$2:$B$106,"&lt;="&amp;$B5)</f>
        <v>11.8</v>
      </c>
      <c r="AY5" s="43" t="n">
        <f aca="false">SUMIFS('Additions (monthly)'!$E$2:$E$106,'Additions (monthly)'!$D$2:$D$106,AY$2,'Additions (monthly)'!$B$2:$B$106,"&lt;="&amp;$B5)</f>
        <v>5.3</v>
      </c>
      <c r="AZ5" s="43" t="n">
        <f aca="false">SUMIFS('Additions (monthly)'!$E$2:$E$106,'Additions (monthly)'!$D$2:$D$106,AZ$2,'Additions (monthly)'!$B$2:$B$106,"&lt;="&amp;$B5)</f>
        <v>0</v>
      </c>
      <c r="BA5" s="43" t="n">
        <f aca="false">SUMIFS('Additions (monthly)'!$E$2:$E$106,'Additions (monthly)'!$D$2:$D$106,BA$2,'Additions (monthly)'!$B$2:$B$106,"&lt;="&amp;$B5)</f>
        <v>0</v>
      </c>
      <c r="BB5" s="43" t="n">
        <f aca="false">SUMIFS('Additions (monthly)'!$E$2:$E$106,'Additions (monthly)'!$D$2:$D$106,BB$2,'Additions (monthly)'!$B$2:$B$106,"&lt;="&amp;$B5)</f>
        <v>0</v>
      </c>
      <c r="BC5" s="43" t="n">
        <f aca="false">SUMIFS('Additions (monthly)'!$E$2:$E$106,'Additions (monthly)'!$D$2:$D$106,BC$2,'Additions (monthly)'!$B$2:$B$106,"&lt;="&amp;$B5)</f>
        <v>0</v>
      </c>
      <c r="BD5" s="43" t="n">
        <f aca="false">SUMIFS('Additions (monthly)'!$E$2:$E$106,'Additions (monthly)'!$D$2:$D$106,BD$2,'Additions (monthly)'!$B$2:$B$106,"&lt;="&amp;$B5)</f>
        <v>0</v>
      </c>
      <c r="BE5" s="43" t="n">
        <f aca="false">SUMIFS('Additions (monthly)'!$E$2:$E$106,'Additions (monthly)'!$D$2:$D$106,BE$2,'Additions (monthly)'!$B$2:$B$106,"&lt;="&amp;$B5)</f>
        <v>0</v>
      </c>
      <c r="BF5" s="43" t="n">
        <f aca="false">SUMIFS('Additions (monthly)'!$E$2:$E$106,'Additions (monthly)'!$D$2:$D$106,BF$2,'Additions (monthly)'!$B$2:$B$106,"&lt;="&amp;$B5)</f>
        <v>0</v>
      </c>
      <c r="BG5" s="43" t="n">
        <f aca="false">SUMIFS('Additions (monthly)'!$E$2:$E$106,'Additions (monthly)'!$D$2:$D$106,BG$2,'Additions (monthly)'!$B$2:$B$106,"&lt;="&amp;$B5)</f>
        <v>0</v>
      </c>
      <c r="BH5" s="43" t="n">
        <f aca="false">SUMIFS('Additions (monthly)'!$E$2:$E$106,'Additions (monthly)'!$D$2:$D$106,BH$2,'Additions (monthly)'!$B$2:$B$106,"&lt;="&amp;$B5)</f>
        <v>0</v>
      </c>
      <c r="BI5" s="43" t="n">
        <f aca="false">SUMIFS('Additions (monthly)'!$E$2:$E$106,'Additions (monthly)'!$D$2:$D$106,BI$2,'Additions (monthly)'!$B$2:$B$106,"&lt;="&amp;$B5)</f>
        <v>6.7</v>
      </c>
    </row>
    <row r="6" customFormat="false" ht="15" hidden="false" customHeight="false" outlineLevel="0" collapsed="false">
      <c r="A6" s="23" t="n">
        <v>40269</v>
      </c>
      <c r="B6" s="24" t="n">
        <v>201004</v>
      </c>
      <c r="C6" s="42" t="n">
        <f aca="false">SUMIFS('Additions (monthly)'!$E$2:$E$106,'Additions (monthly)'!$B$2:$B$106,"&lt;="&amp;$B6)</f>
        <v>243.22</v>
      </c>
      <c r="D6" s="43" t="n">
        <f aca="false">SUMIFS('Additions (monthly)'!$E$2:$E$106,'Additions (monthly)'!$D$2:$D$106,D$2,'Additions (monthly)'!$B$2:$B$106,"&lt;="&amp;$B6)</f>
        <v>7.9</v>
      </c>
      <c r="E6" s="43" t="n">
        <f aca="false">SUMIFS('Additions (monthly)'!$E$2:$E$106,'Additions (monthly)'!$D$2:$D$106,E$2,'Additions (monthly)'!$B$2:$B$106,"&lt;="&amp;$B6)</f>
        <v>8.4</v>
      </c>
      <c r="F6" s="43" t="n">
        <f aca="false">SUMIFS('Additions (monthly)'!$E$2:$E$106,'Additions (monthly)'!$D$2:$D$106,F$2,'Additions (monthly)'!$B$2:$B$106,"&lt;="&amp;$B6)</f>
        <v>0</v>
      </c>
      <c r="G6" s="43" t="n">
        <f aca="false">SUMIFS('Additions (monthly)'!$E$2:$E$106,'Additions (monthly)'!$D$2:$D$106,G$2,'Additions (monthly)'!$B$2:$B$106,"&lt;="&amp;$B6)</f>
        <v>0</v>
      </c>
      <c r="H6" s="43" t="n">
        <f aca="false">SUMIFS('Additions (monthly)'!$E$2:$E$106,'Additions (monthly)'!$D$2:$D$106,H$2,'Additions (monthly)'!$B$2:$B$106,"&lt;="&amp;$B6)</f>
        <v>0</v>
      </c>
      <c r="I6" s="43" t="n">
        <f aca="false">SUMIFS('Additions (monthly)'!$E$2:$E$106,'Additions (monthly)'!$D$2:$D$106,I$2,'Additions (monthly)'!$B$2:$B$106,"&lt;="&amp;$B6)</f>
        <v>0</v>
      </c>
      <c r="J6" s="43" t="n">
        <f aca="false">SUMIFS('Additions (monthly)'!$E$2:$E$106,'Additions (monthly)'!$D$2:$D$106,J$2,'Additions (monthly)'!$B$2:$B$106,"&lt;="&amp;$B6)</f>
        <v>3.7</v>
      </c>
      <c r="K6" s="43" t="n">
        <f aca="false">SUMIFS('Additions (monthly)'!$E$2:$E$106,'Additions (monthly)'!$D$2:$D$106,K$2,'Additions (monthly)'!$B$2:$B$106,"&lt;="&amp;$B6)</f>
        <v>0</v>
      </c>
      <c r="L6" s="43" t="n">
        <f aca="false">SUMIFS('Additions (monthly)'!$E$2:$E$106,'Additions (monthly)'!$D$2:$D$106,L$2,'Additions (monthly)'!$B$2:$B$106,"&lt;="&amp;$B6)</f>
        <v>0</v>
      </c>
      <c r="M6" s="43" t="n">
        <f aca="false">SUMIFS('Additions (monthly)'!$E$2:$E$106,'Additions (monthly)'!$D$2:$D$106,M$2,'Additions (monthly)'!$B$2:$B$106,"&lt;="&amp;$B6)</f>
        <v>0</v>
      </c>
      <c r="N6" s="43" t="n">
        <f aca="false">SUMIFS('Additions (monthly)'!$E$2:$E$106,'Additions (monthly)'!$D$2:$D$106,N$2,'Additions (monthly)'!$B$2:$B$106,"&lt;="&amp;$B6)</f>
        <v>14.2</v>
      </c>
      <c r="O6" s="43" t="n">
        <f aca="false">SUMIFS('Additions (monthly)'!$E$2:$E$106,'Additions (monthly)'!$D$2:$D$106,O$2,'Additions (monthly)'!$B$2:$B$106,"&lt;="&amp;$B6)</f>
        <v>0</v>
      </c>
      <c r="P6" s="43" t="n">
        <f aca="false">SUMIFS('Additions (monthly)'!$E$2:$E$106,'Additions (monthly)'!$D$2:$D$106,P$2,'Additions (monthly)'!$B$2:$B$106,"&lt;="&amp;$B6)</f>
        <v>0</v>
      </c>
      <c r="Q6" s="43" t="n">
        <f aca="false">SUMIFS('Additions (monthly)'!$E$2:$E$106,'Additions (monthly)'!$D$2:$D$106,Q$2,'Additions (monthly)'!$B$2:$B$106,"&lt;="&amp;$B6)</f>
        <v>0</v>
      </c>
      <c r="R6" s="43" t="n">
        <f aca="false">SUMIFS('Additions (monthly)'!$E$2:$E$106,'Additions (monthly)'!$D$2:$D$106,R$2,'Additions (monthly)'!$B$2:$B$106,"&lt;="&amp;$B6)</f>
        <v>0</v>
      </c>
      <c r="S6" s="43" t="n">
        <f aca="false">SUMIFS('Additions (monthly)'!$E$2:$E$106,'Additions (monthly)'!$D$2:$D$106,S$2,'Additions (monthly)'!$B$2:$B$106,"&lt;="&amp;$B6)</f>
        <v>7.2</v>
      </c>
      <c r="T6" s="43" t="n">
        <f aca="false">SUMIFS('Additions (monthly)'!$E$2:$E$106,'Additions (monthly)'!$D$2:$D$106,T$2,'Additions (monthly)'!$B$2:$B$106,"&lt;="&amp;$B6)</f>
        <v>0</v>
      </c>
      <c r="U6" s="43" t="n">
        <f aca="false">SUMIFS('Additions (monthly)'!$E$2:$E$106,'Additions (monthly)'!$D$2:$D$106,U$2,'Additions (monthly)'!$B$2:$B$106,"&lt;="&amp;$B6)</f>
        <v>0</v>
      </c>
      <c r="V6" s="43" t="n">
        <f aca="false">SUMIFS('Additions (monthly)'!$E$2:$E$106,'Additions (monthly)'!$D$2:$D$106,V$2,'Additions (monthly)'!$B$2:$B$106,"&lt;="&amp;$B6)</f>
        <v>3.87</v>
      </c>
      <c r="W6" s="43" t="n">
        <f aca="false">SUMIFS('Additions (monthly)'!$E$2:$E$106,'Additions (monthly)'!$D$2:$D$106,W$2,'Additions (monthly)'!$B$2:$B$106,"&lt;="&amp;$B6)</f>
        <v>0</v>
      </c>
      <c r="X6" s="43" t="n">
        <f aca="false">SUMIFS('Additions (monthly)'!$E$2:$E$106,'Additions (monthly)'!$D$2:$D$106,X$2,'Additions (monthly)'!$B$2:$B$106,"&lt;="&amp;$B6)</f>
        <v>0</v>
      </c>
      <c r="Y6" s="43" t="n">
        <f aca="false">SUMIFS('Additions (monthly)'!$E$2:$E$106,'Additions (monthly)'!$D$2:$D$106,Y$2,'Additions (monthly)'!$B$2:$B$106,"&lt;="&amp;$B6)</f>
        <v>5</v>
      </c>
      <c r="Z6" s="43" t="n">
        <f aca="false">SUMIFS('Additions (monthly)'!$E$2:$E$106,'Additions (monthly)'!$D$2:$D$106,Z$2,'Additions (monthly)'!$B$2:$B$106,"&lt;="&amp;$B6)</f>
        <v>7.2</v>
      </c>
      <c r="AA6" s="43" t="n">
        <f aca="false">SUMIFS('Additions (monthly)'!$E$2:$E$106,'Additions (monthly)'!$D$2:$D$106,AA$2,'Additions (monthly)'!$B$2:$B$106,"&lt;="&amp;$B6)</f>
        <v>3.7</v>
      </c>
      <c r="AB6" s="43" t="n">
        <f aca="false">SUMIFS('Additions (monthly)'!$E$2:$E$106,'Additions (monthly)'!$D$2:$D$106,AB$2,'Additions (monthly)'!$B$2:$B$106,"&lt;="&amp;$B6)</f>
        <v>16.95</v>
      </c>
      <c r="AC6" s="43" t="n">
        <f aca="false">SUMIFS('Additions (monthly)'!$E$2:$E$106,'Additions (monthly)'!$D$2:$D$106,AC$2,'Additions (monthly)'!$B$2:$B$106,"&lt;="&amp;$B6)</f>
        <v>0</v>
      </c>
      <c r="AD6" s="43" t="n">
        <f aca="false">SUMIFS('Additions (monthly)'!$E$2:$E$106,'Additions (monthly)'!$D$2:$D$106,AD$2,'Additions (monthly)'!$B$2:$B$106,"&lt;="&amp;$B6)</f>
        <v>7.6</v>
      </c>
      <c r="AE6" s="43" t="n">
        <f aca="false">SUMIFS('Additions (monthly)'!$E$2:$E$106,'Additions (monthly)'!$D$2:$D$106,AE$2,'Additions (monthly)'!$B$2:$B$106,"&lt;="&amp;$B6)</f>
        <v>25.7</v>
      </c>
      <c r="AF6" s="43" t="n">
        <f aca="false">SUMIFS('Additions (monthly)'!$E$2:$E$106,'Additions (monthly)'!$D$2:$D$106,AF$2,'Additions (monthly)'!$B$2:$B$106,"&lt;="&amp;$B6)</f>
        <v>0</v>
      </c>
      <c r="AG6" s="43" t="n">
        <f aca="false">SUMIFS('Additions (monthly)'!$E$2:$E$106,'Additions (monthly)'!$D$2:$D$106,AG$2,'Additions (monthly)'!$B$2:$B$106,"&lt;="&amp;$B6)</f>
        <v>0</v>
      </c>
      <c r="AH6" s="43" t="n">
        <f aca="false">SUMIFS('Additions (monthly)'!$E$2:$E$106,'Additions (monthly)'!$D$2:$D$106,AH$2,'Additions (monthly)'!$B$2:$B$106,"&lt;="&amp;$B6)</f>
        <v>0</v>
      </c>
      <c r="AI6" s="43" t="n">
        <f aca="false">SUMIFS('Additions (monthly)'!$E$2:$E$106,'Additions (monthly)'!$D$2:$D$106,AI$2,'Additions (monthly)'!$B$2:$B$106,"&lt;="&amp;$B6)</f>
        <v>0</v>
      </c>
      <c r="AJ6" s="43" t="n">
        <f aca="false">SUMIFS('Additions (monthly)'!$E$2:$E$106,'Additions (monthly)'!$D$2:$D$106,AJ$2,'Additions (monthly)'!$B$2:$B$106,"&lt;="&amp;$B6)</f>
        <v>0</v>
      </c>
      <c r="AK6" s="43" t="n">
        <f aca="false">SUMIFS('Additions (monthly)'!$E$2:$E$106,'Additions (monthly)'!$D$2:$D$106,AK$2,'Additions (monthly)'!$B$2:$B$106,"&lt;="&amp;$B6)</f>
        <v>0</v>
      </c>
      <c r="AL6" s="43" t="n">
        <f aca="false">SUMIFS('Additions (monthly)'!$E$2:$E$106,'Additions (monthly)'!$D$2:$D$106,AL$2,'Additions (monthly)'!$B$2:$B$106,"&lt;="&amp;$B6)</f>
        <v>22.2</v>
      </c>
      <c r="AM6" s="43" t="n">
        <f aca="false">SUMIFS('Additions (monthly)'!$E$2:$E$106,'Additions (monthly)'!$D$2:$D$106,AM$2,'Additions (monthly)'!$B$2:$B$106,"&lt;="&amp;$B6)</f>
        <v>0</v>
      </c>
      <c r="AN6" s="43" t="n">
        <f aca="false">SUMIFS('Additions (monthly)'!$E$2:$E$106,'Additions (monthly)'!$D$2:$D$106,AN$2,'Additions (monthly)'!$B$2:$B$106,"&lt;="&amp;$B6)</f>
        <v>4.3</v>
      </c>
      <c r="AO6" s="43" t="n">
        <f aca="false">SUMIFS('Additions (monthly)'!$E$2:$E$106,'Additions (monthly)'!$D$2:$D$106,AO$2,'Additions (monthly)'!$B$2:$B$106,"&lt;="&amp;$B6)</f>
        <v>10.4</v>
      </c>
      <c r="AP6" s="43" t="n">
        <f aca="false">SUMIFS('Additions (monthly)'!$E$2:$E$106,'Additions (monthly)'!$D$2:$D$106,AP$2,'Additions (monthly)'!$B$2:$B$106,"&lt;="&amp;$B6)</f>
        <v>0</v>
      </c>
      <c r="AQ6" s="43" t="n">
        <f aca="false">SUMIFS('Additions (monthly)'!$E$2:$E$106,'Additions (monthly)'!$D$2:$D$106,AQ$2,'Additions (monthly)'!$B$2:$B$106,"&lt;="&amp;$B6)</f>
        <v>0</v>
      </c>
      <c r="AR6" s="43" t="n">
        <f aca="false">SUMIFS('Additions (monthly)'!$E$2:$E$106,'Additions (monthly)'!$D$2:$D$106,AR$2,'Additions (monthly)'!$B$2:$B$106,"&lt;="&amp;$B6)</f>
        <v>61.5</v>
      </c>
      <c r="AS6" s="43" t="n">
        <f aca="false">SUMIFS('Additions (monthly)'!$E$2:$E$106,'Additions (monthly)'!$D$2:$D$106,AS$2,'Additions (monthly)'!$B$2:$B$106,"&lt;="&amp;$B6)</f>
        <v>0</v>
      </c>
      <c r="AT6" s="43" t="n">
        <f aca="false">SUMIFS('Additions (monthly)'!$E$2:$E$106,'Additions (monthly)'!$D$2:$D$106,AT$2,'Additions (monthly)'!$B$2:$B$106,"&lt;="&amp;$B6)</f>
        <v>0</v>
      </c>
      <c r="AU6" s="43" t="n">
        <f aca="false">SUMIFS('Additions (monthly)'!$E$2:$E$106,'Additions (monthly)'!$D$2:$D$106,AU$2,'Additions (monthly)'!$B$2:$B$106,"&lt;="&amp;$B6)</f>
        <v>9.6</v>
      </c>
      <c r="AV6" s="43" t="n">
        <f aca="false">SUMIFS('Additions (monthly)'!$E$2:$E$106,'Additions (monthly)'!$D$2:$D$106,AV$2,'Additions (monthly)'!$B$2:$B$106,"&lt;="&amp;$B6)</f>
        <v>0</v>
      </c>
      <c r="AW6" s="43" t="n">
        <f aca="false">SUMIFS('Additions (monthly)'!$E$2:$E$106,'Additions (monthly)'!$D$2:$D$106,AW$2,'Additions (monthly)'!$B$2:$B$106,"&lt;="&amp;$B6)</f>
        <v>0</v>
      </c>
      <c r="AX6" s="43" t="n">
        <f aca="false">SUMIFS('Additions (monthly)'!$E$2:$E$106,'Additions (monthly)'!$D$2:$D$106,AX$2,'Additions (monthly)'!$B$2:$B$106,"&lt;="&amp;$B6)</f>
        <v>11.8</v>
      </c>
      <c r="AY6" s="43" t="n">
        <f aca="false">SUMIFS('Additions (monthly)'!$E$2:$E$106,'Additions (monthly)'!$D$2:$D$106,AY$2,'Additions (monthly)'!$B$2:$B$106,"&lt;="&amp;$B6)</f>
        <v>5.3</v>
      </c>
      <c r="AZ6" s="43" t="n">
        <f aca="false">SUMIFS('Additions (monthly)'!$E$2:$E$106,'Additions (monthly)'!$D$2:$D$106,AZ$2,'Additions (monthly)'!$B$2:$B$106,"&lt;="&amp;$B6)</f>
        <v>0</v>
      </c>
      <c r="BA6" s="43" t="n">
        <f aca="false">SUMIFS('Additions (monthly)'!$E$2:$E$106,'Additions (monthly)'!$D$2:$D$106,BA$2,'Additions (monthly)'!$B$2:$B$106,"&lt;="&amp;$B6)</f>
        <v>0</v>
      </c>
      <c r="BB6" s="43" t="n">
        <f aca="false">SUMIFS('Additions (monthly)'!$E$2:$E$106,'Additions (monthly)'!$D$2:$D$106,BB$2,'Additions (monthly)'!$B$2:$B$106,"&lt;="&amp;$B6)</f>
        <v>0</v>
      </c>
      <c r="BC6" s="43" t="n">
        <f aca="false">SUMIFS('Additions (monthly)'!$E$2:$E$106,'Additions (monthly)'!$D$2:$D$106,BC$2,'Additions (monthly)'!$B$2:$B$106,"&lt;="&amp;$B6)</f>
        <v>0</v>
      </c>
      <c r="BD6" s="43" t="n">
        <f aca="false">SUMIFS('Additions (monthly)'!$E$2:$E$106,'Additions (monthly)'!$D$2:$D$106,BD$2,'Additions (monthly)'!$B$2:$B$106,"&lt;="&amp;$B6)</f>
        <v>0</v>
      </c>
      <c r="BE6" s="43" t="n">
        <f aca="false">SUMIFS('Additions (monthly)'!$E$2:$E$106,'Additions (monthly)'!$D$2:$D$106,BE$2,'Additions (monthly)'!$B$2:$B$106,"&lt;="&amp;$B6)</f>
        <v>0</v>
      </c>
      <c r="BF6" s="43" t="n">
        <f aca="false">SUMIFS('Additions (monthly)'!$E$2:$E$106,'Additions (monthly)'!$D$2:$D$106,BF$2,'Additions (monthly)'!$B$2:$B$106,"&lt;="&amp;$B6)</f>
        <v>0</v>
      </c>
      <c r="BG6" s="43" t="n">
        <f aca="false">SUMIFS('Additions (monthly)'!$E$2:$E$106,'Additions (monthly)'!$D$2:$D$106,BG$2,'Additions (monthly)'!$B$2:$B$106,"&lt;="&amp;$B6)</f>
        <v>0</v>
      </c>
      <c r="BH6" s="43" t="n">
        <f aca="false">SUMIFS('Additions (monthly)'!$E$2:$E$106,'Additions (monthly)'!$D$2:$D$106,BH$2,'Additions (monthly)'!$B$2:$B$106,"&lt;="&amp;$B6)</f>
        <v>0</v>
      </c>
      <c r="BI6" s="43" t="n">
        <f aca="false">SUMIFS('Additions (monthly)'!$E$2:$E$106,'Additions (monthly)'!$D$2:$D$106,BI$2,'Additions (monthly)'!$B$2:$B$106,"&lt;="&amp;$B6)</f>
        <v>6.7</v>
      </c>
    </row>
    <row r="7" customFormat="false" ht="15" hidden="false" customHeight="false" outlineLevel="0" collapsed="false">
      <c r="A7" s="23" t="n">
        <v>40299</v>
      </c>
      <c r="B7" s="24" t="n">
        <v>201005</v>
      </c>
      <c r="C7" s="42" t="n">
        <f aca="false">SUMIFS('Additions (monthly)'!$E$2:$E$106,'Additions (monthly)'!$B$2:$B$106,"&lt;="&amp;$B7)</f>
        <v>243.22</v>
      </c>
      <c r="D7" s="43" t="n">
        <f aca="false">SUMIFS('Additions (monthly)'!$E$2:$E$106,'Additions (monthly)'!$D$2:$D$106,D$2,'Additions (monthly)'!$B$2:$B$106,"&lt;="&amp;$B7)</f>
        <v>7.9</v>
      </c>
      <c r="E7" s="43" t="n">
        <f aca="false">SUMIFS('Additions (monthly)'!$E$2:$E$106,'Additions (monthly)'!$D$2:$D$106,E$2,'Additions (monthly)'!$B$2:$B$106,"&lt;="&amp;$B7)</f>
        <v>8.4</v>
      </c>
      <c r="F7" s="43" t="n">
        <f aca="false">SUMIFS('Additions (monthly)'!$E$2:$E$106,'Additions (monthly)'!$D$2:$D$106,F$2,'Additions (monthly)'!$B$2:$B$106,"&lt;="&amp;$B7)</f>
        <v>0</v>
      </c>
      <c r="G7" s="43" t="n">
        <f aca="false">SUMIFS('Additions (monthly)'!$E$2:$E$106,'Additions (monthly)'!$D$2:$D$106,G$2,'Additions (monthly)'!$B$2:$B$106,"&lt;="&amp;$B7)</f>
        <v>0</v>
      </c>
      <c r="H7" s="43" t="n">
        <f aca="false">SUMIFS('Additions (monthly)'!$E$2:$E$106,'Additions (monthly)'!$D$2:$D$106,H$2,'Additions (monthly)'!$B$2:$B$106,"&lt;="&amp;$B7)</f>
        <v>0</v>
      </c>
      <c r="I7" s="43" t="n">
        <f aca="false">SUMIFS('Additions (monthly)'!$E$2:$E$106,'Additions (monthly)'!$D$2:$D$106,I$2,'Additions (monthly)'!$B$2:$B$106,"&lt;="&amp;$B7)</f>
        <v>0</v>
      </c>
      <c r="J7" s="43" t="n">
        <f aca="false">SUMIFS('Additions (monthly)'!$E$2:$E$106,'Additions (monthly)'!$D$2:$D$106,J$2,'Additions (monthly)'!$B$2:$B$106,"&lt;="&amp;$B7)</f>
        <v>3.7</v>
      </c>
      <c r="K7" s="43" t="n">
        <f aca="false">SUMIFS('Additions (monthly)'!$E$2:$E$106,'Additions (monthly)'!$D$2:$D$106,K$2,'Additions (monthly)'!$B$2:$B$106,"&lt;="&amp;$B7)</f>
        <v>0</v>
      </c>
      <c r="L7" s="43" t="n">
        <f aca="false">SUMIFS('Additions (monthly)'!$E$2:$E$106,'Additions (monthly)'!$D$2:$D$106,L$2,'Additions (monthly)'!$B$2:$B$106,"&lt;="&amp;$B7)</f>
        <v>0</v>
      </c>
      <c r="M7" s="43" t="n">
        <f aca="false">SUMIFS('Additions (monthly)'!$E$2:$E$106,'Additions (monthly)'!$D$2:$D$106,M$2,'Additions (monthly)'!$B$2:$B$106,"&lt;="&amp;$B7)</f>
        <v>0</v>
      </c>
      <c r="N7" s="43" t="n">
        <f aca="false">SUMIFS('Additions (monthly)'!$E$2:$E$106,'Additions (monthly)'!$D$2:$D$106,N$2,'Additions (monthly)'!$B$2:$B$106,"&lt;="&amp;$B7)</f>
        <v>14.2</v>
      </c>
      <c r="O7" s="43" t="n">
        <f aca="false">SUMIFS('Additions (monthly)'!$E$2:$E$106,'Additions (monthly)'!$D$2:$D$106,O$2,'Additions (monthly)'!$B$2:$B$106,"&lt;="&amp;$B7)</f>
        <v>0</v>
      </c>
      <c r="P7" s="43" t="n">
        <f aca="false">SUMIFS('Additions (monthly)'!$E$2:$E$106,'Additions (monthly)'!$D$2:$D$106,P$2,'Additions (monthly)'!$B$2:$B$106,"&lt;="&amp;$B7)</f>
        <v>0</v>
      </c>
      <c r="Q7" s="43" t="n">
        <f aca="false">SUMIFS('Additions (monthly)'!$E$2:$E$106,'Additions (monthly)'!$D$2:$D$106,Q$2,'Additions (monthly)'!$B$2:$B$106,"&lt;="&amp;$B7)</f>
        <v>0</v>
      </c>
      <c r="R7" s="43" t="n">
        <f aca="false">SUMIFS('Additions (monthly)'!$E$2:$E$106,'Additions (monthly)'!$D$2:$D$106,R$2,'Additions (monthly)'!$B$2:$B$106,"&lt;="&amp;$B7)</f>
        <v>0</v>
      </c>
      <c r="S7" s="43" t="n">
        <f aca="false">SUMIFS('Additions (monthly)'!$E$2:$E$106,'Additions (monthly)'!$D$2:$D$106,S$2,'Additions (monthly)'!$B$2:$B$106,"&lt;="&amp;$B7)</f>
        <v>7.2</v>
      </c>
      <c r="T7" s="43" t="n">
        <f aca="false">SUMIFS('Additions (monthly)'!$E$2:$E$106,'Additions (monthly)'!$D$2:$D$106,T$2,'Additions (monthly)'!$B$2:$B$106,"&lt;="&amp;$B7)</f>
        <v>0</v>
      </c>
      <c r="U7" s="43" t="n">
        <f aca="false">SUMIFS('Additions (monthly)'!$E$2:$E$106,'Additions (monthly)'!$D$2:$D$106,U$2,'Additions (monthly)'!$B$2:$B$106,"&lt;="&amp;$B7)</f>
        <v>0</v>
      </c>
      <c r="V7" s="43" t="n">
        <f aca="false">SUMIFS('Additions (monthly)'!$E$2:$E$106,'Additions (monthly)'!$D$2:$D$106,V$2,'Additions (monthly)'!$B$2:$B$106,"&lt;="&amp;$B7)</f>
        <v>3.87</v>
      </c>
      <c r="W7" s="43" t="n">
        <f aca="false">SUMIFS('Additions (monthly)'!$E$2:$E$106,'Additions (monthly)'!$D$2:$D$106,W$2,'Additions (monthly)'!$B$2:$B$106,"&lt;="&amp;$B7)</f>
        <v>0</v>
      </c>
      <c r="X7" s="43" t="n">
        <f aca="false">SUMIFS('Additions (monthly)'!$E$2:$E$106,'Additions (monthly)'!$D$2:$D$106,X$2,'Additions (monthly)'!$B$2:$B$106,"&lt;="&amp;$B7)</f>
        <v>0</v>
      </c>
      <c r="Y7" s="43" t="n">
        <f aca="false">SUMIFS('Additions (monthly)'!$E$2:$E$106,'Additions (monthly)'!$D$2:$D$106,Y$2,'Additions (monthly)'!$B$2:$B$106,"&lt;="&amp;$B7)</f>
        <v>5</v>
      </c>
      <c r="Z7" s="43" t="n">
        <f aca="false">SUMIFS('Additions (monthly)'!$E$2:$E$106,'Additions (monthly)'!$D$2:$D$106,Z$2,'Additions (monthly)'!$B$2:$B$106,"&lt;="&amp;$B7)</f>
        <v>7.2</v>
      </c>
      <c r="AA7" s="43" t="n">
        <f aca="false">SUMIFS('Additions (monthly)'!$E$2:$E$106,'Additions (monthly)'!$D$2:$D$106,AA$2,'Additions (monthly)'!$B$2:$B$106,"&lt;="&amp;$B7)</f>
        <v>3.7</v>
      </c>
      <c r="AB7" s="43" t="n">
        <f aca="false">SUMIFS('Additions (monthly)'!$E$2:$E$106,'Additions (monthly)'!$D$2:$D$106,AB$2,'Additions (monthly)'!$B$2:$B$106,"&lt;="&amp;$B7)</f>
        <v>16.95</v>
      </c>
      <c r="AC7" s="43" t="n">
        <f aca="false">SUMIFS('Additions (monthly)'!$E$2:$E$106,'Additions (monthly)'!$D$2:$D$106,AC$2,'Additions (monthly)'!$B$2:$B$106,"&lt;="&amp;$B7)</f>
        <v>0</v>
      </c>
      <c r="AD7" s="43" t="n">
        <f aca="false">SUMIFS('Additions (monthly)'!$E$2:$E$106,'Additions (monthly)'!$D$2:$D$106,AD$2,'Additions (monthly)'!$B$2:$B$106,"&lt;="&amp;$B7)</f>
        <v>7.6</v>
      </c>
      <c r="AE7" s="43" t="n">
        <f aca="false">SUMIFS('Additions (monthly)'!$E$2:$E$106,'Additions (monthly)'!$D$2:$D$106,AE$2,'Additions (monthly)'!$B$2:$B$106,"&lt;="&amp;$B7)</f>
        <v>25.7</v>
      </c>
      <c r="AF7" s="43" t="n">
        <f aca="false">SUMIFS('Additions (monthly)'!$E$2:$E$106,'Additions (monthly)'!$D$2:$D$106,AF$2,'Additions (monthly)'!$B$2:$B$106,"&lt;="&amp;$B7)</f>
        <v>0</v>
      </c>
      <c r="AG7" s="43" t="n">
        <f aca="false">SUMIFS('Additions (monthly)'!$E$2:$E$106,'Additions (monthly)'!$D$2:$D$106,AG$2,'Additions (monthly)'!$B$2:$B$106,"&lt;="&amp;$B7)</f>
        <v>0</v>
      </c>
      <c r="AH7" s="43" t="n">
        <f aca="false">SUMIFS('Additions (monthly)'!$E$2:$E$106,'Additions (monthly)'!$D$2:$D$106,AH$2,'Additions (monthly)'!$B$2:$B$106,"&lt;="&amp;$B7)</f>
        <v>0</v>
      </c>
      <c r="AI7" s="43" t="n">
        <f aca="false">SUMIFS('Additions (monthly)'!$E$2:$E$106,'Additions (monthly)'!$D$2:$D$106,AI$2,'Additions (monthly)'!$B$2:$B$106,"&lt;="&amp;$B7)</f>
        <v>0</v>
      </c>
      <c r="AJ7" s="43" t="n">
        <f aca="false">SUMIFS('Additions (monthly)'!$E$2:$E$106,'Additions (monthly)'!$D$2:$D$106,AJ$2,'Additions (monthly)'!$B$2:$B$106,"&lt;="&amp;$B7)</f>
        <v>0</v>
      </c>
      <c r="AK7" s="43" t="n">
        <f aca="false">SUMIFS('Additions (monthly)'!$E$2:$E$106,'Additions (monthly)'!$D$2:$D$106,AK$2,'Additions (monthly)'!$B$2:$B$106,"&lt;="&amp;$B7)</f>
        <v>0</v>
      </c>
      <c r="AL7" s="43" t="n">
        <f aca="false">SUMIFS('Additions (monthly)'!$E$2:$E$106,'Additions (monthly)'!$D$2:$D$106,AL$2,'Additions (monthly)'!$B$2:$B$106,"&lt;="&amp;$B7)</f>
        <v>22.2</v>
      </c>
      <c r="AM7" s="43" t="n">
        <f aca="false">SUMIFS('Additions (monthly)'!$E$2:$E$106,'Additions (monthly)'!$D$2:$D$106,AM$2,'Additions (monthly)'!$B$2:$B$106,"&lt;="&amp;$B7)</f>
        <v>0</v>
      </c>
      <c r="AN7" s="43" t="n">
        <f aca="false">SUMIFS('Additions (monthly)'!$E$2:$E$106,'Additions (monthly)'!$D$2:$D$106,AN$2,'Additions (monthly)'!$B$2:$B$106,"&lt;="&amp;$B7)</f>
        <v>4.3</v>
      </c>
      <c r="AO7" s="43" t="n">
        <f aca="false">SUMIFS('Additions (monthly)'!$E$2:$E$106,'Additions (monthly)'!$D$2:$D$106,AO$2,'Additions (monthly)'!$B$2:$B$106,"&lt;="&amp;$B7)</f>
        <v>10.4</v>
      </c>
      <c r="AP7" s="43" t="n">
        <f aca="false">SUMIFS('Additions (monthly)'!$E$2:$E$106,'Additions (monthly)'!$D$2:$D$106,AP$2,'Additions (monthly)'!$B$2:$B$106,"&lt;="&amp;$B7)</f>
        <v>0</v>
      </c>
      <c r="AQ7" s="43" t="n">
        <f aca="false">SUMIFS('Additions (monthly)'!$E$2:$E$106,'Additions (monthly)'!$D$2:$D$106,AQ$2,'Additions (monthly)'!$B$2:$B$106,"&lt;="&amp;$B7)</f>
        <v>0</v>
      </c>
      <c r="AR7" s="43" t="n">
        <f aca="false">SUMIFS('Additions (monthly)'!$E$2:$E$106,'Additions (monthly)'!$D$2:$D$106,AR$2,'Additions (monthly)'!$B$2:$B$106,"&lt;="&amp;$B7)</f>
        <v>61.5</v>
      </c>
      <c r="AS7" s="43" t="n">
        <f aca="false">SUMIFS('Additions (monthly)'!$E$2:$E$106,'Additions (monthly)'!$D$2:$D$106,AS$2,'Additions (monthly)'!$B$2:$B$106,"&lt;="&amp;$B7)</f>
        <v>0</v>
      </c>
      <c r="AT7" s="43" t="n">
        <f aca="false">SUMIFS('Additions (monthly)'!$E$2:$E$106,'Additions (monthly)'!$D$2:$D$106,AT$2,'Additions (monthly)'!$B$2:$B$106,"&lt;="&amp;$B7)</f>
        <v>0</v>
      </c>
      <c r="AU7" s="43" t="n">
        <f aca="false">SUMIFS('Additions (monthly)'!$E$2:$E$106,'Additions (monthly)'!$D$2:$D$106,AU$2,'Additions (monthly)'!$B$2:$B$106,"&lt;="&amp;$B7)</f>
        <v>9.6</v>
      </c>
      <c r="AV7" s="43" t="n">
        <f aca="false">SUMIFS('Additions (monthly)'!$E$2:$E$106,'Additions (monthly)'!$D$2:$D$106,AV$2,'Additions (monthly)'!$B$2:$B$106,"&lt;="&amp;$B7)</f>
        <v>0</v>
      </c>
      <c r="AW7" s="43" t="n">
        <f aca="false">SUMIFS('Additions (monthly)'!$E$2:$E$106,'Additions (monthly)'!$D$2:$D$106,AW$2,'Additions (monthly)'!$B$2:$B$106,"&lt;="&amp;$B7)</f>
        <v>0</v>
      </c>
      <c r="AX7" s="43" t="n">
        <f aca="false">SUMIFS('Additions (monthly)'!$E$2:$E$106,'Additions (monthly)'!$D$2:$D$106,AX$2,'Additions (monthly)'!$B$2:$B$106,"&lt;="&amp;$B7)</f>
        <v>11.8</v>
      </c>
      <c r="AY7" s="43" t="n">
        <f aca="false">SUMIFS('Additions (monthly)'!$E$2:$E$106,'Additions (monthly)'!$D$2:$D$106,AY$2,'Additions (monthly)'!$B$2:$B$106,"&lt;="&amp;$B7)</f>
        <v>5.3</v>
      </c>
      <c r="AZ7" s="43" t="n">
        <f aca="false">SUMIFS('Additions (monthly)'!$E$2:$E$106,'Additions (monthly)'!$D$2:$D$106,AZ$2,'Additions (monthly)'!$B$2:$B$106,"&lt;="&amp;$B7)</f>
        <v>0</v>
      </c>
      <c r="BA7" s="43" t="n">
        <f aca="false">SUMIFS('Additions (monthly)'!$E$2:$E$106,'Additions (monthly)'!$D$2:$D$106,BA$2,'Additions (monthly)'!$B$2:$B$106,"&lt;="&amp;$B7)</f>
        <v>0</v>
      </c>
      <c r="BB7" s="43" t="n">
        <f aca="false">SUMIFS('Additions (monthly)'!$E$2:$E$106,'Additions (monthly)'!$D$2:$D$106,BB$2,'Additions (monthly)'!$B$2:$B$106,"&lt;="&amp;$B7)</f>
        <v>0</v>
      </c>
      <c r="BC7" s="43" t="n">
        <f aca="false">SUMIFS('Additions (monthly)'!$E$2:$E$106,'Additions (monthly)'!$D$2:$D$106,BC$2,'Additions (monthly)'!$B$2:$B$106,"&lt;="&amp;$B7)</f>
        <v>0</v>
      </c>
      <c r="BD7" s="43" t="n">
        <f aca="false">SUMIFS('Additions (monthly)'!$E$2:$E$106,'Additions (monthly)'!$D$2:$D$106,BD$2,'Additions (monthly)'!$B$2:$B$106,"&lt;="&amp;$B7)</f>
        <v>0</v>
      </c>
      <c r="BE7" s="43" t="n">
        <f aca="false">SUMIFS('Additions (monthly)'!$E$2:$E$106,'Additions (monthly)'!$D$2:$D$106,BE$2,'Additions (monthly)'!$B$2:$B$106,"&lt;="&amp;$B7)</f>
        <v>0</v>
      </c>
      <c r="BF7" s="43" t="n">
        <f aca="false">SUMIFS('Additions (monthly)'!$E$2:$E$106,'Additions (monthly)'!$D$2:$D$106,BF$2,'Additions (monthly)'!$B$2:$B$106,"&lt;="&amp;$B7)</f>
        <v>0</v>
      </c>
      <c r="BG7" s="43" t="n">
        <f aca="false">SUMIFS('Additions (monthly)'!$E$2:$E$106,'Additions (monthly)'!$D$2:$D$106,BG$2,'Additions (monthly)'!$B$2:$B$106,"&lt;="&amp;$B7)</f>
        <v>0</v>
      </c>
      <c r="BH7" s="43" t="n">
        <f aca="false">SUMIFS('Additions (monthly)'!$E$2:$E$106,'Additions (monthly)'!$D$2:$D$106,BH$2,'Additions (monthly)'!$B$2:$B$106,"&lt;="&amp;$B7)</f>
        <v>0</v>
      </c>
      <c r="BI7" s="43" t="n">
        <f aca="false">SUMIFS('Additions (monthly)'!$E$2:$E$106,'Additions (monthly)'!$D$2:$D$106,BI$2,'Additions (monthly)'!$B$2:$B$106,"&lt;="&amp;$B7)</f>
        <v>6.7</v>
      </c>
    </row>
    <row r="8" customFormat="false" ht="15" hidden="false" customHeight="false" outlineLevel="0" collapsed="false">
      <c r="A8" s="23" t="n">
        <v>40330</v>
      </c>
      <c r="B8" s="24" t="n">
        <v>201006</v>
      </c>
      <c r="C8" s="42" t="n">
        <f aca="false">SUMIFS('Additions (monthly)'!$E$2:$E$106,'Additions (monthly)'!$B$2:$B$106,"&lt;="&amp;$B8)</f>
        <v>247.67</v>
      </c>
      <c r="D8" s="43" t="n">
        <f aca="false">SUMIFS('Additions (monthly)'!$E$2:$E$106,'Additions (monthly)'!$D$2:$D$106,D$2,'Additions (monthly)'!$B$2:$B$106,"&lt;="&amp;$B8)</f>
        <v>7.9</v>
      </c>
      <c r="E8" s="43" t="n">
        <f aca="false">SUMIFS('Additions (monthly)'!$E$2:$E$106,'Additions (monthly)'!$D$2:$D$106,E$2,'Additions (monthly)'!$B$2:$B$106,"&lt;="&amp;$B8)</f>
        <v>8.4</v>
      </c>
      <c r="F8" s="43" t="n">
        <f aca="false">SUMIFS('Additions (monthly)'!$E$2:$E$106,'Additions (monthly)'!$D$2:$D$106,F$2,'Additions (monthly)'!$B$2:$B$106,"&lt;="&amp;$B8)</f>
        <v>0</v>
      </c>
      <c r="G8" s="43" t="n">
        <f aca="false">SUMIFS('Additions (monthly)'!$E$2:$E$106,'Additions (monthly)'!$D$2:$D$106,G$2,'Additions (monthly)'!$B$2:$B$106,"&lt;="&amp;$B8)</f>
        <v>0</v>
      </c>
      <c r="H8" s="43" t="n">
        <f aca="false">SUMIFS('Additions (monthly)'!$E$2:$E$106,'Additions (monthly)'!$D$2:$D$106,H$2,'Additions (monthly)'!$B$2:$B$106,"&lt;="&amp;$B8)</f>
        <v>0</v>
      </c>
      <c r="I8" s="43" t="n">
        <f aca="false">SUMIFS('Additions (monthly)'!$E$2:$E$106,'Additions (monthly)'!$D$2:$D$106,I$2,'Additions (monthly)'!$B$2:$B$106,"&lt;="&amp;$B8)</f>
        <v>0</v>
      </c>
      <c r="J8" s="43" t="n">
        <f aca="false">SUMIFS('Additions (monthly)'!$E$2:$E$106,'Additions (monthly)'!$D$2:$D$106,J$2,'Additions (monthly)'!$B$2:$B$106,"&lt;="&amp;$B8)</f>
        <v>3.7</v>
      </c>
      <c r="K8" s="43" t="n">
        <f aca="false">SUMIFS('Additions (monthly)'!$E$2:$E$106,'Additions (monthly)'!$D$2:$D$106,K$2,'Additions (monthly)'!$B$2:$B$106,"&lt;="&amp;$B8)</f>
        <v>0</v>
      </c>
      <c r="L8" s="43" t="n">
        <f aca="false">SUMIFS('Additions (monthly)'!$E$2:$E$106,'Additions (monthly)'!$D$2:$D$106,L$2,'Additions (monthly)'!$B$2:$B$106,"&lt;="&amp;$B8)</f>
        <v>0</v>
      </c>
      <c r="M8" s="43" t="n">
        <f aca="false">SUMIFS('Additions (monthly)'!$E$2:$E$106,'Additions (monthly)'!$D$2:$D$106,M$2,'Additions (monthly)'!$B$2:$B$106,"&lt;="&amp;$B8)</f>
        <v>0</v>
      </c>
      <c r="N8" s="43" t="n">
        <f aca="false">SUMIFS('Additions (monthly)'!$E$2:$E$106,'Additions (monthly)'!$D$2:$D$106,N$2,'Additions (monthly)'!$B$2:$B$106,"&lt;="&amp;$B8)</f>
        <v>14.2</v>
      </c>
      <c r="O8" s="43" t="n">
        <f aca="false">SUMIFS('Additions (monthly)'!$E$2:$E$106,'Additions (monthly)'!$D$2:$D$106,O$2,'Additions (monthly)'!$B$2:$B$106,"&lt;="&amp;$B8)</f>
        <v>0</v>
      </c>
      <c r="P8" s="43" t="n">
        <f aca="false">SUMIFS('Additions (monthly)'!$E$2:$E$106,'Additions (monthly)'!$D$2:$D$106,P$2,'Additions (monthly)'!$B$2:$B$106,"&lt;="&amp;$B8)</f>
        <v>0</v>
      </c>
      <c r="Q8" s="43" t="n">
        <f aca="false">SUMIFS('Additions (monthly)'!$E$2:$E$106,'Additions (monthly)'!$D$2:$D$106,Q$2,'Additions (monthly)'!$B$2:$B$106,"&lt;="&amp;$B8)</f>
        <v>0</v>
      </c>
      <c r="R8" s="43" t="n">
        <f aca="false">SUMIFS('Additions (monthly)'!$E$2:$E$106,'Additions (monthly)'!$D$2:$D$106,R$2,'Additions (monthly)'!$B$2:$B$106,"&lt;="&amp;$B8)</f>
        <v>0</v>
      </c>
      <c r="S8" s="43" t="n">
        <f aca="false">SUMIFS('Additions (monthly)'!$E$2:$E$106,'Additions (monthly)'!$D$2:$D$106,S$2,'Additions (monthly)'!$B$2:$B$106,"&lt;="&amp;$B8)</f>
        <v>7.2</v>
      </c>
      <c r="T8" s="43" t="n">
        <f aca="false">SUMIFS('Additions (monthly)'!$E$2:$E$106,'Additions (monthly)'!$D$2:$D$106,T$2,'Additions (monthly)'!$B$2:$B$106,"&lt;="&amp;$B8)</f>
        <v>0</v>
      </c>
      <c r="U8" s="43" t="n">
        <f aca="false">SUMIFS('Additions (monthly)'!$E$2:$E$106,'Additions (monthly)'!$D$2:$D$106,U$2,'Additions (monthly)'!$B$2:$B$106,"&lt;="&amp;$B8)</f>
        <v>0</v>
      </c>
      <c r="V8" s="43" t="n">
        <f aca="false">SUMIFS('Additions (monthly)'!$E$2:$E$106,'Additions (monthly)'!$D$2:$D$106,V$2,'Additions (monthly)'!$B$2:$B$106,"&lt;="&amp;$B8)</f>
        <v>3.87</v>
      </c>
      <c r="W8" s="43" t="n">
        <f aca="false">SUMIFS('Additions (monthly)'!$E$2:$E$106,'Additions (monthly)'!$D$2:$D$106,W$2,'Additions (monthly)'!$B$2:$B$106,"&lt;="&amp;$B8)</f>
        <v>0</v>
      </c>
      <c r="X8" s="43" t="n">
        <f aca="false">SUMIFS('Additions (monthly)'!$E$2:$E$106,'Additions (monthly)'!$D$2:$D$106,X$2,'Additions (monthly)'!$B$2:$B$106,"&lt;="&amp;$B8)</f>
        <v>0</v>
      </c>
      <c r="Y8" s="43" t="n">
        <f aca="false">SUMIFS('Additions (monthly)'!$E$2:$E$106,'Additions (monthly)'!$D$2:$D$106,Y$2,'Additions (monthly)'!$B$2:$B$106,"&lt;="&amp;$B8)</f>
        <v>5</v>
      </c>
      <c r="Z8" s="43" t="n">
        <f aca="false">SUMIFS('Additions (monthly)'!$E$2:$E$106,'Additions (monthly)'!$D$2:$D$106,Z$2,'Additions (monthly)'!$B$2:$B$106,"&lt;="&amp;$B8)</f>
        <v>7.2</v>
      </c>
      <c r="AA8" s="43" t="n">
        <f aca="false">SUMIFS('Additions (monthly)'!$E$2:$E$106,'Additions (monthly)'!$D$2:$D$106,AA$2,'Additions (monthly)'!$B$2:$B$106,"&lt;="&amp;$B8)</f>
        <v>3.7</v>
      </c>
      <c r="AB8" s="43" t="n">
        <f aca="false">SUMIFS('Additions (monthly)'!$E$2:$E$106,'Additions (monthly)'!$D$2:$D$106,AB$2,'Additions (monthly)'!$B$2:$B$106,"&lt;="&amp;$B8)</f>
        <v>16.95</v>
      </c>
      <c r="AC8" s="43" t="n">
        <f aca="false">SUMIFS('Additions (monthly)'!$E$2:$E$106,'Additions (monthly)'!$D$2:$D$106,AC$2,'Additions (monthly)'!$B$2:$B$106,"&lt;="&amp;$B8)</f>
        <v>0</v>
      </c>
      <c r="AD8" s="43" t="n">
        <f aca="false">SUMIFS('Additions (monthly)'!$E$2:$E$106,'Additions (monthly)'!$D$2:$D$106,AD$2,'Additions (monthly)'!$B$2:$B$106,"&lt;="&amp;$B8)</f>
        <v>7.6</v>
      </c>
      <c r="AE8" s="43" t="n">
        <f aca="false">SUMIFS('Additions (monthly)'!$E$2:$E$106,'Additions (monthly)'!$D$2:$D$106,AE$2,'Additions (monthly)'!$B$2:$B$106,"&lt;="&amp;$B8)</f>
        <v>25.7</v>
      </c>
      <c r="AF8" s="43" t="n">
        <f aca="false">SUMIFS('Additions (monthly)'!$E$2:$E$106,'Additions (monthly)'!$D$2:$D$106,AF$2,'Additions (monthly)'!$B$2:$B$106,"&lt;="&amp;$B8)</f>
        <v>0</v>
      </c>
      <c r="AG8" s="43" t="n">
        <f aca="false">SUMIFS('Additions (monthly)'!$E$2:$E$106,'Additions (monthly)'!$D$2:$D$106,AG$2,'Additions (monthly)'!$B$2:$B$106,"&lt;="&amp;$B8)</f>
        <v>0</v>
      </c>
      <c r="AH8" s="43" t="n">
        <f aca="false">SUMIFS('Additions (monthly)'!$E$2:$E$106,'Additions (monthly)'!$D$2:$D$106,AH$2,'Additions (monthly)'!$B$2:$B$106,"&lt;="&amp;$B8)</f>
        <v>0</v>
      </c>
      <c r="AI8" s="43" t="n">
        <f aca="false">SUMIFS('Additions (monthly)'!$E$2:$E$106,'Additions (monthly)'!$D$2:$D$106,AI$2,'Additions (monthly)'!$B$2:$B$106,"&lt;="&amp;$B8)</f>
        <v>0</v>
      </c>
      <c r="AJ8" s="43" t="n">
        <f aca="false">SUMIFS('Additions (monthly)'!$E$2:$E$106,'Additions (monthly)'!$D$2:$D$106,AJ$2,'Additions (monthly)'!$B$2:$B$106,"&lt;="&amp;$B8)</f>
        <v>0</v>
      </c>
      <c r="AK8" s="43" t="n">
        <f aca="false">SUMIFS('Additions (monthly)'!$E$2:$E$106,'Additions (monthly)'!$D$2:$D$106,AK$2,'Additions (monthly)'!$B$2:$B$106,"&lt;="&amp;$B8)</f>
        <v>0</v>
      </c>
      <c r="AL8" s="43" t="n">
        <f aca="false">SUMIFS('Additions (monthly)'!$E$2:$E$106,'Additions (monthly)'!$D$2:$D$106,AL$2,'Additions (monthly)'!$B$2:$B$106,"&lt;="&amp;$B8)</f>
        <v>22.2</v>
      </c>
      <c r="AM8" s="43" t="n">
        <f aca="false">SUMIFS('Additions (monthly)'!$E$2:$E$106,'Additions (monthly)'!$D$2:$D$106,AM$2,'Additions (monthly)'!$B$2:$B$106,"&lt;="&amp;$B8)</f>
        <v>0</v>
      </c>
      <c r="AN8" s="43" t="n">
        <f aca="false">SUMIFS('Additions (monthly)'!$E$2:$E$106,'Additions (monthly)'!$D$2:$D$106,AN$2,'Additions (monthly)'!$B$2:$B$106,"&lt;="&amp;$B8)</f>
        <v>4.3</v>
      </c>
      <c r="AO8" s="43" t="n">
        <f aca="false">SUMIFS('Additions (monthly)'!$E$2:$E$106,'Additions (monthly)'!$D$2:$D$106,AO$2,'Additions (monthly)'!$B$2:$B$106,"&lt;="&amp;$B8)</f>
        <v>10.4</v>
      </c>
      <c r="AP8" s="43" t="n">
        <f aca="false">SUMIFS('Additions (monthly)'!$E$2:$E$106,'Additions (monthly)'!$D$2:$D$106,AP$2,'Additions (monthly)'!$B$2:$B$106,"&lt;="&amp;$B8)</f>
        <v>0</v>
      </c>
      <c r="AQ8" s="43" t="n">
        <f aca="false">SUMIFS('Additions (monthly)'!$E$2:$E$106,'Additions (monthly)'!$D$2:$D$106,AQ$2,'Additions (monthly)'!$B$2:$B$106,"&lt;="&amp;$B8)</f>
        <v>4.45</v>
      </c>
      <c r="AR8" s="43" t="n">
        <f aca="false">SUMIFS('Additions (monthly)'!$E$2:$E$106,'Additions (monthly)'!$D$2:$D$106,AR$2,'Additions (monthly)'!$B$2:$B$106,"&lt;="&amp;$B8)</f>
        <v>61.5</v>
      </c>
      <c r="AS8" s="43" t="n">
        <f aca="false">SUMIFS('Additions (monthly)'!$E$2:$E$106,'Additions (monthly)'!$D$2:$D$106,AS$2,'Additions (monthly)'!$B$2:$B$106,"&lt;="&amp;$B8)</f>
        <v>0</v>
      </c>
      <c r="AT8" s="43" t="n">
        <f aca="false">SUMIFS('Additions (monthly)'!$E$2:$E$106,'Additions (monthly)'!$D$2:$D$106,AT$2,'Additions (monthly)'!$B$2:$B$106,"&lt;="&amp;$B8)</f>
        <v>0</v>
      </c>
      <c r="AU8" s="43" t="n">
        <f aca="false">SUMIFS('Additions (monthly)'!$E$2:$E$106,'Additions (monthly)'!$D$2:$D$106,AU$2,'Additions (monthly)'!$B$2:$B$106,"&lt;="&amp;$B8)</f>
        <v>9.6</v>
      </c>
      <c r="AV8" s="43" t="n">
        <f aca="false">SUMIFS('Additions (monthly)'!$E$2:$E$106,'Additions (monthly)'!$D$2:$D$106,AV$2,'Additions (monthly)'!$B$2:$B$106,"&lt;="&amp;$B8)</f>
        <v>0</v>
      </c>
      <c r="AW8" s="43" t="n">
        <f aca="false">SUMIFS('Additions (monthly)'!$E$2:$E$106,'Additions (monthly)'!$D$2:$D$106,AW$2,'Additions (monthly)'!$B$2:$B$106,"&lt;="&amp;$B8)</f>
        <v>0</v>
      </c>
      <c r="AX8" s="43" t="n">
        <f aca="false">SUMIFS('Additions (monthly)'!$E$2:$E$106,'Additions (monthly)'!$D$2:$D$106,AX$2,'Additions (monthly)'!$B$2:$B$106,"&lt;="&amp;$B8)</f>
        <v>11.8</v>
      </c>
      <c r="AY8" s="43" t="n">
        <f aca="false">SUMIFS('Additions (monthly)'!$E$2:$E$106,'Additions (monthly)'!$D$2:$D$106,AY$2,'Additions (monthly)'!$B$2:$B$106,"&lt;="&amp;$B8)</f>
        <v>5.3</v>
      </c>
      <c r="AZ8" s="43" t="n">
        <f aca="false">SUMIFS('Additions (monthly)'!$E$2:$E$106,'Additions (monthly)'!$D$2:$D$106,AZ$2,'Additions (monthly)'!$B$2:$B$106,"&lt;="&amp;$B8)</f>
        <v>0</v>
      </c>
      <c r="BA8" s="43" t="n">
        <f aca="false">SUMIFS('Additions (monthly)'!$E$2:$E$106,'Additions (monthly)'!$D$2:$D$106,BA$2,'Additions (monthly)'!$B$2:$B$106,"&lt;="&amp;$B8)</f>
        <v>0</v>
      </c>
      <c r="BB8" s="43" t="n">
        <f aca="false">SUMIFS('Additions (monthly)'!$E$2:$E$106,'Additions (monthly)'!$D$2:$D$106,BB$2,'Additions (monthly)'!$B$2:$B$106,"&lt;="&amp;$B8)</f>
        <v>0</v>
      </c>
      <c r="BC8" s="43" t="n">
        <f aca="false">SUMIFS('Additions (monthly)'!$E$2:$E$106,'Additions (monthly)'!$D$2:$D$106,BC$2,'Additions (monthly)'!$B$2:$B$106,"&lt;="&amp;$B8)</f>
        <v>0</v>
      </c>
      <c r="BD8" s="43" t="n">
        <f aca="false">SUMIFS('Additions (monthly)'!$E$2:$E$106,'Additions (monthly)'!$D$2:$D$106,BD$2,'Additions (monthly)'!$B$2:$B$106,"&lt;="&amp;$B8)</f>
        <v>0</v>
      </c>
      <c r="BE8" s="43" t="n">
        <f aca="false">SUMIFS('Additions (monthly)'!$E$2:$E$106,'Additions (monthly)'!$D$2:$D$106,BE$2,'Additions (monthly)'!$B$2:$B$106,"&lt;="&amp;$B8)</f>
        <v>0</v>
      </c>
      <c r="BF8" s="43" t="n">
        <f aca="false">SUMIFS('Additions (monthly)'!$E$2:$E$106,'Additions (monthly)'!$D$2:$D$106,BF$2,'Additions (monthly)'!$B$2:$B$106,"&lt;="&amp;$B8)</f>
        <v>0</v>
      </c>
      <c r="BG8" s="43" t="n">
        <f aca="false">SUMIFS('Additions (monthly)'!$E$2:$E$106,'Additions (monthly)'!$D$2:$D$106,BG$2,'Additions (monthly)'!$B$2:$B$106,"&lt;="&amp;$B8)</f>
        <v>0</v>
      </c>
      <c r="BH8" s="43" t="n">
        <f aca="false">SUMIFS('Additions (monthly)'!$E$2:$E$106,'Additions (monthly)'!$D$2:$D$106,BH$2,'Additions (monthly)'!$B$2:$B$106,"&lt;="&amp;$B8)</f>
        <v>0</v>
      </c>
      <c r="BI8" s="43" t="n">
        <f aca="false">SUMIFS('Additions (monthly)'!$E$2:$E$106,'Additions (monthly)'!$D$2:$D$106,BI$2,'Additions (monthly)'!$B$2:$B$106,"&lt;="&amp;$B8)</f>
        <v>6.7</v>
      </c>
    </row>
    <row r="9" customFormat="false" ht="15" hidden="false" customHeight="false" outlineLevel="0" collapsed="false">
      <c r="A9" s="23" t="n">
        <v>40360</v>
      </c>
      <c r="B9" s="24" t="n">
        <v>201007</v>
      </c>
      <c r="C9" s="42" t="n">
        <f aca="false">SUMIFS('Additions (monthly)'!$E$2:$E$106,'Additions (monthly)'!$B$2:$B$106,"&lt;="&amp;$B9)</f>
        <v>247.67</v>
      </c>
      <c r="D9" s="43" t="n">
        <f aca="false">SUMIFS('Additions (monthly)'!$E$2:$E$106,'Additions (monthly)'!$D$2:$D$106,D$2,'Additions (monthly)'!$B$2:$B$106,"&lt;="&amp;$B9)</f>
        <v>7.9</v>
      </c>
      <c r="E9" s="43" t="n">
        <f aca="false">SUMIFS('Additions (monthly)'!$E$2:$E$106,'Additions (monthly)'!$D$2:$D$106,E$2,'Additions (monthly)'!$B$2:$B$106,"&lt;="&amp;$B9)</f>
        <v>8.4</v>
      </c>
      <c r="F9" s="43" t="n">
        <f aca="false">SUMIFS('Additions (monthly)'!$E$2:$E$106,'Additions (monthly)'!$D$2:$D$106,F$2,'Additions (monthly)'!$B$2:$B$106,"&lt;="&amp;$B9)</f>
        <v>0</v>
      </c>
      <c r="G9" s="43" t="n">
        <f aca="false">SUMIFS('Additions (monthly)'!$E$2:$E$106,'Additions (monthly)'!$D$2:$D$106,G$2,'Additions (monthly)'!$B$2:$B$106,"&lt;="&amp;$B9)</f>
        <v>0</v>
      </c>
      <c r="H9" s="43" t="n">
        <f aca="false">SUMIFS('Additions (monthly)'!$E$2:$E$106,'Additions (monthly)'!$D$2:$D$106,H$2,'Additions (monthly)'!$B$2:$B$106,"&lt;="&amp;$B9)</f>
        <v>0</v>
      </c>
      <c r="I9" s="43" t="n">
        <f aca="false">SUMIFS('Additions (monthly)'!$E$2:$E$106,'Additions (monthly)'!$D$2:$D$106,I$2,'Additions (monthly)'!$B$2:$B$106,"&lt;="&amp;$B9)</f>
        <v>0</v>
      </c>
      <c r="J9" s="43" t="n">
        <f aca="false">SUMIFS('Additions (monthly)'!$E$2:$E$106,'Additions (monthly)'!$D$2:$D$106,J$2,'Additions (monthly)'!$B$2:$B$106,"&lt;="&amp;$B9)</f>
        <v>3.7</v>
      </c>
      <c r="K9" s="43" t="n">
        <f aca="false">SUMIFS('Additions (monthly)'!$E$2:$E$106,'Additions (monthly)'!$D$2:$D$106,K$2,'Additions (monthly)'!$B$2:$B$106,"&lt;="&amp;$B9)</f>
        <v>0</v>
      </c>
      <c r="L9" s="43" t="n">
        <f aca="false">SUMIFS('Additions (monthly)'!$E$2:$E$106,'Additions (monthly)'!$D$2:$D$106,L$2,'Additions (monthly)'!$B$2:$B$106,"&lt;="&amp;$B9)</f>
        <v>0</v>
      </c>
      <c r="M9" s="43" t="n">
        <f aca="false">SUMIFS('Additions (monthly)'!$E$2:$E$106,'Additions (monthly)'!$D$2:$D$106,M$2,'Additions (monthly)'!$B$2:$B$106,"&lt;="&amp;$B9)</f>
        <v>0</v>
      </c>
      <c r="N9" s="43" t="n">
        <f aca="false">SUMIFS('Additions (monthly)'!$E$2:$E$106,'Additions (monthly)'!$D$2:$D$106,N$2,'Additions (monthly)'!$B$2:$B$106,"&lt;="&amp;$B9)</f>
        <v>14.2</v>
      </c>
      <c r="O9" s="43" t="n">
        <f aca="false">SUMIFS('Additions (monthly)'!$E$2:$E$106,'Additions (monthly)'!$D$2:$D$106,O$2,'Additions (monthly)'!$B$2:$B$106,"&lt;="&amp;$B9)</f>
        <v>0</v>
      </c>
      <c r="P9" s="43" t="n">
        <f aca="false">SUMIFS('Additions (monthly)'!$E$2:$E$106,'Additions (monthly)'!$D$2:$D$106,P$2,'Additions (monthly)'!$B$2:$B$106,"&lt;="&amp;$B9)</f>
        <v>0</v>
      </c>
      <c r="Q9" s="43" t="n">
        <f aca="false">SUMIFS('Additions (monthly)'!$E$2:$E$106,'Additions (monthly)'!$D$2:$D$106,Q$2,'Additions (monthly)'!$B$2:$B$106,"&lt;="&amp;$B9)</f>
        <v>0</v>
      </c>
      <c r="R9" s="43" t="n">
        <f aca="false">SUMIFS('Additions (monthly)'!$E$2:$E$106,'Additions (monthly)'!$D$2:$D$106,R$2,'Additions (monthly)'!$B$2:$B$106,"&lt;="&amp;$B9)</f>
        <v>0</v>
      </c>
      <c r="S9" s="43" t="n">
        <f aca="false">SUMIFS('Additions (monthly)'!$E$2:$E$106,'Additions (monthly)'!$D$2:$D$106,S$2,'Additions (monthly)'!$B$2:$B$106,"&lt;="&amp;$B9)</f>
        <v>7.2</v>
      </c>
      <c r="T9" s="43" t="n">
        <f aca="false">SUMIFS('Additions (monthly)'!$E$2:$E$106,'Additions (monthly)'!$D$2:$D$106,T$2,'Additions (monthly)'!$B$2:$B$106,"&lt;="&amp;$B9)</f>
        <v>0</v>
      </c>
      <c r="U9" s="43" t="n">
        <f aca="false">SUMIFS('Additions (monthly)'!$E$2:$E$106,'Additions (monthly)'!$D$2:$D$106,U$2,'Additions (monthly)'!$B$2:$B$106,"&lt;="&amp;$B9)</f>
        <v>0</v>
      </c>
      <c r="V9" s="43" t="n">
        <f aca="false">SUMIFS('Additions (monthly)'!$E$2:$E$106,'Additions (monthly)'!$D$2:$D$106,V$2,'Additions (monthly)'!$B$2:$B$106,"&lt;="&amp;$B9)</f>
        <v>3.87</v>
      </c>
      <c r="W9" s="43" t="n">
        <f aca="false">SUMIFS('Additions (monthly)'!$E$2:$E$106,'Additions (monthly)'!$D$2:$D$106,W$2,'Additions (monthly)'!$B$2:$B$106,"&lt;="&amp;$B9)</f>
        <v>0</v>
      </c>
      <c r="X9" s="43" t="n">
        <f aca="false">SUMIFS('Additions (monthly)'!$E$2:$E$106,'Additions (monthly)'!$D$2:$D$106,X$2,'Additions (monthly)'!$B$2:$B$106,"&lt;="&amp;$B9)</f>
        <v>0</v>
      </c>
      <c r="Y9" s="43" t="n">
        <f aca="false">SUMIFS('Additions (monthly)'!$E$2:$E$106,'Additions (monthly)'!$D$2:$D$106,Y$2,'Additions (monthly)'!$B$2:$B$106,"&lt;="&amp;$B9)</f>
        <v>5</v>
      </c>
      <c r="Z9" s="43" t="n">
        <f aca="false">SUMIFS('Additions (monthly)'!$E$2:$E$106,'Additions (monthly)'!$D$2:$D$106,Z$2,'Additions (monthly)'!$B$2:$B$106,"&lt;="&amp;$B9)</f>
        <v>7.2</v>
      </c>
      <c r="AA9" s="43" t="n">
        <f aca="false">SUMIFS('Additions (monthly)'!$E$2:$E$106,'Additions (monthly)'!$D$2:$D$106,AA$2,'Additions (monthly)'!$B$2:$B$106,"&lt;="&amp;$B9)</f>
        <v>3.7</v>
      </c>
      <c r="AB9" s="43" t="n">
        <f aca="false">SUMIFS('Additions (monthly)'!$E$2:$E$106,'Additions (monthly)'!$D$2:$D$106,AB$2,'Additions (monthly)'!$B$2:$B$106,"&lt;="&amp;$B9)</f>
        <v>16.95</v>
      </c>
      <c r="AC9" s="43" t="n">
        <f aca="false">SUMIFS('Additions (monthly)'!$E$2:$E$106,'Additions (monthly)'!$D$2:$D$106,AC$2,'Additions (monthly)'!$B$2:$B$106,"&lt;="&amp;$B9)</f>
        <v>0</v>
      </c>
      <c r="AD9" s="43" t="n">
        <f aca="false">SUMIFS('Additions (monthly)'!$E$2:$E$106,'Additions (monthly)'!$D$2:$D$106,AD$2,'Additions (monthly)'!$B$2:$B$106,"&lt;="&amp;$B9)</f>
        <v>7.6</v>
      </c>
      <c r="AE9" s="43" t="n">
        <f aca="false">SUMIFS('Additions (monthly)'!$E$2:$E$106,'Additions (monthly)'!$D$2:$D$106,AE$2,'Additions (monthly)'!$B$2:$B$106,"&lt;="&amp;$B9)</f>
        <v>25.7</v>
      </c>
      <c r="AF9" s="43" t="n">
        <f aca="false">SUMIFS('Additions (monthly)'!$E$2:$E$106,'Additions (monthly)'!$D$2:$D$106,AF$2,'Additions (monthly)'!$B$2:$B$106,"&lt;="&amp;$B9)</f>
        <v>0</v>
      </c>
      <c r="AG9" s="43" t="n">
        <f aca="false">SUMIFS('Additions (monthly)'!$E$2:$E$106,'Additions (monthly)'!$D$2:$D$106,AG$2,'Additions (monthly)'!$B$2:$B$106,"&lt;="&amp;$B9)</f>
        <v>0</v>
      </c>
      <c r="AH9" s="43" t="n">
        <f aca="false">SUMIFS('Additions (monthly)'!$E$2:$E$106,'Additions (monthly)'!$D$2:$D$106,AH$2,'Additions (monthly)'!$B$2:$B$106,"&lt;="&amp;$B9)</f>
        <v>0</v>
      </c>
      <c r="AI9" s="43" t="n">
        <f aca="false">SUMIFS('Additions (monthly)'!$E$2:$E$106,'Additions (monthly)'!$D$2:$D$106,AI$2,'Additions (monthly)'!$B$2:$B$106,"&lt;="&amp;$B9)</f>
        <v>0</v>
      </c>
      <c r="AJ9" s="43" t="n">
        <f aca="false">SUMIFS('Additions (monthly)'!$E$2:$E$106,'Additions (monthly)'!$D$2:$D$106,AJ$2,'Additions (monthly)'!$B$2:$B$106,"&lt;="&amp;$B9)</f>
        <v>0</v>
      </c>
      <c r="AK9" s="43" t="n">
        <f aca="false">SUMIFS('Additions (monthly)'!$E$2:$E$106,'Additions (monthly)'!$D$2:$D$106,AK$2,'Additions (monthly)'!$B$2:$B$106,"&lt;="&amp;$B9)</f>
        <v>0</v>
      </c>
      <c r="AL9" s="43" t="n">
        <f aca="false">SUMIFS('Additions (monthly)'!$E$2:$E$106,'Additions (monthly)'!$D$2:$D$106,AL$2,'Additions (monthly)'!$B$2:$B$106,"&lt;="&amp;$B9)</f>
        <v>22.2</v>
      </c>
      <c r="AM9" s="43" t="n">
        <f aca="false">SUMIFS('Additions (monthly)'!$E$2:$E$106,'Additions (monthly)'!$D$2:$D$106,AM$2,'Additions (monthly)'!$B$2:$B$106,"&lt;="&amp;$B9)</f>
        <v>0</v>
      </c>
      <c r="AN9" s="43" t="n">
        <f aca="false">SUMIFS('Additions (monthly)'!$E$2:$E$106,'Additions (monthly)'!$D$2:$D$106,AN$2,'Additions (monthly)'!$B$2:$B$106,"&lt;="&amp;$B9)</f>
        <v>4.3</v>
      </c>
      <c r="AO9" s="43" t="n">
        <f aca="false">SUMIFS('Additions (monthly)'!$E$2:$E$106,'Additions (monthly)'!$D$2:$D$106,AO$2,'Additions (monthly)'!$B$2:$B$106,"&lt;="&amp;$B9)</f>
        <v>10.4</v>
      </c>
      <c r="AP9" s="43" t="n">
        <f aca="false">SUMIFS('Additions (monthly)'!$E$2:$E$106,'Additions (monthly)'!$D$2:$D$106,AP$2,'Additions (monthly)'!$B$2:$B$106,"&lt;="&amp;$B9)</f>
        <v>0</v>
      </c>
      <c r="AQ9" s="43" t="n">
        <f aca="false">SUMIFS('Additions (monthly)'!$E$2:$E$106,'Additions (monthly)'!$D$2:$D$106,AQ$2,'Additions (monthly)'!$B$2:$B$106,"&lt;="&amp;$B9)</f>
        <v>4.45</v>
      </c>
      <c r="AR9" s="43" t="n">
        <f aca="false">SUMIFS('Additions (monthly)'!$E$2:$E$106,'Additions (monthly)'!$D$2:$D$106,AR$2,'Additions (monthly)'!$B$2:$B$106,"&lt;="&amp;$B9)</f>
        <v>61.5</v>
      </c>
      <c r="AS9" s="43" t="n">
        <f aca="false">SUMIFS('Additions (monthly)'!$E$2:$E$106,'Additions (monthly)'!$D$2:$D$106,AS$2,'Additions (monthly)'!$B$2:$B$106,"&lt;="&amp;$B9)</f>
        <v>0</v>
      </c>
      <c r="AT9" s="43" t="n">
        <f aca="false">SUMIFS('Additions (monthly)'!$E$2:$E$106,'Additions (monthly)'!$D$2:$D$106,AT$2,'Additions (monthly)'!$B$2:$B$106,"&lt;="&amp;$B9)</f>
        <v>0</v>
      </c>
      <c r="AU9" s="43" t="n">
        <f aca="false">SUMIFS('Additions (monthly)'!$E$2:$E$106,'Additions (monthly)'!$D$2:$D$106,AU$2,'Additions (monthly)'!$B$2:$B$106,"&lt;="&amp;$B9)</f>
        <v>9.6</v>
      </c>
      <c r="AV9" s="43" t="n">
        <f aca="false">SUMIFS('Additions (monthly)'!$E$2:$E$106,'Additions (monthly)'!$D$2:$D$106,AV$2,'Additions (monthly)'!$B$2:$B$106,"&lt;="&amp;$B9)</f>
        <v>0</v>
      </c>
      <c r="AW9" s="43" t="n">
        <f aca="false">SUMIFS('Additions (monthly)'!$E$2:$E$106,'Additions (monthly)'!$D$2:$D$106,AW$2,'Additions (monthly)'!$B$2:$B$106,"&lt;="&amp;$B9)</f>
        <v>0</v>
      </c>
      <c r="AX9" s="43" t="n">
        <f aca="false">SUMIFS('Additions (monthly)'!$E$2:$E$106,'Additions (monthly)'!$D$2:$D$106,AX$2,'Additions (monthly)'!$B$2:$B$106,"&lt;="&amp;$B9)</f>
        <v>11.8</v>
      </c>
      <c r="AY9" s="43" t="n">
        <f aca="false">SUMIFS('Additions (monthly)'!$E$2:$E$106,'Additions (monthly)'!$D$2:$D$106,AY$2,'Additions (monthly)'!$B$2:$B$106,"&lt;="&amp;$B9)</f>
        <v>5.3</v>
      </c>
      <c r="AZ9" s="43" t="n">
        <f aca="false">SUMIFS('Additions (monthly)'!$E$2:$E$106,'Additions (monthly)'!$D$2:$D$106,AZ$2,'Additions (monthly)'!$B$2:$B$106,"&lt;="&amp;$B9)</f>
        <v>0</v>
      </c>
      <c r="BA9" s="43" t="n">
        <f aca="false">SUMIFS('Additions (monthly)'!$E$2:$E$106,'Additions (monthly)'!$D$2:$D$106,BA$2,'Additions (monthly)'!$B$2:$B$106,"&lt;="&amp;$B9)</f>
        <v>0</v>
      </c>
      <c r="BB9" s="43" t="n">
        <f aca="false">SUMIFS('Additions (monthly)'!$E$2:$E$106,'Additions (monthly)'!$D$2:$D$106,BB$2,'Additions (monthly)'!$B$2:$B$106,"&lt;="&amp;$B9)</f>
        <v>0</v>
      </c>
      <c r="BC9" s="43" t="n">
        <f aca="false">SUMIFS('Additions (monthly)'!$E$2:$E$106,'Additions (monthly)'!$D$2:$D$106,BC$2,'Additions (monthly)'!$B$2:$B$106,"&lt;="&amp;$B9)</f>
        <v>0</v>
      </c>
      <c r="BD9" s="43" t="n">
        <f aca="false">SUMIFS('Additions (monthly)'!$E$2:$E$106,'Additions (monthly)'!$D$2:$D$106,BD$2,'Additions (monthly)'!$B$2:$B$106,"&lt;="&amp;$B9)</f>
        <v>0</v>
      </c>
      <c r="BE9" s="43" t="n">
        <f aca="false">SUMIFS('Additions (monthly)'!$E$2:$E$106,'Additions (monthly)'!$D$2:$D$106,BE$2,'Additions (monthly)'!$B$2:$B$106,"&lt;="&amp;$B9)</f>
        <v>0</v>
      </c>
      <c r="BF9" s="43" t="n">
        <f aca="false">SUMIFS('Additions (monthly)'!$E$2:$E$106,'Additions (monthly)'!$D$2:$D$106,BF$2,'Additions (monthly)'!$B$2:$B$106,"&lt;="&amp;$B9)</f>
        <v>0</v>
      </c>
      <c r="BG9" s="43" t="n">
        <f aca="false">SUMIFS('Additions (monthly)'!$E$2:$E$106,'Additions (monthly)'!$D$2:$D$106,BG$2,'Additions (monthly)'!$B$2:$B$106,"&lt;="&amp;$B9)</f>
        <v>0</v>
      </c>
      <c r="BH9" s="43" t="n">
        <f aca="false">SUMIFS('Additions (monthly)'!$E$2:$E$106,'Additions (monthly)'!$D$2:$D$106,BH$2,'Additions (monthly)'!$B$2:$B$106,"&lt;="&amp;$B9)</f>
        <v>0</v>
      </c>
      <c r="BI9" s="43" t="n">
        <f aca="false">SUMIFS('Additions (monthly)'!$E$2:$E$106,'Additions (monthly)'!$D$2:$D$106,BI$2,'Additions (monthly)'!$B$2:$B$106,"&lt;="&amp;$B9)</f>
        <v>6.7</v>
      </c>
    </row>
    <row r="10" customFormat="false" ht="15" hidden="false" customHeight="false" outlineLevel="0" collapsed="false">
      <c r="A10" s="23" t="n">
        <v>40391</v>
      </c>
      <c r="B10" s="24" t="n">
        <v>201008</v>
      </c>
      <c r="C10" s="42" t="n">
        <f aca="false">SUMIFS('Additions (monthly)'!$E$2:$E$106,'Additions (monthly)'!$B$2:$B$106,"&lt;="&amp;$B10)</f>
        <v>247.67</v>
      </c>
      <c r="D10" s="43" t="n">
        <f aca="false">SUMIFS('Additions (monthly)'!$E$2:$E$106,'Additions (monthly)'!$D$2:$D$106,D$2,'Additions (monthly)'!$B$2:$B$106,"&lt;="&amp;$B10)</f>
        <v>7.9</v>
      </c>
      <c r="E10" s="43" t="n">
        <f aca="false">SUMIFS('Additions (monthly)'!$E$2:$E$106,'Additions (monthly)'!$D$2:$D$106,E$2,'Additions (monthly)'!$B$2:$B$106,"&lt;="&amp;$B10)</f>
        <v>8.4</v>
      </c>
      <c r="F10" s="43" t="n">
        <f aca="false">SUMIFS('Additions (monthly)'!$E$2:$E$106,'Additions (monthly)'!$D$2:$D$106,F$2,'Additions (monthly)'!$B$2:$B$106,"&lt;="&amp;$B10)</f>
        <v>0</v>
      </c>
      <c r="G10" s="43" t="n">
        <f aca="false">SUMIFS('Additions (monthly)'!$E$2:$E$106,'Additions (monthly)'!$D$2:$D$106,G$2,'Additions (monthly)'!$B$2:$B$106,"&lt;="&amp;$B10)</f>
        <v>0</v>
      </c>
      <c r="H10" s="43" t="n">
        <f aca="false">SUMIFS('Additions (monthly)'!$E$2:$E$106,'Additions (monthly)'!$D$2:$D$106,H$2,'Additions (monthly)'!$B$2:$B$106,"&lt;="&amp;$B10)</f>
        <v>0</v>
      </c>
      <c r="I10" s="43" t="n">
        <f aca="false">SUMIFS('Additions (monthly)'!$E$2:$E$106,'Additions (monthly)'!$D$2:$D$106,I$2,'Additions (monthly)'!$B$2:$B$106,"&lt;="&amp;$B10)</f>
        <v>0</v>
      </c>
      <c r="J10" s="43" t="n">
        <f aca="false">SUMIFS('Additions (monthly)'!$E$2:$E$106,'Additions (monthly)'!$D$2:$D$106,J$2,'Additions (monthly)'!$B$2:$B$106,"&lt;="&amp;$B10)</f>
        <v>3.7</v>
      </c>
      <c r="K10" s="43" t="n">
        <f aca="false">SUMIFS('Additions (monthly)'!$E$2:$E$106,'Additions (monthly)'!$D$2:$D$106,K$2,'Additions (monthly)'!$B$2:$B$106,"&lt;="&amp;$B10)</f>
        <v>0</v>
      </c>
      <c r="L10" s="43" t="n">
        <f aca="false">SUMIFS('Additions (monthly)'!$E$2:$E$106,'Additions (monthly)'!$D$2:$D$106,L$2,'Additions (monthly)'!$B$2:$B$106,"&lt;="&amp;$B10)</f>
        <v>0</v>
      </c>
      <c r="M10" s="43" t="n">
        <f aca="false">SUMIFS('Additions (monthly)'!$E$2:$E$106,'Additions (monthly)'!$D$2:$D$106,M$2,'Additions (monthly)'!$B$2:$B$106,"&lt;="&amp;$B10)</f>
        <v>0</v>
      </c>
      <c r="N10" s="43" t="n">
        <f aca="false">SUMIFS('Additions (monthly)'!$E$2:$E$106,'Additions (monthly)'!$D$2:$D$106,N$2,'Additions (monthly)'!$B$2:$B$106,"&lt;="&amp;$B10)</f>
        <v>14.2</v>
      </c>
      <c r="O10" s="43" t="n">
        <f aca="false">SUMIFS('Additions (monthly)'!$E$2:$E$106,'Additions (monthly)'!$D$2:$D$106,O$2,'Additions (monthly)'!$B$2:$B$106,"&lt;="&amp;$B10)</f>
        <v>0</v>
      </c>
      <c r="P10" s="43" t="n">
        <f aca="false">SUMIFS('Additions (monthly)'!$E$2:$E$106,'Additions (monthly)'!$D$2:$D$106,P$2,'Additions (monthly)'!$B$2:$B$106,"&lt;="&amp;$B10)</f>
        <v>0</v>
      </c>
      <c r="Q10" s="43" t="n">
        <f aca="false">SUMIFS('Additions (monthly)'!$E$2:$E$106,'Additions (monthly)'!$D$2:$D$106,Q$2,'Additions (monthly)'!$B$2:$B$106,"&lt;="&amp;$B10)</f>
        <v>0</v>
      </c>
      <c r="R10" s="43" t="n">
        <f aca="false">SUMIFS('Additions (monthly)'!$E$2:$E$106,'Additions (monthly)'!$D$2:$D$106,R$2,'Additions (monthly)'!$B$2:$B$106,"&lt;="&amp;$B10)</f>
        <v>0</v>
      </c>
      <c r="S10" s="43" t="n">
        <f aca="false">SUMIFS('Additions (monthly)'!$E$2:$E$106,'Additions (monthly)'!$D$2:$D$106,S$2,'Additions (monthly)'!$B$2:$B$106,"&lt;="&amp;$B10)</f>
        <v>7.2</v>
      </c>
      <c r="T10" s="43" t="n">
        <f aca="false">SUMIFS('Additions (monthly)'!$E$2:$E$106,'Additions (monthly)'!$D$2:$D$106,T$2,'Additions (monthly)'!$B$2:$B$106,"&lt;="&amp;$B10)</f>
        <v>0</v>
      </c>
      <c r="U10" s="43" t="n">
        <f aca="false">SUMIFS('Additions (monthly)'!$E$2:$E$106,'Additions (monthly)'!$D$2:$D$106,U$2,'Additions (monthly)'!$B$2:$B$106,"&lt;="&amp;$B10)</f>
        <v>0</v>
      </c>
      <c r="V10" s="43" t="n">
        <f aca="false">SUMIFS('Additions (monthly)'!$E$2:$E$106,'Additions (monthly)'!$D$2:$D$106,V$2,'Additions (monthly)'!$B$2:$B$106,"&lt;="&amp;$B10)</f>
        <v>3.87</v>
      </c>
      <c r="W10" s="43" t="n">
        <f aca="false">SUMIFS('Additions (monthly)'!$E$2:$E$106,'Additions (monthly)'!$D$2:$D$106,W$2,'Additions (monthly)'!$B$2:$B$106,"&lt;="&amp;$B10)</f>
        <v>0</v>
      </c>
      <c r="X10" s="43" t="n">
        <f aca="false">SUMIFS('Additions (monthly)'!$E$2:$E$106,'Additions (monthly)'!$D$2:$D$106,X$2,'Additions (monthly)'!$B$2:$B$106,"&lt;="&amp;$B10)</f>
        <v>0</v>
      </c>
      <c r="Y10" s="43" t="n">
        <f aca="false">SUMIFS('Additions (monthly)'!$E$2:$E$106,'Additions (monthly)'!$D$2:$D$106,Y$2,'Additions (monthly)'!$B$2:$B$106,"&lt;="&amp;$B10)</f>
        <v>5</v>
      </c>
      <c r="Z10" s="43" t="n">
        <f aca="false">SUMIFS('Additions (monthly)'!$E$2:$E$106,'Additions (monthly)'!$D$2:$D$106,Z$2,'Additions (monthly)'!$B$2:$B$106,"&lt;="&amp;$B10)</f>
        <v>7.2</v>
      </c>
      <c r="AA10" s="43" t="n">
        <f aca="false">SUMIFS('Additions (monthly)'!$E$2:$E$106,'Additions (monthly)'!$D$2:$D$106,AA$2,'Additions (monthly)'!$B$2:$B$106,"&lt;="&amp;$B10)</f>
        <v>3.7</v>
      </c>
      <c r="AB10" s="43" t="n">
        <f aca="false">SUMIFS('Additions (monthly)'!$E$2:$E$106,'Additions (monthly)'!$D$2:$D$106,AB$2,'Additions (monthly)'!$B$2:$B$106,"&lt;="&amp;$B10)</f>
        <v>16.95</v>
      </c>
      <c r="AC10" s="43" t="n">
        <f aca="false">SUMIFS('Additions (monthly)'!$E$2:$E$106,'Additions (monthly)'!$D$2:$D$106,AC$2,'Additions (monthly)'!$B$2:$B$106,"&lt;="&amp;$B10)</f>
        <v>0</v>
      </c>
      <c r="AD10" s="43" t="n">
        <f aca="false">SUMIFS('Additions (monthly)'!$E$2:$E$106,'Additions (monthly)'!$D$2:$D$106,AD$2,'Additions (monthly)'!$B$2:$B$106,"&lt;="&amp;$B10)</f>
        <v>7.6</v>
      </c>
      <c r="AE10" s="43" t="n">
        <f aca="false">SUMIFS('Additions (monthly)'!$E$2:$E$106,'Additions (monthly)'!$D$2:$D$106,AE$2,'Additions (monthly)'!$B$2:$B$106,"&lt;="&amp;$B10)</f>
        <v>25.7</v>
      </c>
      <c r="AF10" s="43" t="n">
        <f aca="false">SUMIFS('Additions (monthly)'!$E$2:$E$106,'Additions (monthly)'!$D$2:$D$106,AF$2,'Additions (monthly)'!$B$2:$B$106,"&lt;="&amp;$B10)</f>
        <v>0</v>
      </c>
      <c r="AG10" s="43" t="n">
        <f aca="false">SUMIFS('Additions (monthly)'!$E$2:$E$106,'Additions (monthly)'!$D$2:$D$106,AG$2,'Additions (monthly)'!$B$2:$B$106,"&lt;="&amp;$B10)</f>
        <v>0</v>
      </c>
      <c r="AH10" s="43" t="n">
        <f aca="false">SUMIFS('Additions (monthly)'!$E$2:$E$106,'Additions (monthly)'!$D$2:$D$106,AH$2,'Additions (monthly)'!$B$2:$B$106,"&lt;="&amp;$B10)</f>
        <v>0</v>
      </c>
      <c r="AI10" s="43" t="n">
        <f aca="false">SUMIFS('Additions (monthly)'!$E$2:$E$106,'Additions (monthly)'!$D$2:$D$106,AI$2,'Additions (monthly)'!$B$2:$B$106,"&lt;="&amp;$B10)</f>
        <v>0</v>
      </c>
      <c r="AJ10" s="43" t="n">
        <f aca="false">SUMIFS('Additions (monthly)'!$E$2:$E$106,'Additions (monthly)'!$D$2:$D$106,AJ$2,'Additions (monthly)'!$B$2:$B$106,"&lt;="&amp;$B10)</f>
        <v>0</v>
      </c>
      <c r="AK10" s="43" t="n">
        <f aca="false">SUMIFS('Additions (monthly)'!$E$2:$E$106,'Additions (monthly)'!$D$2:$D$106,AK$2,'Additions (monthly)'!$B$2:$B$106,"&lt;="&amp;$B10)</f>
        <v>0</v>
      </c>
      <c r="AL10" s="43" t="n">
        <f aca="false">SUMIFS('Additions (monthly)'!$E$2:$E$106,'Additions (monthly)'!$D$2:$D$106,AL$2,'Additions (monthly)'!$B$2:$B$106,"&lt;="&amp;$B10)</f>
        <v>22.2</v>
      </c>
      <c r="AM10" s="43" t="n">
        <f aca="false">SUMIFS('Additions (monthly)'!$E$2:$E$106,'Additions (monthly)'!$D$2:$D$106,AM$2,'Additions (monthly)'!$B$2:$B$106,"&lt;="&amp;$B10)</f>
        <v>0</v>
      </c>
      <c r="AN10" s="43" t="n">
        <f aca="false">SUMIFS('Additions (monthly)'!$E$2:$E$106,'Additions (monthly)'!$D$2:$D$106,AN$2,'Additions (monthly)'!$B$2:$B$106,"&lt;="&amp;$B10)</f>
        <v>4.3</v>
      </c>
      <c r="AO10" s="43" t="n">
        <f aca="false">SUMIFS('Additions (monthly)'!$E$2:$E$106,'Additions (monthly)'!$D$2:$D$106,AO$2,'Additions (monthly)'!$B$2:$B$106,"&lt;="&amp;$B10)</f>
        <v>10.4</v>
      </c>
      <c r="AP10" s="43" t="n">
        <f aca="false">SUMIFS('Additions (monthly)'!$E$2:$E$106,'Additions (monthly)'!$D$2:$D$106,AP$2,'Additions (monthly)'!$B$2:$B$106,"&lt;="&amp;$B10)</f>
        <v>0</v>
      </c>
      <c r="AQ10" s="43" t="n">
        <f aca="false">SUMIFS('Additions (monthly)'!$E$2:$E$106,'Additions (monthly)'!$D$2:$D$106,AQ$2,'Additions (monthly)'!$B$2:$B$106,"&lt;="&amp;$B10)</f>
        <v>4.45</v>
      </c>
      <c r="AR10" s="43" t="n">
        <f aca="false">SUMIFS('Additions (monthly)'!$E$2:$E$106,'Additions (monthly)'!$D$2:$D$106,AR$2,'Additions (monthly)'!$B$2:$B$106,"&lt;="&amp;$B10)</f>
        <v>61.5</v>
      </c>
      <c r="AS10" s="43" t="n">
        <f aca="false">SUMIFS('Additions (monthly)'!$E$2:$E$106,'Additions (monthly)'!$D$2:$D$106,AS$2,'Additions (monthly)'!$B$2:$B$106,"&lt;="&amp;$B10)</f>
        <v>0</v>
      </c>
      <c r="AT10" s="43" t="n">
        <f aca="false">SUMIFS('Additions (monthly)'!$E$2:$E$106,'Additions (monthly)'!$D$2:$D$106,AT$2,'Additions (monthly)'!$B$2:$B$106,"&lt;="&amp;$B10)</f>
        <v>0</v>
      </c>
      <c r="AU10" s="43" t="n">
        <f aca="false">SUMIFS('Additions (monthly)'!$E$2:$E$106,'Additions (monthly)'!$D$2:$D$106,AU$2,'Additions (monthly)'!$B$2:$B$106,"&lt;="&amp;$B10)</f>
        <v>9.6</v>
      </c>
      <c r="AV10" s="43" t="n">
        <f aca="false">SUMIFS('Additions (monthly)'!$E$2:$E$106,'Additions (monthly)'!$D$2:$D$106,AV$2,'Additions (monthly)'!$B$2:$B$106,"&lt;="&amp;$B10)</f>
        <v>0</v>
      </c>
      <c r="AW10" s="43" t="n">
        <f aca="false">SUMIFS('Additions (monthly)'!$E$2:$E$106,'Additions (monthly)'!$D$2:$D$106,AW$2,'Additions (monthly)'!$B$2:$B$106,"&lt;="&amp;$B10)</f>
        <v>0</v>
      </c>
      <c r="AX10" s="43" t="n">
        <f aca="false">SUMIFS('Additions (monthly)'!$E$2:$E$106,'Additions (monthly)'!$D$2:$D$106,AX$2,'Additions (monthly)'!$B$2:$B$106,"&lt;="&amp;$B10)</f>
        <v>11.8</v>
      </c>
      <c r="AY10" s="43" t="n">
        <f aca="false">SUMIFS('Additions (monthly)'!$E$2:$E$106,'Additions (monthly)'!$D$2:$D$106,AY$2,'Additions (monthly)'!$B$2:$B$106,"&lt;="&amp;$B10)</f>
        <v>5.3</v>
      </c>
      <c r="AZ10" s="43" t="n">
        <f aca="false">SUMIFS('Additions (monthly)'!$E$2:$E$106,'Additions (monthly)'!$D$2:$D$106,AZ$2,'Additions (monthly)'!$B$2:$B$106,"&lt;="&amp;$B10)</f>
        <v>0</v>
      </c>
      <c r="BA10" s="43" t="n">
        <f aca="false">SUMIFS('Additions (monthly)'!$E$2:$E$106,'Additions (monthly)'!$D$2:$D$106,BA$2,'Additions (monthly)'!$B$2:$B$106,"&lt;="&amp;$B10)</f>
        <v>0</v>
      </c>
      <c r="BB10" s="43" t="n">
        <f aca="false">SUMIFS('Additions (monthly)'!$E$2:$E$106,'Additions (monthly)'!$D$2:$D$106,BB$2,'Additions (monthly)'!$B$2:$B$106,"&lt;="&amp;$B10)</f>
        <v>0</v>
      </c>
      <c r="BC10" s="43" t="n">
        <f aca="false">SUMIFS('Additions (monthly)'!$E$2:$E$106,'Additions (monthly)'!$D$2:$D$106,BC$2,'Additions (monthly)'!$B$2:$B$106,"&lt;="&amp;$B10)</f>
        <v>0</v>
      </c>
      <c r="BD10" s="43" t="n">
        <f aca="false">SUMIFS('Additions (monthly)'!$E$2:$E$106,'Additions (monthly)'!$D$2:$D$106,BD$2,'Additions (monthly)'!$B$2:$B$106,"&lt;="&amp;$B10)</f>
        <v>0</v>
      </c>
      <c r="BE10" s="43" t="n">
        <f aca="false">SUMIFS('Additions (monthly)'!$E$2:$E$106,'Additions (monthly)'!$D$2:$D$106,BE$2,'Additions (monthly)'!$B$2:$B$106,"&lt;="&amp;$B10)</f>
        <v>0</v>
      </c>
      <c r="BF10" s="43" t="n">
        <f aca="false">SUMIFS('Additions (monthly)'!$E$2:$E$106,'Additions (monthly)'!$D$2:$D$106,BF$2,'Additions (monthly)'!$B$2:$B$106,"&lt;="&amp;$B10)</f>
        <v>0</v>
      </c>
      <c r="BG10" s="43" t="n">
        <f aca="false">SUMIFS('Additions (monthly)'!$E$2:$E$106,'Additions (monthly)'!$D$2:$D$106,BG$2,'Additions (monthly)'!$B$2:$B$106,"&lt;="&amp;$B10)</f>
        <v>0</v>
      </c>
      <c r="BH10" s="43" t="n">
        <f aca="false">SUMIFS('Additions (monthly)'!$E$2:$E$106,'Additions (monthly)'!$D$2:$D$106,BH$2,'Additions (monthly)'!$B$2:$B$106,"&lt;="&amp;$B10)</f>
        <v>0</v>
      </c>
      <c r="BI10" s="43" t="n">
        <f aca="false">SUMIFS('Additions (monthly)'!$E$2:$E$106,'Additions (monthly)'!$D$2:$D$106,BI$2,'Additions (monthly)'!$B$2:$B$106,"&lt;="&amp;$B10)</f>
        <v>6.7</v>
      </c>
    </row>
    <row r="11" customFormat="false" ht="15" hidden="false" customHeight="false" outlineLevel="0" collapsed="false">
      <c r="A11" s="23" t="n">
        <v>40422</v>
      </c>
      <c r="B11" s="24" t="n">
        <v>201009</v>
      </c>
      <c r="C11" s="42" t="n">
        <f aca="false">SUMIFS('Additions (monthly)'!$E$2:$E$106,'Additions (monthly)'!$B$2:$B$106,"&lt;="&amp;$B11)</f>
        <v>247.67</v>
      </c>
      <c r="D11" s="43" t="n">
        <f aca="false">SUMIFS('Additions (monthly)'!$E$2:$E$106,'Additions (monthly)'!$D$2:$D$106,D$2,'Additions (monthly)'!$B$2:$B$106,"&lt;="&amp;$B11)</f>
        <v>7.9</v>
      </c>
      <c r="E11" s="43" t="n">
        <f aca="false">SUMIFS('Additions (monthly)'!$E$2:$E$106,'Additions (monthly)'!$D$2:$D$106,E$2,'Additions (monthly)'!$B$2:$B$106,"&lt;="&amp;$B11)</f>
        <v>8.4</v>
      </c>
      <c r="F11" s="43" t="n">
        <f aca="false">SUMIFS('Additions (monthly)'!$E$2:$E$106,'Additions (monthly)'!$D$2:$D$106,F$2,'Additions (monthly)'!$B$2:$B$106,"&lt;="&amp;$B11)</f>
        <v>0</v>
      </c>
      <c r="G11" s="43" t="n">
        <f aca="false">SUMIFS('Additions (monthly)'!$E$2:$E$106,'Additions (monthly)'!$D$2:$D$106,G$2,'Additions (monthly)'!$B$2:$B$106,"&lt;="&amp;$B11)</f>
        <v>0</v>
      </c>
      <c r="H11" s="43" t="n">
        <f aca="false">SUMIFS('Additions (monthly)'!$E$2:$E$106,'Additions (monthly)'!$D$2:$D$106,H$2,'Additions (monthly)'!$B$2:$B$106,"&lt;="&amp;$B11)</f>
        <v>0</v>
      </c>
      <c r="I11" s="43" t="n">
        <f aca="false">SUMIFS('Additions (monthly)'!$E$2:$E$106,'Additions (monthly)'!$D$2:$D$106,I$2,'Additions (monthly)'!$B$2:$B$106,"&lt;="&amp;$B11)</f>
        <v>0</v>
      </c>
      <c r="J11" s="43" t="n">
        <f aca="false">SUMIFS('Additions (monthly)'!$E$2:$E$106,'Additions (monthly)'!$D$2:$D$106,J$2,'Additions (monthly)'!$B$2:$B$106,"&lt;="&amp;$B11)</f>
        <v>3.7</v>
      </c>
      <c r="K11" s="43" t="n">
        <f aca="false">SUMIFS('Additions (monthly)'!$E$2:$E$106,'Additions (monthly)'!$D$2:$D$106,K$2,'Additions (monthly)'!$B$2:$B$106,"&lt;="&amp;$B11)</f>
        <v>0</v>
      </c>
      <c r="L11" s="43" t="n">
        <f aca="false">SUMIFS('Additions (monthly)'!$E$2:$E$106,'Additions (monthly)'!$D$2:$D$106,L$2,'Additions (monthly)'!$B$2:$B$106,"&lt;="&amp;$B11)</f>
        <v>0</v>
      </c>
      <c r="M11" s="43" t="n">
        <f aca="false">SUMIFS('Additions (monthly)'!$E$2:$E$106,'Additions (monthly)'!$D$2:$D$106,M$2,'Additions (monthly)'!$B$2:$B$106,"&lt;="&amp;$B11)</f>
        <v>0</v>
      </c>
      <c r="N11" s="43" t="n">
        <f aca="false">SUMIFS('Additions (monthly)'!$E$2:$E$106,'Additions (monthly)'!$D$2:$D$106,N$2,'Additions (monthly)'!$B$2:$B$106,"&lt;="&amp;$B11)</f>
        <v>14.2</v>
      </c>
      <c r="O11" s="43" t="n">
        <f aca="false">SUMIFS('Additions (monthly)'!$E$2:$E$106,'Additions (monthly)'!$D$2:$D$106,O$2,'Additions (monthly)'!$B$2:$B$106,"&lt;="&amp;$B11)</f>
        <v>0</v>
      </c>
      <c r="P11" s="43" t="n">
        <f aca="false">SUMIFS('Additions (monthly)'!$E$2:$E$106,'Additions (monthly)'!$D$2:$D$106,P$2,'Additions (monthly)'!$B$2:$B$106,"&lt;="&amp;$B11)</f>
        <v>0</v>
      </c>
      <c r="Q11" s="43" t="n">
        <f aca="false">SUMIFS('Additions (monthly)'!$E$2:$E$106,'Additions (monthly)'!$D$2:$D$106,Q$2,'Additions (monthly)'!$B$2:$B$106,"&lt;="&amp;$B11)</f>
        <v>0</v>
      </c>
      <c r="R11" s="43" t="n">
        <f aca="false">SUMIFS('Additions (monthly)'!$E$2:$E$106,'Additions (monthly)'!$D$2:$D$106,R$2,'Additions (monthly)'!$B$2:$B$106,"&lt;="&amp;$B11)</f>
        <v>0</v>
      </c>
      <c r="S11" s="43" t="n">
        <f aca="false">SUMIFS('Additions (monthly)'!$E$2:$E$106,'Additions (monthly)'!$D$2:$D$106,S$2,'Additions (monthly)'!$B$2:$B$106,"&lt;="&amp;$B11)</f>
        <v>7.2</v>
      </c>
      <c r="T11" s="43" t="n">
        <f aca="false">SUMIFS('Additions (monthly)'!$E$2:$E$106,'Additions (monthly)'!$D$2:$D$106,T$2,'Additions (monthly)'!$B$2:$B$106,"&lt;="&amp;$B11)</f>
        <v>0</v>
      </c>
      <c r="U11" s="43" t="n">
        <f aca="false">SUMIFS('Additions (monthly)'!$E$2:$E$106,'Additions (monthly)'!$D$2:$D$106,U$2,'Additions (monthly)'!$B$2:$B$106,"&lt;="&amp;$B11)</f>
        <v>0</v>
      </c>
      <c r="V11" s="43" t="n">
        <f aca="false">SUMIFS('Additions (monthly)'!$E$2:$E$106,'Additions (monthly)'!$D$2:$D$106,V$2,'Additions (monthly)'!$B$2:$B$106,"&lt;="&amp;$B11)</f>
        <v>3.87</v>
      </c>
      <c r="W11" s="43" t="n">
        <f aca="false">SUMIFS('Additions (monthly)'!$E$2:$E$106,'Additions (monthly)'!$D$2:$D$106,W$2,'Additions (monthly)'!$B$2:$B$106,"&lt;="&amp;$B11)</f>
        <v>0</v>
      </c>
      <c r="X11" s="43" t="n">
        <f aca="false">SUMIFS('Additions (monthly)'!$E$2:$E$106,'Additions (monthly)'!$D$2:$D$106,X$2,'Additions (monthly)'!$B$2:$B$106,"&lt;="&amp;$B11)</f>
        <v>0</v>
      </c>
      <c r="Y11" s="43" t="n">
        <f aca="false">SUMIFS('Additions (monthly)'!$E$2:$E$106,'Additions (monthly)'!$D$2:$D$106,Y$2,'Additions (monthly)'!$B$2:$B$106,"&lt;="&amp;$B11)</f>
        <v>5</v>
      </c>
      <c r="Z11" s="43" t="n">
        <f aca="false">SUMIFS('Additions (monthly)'!$E$2:$E$106,'Additions (monthly)'!$D$2:$D$106,Z$2,'Additions (monthly)'!$B$2:$B$106,"&lt;="&amp;$B11)</f>
        <v>7.2</v>
      </c>
      <c r="AA11" s="43" t="n">
        <f aca="false">SUMIFS('Additions (monthly)'!$E$2:$E$106,'Additions (monthly)'!$D$2:$D$106,AA$2,'Additions (monthly)'!$B$2:$B$106,"&lt;="&amp;$B11)</f>
        <v>3.7</v>
      </c>
      <c r="AB11" s="43" t="n">
        <f aca="false">SUMIFS('Additions (monthly)'!$E$2:$E$106,'Additions (monthly)'!$D$2:$D$106,AB$2,'Additions (monthly)'!$B$2:$B$106,"&lt;="&amp;$B11)</f>
        <v>16.95</v>
      </c>
      <c r="AC11" s="43" t="n">
        <f aca="false">SUMIFS('Additions (monthly)'!$E$2:$E$106,'Additions (monthly)'!$D$2:$D$106,AC$2,'Additions (monthly)'!$B$2:$B$106,"&lt;="&amp;$B11)</f>
        <v>0</v>
      </c>
      <c r="AD11" s="43" t="n">
        <f aca="false">SUMIFS('Additions (monthly)'!$E$2:$E$106,'Additions (monthly)'!$D$2:$D$106,AD$2,'Additions (monthly)'!$B$2:$B$106,"&lt;="&amp;$B11)</f>
        <v>7.6</v>
      </c>
      <c r="AE11" s="43" t="n">
        <f aca="false">SUMIFS('Additions (monthly)'!$E$2:$E$106,'Additions (monthly)'!$D$2:$D$106,AE$2,'Additions (monthly)'!$B$2:$B$106,"&lt;="&amp;$B11)</f>
        <v>25.7</v>
      </c>
      <c r="AF11" s="43" t="n">
        <f aca="false">SUMIFS('Additions (monthly)'!$E$2:$E$106,'Additions (monthly)'!$D$2:$D$106,AF$2,'Additions (monthly)'!$B$2:$B$106,"&lt;="&amp;$B11)</f>
        <v>0</v>
      </c>
      <c r="AG11" s="43" t="n">
        <f aca="false">SUMIFS('Additions (monthly)'!$E$2:$E$106,'Additions (monthly)'!$D$2:$D$106,AG$2,'Additions (monthly)'!$B$2:$B$106,"&lt;="&amp;$B11)</f>
        <v>0</v>
      </c>
      <c r="AH11" s="43" t="n">
        <f aca="false">SUMIFS('Additions (monthly)'!$E$2:$E$106,'Additions (monthly)'!$D$2:$D$106,AH$2,'Additions (monthly)'!$B$2:$B$106,"&lt;="&amp;$B11)</f>
        <v>0</v>
      </c>
      <c r="AI11" s="43" t="n">
        <f aca="false">SUMIFS('Additions (monthly)'!$E$2:$E$106,'Additions (monthly)'!$D$2:$D$106,AI$2,'Additions (monthly)'!$B$2:$B$106,"&lt;="&amp;$B11)</f>
        <v>0</v>
      </c>
      <c r="AJ11" s="43" t="n">
        <f aca="false">SUMIFS('Additions (monthly)'!$E$2:$E$106,'Additions (monthly)'!$D$2:$D$106,AJ$2,'Additions (monthly)'!$B$2:$B$106,"&lt;="&amp;$B11)</f>
        <v>0</v>
      </c>
      <c r="AK11" s="43" t="n">
        <f aca="false">SUMIFS('Additions (monthly)'!$E$2:$E$106,'Additions (monthly)'!$D$2:$D$106,AK$2,'Additions (monthly)'!$B$2:$B$106,"&lt;="&amp;$B11)</f>
        <v>0</v>
      </c>
      <c r="AL11" s="43" t="n">
        <f aca="false">SUMIFS('Additions (monthly)'!$E$2:$E$106,'Additions (monthly)'!$D$2:$D$106,AL$2,'Additions (monthly)'!$B$2:$B$106,"&lt;="&amp;$B11)</f>
        <v>22.2</v>
      </c>
      <c r="AM11" s="43" t="n">
        <f aca="false">SUMIFS('Additions (monthly)'!$E$2:$E$106,'Additions (monthly)'!$D$2:$D$106,AM$2,'Additions (monthly)'!$B$2:$B$106,"&lt;="&amp;$B11)</f>
        <v>0</v>
      </c>
      <c r="AN11" s="43" t="n">
        <f aca="false">SUMIFS('Additions (monthly)'!$E$2:$E$106,'Additions (monthly)'!$D$2:$D$106,AN$2,'Additions (monthly)'!$B$2:$B$106,"&lt;="&amp;$B11)</f>
        <v>4.3</v>
      </c>
      <c r="AO11" s="43" t="n">
        <f aca="false">SUMIFS('Additions (monthly)'!$E$2:$E$106,'Additions (monthly)'!$D$2:$D$106,AO$2,'Additions (monthly)'!$B$2:$B$106,"&lt;="&amp;$B11)</f>
        <v>10.4</v>
      </c>
      <c r="AP11" s="43" t="n">
        <f aca="false">SUMIFS('Additions (monthly)'!$E$2:$E$106,'Additions (monthly)'!$D$2:$D$106,AP$2,'Additions (monthly)'!$B$2:$B$106,"&lt;="&amp;$B11)</f>
        <v>0</v>
      </c>
      <c r="AQ11" s="43" t="n">
        <f aca="false">SUMIFS('Additions (monthly)'!$E$2:$E$106,'Additions (monthly)'!$D$2:$D$106,AQ$2,'Additions (monthly)'!$B$2:$B$106,"&lt;="&amp;$B11)</f>
        <v>4.45</v>
      </c>
      <c r="AR11" s="43" t="n">
        <f aca="false">SUMIFS('Additions (monthly)'!$E$2:$E$106,'Additions (monthly)'!$D$2:$D$106,AR$2,'Additions (monthly)'!$B$2:$B$106,"&lt;="&amp;$B11)</f>
        <v>61.5</v>
      </c>
      <c r="AS11" s="43" t="n">
        <f aca="false">SUMIFS('Additions (monthly)'!$E$2:$E$106,'Additions (monthly)'!$D$2:$D$106,AS$2,'Additions (monthly)'!$B$2:$B$106,"&lt;="&amp;$B11)</f>
        <v>0</v>
      </c>
      <c r="AT11" s="43" t="n">
        <f aca="false">SUMIFS('Additions (monthly)'!$E$2:$E$106,'Additions (monthly)'!$D$2:$D$106,AT$2,'Additions (monthly)'!$B$2:$B$106,"&lt;="&amp;$B11)</f>
        <v>0</v>
      </c>
      <c r="AU11" s="43" t="n">
        <f aca="false">SUMIFS('Additions (monthly)'!$E$2:$E$106,'Additions (monthly)'!$D$2:$D$106,AU$2,'Additions (monthly)'!$B$2:$B$106,"&lt;="&amp;$B11)</f>
        <v>9.6</v>
      </c>
      <c r="AV11" s="43" t="n">
        <f aca="false">SUMIFS('Additions (monthly)'!$E$2:$E$106,'Additions (monthly)'!$D$2:$D$106,AV$2,'Additions (monthly)'!$B$2:$B$106,"&lt;="&amp;$B11)</f>
        <v>0</v>
      </c>
      <c r="AW11" s="43" t="n">
        <f aca="false">SUMIFS('Additions (monthly)'!$E$2:$E$106,'Additions (monthly)'!$D$2:$D$106,AW$2,'Additions (monthly)'!$B$2:$B$106,"&lt;="&amp;$B11)</f>
        <v>0</v>
      </c>
      <c r="AX11" s="43" t="n">
        <f aca="false">SUMIFS('Additions (monthly)'!$E$2:$E$106,'Additions (monthly)'!$D$2:$D$106,AX$2,'Additions (monthly)'!$B$2:$B$106,"&lt;="&amp;$B11)</f>
        <v>11.8</v>
      </c>
      <c r="AY11" s="43" t="n">
        <f aca="false">SUMIFS('Additions (monthly)'!$E$2:$E$106,'Additions (monthly)'!$D$2:$D$106,AY$2,'Additions (monthly)'!$B$2:$B$106,"&lt;="&amp;$B11)</f>
        <v>5.3</v>
      </c>
      <c r="AZ11" s="43" t="n">
        <f aca="false">SUMIFS('Additions (monthly)'!$E$2:$E$106,'Additions (monthly)'!$D$2:$D$106,AZ$2,'Additions (monthly)'!$B$2:$B$106,"&lt;="&amp;$B11)</f>
        <v>0</v>
      </c>
      <c r="BA11" s="43" t="n">
        <f aca="false">SUMIFS('Additions (monthly)'!$E$2:$E$106,'Additions (monthly)'!$D$2:$D$106,BA$2,'Additions (monthly)'!$B$2:$B$106,"&lt;="&amp;$B11)</f>
        <v>0</v>
      </c>
      <c r="BB11" s="43" t="n">
        <f aca="false">SUMIFS('Additions (monthly)'!$E$2:$E$106,'Additions (monthly)'!$D$2:$D$106,BB$2,'Additions (monthly)'!$B$2:$B$106,"&lt;="&amp;$B11)</f>
        <v>0</v>
      </c>
      <c r="BC11" s="43" t="n">
        <f aca="false">SUMIFS('Additions (monthly)'!$E$2:$E$106,'Additions (monthly)'!$D$2:$D$106,BC$2,'Additions (monthly)'!$B$2:$B$106,"&lt;="&amp;$B11)</f>
        <v>0</v>
      </c>
      <c r="BD11" s="43" t="n">
        <f aca="false">SUMIFS('Additions (monthly)'!$E$2:$E$106,'Additions (monthly)'!$D$2:$D$106,BD$2,'Additions (monthly)'!$B$2:$B$106,"&lt;="&amp;$B11)</f>
        <v>0</v>
      </c>
      <c r="BE11" s="43" t="n">
        <f aca="false">SUMIFS('Additions (monthly)'!$E$2:$E$106,'Additions (monthly)'!$D$2:$D$106,BE$2,'Additions (monthly)'!$B$2:$B$106,"&lt;="&amp;$B11)</f>
        <v>0</v>
      </c>
      <c r="BF11" s="43" t="n">
        <f aca="false">SUMIFS('Additions (monthly)'!$E$2:$E$106,'Additions (monthly)'!$D$2:$D$106,BF$2,'Additions (monthly)'!$B$2:$B$106,"&lt;="&amp;$B11)</f>
        <v>0</v>
      </c>
      <c r="BG11" s="43" t="n">
        <f aca="false">SUMIFS('Additions (monthly)'!$E$2:$E$106,'Additions (monthly)'!$D$2:$D$106,BG$2,'Additions (monthly)'!$B$2:$B$106,"&lt;="&amp;$B11)</f>
        <v>0</v>
      </c>
      <c r="BH11" s="43" t="n">
        <f aca="false">SUMIFS('Additions (monthly)'!$E$2:$E$106,'Additions (monthly)'!$D$2:$D$106,BH$2,'Additions (monthly)'!$B$2:$B$106,"&lt;="&amp;$B11)</f>
        <v>0</v>
      </c>
      <c r="BI11" s="43" t="n">
        <f aca="false">SUMIFS('Additions (monthly)'!$E$2:$E$106,'Additions (monthly)'!$D$2:$D$106,BI$2,'Additions (monthly)'!$B$2:$B$106,"&lt;="&amp;$B11)</f>
        <v>6.7</v>
      </c>
    </row>
    <row r="12" customFormat="false" ht="15" hidden="false" customHeight="false" outlineLevel="0" collapsed="false">
      <c r="A12" s="23" t="n">
        <v>40452</v>
      </c>
      <c r="B12" s="24" t="n">
        <v>201010</v>
      </c>
      <c r="C12" s="42" t="n">
        <f aca="false">SUMIFS('Additions (monthly)'!$E$2:$E$106,'Additions (monthly)'!$B$2:$B$106,"&lt;="&amp;$B12)</f>
        <v>247.67</v>
      </c>
      <c r="D12" s="43" t="n">
        <f aca="false">SUMIFS('Additions (monthly)'!$E$2:$E$106,'Additions (monthly)'!$D$2:$D$106,D$2,'Additions (monthly)'!$B$2:$B$106,"&lt;="&amp;$B12)</f>
        <v>7.9</v>
      </c>
      <c r="E12" s="43" t="n">
        <f aca="false">SUMIFS('Additions (monthly)'!$E$2:$E$106,'Additions (monthly)'!$D$2:$D$106,E$2,'Additions (monthly)'!$B$2:$B$106,"&lt;="&amp;$B12)</f>
        <v>8.4</v>
      </c>
      <c r="F12" s="43" t="n">
        <f aca="false">SUMIFS('Additions (monthly)'!$E$2:$E$106,'Additions (monthly)'!$D$2:$D$106,F$2,'Additions (monthly)'!$B$2:$B$106,"&lt;="&amp;$B12)</f>
        <v>0</v>
      </c>
      <c r="G12" s="43" t="n">
        <f aca="false">SUMIFS('Additions (monthly)'!$E$2:$E$106,'Additions (monthly)'!$D$2:$D$106,G$2,'Additions (monthly)'!$B$2:$B$106,"&lt;="&amp;$B12)</f>
        <v>0</v>
      </c>
      <c r="H12" s="43" t="n">
        <f aca="false">SUMIFS('Additions (monthly)'!$E$2:$E$106,'Additions (monthly)'!$D$2:$D$106,H$2,'Additions (monthly)'!$B$2:$B$106,"&lt;="&amp;$B12)</f>
        <v>0</v>
      </c>
      <c r="I12" s="43" t="n">
        <f aca="false">SUMIFS('Additions (monthly)'!$E$2:$E$106,'Additions (monthly)'!$D$2:$D$106,I$2,'Additions (monthly)'!$B$2:$B$106,"&lt;="&amp;$B12)</f>
        <v>0</v>
      </c>
      <c r="J12" s="43" t="n">
        <f aca="false">SUMIFS('Additions (monthly)'!$E$2:$E$106,'Additions (monthly)'!$D$2:$D$106,J$2,'Additions (monthly)'!$B$2:$B$106,"&lt;="&amp;$B12)</f>
        <v>3.7</v>
      </c>
      <c r="K12" s="43" t="n">
        <f aca="false">SUMIFS('Additions (monthly)'!$E$2:$E$106,'Additions (monthly)'!$D$2:$D$106,K$2,'Additions (monthly)'!$B$2:$B$106,"&lt;="&amp;$B12)</f>
        <v>0</v>
      </c>
      <c r="L12" s="43" t="n">
        <f aca="false">SUMIFS('Additions (monthly)'!$E$2:$E$106,'Additions (monthly)'!$D$2:$D$106,L$2,'Additions (monthly)'!$B$2:$B$106,"&lt;="&amp;$B12)</f>
        <v>0</v>
      </c>
      <c r="M12" s="43" t="n">
        <f aca="false">SUMIFS('Additions (monthly)'!$E$2:$E$106,'Additions (monthly)'!$D$2:$D$106,M$2,'Additions (monthly)'!$B$2:$B$106,"&lt;="&amp;$B12)</f>
        <v>0</v>
      </c>
      <c r="N12" s="43" t="n">
        <f aca="false">SUMIFS('Additions (monthly)'!$E$2:$E$106,'Additions (monthly)'!$D$2:$D$106,N$2,'Additions (monthly)'!$B$2:$B$106,"&lt;="&amp;$B12)</f>
        <v>14.2</v>
      </c>
      <c r="O12" s="43" t="n">
        <f aca="false">SUMIFS('Additions (monthly)'!$E$2:$E$106,'Additions (monthly)'!$D$2:$D$106,O$2,'Additions (monthly)'!$B$2:$B$106,"&lt;="&amp;$B12)</f>
        <v>0</v>
      </c>
      <c r="P12" s="43" t="n">
        <f aca="false">SUMIFS('Additions (monthly)'!$E$2:$E$106,'Additions (monthly)'!$D$2:$D$106,P$2,'Additions (monthly)'!$B$2:$B$106,"&lt;="&amp;$B12)</f>
        <v>0</v>
      </c>
      <c r="Q12" s="43" t="n">
        <f aca="false">SUMIFS('Additions (monthly)'!$E$2:$E$106,'Additions (monthly)'!$D$2:$D$106,Q$2,'Additions (monthly)'!$B$2:$B$106,"&lt;="&amp;$B12)</f>
        <v>0</v>
      </c>
      <c r="R12" s="43" t="n">
        <f aca="false">SUMIFS('Additions (monthly)'!$E$2:$E$106,'Additions (monthly)'!$D$2:$D$106,R$2,'Additions (monthly)'!$B$2:$B$106,"&lt;="&amp;$B12)</f>
        <v>0</v>
      </c>
      <c r="S12" s="43" t="n">
        <f aca="false">SUMIFS('Additions (monthly)'!$E$2:$E$106,'Additions (monthly)'!$D$2:$D$106,S$2,'Additions (monthly)'!$B$2:$B$106,"&lt;="&amp;$B12)</f>
        <v>7.2</v>
      </c>
      <c r="T12" s="43" t="n">
        <f aca="false">SUMIFS('Additions (monthly)'!$E$2:$E$106,'Additions (monthly)'!$D$2:$D$106,T$2,'Additions (monthly)'!$B$2:$B$106,"&lt;="&amp;$B12)</f>
        <v>0</v>
      </c>
      <c r="U12" s="43" t="n">
        <f aca="false">SUMIFS('Additions (monthly)'!$E$2:$E$106,'Additions (monthly)'!$D$2:$D$106,U$2,'Additions (monthly)'!$B$2:$B$106,"&lt;="&amp;$B12)</f>
        <v>0</v>
      </c>
      <c r="V12" s="43" t="n">
        <f aca="false">SUMIFS('Additions (monthly)'!$E$2:$E$106,'Additions (monthly)'!$D$2:$D$106,V$2,'Additions (monthly)'!$B$2:$B$106,"&lt;="&amp;$B12)</f>
        <v>3.87</v>
      </c>
      <c r="W12" s="43" t="n">
        <f aca="false">SUMIFS('Additions (monthly)'!$E$2:$E$106,'Additions (monthly)'!$D$2:$D$106,W$2,'Additions (monthly)'!$B$2:$B$106,"&lt;="&amp;$B12)</f>
        <v>0</v>
      </c>
      <c r="X12" s="43" t="n">
        <f aca="false">SUMIFS('Additions (monthly)'!$E$2:$E$106,'Additions (monthly)'!$D$2:$D$106,X$2,'Additions (monthly)'!$B$2:$B$106,"&lt;="&amp;$B12)</f>
        <v>0</v>
      </c>
      <c r="Y12" s="43" t="n">
        <f aca="false">SUMIFS('Additions (monthly)'!$E$2:$E$106,'Additions (monthly)'!$D$2:$D$106,Y$2,'Additions (monthly)'!$B$2:$B$106,"&lt;="&amp;$B12)</f>
        <v>5</v>
      </c>
      <c r="Z12" s="43" t="n">
        <f aca="false">SUMIFS('Additions (monthly)'!$E$2:$E$106,'Additions (monthly)'!$D$2:$D$106,Z$2,'Additions (monthly)'!$B$2:$B$106,"&lt;="&amp;$B12)</f>
        <v>7.2</v>
      </c>
      <c r="AA12" s="43" t="n">
        <f aca="false">SUMIFS('Additions (monthly)'!$E$2:$E$106,'Additions (monthly)'!$D$2:$D$106,AA$2,'Additions (monthly)'!$B$2:$B$106,"&lt;="&amp;$B12)</f>
        <v>3.7</v>
      </c>
      <c r="AB12" s="43" t="n">
        <f aca="false">SUMIFS('Additions (monthly)'!$E$2:$E$106,'Additions (monthly)'!$D$2:$D$106,AB$2,'Additions (monthly)'!$B$2:$B$106,"&lt;="&amp;$B12)</f>
        <v>16.95</v>
      </c>
      <c r="AC12" s="43" t="n">
        <f aca="false">SUMIFS('Additions (monthly)'!$E$2:$E$106,'Additions (monthly)'!$D$2:$D$106,AC$2,'Additions (monthly)'!$B$2:$B$106,"&lt;="&amp;$B12)</f>
        <v>0</v>
      </c>
      <c r="AD12" s="43" t="n">
        <f aca="false">SUMIFS('Additions (monthly)'!$E$2:$E$106,'Additions (monthly)'!$D$2:$D$106,AD$2,'Additions (monthly)'!$B$2:$B$106,"&lt;="&amp;$B12)</f>
        <v>7.6</v>
      </c>
      <c r="AE12" s="43" t="n">
        <f aca="false">SUMIFS('Additions (monthly)'!$E$2:$E$106,'Additions (monthly)'!$D$2:$D$106,AE$2,'Additions (monthly)'!$B$2:$B$106,"&lt;="&amp;$B12)</f>
        <v>25.7</v>
      </c>
      <c r="AF12" s="43" t="n">
        <f aca="false">SUMIFS('Additions (monthly)'!$E$2:$E$106,'Additions (monthly)'!$D$2:$D$106,AF$2,'Additions (monthly)'!$B$2:$B$106,"&lt;="&amp;$B12)</f>
        <v>0</v>
      </c>
      <c r="AG12" s="43" t="n">
        <f aca="false">SUMIFS('Additions (monthly)'!$E$2:$E$106,'Additions (monthly)'!$D$2:$D$106,AG$2,'Additions (monthly)'!$B$2:$B$106,"&lt;="&amp;$B12)</f>
        <v>0</v>
      </c>
      <c r="AH12" s="43" t="n">
        <f aca="false">SUMIFS('Additions (monthly)'!$E$2:$E$106,'Additions (monthly)'!$D$2:$D$106,AH$2,'Additions (monthly)'!$B$2:$B$106,"&lt;="&amp;$B12)</f>
        <v>0</v>
      </c>
      <c r="AI12" s="43" t="n">
        <f aca="false">SUMIFS('Additions (monthly)'!$E$2:$E$106,'Additions (monthly)'!$D$2:$D$106,AI$2,'Additions (monthly)'!$B$2:$B$106,"&lt;="&amp;$B12)</f>
        <v>0</v>
      </c>
      <c r="AJ12" s="43" t="n">
        <f aca="false">SUMIFS('Additions (monthly)'!$E$2:$E$106,'Additions (monthly)'!$D$2:$D$106,AJ$2,'Additions (monthly)'!$B$2:$B$106,"&lt;="&amp;$B12)</f>
        <v>0</v>
      </c>
      <c r="AK12" s="43" t="n">
        <f aca="false">SUMIFS('Additions (monthly)'!$E$2:$E$106,'Additions (monthly)'!$D$2:$D$106,AK$2,'Additions (monthly)'!$B$2:$B$106,"&lt;="&amp;$B12)</f>
        <v>0</v>
      </c>
      <c r="AL12" s="43" t="n">
        <f aca="false">SUMIFS('Additions (monthly)'!$E$2:$E$106,'Additions (monthly)'!$D$2:$D$106,AL$2,'Additions (monthly)'!$B$2:$B$106,"&lt;="&amp;$B12)</f>
        <v>22.2</v>
      </c>
      <c r="AM12" s="43" t="n">
        <f aca="false">SUMIFS('Additions (monthly)'!$E$2:$E$106,'Additions (monthly)'!$D$2:$D$106,AM$2,'Additions (monthly)'!$B$2:$B$106,"&lt;="&amp;$B12)</f>
        <v>0</v>
      </c>
      <c r="AN12" s="43" t="n">
        <f aca="false">SUMIFS('Additions (monthly)'!$E$2:$E$106,'Additions (monthly)'!$D$2:$D$106,AN$2,'Additions (monthly)'!$B$2:$B$106,"&lt;="&amp;$B12)</f>
        <v>4.3</v>
      </c>
      <c r="AO12" s="43" t="n">
        <f aca="false">SUMIFS('Additions (monthly)'!$E$2:$E$106,'Additions (monthly)'!$D$2:$D$106,AO$2,'Additions (monthly)'!$B$2:$B$106,"&lt;="&amp;$B12)</f>
        <v>10.4</v>
      </c>
      <c r="AP12" s="43" t="n">
        <f aca="false">SUMIFS('Additions (monthly)'!$E$2:$E$106,'Additions (monthly)'!$D$2:$D$106,AP$2,'Additions (monthly)'!$B$2:$B$106,"&lt;="&amp;$B12)</f>
        <v>0</v>
      </c>
      <c r="AQ12" s="43" t="n">
        <f aca="false">SUMIFS('Additions (monthly)'!$E$2:$E$106,'Additions (monthly)'!$D$2:$D$106,AQ$2,'Additions (monthly)'!$B$2:$B$106,"&lt;="&amp;$B12)</f>
        <v>4.45</v>
      </c>
      <c r="AR12" s="43" t="n">
        <f aca="false">SUMIFS('Additions (monthly)'!$E$2:$E$106,'Additions (monthly)'!$D$2:$D$106,AR$2,'Additions (monthly)'!$B$2:$B$106,"&lt;="&amp;$B12)</f>
        <v>61.5</v>
      </c>
      <c r="AS12" s="43" t="n">
        <f aca="false">SUMIFS('Additions (monthly)'!$E$2:$E$106,'Additions (monthly)'!$D$2:$D$106,AS$2,'Additions (monthly)'!$B$2:$B$106,"&lt;="&amp;$B12)</f>
        <v>0</v>
      </c>
      <c r="AT12" s="43" t="n">
        <f aca="false">SUMIFS('Additions (monthly)'!$E$2:$E$106,'Additions (monthly)'!$D$2:$D$106,AT$2,'Additions (monthly)'!$B$2:$B$106,"&lt;="&amp;$B12)</f>
        <v>0</v>
      </c>
      <c r="AU12" s="43" t="n">
        <f aca="false">SUMIFS('Additions (monthly)'!$E$2:$E$106,'Additions (monthly)'!$D$2:$D$106,AU$2,'Additions (monthly)'!$B$2:$B$106,"&lt;="&amp;$B12)</f>
        <v>9.6</v>
      </c>
      <c r="AV12" s="43" t="n">
        <f aca="false">SUMIFS('Additions (monthly)'!$E$2:$E$106,'Additions (monthly)'!$D$2:$D$106,AV$2,'Additions (monthly)'!$B$2:$B$106,"&lt;="&amp;$B12)</f>
        <v>0</v>
      </c>
      <c r="AW12" s="43" t="n">
        <f aca="false">SUMIFS('Additions (monthly)'!$E$2:$E$106,'Additions (monthly)'!$D$2:$D$106,AW$2,'Additions (monthly)'!$B$2:$B$106,"&lt;="&amp;$B12)</f>
        <v>0</v>
      </c>
      <c r="AX12" s="43" t="n">
        <f aca="false">SUMIFS('Additions (monthly)'!$E$2:$E$106,'Additions (monthly)'!$D$2:$D$106,AX$2,'Additions (monthly)'!$B$2:$B$106,"&lt;="&amp;$B12)</f>
        <v>11.8</v>
      </c>
      <c r="AY12" s="43" t="n">
        <f aca="false">SUMIFS('Additions (monthly)'!$E$2:$E$106,'Additions (monthly)'!$D$2:$D$106,AY$2,'Additions (monthly)'!$B$2:$B$106,"&lt;="&amp;$B12)</f>
        <v>5.3</v>
      </c>
      <c r="AZ12" s="43" t="n">
        <f aca="false">SUMIFS('Additions (monthly)'!$E$2:$E$106,'Additions (monthly)'!$D$2:$D$106,AZ$2,'Additions (monthly)'!$B$2:$B$106,"&lt;="&amp;$B12)</f>
        <v>0</v>
      </c>
      <c r="BA12" s="43" t="n">
        <f aca="false">SUMIFS('Additions (monthly)'!$E$2:$E$106,'Additions (monthly)'!$D$2:$D$106,BA$2,'Additions (monthly)'!$B$2:$B$106,"&lt;="&amp;$B12)</f>
        <v>0</v>
      </c>
      <c r="BB12" s="43" t="n">
        <f aca="false">SUMIFS('Additions (monthly)'!$E$2:$E$106,'Additions (monthly)'!$D$2:$D$106,BB$2,'Additions (monthly)'!$B$2:$B$106,"&lt;="&amp;$B12)</f>
        <v>0</v>
      </c>
      <c r="BC12" s="43" t="n">
        <f aca="false">SUMIFS('Additions (monthly)'!$E$2:$E$106,'Additions (monthly)'!$D$2:$D$106,BC$2,'Additions (monthly)'!$B$2:$B$106,"&lt;="&amp;$B12)</f>
        <v>0</v>
      </c>
      <c r="BD12" s="43" t="n">
        <f aca="false">SUMIFS('Additions (monthly)'!$E$2:$E$106,'Additions (monthly)'!$D$2:$D$106,BD$2,'Additions (monthly)'!$B$2:$B$106,"&lt;="&amp;$B12)</f>
        <v>0</v>
      </c>
      <c r="BE12" s="43" t="n">
        <f aca="false">SUMIFS('Additions (monthly)'!$E$2:$E$106,'Additions (monthly)'!$D$2:$D$106,BE$2,'Additions (monthly)'!$B$2:$B$106,"&lt;="&amp;$B12)</f>
        <v>0</v>
      </c>
      <c r="BF12" s="43" t="n">
        <f aca="false">SUMIFS('Additions (monthly)'!$E$2:$E$106,'Additions (monthly)'!$D$2:$D$106,BF$2,'Additions (monthly)'!$B$2:$B$106,"&lt;="&amp;$B12)</f>
        <v>0</v>
      </c>
      <c r="BG12" s="43" t="n">
        <f aca="false">SUMIFS('Additions (monthly)'!$E$2:$E$106,'Additions (monthly)'!$D$2:$D$106,BG$2,'Additions (monthly)'!$B$2:$B$106,"&lt;="&amp;$B12)</f>
        <v>0</v>
      </c>
      <c r="BH12" s="43" t="n">
        <f aca="false">SUMIFS('Additions (monthly)'!$E$2:$E$106,'Additions (monthly)'!$D$2:$D$106,BH$2,'Additions (monthly)'!$B$2:$B$106,"&lt;="&amp;$B12)</f>
        <v>0</v>
      </c>
      <c r="BI12" s="43" t="n">
        <f aca="false">SUMIFS('Additions (monthly)'!$E$2:$E$106,'Additions (monthly)'!$D$2:$D$106,BI$2,'Additions (monthly)'!$B$2:$B$106,"&lt;="&amp;$B12)</f>
        <v>6.7</v>
      </c>
    </row>
    <row r="13" customFormat="false" ht="15" hidden="false" customHeight="false" outlineLevel="0" collapsed="false">
      <c r="A13" s="23" t="n">
        <v>40483</v>
      </c>
      <c r="B13" s="24" t="n">
        <v>201011</v>
      </c>
      <c r="C13" s="42" t="n">
        <f aca="false">SUMIFS('Additions (monthly)'!$E$2:$E$106,'Additions (monthly)'!$B$2:$B$106,"&lt;="&amp;$B13)</f>
        <v>255.77</v>
      </c>
      <c r="D13" s="43" t="n">
        <f aca="false">SUMIFS('Additions (monthly)'!$E$2:$E$106,'Additions (monthly)'!$D$2:$D$106,D$2,'Additions (monthly)'!$B$2:$B$106,"&lt;="&amp;$B13)</f>
        <v>7.9</v>
      </c>
      <c r="E13" s="43" t="n">
        <f aca="false">SUMIFS('Additions (monthly)'!$E$2:$E$106,'Additions (monthly)'!$D$2:$D$106,E$2,'Additions (monthly)'!$B$2:$B$106,"&lt;="&amp;$B13)</f>
        <v>8.4</v>
      </c>
      <c r="F13" s="43" t="n">
        <f aca="false">SUMIFS('Additions (monthly)'!$E$2:$E$106,'Additions (monthly)'!$D$2:$D$106,F$2,'Additions (monthly)'!$B$2:$B$106,"&lt;="&amp;$B13)</f>
        <v>0</v>
      </c>
      <c r="G13" s="43" t="n">
        <f aca="false">SUMIFS('Additions (monthly)'!$E$2:$E$106,'Additions (monthly)'!$D$2:$D$106,G$2,'Additions (monthly)'!$B$2:$B$106,"&lt;="&amp;$B13)</f>
        <v>0</v>
      </c>
      <c r="H13" s="43" t="n">
        <f aca="false">SUMIFS('Additions (monthly)'!$E$2:$E$106,'Additions (monthly)'!$D$2:$D$106,H$2,'Additions (monthly)'!$B$2:$B$106,"&lt;="&amp;$B13)</f>
        <v>0</v>
      </c>
      <c r="I13" s="43" t="n">
        <f aca="false">SUMIFS('Additions (monthly)'!$E$2:$E$106,'Additions (monthly)'!$D$2:$D$106,I$2,'Additions (monthly)'!$B$2:$B$106,"&lt;="&amp;$B13)</f>
        <v>0</v>
      </c>
      <c r="J13" s="43" t="n">
        <f aca="false">SUMIFS('Additions (monthly)'!$E$2:$E$106,'Additions (monthly)'!$D$2:$D$106,J$2,'Additions (monthly)'!$B$2:$B$106,"&lt;="&amp;$B13)</f>
        <v>3.7</v>
      </c>
      <c r="K13" s="43" t="n">
        <f aca="false">SUMIFS('Additions (monthly)'!$E$2:$E$106,'Additions (monthly)'!$D$2:$D$106,K$2,'Additions (monthly)'!$B$2:$B$106,"&lt;="&amp;$B13)</f>
        <v>0</v>
      </c>
      <c r="L13" s="43" t="n">
        <f aca="false">SUMIFS('Additions (monthly)'!$E$2:$E$106,'Additions (monthly)'!$D$2:$D$106,L$2,'Additions (monthly)'!$B$2:$B$106,"&lt;="&amp;$B13)</f>
        <v>0</v>
      </c>
      <c r="M13" s="43" t="n">
        <f aca="false">SUMIFS('Additions (monthly)'!$E$2:$E$106,'Additions (monthly)'!$D$2:$D$106,M$2,'Additions (monthly)'!$B$2:$B$106,"&lt;="&amp;$B13)</f>
        <v>0</v>
      </c>
      <c r="N13" s="43" t="n">
        <f aca="false">SUMIFS('Additions (monthly)'!$E$2:$E$106,'Additions (monthly)'!$D$2:$D$106,N$2,'Additions (monthly)'!$B$2:$B$106,"&lt;="&amp;$B13)</f>
        <v>14.2</v>
      </c>
      <c r="O13" s="43" t="n">
        <f aca="false">SUMIFS('Additions (monthly)'!$E$2:$E$106,'Additions (monthly)'!$D$2:$D$106,O$2,'Additions (monthly)'!$B$2:$B$106,"&lt;="&amp;$B13)</f>
        <v>0</v>
      </c>
      <c r="P13" s="43" t="n">
        <f aca="false">SUMIFS('Additions (monthly)'!$E$2:$E$106,'Additions (monthly)'!$D$2:$D$106,P$2,'Additions (monthly)'!$B$2:$B$106,"&lt;="&amp;$B13)</f>
        <v>0</v>
      </c>
      <c r="Q13" s="43" t="n">
        <f aca="false">SUMIFS('Additions (monthly)'!$E$2:$E$106,'Additions (monthly)'!$D$2:$D$106,Q$2,'Additions (monthly)'!$B$2:$B$106,"&lt;="&amp;$B13)</f>
        <v>0</v>
      </c>
      <c r="R13" s="43" t="n">
        <f aca="false">SUMIFS('Additions (monthly)'!$E$2:$E$106,'Additions (monthly)'!$D$2:$D$106,R$2,'Additions (monthly)'!$B$2:$B$106,"&lt;="&amp;$B13)</f>
        <v>0</v>
      </c>
      <c r="S13" s="43" t="n">
        <f aca="false">SUMIFS('Additions (monthly)'!$E$2:$E$106,'Additions (monthly)'!$D$2:$D$106,S$2,'Additions (monthly)'!$B$2:$B$106,"&lt;="&amp;$B13)</f>
        <v>7.2</v>
      </c>
      <c r="T13" s="43" t="n">
        <f aca="false">SUMIFS('Additions (monthly)'!$E$2:$E$106,'Additions (monthly)'!$D$2:$D$106,T$2,'Additions (monthly)'!$B$2:$B$106,"&lt;="&amp;$B13)</f>
        <v>0</v>
      </c>
      <c r="U13" s="43" t="n">
        <f aca="false">SUMIFS('Additions (monthly)'!$E$2:$E$106,'Additions (monthly)'!$D$2:$D$106,U$2,'Additions (monthly)'!$B$2:$B$106,"&lt;="&amp;$B13)</f>
        <v>0</v>
      </c>
      <c r="V13" s="43" t="n">
        <f aca="false">SUMIFS('Additions (monthly)'!$E$2:$E$106,'Additions (monthly)'!$D$2:$D$106,V$2,'Additions (monthly)'!$B$2:$B$106,"&lt;="&amp;$B13)</f>
        <v>3.87</v>
      </c>
      <c r="W13" s="43" t="n">
        <f aca="false">SUMIFS('Additions (monthly)'!$E$2:$E$106,'Additions (monthly)'!$D$2:$D$106,W$2,'Additions (monthly)'!$B$2:$B$106,"&lt;="&amp;$B13)</f>
        <v>0</v>
      </c>
      <c r="X13" s="43" t="n">
        <f aca="false">SUMIFS('Additions (monthly)'!$E$2:$E$106,'Additions (monthly)'!$D$2:$D$106,X$2,'Additions (monthly)'!$B$2:$B$106,"&lt;="&amp;$B13)</f>
        <v>0</v>
      </c>
      <c r="Y13" s="43" t="n">
        <f aca="false">SUMIFS('Additions (monthly)'!$E$2:$E$106,'Additions (monthly)'!$D$2:$D$106,Y$2,'Additions (monthly)'!$B$2:$B$106,"&lt;="&amp;$B13)</f>
        <v>5</v>
      </c>
      <c r="Z13" s="43" t="n">
        <f aca="false">SUMIFS('Additions (monthly)'!$E$2:$E$106,'Additions (monthly)'!$D$2:$D$106,Z$2,'Additions (monthly)'!$B$2:$B$106,"&lt;="&amp;$B13)</f>
        <v>7.2</v>
      </c>
      <c r="AA13" s="43" t="n">
        <f aca="false">SUMIFS('Additions (monthly)'!$E$2:$E$106,'Additions (monthly)'!$D$2:$D$106,AA$2,'Additions (monthly)'!$B$2:$B$106,"&lt;="&amp;$B13)</f>
        <v>3.7</v>
      </c>
      <c r="AB13" s="43" t="n">
        <f aca="false">SUMIFS('Additions (monthly)'!$E$2:$E$106,'Additions (monthly)'!$D$2:$D$106,AB$2,'Additions (monthly)'!$B$2:$B$106,"&lt;="&amp;$B13)</f>
        <v>16.95</v>
      </c>
      <c r="AC13" s="43" t="n">
        <f aca="false">SUMIFS('Additions (monthly)'!$E$2:$E$106,'Additions (monthly)'!$D$2:$D$106,AC$2,'Additions (monthly)'!$B$2:$B$106,"&lt;="&amp;$B13)</f>
        <v>0</v>
      </c>
      <c r="AD13" s="43" t="n">
        <f aca="false">SUMIFS('Additions (monthly)'!$E$2:$E$106,'Additions (monthly)'!$D$2:$D$106,AD$2,'Additions (monthly)'!$B$2:$B$106,"&lt;="&amp;$B13)</f>
        <v>7.6</v>
      </c>
      <c r="AE13" s="43" t="n">
        <f aca="false">SUMIFS('Additions (monthly)'!$E$2:$E$106,'Additions (monthly)'!$D$2:$D$106,AE$2,'Additions (monthly)'!$B$2:$B$106,"&lt;="&amp;$B13)</f>
        <v>25.7</v>
      </c>
      <c r="AF13" s="43" t="n">
        <f aca="false">SUMIFS('Additions (monthly)'!$E$2:$E$106,'Additions (monthly)'!$D$2:$D$106,AF$2,'Additions (monthly)'!$B$2:$B$106,"&lt;="&amp;$B13)</f>
        <v>0</v>
      </c>
      <c r="AG13" s="43" t="n">
        <f aca="false">SUMIFS('Additions (monthly)'!$E$2:$E$106,'Additions (monthly)'!$D$2:$D$106,AG$2,'Additions (monthly)'!$B$2:$B$106,"&lt;="&amp;$B13)</f>
        <v>0</v>
      </c>
      <c r="AH13" s="43" t="n">
        <f aca="false">SUMIFS('Additions (monthly)'!$E$2:$E$106,'Additions (monthly)'!$D$2:$D$106,AH$2,'Additions (monthly)'!$B$2:$B$106,"&lt;="&amp;$B13)</f>
        <v>0</v>
      </c>
      <c r="AI13" s="43" t="n">
        <f aca="false">SUMIFS('Additions (monthly)'!$E$2:$E$106,'Additions (monthly)'!$D$2:$D$106,AI$2,'Additions (monthly)'!$B$2:$B$106,"&lt;="&amp;$B13)</f>
        <v>0</v>
      </c>
      <c r="AJ13" s="43" t="n">
        <f aca="false">SUMIFS('Additions (monthly)'!$E$2:$E$106,'Additions (monthly)'!$D$2:$D$106,AJ$2,'Additions (monthly)'!$B$2:$B$106,"&lt;="&amp;$B13)</f>
        <v>0</v>
      </c>
      <c r="AK13" s="43" t="n">
        <f aca="false">SUMIFS('Additions (monthly)'!$E$2:$E$106,'Additions (monthly)'!$D$2:$D$106,AK$2,'Additions (monthly)'!$B$2:$B$106,"&lt;="&amp;$B13)</f>
        <v>0</v>
      </c>
      <c r="AL13" s="43" t="n">
        <f aca="false">SUMIFS('Additions (monthly)'!$E$2:$E$106,'Additions (monthly)'!$D$2:$D$106,AL$2,'Additions (monthly)'!$B$2:$B$106,"&lt;="&amp;$B13)</f>
        <v>22.2</v>
      </c>
      <c r="AM13" s="43" t="n">
        <f aca="false">SUMIFS('Additions (monthly)'!$E$2:$E$106,'Additions (monthly)'!$D$2:$D$106,AM$2,'Additions (monthly)'!$B$2:$B$106,"&lt;="&amp;$B13)</f>
        <v>0.3</v>
      </c>
      <c r="AN13" s="43" t="n">
        <f aca="false">SUMIFS('Additions (monthly)'!$E$2:$E$106,'Additions (monthly)'!$D$2:$D$106,AN$2,'Additions (monthly)'!$B$2:$B$106,"&lt;="&amp;$B13)</f>
        <v>4.3</v>
      </c>
      <c r="AO13" s="43" t="n">
        <f aca="false">SUMIFS('Additions (monthly)'!$E$2:$E$106,'Additions (monthly)'!$D$2:$D$106,AO$2,'Additions (monthly)'!$B$2:$B$106,"&lt;="&amp;$B13)</f>
        <v>10.4</v>
      </c>
      <c r="AP13" s="43" t="n">
        <f aca="false">SUMIFS('Additions (monthly)'!$E$2:$E$106,'Additions (monthly)'!$D$2:$D$106,AP$2,'Additions (monthly)'!$B$2:$B$106,"&lt;="&amp;$B13)</f>
        <v>0</v>
      </c>
      <c r="AQ13" s="43" t="n">
        <f aca="false">SUMIFS('Additions (monthly)'!$E$2:$E$106,'Additions (monthly)'!$D$2:$D$106,AQ$2,'Additions (monthly)'!$B$2:$B$106,"&lt;="&amp;$B13)</f>
        <v>4.45</v>
      </c>
      <c r="AR13" s="43" t="n">
        <f aca="false">SUMIFS('Additions (monthly)'!$E$2:$E$106,'Additions (monthly)'!$D$2:$D$106,AR$2,'Additions (monthly)'!$B$2:$B$106,"&lt;="&amp;$B13)</f>
        <v>69.3</v>
      </c>
      <c r="AS13" s="43" t="n">
        <f aca="false">SUMIFS('Additions (monthly)'!$E$2:$E$106,'Additions (monthly)'!$D$2:$D$106,AS$2,'Additions (monthly)'!$B$2:$B$106,"&lt;="&amp;$B13)</f>
        <v>0</v>
      </c>
      <c r="AT13" s="43" t="n">
        <f aca="false">SUMIFS('Additions (monthly)'!$E$2:$E$106,'Additions (monthly)'!$D$2:$D$106,AT$2,'Additions (monthly)'!$B$2:$B$106,"&lt;="&amp;$B13)</f>
        <v>0</v>
      </c>
      <c r="AU13" s="43" t="n">
        <f aca="false">SUMIFS('Additions (monthly)'!$E$2:$E$106,'Additions (monthly)'!$D$2:$D$106,AU$2,'Additions (monthly)'!$B$2:$B$106,"&lt;="&amp;$B13)</f>
        <v>9.6</v>
      </c>
      <c r="AV13" s="43" t="n">
        <f aca="false">SUMIFS('Additions (monthly)'!$E$2:$E$106,'Additions (monthly)'!$D$2:$D$106,AV$2,'Additions (monthly)'!$B$2:$B$106,"&lt;="&amp;$B13)</f>
        <v>0</v>
      </c>
      <c r="AW13" s="43" t="n">
        <f aca="false">SUMIFS('Additions (monthly)'!$E$2:$E$106,'Additions (monthly)'!$D$2:$D$106,AW$2,'Additions (monthly)'!$B$2:$B$106,"&lt;="&amp;$B13)</f>
        <v>0</v>
      </c>
      <c r="AX13" s="43" t="n">
        <f aca="false">SUMIFS('Additions (monthly)'!$E$2:$E$106,'Additions (monthly)'!$D$2:$D$106,AX$2,'Additions (monthly)'!$B$2:$B$106,"&lt;="&amp;$B13)</f>
        <v>11.8</v>
      </c>
      <c r="AY13" s="43" t="n">
        <f aca="false">SUMIFS('Additions (monthly)'!$E$2:$E$106,'Additions (monthly)'!$D$2:$D$106,AY$2,'Additions (monthly)'!$B$2:$B$106,"&lt;="&amp;$B13)</f>
        <v>5.3</v>
      </c>
      <c r="AZ13" s="43" t="n">
        <f aca="false">SUMIFS('Additions (monthly)'!$E$2:$E$106,'Additions (monthly)'!$D$2:$D$106,AZ$2,'Additions (monthly)'!$B$2:$B$106,"&lt;="&amp;$B13)</f>
        <v>0</v>
      </c>
      <c r="BA13" s="43" t="n">
        <f aca="false">SUMIFS('Additions (monthly)'!$E$2:$E$106,'Additions (monthly)'!$D$2:$D$106,BA$2,'Additions (monthly)'!$B$2:$B$106,"&lt;="&amp;$B13)</f>
        <v>0</v>
      </c>
      <c r="BB13" s="43" t="n">
        <f aca="false">SUMIFS('Additions (monthly)'!$E$2:$E$106,'Additions (monthly)'!$D$2:$D$106,BB$2,'Additions (monthly)'!$B$2:$B$106,"&lt;="&amp;$B13)</f>
        <v>0</v>
      </c>
      <c r="BC13" s="43" t="n">
        <f aca="false">SUMIFS('Additions (monthly)'!$E$2:$E$106,'Additions (monthly)'!$D$2:$D$106,BC$2,'Additions (monthly)'!$B$2:$B$106,"&lt;="&amp;$B13)</f>
        <v>0</v>
      </c>
      <c r="BD13" s="43" t="n">
        <f aca="false">SUMIFS('Additions (monthly)'!$E$2:$E$106,'Additions (monthly)'!$D$2:$D$106,BD$2,'Additions (monthly)'!$B$2:$B$106,"&lt;="&amp;$B13)</f>
        <v>0</v>
      </c>
      <c r="BE13" s="43" t="n">
        <f aca="false">SUMIFS('Additions (monthly)'!$E$2:$E$106,'Additions (monthly)'!$D$2:$D$106,BE$2,'Additions (monthly)'!$B$2:$B$106,"&lt;="&amp;$B13)</f>
        <v>0</v>
      </c>
      <c r="BF13" s="43" t="n">
        <f aca="false">SUMIFS('Additions (monthly)'!$E$2:$E$106,'Additions (monthly)'!$D$2:$D$106,BF$2,'Additions (monthly)'!$B$2:$B$106,"&lt;="&amp;$B13)</f>
        <v>0</v>
      </c>
      <c r="BG13" s="43" t="n">
        <f aca="false">SUMIFS('Additions (monthly)'!$E$2:$E$106,'Additions (monthly)'!$D$2:$D$106,BG$2,'Additions (monthly)'!$B$2:$B$106,"&lt;="&amp;$B13)</f>
        <v>0</v>
      </c>
      <c r="BH13" s="43" t="n">
        <f aca="false">SUMIFS('Additions (monthly)'!$E$2:$E$106,'Additions (monthly)'!$D$2:$D$106,BH$2,'Additions (monthly)'!$B$2:$B$106,"&lt;="&amp;$B13)</f>
        <v>0</v>
      </c>
      <c r="BI13" s="43" t="n">
        <f aca="false">SUMIFS('Additions (monthly)'!$E$2:$E$106,'Additions (monthly)'!$D$2:$D$106,BI$2,'Additions (monthly)'!$B$2:$B$106,"&lt;="&amp;$B13)</f>
        <v>6.7</v>
      </c>
    </row>
    <row r="14" customFormat="false" ht="15" hidden="false" customHeight="false" outlineLevel="0" collapsed="false">
      <c r="A14" s="23" t="n">
        <v>40513</v>
      </c>
      <c r="B14" s="24" t="n">
        <v>201012</v>
      </c>
      <c r="C14" s="42" t="n">
        <f aca="false">SUMIFS('Additions (monthly)'!$E$2:$E$106,'Additions (monthly)'!$B$2:$B$106,"&lt;="&amp;$B14)</f>
        <v>255.77</v>
      </c>
      <c r="D14" s="43" t="n">
        <f aca="false">SUMIFS('Additions (monthly)'!$E$2:$E$106,'Additions (monthly)'!$D$2:$D$106,D$2,'Additions (monthly)'!$B$2:$B$106,"&lt;="&amp;$B14)</f>
        <v>7.9</v>
      </c>
      <c r="E14" s="43" t="n">
        <f aca="false">SUMIFS('Additions (monthly)'!$E$2:$E$106,'Additions (monthly)'!$D$2:$D$106,E$2,'Additions (monthly)'!$B$2:$B$106,"&lt;="&amp;$B14)</f>
        <v>8.4</v>
      </c>
      <c r="F14" s="43" t="n">
        <f aca="false">SUMIFS('Additions (monthly)'!$E$2:$E$106,'Additions (monthly)'!$D$2:$D$106,F$2,'Additions (monthly)'!$B$2:$B$106,"&lt;="&amp;$B14)</f>
        <v>0</v>
      </c>
      <c r="G14" s="43" t="n">
        <f aca="false">SUMIFS('Additions (monthly)'!$E$2:$E$106,'Additions (monthly)'!$D$2:$D$106,G$2,'Additions (monthly)'!$B$2:$B$106,"&lt;="&amp;$B14)</f>
        <v>0</v>
      </c>
      <c r="H14" s="43" t="n">
        <f aca="false">SUMIFS('Additions (monthly)'!$E$2:$E$106,'Additions (monthly)'!$D$2:$D$106,H$2,'Additions (monthly)'!$B$2:$B$106,"&lt;="&amp;$B14)</f>
        <v>0</v>
      </c>
      <c r="I14" s="43" t="n">
        <f aca="false">SUMIFS('Additions (monthly)'!$E$2:$E$106,'Additions (monthly)'!$D$2:$D$106,I$2,'Additions (monthly)'!$B$2:$B$106,"&lt;="&amp;$B14)</f>
        <v>0</v>
      </c>
      <c r="J14" s="43" t="n">
        <f aca="false">SUMIFS('Additions (monthly)'!$E$2:$E$106,'Additions (monthly)'!$D$2:$D$106,J$2,'Additions (monthly)'!$B$2:$B$106,"&lt;="&amp;$B14)</f>
        <v>3.7</v>
      </c>
      <c r="K14" s="43" t="n">
        <f aca="false">SUMIFS('Additions (monthly)'!$E$2:$E$106,'Additions (monthly)'!$D$2:$D$106,K$2,'Additions (monthly)'!$B$2:$B$106,"&lt;="&amp;$B14)</f>
        <v>0</v>
      </c>
      <c r="L14" s="43" t="n">
        <f aca="false">SUMIFS('Additions (monthly)'!$E$2:$E$106,'Additions (monthly)'!$D$2:$D$106,L$2,'Additions (monthly)'!$B$2:$B$106,"&lt;="&amp;$B14)</f>
        <v>0</v>
      </c>
      <c r="M14" s="43" t="n">
        <f aca="false">SUMIFS('Additions (monthly)'!$E$2:$E$106,'Additions (monthly)'!$D$2:$D$106,M$2,'Additions (monthly)'!$B$2:$B$106,"&lt;="&amp;$B14)</f>
        <v>0</v>
      </c>
      <c r="N14" s="43" t="n">
        <f aca="false">SUMIFS('Additions (monthly)'!$E$2:$E$106,'Additions (monthly)'!$D$2:$D$106,N$2,'Additions (monthly)'!$B$2:$B$106,"&lt;="&amp;$B14)</f>
        <v>14.2</v>
      </c>
      <c r="O14" s="43" t="n">
        <f aca="false">SUMIFS('Additions (monthly)'!$E$2:$E$106,'Additions (monthly)'!$D$2:$D$106,O$2,'Additions (monthly)'!$B$2:$B$106,"&lt;="&amp;$B14)</f>
        <v>0</v>
      </c>
      <c r="P14" s="43" t="n">
        <f aca="false">SUMIFS('Additions (monthly)'!$E$2:$E$106,'Additions (monthly)'!$D$2:$D$106,P$2,'Additions (monthly)'!$B$2:$B$106,"&lt;="&amp;$B14)</f>
        <v>0</v>
      </c>
      <c r="Q14" s="43" t="n">
        <f aca="false">SUMIFS('Additions (monthly)'!$E$2:$E$106,'Additions (monthly)'!$D$2:$D$106,Q$2,'Additions (monthly)'!$B$2:$B$106,"&lt;="&amp;$B14)</f>
        <v>0</v>
      </c>
      <c r="R14" s="43" t="n">
        <f aca="false">SUMIFS('Additions (monthly)'!$E$2:$E$106,'Additions (monthly)'!$D$2:$D$106,R$2,'Additions (monthly)'!$B$2:$B$106,"&lt;="&amp;$B14)</f>
        <v>0</v>
      </c>
      <c r="S14" s="43" t="n">
        <f aca="false">SUMIFS('Additions (monthly)'!$E$2:$E$106,'Additions (monthly)'!$D$2:$D$106,S$2,'Additions (monthly)'!$B$2:$B$106,"&lt;="&amp;$B14)</f>
        <v>7.2</v>
      </c>
      <c r="T14" s="43" t="n">
        <f aca="false">SUMIFS('Additions (monthly)'!$E$2:$E$106,'Additions (monthly)'!$D$2:$D$106,T$2,'Additions (monthly)'!$B$2:$B$106,"&lt;="&amp;$B14)</f>
        <v>0</v>
      </c>
      <c r="U14" s="43" t="n">
        <f aca="false">SUMIFS('Additions (monthly)'!$E$2:$E$106,'Additions (monthly)'!$D$2:$D$106,U$2,'Additions (monthly)'!$B$2:$B$106,"&lt;="&amp;$B14)</f>
        <v>0</v>
      </c>
      <c r="V14" s="43" t="n">
        <f aca="false">SUMIFS('Additions (monthly)'!$E$2:$E$106,'Additions (monthly)'!$D$2:$D$106,V$2,'Additions (monthly)'!$B$2:$B$106,"&lt;="&amp;$B14)</f>
        <v>3.87</v>
      </c>
      <c r="W14" s="43" t="n">
        <f aca="false">SUMIFS('Additions (monthly)'!$E$2:$E$106,'Additions (monthly)'!$D$2:$D$106,W$2,'Additions (monthly)'!$B$2:$B$106,"&lt;="&amp;$B14)</f>
        <v>0</v>
      </c>
      <c r="X14" s="43" t="n">
        <f aca="false">SUMIFS('Additions (monthly)'!$E$2:$E$106,'Additions (monthly)'!$D$2:$D$106,X$2,'Additions (monthly)'!$B$2:$B$106,"&lt;="&amp;$B14)</f>
        <v>0</v>
      </c>
      <c r="Y14" s="43" t="n">
        <f aca="false">SUMIFS('Additions (monthly)'!$E$2:$E$106,'Additions (monthly)'!$D$2:$D$106,Y$2,'Additions (monthly)'!$B$2:$B$106,"&lt;="&amp;$B14)</f>
        <v>5</v>
      </c>
      <c r="Z14" s="43" t="n">
        <f aca="false">SUMIFS('Additions (monthly)'!$E$2:$E$106,'Additions (monthly)'!$D$2:$D$106,Z$2,'Additions (monthly)'!$B$2:$B$106,"&lt;="&amp;$B14)</f>
        <v>7.2</v>
      </c>
      <c r="AA14" s="43" t="n">
        <f aca="false">SUMIFS('Additions (monthly)'!$E$2:$E$106,'Additions (monthly)'!$D$2:$D$106,AA$2,'Additions (monthly)'!$B$2:$B$106,"&lt;="&amp;$B14)</f>
        <v>3.7</v>
      </c>
      <c r="AB14" s="43" t="n">
        <f aca="false">SUMIFS('Additions (monthly)'!$E$2:$E$106,'Additions (monthly)'!$D$2:$D$106,AB$2,'Additions (monthly)'!$B$2:$B$106,"&lt;="&amp;$B14)</f>
        <v>16.95</v>
      </c>
      <c r="AC14" s="43" t="n">
        <f aca="false">SUMIFS('Additions (monthly)'!$E$2:$E$106,'Additions (monthly)'!$D$2:$D$106,AC$2,'Additions (monthly)'!$B$2:$B$106,"&lt;="&amp;$B14)</f>
        <v>0</v>
      </c>
      <c r="AD14" s="43" t="n">
        <f aca="false">SUMIFS('Additions (monthly)'!$E$2:$E$106,'Additions (monthly)'!$D$2:$D$106,AD$2,'Additions (monthly)'!$B$2:$B$106,"&lt;="&amp;$B14)</f>
        <v>7.6</v>
      </c>
      <c r="AE14" s="43" t="n">
        <f aca="false">SUMIFS('Additions (monthly)'!$E$2:$E$106,'Additions (monthly)'!$D$2:$D$106,AE$2,'Additions (monthly)'!$B$2:$B$106,"&lt;="&amp;$B14)</f>
        <v>25.7</v>
      </c>
      <c r="AF14" s="43" t="n">
        <f aca="false">SUMIFS('Additions (monthly)'!$E$2:$E$106,'Additions (monthly)'!$D$2:$D$106,AF$2,'Additions (monthly)'!$B$2:$B$106,"&lt;="&amp;$B14)</f>
        <v>0</v>
      </c>
      <c r="AG14" s="43" t="n">
        <f aca="false">SUMIFS('Additions (monthly)'!$E$2:$E$106,'Additions (monthly)'!$D$2:$D$106,AG$2,'Additions (monthly)'!$B$2:$B$106,"&lt;="&amp;$B14)</f>
        <v>0</v>
      </c>
      <c r="AH14" s="43" t="n">
        <f aca="false">SUMIFS('Additions (monthly)'!$E$2:$E$106,'Additions (monthly)'!$D$2:$D$106,AH$2,'Additions (monthly)'!$B$2:$B$106,"&lt;="&amp;$B14)</f>
        <v>0</v>
      </c>
      <c r="AI14" s="43" t="n">
        <f aca="false">SUMIFS('Additions (monthly)'!$E$2:$E$106,'Additions (monthly)'!$D$2:$D$106,AI$2,'Additions (monthly)'!$B$2:$B$106,"&lt;="&amp;$B14)</f>
        <v>0</v>
      </c>
      <c r="AJ14" s="43" t="n">
        <f aca="false">SUMIFS('Additions (monthly)'!$E$2:$E$106,'Additions (monthly)'!$D$2:$D$106,AJ$2,'Additions (monthly)'!$B$2:$B$106,"&lt;="&amp;$B14)</f>
        <v>0</v>
      </c>
      <c r="AK14" s="43" t="n">
        <f aca="false">SUMIFS('Additions (monthly)'!$E$2:$E$106,'Additions (monthly)'!$D$2:$D$106,AK$2,'Additions (monthly)'!$B$2:$B$106,"&lt;="&amp;$B14)</f>
        <v>0</v>
      </c>
      <c r="AL14" s="43" t="n">
        <f aca="false">SUMIFS('Additions (monthly)'!$E$2:$E$106,'Additions (monthly)'!$D$2:$D$106,AL$2,'Additions (monthly)'!$B$2:$B$106,"&lt;="&amp;$B14)</f>
        <v>22.2</v>
      </c>
      <c r="AM14" s="43" t="n">
        <f aca="false">SUMIFS('Additions (monthly)'!$E$2:$E$106,'Additions (monthly)'!$D$2:$D$106,AM$2,'Additions (monthly)'!$B$2:$B$106,"&lt;="&amp;$B14)</f>
        <v>0.3</v>
      </c>
      <c r="AN14" s="43" t="n">
        <f aca="false">SUMIFS('Additions (monthly)'!$E$2:$E$106,'Additions (monthly)'!$D$2:$D$106,AN$2,'Additions (monthly)'!$B$2:$B$106,"&lt;="&amp;$B14)</f>
        <v>4.3</v>
      </c>
      <c r="AO14" s="43" t="n">
        <f aca="false">SUMIFS('Additions (monthly)'!$E$2:$E$106,'Additions (monthly)'!$D$2:$D$106,AO$2,'Additions (monthly)'!$B$2:$B$106,"&lt;="&amp;$B14)</f>
        <v>10.4</v>
      </c>
      <c r="AP14" s="43" t="n">
        <f aca="false">SUMIFS('Additions (monthly)'!$E$2:$E$106,'Additions (monthly)'!$D$2:$D$106,AP$2,'Additions (monthly)'!$B$2:$B$106,"&lt;="&amp;$B14)</f>
        <v>0</v>
      </c>
      <c r="AQ14" s="43" t="n">
        <f aca="false">SUMIFS('Additions (monthly)'!$E$2:$E$106,'Additions (monthly)'!$D$2:$D$106,AQ$2,'Additions (monthly)'!$B$2:$B$106,"&lt;="&amp;$B14)</f>
        <v>4.45</v>
      </c>
      <c r="AR14" s="43" t="n">
        <f aca="false">SUMIFS('Additions (monthly)'!$E$2:$E$106,'Additions (monthly)'!$D$2:$D$106,AR$2,'Additions (monthly)'!$B$2:$B$106,"&lt;="&amp;$B14)</f>
        <v>69.3</v>
      </c>
      <c r="AS14" s="43" t="n">
        <f aca="false">SUMIFS('Additions (monthly)'!$E$2:$E$106,'Additions (monthly)'!$D$2:$D$106,AS$2,'Additions (monthly)'!$B$2:$B$106,"&lt;="&amp;$B14)</f>
        <v>0</v>
      </c>
      <c r="AT14" s="43" t="n">
        <f aca="false">SUMIFS('Additions (monthly)'!$E$2:$E$106,'Additions (monthly)'!$D$2:$D$106,AT$2,'Additions (monthly)'!$B$2:$B$106,"&lt;="&amp;$B14)</f>
        <v>0</v>
      </c>
      <c r="AU14" s="43" t="n">
        <f aca="false">SUMIFS('Additions (monthly)'!$E$2:$E$106,'Additions (monthly)'!$D$2:$D$106,AU$2,'Additions (monthly)'!$B$2:$B$106,"&lt;="&amp;$B14)</f>
        <v>9.6</v>
      </c>
      <c r="AV14" s="43" t="n">
        <f aca="false">SUMIFS('Additions (monthly)'!$E$2:$E$106,'Additions (monthly)'!$D$2:$D$106,AV$2,'Additions (monthly)'!$B$2:$B$106,"&lt;="&amp;$B14)</f>
        <v>0</v>
      </c>
      <c r="AW14" s="43" t="n">
        <f aca="false">SUMIFS('Additions (monthly)'!$E$2:$E$106,'Additions (monthly)'!$D$2:$D$106,AW$2,'Additions (monthly)'!$B$2:$B$106,"&lt;="&amp;$B14)</f>
        <v>0</v>
      </c>
      <c r="AX14" s="43" t="n">
        <f aca="false">SUMIFS('Additions (monthly)'!$E$2:$E$106,'Additions (monthly)'!$D$2:$D$106,AX$2,'Additions (monthly)'!$B$2:$B$106,"&lt;="&amp;$B14)</f>
        <v>11.8</v>
      </c>
      <c r="AY14" s="43" t="n">
        <f aca="false">SUMIFS('Additions (monthly)'!$E$2:$E$106,'Additions (monthly)'!$D$2:$D$106,AY$2,'Additions (monthly)'!$B$2:$B$106,"&lt;="&amp;$B14)</f>
        <v>5.3</v>
      </c>
      <c r="AZ14" s="43" t="n">
        <f aca="false">SUMIFS('Additions (monthly)'!$E$2:$E$106,'Additions (monthly)'!$D$2:$D$106,AZ$2,'Additions (monthly)'!$B$2:$B$106,"&lt;="&amp;$B14)</f>
        <v>0</v>
      </c>
      <c r="BA14" s="43" t="n">
        <f aca="false">SUMIFS('Additions (monthly)'!$E$2:$E$106,'Additions (monthly)'!$D$2:$D$106,BA$2,'Additions (monthly)'!$B$2:$B$106,"&lt;="&amp;$B14)</f>
        <v>0</v>
      </c>
      <c r="BB14" s="43" t="n">
        <f aca="false">SUMIFS('Additions (monthly)'!$E$2:$E$106,'Additions (monthly)'!$D$2:$D$106,BB$2,'Additions (monthly)'!$B$2:$B$106,"&lt;="&amp;$B14)</f>
        <v>0</v>
      </c>
      <c r="BC14" s="43" t="n">
        <f aca="false">SUMIFS('Additions (monthly)'!$E$2:$E$106,'Additions (monthly)'!$D$2:$D$106,BC$2,'Additions (monthly)'!$B$2:$B$106,"&lt;="&amp;$B14)</f>
        <v>0</v>
      </c>
      <c r="BD14" s="43" t="n">
        <f aca="false">SUMIFS('Additions (monthly)'!$E$2:$E$106,'Additions (monthly)'!$D$2:$D$106,BD$2,'Additions (monthly)'!$B$2:$B$106,"&lt;="&amp;$B14)</f>
        <v>0</v>
      </c>
      <c r="BE14" s="43" t="n">
        <f aca="false">SUMIFS('Additions (monthly)'!$E$2:$E$106,'Additions (monthly)'!$D$2:$D$106,BE$2,'Additions (monthly)'!$B$2:$B$106,"&lt;="&amp;$B14)</f>
        <v>0</v>
      </c>
      <c r="BF14" s="43" t="n">
        <f aca="false">SUMIFS('Additions (monthly)'!$E$2:$E$106,'Additions (monthly)'!$D$2:$D$106,BF$2,'Additions (monthly)'!$B$2:$B$106,"&lt;="&amp;$B14)</f>
        <v>0</v>
      </c>
      <c r="BG14" s="43" t="n">
        <f aca="false">SUMIFS('Additions (monthly)'!$E$2:$E$106,'Additions (monthly)'!$D$2:$D$106,BG$2,'Additions (monthly)'!$B$2:$B$106,"&lt;="&amp;$B14)</f>
        <v>0</v>
      </c>
      <c r="BH14" s="43" t="n">
        <f aca="false">SUMIFS('Additions (monthly)'!$E$2:$E$106,'Additions (monthly)'!$D$2:$D$106,BH$2,'Additions (monthly)'!$B$2:$B$106,"&lt;="&amp;$B14)</f>
        <v>0</v>
      </c>
      <c r="BI14" s="43" t="n">
        <f aca="false">SUMIFS('Additions (monthly)'!$E$2:$E$106,'Additions (monthly)'!$D$2:$D$106,BI$2,'Additions (monthly)'!$B$2:$B$106,"&lt;="&amp;$B14)</f>
        <v>6.7</v>
      </c>
    </row>
    <row r="15" customFormat="false" ht="15" hidden="false" customHeight="false" outlineLevel="0" collapsed="false">
      <c r="A15" s="44" t="n">
        <v>40544</v>
      </c>
      <c r="B15" s="45" t="n">
        <v>201101</v>
      </c>
      <c r="C15" s="42" t="n">
        <f aca="false">SUMIFS('Additions (monthly)'!$E$2:$E$106,'Additions (monthly)'!$B$2:$B$106,"&lt;="&amp;$B15)</f>
        <v>255.77</v>
      </c>
      <c r="D15" s="46" t="n">
        <f aca="false">SUMIFS('Additions (monthly)'!$E$2:$E$106,'Additions (monthly)'!$D$2:$D$106,D$2,'Additions (monthly)'!$B$2:$B$106,"&lt;="&amp;$B15)</f>
        <v>7.9</v>
      </c>
      <c r="E15" s="46" t="n">
        <f aca="false">SUMIFS('Additions (monthly)'!$E$2:$E$106,'Additions (monthly)'!$D$2:$D$106,E$2,'Additions (monthly)'!$B$2:$B$106,"&lt;="&amp;$B15)</f>
        <v>8.4</v>
      </c>
      <c r="F15" s="46" t="n">
        <f aca="false">SUMIFS('Additions (monthly)'!$E$2:$E$106,'Additions (monthly)'!$D$2:$D$106,F$2,'Additions (monthly)'!$B$2:$B$106,"&lt;="&amp;$B15)</f>
        <v>0</v>
      </c>
      <c r="G15" s="46" t="n">
        <f aca="false">SUMIFS('Additions (monthly)'!$E$2:$E$106,'Additions (monthly)'!$D$2:$D$106,G$2,'Additions (monthly)'!$B$2:$B$106,"&lt;="&amp;$B15)</f>
        <v>0</v>
      </c>
      <c r="H15" s="46" t="n">
        <f aca="false">SUMIFS('Additions (monthly)'!$E$2:$E$106,'Additions (monthly)'!$D$2:$D$106,H$2,'Additions (monthly)'!$B$2:$B$106,"&lt;="&amp;$B15)</f>
        <v>0</v>
      </c>
      <c r="I15" s="46" t="n">
        <f aca="false">SUMIFS('Additions (monthly)'!$E$2:$E$106,'Additions (monthly)'!$D$2:$D$106,I$2,'Additions (monthly)'!$B$2:$B$106,"&lt;="&amp;$B15)</f>
        <v>0</v>
      </c>
      <c r="J15" s="46" t="n">
        <f aca="false">SUMIFS('Additions (monthly)'!$E$2:$E$106,'Additions (monthly)'!$D$2:$D$106,J$2,'Additions (monthly)'!$B$2:$B$106,"&lt;="&amp;$B15)</f>
        <v>3.7</v>
      </c>
      <c r="K15" s="46" t="n">
        <f aca="false">SUMIFS('Additions (monthly)'!$E$2:$E$106,'Additions (monthly)'!$D$2:$D$106,K$2,'Additions (monthly)'!$B$2:$B$106,"&lt;="&amp;$B15)</f>
        <v>0</v>
      </c>
      <c r="L15" s="46" t="n">
        <f aca="false">SUMIFS('Additions (monthly)'!$E$2:$E$106,'Additions (monthly)'!$D$2:$D$106,L$2,'Additions (monthly)'!$B$2:$B$106,"&lt;="&amp;$B15)</f>
        <v>0</v>
      </c>
      <c r="M15" s="46" t="n">
        <f aca="false">SUMIFS('Additions (monthly)'!$E$2:$E$106,'Additions (monthly)'!$D$2:$D$106,M$2,'Additions (monthly)'!$B$2:$B$106,"&lt;="&amp;$B15)</f>
        <v>0</v>
      </c>
      <c r="N15" s="46" t="n">
        <f aca="false">SUMIFS('Additions (monthly)'!$E$2:$E$106,'Additions (monthly)'!$D$2:$D$106,N$2,'Additions (monthly)'!$B$2:$B$106,"&lt;="&amp;$B15)</f>
        <v>14.2</v>
      </c>
      <c r="O15" s="46" t="n">
        <f aca="false">SUMIFS('Additions (monthly)'!$E$2:$E$106,'Additions (monthly)'!$D$2:$D$106,O$2,'Additions (monthly)'!$B$2:$B$106,"&lt;="&amp;$B15)</f>
        <v>0</v>
      </c>
      <c r="P15" s="46" t="n">
        <f aca="false">SUMIFS('Additions (monthly)'!$E$2:$E$106,'Additions (monthly)'!$D$2:$D$106,P$2,'Additions (monthly)'!$B$2:$B$106,"&lt;="&amp;$B15)</f>
        <v>0</v>
      </c>
      <c r="Q15" s="46" t="n">
        <f aca="false">SUMIFS('Additions (monthly)'!$E$2:$E$106,'Additions (monthly)'!$D$2:$D$106,Q$2,'Additions (monthly)'!$B$2:$B$106,"&lt;="&amp;$B15)</f>
        <v>0</v>
      </c>
      <c r="R15" s="46" t="n">
        <f aca="false">SUMIFS('Additions (monthly)'!$E$2:$E$106,'Additions (monthly)'!$D$2:$D$106,R$2,'Additions (monthly)'!$B$2:$B$106,"&lt;="&amp;$B15)</f>
        <v>0</v>
      </c>
      <c r="S15" s="46" t="n">
        <f aca="false">SUMIFS('Additions (monthly)'!$E$2:$E$106,'Additions (monthly)'!$D$2:$D$106,S$2,'Additions (monthly)'!$B$2:$B$106,"&lt;="&amp;$B15)</f>
        <v>7.2</v>
      </c>
      <c r="T15" s="46" t="n">
        <f aca="false">SUMIFS('Additions (monthly)'!$E$2:$E$106,'Additions (monthly)'!$D$2:$D$106,T$2,'Additions (monthly)'!$B$2:$B$106,"&lt;="&amp;$B15)</f>
        <v>0</v>
      </c>
      <c r="U15" s="46" t="n">
        <f aca="false">SUMIFS('Additions (monthly)'!$E$2:$E$106,'Additions (monthly)'!$D$2:$D$106,U$2,'Additions (monthly)'!$B$2:$B$106,"&lt;="&amp;$B15)</f>
        <v>0</v>
      </c>
      <c r="V15" s="46" t="n">
        <f aca="false">SUMIFS('Additions (monthly)'!$E$2:$E$106,'Additions (monthly)'!$D$2:$D$106,V$2,'Additions (monthly)'!$B$2:$B$106,"&lt;="&amp;$B15)</f>
        <v>3.87</v>
      </c>
      <c r="W15" s="46" t="n">
        <f aca="false">SUMIFS('Additions (monthly)'!$E$2:$E$106,'Additions (monthly)'!$D$2:$D$106,W$2,'Additions (monthly)'!$B$2:$B$106,"&lt;="&amp;$B15)</f>
        <v>0</v>
      </c>
      <c r="X15" s="46" t="n">
        <f aca="false">SUMIFS('Additions (monthly)'!$E$2:$E$106,'Additions (monthly)'!$D$2:$D$106,X$2,'Additions (monthly)'!$B$2:$B$106,"&lt;="&amp;$B15)</f>
        <v>0</v>
      </c>
      <c r="Y15" s="46" t="n">
        <f aca="false">SUMIFS('Additions (monthly)'!$E$2:$E$106,'Additions (monthly)'!$D$2:$D$106,Y$2,'Additions (monthly)'!$B$2:$B$106,"&lt;="&amp;$B15)</f>
        <v>5</v>
      </c>
      <c r="Z15" s="46" t="n">
        <f aca="false">SUMIFS('Additions (monthly)'!$E$2:$E$106,'Additions (monthly)'!$D$2:$D$106,Z$2,'Additions (monthly)'!$B$2:$B$106,"&lt;="&amp;$B15)</f>
        <v>7.2</v>
      </c>
      <c r="AA15" s="46" t="n">
        <f aca="false">SUMIFS('Additions (monthly)'!$E$2:$E$106,'Additions (monthly)'!$D$2:$D$106,AA$2,'Additions (monthly)'!$B$2:$B$106,"&lt;="&amp;$B15)</f>
        <v>3.7</v>
      </c>
      <c r="AB15" s="46" t="n">
        <f aca="false">SUMIFS('Additions (monthly)'!$E$2:$E$106,'Additions (monthly)'!$D$2:$D$106,AB$2,'Additions (monthly)'!$B$2:$B$106,"&lt;="&amp;$B15)</f>
        <v>16.95</v>
      </c>
      <c r="AC15" s="46" t="n">
        <f aca="false">SUMIFS('Additions (monthly)'!$E$2:$E$106,'Additions (monthly)'!$D$2:$D$106,AC$2,'Additions (monthly)'!$B$2:$B$106,"&lt;="&amp;$B15)</f>
        <v>0</v>
      </c>
      <c r="AD15" s="46" t="n">
        <f aca="false">SUMIFS('Additions (monthly)'!$E$2:$E$106,'Additions (monthly)'!$D$2:$D$106,AD$2,'Additions (monthly)'!$B$2:$B$106,"&lt;="&amp;$B15)</f>
        <v>7.6</v>
      </c>
      <c r="AE15" s="46" t="n">
        <f aca="false">SUMIFS('Additions (monthly)'!$E$2:$E$106,'Additions (monthly)'!$D$2:$D$106,AE$2,'Additions (monthly)'!$B$2:$B$106,"&lt;="&amp;$B15)</f>
        <v>25.7</v>
      </c>
      <c r="AF15" s="46" t="n">
        <f aca="false">SUMIFS('Additions (monthly)'!$E$2:$E$106,'Additions (monthly)'!$D$2:$D$106,AF$2,'Additions (monthly)'!$B$2:$B$106,"&lt;="&amp;$B15)</f>
        <v>0</v>
      </c>
      <c r="AG15" s="46" t="n">
        <f aca="false">SUMIFS('Additions (monthly)'!$E$2:$E$106,'Additions (monthly)'!$D$2:$D$106,AG$2,'Additions (monthly)'!$B$2:$B$106,"&lt;="&amp;$B15)</f>
        <v>0</v>
      </c>
      <c r="AH15" s="46" t="n">
        <f aca="false">SUMIFS('Additions (monthly)'!$E$2:$E$106,'Additions (monthly)'!$D$2:$D$106,AH$2,'Additions (monthly)'!$B$2:$B$106,"&lt;="&amp;$B15)</f>
        <v>0</v>
      </c>
      <c r="AI15" s="46" t="n">
        <f aca="false">SUMIFS('Additions (monthly)'!$E$2:$E$106,'Additions (monthly)'!$D$2:$D$106,AI$2,'Additions (monthly)'!$B$2:$B$106,"&lt;="&amp;$B15)</f>
        <v>0</v>
      </c>
      <c r="AJ15" s="46" t="n">
        <f aca="false">SUMIFS('Additions (monthly)'!$E$2:$E$106,'Additions (monthly)'!$D$2:$D$106,AJ$2,'Additions (monthly)'!$B$2:$B$106,"&lt;="&amp;$B15)</f>
        <v>0</v>
      </c>
      <c r="AK15" s="46" t="n">
        <f aca="false">SUMIFS('Additions (monthly)'!$E$2:$E$106,'Additions (monthly)'!$D$2:$D$106,AK$2,'Additions (monthly)'!$B$2:$B$106,"&lt;="&amp;$B15)</f>
        <v>0</v>
      </c>
      <c r="AL15" s="46" t="n">
        <f aca="false">SUMIFS('Additions (monthly)'!$E$2:$E$106,'Additions (monthly)'!$D$2:$D$106,AL$2,'Additions (monthly)'!$B$2:$B$106,"&lt;="&amp;$B15)</f>
        <v>22.2</v>
      </c>
      <c r="AM15" s="46" t="n">
        <f aca="false">SUMIFS('Additions (monthly)'!$E$2:$E$106,'Additions (monthly)'!$D$2:$D$106,AM$2,'Additions (monthly)'!$B$2:$B$106,"&lt;="&amp;$B15)</f>
        <v>0.3</v>
      </c>
      <c r="AN15" s="46" t="n">
        <f aca="false">SUMIFS('Additions (monthly)'!$E$2:$E$106,'Additions (monthly)'!$D$2:$D$106,AN$2,'Additions (monthly)'!$B$2:$B$106,"&lt;="&amp;$B15)</f>
        <v>4.3</v>
      </c>
      <c r="AO15" s="46" t="n">
        <f aca="false">SUMIFS('Additions (monthly)'!$E$2:$E$106,'Additions (monthly)'!$D$2:$D$106,AO$2,'Additions (monthly)'!$B$2:$B$106,"&lt;="&amp;$B15)</f>
        <v>10.4</v>
      </c>
      <c r="AP15" s="46" t="n">
        <f aca="false">SUMIFS('Additions (monthly)'!$E$2:$E$106,'Additions (monthly)'!$D$2:$D$106,AP$2,'Additions (monthly)'!$B$2:$B$106,"&lt;="&amp;$B15)</f>
        <v>0</v>
      </c>
      <c r="AQ15" s="46" t="n">
        <f aca="false">SUMIFS('Additions (monthly)'!$E$2:$E$106,'Additions (monthly)'!$D$2:$D$106,AQ$2,'Additions (monthly)'!$B$2:$B$106,"&lt;="&amp;$B15)</f>
        <v>4.45</v>
      </c>
      <c r="AR15" s="46" t="n">
        <f aca="false">SUMIFS('Additions (monthly)'!$E$2:$E$106,'Additions (monthly)'!$D$2:$D$106,AR$2,'Additions (monthly)'!$B$2:$B$106,"&lt;="&amp;$B15)</f>
        <v>69.3</v>
      </c>
      <c r="AS15" s="46" t="n">
        <f aca="false">SUMIFS('Additions (monthly)'!$E$2:$E$106,'Additions (monthly)'!$D$2:$D$106,AS$2,'Additions (monthly)'!$B$2:$B$106,"&lt;="&amp;$B15)</f>
        <v>0</v>
      </c>
      <c r="AT15" s="46" t="n">
        <f aca="false">SUMIFS('Additions (monthly)'!$E$2:$E$106,'Additions (monthly)'!$D$2:$D$106,AT$2,'Additions (monthly)'!$B$2:$B$106,"&lt;="&amp;$B15)</f>
        <v>0</v>
      </c>
      <c r="AU15" s="46" t="n">
        <f aca="false">SUMIFS('Additions (monthly)'!$E$2:$E$106,'Additions (monthly)'!$D$2:$D$106,AU$2,'Additions (monthly)'!$B$2:$B$106,"&lt;="&amp;$B15)</f>
        <v>9.6</v>
      </c>
      <c r="AV15" s="46" t="n">
        <f aca="false">SUMIFS('Additions (monthly)'!$E$2:$E$106,'Additions (monthly)'!$D$2:$D$106,AV$2,'Additions (monthly)'!$B$2:$B$106,"&lt;="&amp;$B15)</f>
        <v>0</v>
      </c>
      <c r="AW15" s="46" t="n">
        <f aca="false">SUMIFS('Additions (monthly)'!$E$2:$E$106,'Additions (monthly)'!$D$2:$D$106,AW$2,'Additions (monthly)'!$B$2:$B$106,"&lt;="&amp;$B15)</f>
        <v>0</v>
      </c>
      <c r="AX15" s="46" t="n">
        <f aca="false">SUMIFS('Additions (monthly)'!$E$2:$E$106,'Additions (monthly)'!$D$2:$D$106,AX$2,'Additions (monthly)'!$B$2:$B$106,"&lt;="&amp;$B15)</f>
        <v>11.8</v>
      </c>
      <c r="AY15" s="46" t="n">
        <f aca="false">SUMIFS('Additions (monthly)'!$E$2:$E$106,'Additions (monthly)'!$D$2:$D$106,AY$2,'Additions (monthly)'!$B$2:$B$106,"&lt;="&amp;$B15)</f>
        <v>5.3</v>
      </c>
      <c r="AZ15" s="46" t="n">
        <f aca="false">SUMIFS('Additions (monthly)'!$E$2:$E$106,'Additions (monthly)'!$D$2:$D$106,AZ$2,'Additions (monthly)'!$B$2:$B$106,"&lt;="&amp;$B15)</f>
        <v>0</v>
      </c>
      <c r="BA15" s="46" t="n">
        <f aca="false">SUMIFS('Additions (monthly)'!$E$2:$E$106,'Additions (monthly)'!$D$2:$D$106,BA$2,'Additions (monthly)'!$B$2:$B$106,"&lt;="&amp;$B15)</f>
        <v>0</v>
      </c>
      <c r="BB15" s="46" t="n">
        <f aca="false">SUMIFS('Additions (monthly)'!$E$2:$E$106,'Additions (monthly)'!$D$2:$D$106,BB$2,'Additions (monthly)'!$B$2:$B$106,"&lt;="&amp;$B15)</f>
        <v>0</v>
      </c>
      <c r="BC15" s="46" t="n">
        <f aca="false">SUMIFS('Additions (monthly)'!$E$2:$E$106,'Additions (monthly)'!$D$2:$D$106,BC$2,'Additions (monthly)'!$B$2:$B$106,"&lt;="&amp;$B15)</f>
        <v>0</v>
      </c>
      <c r="BD15" s="46" t="n">
        <f aca="false">SUMIFS('Additions (monthly)'!$E$2:$E$106,'Additions (monthly)'!$D$2:$D$106,BD$2,'Additions (monthly)'!$B$2:$B$106,"&lt;="&amp;$B15)</f>
        <v>0</v>
      </c>
      <c r="BE15" s="46" t="n">
        <f aca="false">SUMIFS('Additions (monthly)'!$E$2:$E$106,'Additions (monthly)'!$D$2:$D$106,BE$2,'Additions (monthly)'!$B$2:$B$106,"&lt;="&amp;$B15)</f>
        <v>0</v>
      </c>
      <c r="BF15" s="46" t="n">
        <f aca="false">SUMIFS('Additions (monthly)'!$E$2:$E$106,'Additions (monthly)'!$D$2:$D$106,BF$2,'Additions (monthly)'!$B$2:$B$106,"&lt;="&amp;$B15)</f>
        <v>0</v>
      </c>
      <c r="BG15" s="46" t="n">
        <f aca="false">SUMIFS('Additions (monthly)'!$E$2:$E$106,'Additions (monthly)'!$D$2:$D$106,BG$2,'Additions (monthly)'!$B$2:$B$106,"&lt;="&amp;$B15)</f>
        <v>0</v>
      </c>
      <c r="BH15" s="46" t="n">
        <f aca="false">SUMIFS('Additions (monthly)'!$E$2:$E$106,'Additions (monthly)'!$D$2:$D$106,BH$2,'Additions (monthly)'!$B$2:$B$106,"&lt;="&amp;$B15)</f>
        <v>0</v>
      </c>
      <c r="BI15" s="46" t="n">
        <f aca="false">SUMIFS('Additions (monthly)'!$E$2:$E$106,'Additions (monthly)'!$D$2:$D$106,BI$2,'Additions (monthly)'!$B$2:$B$106,"&lt;="&amp;$B15)</f>
        <v>6.7</v>
      </c>
    </row>
    <row r="16" customFormat="false" ht="15" hidden="false" customHeight="false" outlineLevel="0" collapsed="false">
      <c r="A16" s="44" t="n">
        <v>40575</v>
      </c>
      <c r="B16" s="45" t="n">
        <v>201102</v>
      </c>
      <c r="C16" s="42" t="n">
        <f aca="false">SUMIFS('Additions (monthly)'!$E$2:$E$106,'Additions (monthly)'!$B$2:$B$106,"&lt;="&amp;$B16)</f>
        <v>263.57</v>
      </c>
      <c r="D16" s="46" t="n">
        <f aca="false">SUMIFS('Additions (monthly)'!$E$2:$E$106,'Additions (monthly)'!$D$2:$D$106,D$2,'Additions (monthly)'!$B$2:$B$106,"&lt;="&amp;$B16)</f>
        <v>7.9</v>
      </c>
      <c r="E16" s="46" t="n">
        <f aca="false">SUMIFS('Additions (monthly)'!$E$2:$E$106,'Additions (monthly)'!$D$2:$D$106,E$2,'Additions (monthly)'!$B$2:$B$106,"&lt;="&amp;$B16)</f>
        <v>8.4</v>
      </c>
      <c r="F16" s="46" t="n">
        <f aca="false">SUMIFS('Additions (monthly)'!$E$2:$E$106,'Additions (monthly)'!$D$2:$D$106,F$2,'Additions (monthly)'!$B$2:$B$106,"&lt;="&amp;$B16)</f>
        <v>0</v>
      </c>
      <c r="G16" s="46" t="n">
        <f aca="false">SUMIFS('Additions (monthly)'!$E$2:$E$106,'Additions (monthly)'!$D$2:$D$106,G$2,'Additions (monthly)'!$B$2:$B$106,"&lt;="&amp;$B16)</f>
        <v>0</v>
      </c>
      <c r="H16" s="46" t="n">
        <f aca="false">SUMIFS('Additions (monthly)'!$E$2:$E$106,'Additions (monthly)'!$D$2:$D$106,H$2,'Additions (monthly)'!$B$2:$B$106,"&lt;="&amp;$B16)</f>
        <v>0</v>
      </c>
      <c r="I16" s="46" t="n">
        <f aca="false">SUMIFS('Additions (monthly)'!$E$2:$E$106,'Additions (monthly)'!$D$2:$D$106,I$2,'Additions (monthly)'!$B$2:$B$106,"&lt;="&amp;$B16)</f>
        <v>0</v>
      </c>
      <c r="J16" s="46" t="n">
        <f aca="false">SUMIFS('Additions (monthly)'!$E$2:$E$106,'Additions (monthly)'!$D$2:$D$106,J$2,'Additions (monthly)'!$B$2:$B$106,"&lt;="&amp;$B16)</f>
        <v>3.7</v>
      </c>
      <c r="K16" s="46" t="n">
        <f aca="false">SUMIFS('Additions (monthly)'!$E$2:$E$106,'Additions (monthly)'!$D$2:$D$106,K$2,'Additions (monthly)'!$B$2:$B$106,"&lt;="&amp;$B16)</f>
        <v>0</v>
      </c>
      <c r="L16" s="46" t="n">
        <f aca="false">SUMIFS('Additions (monthly)'!$E$2:$E$106,'Additions (monthly)'!$D$2:$D$106,L$2,'Additions (monthly)'!$B$2:$B$106,"&lt;="&amp;$B16)</f>
        <v>0</v>
      </c>
      <c r="M16" s="46" t="n">
        <f aca="false">SUMIFS('Additions (monthly)'!$E$2:$E$106,'Additions (monthly)'!$D$2:$D$106,M$2,'Additions (monthly)'!$B$2:$B$106,"&lt;="&amp;$B16)</f>
        <v>0</v>
      </c>
      <c r="N16" s="46" t="n">
        <f aca="false">SUMIFS('Additions (monthly)'!$E$2:$E$106,'Additions (monthly)'!$D$2:$D$106,N$2,'Additions (monthly)'!$B$2:$B$106,"&lt;="&amp;$B16)</f>
        <v>14.2</v>
      </c>
      <c r="O16" s="46" t="n">
        <f aca="false">SUMIFS('Additions (monthly)'!$E$2:$E$106,'Additions (monthly)'!$D$2:$D$106,O$2,'Additions (monthly)'!$B$2:$B$106,"&lt;="&amp;$B16)</f>
        <v>0</v>
      </c>
      <c r="P16" s="46" t="n">
        <f aca="false">SUMIFS('Additions (monthly)'!$E$2:$E$106,'Additions (monthly)'!$D$2:$D$106,P$2,'Additions (monthly)'!$B$2:$B$106,"&lt;="&amp;$B16)</f>
        <v>0</v>
      </c>
      <c r="Q16" s="46" t="n">
        <f aca="false">SUMIFS('Additions (monthly)'!$E$2:$E$106,'Additions (monthly)'!$D$2:$D$106,Q$2,'Additions (monthly)'!$B$2:$B$106,"&lt;="&amp;$B16)</f>
        <v>0</v>
      </c>
      <c r="R16" s="46" t="n">
        <f aca="false">SUMIFS('Additions (monthly)'!$E$2:$E$106,'Additions (monthly)'!$D$2:$D$106,R$2,'Additions (monthly)'!$B$2:$B$106,"&lt;="&amp;$B16)</f>
        <v>0</v>
      </c>
      <c r="S16" s="46" t="n">
        <f aca="false">SUMIFS('Additions (monthly)'!$E$2:$E$106,'Additions (monthly)'!$D$2:$D$106,S$2,'Additions (monthly)'!$B$2:$B$106,"&lt;="&amp;$B16)</f>
        <v>7.2</v>
      </c>
      <c r="T16" s="46" t="n">
        <f aca="false">SUMIFS('Additions (monthly)'!$E$2:$E$106,'Additions (monthly)'!$D$2:$D$106,T$2,'Additions (monthly)'!$B$2:$B$106,"&lt;="&amp;$B16)</f>
        <v>0</v>
      </c>
      <c r="U16" s="46" t="n">
        <f aca="false">SUMIFS('Additions (monthly)'!$E$2:$E$106,'Additions (monthly)'!$D$2:$D$106,U$2,'Additions (monthly)'!$B$2:$B$106,"&lt;="&amp;$B16)</f>
        <v>0</v>
      </c>
      <c r="V16" s="46" t="n">
        <f aca="false">SUMIFS('Additions (monthly)'!$E$2:$E$106,'Additions (monthly)'!$D$2:$D$106,V$2,'Additions (monthly)'!$B$2:$B$106,"&lt;="&amp;$B16)</f>
        <v>3.87</v>
      </c>
      <c r="W16" s="46" t="n">
        <f aca="false">SUMIFS('Additions (monthly)'!$E$2:$E$106,'Additions (monthly)'!$D$2:$D$106,W$2,'Additions (monthly)'!$B$2:$B$106,"&lt;="&amp;$B16)</f>
        <v>0</v>
      </c>
      <c r="X16" s="46" t="n">
        <f aca="false">SUMIFS('Additions (monthly)'!$E$2:$E$106,'Additions (monthly)'!$D$2:$D$106,X$2,'Additions (monthly)'!$B$2:$B$106,"&lt;="&amp;$B16)</f>
        <v>0</v>
      </c>
      <c r="Y16" s="46" t="n">
        <f aca="false">SUMIFS('Additions (monthly)'!$E$2:$E$106,'Additions (monthly)'!$D$2:$D$106,Y$2,'Additions (monthly)'!$B$2:$B$106,"&lt;="&amp;$B16)</f>
        <v>5</v>
      </c>
      <c r="Z16" s="46" t="n">
        <f aca="false">SUMIFS('Additions (monthly)'!$E$2:$E$106,'Additions (monthly)'!$D$2:$D$106,Z$2,'Additions (monthly)'!$B$2:$B$106,"&lt;="&amp;$B16)</f>
        <v>7.2</v>
      </c>
      <c r="AA16" s="46" t="n">
        <f aca="false">SUMIFS('Additions (monthly)'!$E$2:$E$106,'Additions (monthly)'!$D$2:$D$106,AA$2,'Additions (monthly)'!$B$2:$B$106,"&lt;="&amp;$B16)</f>
        <v>3.7</v>
      </c>
      <c r="AB16" s="46" t="n">
        <f aca="false">SUMIFS('Additions (monthly)'!$E$2:$E$106,'Additions (monthly)'!$D$2:$D$106,AB$2,'Additions (monthly)'!$B$2:$B$106,"&lt;="&amp;$B16)</f>
        <v>16.95</v>
      </c>
      <c r="AC16" s="46" t="n">
        <f aca="false">SUMIFS('Additions (monthly)'!$E$2:$E$106,'Additions (monthly)'!$D$2:$D$106,AC$2,'Additions (monthly)'!$B$2:$B$106,"&lt;="&amp;$B16)</f>
        <v>0</v>
      </c>
      <c r="AD16" s="46" t="n">
        <f aca="false">SUMIFS('Additions (monthly)'!$E$2:$E$106,'Additions (monthly)'!$D$2:$D$106,AD$2,'Additions (monthly)'!$B$2:$B$106,"&lt;="&amp;$B16)</f>
        <v>7.6</v>
      </c>
      <c r="AE16" s="46" t="n">
        <f aca="false">SUMIFS('Additions (monthly)'!$E$2:$E$106,'Additions (monthly)'!$D$2:$D$106,AE$2,'Additions (monthly)'!$B$2:$B$106,"&lt;="&amp;$B16)</f>
        <v>25.7</v>
      </c>
      <c r="AF16" s="46" t="n">
        <f aca="false">SUMIFS('Additions (monthly)'!$E$2:$E$106,'Additions (monthly)'!$D$2:$D$106,AF$2,'Additions (monthly)'!$B$2:$B$106,"&lt;="&amp;$B16)</f>
        <v>0</v>
      </c>
      <c r="AG16" s="46" t="n">
        <f aca="false">SUMIFS('Additions (monthly)'!$E$2:$E$106,'Additions (monthly)'!$D$2:$D$106,AG$2,'Additions (monthly)'!$B$2:$B$106,"&lt;="&amp;$B16)</f>
        <v>0</v>
      </c>
      <c r="AH16" s="46" t="n">
        <f aca="false">SUMIFS('Additions (monthly)'!$E$2:$E$106,'Additions (monthly)'!$D$2:$D$106,AH$2,'Additions (monthly)'!$B$2:$B$106,"&lt;="&amp;$B16)</f>
        <v>0</v>
      </c>
      <c r="AI16" s="46" t="n">
        <f aca="false">SUMIFS('Additions (monthly)'!$E$2:$E$106,'Additions (monthly)'!$D$2:$D$106,AI$2,'Additions (monthly)'!$B$2:$B$106,"&lt;="&amp;$B16)</f>
        <v>0</v>
      </c>
      <c r="AJ16" s="46" t="n">
        <f aca="false">SUMIFS('Additions (monthly)'!$E$2:$E$106,'Additions (monthly)'!$D$2:$D$106,AJ$2,'Additions (monthly)'!$B$2:$B$106,"&lt;="&amp;$B16)</f>
        <v>0</v>
      </c>
      <c r="AK16" s="46" t="n">
        <f aca="false">SUMIFS('Additions (monthly)'!$E$2:$E$106,'Additions (monthly)'!$D$2:$D$106,AK$2,'Additions (monthly)'!$B$2:$B$106,"&lt;="&amp;$B16)</f>
        <v>0</v>
      </c>
      <c r="AL16" s="46" t="n">
        <f aca="false">SUMIFS('Additions (monthly)'!$E$2:$E$106,'Additions (monthly)'!$D$2:$D$106,AL$2,'Additions (monthly)'!$B$2:$B$106,"&lt;="&amp;$B16)</f>
        <v>22.2</v>
      </c>
      <c r="AM16" s="46" t="n">
        <f aca="false">SUMIFS('Additions (monthly)'!$E$2:$E$106,'Additions (monthly)'!$D$2:$D$106,AM$2,'Additions (monthly)'!$B$2:$B$106,"&lt;="&amp;$B16)</f>
        <v>0.3</v>
      </c>
      <c r="AN16" s="46" t="n">
        <f aca="false">SUMIFS('Additions (monthly)'!$E$2:$E$106,'Additions (monthly)'!$D$2:$D$106,AN$2,'Additions (monthly)'!$B$2:$B$106,"&lt;="&amp;$B16)</f>
        <v>4.3</v>
      </c>
      <c r="AO16" s="46" t="n">
        <f aca="false">SUMIFS('Additions (monthly)'!$E$2:$E$106,'Additions (monthly)'!$D$2:$D$106,AO$2,'Additions (monthly)'!$B$2:$B$106,"&lt;="&amp;$B16)</f>
        <v>10.4</v>
      </c>
      <c r="AP16" s="46" t="n">
        <f aca="false">SUMIFS('Additions (monthly)'!$E$2:$E$106,'Additions (monthly)'!$D$2:$D$106,AP$2,'Additions (monthly)'!$B$2:$B$106,"&lt;="&amp;$B16)</f>
        <v>0</v>
      </c>
      <c r="AQ16" s="46" t="n">
        <f aca="false">SUMIFS('Additions (monthly)'!$E$2:$E$106,'Additions (monthly)'!$D$2:$D$106,AQ$2,'Additions (monthly)'!$B$2:$B$106,"&lt;="&amp;$B16)</f>
        <v>4.45</v>
      </c>
      <c r="AR16" s="46" t="n">
        <f aca="false">SUMIFS('Additions (monthly)'!$E$2:$E$106,'Additions (monthly)'!$D$2:$D$106,AR$2,'Additions (monthly)'!$B$2:$B$106,"&lt;="&amp;$B16)</f>
        <v>77.1</v>
      </c>
      <c r="AS16" s="46" t="n">
        <f aca="false">SUMIFS('Additions (monthly)'!$E$2:$E$106,'Additions (monthly)'!$D$2:$D$106,AS$2,'Additions (monthly)'!$B$2:$B$106,"&lt;="&amp;$B16)</f>
        <v>0</v>
      </c>
      <c r="AT16" s="46" t="n">
        <f aca="false">SUMIFS('Additions (monthly)'!$E$2:$E$106,'Additions (monthly)'!$D$2:$D$106,AT$2,'Additions (monthly)'!$B$2:$B$106,"&lt;="&amp;$B16)</f>
        <v>0</v>
      </c>
      <c r="AU16" s="46" t="n">
        <f aca="false">SUMIFS('Additions (monthly)'!$E$2:$E$106,'Additions (monthly)'!$D$2:$D$106,AU$2,'Additions (monthly)'!$B$2:$B$106,"&lt;="&amp;$B16)</f>
        <v>9.6</v>
      </c>
      <c r="AV16" s="46" t="n">
        <f aca="false">SUMIFS('Additions (monthly)'!$E$2:$E$106,'Additions (monthly)'!$D$2:$D$106,AV$2,'Additions (monthly)'!$B$2:$B$106,"&lt;="&amp;$B16)</f>
        <v>0</v>
      </c>
      <c r="AW16" s="46" t="n">
        <f aca="false">SUMIFS('Additions (monthly)'!$E$2:$E$106,'Additions (monthly)'!$D$2:$D$106,AW$2,'Additions (monthly)'!$B$2:$B$106,"&lt;="&amp;$B16)</f>
        <v>0</v>
      </c>
      <c r="AX16" s="46" t="n">
        <f aca="false">SUMIFS('Additions (monthly)'!$E$2:$E$106,'Additions (monthly)'!$D$2:$D$106,AX$2,'Additions (monthly)'!$B$2:$B$106,"&lt;="&amp;$B16)</f>
        <v>11.8</v>
      </c>
      <c r="AY16" s="46" t="n">
        <f aca="false">SUMIFS('Additions (monthly)'!$E$2:$E$106,'Additions (monthly)'!$D$2:$D$106,AY$2,'Additions (monthly)'!$B$2:$B$106,"&lt;="&amp;$B16)</f>
        <v>5.3</v>
      </c>
      <c r="AZ16" s="46" t="n">
        <f aca="false">SUMIFS('Additions (monthly)'!$E$2:$E$106,'Additions (monthly)'!$D$2:$D$106,AZ$2,'Additions (monthly)'!$B$2:$B$106,"&lt;="&amp;$B16)</f>
        <v>0</v>
      </c>
      <c r="BA16" s="46" t="n">
        <f aca="false">SUMIFS('Additions (monthly)'!$E$2:$E$106,'Additions (monthly)'!$D$2:$D$106,BA$2,'Additions (monthly)'!$B$2:$B$106,"&lt;="&amp;$B16)</f>
        <v>0</v>
      </c>
      <c r="BB16" s="46" t="n">
        <f aca="false">SUMIFS('Additions (monthly)'!$E$2:$E$106,'Additions (monthly)'!$D$2:$D$106,BB$2,'Additions (monthly)'!$B$2:$B$106,"&lt;="&amp;$B16)</f>
        <v>0</v>
      </c>
      <c r="BC16" s="46" t="n">
        <f aca="false">SUMIFS('Additions (monthly)'!$E$2:$E$106,'Additions (monthly)'!$D$2:$D$106,BC$2,'Additions (monthly)'!$B$2:$B$106,"&lt;="&amp;$B16)</f>
        <v>0</v>
      </c>
      <c r="BD16" s="46" t="n">
        <f aca="false">SUMIFS('Additions (monthly)'!$E$2:$E$106,'Additions (monthly)'!$D$2:$D$106,BD$2,'Additions (monthly)'!$B$2:$B$106,"&lt;="&amp;$B16)</f>
        <v>0</v>
      </c>
      <c r="BE16" s="46" t="n">
        <f aca="false">SUMIFS('Additions (monthly)'!$E$2:$E$106,'Additions (monthly)'!$D$2:$D$106,BE$2,'Additions (monthly)'!$B$2:$B$106,"&lt;="&amp;$B16)</f>
        <v>0</v>
      </c>
      <c r="BF16" s="46" t="n">
        <f aca="false">SUMIFS('Additions (monthly)'!$E$2:$E$106,'Additions (monthly)'!$D$2:$D$106,BF$2,'Additions (monthly)'!$B$2:$B$106,"&lt;="&amp;$B16)</f>
        <v>0</v>
      </c>
      <c r="BG16" s="46" t="n">
        <f aca="false">SUMIFS('Additions (monthly)'!$E$2:$E$106,'Additions (monthly)'!$D$2:$D$106,BG$2,'Additions (monthly)'!$B$2:$B$106,"&lt;="&amp;$B16)</f>
        <v>0</v>
      </c>
      <c r="BH16" s="46" t="n">
        <f aca="false">SUMIFS('Additions (monthly)'!$E$2:$E$106,'Additions (monthly)'!$D$2:$D$106,BH$2,'Additions (monthly)'!$B$2:$B$106,"&lt;="&amp;$B16)</f>
        <v>0</v>
      </c>
      <c r="BI16" s="46" t="n">
        <f aca="false">SUMIFS('Additions (monthly)'!$E$2:$E$106,'Additions (monthly)'!$D$2:$D$106,BI$2,'Additions (monthly)'!$B$2:$B$106,"&lt;="&amp;$B16)</f>
        <v>6.7</v>
      </c>
    </row>
    <row r="17" customFormat="false" ht="15" hidden="false" customHeight="false" outlineLevel="0" collapsed="false">
      <c r="A17" s="44" t="n">
        <v>40603</v>
      </c>
      <c r="B17" s="45" t="n">
        <v>201103</v>
      </c>
      <c r="C17" s="42" t="n">
        <f aca="false">SUMIFS('Additions (monthly)'!$E$2:$E$106,'Additions (monthly)'!$B$2:$B$106,"&lt;="&amp;$B17)</f>
        <v>263.57</v>
      </c>
      <c r="D17" s="46" t="n">
        <f aca="false">SUMIFS('Additions (monthly)'!$E$2:$E$106,'Additions (monthly)'!$D$2:$D$106,D$2,'Additions (monthly)'!$B$2:$B$106,"&lt;="&amp;$B17)</f>
        <v>7.9</v>
      </c>
      <c r="E17" s="46" t="n">
        <f aca="false">SUMIFS('Additions (monthly)'!$E$2:$E$106,'Additions (monthly)'!$D$2:$D$106,E$2,'Additions (monthly)'!$B$2:$B$106,"&lt;="&amp;$B17)</f>
        <v>8.4</v>
      </c>
      <c r="F17" s="46" t="n">
        <f aca="false">SUMIFS('Additions (monthly)'!$E$2:$E$106,'Additions (monthly)'!$D$2:$D$106,F$2,'Additions (monthly)'!$B$2:$B$106,"&lt;="&amp;$B17)</f>
        <v>0</v>
      </c>
      <c r="G17" s="46" t="n">
        <f aca="false">SUMIFS('Additions (monthly)'!$E$2:$E$106,'Additions (monthly)'!$D$2:$D$106,G$2,'Additions (monthly)'!$B$2:$B$106,"&lt;="&amp;$B17)</f>
        <v>0</v>
      </c>
      <c r="H17" s="46" t="n">
        <f aca="false">SUMIFS('Additions (monthly)'!$E$2:$E$106,'Additions (monthly)'!$D$2:$D$106,H$2,'Additions (monthly)'!$B$2:$B$106,"&lt;="&amp;$B17)</f>
        <v>0</v>
      </c>
      <c r="I17" s="46" t="n">
        <f aca="false">SUMIFS('Additions (monthly)'!$E$2:$E$106,'Additions (monthly)'!$D$2:$D$106,I$2,'Additions (monthly)'!$B$2:$B$106,"&lt;="&amp;$B17)</f>
        <v>0</v>
      </c>
      <c r="J17" s="46" t="n">
        <f aca="false">SUMIFS('Additions (monthly)'!$E$2:$E$106,'Additions (monthly)'!$D$2:$D$106,J$2,'Additions (monthly)'!$B$2:$B$106,"&lt;="&amp;$B17)</f>
        <v>3.7</v>
      </c>
      <c r="K17" s="46" t="n">
        <f aca="false">SUMIFS('Additions (monthly)'!$E$2:$E$106,'Additions (monthly)'!$D$2:$D$106,K$2,'Additions (monthly)'!$B$2:$B$106,"&lt;="&amp;$B17)</f>
        <v>0</v>
      </c>
      <c r="L17" s="46" t="n">
        <f aca="false">SUMIFS('Additions (monthly)'!$E$2:$E$106,'Additions (monthly)'!$D$2:$D$106,L$2,'Additions (monthly)'!$B$2:$B$106,"&lt;="&amp;$B17)</f>
        <v>0</v>
      </c>
      <c r="M17" s="46" t="n">
        <f aca="false">SUMIFS('Additions (monthly)'!$E$2:$E$106,'Additions (monthly)'!$D$2:$D$106,M$2,'Additions (monthly)'!$B$2:$B$106,"&lt;="&amp;$B17)</f>
        <v>0</v>
      </c>
      <c r="N17" s="46" t="n">
        <f aca="false">SUMIFS('Additions (monthly)'!$E$2:$E$106,'Additions (monthly)'!$D$2:$D$106,N$2,'Additions (monthly)'!$B$2:$B$106,"&lt;="&amp;$B17)</f>
        <v>14.2</v>
      </c>
      <c r="O17" s="46" t="n">
        <f aca="false">SUMIFS('Additions (monthly)'!$E$2:$E$106,'Additions (monthly)'!$D$2:$D$106,O$2,'Additions (monthly)'!$B$2:$B$106,"&lt;="&amp;$B17)</f>
        <v>0</v>
      </c>
      <c r="P17" s="46" t="n">
        <f aca="false">SUMIFS('Additions (monthly)'!$E$2:$E$106,'Additions (monthly)'!$D$2:$D$106,P$2,'Additions (monthly)'!$B$2:$B$106,"&lt;="&amp;$B17)</f>
        <v>0</v>
      </c>
      <c r="Q17" s="46" t="n">
        <f aca="false">SUMIFS('Additions (monthly)'!$E$2:$E$106,'Additions (monthly)'!$D$2:$D$106,Q$2,'Additions (monthly)'!$B$2:$B$106,"&lt;="&amp;$B17)</f>
        <v>0</v>
      </c>
      <c r="R17" s="46" t="n">
        <f aca="false">SUMIFS('Additions (monthly)'!$E$2:$E$106,'Additions (monthly)'!$D$2:$D$106,R$2,'Additions (monthly)'!$B$2:$B$106,"&lt;="&amp;$B17)</f>
        <v>0</v>
      </c>
      <c r="S17" s="46" t="n">
        <f aca="false">SUMIFS('Additions (monthly)'!$E$2:$E$106,'Additions (monthly)'!$D$2:$D$106,S$2,'Additions (monthly)'!$B$2:$B$106,"&lt;="&amp;$B17)</f>
        <v>7.2</v>
      </c>
      <c r="T17" s="46" t="n">
        <f aca="false">SUMIFS('Additions (monthly)'!$E$2:$E$106,'Additions (monthly)'!$D$2:$D$106,T$2,'Additions (monthly)'!$B$2:$B$106,"&lt;="&amp;$B17)</f>
        <v>0</v>
      </c>
      <c r="U17" s="46" t="n">
        <f aca="false">SUMIFS('Additions (monthly)'!$E$2:$E$106,'Additions (monthly)'!$D$2:$D$106,U$2,'Additions (monthly)'!$B$2:$B$106,"&lt;="&amp;$B17)</f>
        <v>0</v>
      </c>
      <c r="V17" s="46" t="n">
        <f aca="false">SUMIFS('Additions (monthly)'!$E$2:$E$106,'Additions (monthly)'!$D$2:$D$106,V$2,'Additions (monthly)'!$B$2:$B$106,"&lt;="&amp;$B17)</f>
        <v>3.87</v>
      </c>
      <c r="W17" s="46" t="n">
        <f aca="false">SUMIFS('Additions (monthly)'!$E$2:$E$106,'Additions (monthly)'!$D$2:$D$106,W$2,'Additions (monthly)'!$B$2:$B$106,"&lt;="&amp;$B17)</f>
        <v>0</v>
      </c>
      <c r="X17" s="46" t="n">
        <f aca="false">SUMIFS('Additions (monthly)'!$E$2:$E$106,'Additions (monthly)'!$D$2:$D$106,X$2,'Additions (monthly)'!$B$2:$B$106,"&lt;="&amp;$B17)</f>
        <v>0</v>
      </c>
      <c r="Y17" s="46" t="n">
        <f aca="false">SUMIFS('Additions (monthly)'!$E$2:$E$106,'Additions (monthly)'!$D$2:$D$106,Y$2,'Additions (monthly)'!$B$2:$B$106,"&lt;="&amp;$B17)</f>
        <v>5</v>
      </c>
      <c r="Z17" s="46" t="n">
        <f aca="false">SUMIFS('Additions (monthly)'!$E$2:$E$106,'Additions (monthly)'!$D$2:$D$106,Z$2,'Additions (monthly)'!$B$2:$B$106,"&lt;="&amp;$B17)</f>
        <v>7.2</v>
      </c>
      <c r="AA17" s="46" t="n">
        <f aca="false">SUMIFS('Additions (monthly)'!$E$2:$E$106,'Additions (monthly)'!$D$2:$D$106,AA$2,'Additions (monthly)'!$B$2:$B$106,"&lt;="&amp;$B17)</f>
        <v>3.7</v>
      </c>
      <c r="AB17" s="46" t="n">
        <f aca="false">SUMIFS('Additions (monthly)'!$E$2:$E$106,'Additions (monthly)'!$D$2:$D$106,AB$2,'Additions (monthly)'!$B$2:$B$106,"&lt;="&amp;$B17)</f>
        <v>16.95</v>
      </c>
      <c r="AC17" s="46" t="n">
        <f aca="false">SUMIFS('Additions (monthly)'!$E$2:$E$106,'Additions (monthly)'!$D$2:$D$106,AC$2,'Additions (monthly)'!$B$2:$B$106,"&lt;="&amp;$B17)</f>
        <v>0</v>
      </c>
      <c r="AD17" s="46" t="n">
        <f aca="false">SUMIFS('Additions (monthly)'!$E$2:$E$106,'Additions (monthly)'!$D$2:$D$106,AD$2,'Additions (monthly)'!$B$2:$B$106,"&lt;="&amp;$B17)</f>
        <v>7.6</v>
      </c>
      <c r="AE17" s="46" t="n">
        <f aca="false">SUMIFS('Additions (monthly)'!$E$2:$E$106,'Additions (monthly)'!$D$2:$D$106,AE$2,'Additions (monthly)'!$B$2:$B$106,"&lt;="&amp;$B17)</f>
        <v>25.7</v>
      </c>
      <c r="AF17" s="46" t="n">
        <f aca="false">SUMIFS('Additions (monthly)'!$E$2:$E$106,'Additions (monthly)'!$D$2:$D$106,AF$2,'Additions (monthly)'!$B$2:$B$106,"&lt;="&amp;$B17)</f>
        <v>0</v>
      </c>
      <c r="AG17" s="46" t="n">
        <f aca="false">SUMIFS('Additions (monthly)'!$E$2:$E$106,'Additions (monthly)'!$D$2:$D$106,AG$2,'Additions (monthly)'!$B$2:$B$106,"&lt;="&amp;$B17)</f>
        <v>0</v>
      </c>
      <c r="AH17" s="46" t="n">
        <f aca="false">SUMIFS('Additions (monthly)'!$E$2:$E$106,'Additions (monthly)'!$D$2:$D$106,AH$2,'Additions (monthly)'!$B$2:$B$106,"&lt;="&amp;$B17)</f>
        <v>0</v>
      </c>
      <c r="AI17" s="46" t="n">
        <f aca="false">SUMIFS('Additions (monthly)'!$E$2:$E$106,'Additions (monthly)'!$D$2:$D$106,AI$2,'Additions (monthly)'!$B$2:$B$106,"&lt;="&amp;$B17)</f>
        <v>0</v>
      </c>
      <c r="AJ17" s="46" t="n">
        <f aca="false">SUMIFS('Additions (monthly)'!$E$2:$E$106,'Additions (monthly)'!$D$2:$D$106,AJ$2,'Additions (monthly)'!$B$2:$B$106,"&lt;="&amp;$B17)</f>
        <v>0</v>
      </c>
      <c r="AK17" s="46" t="n">
        <f aca="false">SUMIFS('Additions (monthly)'!$E$2:$E$106,'Additions (monthly)'!$D$2:$D$106,AK$2,'Additions (monthly)'!$B$2:$B$106,"&lt;="&amp;$B17)</f>
        <v>0</v>
      </c>
      <c r="AL17" s="46" t="n">
        <f aca="false">SUMIFS('Additions (monthly)'!$E$2:$E$106,'Additions (monthly)'!$D$2:$D$106,AL$2,'Additions (monthly)'!$B$2:$B$106,"&lt;="&amp;$B17)</f>
        <v>22.2</v>
      </c>
      <c r="AM17" s="46" t="n">
        <f aca="false">SUMIFS('Additions (monthly)'!$E$2:$E$106,'Additions (monthly)'!$D$2:$D$106,AM$2,'Additions (monthly)'!$B$2:$B$106,"&lt;="&amp;$B17)</f>
        <v>0.3</v>
      </c>
      <c r="AN17" s="46" t="n">
        <f aca="false">SUMIFS('Additions (monthly)'!$E$2:$E$106,'Additions (monthly)'!$D$2:$D$106,AN$2,'Additions (monthly)'!$B$2:$B$106,"&lt;="&amp;$B17)</f>
        <v>4.3</v>
      </c>
      <c r="AO17" s="46" t="n">
        <f aca="false">SUMIFS('Additions (monthly)'!$E$2:$E$106,'Additions (monthly)'!$D$2:$D$106,AO$2,'Additions (monthly)'!$B$2:$B$106,"&lt;="&amp;$B17)</f>
        <v>10.4</v>
      </c>
      <c r="AP17" s="46" t="n">
        <f aca="false">SUMIFS('Additions (monthly)'!$E$2:$E$106,'Additions (monthly)'!$D$2:$D$106,AP$2,'Additions (monthly)'!$B$2:$B$106,"&lt;="&amp;$B17)</f>
        <v>0</v>
      </c>
      <c r="AQ17" s="46" t="n">
        <f aca="false">SUMIFS('Additions (monthly)'!$E$2:$E$106,'Additions (monthly)'!$D$2:$D$106,AQ$2,'Additions (monthly)'!$B$2:$B$106,"&lt;="&amp;$B17)</f>
        <v>4.45</v>
      </c>
      <c r="AR17" s="46" t="n">
        <f aca="false">SUMIFS('Additions (monthly)'!$E$2:$E$106,'Additions (monthly)'!$D$2:$D$106,AR$2,'Additions (monthly)'!$B$2:$B$106,"&lt;="&amp;$B17)</f>
        <v>77.1</v>
      </c>
      <c r="AS17" s="46" t="n">
        <f aca="false">SUMIFS('Additions (monthly)'!$E$2:$E$106,'Additions (monthly)'!$D$2:$D$106,AS$2,'Additions (monthly)'!$B$2:$B$106,"&lt;="&amp;$B17)</f>
        <v>0</v>
      </c>
      <c r="AT17" s="46" t="n">
        <f aca="false">SUMIFS('Additions (monthly)'!$E$2:$E$106,'Additions (monthly)'!$D$2:$D$106,AT$2,'Additions (monthly)'!$B$2:$B$106,"&lt;="&amp;$B17)</f>
        <v>0</v>
      </c>
      <c r="AU17" s="46" t="n">
        <f aca="false">SUMIFS('Additions (monthly)'!$E$2:$E$106,'Additions (monthly)'!$D$2:$D$106,AU$2,'Additions (monthly)'!$B$2:$B$106,"&lt;="&amp;$B17)</f>
        <v>9.6</v>
      </c>
      <c r="AV17" s="46" t="n">
        <f aca="false">SUMIFS('Additions (monthly)'!$E$2:$E$106,'Additions (monthly)'!$D$2:$D$106,AV$2,'Additions (monthly)'!$B$2:$B$106,"&lt;="&amp;$B17)</f>
        <v>0</v>
      </c>
      <c r="AW17" s="46" t="n">
        <f aca="false">SUMIFS('Additions (monthly)'!$E$2:$E$106,'Additions (monthly)'!$D$2:$D$106,AW$2,'Additions (monthly)'!$B$2:$B$106,"&lt;="&amp;$B17)</f>
        <v>0</v>
      </c>
      <c r="AX17" s="46" t="n">
        <f aca="false">SUMIFS('Additions (monthly)'!$E$2:$E$106,'Additions (monthly)'!$D$2:$D$106,AX$2,'Additions (monthly)'!$B$2:$B$106,"&lt;="&amp;$B17)</f>
        <v>11.8</v>
      </c>
      <c r="AY17" s="46" t="n">
        <f aca="false">SUMIFS('Additions (monthly)'!$E$2:$E$106,'Additions (monthly)'!$D$2:$D$106,AY$2,'Additions (monthly)'!$B$2:$B$106,"&lt;="&amp;$B17)</f>
        <v>5.3</v>
      </c>
      <c r="AZ17" s="46" t="n">
        <f aca="false">SUMIFS('Additions (monthly)'!$E$2:$E$106,'Additions (monthly)'!$D$2:$D$106,AZ$2,'Additions (monthly)'!$B$2:$B$106,"&lt;="&amp;$B17)</f>
        <v>0</v>
      </c>
      <c r="BA17" s="46" t="n">
        <f aca="false">SUMIFS('Additions (monthly)'!$E$2:$E$106,'Additions (monthly)'!$D$2:$D$106,BA$2,'Additions (monthly)'!$B$2:$B$106,"&lt;="&amp;$B17)</f>
        <v>0</v>
      </c>
      <c r="BB17" s="46" t="n">
        <f aca="false">SUMIFS('Additions (monthly)'!$E$2:$E$106,'Additions (monthly)'!$D$2:$D$106,BB$2,'Additions (monthly)'!$B$2:$B$106,"&lt;="&amp;$B17)</f>
        <v>0</v>
      </c>
      <c r="BC17" s="46" t="n">
        <f aca="false">SUMIFS('Additions (monthly)'!$E$2:$E$106,'Additions (monthly)'!$D$2:$D$106,BC$2,'Additions (monthly)'!$B$2:$B$106,"&lt;="&amp;$B17)</f>
        <v>0</v>
      </c>
      <c r="BD17" s="46" t="n">
        <f aca="false">SUMIFS('Additions (monthly)'!$E$2:$E$106,'Additions (monthly)'!$D$2:$D$106,BD$2,'Additions (monthly)'!$B$2:$B$106,"&lt;="&amp;$B17)</f>
        <v>0</v>
      </c>
      <c r="BE17" s="46" t="n">
        <f aca="false">SUMIFS('Additions (monthly)'!$E$2:$E$106,'Additions (monthly)'!$D$2:$D$106,BE$2,'Additions (monthly)'!$B$2:$B$106,"&lt;="&amp;$B17)</f>
        <v>0</v>
      </c>
      <c r="BF17" s="46" t="n">
        <f aca="false">SUMIFS('Additions (monthly)'!$E$2:$E$106,'Additions (monthly)'!$D$2:$D$106,BF$2,'Additions (monthly)'!$B$2:$B$106,"&lt;="&amp;$B17)</f>
        <v>0</v>
      </c>
      <c r="BG17" s="46" t="n">
        <f aca="false">SUMIFS('Additions (monthly)'!$E$2:$E$106,'Additions (monthly)'!$D$2:$D$106,BG$2,'Additions (monthly)'!$B$2:$B$106,"&lt;="&amp;$B17)</f>
        <v>0</v>
      </c>
      <c r="BH17" s="46" t="n">
        <f aca="false">SUMIFS('Additions (monthly)'!$E$2:$E$106,'Additions (monthly)'!$D$2:$D$106,BH$2,'Additions (monthly)'!$B$2:$B$106,"&lt;="&amp;$B17)</f>
        <v>0</v>
      </c>
      <c r="BI17" s="46" t="n">
        <f aca="false">SUMIFS('Additions (monthly)'!$E$2:$E$106,'Additions (monthly)'!$D$2:$D$106,BI$2,'Additions (monthly)'!$B$2:$B$106,"&lt;="&amp;$B17)</f>
        <v>6.7</v>
      </c>
    </row>
    <row r="18" customFormat="false" ht="15" hidden="false" customHeight="false" outlineLevel="0" collapsed="false">
      <c r="A18" s="44" t="n">
        <v>40634</v>
      </c>
      <c r="B18" s="45" t="n">
        <v>201104</v>
      </c>
      <c r="C18" s="42" t="n">
        <f aca="false">SUMIFS('Additions (monthly)'!$E$2:$E$106,'Additions (monthly)'!$B$2:$B$106,"&lt;="&amp;$B18)</f>
        <v>263.57</v>
      </c>
      <c r="D18" s="46" t="n">
        <f aca="false">SUMIFS('Additions (monthly)'!$E$2:$E$106,'Additions (monthly)'!$D$2:$D$106,D$2,'Additions (monthly)'!$B$2:$B$106,"&lt;="&amp;$B18)</f>
        <v>7.9</v>
      </c>
      <c r="E18" s="46" t="n">
        <f aca="false">SUMIFS('Additions (monthly)'!$E$2:$E$106,'Additions (monthly)'!$D$2:$D$106,E$2,'Additions (monthly)'!$B$2:$B$106,"&lt;="&amp;$B18)</f>
        <v>8.4</v>
      </c>
      <c r="F18" s="46" t="n">
        <f aca="false">SUMIFS('Additions (monthly)'!$E$2:$E$106,'Additions (monthly)'!$D$2:$D$106,F$2,'Additions (monthly)'!$B$2:$B$106,"&lt;="&amp;$B18)</f>
        <v>0</v>
      </c>
      <c r="G18" s="46" t="n">
        <f aca="false">SUMIFS('Additions (monthly)'!$E$2:$E$106,'Additions (monthly)'!$D$2:$D$106,G$2,'Additions (monthly)'!$B$2:$B$106,"&lt;="&amp;$B18)</f>
        <v>0</v>
      </c>
      <c r="H18" s="46" t="n">
        <f aca="false">SUMIFS('Additions (monthly)'!$E$2:$E$106,'Additions (monthly)'!$D$2:$D$106,H$2,'Additions (monthly)'!$B$2:$B$106,"&lt;="&amp;$B18)</f>
        <v>0</v>
      </c>
      <c r="I18" s="46" t="n">
        <f aca="false">SUMIFS('Additions (monthly)'!$E$2:$E$106,'Additions (monthly)'!$D$2:$D$106,I$2,'Additions (monthly)'!$B$2:$B$106,"&lt;="&amp;$B18)</f>
        <v>0</v>
      </c>
      <c r="J18" s="46" t="n">
        <f aca="false">SUMIFS('Additions (monthly)'!$E$2:$E$106,'Additions (monthly)'!$D$2:$D$106,J$2,'Additions (monthly)'!$B$2:$B$106,"&lt;="&amp;$B18)</f>
        <v>3.7</v>
      </c>
      <c r="K18" s="46" t="n">
        <f aca="false">SUMIFS('Additions (monthly)'!$E$2:$E$106,'Additions (monthly)'!$D$2:$D$106,K$2,'Additions (monthly)'!$B$2:$B$106,"&lt;="&amp;$B18)</f>
        <v>0</v>
      </c>
      <c r="L18" s="46" t="n">
        <f aca="false">SUMIFS('Additions (monthly)'!$E$2:$E$106,'Additions (monthly)'!$D$2:$D$106,L$2,'Additions (monthly)'!$B$2:$B$106,"&lt;="&amp;$B18)</f>
        <v>0</v>
      </c>
      <c r="M18" s="46" t="n">
        <f aca="false">SUMIFS('Additions (monthly)'!$E$2:$E$106,'Additions (monthly)'!$D$2:$D$106,M$2,'Additions (monthly)'!$B$2:$B$106,"&lt;="&amp;$B18)</f>
        <v>0</v>
      </c>
      <c r="N18" s="46" t="n">
        <f aca="false">SUMIFS('Additions (monthly)'!$E$2:$E$106,'Additions (monthly)'!$D$2:$D$106,N$2,'Additions (monthly)'!$B$2:$B$106,"&lt;="&amp;$B18)</f>
        <v>14.2</v>
      </c>
      <c r="O18" s="46" t="n">
        <f aca="false">SUMIFS('Additions (monthly)'!$E$2:$E$106,'Additions (monthly)'!$D$2:$D$106,O$2,'Additions (monthly)'!$B$2:$B$106,"&lt;="&amp;$B18)</f>
        <v>0</v>
      </c>
      <c r="P18" s="46" t="n">
        <f aca="false">SUMIFS('Additions (monthly)'!$E$2:$E$106,'Additions (monthly)'!$D$2:$D$106,P$2,'Additions (monthly)'!$B$2:$B$106,"&lt;="&amp;$B18)</f>
        <v>0</v>
      </c>
      <c r="Q18" s="46" t="n">
        <f aca="false">SUMIFS('Additions (monthly)'!$E$2:$E$106,'Additions (monthly)'!$D$2:$D$106,Q$2,'Additions (monthly)'!$B$2:$B$106,"&lt;="&amp;$B18)</f>
        <v>0</v>
      </c>
      <c r="R18" s="46" t="n">
        <f aca="false">SUMIFS('Additions (monthly)'!$E$2:$E$106,'Additions (monthly)'!$D$2:$D$106,R$2,'Additions (monthly)'!$B$2:$B$106,"&lt;="&amp;$B18)</f>
        <v>0</v>
      </c>
      <c r="S18" s="46" t="n">
        <f aca="false">SUMIFS('Additions (monthly)'!$E$2:$E$106,'Additions (monthly)'!$D$2:$D$106,S$2,'Additions (monthly)'!$B$2:$B$106,"&lt;="&amp;$B18)</f>
        <v>7.2</v>
      </c>
      <c r="T18" s="46" t="n">
        <f aca="false">SUMIFS('Additions (monthly)'!$E$2:$E$106,'Additions (monthly)'!$D$2:$D$106,T$2,'Additions (monthly)'!$B$2:$B$106,"&lt;="&amp;$B18)</f>
        <v>0</v>
      </c>
      <c r="U18" s="46" t="n">
        <f aca="false">SUMIFS('Additions (monthly)'!$E$2:$E$106,'Additions (monthly)'!$D$2:$D$106,U$2,'Additions (monthly)'!$B$2:$B$106,"&lt;="&amp;$B18)</f>
        <v>0</v>
      </c>
      <c r="V18" s="46" t="n">
        <f aca="false">SUMIFS('Additions (monthly)'!$E$2:$E$106,'Additions (monthly)'!$D$2:$D$106,V$2,'Additions (monthly)'!$B$2:$B$106,"&lt;="&amp;$B18)</f>
        <v>3.87</v>
      </c>
      <c r="W18" s="46" t="n">
        <f aca="false">SUMIFS('Additions (monthly)'!$E$2:$E$106,'Additions (monthly)'!$D$2:$D$106,W$2,'Additions (monthly)'!$B$2:$B$106,"&lt;="&amp;$B18)</f>
        <v>0</v>
      </c>
      <c r="X18" s="46" t="n">
        <f aca="false">SUMIFS('Additions (monthly)'!$E$2:$E$106,'Additions (monthly)'!$D$2:$D$106,X$2,'Additions (monthly)'!$B$2:$B$106,"&lt;="&amp;$B18)</f>
        <v>0</v>
      </c>
      <c r="Y18" s="46" t="n">
        <f aca="false">SUMIFS('Additions (monthly)'!$E$2:$E$106,'Additions (monthly)'!$D$2:$D$106,Y$2,'Additions (monthly)'!$B$2:$B$106,"&lt;="&amp;$B18)</f>
        <v>5</v>
      </c>
      <c r="Z18" s="46" t="n">
        <f aca="false">SUMIFS('Additions (monthly)'!$E$2:$E$106,'Additions (monthly)'!$D$2:$D$106,Z$2,'Additions (monthly)'!$B$2:$B$106,"&lt;="&amp;$B18)</f>
        <v>7.2</v>
      </c>
      <c r="AA18" s="46" t="n">
        <f aca="false">SUMIFS('Additions (monthly)'!$E$2:$E$106,'Additions (monthly)'!$D$2:$D$106,AA$2,'Additions (monthly)'!$B$2:$B$106,"&lt;="&amp;$B18)</f>
        <v>3.7</v>
      </c>
      <c r="AB18" s="46" t="n">
        <f aca="false">SUMIFS('Additions (monthly)'!$E$2:$E$106,'Additions (monthly)'!$D$2:$D$106,AB$2,'Additions (monthly)'!$B$2:$B$106,"&lt;="&amp;$B18)</f>
        <v>16.95</v>
      </c>
      <c r="AC18" s="46" t="n">
        <f aca="false">SUMIFS('Additions (monthly)'!$E$2:$E$106,'Additions (monthly)'!$D$2:$D$106,AC$2,'Additions (monthly)'!$B$2:$B$106,"&lt;="&amp;$B18)</f>
        <v>0</v>
      </c>
      <c r="AD18" s="46" t="n">
        <f aca="false">SUMIFS('Additions (monthly)'!$E$2:$E$106,'Additions (monthly)'!$D$2:$D$106,AD$2,'Additions (monthly)'!$B$2:$B$106,"&lt;="&amp;$B18)</f>
        <v>7.6</v>
      </c>
      <c r="AE18" s="46" t="n">
        <f aca="false">SUMIFS('Additions (monthly)'!$E$2:$E$106,'Additions (monthly)'!$D$2:$D$106,AE$2,'Additions (monthly)'!$B$2:$B$106,"&lt;="&amp;$B18)</f>
        <v>25.7</v>
      </c>
      <c r="AF18" s="46" t="n">
        <f aca="false">SUMIFS('Additions (monthly)'!$E$2:$E$106,'Additions (monthly)'!$D$2:$D$106,AF$2,'Additions (monthly)'!$B$2:$B$106,"&lt;="&amp;$B18)</f>
        <v>0</v>
      </c>
      <c r="AG18" s="46" t="n">
        <f aca="false">SUMIFS('Additions (monthly)'!$E$2:$E$106,'Additions (monthly)'!$D$2:$D$106,AG$2,'Additions (monthly)'!$B$2:$B$106,"&lt;="&amp;$B18)</f>
        <v>0</v>
      </c>
      <c r="AH18" s="46" t="n">
        <f aca="false">SUMIFS('Additions (monthly)'!$E$2:$E$106,'Additions (monthly)'!$D$2:$D$106,AH$2,'Additions (monthly)'!$B$2:$B$106,"&lt;="&amp;$B18)</f>
        <v>0</v>
      </c>
      <c r="AI18" s="46" t="n">
        <f aca="false">SUMIFS('Additions (monthly)'!$E$2:$E$106,'Additions (monthly)'!$D$2:$D$106,AI$2,'Additions (monthly)'!$B$2:$B$106,"&lt;="&amp;$B18)</f>
        <v>0</v>
      </c>
      <c r="AJ18" s="46" t="n">
        <f aca="false">SUMIFS('Additions (monthly)'!$E$2:$E$106,'Additions (monthly)'!$D$2:$D$106,AJ$2,'Additions (monthly)'!$B$2:$B$106,"&lt;="&amp;$B18)</f>
        <v>0</v>
      </c>
      <c r="AK18" s="46" t="n">
        <f aca="false">SUMIFS('Additions (monthly)'!$E$2:$E$106,'Additions (monthly)'!$D$2:$D$106,AK$2,'Additions (monthly)'!$B$2:$B$106,"&lt;="&amp;$B18)</f>
        <v>0</v>
      </c>
      <c r="AL18" s="46" t="n">
        <f aca="false">SUMIFS('Additions (monthly)'!$E$2:$E$106,'Additions (monthly)'!$D$2:$D$106,AL$2,'Additions (monthly)'!$B$2:$B$106,"&lt;="&amp;$B18)</f>
        <v>22.2</v>
      </c>
      <c r="AM18" s="46" t="n">
        <f aca="false">SUMIFS('Additions (monthly)'!$E$2:$E$106,'Additions (monthly)'!$D$2:$D$106,AM$2,'Additions (monthly)'!$B$2:$B$106,"&lt;="&amp;$B18)</f>
        <v>0.3</v>
      </c>
      <c r="AN18" s="46" t="n">
        <f aca="false">SUMIFS('Additions (monthly)'!$E$2:$E$106,'Additions (monthly)'!$D$2:$D$106,AN$2,'Additions (monthly)'!$B$2:$B$106,"&lt;="&amp;$B18)</f>
        <v>4.3</v>
      </c>
      <c r="AO18" s="46" t="n">
        <f aca="false">SUMIFS('Additions (monthly)'!$E$2:$E$106,'Additions (monthly)'!$D$2:$D$106,AO$2,'Additions (monthly)'!$B$2:$B$106,"&lt;="&amp;$B18)</f>
        <v>10.4</v>
      </c>
      <c r="AP18" s="46" t="n">
        <f aca="false">SUMIFS('Additions (monthly)'!$E$2:$E$106,'Additions (monthly)'!$D$2:$D$106,AP$2,'Additions (monthly)'!$B$2:$B$106,"&lt;="&amp;$B18)</f>
        <v>0</v>
      </c>
      <c r="AQ18" s="46" t="n">
        <f aca="false">SUMIFS('Additions (monthly)'!$E$2:$E$106,'Additions (monthly)'!$D$2:$D$106,AQ$2,'Additions (monthly)'!$B$2:$B$106,"&lt;="&amp;$B18)</f>
        <v>4.45</v>
      </c>
      <c r="AR18" s="46" t="n">
        <f aca="false">SUMIFS('Additions (monthly)'!$E$2:$E$106,'Additions (monthly)'!$D$2:$D$106,AR$2,'Additions (monthly)'!$B$2:$B$106,"&lt;="&amp;$B18)</f>
        <v>77.1</v>
      </c>
      <c r="AS18" s="46" t="n">
        <f aca="false">SUMIFS('Additions (monthly)'!$E$2:$E$106,'Additions (monthly)'!$D$2:$D$106,AS$2,'Additions (monthly)'!$B$2:$B$106,"&lt;="&amp;$B18)</f>
        <v>0</v>
      </c>
      <c r="AT18" s="46" t="n">
        <f aca="false">SUMIFS('Additions (monthly)'!$E$2:$E$106,'Additions (monthly)'!$D$2:$D$106,AT$2,'Additions (monthly)'!$B$2:$B$106,"&lt;="&amp;$B18)</f>
        <v>0</v>
      </c>
      <c r="AU18" s="46" t="n">
        <f aca="false">SUMIFS('Additions (monthly)'!$E$2:$E$106,'Additions (monthly)'!$D$2:$D$106,AU$2,'Additions (monthly)'!$B$2:$B$106,"&lt;="&amp;$B18)</f>
        <v>9.6</v>
      </c>
      <c r="AV18" s="46" t="n">
        <f aca="false">SUMIFS('Additions (monthly)'!$E$2:$E$106,'Additions (monthly)'!$D$2:$D$106,AV$2,'Additions (monthly)'!$B$2:$B$106,"&lt;="&amp;$B18)</f>
        <v>0</v>
      </c>
      <c r="AW18" s="46" t="n">
        <f aca="false">SUMIFS('Additions (monthly)'!$E$2:$E$106,'Additions (monthly)'!$D$2:$D$106,AW$2,'Additions (monthly)'!$B$2:$B$106,"&lt;="&amp;$B18)</f>
        <v>0</v>
      </c>
      <c r="AX18" s="46" t="n">
        <f aca="false">SUMIFS('Additions (monthly)'!$E$2:$E$106,'Additions (monthly)'!$D$2:$D$106,AX$2,'Additions (monthly)'!$B$2:$B$106,"&lt;="&amp;$B18)</f>
        <v>11.8</v>
      </c>
      <c r="AY18" s="46" t="n">
        <f aca="false">SUMIFS('Additions (monthly)'!$E$2:$E$106,'Additions (monthly)'!$D$2:$D$106,AY$2,'Additions (monthly)'!$B$2:$B$106,"&lt;="&amp;$B18)</f>
        <v>5.3</v>
      </c>
      <c r="AZ18" s="46" t="n">
        <f aca="false">SUMIFS('Additions (monthly)'!$E$2:$E$106,'Additions (monthly)'!$D$2:$D$106,AZ$2,'Additions (monthly)'!$B$2:$B$106,"&lt;="&amp;$B18)</f>
        <v>0</v>
      </c>
      <c r="BA18" s="46" t="n">
        <f aca="false">SUMIFS('Additions (monthly)'!$E$2:$E$106,'Additions (monthly)'!$D$2:$D$106,BA$2,'Additions (monthly)'!$B$2:$B$106,"&lt;="&amp;$B18)</f>
        <v>0</v>
      </c>
      <c r="BB18" s="46" t="n">
        <f aca="false">SUMIFS('Additions (monthly)'!$E$2:$E$106,'Additions (monthly)'!$D$2:$D$106,BB$2,'Additions (monthly)'!$B$2:$B$106,"&lt;="&amp;$B18)</f>
        <v>0</v>
      </c>
      <c r="BC18" s="46" t="n">
        <f aca="false">SUMIFS('Additions (monthly)'!$E$2:$E$106,'Additions (monthly)'!$D$2:$D$106,BC$2,'Additions (monthly)'!$B$2:$B$106,"&lt;="&amp;$B18)</f>
        <v>0</v>
      </c>
      <c r="BD18" s="46" t="n">
        <f aca="false">SUMIFS('Additions (monthly)'!$E$2:$E$106,'Additions (monthly)'!$D$2:$D$106,BD$2,'Additions (monthly)'!$B$2:$B$106,"&lt;="&amp;$B18)</f>
        <v>0</v>
      </c>
      <c r="BE18" s="46" t="n">
        <f aca="false">SUMIFS('Additions (monthly)'!$E$2:$E$106,'Additions (monthly)'!$D$2:$D$106,BE$2,'Additions (monthly)'!$B$2:$B$106,"&lt;="&amp;$B18)</f>
        <v>0</v>
      </c>
      <c r="BF18" s="46" t="n">
        <f aca="false">SUMIFS('Additions (monthly)'!$E$2:$E$106,'Additions (monthly)'!$D$2:$D$106,BF$2,'Additions (monthly)'!$B$2:$B$106,"&lt;="&amp;$B18)</f>
        <v>0</v>
      </c>
      <c r="BG18" s="46" t="n">
        <f aca="false">SUMIFS('Additions (monthly)'!$E$2:$E$106,'Additions (monthly)'!$D$2:$D$106,BG$2,'Additions (monthly)'!$B$2:$B$106,"&lt;="&amp;$B18)</f>
        <v>0</v>
      </c>
      <c r="BH18" s="46" t="n">
        <f aca="false">SUMIFS('Additions (monthly)'!$E$2:$E$106,'Additions (monthly)'!$D$2:$D$106,BH$2,'Additions (monthly)'!$B$2:$B$106,"&lt;="&amp;$B18)</f>
        <v>0</v>
      </c>
      <c r="BI18" s="46" t="n">
        <f aca="false">SUMIFS('Additions (monthly)'!$E$2:$E$106,'Additions (monthly)'!$D$2:$D$106,BI$2,'Additions (monthly)'!$B$2:$B$106,"&lt;="&amp;$B18)</f>
        <v>6.7</v>
      </c>
    </row>
    <row r="19" customFormat="false" ht="15" hidden="false" customHeight="false" outlineLevel="0" collapsed="false">
      <c r="A19" s="44" t="n">
        <v>40664</v>
      </c>
      <c r="B19" s="45" t="n">
        <v>201105</v>
      </c>
      <c r="C19" s="42" t="n">
        <f aca="false">SUMIFS('Additions (monthly)'!$E$2:$E$106,'Additions (monthly)'!$B$2:$B$106,"&lt;="&amp;$B19)</f>
        <v>263.57</v>
      </c>
      <c r="D19" s="46" t="n">
        <f aca="false">SUMIFS('Additions (monthly)'!$E$2:$E$106,'Additions (monthly)'!$D$2:$D$106,D$2,'Additions (monthly)'!$B$2:$B$106,"&lt;="&amp;$B19)</f>
        <v>7.9</v>
      </c>
      <c r="E19" s="46" t="n">
        <f aca="false">SUMIFS('Additions (monthly)'!$E$2:$E$106,'Additions (monthly)'!$D$2:$D$106,E$2,'Additions (monthly)'!$B$2:$B$106,"&lt;="&amp;$B19)</f>
        <v>8.4</v>
      </c>
      <c r="F19" s="46" t="n">
        <f aca="false">SUMIFS('Additions (monthly)'!$E$2:$E$106,'Additions (monthly)'!$D$2:$D$106,F$2,'Additions (monthly)'!$B$2:$B$106,"&lt;="&amp;$B19)</f>
        <v>0</v>
      </c>
      <c r="G19" s="46" t="n">
        <f aca="false">SUMIFS('Additions (monthly)'!$E$2:$E$106,'Additions (monthly)'!$D$2:$D$106,G$2,'Additions (monthly)'!$B$2:$B$106,"&lt;="&amp;$B19)</f>
        <v>0</v>
      </c>
      <c r="H19" s="46" t="n">
        <f aca="false">SUMIFS('Additions (monthly)'!$E$2:$E$106,'Additions (monthly)'!$D$2:$D$106,H$2,'Additions (monthly)'!$B$2:$B$106,"&lt;="&amp;$B19)</f>
        <v>0</v>
      </c>
      <c r="I19" s="46" t="n">
        <f aca="false">SUMIFS('Additions (monthly)'!$E$2:$E$106,'Additions (monthly)'!$D$2:$D$106,I$2,'Additions (monthly)'!$B$2:$B$106,"&lt;="&amp;$B19)</f>
        <v>0</v>
      </c>
      <c r="J19" s="46" t="n">
        <f aca="false">SUMIFS('Additions (monthly)'!$E$2:$E$106,'Additions (monthly)'!$D$2:$D$106,J$2,'Additions (monthly)'!$B$2:$B$106,"&lt;="&amp;$B19)</f>
        <v>3.7</v>
      </c>
      <c r="K19" s="46" t="n">
        <f aca="false">SUMIFS('Additions (monthly)'!$E$2:$E$106,'Additions (monthly)'!$D$2:$D$106,K$2,'Additions (monthly)'!$B$2:$B$106,"&lt;="&amp;$B19)</f>
        <v>0</v>
      </c>
      <c r="L19" s="46" t="n">
        <f aca="false">SUMIFS('Additions (monthly)'!$E$2:$E$106,'Additions (monthly)'!$D$2:$D$106,L$2,'Additions (monthly)'!$B$2:$B$106,"&lt;="&amp;$B19)</f>
        <v>0</v>
      </c>
      <c r="M19" s="46" t="n">
        <f aca="false">SUMIFS('Additions (monthly)'!$E$2:$E$106,'Additions (monthly)'!$D$2:$D$106,M$2,'Additions (monthly)'!$B$2:$B$106,"&lt;="&amp;$B19)</f>
        <v>0</v>
      </c>
      <c r="N19" s="46" t="n">
        <f aca="false">SUMIFS('Additions (monthly)'!$E$2:$E$106,'Additions (monthly)'!$D$2:$D$106,N$2,'Additions (monthly)'!$B$2:$B$106,"&lt;="&amp;$B19)</f>
        <v>14.2</v>
      </c>
      <c r="O19" s="46" t="n">
        <f aca="false">SUMIFS('Additions (monthly)'!$E$2:$E$106,'Additions (monthly)'!$D$2:$D$106,O$2,'Additions (monthly)'!$B$2:$B$106,"&lt;="&amp;$B19)</f>
        <v>0</v>
      </c>
      <c r="P19" s="46" t="n">
        <f aca="false">SUMIFS('Additions (monthly)'!$E$2:$E$106,'Additions (monthly)'!$D$2:$D$106,P$2,'Additions (monthly)'!$B$2:$B$106,"&lt;="&amp;$B19)</f>
        <v>0</v>
      </c>
      <c r="Q19" s="46" t="n">
        <f aca="false">SUMIFS('Additions (monthly)'!$E$2:$E$106,'Additions (monthly)'!$D$2:$D$106,Q$2,'Additions (monthly)'!$B$2:$B$106,"&lt;="&amp;$B19)</f>
        <v>0</v>
      </c>
      <c r="R19" s="46" t="n">
        <f aca="false">SUMIFS('Additions (monthly)'!$E$2:$E$106,'Additions (monthly)'!$D$2:$D$106,R$2,'Additions (monthly)'!$B$2:$B$106,"&lt;="&amp;$B19)</f>
        <v>0</v>
      </c>
      <c r="S19" s="46" t="n">
        <f aca="false">SUMIFS('Additions (monthly)'!$E$2:$E$106,'Additions (monthly)'!$D$2:$D$106,S$2,'Additions (monthly)'!$B$2:$B$106,"&lt;="&amp;$B19)</f>
        <v>7.2</v>
      </c>
      <c r="T19" s="46" t="n">
        <f aca="false">SUMIFS('Additions (monthly)'!$E$2:$E$106,'Additions (monthly)'!$D$2:$D$106,T$2,'Additions (monthly)'!$B$2:$B$106,"&lt;="&amp;$B19)</f>
        <v>0</v>
      </c>
      <c r="U19" s="46" t="n">
        <f aca="false">SUMIFS('Additions (monthly)'!$E$2:$E$106,'Additions (monthly)'!$D$2:$D$106,U$2,'Additions (monthly)'!$B$2:$B$106,"&lt;="&amp;$B19)</f>
        <v>0</v>
      </c>
      <c r="V19" s="46" t="n">
        <f aca="false">SUMIFS('Additions (monthly)'!$E$2:$E$106,'Additions (monthly)'!$D$2:$D$106,V$2,'Additions (monthly)'!$B$2:$B$106,"&lt;="&amp;$B19)</f>
        <v>3.87</v>
      </c>
      <c r="W19" s="46" t="n">
        <f aca="false">SUMIFS('Additions (monthly)'!$E$2:$E$106,'Additions (monthly)'!$D$2:$D$106,W$2,'Additions (monthly)'!$B$2:$B$106,"&lt;="&amp;$B19)</f>
        <v>0</v>
      </c>
      <c r="X19" s="46" t="n">
        <f aca="false">SUMIFS('Additions (monthly)'!$E$2:$E$106,'Additions (monthly)'!$D$2:$D$106,X$2,'Additions (monthly)'!$B$2:$B$106,"&lt;="&amp;$B19)</f>
        <v>0</v>
      </c>
      <c r="Y19" s="46" t="n">
        <f aca="false">SUMIFS('Additions (monthly)'!$E$2:$E$106,'Additions (monthly)'!$D$2:$D$106,Y$2,'Additions (monthly)'!$B$2:$B$106,"&lt;="&amp;$B19)</f>
        <v>5</v>
      </c>
      <c r="Z19" s="46" t="n">
        <f aca="false">SUMIFS('Additions (monthly)'!$E$2:$E$106,'Additions (monthly)'!$D$2:$D$106,Z$2,'Additions (monthly)'!$B$2:$B$106,"&lt;="&amp;$B19)</f>
        <v>7.2</v>
      </c>
      <c r="AA19" s="46" t="n">
        <f aca="false">SUMIFS('Additions (monthly)'!$E$2:$E$106,'Additions (monthly)'!$D$2:$D$106,AA$2,'Additions (monthly)'!$B$2:$B$106,"&lt;="&amp;$B19)</f>
        <v>3.7</v>
      </c>
      <c r="AB19" s="46" t="n">
        <f aca="false">SUMIFS('Additions (monthly)'!$E$2:$E$106,'Additions (monthly)'!$D$2:$D$106,AB$2,'Additions (monthly)'!$B$2:$B$106,"&lt;="&amp;$B19)</f>
        <v>16.95</v>
      </c>
      <c r="AC19" s="46" t="n">
        <f aca="false">SUMIFS('Additions (monthly)'!$E$2:$E$106,'Additions (monthly)'!$D$2:$D$106,AC$2,'Additions (monthly)'!$B$2:$B$106,"&lt;="&amp;$B19)</f>
        <v>0</v>
      </c>
      <c r="AD19" s="46" t="n">
        <f aca="false">SUMIFS('Additions (monthly)'!$E$2:$E$106,'Additions (monthly)'!$D$2:$D$106,AD$2,'Additions (monthly)'!$B$2:$B$106,"&lt;="&amp;$B19)</f>
        <v>7.6</v>
      </c>
      <c r="AE19" s="46" t="n">
        <f aca="false">SUMIFS('Additions (monthly)'!$E$2:$E$106,'Additions (monthly)'!$D$2:$D$106,AE$2,'Additions (monthly)'!$B$2:$B$106,"&lt;="&amp;$B19)</f>
        <v>25.7</v>
      </c>
      <c r="AF19" s="46" t="n">
        <f aca="false">SUMIFS('Additions (monthly)'!$E$2:$E$106,'Additions (monthly)'!$D$2:$D$106,AF$2,'Additions (monthly)'!$B$2:$B$106,"&lt;="&amp;$B19)</f>
        <v>0</v>
      </c>
      <c r="AG19" s="46" t="n">
        <f aca="false">SUMIFS('Additions (monthly)'!$E$2:$E$106,'Additions (monthly)'!$D$2:$D$106,AG$2,'Additions (monthly)'!$B$2:$B$106,"&lt;="&amp;$B19)</f>
        <v>0</v>
      </c>
      <c r="AH19" s="46" t="n">
        <f aca="false">SUMIFS('Additions (monthly)'!$E$2:$E$106,'Additions (monthly)'!$D$2:$D$106,AH$2,'Additions (monthly)'!$B$2:$B$106,"&lt;="&amp;$B19)</f>
        <v>0</v>
      </c>
      <c r="AI19" s="46" t="n">
        <f aca="false">SUMIFS('Additions (monthly)'!$E$2:$E$106,'Additions (monthly)'!$D$2:$D$106,AI$2,'Additions (monthly)'!$B$2:$B$106,"&lt;="&amp;$B19)</f>
        <v>0</v>
      </c>
      <c r="AJ19" s="46" t="n">
        <f aca="false">SUMIFS('Additions (monthly)'!$E$2:$E$106,'Additions (monthly)'!$D$2:$D$106,AJ$2,'Additions (monthly)'!$B$2:$B$106,"&lt;="&amp;$B19)</f>
        <v>0</v>
      </c>
      <c r="AK19" s="46" t="n">
        <f aca="false">SUMIFS('Additions (monthly)'!$E$2:$E$106,'Additions (monthly)'!$D$2:$D$106,AK$2,'Additions (monthly)'!$B$2:$B$106,"&lt;="&amp;$B19)</f>
        <v>0</v>
      </c>
      <c r="AL19" s="46" t="n">
        <f aca="false">SUMIFS('Additions (monthly)'!$E$2:$E$106,'Additions (monthly)'!$D$2:$D$106,AL$2,'Additions (monthly)'!$B$2:$B$106,"&lt;="&amp;$B19)</f>
        <v>22.2</v>
      </c>
      <c r="AM19" s="46" t="n">
        <f aca="false">SUMIFS('Additions (monthly)'!$E$2:$E$106,'Additions (monthly)'!$D$2:$D$106,AM$2,'Additions (monthly)'!$B$2:$B$106,"&lt;="&amp;$B19)</f>
        <v>0.3</v>
      </c>
      <c r="AN19" s="46" t="n">
        <f aca="false">SUMIFS('Additions (monthly)'!$E$2:$E$106,'Additions (monthly)'!$D$2:$D$106,AN$2,'Additions (monthly)'!$B$2:$B$106,"&lt;="&amp;$B19)</f>
        <v>4.3</v>
      </c>
      <c r="AO19" s="46" t="n">
        <f aca="false">SUMIFS('Additions (monthly)'!$E$2:$E$106,'Additions (monthly)'!$D$2:$D$106,AO$2,'Additions (monthly)'!$B$2:$B$106,"&lt;="&amp;$B19)</f>
        <v>10.4</v>
      </c>
      <c r="AP19" s="46" t="n">
        <f aca="false">SUMIFS('Additions (monthly)'!$E$2:$E$106,'Additions (monthly)'!$D$2:$D$106,AP$2,'Additions (monthly)'!$B$2:$B$106,"&lt;="&amp;$B19)</f>
        <v>0</v>
      </c>
      <c r="AQ19" s="46" t="n">
        <f aca="false">SUMIFS('Additions (monthly)'!$E$2:$E$106,'Additions (monthly)'!$D$2:$D$106,AQ$2,'Additions (monthly)'!$B$2:$B$106,"&lt;="&amp;$B19)</f>
        <v>4.45</v>
      </c>
      <c r="AR19" s="46" t="n">
        <f aca="false">SUMIFS('Additions (monthly)'!$E$2:$E$106,'Additions (monthly)'!$D$2:$D$106,AR$2,'Additions (monthly)'!$B$2:$B$106,"&lt;="&amp;$B19)</f>
        <v>77.1</v>
      </c>
      <c r="AS19" s="46" t="n">
        <f aca="false">SUMIFS('Additions (monthly)'!$E$2:$E$106,'Additions (monthly)'!$D$2:$D$106,AS$2,'Additions (monthly)'!$B$2:$B$106,"&lt;="&amp;$B19)</f>
        <v>0</v>
      </c>
      <c r="AT19" s="46" t="n">
        <f aca="false">SUMIFS('Additions (monthly)'!$E$2:$E$106,'Additions (monthly)'!$D$2:$D$106,AT$2,'Additions (monthly)'!$B$2:$B$106,"&lt;="&amp;$B19)</f>
        <v>0</v>
      </c>
      <c r="AU19" s="46" t="n">
        <f aca="false">SUMIFS('Additions (monthly)'!$E$2:$E$106,'Additions (monthly)'!$D$2:$D$106,AU$2,'Additions (monthly)'!$B$2:$B$106,"&lt;="&amp;$B19)</f>
        <v>9.6</v>
      </c>
      <c r="AV19" s="46" t="n">
        <f aca="false">SUMIFS('Additions (monthly)'!$E$2:$E$106,'Additions (monthly)'!$D$2:$D$106,AV$2,'Additions (monthly)'!$B$2:$B$106,"&lt;="&amp;$B19)</f>
        <v>0</v>
      </c>
      <c r="AW19" s="46" t="n">
        <f aca="false">SUMIFS('Additions (monthly)'!$E$2:$E$106,'Additions (monthly)'!$D$2:$D$106,AW$2,'Additions (monthly)'!$B$2:$B$106,"&lt;="&amp;$B19)</f>
        <v>0</v>
      </c>
      <c r="AX19" s="46" t="n">
        <f aca="false">SUMIFS('Additions (monthly)'!$E$2:$E$106,'Additions (monthly)'!$D$2:$D$106,AX$2,'Additions (monthly)'!$B$2:$B$106,"&lt;="&amp;$B19)</f>
        <v>11.8</v>
      </c>
      <c r="AY19" s="46" t="n">
        <f aca="false">SUMIFS('Additions (monthly)'!$E$2:$E$106,'Additions (monthly)'!$D$2:$D$106,AY$2,'Additions (monthly)'!$B$2:$B$106,"&lt;="&amp;$B19)</f>
        <v>5.3</v>
      </c>
      <c r="AZ19" s="46" t="n">
        <f aca="false">SUMIFS('Additions (monthly)'!$E$2:$E$106,'Additions (monthly)'!$D$2:$D$106,AZ$2,'Additions (monthly)'!$B$2:$B$106,"&lt;="&amp;$B19)</f>
        <v>0</v>
      </c>
      <c r="BA19" s="46" t="n">
        <f aca="false">SUMIFS('Additions (monthly)'!$E$2:$E$106,'Additions (monthly)'!$D$2:$D$106,BA$2,'Additions (monthly)'!$B$2:$B$106,"&lt;="&amp;$B19)</f>
        <v>0</v>
      </c>
      <c r="BB19" s="46" t="n">
        <f aca="false">SUMIFS('Additions (monthly)'!$E$2:$E$106,'Additions (monthly)'!$D$2:$D$106,BB$2,'Additions (monthly)'!$B$2:$B$106,"&lt;="&amp;$B19)</f>
        <v>0</v>
      </c>
      <c r="BC19" s="46" t="n">
        <f aca="false">SUMIFS('Additions (monthly)'!$E$2:$E$106,'Additions (monthly)'!$D$2:$D$106,BC$2,'Additions (monthly)'!$B$2:$B$106,"&lt;="&amp;$B19)</f>
        <v>0</v>
      </c>
      <c r="BD19" s="46" t="n">
        <f aca="false">SUMIFS('Additions (monthly)'!$E$2:$E$106,'Additions (monthly)'!$D$2:$D$106,BD$2,'Additions (monthly)'!$B$2:$B$106,"&lt;="&amp;$B19)</f>
        <v>0</v>
      </c>
      <c r="BE19" s="46" t="n">
        <f aca="false">SUMIFS('Additions (monthly)'!$E$2:$E$106,'Additions (monthly)'!$D$2:$D$106,BE$2,'Additions (monthly)'!$B$2:$B$106,"&lt;="&amp;$B19)</f>
        <v>0</v>
      </c>
      <c r="BF19" s="46" t="n">
        <f aca="false">SUMIFS('Additions (monthly)'!$E$2:$E$106,'Additions (monthly)'!$D$2:$D$106,BF$2,'Additions (monthly)'!$B$2:$B$106,"&lt;="&amp;$B19)</f>
        <v>0</v>
      </c>
      <c r="BG19" s="46" t="n">
        <f aca="false">SUMIFS('Additions (monthly)'!$E$2:$E$106,'Additions (monthly)'!$D$2:$D$106,BG$2,'Additions (monthly)'!$B$2:$B$106,"&lt;="&amp;$B19)</f>
        <v>0</v>
      </c>
      <c r="BH19" s="46" t="n">
        <f aca="false">SUMIFS('Additions (monthly)'!$E$2:$E$106,'Additions (monthly)'!$D$2:$D$106,BH$2,'Additions (monthly)'!$B$2:$B$106,"&lt;="&amp;$B19)</f>
        <v>0</v>
      </c>
      <c r="BI19" s="46" t="n">
        <f aca="false">SUMIFS('Additions (monthly)'!$E$2:$E$106,'Additions (monthly)'!$D$2:$D$106,BI$2,'Additions (monthly)'!$B$2:$B$106,"&lt;="&amp;$B19)</f>
        <v>6.7</v>
      </c>
    </row>
    <row r="20" customFormat="false" ht="15" hidden="false" customHeight="false" outlineLevel="0" collapsed="false">
      <c r="A20" s="44" t="n">
        <v>40695</v>
      </c>
      <c r="B20" s="45" t="n">
        <v>201106</v>
      </c>
      <c r="C20" s="42" t="n">
        <f aca="false">SUMIFS('Additions (monthly)'!$E$2:$E$106,'Additions (monthly)'!$B$2:$B$106,"&lt;="&amp;$B20)</f>
        <v>263.57</v>
      </c>
      <c r="D20" s="46" t="n">
        <f aca="false">SUMIFS('Additions (monthly)'!$E$2:$E$106,'Additions (monthly)'!$D$2:$D$106,D$2,'Additions (monthly)'!$B$2:$B$106,"&lt;="&amp;$B20)</f>
        <v>7.9</v>
      </c>
      <c r="E20" s="46" t="n">
        <f aca="false">SUMIFS('Additions (monthly)'!$E$2:$E$106,'Additions (monthly)'!$D$2:$D$106,E$2,'Additions (monthly)'!$B$2:$B$106,"&lt;="&amp;$B20)</f>
        <v>8.4</v>
      </c>
      <c r="F20" s="46" t="n">
        <f aca="false">SUMIFS('Additions (monthly)'!$E$2:$E$106,'Additions (monthly)'!$D$2:$D$106,F$2,'Additions (monthly)'!$B$2:$B$106,"&lt;="&amp;$B20)</f>
        <v>0</v>
      </c>
      <c r="G20" s="46" t="n">
        <f aca="false">SUMIFS('Additions (monthly)'!$E$2:$E$106,'Additions (monthly)'!$D$2:$D$106,G$2,'Additions (monthly)'!$B$2:$B$106,"&lt;="&amp;$B20)</f>
        <v>0</v>
      </c>
      <c r="H20" s="46" t="n">
        <f aca="false">SUMIFS('Additions (monthly)'!$E$2:$E$106,'Additions (monthly)'!$D$2:$D$106,H$2,'Additions (monthly)'!$B$2:$B$106,"&lt;="&amp;$B20)</f>
        <v>0</v>
      </c>
      <c r="I20" s="46" t="n">
        <f aca="false">SUMIFS('Additions (monthly)'!$E$2:$E$106,'Additions (monthly)'!$D$2:$D$106,I$2,'Additions (monthly)'!$B$2:$B$106,"&lt;="&amp;$B20)</f>
        <v>0</v>
      </c>
      <c r="J20" s="46" t="n">
        <f aca="false">SUMIFS('Additions (monthly)'!$E$2:$E$106,'Additions (monthly)'!$D$2:$D$106,J$2,'Additions (monthly)'!$B$2:$B$106,"&lt;="&amp;$B20)</f>
        <v>3.7</v>
      </c>
      <c r="K20" s="46" t="n">
        <f aca="false">SUMIFS('Additions (monthly)'!$E$2:$E$106,'Additions (monthly)'!$D$2:$D$106,K$2,'Additions (monthly)'!$B$2:$B$106,"&lt;="&amp;$B20)</f>
        <v>0</v>
      </c>
      <c r="L20" s="46" t="n">
        <f aca="false">SUMIFS('Additions (monthly)'!$E$2:$E$106,'Additions (monthly)'!$D$2:$D$106,L$2,'Additions (monthly)'!$B$2:$B$106,"&lt;="&amp;$B20)</f>
        <v>0</v>
      </c>
      <c r="M20" s="46" t="n">
        <f aca="false">SUMIFS('Additions (monthly)'!$E$2:$E$106,'Additions (monthly)'!$D$2:$D$106,M$2,'Additions (monthly)'!$B$2:$B$106,"&lt;="&amp;$B20)</f>
        <v>0</v>
      </c>
      <c r="N20" s="46" t="n">
        <f aca="false">SUMIFS('Additions (monthly)'!$E$2:$E$106,'Additions (monthly)'!$D$2:$D$106,N$2,'Additions (monthly)'!$B$2:$B$106,"&lt;="&amp;$B20)</f>
        <v>14.2</v>
      </c>
      <c r="O20" s="46" t="n">
        <f aca="false">SUMIFS('Additions (monthly)'!$E$2:$E$106,'Additions (monthly)'!$D$2:$D$106,O$2,'Additions (monthly)'!$B$2:$B$106,"&lt;="&amp;$B20)</f>
        <v>0</v>
      </c>
      <c r="P20" s="46" t="n">
        <f aca="false">SUMIFS('Additions (monthly)'!$E$2:$E$106,'Additions (monthly)'!$D$2:$D$106,P$2,'Additions (monthly)'!$B$2:$B$106,"&lt;="&amp;$B20)</f>
        <v>0</v>
      </c>
      <c r="Q20" s="46" t="n">
        <f aca="false">SUMIFS('Additions (monthly)'!$E$2:$E$106,'Additions (monthly)'!$D$2:$D$106,Q$2,'Additions (monthly)'!$B$2:$B$106,"&lt;="&amp;$B20)</f>
        <v>0</v>
      </c>
      <c r="R20" s="46" t="n">
        <f aca="false">SUMIFS('Additions (monthly)'!$E$2:$E$106,'Additions (monthly)'!$D$2:$D$106,R$2,'Additions (monthly)'!$B$2:$B$106,"&lt;="&amp;$B20)</f>
        <v>0</v>
      </c>
      <c r="S20" s="46" t="n">
        <f aca="false">SUMIFS('Additions (monthly)'!$E$2:$E$106,'Additions (monthly)'!$D$2:$D$106,S$2,'Additions (monthly)'!$B$2:$B$106,"&lt;="&amp;$B20)</f>
        <v>7.2</v>
      </c>
      <c r="T20" s="46" t="n">
        <f aca="false">SUMIFS('Additions (monthly)'!$E$2:$E$106,'Additions (monthly)'!$D$2:$D$106,T$2,'Additions (monthly)'!$B$2:$B$106,"&lt;="&amp;$B20)</f>
        <v>0</v>
      </c>
      <c r="U20" s="46" t="n">
        <f aca="false">SUMIFS('Additions (monthly)'!$E$2:$E$106,'Additions (monthly)'!$D$2:$D$106,U$2,'Additions (monthly)'!$B$2:$B$106,"&lt;="&amp;$B20)</f>
        <v>0</v>
      </c>
      <c r="V20" s="46" t="n">
        <f aca="false">SUMIFS('Additions (monthly)'!$E$2:$E$106,'Additions (monthly)'!$D$2:$D$106,V$2,'Additions (monthly)'!$B$2:$B$106,"&lt;="&amp;$B20)</f>
        <v>3.87</v>
      </c>
      <c r="W20" s="46" t="n">
        <f aca="false">SUMIFS('Additions (monthly)'!$E$2:$E$106,'Additions (monthly)'!$D$2:$D$106,W$2,'Additions (monthly)'!$B$2:$B$106,"&lt;="&amp;$B20)</f>
        <v>0</v>
      </c>
      <c r="X20" s="46" t="n">
        <f aca="false">SUMIFS('Additions (monthly)'!$E$2:$E$106,'Additions (monthly)'!$D$2:$D$106,X$2,'Additions (monthly)'!$B$2:$B$106,"&lt;="&amp;$B20)</f>
        <v>0</v>
      </c>
      <c r="Y20" s="46" t="n">
        <f aca="false">SUMIFS('Additions (monthly)'!$E$2:$E$106,'Additions (monthly)'!$D$2:$D$106,Y$2,'Additions (monthly)'!$B$2:$B$106,"&lt;="&amp;$B20)</f>
        <v>5</v>
      </c>
      <c r="Z20" s="46" t="n">
        <f aca="false">SUMIFS('Additions (monthly)'!$E$2:$E$106,'Additions (monthly)'!$D$2:$D$106,Z$2,'Additions (monthly)'!$B$2:$B$106,"&lt;="&amp;$B20)</f>
        <v>7.2</v>
      </c>
      <c r="AA20" s="46" t="n">
        <f aca="false">SUMIFS('Additions (monthly)'!$E$2:$E$106,'Additions (monthly)'!$D$2:$D$106,AA$2,'Additions (monthly)'!$B$2:$B$106,"&lt;="&amp;$B20)</f>
        <v>3.7</v>
      </c>
      <c r="AB20" s="46" t="n">
        <f aca="false">SUMIFS('Additions (monthly)'!$E$2:$E$106,'Additions (monthly)'!$D$2:$D$106,AB$2,'Additions (monthly)'!$B$2:$B$106,"&lt;="&amp;$B20)</f>
        <v>16.95</v>
      </c>
      <c r="AC20" s="46" t="n">
        <f aca="false">SUMIFS('Additions (monthly)'!$E$2:$E$106,'Additions (monthly)'!$D$2:$D$106,AC$2,'Additions (monthly)'!$B$2:$B$106,"&lt;="&amp;$B20)</f>
        <v>0</v>
      </c>
      <c r="AD20" s="46" t="n">
        <f aca="false">SUMIFS('Additions (monthly)'!$E$2:$E$106,'Additions (monthly)'!$D$2:$D$106,AD$2,'Additions (monthly)'!$B$2:$B$106,"&lt;="&amp;$B20)</f>
        <v>7.6</v>
      </c>
      <c r="AE20" s="46" t="n">
        <f aca="false">SUMIFS('Additions (monthly)'!$E$2:$E$106,'Additions (monthly)'!$D$2:$D$106,AE$2,'Additions (monthly)'!$B$2:$B$106,"&lt;="&amp;$B20)</f>
        <v>25.7</v>
      </c>
      <c r="AF20" s="46" t="n">
        <f aca="false">SUMIFS('Additions (monthly)'!$E$2:$E$106,'Additions (monthly)'!$D$2:$D$106,AF$2,'Additions (monthly)'!$B$2:$B$106,"&lt;="&amp;$B20)</f>
        <v>0</v>
      </c>
      <c r="AG20" s="46" t="n">
        <f aca="false">SUMIFS('Additions (monthly)'!$E$2:$E$106,'Additions (monthly)'!$D$2:$D$106,AG$2,'Additions (monthly)'!$B$2:$B$106,"&lt;="&amp;$B20)</f>
        <v>0</v>
      </c>
      <c r="AH20" s="46" t="n">
        <f aca="false">SUMIFS('Additions (monthly)'!$E$2:$E$106,'Additions (monthly)'!$D$2:$D$106,AH$2,'Additions (monthly)'!$B$2:$B$106,"&lt;="&amp;$B20)</f>
        <v>0</v>
      </c>
      <c r="AI20" s="46" t="n">
        <f aca="false">SUMIFS('Additions (monthly)'!$E$2:$E$106,'Additions (monthly)'!$D$2:$D$106,AI$2,'Additions (monthly)'!$B$2:$B$106,"&lt;="&amp;$B20)</f>
        <v>0</v>
      </c>
      <c r="AJ20" s="46" t="n">
        <f aca="false">SUMIFS('Additions (monthly)'!$E$2:$E$106,'Additions (monthly)'!$D$2:$D$106,AJ$2,'Additions (monthly)'!$B$2:$B$106,"&lt;="&amp;$B20)</f>
        <v>0</v>
      </c>
      <c r="AK20" s="46" t="n">
        <f aca="false">SUMIFS('Additions (monthly)'!$E$2:$E$106,'Additions (monthly)'!$D$2:$D$106,AK$2,'Additions (monthly)'!$B$2:$B$106,"&lt;="&amp;$B20)</f>
        <v>0</v>
      </c>
      <c r="AL20" s="46" t="n">
        <f aca="false">SUMIFS('Additions (monthly)'!$E$2:$E$106,'Additions (monthly)'!$D$2:$D$106,AL$2,'Additions (monthly)'!$B$2:$B$106,"&lt;="&amp;$B20)</f>
        <v>22.2</v>
      </c>
      <c r="AM20" s="46" t="n">
        <f aca="false">SUMIFS('Additions (monthly)'!$E$2:$E$106,'Additions (monthly)'!$D$2:$D$106,AM$2,'Additions (monthly)'!$B$2:$B$106,"&lt;="&amp;$B20)</f>
        <v>0.3</v>
      </c>
      <c r="AN20" s="46" t="n">
        <f aca="false">SUMIFS('Additions (monthly)'!$E$2:$E$106,'Additions (monthly)'!$D$2:$D$106,AN$2,'Additions (monthly)'!$B$2:$B$106,"&lt;="&amp;$B20)</f>
        <v>4.3</v>
      </c>
      <c r="AO20" s="46" t="n">
        <f aca="false">SUMIFS('Additions (monthly)'!$E$2:$E$106,'Additions (monthly)'!$D$2:$D$106,AO$2,'Additions (monthly)'!$B$2:$B$106,"&lt;="&amp;$B20)</f>
        <v>10.4</v>
      </c>
      <c r="AP20" s="46" t="n">
        <f aca="false">SUMIFS('Additions (monthly)'!$E$2:$E$106,'Additions (monthly)'!$D$2:$D$106,AP$2,'Additions (monthly)'!$B$2:$B$106,"&lt;="&amp;$B20)</f>
        <v>0</v>
      </c>
      <c r="AQ20" s="46" t="n">
        <f aca="false">SUMIFS('Additions (monthly)'!$E$2:$E$106,'Additions (monthly)'!$D$2:$D$106,AQ$2,'Additions (monthly)'!$B$2:$B$106,"&lt;="&amp;$B20)</f>
        <v>4.45</v>
      </c>
      <c r="AR20" s="46" t="n">
        <f aca="false">SUMIFS('Additions (monthly)'!$E$2:$E$106,'Additions (monthly)'!$D$2:$D$106,AR$2,'Additions (monthly)'!$B$2:$B$106,"&lt;="&amp;$B20)</f>
        <v>77.1</v>
      </c>
      <c r="AS20" s="46" t="n">
        <f aca="false">SUMIFS('Additions (monthly)'!$E$2:$E$106,'Additions (monthly)'!$D$2:$D$106,AS$2,'Additions (monthly)'!$B$2:$B$106,"&lt;="&amp;$B20)</f>
        <v>0</v>
      </c>
      <c r="AT20" s="46" t="n">
        <f aca="false">SUMIFS('Additions (monthly)'!$E$2:$E$106,'Additions (monthly)'!$D$2:$D$106,AT$2,'Additions (monthly)'!$B$2:$B$106,"&lt;="&amp;$B20)</f>
        <v>0</v>
      </c>
      <c r="AU20" s="46" t="n">
        <f aca="false">SUMIFS('Additions (monthly)'!$E$2:$E$106,'Additions (monthly)'!$D$2:$D$106,AU$2,'Additions (monthly)'!$B$2:$B$106,"&lt;="&amp;$B20)</f>
        <v>9.6</v>
      </c>
      <c r="AV20" s="46" t="n">
        <f aca="false">SUMIFS('Additions (monthly)'!$E$2:$E$106,'Additions (monthly)'!$D$2:$D$106,AV$2,'Additions (monthly)'!$B$2:$B$106,"&lt;="&amp;$B20)</f>
        <v>0</v>
      </c>
      <c r="AW20" s="46" t="n">
        <f aca="false">SUMIFS('Additions (monthly)'!$E$2:$E$106,'Additions (monthly)'!$D$2:$D$106,AW$2,'Additions (monthly)'!$B$2:$B$106,"&lt;="&amp;$B20)</f>
        <v>0</v>
      </c>
      <c r="AX20" s="46" t="n">
        <f aca="false">SUMIFS('Additions (monthly)'!$E$2:$E$106,'Additions (monthly)'!$D$2:$D$106,AX$2,'Additions (monthly)'!$B$2:$B$106,"&lt;="&amp;$B20)</f>
        <v>11.8</v>
      </c>
      <c r="AY20" s="46" t="n">
        <f aca="false">SUMIFS('Additions (monthly)'!$E$2:$E$106,'Additions (monthly)'!$D$2:$D$106,AY$2,'Additions (monthly)'!$B$2:$B$106,"&lt;="&amp;$B20)</f>
        <v>5.3</v>
      </c>
      <c r="AZ20" s="46" t="n">
        <f aca="false">SUMIFS('Additions (monthly)'!$E$2:$E$106,'Additions (monthly)'!$D$2:$D$106,AZ$2,'Additions (monthly)'!$B$2:$B$106,"&lt;="&amp;$B20)</f>
        <v>0</v>
      </c>
      <c r="BA20" s="46" t="n">
        <f aca="false">SUMIFS('Additions (monthly)'!$E$2:$E$106,'Additions (monthly)'!$D$2:$D$106,BA$2,'Additions (monthly)'!$B$2:$B$106,"&lt;="&amp;$B20)</f>
        <v>0</v>
      </c>
      <c r="BB20" s="46" t="n">
        <f aca="false">SUMIFS('Additions (monthly)'!$E$2:$E$106,'Additions (monthly)'!$D$2:$D$106,BB$2,'Additions (monthly)'!$B$2:$B$106,"&lt;="&amp;$B20)</f>
        <v>0</v>
      </c>
      <c r="BC20" s="46" t="n">
        <f aca="false">SUMIFS('Additions (monthly)'!$E$2:$E$106,'Additions (monthly)'!$D$2:$D$106,BC$2,'Additions (monthly)'!$B$2:$B$106,"&lt;="&amp;$B20)</f>
        <v>0</v>
      </c>
      <c r="BD20" s="46" t="n">
        <f aca="false">SUMIFS('Additions (monthly)'!$E$2:$E$106,'Additions (monthly)'!$D$2:$D$106,BD$2,'Additions (monthly)'!$B$2:$B$106,"&lt;="&amp;$B20)</f>
        <v>0</v>
      </c>
      <c r="BE20" s="46" t="n">
        <f aca="false">SUMIFS('Additions (monthly)'!$E$2:$E$106,'Additions (monthly)'!$D$2:$D$106,BE$2,'Additions (monthly)'!$B$2:$B$106,"&lt;="&amp;$B20)</f>
        <v>0</v>
      </c>
      <c r="BF20" s="46" t="n">
        <f aca="false">SUMIFS('Additions (monthly)'!$E$2:$E$106,'Additions (monthly)'!$D$2:$D$106,BF$2,'Additions (monthly)'!$B$2:$B$106,"&lt;="&amp;$B20)</f>
        <v>0</v>
      </c>
      <c r="BG20" s="46" t="n">
        <f aca="false">SUMIFS('Additions (monthly)'!$E$2:$E$106,'Additions (monthly)'!$D$2:$D$106,BG$2,'Additions (monthly)'!$B$2:$B$106,"&lt;="&amp;$B20)</f>
        <v>0</v>
      </c>
      <c r="BH20" s="46" t="n">
        <f aca="false">SUMIFS('Additions (monthly)'!$E$2:$E$106,'Additions (monthly)'!$D$2:$D$106,BH$2,'Additions (monthly)'!$B$2:$B$106,"&lt;="&amp;$B20)</f>
        <v>0</v>
      </c>
      <c r="BI20" s="46" t="n">
        <f aca="false">SUMIFS('Additions (monthly)'!$E$2:$E$106,'Additions (monthly)'!$D$2:$D$106,BI$2,'Additions (monthly)'!$B$2:$B$106,"&lt;="&amp;$B20)</f>
        <v>6.7</v>
      </c>
    </row>
    <row r="21" customFormat="false" ht="15" hidden="false" customHeight="false" outlineLevel="0" collapsed="false">
      <c r="A21" s="44" t="n">
        <v>40725</v>
      </c>
      <c r="B21" s="45" t="n">
        <v>201107</v>
      </c>
      <c r="C21" s="42" t="n">
        <f aca="false">SUMIFS('Additions (monthly)'!$E$2:$E$106,'Additions (monthly)'!$B$2:$B$106,"&lt;="&amp;$B21)</f>
        <v>263.57</v>
      </c>
      <c r="D21" s="46" t="n">
        <f aca="false">SUMIFS('Additions (monthly)'!$E$2:$E$106,'Additions (monthly)'!$D$2:$D$106,D$2,'Additions (monthly)'!$B$2:$B$106,"&lt;="&amp;$B21)</f>
        <v>7.9</v>
      </c>
      <c r="E21" s="46" t="n">
        <f aca="false">SUMIFS('Additions (monthly)'!$E$2:$E$106,'Additions (monthly)'!$D$2:$D$106,E$2,'Additions (monthly)'!$B$2:$B$106,"&lt;="&amp;$B21)</f>
        <v>8.4</v>
      </c>
      <c r="F21" s="46" t="n">
        <f aca="false">SUMIFS('Additions (monthly)'!$E$2:$E$106,'Additions (monthly)'!$D$2:$D$106,F$2,'Additions (monthly)'!$B$2:$B$106,"&lt;="&amp;$B21)</f>
        <v>0</v>
      </c>
      <c r="G21" s="46" t="n">
        <f aca="false">SUMIFS('Additions (monthly)'!$E$2:$E$106,'Additions (monthly)'!$D$2:$D$106,G$2,'Additions (monthly)'!$B$2:$B$106,"&lt;="&amp;$B21)</f>
        <v>0</v>
      </c>
      <c r="H21" s="46" t="n">
        <f aca="false">SUMIFS('Additions (monthly)'!$E$2:$E$106,'Additions (monthly)'!$D$2:$D$106,H$2,'Additions (monthly)'!$B$2:$B$106,"&lt;="&amp;$B21)</f>
        <v>0</v>
      </c>
      <c r="I21" s="46" t="n">
        <f aca="false">SUMIFS('Additions (monthly)'!$E$2:$E$106,'Additions (monthly)'!$D$2:$D$106,I$2,'Additions (monthly)'!$B$2:$B$106,"&lt;="&amp;$B21)</f>
        <v>0</v>
      </c>
      <c r="J21" s="46" t="n">
        <f aca="false">SUMIFS('Additions (monthly)'!$E$2:$E$106,'Additions (monthly)'!$D$2:$D$106,J$2,'Additions (monthly)'!$B$2:$B$106,"&lt;="&amp;$B21)</f>
        <v>3.7</v>
      </c>
      <c r="K21" s="46" t="n">
        <f aca="false">SUMIFS('Additions (monthly)'!$E$2:$E$106,'Additions (monthly)'!$D$2:$D$106,K$2,'Additions (monthly)'!$B$2:$B$106,"&lt;="&amp;$B21)</f>
        <v>0</v>
      </c>
      <c r="L21" s="46" t="n">
        <f aca="false">SUMIFS('Additions (monthly)'!$E$2:$E$106,'Additions (monthly)'!$D$2:$D$106,L$2,'Additions (monthly)'!$B$2:$B$106,"&lt;="&amp;$B21)</f>
        <v>0</v>
      </c>
      <c r="M21" s="46" t="n">
        <f aca="false">SUMIFS('Additions (monthly)'!$E$2:$E$106,'Additions (monthly)'!$D$2:$D$106,M$2,'Additions (monthly)'!$B$2:$B$106,"&lt;="&amp;$B21)</f>
        <v>0</v>
      </c>
      <c r="N21" s="46" t="n">
        <f aca="false">SUMIFS('Additions (monthly)'!$E$2:$E$106,'Additions (monthly)'!$D$2:$D$106,N$2,'Additions (monthly)'!$B$2:$B$106,"&lt;="&amp;$B21)</f>
        <v>14.2</v>
      </c>
      <c r="O21" s="46" t="n">
        <f aca="false">SUMIFS('Additions (monthly)'!$E$2:$E$106,'Additions (monthly)'!$D$2:$D$106,O$2,'Additions (monthly)'!$B$2:$B$106,"&lt;="&amp;$B21)</f>
        <v>0</v>
      </c>
      <c r="P21" s="46" t="n">
        <f aca="false">SUMIFS('Additions (monthly)'!$E$2:$E$106,'Additions (monthly)'!$D$2:$D$106,P$2,'Additions (monthly)'!$B$2:$B$106,"&lt;="&amp;$B21)</f>
        <v>0</v>
      </c>
      <c r="Q21" s="46" t="n">
        <f aca="false">SUMIFS('Additions (monthly)'!$E$2:$E$106,'Additions (monthly)'!$D$2:$D$106,Q$2,'Additions (monthly)'!$B$2:$B$106,"&lt;="&amp;$B21)</f>
        <v>0</v>
      </c>
      <c r="R21" s="46" t="n">
        <f aca="false">SUMIFS('Additions (monthly)'!$E$2:$E$106,'Additions (monthly)'!$D$2:$D$106,R$2,'Additions (monthly)'!$B$2:$B$106,"&lt;="&amp;$B21)</f>
        <v>0</v>
      </c>
      <c r="S21" s="46" t="n">
        <f aca="false">SUMIFS('Additions (monthly)'!$E$2:$E$106,'Additions (monthly)'!$D$2:$D$106,S$2,'Additions (monthly)'!$B$2:$B$106,"&lt;="&amp;$B21)</f>
        <v>7.2</v>
      </c>
      <c r="T21" s="46" t="n">
        <f aca="false">SUMIFS('Additions (monthly)'!$E$2:$E$106,'Additions (monthly)'!$D$2:$D$106,T$2,'Additions (monthly)'!$B$2:$B$106,"&lt;="&amp;$B21)</f>
        <v>0</v>
      </c>
      <c r="U21" s="46" t="n">
        <f aca="false">SUMIFS('Additions (monthly)'!$E$2:$E$106,'Additions (monthly)'!$D$2:$D$106,U$2,'Additions (monthly)'!$B$2:$B$106,"&lt;="&amp;$B21)</f>
        <v>0</v>
      </c>
      <c r="V21" s="46" t="n">
        <f aca="false">SUMIFS('Additions (monthly)'!$E$2:$E$106,'Additions (monthly)'!$D$2:$D$106,V$2,'Additions (monthly)'!$B$2:$B$106,"&lt;="&amp;$B21)</f>
        <v>3.87</v>
      </c>
      <c r="W21" s="46" t="n">
        <f aca="false">SUMIFS('Additions (monthly)'!$E$2:$E$106,'Additions (monthly)'!$D$2:$D$106,W$2,'Additions (monthly)'!$B$2:$B$106,"&lt;="&amp;$B21)</f>
        <v>0</v>
      </c>
      <c r="X21" s="46" t="n">
        <f aca="false">SUMIFS('Additions (monthly)'!$E$2:$E$106,'Additions (monthly)'!$D$2:$D$106,X$2,'Additions (monthly)'!$B$2:$B$106,"&lt;="&amp;$B21)</f>
        <v>0</v>
      </c>
      <c r="Y21" s="46" t="n">
        <f aca="false">SUMIFS('Additions (monthly)'!$E$2:$E$106,'Additions (monthly)'!$D$2:$D$106,Y$2,'Additions (monthly)'!$B$2:$B$106,"&lt;="&amp;$B21)</f>
        <v>5</v>
      </c>
      <c r="Z21" s="46" t="n">
        <f aca="false">SUMIFS('Additions (monthly)'!$E$2:$E$106,'Additions (monthly)'!$D$2:$D$106,Z$2,'Additions (monthly)'!$B$2:$B$106,"&lt;="&amp;$B21)</f>
        <v>7.2</v>
      </c>
      <c r="AA21" s="46" t="n">
        <f aca="false">SUMIFS('Additions (monthly)'!$E$2:$E$106,'Additions (monthly)'!$D$2:$D$106,AA$2,'Additions (monthly)'!$B$2:$B$106,"&lt;="&amp;$B21)</f>
        <v>3.7</v>
      </c>
      <c r="AB21" s="46" t="n">
        <f aca="false">SUMIFS('Additions (monthly)'!$E$2:$E$106,'Additions (monthly)'!$D$2:$D$106,AB$2,'Additions (monthly)'!$B$2:$B$106,"&lt;="&amp;$B21)</f>
        <v>16.95</v>
      </c>
      <c r="AC21" s="46" t="n">
        <f aca="false">SUMIFS('Additions (monthly)'!$E$2:$E$106,'Additions (monthly)'!$D$2:$D$106,AC$2,'Additions (monthly)'!$B$2:$B$106,"&lt;="&amp;$B21)</f>
        <v>0</v>
      </c>
      <c r="AD21" s="46" t="n">
        <f aca="false">SUMIFS('Additions (monthly)'!$E$2:$E$106,'Additions (monthly)'!$D$2:$D$106,AD$2,'Additions (monthly)'!$B$2:$B$106,"&lt;="&amp;$B21)</f>
        <v>7.6</v>
      </c>
      <c r="AE21" s="46" t="n">
        <f aca="false">SUMIFS('Additions (monthly)'!$E$2:$E$106,'Additions (monthly)'!$D$2:$D$106,AE$2,'Additions (monthly)'!$B$2:$B$106,"&lt;="&amp;$B21)</f>
        <v>25.7</v>
      </c>
      <c r="AF21" s="46" t="n">
        <f aca="false">SUMIFS('Additions (monthly)'!$E$2:$E$106,'Additions (monthly)'!$D$2:$D$106,AF$2,'Additions (monthly)'!$B$2:$B$106,"&lt;="&amp;$B21)</f>
        <v>0</v>
      </c>
      <c r="AG21" s="46" t="n">
        <f aca="false">SUMIFS('Additions (monthly)'!$E$2:$E$106,'Additions (monthly)'!$D$2:$D$106,AG$2,'Additions (monthly)'!$B$2:$B$106,"&lt;="&amp;$B21)</f>
        <v>0</v>
      </c>
      <c r="AH21" s="46" t="n">
        <f aca="false">SUMIFS('Additions (monthly)'!$E$2:$E$106,'Additions (monthly)'!$D$2:$D$106,AH$2,'Additions (monthly)'!$B$2:$B$106,"&lt;="&amp;$B21)</f>
        <v>0</v>
      </c>
      <c r="AI21" s="46" t="n">
        <f aca="false">SUMIFS('Additions (monthly)'!$E$2:$E$106,'Additions (monthly)'!$D$2:$D$106,AI$2,'Additions (monthly)'!$B$2:$B$106,"&lt;="&amp;$B21)</f>
        <v>0</v>
      </c>
      <c r="AJ21" s="46" t="n">
        <f aca="false">SUMIFS('Additions (monthly)'!$E$2:$E$106,'Additions (monthly)'!$D$2:$D$106,AJ$2,'Additions (monthly)'!$B$2:$B$106,"&lt;="&amp;$B21)</f>
        <v>0</v>
      </c>
      <c r="AK21" s="46" t="n">
        <f aca="false">SUMIFS('Additions (monthly)'!$E$2:$E$106,'Additions (monthly)'!$D$2:$D$106,AK$2,'Additions (monthly)'!$B$2:$B$106,"&lt;="&amp;$B21)</f>
        <v>0</v>
      </c>
      <c r="AL21" s="46" t="n">
        <f aca="false">SUMIFS('Additions (monthly)'!$E$2:$E$106,'Additions (monthly)'!$D$2:$D$106,AL$2,'Additions (monthly)'!$B$2:$B$106,"&lt;="&amp;$B21)</f>
        <v>22.2</v>
      </c>
      <c r="AM21" s="46" t="n">
        <f aca="false">SUMIFS('Additions (monthly)'!$E$2:$E$106,'Additions (monthly)'!$D$2:$D$106,AM$2,'Additions (monthly)'!$B$2:$B$106,"&lt;="&amp;$B21)</f>
        <v>0.3</v>
      </c>
      <c r="AN21" s="46" t="n">
        <f aca="false">SUMIFS('Additions (monthly)'!$E$2:$E$106,'Additions (monthly)'!$D$2:$D$106,AN$2,'Additions (monthly)'!$B$2:$B$106,"&lt;="&amp;$B21)</f>
        <v>4.3</v>
      </c>
      <c r="AO21" s="46" t="n">
        <f aca="false">SUMIFS('Additions (monthly)'!$E$2:$E$106,'Additions (monthly)'!$D$2:$D$106,AO$2,'Additions (monthly)'!$B$2:$B$106,"&lt;="&amp;$B21)</f>
        <v>10.4</v>
      </c>
      <c r="AP21" s="46" t="n">
        <f aca="false">SUMIFS('Additions (monthly)'!$E$2:$E$106,'Additions (monthly)'!$D$2:$D$106,AP$2,'Additions (monthly)'!$B$2:$B$106,"&lt;="&amp;$B21)</f>
        <v>0</v>
      </c>
      <c r="AQ21" s="46" t="n">
        <f aca="false">SUMIFS('Additions (monthly)'!$E$2:$E$106,'Additions (monthly)'!$D$2:$D$106,AQ$2,'Additions (monthly)'!$B$2:$B$106,"&lt;="&amp;$B21)</f>
        <v>4.45</v>
      </c>
      <c r="AR21" s="46" t="n">
        <f aca="false">SUMIFS('Additions (monthly)'!$E$2:$E$106,'Additions (monthly)'!$D$2:$D$106,AR$2,'Additions (monthly)'!$B$2:$B$106,"&lt;="&amp;$B21)</f>
        <v>77.1</v>
      </c>
      <c r="AS21" s="46" t="n">
        <f aca="false">SUMIFS('Additions (monthly)'!$E$2:$E$106,'Additions (monthly)'!$D$2:$D$106,AS$2,'Additions (monthly)'!$B$2:$B$106,"&lt;="&amp;$B21)</f>
        <v>0</v>
      </c>
      <c r="AT21" s="46" t="n">
        <f aca="false">SUMIFS('Additions (monthly)'!$E$2:$E$106,'Additions (monthly)'!$D$2:$D$106,AT$2,'Additions (monthly)'!$B$2:$B$106,"&lt;="&amp;$B21)</f>
        <v>0</v>
      </c>
      <c r="AU21" s="46" t="n">
        <f aca="false">SUMIFS('Additions (monthly)'!$E$2:$E$106,'Additions (monthly)'!$D$2:$D$106,AU$2,'Additions (monthly)'!$B$2:$B$106,"&lt;="&amp;$B21)</f>
        <v>9.6</v>
      </c>
      <c r="AV21" s="46" t="n">
        <f aca="false">SUMIFS('Additions (monthly)'!$E$2:$E$106,'Additions (monthly)'!$D$2:$D$106,AV$2,'Additions (monthly)'!$B$2:$B$106,"&lt;="&amp;$B21)</f>
        <v>0</v>
      </c>
      <c r="AW21" s="46" t="n">
        <f aca="false">SUMIFS('Additions (monthly)'!$E$2:$E$106,'Additions (monthly)'!$D$2:$D$106,AW$2,'Additions (monthly)'!$B$2:$B$106,"&lt;="&amp;$B21)</f>
        <v>0</v>
      </c>
      <c r="AX21" s="46" t="n">
        <f aca="false">SUMIFS('Additions (monthly)'!$E$2:$E$106,'Additions (monthly)'!$D$2:$D$106,AX$2,'Additions (monthly)'!$B$2:$B$106,"&lt;="&amp;$B21)</f>
        <v>11.8</v>
      </c>
      <c r="AY21" s="46" t="n">
        <f aca="false">SUMIFS('Additions (monthly)'!$E$2:$E$106,'Additions (monthly)'!$D$2:$D$106,AY$2,'Additions (monthly)'!$B$2:$B$106,"&lt;="&amp;$B21)</f>
        <v>5.3</v>
      </c>
      <c r="AZ21" s="46" t="n">
        <f aca="false">SUMIFS('Additions (monthly)'!$E$2:$E$106,'Additions (monthly)'!$D$2:$D$106,AZ$2,'Additions (monthly)'!$B$2:$B$106,"&lt;="&amp;$B21)</f>
        <v>0</v>
      </c>
      <c r="BA21" s="46" t="n">
        <f aca="false">SUMIFS('Additions (monthly)'!$E$2:$E$106,'Additions (monthly)'!$D$2:$D$106,BA$2,'Additions (monthly)'!$B$2:$B$106,"&lt;="&amp;$B21)</f>
        <v>0</v>
      </c>
      <c r="BB21" s="46" t="n">
        <f aca="false">SUMIFS('Additions (monthly)'!$E$2:$E$106,'Additions (monthly)'!$D$2:$D$106,BB$2,'Additions (monthly)'!$B$2:$B$106,"&lt;="&amp;$B21)</f>
        <v>0</v>
      </c>
      <c r="BC21" s="46" t="n">
        <f aca="false">SUMIFS('Additions (monthly)'!$E$2:$E$106,'Additions (monthly)'!$D$2:$D$106,BC$2,'Additions (monthly)'!$B$2:$B$106,"&lt;="&amp;$B21)</f>
        <v>0</v>
      </c>
      <c r="BD21" s="46" t="n">
        <f aca="false">SUMIFS('Additions (monthly)'!$E$2:$E$106,'Additions (monthly)'!$D$2:$D$106,BD$2,'Additions (monthly)'!$B$2:$B$106,"&lt;="&amp;$B21)</f>
        <v>0</v>
      </c>
      <c r="BE21" s="46" t="n">
        <f aca="false">SUMIFS('Additions (monthly)'!$E$2:$E$106,'Additions (monthly)'!$D$2:$D$106,BE$2,'Additions (monthly)'!$B$2:$B$106,"&lt;="&amp;$B21)</f>
        <v>0</v>
      </c>
      <c r="BF21" s="46" t="n">
        <f aca="false">SUMIFS('Additions (monthly)'!$E$2:$E$106,'Additions (monthly)'!$D$2:$D$106,BF$2,'Additions (monthly)'!$B$2:$B$106,"&lt;="&amp;$B21)</f>
        <v>0</v>
      </c>
      <c r="BG21" s="46" t="n">
        <f aca="false">SUMIFS('Additions (monthly)'!$E$2:$E$106,'Additions (monthly)'!$D$2:$D$106,BG$2,'Additions (monthly)'!$B$2:$B$106,"&lt;="&amp;$B21)</f>
        <v>0</v>
      </c>
      <c r="BH21" s="46" t="n">
        <f aca="false">SUMIFS('Additions (monthly)'!$E$2:$E$106,'Additions (monthly)'!$D$2:$D$106,BH$2,'Additions (monthly)'!$B$2:$B$106,"&lt;="&amp;$B21)</f>
        <v>0</v>
      </c>
      <c r="BI21" s="46" t="n">
        <f aca="false">SUMIFS('Additions (monthly)'!$E$2:$E$106,'Additions (monthly)'!$D$2:$D$106,BI$2,'Additions (monthly)'!$B$2:$B$106,"&lt;="&amp;$B21)</f>
        <v>6.7</v>
      </c>
    </row>
    <row r="22" customFormat="false" ht="15" hidden="false" customHeight="false" outlineLevel="0" collapsed="false">
      <c r="A22" s="44" t="n">
        <v>40756</v>
      </c>
      <c r="B22" s="45" t="n">
        <v>201108</v>
      </c>
      <c r="C22" s="42" t="n">
        <f aca="false">SUMIFS('Additions (monthly)'!$E$2:$E$106,'Additions (monthly)'!$B$2:$B$106,"&lt;="&amp;$B22)</f>
        <v>263.57</v>
      </c>
      <c r="D22" s="46" t="n">
        <f aca="false">SUMIFS('Additions (monthly)'!$E$2:$E$106,'Additions (monthly)'!$D$2:$D$106,D$2,'Additions (monthly)'!$B$2:$B$106,"&lt;="&amp;$B22)</f>
        <v>7.9</v>
      </c>
      <c r="E22" s="46" t="n">
        <f aca="false">SUMIFS('Additions (monthly)'!$E$2:$E$106,'Additions (monthly)'!$D$2:$D$106,E$2,'Additions (monthly)'!$B$2:$B$106,"&lt;="&amp;$B22)</f>
        <v>8.4</v>
      </c>
      <c r="F22" s="46" t="n">
        <f aca="false">SUMIFS('Additions (monthly)'!$E$2:$E$106,'Additions (monthly)'!$D$2:$D$106,F$2,'Additions (monthly)'!$B$2:$B$106,"&lt;="&amp;$B22)</f>
        <v>0</v>
      </c>
      <c r="G22" s="46" t="n">
        <f aca="false">SUMIFS('Additions (monthly)'!$E$2:$E$106,'Additions (monthly)'!$D$2:$D$106,G$2,'Additions (monthly)'!$B$2:$B$106,"&lt;="&amp;$B22)</f>
        <v>0</v>
      </c>
      <c r="H22" s="46" t="n">
        <f aca="false">SUMIFS('Additions (monthly)'!$E$2:$E$106,'Additions (monthly)'!$D$2:$D$106,H$2,'Additions (monthly)'!$B$2:$B$106,"&lt;="&amp;$B22)</f>
        <v>0</v>
      </c>
      <c r="I22" s="46" t="n">
        <f aca="false">SUMIFS('Additions (monthly)'!$E$2:$E$106,'Additions (monthly)'!$D$2:$D$106,I$2,'Additions (monthly)'!$B$2:$B$106,"&lt;="&amp;$B22)</f>
        <v>0</v>
      </c>
      <c r="J22" s="46" t="n">
        <f aca="false">SUMIFS('Additions (monthly)'!$E$2:$E$106,'Additions (monthly)'!$D$2:$D$106,J$2,'Additions (monthly)'!$B$2:$B$106,"&lt;="&amp;$B22)</f>
        <v>3.7</v>
      </c>
      <c r="K22" s="46" t="n">
        <f aca="false">SUMIFS('Additions (monthly)'!$E$2:$E$106,'Additions (monthly)'!$D$2:$D$106,K$2,'Additions (monthly)'!$B$2:$B$106,"&lt;="&amp;$B22)</f>
        <v>0</v>
      </c>
      <c r="L22" s="46" t="n">
        <f aca="false">SUMIFS('Additions (monthly)'!$E$2:$E$106,'Additions (monthly)'!$D$2:$D$106,L$2,'Additions (monthly)'!$B$2:$B$106,"&lt;="&amp;$B22)</f>
        <v>0</v>
      </c>
      <c r="M22" s="46" t="n">
        <f aca="false">SUMIFS('Additions (monthly)'!$E$2:$E$106,'Additions (monthly)'!$D$2:$D$106,M$2,'Additions (monthly)'!$B$2:$B$106,"&lt;="&amp;$B22)</f>
        <v>0</v>
      </c>
      <c r="N22" s="46" t="n">
        <f aca="false">SUMIFS('Additions (monthly)'!$E$2:$E$106,'Additions (monthly)'!$D$2:$D$106,N$2,'Additions (monthly)'!$B$2:$B$106,"&lt;="&amp;$B22)</f>
        <v>14.2</v>
      </c>
      <c r="O22" s="46" t="n">
        <f aca="false">SUMIFS('Additions (monthly)'!$E$2:$E$106,'Additions (monthly)'!$D$2:$D$106,O$2,'Additions (monthly)'!$B$2:$B$106,"&lt;="&amp;$B22)</f>
        <v>0</v>
      </c>
      <c r="P22" s="46" t="n">
        <f aca="false">SUMIFS('Additions (monthly)'!$E$2:$E$106,'Additions (monthly)'!$D$2:$D$106,P$2,'Additions (monthly)'!$B$2:$B$106,"&lt;="&amp;$B22)</f>
        <v>0</v>
      </c>
      <c r="Q22" s="46" t="n">
        <f aca="false">SUMIFS('Additions (monthly)'!$E$2:$E$106,'Additions (monthly)'!$D$2:$D$106,Q$2,'Additions (monthly)'!$B$2:$B$106,"&lt;="&amp;$B22)</f>
        <v>0</v>
      </c>
      <c r="R22" s="46" t="n">
        <f aca="false">SUMIFS('Additions (monthly)'!$E$2:$E$106,'Additions (monthly)'!$D$2:$D$106,R$2,'Additions (monthly)'!$B$2:$B$106,"&lt;="&amp;$B22)</f>
        <v>0</v>
      </c>
      <c r="S22" s="46" t="n">
        <f aca="false">SUMIFS('Additions (monthly)'!$E$2:$E$106,'Additions (monthly)'!$D$2:$D$106,S$2,'Additions (monthly)'!$B$2:$B$106,"&lt;="&amp;$B22)</f>
        <v>7.2</v>
      </c>
      <c r="T22" s="46" t="n">
        <f aca="false">SUMIFS('Additions (monthly)'!$E$2:$E$106,'Additions (monthly)'!$D$2:$D$106,T$2,'Additions (monthly)'!$B$2:$B$106,"&lt;="&amp;$B22)</f>
        <v>0</v>
      </c>
      <c r="U22" s="46" t="n">
        <f aca="false">SUMIFS('Additions (monthly)'!$E$2:$E$106,'Additions (monthly)'!$D$2:$D$106,U$2,'Additions (monthly)'!$B$2:$B$106,"&lt;="&amp;$B22)</f>
        <v>0</v>
      </c>
      <c r="V22" s="46" t="n">
        <f aca="false">SUMIFS('Additions (monthly)'!$E$2:$E$106,'Additions (monthly)'!$D$2:$D$106,V$2,'Additions (monthly)'!$B$2:$B$106,"&lt;="&amp;$B22)</f>
        <v>3.87</v>
      </c>
      <c r="W22" s="46" t="n">
        <f aca="false">SUMIFS('Additions (monthly)'!$E$2:$E$106,'Additions (monthly)'!$D$2:$D$106,W$2,'Additions (monthly)'!$B$2:$B$106,"&lt;="&amp;$B22)</f>
        <v>0</v>
      </c>
      <c r="X22" s="46" t="n">
        <f aca="false">SUMIFS('Additions (monthly)'!$E$2:$E$106,'Additions (monthly)'!$D$2:$D$106,X$2,'Additions (monthly)'!$B$2:$B$106,"&lt;="&amp;$B22)</f>
        <v>0</v>
      </c>
      <c r="Y22" s="46" t="n">
        <f aca="false">SUMIFS('Additions (monthly)'!$E$2:$E$106,'Additions (monthly)'!$D$2:$D$106,Y$2,'Additions (monthly)'!$B$2:$B$106,"&lt;="&amp;$B22)</f>
        <v>5</v>
      </c>
      <c r="Z22" s="46" t="n">
        <f aca="false">SUMIFS('Additions (monthly)'!$E$2:$E$106,'Additions (monthly)'!$D$2:$D$106,Z$2,'Additions (monthly)'!$B$2:$B$106,"&lt;="&amp;$B22)</f>
        <v>7.2</v>
      </c>
      <c r="AA22" s="46" t="n">
        <f aca="false">SUMIFS('Additions (monthly)'!$E$2:$E$106,'Additions (monthly)'!$D$2:$D$106,AA$2,'Additions (monthly)'!$B$2:$B$106,"&lt;="&amp;$B22)</f>
        <v>3.7</v>
      </c>
      <c r="AB22" s="46" t="n">
        <f aca="false">SUMIFS('Additions (monthly)'!$E$2:$E$106,'Additions (monthly)'!$D$2:$D$106,AB$2,'Additions (monthly)'!$B$2:$B$106,"&lt;="&amp;$B22)</f>
        <v>16.95</v>
      </c>
      <c r="AC22" s="46" t="n">
        <f aca="false">SUMIFS('Additions (monthly)'!$E$2:$E$106,'Additions (monthly)'!$D$2:$D$106,AC$2,'Additions (monthly)'!$B$2:$B$106,"&lt;="&amp;$B22)</f>
        <v>0</v>
      </c>
      <c r="AD22" s="46" t="n">
        <f aca="false">SUMIFS('Additions (monthly)'!$E$2:$E$106,'Additions (monthly)'!$D$2:$D$106,AD$2,'Additions (monthly)'!$B$2:$B$106,"&lt;="&amp;$B22)</f>
        <v>7.6</v>
      </c>
      <c r="AE22" s="46" t="n">
        <f aca="false">SUMIFS('Additions (monthly)'!$E$2:$E$106,'Additions (monthly)'!$D$2:$D$106,AE$2,'Additions (monthly)'!$B$2:$B$106,"&lt;="&amp;$B22)</f>
        <v>25.7</v>
      </c>
      <c r="AF22" s="46" t="n">
        <f aca="false">SUMIFS('Additions (monthly)'!$E$2:$E$106,'Additions (monthly)'!$D$2:$D$106,AF$2,'Additions (monthly)'!$B$2:$B$106,"&lt;="&amp;$B22)</f>
        <v>0</v>
      </c>
      <c r="AG22" s="46" t="n">
        <f aca="false">SUMIFS('Additions (monthly)'!$E$2:$E$106,'Additions (monthly)'!$D$2:$D$106,AG$2,'Additions (monthly)'!$B$2:$B$106,"&lt;="&amp;$B22)</f>
        <v>0</v>
      </c>
      <c r="AH22" s="46" t="n">
        <f aca="false">SUMIFS('Additions (monthly)'!$E$2:$E$106,'Additions (monthly)'!$D$2:$D$106,AH$2,'Additions (monthly)'!$B$2:$B$106,"&lt;="&amp;$B22)</f>
        <v>0</v>
      </c>
      <c r="AI22" s="46" t="n">
        <f aca="false">SUMIFS('Additions (monthly)'!$E$2:$E$106,'Additions (monthly)'!$D$2:$D$106,AI$2,'Additions (monthly)'!$B$2:$B$106,"&lt;="&amp;$B22)</f>
        <v>0</v>
      </c>
      <c r="AJ22" s="46" t="n">
        <f aca="false">SUMIFS('Additions (monthly)'!$E$2:$E$106,'Additions (monthly)'!$D$2:$D$106,AJ$2,'Additions (monthly)'!$B$2:$B$106,"&lt;="&amp;$B22)</f>
        <v>0</v>
      </c>
      <c r="AK22" s="46" t="n">
        <f aca="false">SUMIFS('Additions (monthly)'!$E$2:$E$106,'Additions (monthly)'!$D$2:$D$106,AK$2,'Additions (monthly)'!$B$2:$B$106,"&lt;="&amp;$B22)</f>
        <v>0</v>
      </c>
      <c r="AL22" s="46" t="n">
        <f aca="false">SUMIFS('Additions (monthly)'!$E$2:$E$106,'Additions (monthly)'!$D$2:$D$106,AL$2,'Additions (monthly)'!$B$2:$B$106,"&lt;="&amp;$B22)</f>
        <v>22.2</v>
      </c>
      <c r="AM22" s="46" t="n">
        <f aca="false">SUMIFS('Additions (monthly)'!$E$2:$E$106,'Additions (monthly)'!$D$2:$D$106,AM$2,'Additions (monthly)'!$B$2:$B$106,"&lt;="&amp;$B22)</f>
        <v>0.3</v>
      </c>
      <c r="AN22" s="46" t="n">
        <f aca="false">SUMIFS('Additions (monthly)'!$E$2:$E$106,'Additions (monthly)'!$D$2:$D$106,AN$2,'Additions (monthly)'!$B$2:$B$106,"&lt;="&amp;$B22)</f>
        <v>4.3</v>
      </c>
      <c r="AO22" s="46" t="n">
        <f aca="false">SUMIFS('Additions (monthly)'!$E$2:$E$106,'Additions (monthly)'!$D$2:$D$106,AO$2,'Additions (monthly)'!$B$2:$B$106,"&lt;="&amp;$B22)</f>
        <v>10.4</v>
      </c>
      <c r="AP22" s="46" t="n">
        <f aca="false">SUMIFS('Additions (monthly)'!$E$2:$E$106,'Additions (monthly)'!$D$2:$D$106,AP$2,'Additions (monthly)'!$B$2:$B$106,"&lt;="&amp;$B22)</f>
        <v>0</v>
      </c>
      <c r="AQ22" s="46" t="n">
        <f aca="false">SUMIFS('Additions (monthly)'!$E$2:$E$106,'Additions (monthly)'!$D$2:$D$106,AQ$2,'Additions (monthly)'!$B$2:$B$106,"&lt;="&amp;$B22)</f>
        <v>4.45</v>
      </c>
      <c r="AR22" s="46" t="n">
        <f aca="false">SUMIFS('Additions (monthly)'!$E$2:$E$106,'Additions (monthly)'!$D$2:$D$106,AR$2,'Additions (monthly)'!$B$2:$B$106,"&lt;="&amp;$B22)</f>
        <v>77.1</v>
      </c>
      <c r="AS22" s="46" t="n">
        <f aca="false">SUMIFS('Additions (monthly)'!$E$2:$E$106,'Additions (monthly)'!$D$2:$D$106,AS$2,'Additions (monthly)'!$B$2:$B$106,"&lt;="&amp;$B22)</f>
        <v>0</v>
      </c>
      <c r="AT22" s="46" t="n">
        <f aca="false">SUMIFS('Additions (monthly)'!$E$2:$E$106,'Additions (monthly)'!$D$2:$D$106,AT$2,'Additions (monthly)'!$B$2:$B$106,"&lt;="&amp;$B22)</f>
        <v>0</v>
      </c>
      <c r="AU22" s="46" t="n">
        <f aca="false">SUMIFS('Additions (monthly)'!$E$2:$E$106,'Additions (monthly)'!$D$2:$D$106,AU$2,'Additions (monthly)'!$B$2:$B$106,"&lt;="&amp;$B22)</f>
        <v>9.6</v>
      </c>
      <c r="AV22" s="46" t="n">
        <f aca="false">SUMIFS('Additions (monthly)'!$E$2:$E$106,'Additions (monthly)'!$D$2:$D$106,AV$2,'Additions (monthly)'!$B$2:$B$106,"&lt;="&amp;$B22)</f>
        <v>0</v>
      </c>
      <c r="AW22" s="46" t="n">
        <f aca="false">SUMIFS('Additions (monthly)'!$E$2:$E$106,'Additions (monthly)'!$D$2:$D$106,AW$2,'Additions (monthly)'!$B$2:$B$106,"&lt;="&amp;$B22)</f>
        <v>0</v>
      </c>
      <c r="AX22" s="46" t="n">
        <f aca="false">SUMIFS('Additions (monthly)'!$E$2:$E$106,'Additions (monthly)'!$D$2:$D$106,AX$2,'Additions (monthly)'!$B$2:$B$106,"&lt;="&amp;$B22)</f>
        <v>11.8</v>
      </c>
      <c r="AY22" s="46" t="n">
        <f aca="false">SUMIFS('Additions (monthly)'!$E$2:$E$106,'Additions (monthly)'!$D$2:$D$106,AY$2,'Additions (monthly)'!$B$2:$B$106,"&lt;="&amp;$B22)</f>
        <v>5.3</v>
      </c>
      <c r="AZ22" s="46" t="n">
        <f aca="false">SUMIFS('Additions (monthly)'!$E$2:$E$106,'Additions (monthly)'!$D$2:$D$106,AZ$2,'Additions (monthly)'!$B$2:$B$106,"&lt;="&amp;$B22)</f>
        <v>0</v>
      </c>
      <c r="BA22" s="46" t="n">
        <f aca="false">SUMIFS('Additions (monthly)'!$E$2:$E$106,'Additions (monthly)'!$D$2:$D$106,BA$2,'Additions (monthly)'!$B$2:$B$106,"&lt;="&amp;$B22)</f>
        <v>0</v>
      </c>
      <c r="BB22" s="46" t="n">
        <f aca="false">SUMIFS('Additions (monthly)'!$E$2:$E$106,'Additions (monthly)'!$D$2:$D$106,BB$2,'Additions (monthly)'!$B$2:$B$106,"&lt;="&amp;$B22)</f>
        <v>0</v>
      </c>
      <c r="BC22" s="46" t="n">
        <f aca="false">SUMIFS('Additions (monthly)'!$E$2:$E$106,'Additions (monthly)'!$D$2:$D$106,BC$2,'Additions (monthly)'!$B$2:$B$106,"&lt;="&amp;$B22)</f>
        <v>0</v>
      </c>
      <c r="BD22" s="46" t="n">
        <f aca="false">SUMIFS('Additions (monthly)'!$E$2:$E$106,'Additions (monthly)'!$D$2:$D$106,BD$2,'Additions (monthly)'!$B$2:$B$106,"&lt;="&amp;$B22)</f>
        <v>0</v>
      </c>
      <c r="BE22" s="46" t="n">
        <f aca="false">SUMIFS('Additions (monthly)'!$E$2:$E$106,'Additions (monthly)'!$D$2:$D$106,BE$2,'Additions (monthly)'!$B$2:$B$106,"&lt;="&amp;$B22)</f>
        <v>0</v>
      </c>
      <c r="BF22" s="46" t="n">
        <f aca="false">SUMIFS('Additions (monthly)'!$E$2:$E$106,'Additions (monthly)'!$D$2:$D$106,BF$2,'Additions (monthly)'!$B$2:$B$106,"&lt;="&amp;$B22)</f>
        <v>0</v>
      </c>
      <c r="BG22" s="46" t="n">
        <f aca="false">SUMIFS('Additions (monthly)'!$E$2:$E$106,'Additions (monthly)'!$D$2:$D$106,BG$2,'Additions (monthly)'!$B$2:$B$106,"&lt;="&amp;$B22)</f>
        <v>0</v>
      </c>
      <c r="BH22" s="46" t="n">
        <f aca="false">SUMIFS('Additions (monthly)'!$E$2:$E$106,'Additions (monthly)'!$D$2:$D$106,BH$2,'Additions (monthly)'!$B$2:$B$106,"&lt;="&amp;$B22)</f>
        <v>0</v>
      </c>
      <c r="BI22" s="46" t="n">
        <f aca="false">SUMIFS('Additions (monthly)'!$E$2:$E$106,'Additions (monthly)'!$D$2:$D$106,BI$2,'Additions (monthly)'!$B$2:$B$106,"&lt;="&amp;$B22)</f>
        <v>6.7</v>
      </c>
    </row>
    <row r="23" customFormat="false" ht="15" hidden="false" customHeight="false" outlineLevel="0" collapsed="false">
      <c r="A23" s="44" t="n">
        <v>40787</v>
      </c>
      <c r="B23" s="45" t="n">
        <v>201109</v>
      </c>
      <c r="C23" s="42" t="n">
        <f aca="false">SUMIFS('Additions (monthly)'!$E$2:$E$106,'Additions (monthly)'!$B$2:$B$106,"&lt;="&amp;$B23)</f>
        <v>263.57</v>
      </c>
      <c r="D23" s="46" t="n">
        <f aca="false">SUMIFS('Additions (monthly)'!$E$2:$E$106,'Additions (monthly)'!$D$2:$D$106,D$2,'Additions (monthly)'!$B$2:$B$106,"&lt;="&amp;$B23)</f>
        <v>7.9</v>
      </c>
      <c r="E23" s="46" t="n">
        <f aca="false">SUMIFS('Additions (monthly)'!$E$2:$E$106,'Additions (monthly)'!$D$2:$D$106,E$2,'Additions (monthly)'!$B$2:$B$106,"&lt;="&amp;$B23)</f>
        <v>8.4</v>
      </c>
      <c r="F23" s="46" t="n">
        <f aca="false">SUMIFS('Additions (monthly)'!$E$2:$E$106,'Additions (monthly)'!$D$2:$D$106,F$2,'Additions (monthly)'!$B$2:$B$106,"&lt;="&amp;$B23)</f>
        <v>0</v>
      </c>
      <c r="G23" s="46" t="n">
        <f aca="false">SUMIFS('Additions (monthly)'!$E$2:$E$106,'Additions (monthly)'!$D$2:$D$106,G$2,'Additions (monthly)'!$B$2:$B$106,"&lt;="&amp;$B23)</f>
        <v>0</v>
      </c>
      <c r="H23" s="46" t="n">
        <f aca="false">SUMIFS('Additions (monthly)'!$E$2:$E$106,'Additions (monthly)'!$D$2:$D$106,H$2,'Additions (monthly)'!$B$2:$B$106,"&lt;="&amp;$B23)</f>
        <v>0</v>
      </c>
      <c r="I23" s="46" t="n">
        <f aca="false">SUMIFS('Additions (monthly)'!$E$2:$E$106,'Additions (monthly)'!$D$2:$D$106,I$2,'Additions (monthly)'!$B$2:$B$106,"&lt;="&amp;$B23)</f>
        <v>0</v>
      </c>
      <c r="J23" s="46" t="n">
        <f aca="false">SUMIFS('Additions (monthly)'!$E$2:$E$106,'Additions (monthly)'!$D$2:$D$106,J$2,'Additions (monthly)'!$B$2:$B$106,"&lt;="&amp;$B23)</f>
        <v>3.7</v>
      </c>
      <c r="K23" s="46" t="n">
        <f aca="false">SUMIFS('Additions (monthly)'!$E$2:$E$106,'Additions (monthly)'!$D$2:$D$106,K$2,'Additions (monthly)'!$B$2:$B$106,"&lt;="&amp;$B23)</f>
        <v>0</v>
      </c>
      <c r="L23" s="46" t="n">
        <f aca="false">SUMIFS('Additions (monthly)'!$E$2:$E$106,'Additions (monthly)'!$D$2:$D$106,L$2,'Additions (monthly)'!$B$2:$B$106,"&lt;="&amp;$B23)</f>
        <v>0</v>
      </c>
      <c r="M23" s="46" t="n">
        <f aca="false">SUMIFS('Additions (monthly)'!$E$2:$E$106,'Additions (monthly)'!$D$2:$D$106,M$2,'Additions (monthly)'!$B$2:$B$106,"&lt;="&amp;$B23)</f>
        <v>0</v>
      </c>
      <c r="N23" s="46" t="n">
        <f aca="false">SUMIFS('Additions (monthly)'!$E$2:$E$106,'Additions (monthly)'!$D$2:$D$106,N$2,'Additions (monthly)'!$B$2:$B$106,"&lt;="&amp;$B23)</f>
        <v>14.2</v>
      </c>
      <c r="O23" s="46" t="n">
        <f aca="false">SUMIFS('Additions (monthly)'!$E$2:$E$106,'Additions (monthly)'!$D$2:$D$106,O$2,'Additions (monthly)'!$B$2:$B$106,"&lt;="&amp;$B23)</f>
        <v>0</v>
      </c>
      <c r="P23" s="46" t="n">
        <f aca="false">SUMIFS('Additions (monthly)'!$E$2:$E$106,'Additions (monthly)'!$D$2:$D$106,P$2,'Additions (monthly)'!$B$2:$B$106,"&lt;="&amp;$B23)</f>
        <v>0</v>
      </c>
      <c r="Q23" s="46" t="n">
        <f aca="false">SUMIFS('Additions (monthly)'!$E$2:$E$106,'Additions (monthly)'!$D$2:$D$106,Q$2,'Additions (monthly)'!$B$2:$B$106,"&lt;="&amp;$B23)</f>
        <v>0</v>
      </c>
      <c r="R23" s="46" t="n">
        <f aca="false">SUMIFS('Additions (monthly)'!$E$2:$E$106,'Additions (monthly)'!$D$2:$D$106,R$2,'Additions (monthly)'!$B$2:$B$106,"&lt;="&amp;$B23)</f>
        <v>0</v>
      </c>
      <c r="S23" s="46" t="n">
        <f aca="false">SUMIFS('Additions (monthly)'!$E$2:$E$106,'Additions (monthly)'!$D$2:$D$106,S$2,'Additions (monthly)'!$B$2:$B$106,"&lt;="&amp;$B23)</f>
        <v>7.2</v>
      </c>
      <c r="T23" s="46" t="n">
        <f aca="false">SUMIFS('Additions (monthly)'!$E$2:$E$106,'Additions (monthly)'!$D$2:$D$106,T$2,'Additions (monthly)'!$B$2:$B$106,"&lt;="&amp;$B23)</f>
        <v>0</v>
      </c>
      <c r="U23" s="46" t="n">
        <f aca="false">SUMIFS('Additions (monthly)'!$E$2:$E$106,'Additions (monthly)'!$D$2:$D$106,U$2,'Additions (monthly)'!$B$2:$B$106,"&lt;="&amp;$B23)</f>
        <v>0</v>
      </c>
      <c r="V23" s="46" t="n">
        <f aca="false">SUMIFS('Additions (monthly)'!$E$2:$E$106,'Additions (monthly)'!$D$2:$D$106,V$2,'Additions (monthly)'!$B$2:$B$106,"&lt;="&amp;$B23)</f>
        <v>3.87</v>
      </c>
      <c r="W23" s="46" t="n">
        <f aca="false">SUMIFS('Additions (monthly)'!$E$2:$E$106,'Additions (monthly)'!$D$2:$D$106,W$2,'Additions (monthly)'!$B$2:$B$106,"&lt;="&amp;$B23)</f>
        <v>0</v>
      </c>
      <c r="X23" s="46" t="n">
        <f aca="false">SUMIFS('Additions (monthly)'!$E$2:$E$106,'Additions (monthly)'!$D$2:$D$106,X$2,'Additions (monthly)'!$B$2:$B$106,"&lt;="&amp;$B23)</f>
        <v>0</v>
      </c>
      <c r="Y23" s="46" t="n">
        <f aca="false">SUMIFS('Additions (monthly)'!$E$2:$E$106,'Additions (monthly)'!$D$2:$D$106,Y$2,'Additions (monthly)'!$B$2:$B$106,"&lt;="&amp;$B23)</f>
        <v>5</v>
      </c>
      <c r="Z23" s="46" t="n">
        <f aca="false">SUMIFS('Additions (monthly)'!$E$2:$E$106,'Additions (monthly)'!$D$2:$D$106,Z$2,'Additions (monthly)'!$B$2:$B$106,"&lt;="&amp;$B23)</f>
        <v>7.2</v>
      </c>
      <c r="AA23" s="46" t="n">
        <f aca="false">SUMIFS('Additions (monthly)'!$E$2:$E$106,'Additions (monthly)'!$D$2:$D$106,AA$2,'Additions (monthly)'!$B$2:$B$106,"&lt;="&amp;$B23)</f>
        <v>3.7</v>
      </c>
      <c r="AB23" s="46" t="n">
        <f aca="false">SUMIFS('Additions (monthly)'!$E$2:$E$106,'Additions (monthly)'!$D$2:$D$106,AB$2,'Additions (monthly)'!$B$2:$B$106,"&lt;="&amp;$B23)</f>
        <v>16.95</v>
      </c>
      <c r="AC23" s="46" t="n">
        <f aca="false">SUMIFS('Additions (monthly)'!$E$2:$E$106,'Additions (monthly)'!$D$2:$D$106,AC$2,'Additions (monthly)'!$B$2:$B$106,"&lt;="&amp;$B23)</f>
        <v>0</v>
      </c>
      <c r="AD23" s="46" t="n">
        <f aca="false">SUMIFS('Additions (monthly)'!$E$2:$E$106,'Additions (monthly)'!$D$2:$D$106,AD$2,'Additions (monthly)'!$B$2:$B$106,"&lt;="&amp;$B23)</f>
        <v>7.6</v>
      </c>
      <c r="AE23" s="46" t="n">
        <f aca="false">SUMIFS('Additions (monthly)'!$E$2:$E$106,'Additions (monthly)'!$D$2:$D$106,AE$2,'Additions (monthly)'!$B$2:$B$106,"&lt;="&amp;$B23)</f>
        <v>25.7</v>
      </c>
      <c r="AF23" s="46" t="n">
        <f aca="false">SUMIFS('Additions (monthly)'!$E$2:$E$106,'Additions (monthly)'!$D$2:$D$106,AF$2,'Additions (monthly)'!$B$2:$B$106,"&lt;="&amp;$B23)</f>
        <v>0</v>
      </c>
      <c r="AG23" s="46" t="n">
        <f aca="false">SUMIFS('Additions (monthly)'!$E$2:$E$106,'Additions (monthly)'!$D$2:$D$106,AG$2,'Additions (monthly)'!$B$2:$B$106,"&lt;="&amp;$B23)</f>
        <v>0</v>
      </c>
      <c r="AH23" s="46" t="n">
        <f aca="false">SUMIFS('Additions (monthly)'!$E$2:$E$106,'Additions (monthly)'!$D$2:$D$106,AH$2,'Additions (monthly)'!$B$2:$B$106,"&lt;="&amp;$B23)</f>
        <v>0</v>
      </c>
      <c r="AI23" s="46" t="n">
        <f aca="false">SUMIFS('Additions (monthly)'!$E$2:$E$106,'Additions (monthly)'!$D$2:$D$106,AI$2,'Additions (monthly)'!$B$2:$B$106,"&lt;="&amp;$B23)</f>
        <v>0</v>
      </c>
      <c r="AJ23" s="46" t="n">
        <f aca="false">SUMIFS('Additions (monthly)'!$E$2:$E$106,'Additions (monthly)'!$D$2:$D$106,AJ$2,'Additions (monthly)'!$B$2:$B$106,"&lt;="&amp;$B23)</f>
        <v>0</v>
      </c>
      <c r="AK23" s="46" t="n">
        <f aca="false">SUMIFS('Additions (monthly)'!$E$2:$E$106,'Additions (monthly)'!$D$2:$D$106,AK$2,'Additions (monthly)'!$B$2:$B$106,"&lt;="&amp;$B23)</f>
        <v>0</v>
      </c>
      <c r="AL23" s="46" t="n">
        <f aca="false">SUMIFS('Additions (monthly)'!$E$2:$E$106,'Additions (monthly)'!$D$2:$D$106,AL$2,'Additions (monthly)'!$B$2:$B$106,"&lt;="&amp;$B23)</f>
        <v>22.2</v>
      </c>
      <c r="AM23" s="46" t="n">
        <f aca="false">SUMIFS('Additions (monthly)'!$E$2:$E$106,'Additions (monthly)'!$D$2:$D$106,AM$2,'Additions (monthly)'!$B$2:$B$106,"&lt;="&amp;$B23)</f>
        <v>0.3</v>
      </c>
      <c r="AN23" s="46" t="n">
        <f aca="false">SUMIFS('Additions (monthly)'!$E$2:$E$106,'Additions (monthly)'!$D$2:$D$106,AN$2,'Additions (monthly)'!$B$2:$B$106,"&lt;="&amp;$B23)</f>
        <v>4.3</v>
      </c>
      <c r="AO23" s="46" t="n">
        <f aca="false">SUMIFS('Additions (monthly)'!$E$2:$E$106,'Additions (monthly)'!$D$2:$D$106,AO$2,'Additions (monthly)'!$B$2:$B$106,"&lt;="&amp;$B23)</f>
        <v>10.4</v>
      </c>
      <c r="AP23" s="46" t="n">
        <f aca="false">SUMIFS('Additions (monthly)'!$E$2:$E$106,'Additions (monthly)'!$D$2:$D$106,AP$2,'Additions (monthly)'!$B$2:$B$106,"&lt;="&amp;$B23)</f>
        <v>0</v>
      </c>
      <c r="AQ23" s="46" t="n">
        <f aca="false">SUMIFS('Additions (monthly)'!$E$2:$E$106,'Additions (monthly)'!$D$2:$D$106,AQ$2,'Additions (monthly)'!$B$2:$B$106,"&lt;="&amp;$B23)</f>
        <v>4.45</v>
      </c>
      <c r="AR23" s="46" t="n">
        <f aca="false">SUMIFS('Additions (monthly)'!$E$2:$E$106,'Additions (monthly)'!$D$2:$D$106,AR$2,'Additions (monthly)'!$B$2:$B$106,"&lt;="&amp;$B23)</f>
        <v>77.1</v>
      </c>
      <c r="AS23" s="46" t="n">
        <f aca="false">SUMIFS('Additions (monthly)'!$E$2:$E$106,'Additions (monthly)'!$D$2:$D$106,AS$2,'Additions (monthly)'!$B$2:$B$106,"&lt;="&amp;$B23)</f>
        <v>0</v>
      </c>
      <c r="AT23" s="46" t="n">
        <f aca="false">SUMIFS('Additions (monthly)'!$E$2:$E$106,'Additions (monthly)'!$D$2:$D$106,AT$2,'Additions (monthly)'!$B$2:$B$106,"&lt;="&amp;$B23)</f>
        <v>0</v>
      </c>
      <c r="AU23" s="46" t="n">
        <f aca="false">SUMIFS('Additions (monthly)'!$E$2:$E$106,'Additions (monthly)'!$D$2:$D$106,AU$2,'Additions (monthly)'!$B$2:$B$106,"&lt;="&amp;$B23)</f>
        <v>9.6</v>
      </c>
      <c r="AV23" s="46" t="n">
        <f aca="false">SUMIFS('Additions (monthly)'!$E$2:$E$106,'Additions (monthly)'!$D$2:$D$106,AV$2,'Additions (monthly)'!$B$2:$B$106,"&lt;="&amp;$B23)</f>
        <v>0</v>
      </c>
      <c r="AW23" s="46" t="n">
        <f aca="false">SUMIFS('Additions (monthly)'!$E$2:$E$106,'Additions (monthly)'!$D$2:$D$106,AW$2,'Additions (monthly)'!$B$2:$B$106,"&lt;="&amp;$B23)</f>
        <v>0</v>
      </c>
      <c r="AX23" s="46" t="n">
        <f aca="false">SUMIFS('Additions (monthly)'!$E$2:$E$106,'Additions (monthly)'!$D$2:$D$106,AX$2,'Additions (monthly)'!$B$2:$B$106,"&lt;="&amp;$B23)</f>
        <v>11.8</v>
      </c>
      <c r="AY23" s="46" t="n">
        <f aca="false">SUMIFS('Additions (monthly)'!$E$2:$E$106,'Additions (monthly)'!$D$2:$D$106,AY$2,'Additions (monthly)'!$B$2:$B$106,"&lt;="&amp;$B23)</f>
        <v>5.3</v>
      </c>
      <c r="AZ23" s="46" t="n">
        <f aca="false">SUMIFS('Additions (monthly)'!$E$2:$E$106,'Additions (monthly)'!$D$2:$D$106,AZ$2,'Additions (monthly)'!$B$2:$B$106,"&lt;="&amp;$B23)</f>
        <v>0</v>
      </c>
      <c r="BA23" s="46" t="n">
        <f aca="false">SUMIFS('Additions (monthly)'!$E$2:$E$106,'Additions (monthly)'!$D$2:$D$106,BA$2,'Additions (monthly)'!$B$2:$B$106,"&lt;="&amp;$B23)</f>
        <v>0</v>
      </c>
      <c r="BB23" s="46" t="n">
        <f aca="false">SUMIFS('Additions (monthly)'!$E$2:$E$106,'Additions (monthly)'!$D$2:$D$106,BB$2,'Additions (monthly)'!$B$2:$B$106,"&lt;="&amp;$B23)</f>
        <v>0</v>
      </c>
      <c r="BC23" s="46" t="n">
        <f aca="false">SUMIFS('Additions (monthly)'!$E$2:$E$106,'Additions (monthly)'!$D$2:$D$106,BC$2,'Additions (monthly)'!$B$2:$B$106,"&lt;="&amp;$B23)</f>
        <v>0</v>
      </c>
      <c r="BD23" s="46" t="n">
        <f aca="false">SUMIFS('Additions (monthly)'!$E$2:$E$106,'Additions (monthly)'!$D$2:$D$106,BD$2,'Additions (monthly)'!$B$2:$B$106,"&lt;="&amp;$B23)</f>
        <v>0</v>
      </c>
      <c r="BE23" s="46" t="n">
        <f aca="false">SUMIFS('Additions (monthly)'!$E$2:$E$106,'Additions (monthly)'!$D$2:$D$106,BE$2,'Additions (monthly)'!$B$2:$B$106,"&lt;="&amp;$B23)</f>
        <v>0</v>
      </c>
      <c r="BF23" s="46" t="n">
        <f aca="false">SUMIFS('Additions (monthly)'!$E$2:$E$106,'Additions (monthly)'!$D$2:$D$106,BF$2,'Additions (monthly)'!$B$2:$B$106,"&lt;="&amp;$B23)</f>
        <v>0</v>
      </c>
      <c r="BG23" s="46" t="n">
        <f aca="false">SUMIFS('Additions (monthly)'!$E$2:$E$106,'Additions (monthly)'!$D$2:$D$106,BG$2,'Additions (monthly)'!$B$2:$B$106,"&lt;="&amp;$B23)</f>
        <v>0</v>
      </c>
      <c r="BH23" s="46" t="n">
        <f aca="false">SUMIFS('Additions (monthly)'!$E$2:$E$106,'Additions (monthly)'!$D$2:$D$106,BH$2,'Additions (monthly)'!$B$2:$B$106,"&lt;="&amp;$B23)</f>
        <v>0</v>
      </c>
      <c r="BI23" s="46" t="n">
        <f aca="false">SUMIFS('Additions (monthly)'!$E$2:$E$106,'Additions (monthly)'!$D$2:$D$106,BI$2,'Additions (monthly)'!$B$2:$B$106,"&lt;="&amp;$B23)</f>
        <v>6.7</v>
      </c>
    </row>
    <row r="24" customFormat="false" ht="15" hidden="false" customHeight="false" outlineLevel="0" collapsed="false">
      <c r="A24" s="44" t="n">
        <v>40817</v>
      </c>
      <c r="B24" s="45" t="n">
        <v>201110</v>
      </c>
      <c r="C24" s="42" t="n">
        <f aca="false">SUMIFS('Additions (monthly)'!$E$2:$E$106,'Additions (monthly)'!$B$2:$B$106,"&lt;="&amp;$B24)</f>
        <v>263.57</v>
      </c>
      <c r="D24" s="46" t="n">
        <f aca="false">SUMIFS('Additions (monthly)'!$E$2:$E$106,'Additions (monthly)'!$D$2:$D$106,D$2,'Additions (monthly)'!$B$2:$B$106,"&lt;="&amp;$B24)</f>
        <v>7.9</v>
      </c>
      <c r="E24" s="46" t="n">
        <f aca="false">SUMIFS('Additions (monthly)'!$E$2:$E$106,'Additions (monthly)'!$D$2:$D$106,E$2,'Additions (monthly)'!$B$2:$B$106,"&lt;="&amp;$B24)</f>
        <v>8.4</v>
      </c>
      <c r="F24" s="46" t="n">
        <f aca="false">SUMIFS('Additions (monthly)'!$E$2:$E$106,'Additions (monthly)'!$D$2:$D$106,F$2,'Additions (monthly)'!$B$2:$B$106,"&lt;="&amp;$B24)</f>
        <v>0</v>
      </c>
      <c r="G24" s="46" t="n">
        <f aca="false">SUMIFS('Additions (monthly)'!$E$2:$E$106,'Additions (monthly)'!$D$2:$D$106,G$2,'Additions (monthly)'!$B$2:$B$106,"&lt;="&amp;$B24)</f>
        <v>0</v>
      </c>
      <c r="H24" s="46" t="n">
        <f aca="false">SUMIFS('Additions (monthly)'!$E$2:$E$106,'Additions (monthly)'!$D$2:$D$106,H$2,'Additions (monthly)'!$B$2:$B$106,"&lt;="&amp;$B24)</f>
        <v>0</v>
      </c>
      <c r="I24" s="46" t="n">
        <f aca="false">SUMIFS('Additions (monthly)'!$E$2:$E$106,'Additions (monthly)'!$D$2:$D$106,I$2,'Additions (monthly)'!$B$2:$B$106,"&lt;="&amp;$B24)</f>
        <v>0</v>
      </c>
      <c r="J24" s="46" t="n">
        <f aca="false">SUMIFS('Additions (monthly)'!$E$2:$E$106,'Additions (monthly)'!$D$2:$D$106,J$2,'Additions (monthly)'!$B$2:$B$106,"&lt;="&amp;$B24)</f>
        <v>3.7</v>
      </c>
      <c r="K24" s="46" t="n">
        <f aca="false">SUMIFS('Additions (monthly)'!$E$2:$E$106,'Additions (monthly)'!$D$2:$D$106,K$2,'Additions (monthly)'!$B$2:$B$106,"&lt;="&amp;$B24)</f>
        <v>0</v>
      </c>
      <c r="L24" s="46" t="n">
        <f aca="false">SUMIFS('Additions (monthly)'!$E$2:$E$106,'Additions (monthly)'!$D$2:$D$106,L$2,'Additions (monthly)'!$B$2:$B$106,"&lt;="&amp;$B24)</f>
        <v>0</v>
      </c>
      <c r="M24" s="46" t="n">
        <f aca="false">SUMIFS('Additions (monthly)'!$E$2:$E$106,'Additions (monthly)'!$D$2:$D$106,M$2,'Additions (monthly)'!$B$2:$B$106,"&lt;="&amp;$B24)</f>
        <v>0</v>
      </c>
      <c r="N24" s="46" t="n">
        <f aca="false">SUMIFS('Additions (monthly)'!$E$2:$E$106,'Additions (monthly)'!$D$2:$D$106,N$2,'Additions (monthly)'!$B$2:$B$106,"&lt;="&amp;$B24)</f>
        <v>14.2</v>
      </c>
      <c r="O24" s="46" t="n">
        <f aca="false">SUMIFS('Additions (monthly)'!$E$2:$E$106,'Additions (monthly)'!$D$2:$D$106,O$2,'Additions (monthly)'!$B$2:$B$106,"&lt;="&amp;$B24)</f>
        <v>0</v>
      </c>
      <c r="P24" s="46" t="n">
        <f aca="false">SUMIFS('Additions (monthly)'!$E$2:$E$106,'Additions (monthly)'!$D$2:$D$106,P$2,'Additions (monthly)'!$B$2:$B$106,"&lt;="&amp;$B24)</f>
        <v>0</v>
      </c>
      <c r="Q24" s="46" t="n">
        <f aca="false">SUMIFS('Additions (monthly)'!$E$2:$E$106,'Additions (monthly)'!$D$2:$D$106,Q$2,'Additions (monthly)'!$B$2:$B$106,"&lt;="&amp;$B24)</f>
        <v>0</v>
      </c>
      <c r="R24" s="46" t="n">
        <f aca="false">SUMIFS('Additions (monthly)'!$E$2:$E$106,'Additions (monthly)'!$D$2:$D$106,R$2,'Additions (monthly)'!$B$2:$B$106,"&lt;="&amp;$B24)</f>
        <v>0</v>
      </c>
      <c r="S24" s="46" t="n">
        <f aca="false">SUMIFS('Additions (monthly)'!$E$2:$E$106,'Additions (monthly)'!$D$2:$D$106,S$2,'Additions (monthly)'!$B$2:$B$106,"&lt;="&amp;$B24)</f>
        <v>7.2</v>
      </c>
      <c r="T24" s="46" t="n">
        <f aca="false">SUMIFS('Additions (monthly)'!$E$2:$E$106,'Additions (monthly)'!$D$2:$D$106,T$2,'Additions (monthly)'!$B$2:$B$106,"&lt;="&amp;$B24)</f>
        <v>0</v>
      </c>
      <c r="U24" s="46" t="n">
        <f aca="false">SUMIFS('Additions (monthly)'!$E$2:$E$106,'Additions (monthly)'!$D$2:$D$106,U$2,'Additions (monthly)'!$B$2:$B$106,"&lt;="&amp;$B24)</f>
        <v>0</v>
      </c>
      <c r="V24" s="46" t="n">
        <f aca="false">SUMIFS('Additions (monthly)'!$E$2:$E$106,'Additions (monthly)'!$D$2:$D$106,V$2,'Additions (monthly)'!$B$2:$B$106,"&lt;="&amp;$B24)</f>
        <v>3.87</v>
      </c>
      <c r="W24" s="46" t="n">
        <f aca="false">SUMIFS('Additions (monthly)'!$E$2:$E$106,'Additions (monthly)'!$D$2:$D$106,W$2,'Additions (monthly)'!$B$2:$B$106,"&lt;="&amp;$B24)</f>
        <v>0</v>
      </c>
      <c r="X24" s="46" t="n">
        <f aca="false">SUMIFS('Additions (monthly)'!$E$2:$E$106,'Additions (monthly)'!$D$2:$D$106,X$2,'Additions (monthly)'!$B$2:$B$106,"&lt;="&amp;$B24)</f>
        <v>0</v>
      </c>
      <c r="Y24" s="46" t="n">
        <f aca="false">SUMIFS('Additions (monthly)'!$E$2:$E$106,'Additions (monthly)'!$D$2:$D$106,Y$2,'Additions (monthly)'!$B$2:$B$106,"&lt;="&amp;$B24)</f>
        <v>5</v>
      </c>
      <c r="Z24" s="46" t="n">
        <f aca="false">SUMIFS('Additions (monthly)'!$E$2:$E$106,'Additions (monthly)'!$D$2:$D$106,Z$2,'Additions (monthly)'!$B$2:$B$106,"&lt;="&amp;$B24)</f>
        <v>7.2</v>
      </c>
      <c r="AA24" s="46" t="n">
        <f aca="false">SUMIFS('Additions (monthly)'!$E$2:$E$106,'Additions (monthly)'!$D$2:$D$106,AA$2,'Additions (monthly)'!$B$2:$B$106,"&lt;="&amp;$B24)</f>
        <v>3.7</v>
      </c>
      <c r="AB24" s="46" t="n">
        <f aca="false">SUMIFS('Additions (monthly)'!$E$2:$E$106,'Additions (monthly)'!$D$2:$D$106,AB$2,'Additions (monthly)'!$B$2:$B$106,"&lt;="&amp;$B24)</f>
        <v>16.95</v>
      </c>
      <c r="AC24" s="46" t="n">
        <f aca="false">SUMIFS('Additions (monthly)'!$E$2:$E$106,'Additions (monthly)'!$D$2:$D$106,AC$2,'Additions (monthly)'!$B$2:$B$106,"&lt;="&amp;$B24)</f>
        <v>0</v>
      </c>
      <c r="AD24" s="46" t="n">
        <f aca="false">SUMIFS('Additions (monthly)'!$E$2:$E$106,'Additions (monthly)'!$D$2:$D$106,AD$2,'Additions (monthly)'!$B$2:$B$106,"&lt;="&amp;$B24)</f>
        <v>7.6</v>
      </c>
      <c r="AE24" s="46" t="n">
        <f aca="false">SUMIFS('Additions (monthly)'!$E$2:$E$106,'Additions (monthly)'!$D$2:$D$106,AE$2,'Additions (monthly)'!$B$2:$B$106,"&lt;="&amp;$B24)</f>
        <v>25.7</v>
      </c>
      <c r="AF24" s="46" t="n">
        <f aca="false">SUMIFS('Additions (monthly)'!$E$2:$E$106,'Additions (monthly)'!$D$2:$D$106,AF$2,'Additions (monthly)'!$B$2:$B$106,"&lt;="&amp;$B24)</f>
        <v>0</v>
      </c>
      <c r="AG24" s="46" t="n">
        <f aca="false">SUMIFS('Additions (monthly)'!$E$2:$E$106,'Additions (monthly)'!$D$2:$D$106,AG$2,'Additions (monthly)'!$B$2:$B$106,"&lt;="&amp;$B24)</f>
        <v>0</v>
      </c>
      <c r="AH24" s="46" t="n">
        <f aca="false">SUMIFS('Additions (monthly)'!$E$2:$E$106,'Additions (monthly)'!$D$2:$D$106,AH$2,'Additions (monthly)'!$B$2:$B$106,"&lt;="&amp;$B24)</f>
        <v>0</v>
      </c>
      <c r="AI24" s="46" t="n">
        <f aca="false">SUMIFS('Additions (monthly)'!$E$2:$E$106,'Additions (monthly)'!$D$2:$D$106,AI$2,'Additions (monthly)'!$B$2:$B$106,"&lt;="&amp;$B24)</f>
        <v>0</v>
      </c>
      <c r="AJ24" s="46" t="n">
        <f aca="false">SUMIFS('Additions (monthly)'!$E$2:$E$106,'Additions (monthly)'!$D$2:$D$106,AJ$2,'Additions (monthly)'!$B$2:$B$106,"&lt;="&amp;$B24)</f>
        <v>0</v>
      </c>
      <c r="AK24" s="46" t="n">
        <f aca="false">SUMIFS('Additions (monthly)'!$E$2:$E$106,'Additions (monthly)'!$D$2:$D$106,AK$2,'Additions (monthly)'!$B$2:$B$106,"&lt;="&amp;$B24)</f>
        <v>0</v>
      </c>
      <c r="AL24" s="46" t="n">
        <f aca="false">SUMIFS('Additions (monthly)'!$E$2:$E$106,'Additions (monthly)'!$D$2:$D$106,AL$2,'Additions (monthly)'!$B$2:$B$106,"&lt;="&amp;$B24)</f>
        <v>22.2</v>
      </c>
      <c r="AM24" s="46" t="n">
        <f aca="false">SUMIFS('Additions (monthly)'!$E$2:$E$106,'Additions (monthly)'!$D$2:$D$106,AM$2,'Additions (monthly)'!$B$2:$B$106,"&lt;="&amp;$B24)</f>
        <v>0.3</v>
      </c>
      <c r="AN24" s="46" t="n">
        <f aca="false">SUMIFS('Additions (monthly)'!$E$2:$E$106,'Additions (monthly)'!$D$2:$D$106,AN$2,'Additions (monthly)'!$B$2:$B$106,"&lt;="&amp;$B24)</f>
        <v>4.3</v>
      </c>
      <c r="AO24" s="46" t="n">
        <f aca="false">SUMIFS('Additions (monthly)'!$E$2:$E$106,'Additions (monthly)'!$D$2:$D$106,AO$2,'Additions (monthly)'!$B$2:$B$106,"&lt;="&amp;$B24)</f>
        <v>10.4</v>
      </c>
      <c r="AP24" s="46" t="n">
        <f aca="false">SUMIFS('Additions (monthly)'!$E$2:$E$106,'Additions (monthly)'!$D$2:$D$106,AP$2,'Additions (monthly)'!$B$2:$B$106,"&lt;="&amp;$B24)</f>
        <v>0</v>
      </c>
      <c r="AQ24" s="46" t="n">
        <f aca="false">SUMIFS('Additions (monthly)'!$E$2:$E$106,'Additions (monthly)'!$D$2:$D$106,AQ$2,'Additions (monthly)'!$B$2:$B$106,"&lt;="&amp;$B24)</f>
        <v>4.45</v>
      </c>
      <c r="AR24" s="46" t="n">
        <f aca="false">SUMIFS('Additions (monthly)'!$E$2:$E$106,'Additions (monthly)'!$D$2:$D$106,AR$2,'Additions (monthly)'!$B$2:$B$106,"&lt;="&amp;$B24)</f>
        <v>77.1</v>
      </c>
      <c r="AS24" s="46" t="n">
        <f aca="false">SUMIFS('Additions (monthly)'!$E$2:$E$106,'Additions (monthly)'!$D$2:$D$106,AS$2,'Additions (monthly)'!$B$2:$B$106,"&lt;="&amp;$B24)</f>
        <v>0</v>
      </c>
      <c r="AT24" s="46" t="n">
        <f aca="false">SUMIFS('Additions (monthly)'!$E$2:$E$106,'Additions (monthly)'!$D$2:$D$106,AT$2,'Additions (monthly)'!$B$2:$B$106,"&lt;="&amp;$B24)</f>
        <v>0</v>
      </c>
      <c r="AU24" s="46" t="n">
        <f aca="false">SUMIFS('Additions (monthly)'!$E$2:$E$106,'Additions (monthly)'!$D$2:$D$106,AU$2,'Additions (monthly)'!$B$2:$B$106,"&lt;="&amp;$B24)</f>
        <v>9.6</v>
      </c>
      <c r="AV24" s="46" t="n">
        <f aca="false">SUMIFS('Additions (monthly)'!$E$2:$E$106,'Additions (monthly)'!$D$2:$D$106,AV$2,'Additions (monthly)'!$B$2:$B$106,"&lt;="&amp;$B24)</f>
        <v>0</v>
      </c>
      <c r="AW24" s="46" t="n">
        <f aca="false">SUMIFS('Additions (monthly)'!$E$2:$E$106,'Additions (monthly)'!$D$2:$D$106,AW$2,'Additions (monthly)'!$B$2:$B$106,"&lt;="&amp;$B24)</f>
        <v>0</v>
      </c>
      <c r="AX24" s="46" t="n">
        <f aca="false">SUMIFS('Additions (monthly)'!$E$2:$E$106,'Additions (monthly)'!$D$2:$D$106,AX$2,'Additions (monthly)'!$B$2:$B$106,"&lt;="&amp;$B24)</f>
        <v>11.8</v>
      </c>
      <c r="AY24" s="46" t="n">
        <f aca="false">SUMIFS('Additions (monthly)'!$E$2:$E$106,'Additions (monthly)'!$D$2:$D$106,AY$2,'Additions (monthly)'!$B$2:$B$106,"&lt;="&amp;$B24)</f>
        <v>5.3</v>
      </c>
      <c r="AZ24" s="46" t="n">
        <f aca="false">SUMIFS('Additions (monthly)'!$E$2:$E$106,'Additions (monthly)'!$D$2:$D$106,AZ$2,'Additions (monthly)'!$B$2:$B$106,"&lt;="&amp;$B24)</f>
        <v>0</v>
      </c>
      <c r="BA24" s="46" t="n">
        <f aca="false">SUMIFS('Additions (monthly)'!$E$2:$E$106,'Additions (monthly)'!$D$2:$D$106,BA$2,'Additions (monthly)'!$B$2:$B$106,"&lt;="&amp;$B24)</f>
        <v>0</v>
      </c>
      <c r="BB24" s="46" t="n">
        <f aca="false">SUMIFS('Additions (monthly)'!$E$2:$E$106,'Additions (monthly)'!$D$2:$D$106,BB$2,'Additions (monthly)'!$B$2:$B$106,"&lt;="&amp;$B24)</f>
        <v>0</v>
      </c>
      <c r="BC24" s="46" t="n">
        <f aca="false">SUMIFS('Additions (monthly)'!$E$2:$E$106,'Additions (monthly)'!$D$2:$D$106,BC$2,'Additions (monthly)'!$B$2:$B$106,"&lt;="&amp;$B24)</f>
        <v>0</v>
      </c>
      <c r="BD24" s="46" t="n">
        <f aca="false">SUMIFS('Additions (monthly)'!$E$2:$E$106,'Additions (monthly)'!$D$2:$D$106,BD$2,'Additions (monthly)'!$B$2:$B$106,"&lt;="&amp;$B24)</f>
        <v>0</v>
      </c>
      <c r="BE24" s="46" t="n">
        <f aca="false">SUMIFS('Additions (monthly)'!$E$2:$E$106,'Additions (monthly)'!$D$2:$D$106,BE$2,'Additions (monthly)'!$B$2:$B$106,"&lt;="&amp;$B24)</f>
        <v>0</v>
      </c>
      <c r="BF24" s="46" t="n">
        <f aca="false">SUMIFS('Additions (monthly)'!$E$2:$E$106,'Additions (monthly)'!$D$2:$D$106,BF$2,'Additions (monthly)'!$B$2:$B$106,"&lt;="&amp;$B24)</f>
        <v>0</v>
      </c>
      <c r="BG24" s="46" t="n">
        <f aca="false">SUMIFS('Additions (monthly)'!$E$2:$E$106,'Additions (monthly)'!$D$2:$D$106,BG$2,'Additions (monthly)'!$B$2:$B$106,"&lt;="&amp;$B24)</f>
        <v>0</v>
      </c>
      <c r="BH24" s="46" t="n">
        <f aca="false">SUMIFS('Additions (monthly)'!$E$2:$E$106,'Additions (monthly)'!$D$2:$D$106,BH$2,'Additions (monthly)'!$B$2:$B$106,"&lt;="&amp;$B24)</f>
        <v>0</v>
      </c>
      <c r="BI24" s="46" t="n">
        <f aca="false">SUMIFS('Additions (monthly)'!$E$2:$E$106,'Additions (monthly)'!$D$2:$D$106,BI$2,'Additions (monthly)'!$B$2:$B$106,"&lt;="&amp;$B24)</f>
        <v>6.7</v>
      </c>
    </row>
    <row r="25" customFormat="false" ht="15" hidden="false" customHeight="false" outlineLevel="0" collapsed="false">
      <c r="A25" s="44" t="n">
        <v>40848</v>
      </c>
      <c r="B25" s="45" t="n">
        <v>201111</v>
      </c>
      <c r="C25" s="42" t="n">
        <f aca="false">SUMIFS('Additions (monthly)'!$E$2:$E$106,'Additions (monthly)'!$B$2:$B$106,"&lt;="&amp;$B25)</f>
        <v>263.57</v>
      </c>
      <c r="D25" s="46" t="n">
        <f aca="false">SUMIFS('Additions (monthly)'!$E$2:$E$106,'Additions (monthly)'!$D$2:$D$106,D$2,'Additions (monthly)'!$B$2:$B$106,"&lt;="&amp;$B25)</f>
        <v>7.9</v>
      </c>
      <c r="E25" s="46" t="n">
        <f aca="false">SUMIFS('Additions (monthly)'!$E$2:$E$106,'Additions (monthly)'!$D$2:$D$106,E$2,'Additions (monthly)'!$B$2:$B$106,"&lt;="&amp;$B25)</f>
        <v>8.4</v>
      </c>
      <c r="F25" s="46" t="n">
        <f aca="false">SUMIFS('Additions (monthly)'!$E$2:$E$106,'Additions (monthly)'!$D$2:$D$106,F$2,'Additions (monthly)'!$B$2:$B$106,"&lt;="&amp;$B25)</f>
        <v>0</v>
      </c>
      <c r="G25" s="46" t="n">
        <f aca="false">SUMIFS('Additions (monthly)'!$E$2:$E$106,'Additions (monthly)'!$D$2:$D$106,G$2,'Additions (monthly)'!$B$2:$B$106,"&lt;="&amp;$B25)</f>
        <v>0</v>
      </c>
      <c r="H25" s="46" t="n">
        <f aca="false">SUMIFS('Additions (monthly)'!$E$2:$E$106,'Additions (monthly)'!$D$2:$D$106,H$2,'Additions (monthly)'!$B$2:$B$106,"&lt;="&amp;$B25)</f>
        <v>0</v>
      </c>
      <c r="I25" s="46" t="n">
        <f aca="false">SUMIFS('Additions (monthly)'!$E$2:$E$106,'Additions (monthly)'!$D$2:$D$106,I$2,'Additions (monthly)'!$B$2:$B$106,"&lt;="&amp;$B25)</f>
        <v>0</v>
      </c>
      <c r="J25" s="46" t="n">
        <f aca="false">SUMIFS('Additions (monthly)'!$E$2:$E$106,'Additions (monthly)'!$D$2:$D$106,J$2,'Additions (monthly)'!$B$2:$B$106,"&lt;="&amp;$B25)</f>
        <v>3.7</v>
      </c>
      <c r="K25" s="46" t="n">
        <f aca="false">SUMIFS('Additions (monthly)'!$E$2:$E$106,'Additions (monthly)'!$D$2:$D$106,K$2,'Additions (monthly)'!$B$2:$B$106,"&lt;="&amp;$B25)</f>
        <v>0</v>
      </c>
      <c r="L25" s="46" t="n">
        <f aca="false">SUMIFS('Additions (monthly)'!$E$2:$E$106,'Additions (monthly)'!$D$2:$D$106,L$2,'Additions (monthly)'!$B$2:$B$106,"&lt;="&amp;$B25)</f>
        <v>0</v>
      </c>
      <c r="M25" s="46" t="n">
        <f aca="false">SUMIFS('Additions (monthly)'!$E$2:$E$106,'Additions (monthly)'!$D$2:$D$106,M$2,'Additions (monthly)'!$B$2:$B$106,"&lt;="&amp;$B25)</f>
        <v>0</v>
      </c>
      <c r="N25" s="46" t="n">
        <f aca="false">SUMIFS('Additions (monthly)'!$E$2:$E$106,'Additions (monthly)'!$D$2:$D$106,N$2,'Additions (monthly)'!$B$2:$B$106,"&lt;="&amp;$B25)</f>
        <v>14.2</v>
      </c>
      <c r="O25" s="46" t="n">
        <f aca="false">SUMIFS('Additions (monthly)'!$E$2:$E$106,'Additions (monthly)'!$D$2:$D$106,O$2,'Additions (monthly)'!$B$2:$B$106,"&lt;="&amp;$B25)</f>
        <v>0</v>
      </c>
      <c r="P25" s="46" t="n">
        <f aca="false">SUMIFS('Additions (monthly)'!$E$2:$E$106,'Additions (monthly)'!$D$2:$D$106,P$2,'Additions (monthly)'!$B$2:$B$106,"&lt;="&amp;$B25)</f>
        <v>0</v>
      </c>
      <c r="Q25" s="46" t="n">
        <f aca="false">SUMIFS('Additions (monthly)'!$E$2:$E$106,'Additions (monthly)'!$D$2:$D$106,Q$2,'Additions (monthly)'!$B$2:$B$106,"&lt;="&amp;$B25)</f>
        <v>0</v>
      </c>
      <c r="R25" s="46" t="n">
        <f aca="false">SUMIFS('Additions (monthly)'!$E$2:$E$106,'Additions (monthly)'!$D$2:$D$106,R$2,'Additions (monthly)'!$B$2:$B$106,"&lt;="&amp;$B25)</f>
        <v>0</v>
      </c>
      <c r="S25" s="46" t="n">
        <f aca="false">SUMIFS('Additions (monthly)'!$E$2:$E$106,'Additions (monthly)'!$D$2:$D$106,S$2,'Additions (monthly)'!$B$2:$B$106,"&lt;="&amp;$B25)</f>
        <v>7.2</v>
      </c>
      <c r="T25" s="46" t="n">
        <f aca="false">SUMIFS('Additions (monthly)'!$E$2:$E$106,'Additions (monthly)'!$D$2:$D$106,T$2,'Additions (monthly)'!$B$2:$B$106,"&lt;="&amp;$B25)</f>
        <v>0</v>
      </c>
      <c r="U25" s="46" t="n">
        <f aca="false">SUMIFS('Additions (monthly)'!$E$2:$E$106,'Additions (monthly)'!$D$2:$D$106,U$2,'Additions (monthly)'!$B$2:$B$106,"&lt;="&amp;$B25)</f>
        <v>0</v>
      </c>
      <c r="V25" s="46" t="n">
        <f aca="false">SUMIFS('Additions (monthly)'!$E$2:$E$106,'Additions (monthly)'!$D$2:$D$106,V$2,'Additions (monthly)'!$B$2:$B$106,"&lt;="&amp;$B25)</f>
        <v>3.87</v>
      </c>
      <c r="W25" s="46" t="n">
        <f aca="false">SUMIFS('Additions (monthly)'!$E$2:$E$106,'Additions (monthly)'!$D$2:$D$106,W$2,'Additions (monthly)'!$B$2:$B$106,"&lt;="&amp;$B25)</f>
        <v>0</v>
      </c>
      <c r="X25" s="46" t="n">
        <f aca="false">SUMIFS('Additions (monthly)'!$E$2:$E$106,'Additions (monthly)'!$D$2:$D$106,X$2,'Additions (monthly)'!$B$2:$B$106,"&lt;="&amp;$B25)</f>
        <v>0</v>
      </c>
      <c r="Y25" s="46" t="n">
        <f aca="false">SUMIFS('Additions (monthly)'!$E$2:$E$106,'Additions (monthly)'!$D$2:$D$106,Y$2,'Additions (monthly)'!$B$2:$B$106,"&lt;="&amp;$B25)</f>
        <v>5</v>
      </c>
      <c r="Z25" s="46" t="n">
        <f aca="false">SUMIFS('Additions (monthly)'!$E$2:$E$106,'Additions (monthly)'!$D$2:$D$106,Z$2,'Additions (monthly)'!$B$2:$B$106,"&lt;="&amp;$B25)</f>
        <v>7.2</v>
      </c>
      <c r="AA25" s="46" t="n">
        <f aca="false">SUMIFS('Additions (monthly)'!$E$2:$E$106,'Additions (monthly)'!$D$2:$D$106,AA$2,'Additions (monthly)'!$B$2:$B$106,"&lt;="&amp;$B25)</f>
        <v>3.7</v>
      </c>
      <c r="AB25" s="46" t="n">
        <f aca="false">SUMIFS('Additions (monthly)'!$E$2:$E$106,'Additions (monthly)'!$D$2:$D$106,AB$2,'Additions (monthly)'!$B$2:$B$106,"&lt;="&amp;$B25)</f>
        <v>16.95</v>
      </c>
      <c r="AC25" s="46" t="n">
        <f aca="false">SUMIFS('Additions (monthly)'!$E$2:$E$106,'Additions (monthly)'!$D$2:$D$106,AC$2,'Additions (monthly)'!$B$2:$B$106,"&lt;="&amp;$B25)</f>
        <v>0</v>
      </c>
      <c r="AD25" s="46" t="n">
        <f aca="false">SUMIFS('Additions (monthly)'!$E$2:$E$106,'Additions (monthly)'!$D$2:$D$106,AD$2,'Additions (monthly)'!$B$2:$B$106,"&lt;="&amp;$B25)</f>
        <v>7.6</v>
      </c>
      <c r="AE25" s="46" t="n">
        <f aca="false">SUMIFS('Additions (monthly)'!$E$2:$E$106,'Additions (monthly)'!$D$2:$D$106,AE$2,'Additions (monthly)'!$B$2:$B$106,"&lt;="&amp;$B25)</f>
        <v>25.7</v>
      </c>
      <c r="AF25" s="46" t="n">
        <f aca="false">SUMIFS('Additions (monthly)'!$E$2:$E$106,'Additions (monthly)'!$D$2:$D$106,AF$2,'Additions (monthly)'!$B$2:$B$106,"&lt;="&amp;$B25)</f>
        <v>0</v>
      </c>
      <c r="AG25" s="46" t="n">
        <f aca="false">SUMIFS('Additions (monthly)'!$E$2:$E$106,'Additions (monthly)'!$D$2:$D$106,AG$2,'Additions (monthly)'!$B$2:$B$106,"&lt;="&amp;$B25)</f>
        <v>0</v>
      </c>
      <c r="AH25" s="46" t="n">
        <f aca="false">SUMIFS('Additions (monthly)'!$E$2:$E$106,'Additions (monthly)'!$D$2:$D$106,AH$2,'Additions (monthly)'!$B$2:$B$106,"&lt;="&amp;$B25)</f>
        <v>0</v>
      </c>
      <c r="AI25" s="46" t="n">
        <f aca="false">SUMIFS('Additions (monthly)'!$E$2:$E$106,'Additions (monthly)'!$D$2:$D$106,AI$2,'Additions (monthly)'!$B$2:$B$106,"&lt;="&amp;$B25)</f>
        <v>0</v>
      </c>
      <c r="AJ25" s="46" t="n">
        <f aca="false">SUMIFS('Additions (monthly)'!$E$2:$E$106,'Additions (monthly)'!$D$2:$D$106,AJ$2,'Additions (monthly)'!$B$2:$B$106,"&lt;="&amp;$B25)</f>
        <v>0</v>
      </c>
      <c r="AK25" s="46" t="n">
        <f aca="false">SUMIFS('Additions (monthly)'!$E$2:$E$106,'Additions (monthly)'!$D$2:$D$106,AK$2,'Additions (monthly)'!$B$2:$B$106,"&lt;="&amp;$B25)</f>
        <v>0</v>
      </c>
      <c r="AL25" s="46" t="n">
        <f aca="false">SUMIFS('Additions (monthly)'!$E$2:$E$106,'Additions (monthly)'!$D$2:$D$106,AL$2,'Additions (monthly)'!$B$2:$B$106,"&lt;="&amp;$B25)</f>
        <v>22.2</v>
      </c>
      <c r="AM25" s="46" t="n">
        <f aca="false">SUMIFS('Additions (monthly)'!$E$2:$E$106,'Additions (monthly)'!$D$2:$D$106,AM$2,'Additions (monthly)'!$B$2:$B$106,"&lt;="&amp;$B25)</f>
        <v>0.3</v>
      </c>
      <c r="AN25" s="46" t="n">
        <f aca="false">SUMIFS('Additions (monthly)'!$E$2:$E$106,'Additions (monthly)'!$D$2:$D$106,AN$2,'Additions (monthly)'!$B$2:$B$106,"&lt;="&amp;$B25)</f>
        <v>4.3</v>
      </c>
      <c r="AO25" s="46" t="n">
        <f aca="false">SUMIFS('Additions (monthly)'!$E$2:$E$106,'Additions (monthly)'!$D$2:$D$106,AO$2,'Additions (monthly)'!$B$2:$B$106,"&lt;="&amp;$B25)</f>
        <v>10.4</v>
      </c>
      <c r="AP25" s="46" t="n">
        <f aca="false">SUMIFS('Additions (monthly)'!$E$2:$E$106,'Additions (monthly)'!$D$2:$D$106,AP$2,'Additions (monthly)'!$B$2:$B$106,"&lt;="&amp;$B25)</f>
        <v>0</v>
      </c>
      <c r="AQ25" s="46" t="n">
        <f aca="false">SUMIFS('Additions (monthly)'!$E$2:$E$106,'Additions (monthly)'!$D$2:$D$106,AQ$2,'Additions (monthly)'!$B$2:$B$106,"&lt;="&amp;$B25)</f>
        <v>4.45</v>
      </c>
      <c r="AR25" s="46" t="n">
        <f aca="false">SUMIFS('Additions (monthly)'!$E$2:$E$106,'Additions (monthly)'!$D$2:$D$106,AR$2,'Additions (monthly)'!$B$2:$B$106,"&lt;="&amp;$B25)</f>
        <v>77.1</v>
      </c>
      <c r="AS25" s="46" t="n">
        <f aca="false">SUMIFS('Additions (monthly)'!$E$2:$E$106,'Additions (monthly)'!$D$2:$D$106,AS$2,'Additions (monthly)'!$B$2:$B$106,"&lt;="&amp;$B25)</f>
        <v>0</v>
      </c>
      <c r="AT25" s="46" t="n">
        <f aca="false">SUMIFS('Additions (monthly)'!$E$2:$E$106,'Additions (monthly)'!$D$2:$D$106,AT$2,'Additions (monthly)'!$B$2:$B$106,"&lt;="&amp;$B25)</f>
        <v>0</v>
      </c>
      <c r="AU25" s="46" t="n">
        <f aca="false">SUMIFS('Additions (monthly)'!$E$2:$E$106,'Additions (monthly)'!$D$2:$D$106,AU$2,'Additions (monthly)'!$B$2:$B$106,"&lt;="&amp;$B25)</f>
        <v>9.6</v>
      </c>
      <c r="AV25" s="46" t="n">
        <f aca="false">SUMIFS('Additions (monthly)'!$E$2:$E$106,'Additions (monthly)'!$D$2:$D$106,AV$2,'Additions (monthly)'!$B$2:$B$106,"&lt;="&amp;$B25)</f>
        <v>0</v>
      </c>
      <c r="AW25" s="46" t="n">
        <f aca="false">SUMIFS('Additions (monthly)'!$E$2:$E$106,'Additions (monthly)'!$D$2:$D$106,AW$2,'Additions (monthly)'!$B$2:$B$106,"&lt;="&amp;$B25)</f>
        <v>0</v>
      </c>
      <c r="AX25" s="46" t="n">
        <f aca="false">SUMIFS('Additions (monthly)'!$E$2:$E$106,'Additions (monthly)'!$D$2:$D$106,AX$2,'Additions (monthly)'!$B$2:$B$106,"&lt;="&amp;$B25)</f>
        <v>11.8</v>
      </c>
      <c r="AY25" s="46" t="n">
        <f aca="false">SUMIFS('Additions (monthly)'!$E$2:$E$106,'Additions (monthly)'!$D$2:$D$106,AY$2,'Additions (monthly)'!$B$2:$B$106,"&lt;="&amp;$B25)</f>
        <v>5.3</v>
      </c>
      <c r="AZ25" s="46" t="n">
        <f aca="false">SUMIFS('Additions (monthly)'!$E$2:$E$106,'Additions (monthly)'!$D$2:$D$106,AZ$2,'Additions (monthly)'!$B$2:$B$106,"&lt;="&amp;$B25)</f>
        <v>0</v>
      </c>
      <c r="BA25" s="46" t="n">
        <f aca="false">SUMIFS('Additions (monthly)'!$E$2:$E$106,'Additions (monthly)'!$D$2:$D$106,BA$2,'Additions (monthly)'!$B$2:$B$106,"&lt;="&amp;$B25)</f>
        <v>0</v>
      </c>
      <c r="BB25" s="46" t="n">
        <f aca="false">SUMIFS('Additions (monthly)'!$E$2:$E$106,'Additions (monthly)'!$D$2:$D$106,BB$2,'Additions (monthly)'!$B$2:$B$106,"&lt;="&amp;$B25)</f>
        <v>0</v>
      </c>
      <c r="BC25" s="46" t="n">
        <f aca="false">SUMIFS('Additions (monthly)'!$E$2:$E$106,'Additions (monthly)'!$D$2:$D$106,BC$2,'Additions (monthly)'!$B$2:$B$106,"&lt;="&amp;$B25)</f>
        <v>0</v>
      </c>
      <c r="BD25" s="46" t="n">
        <f aca="false">SUMIFS('Additions (monthly)'!$E$2:$E$106,'Additions (monthly)'!$D$2:$D$106,BD$2,'Additions (monthly)'!$B$2:$B$106,"&lt;="&amp;$B25)</f>
        <v>0</v>
      </c>
      <c r="BE25" s="46" t="n">
        <f aca="false">SUMIFS('Additions (monthly)'!$E$2:$E$106,'Additions (monthly)'!$D$2:$D$106,BE$2,'Additions (monthly)'!$B$2:$B$106,"&lt;="&amp;$B25)</f>
        <v>0</v>
      </c>
      <c r="BF25" s="46" t="n">
        <f aca="false">SUMIFS('Additions (monthly)'!$E$2:$E$106,'Additions (monthly)'!$D$2:$D$106,BF$2,'Additions (monthly)'!$B$2:$B$106,"&lt;="&amp;$B25)</f>
        <v>0</v>
      </c>
      <c r="BG25" s="46" t="n">
        <f aca="false">SUMIFS('Additions (monthly)'!$E$2:$E$106,'Additions (monthly)'!$D$2:$D$106,BG$2,'Additions (monthly)'!$B$2:$B$106,"&lt;="&amp;$B25)</f>
        <v>0</v>
      </c>
      <c r="BH25" s="46" t="n">
        <f aca="false">SUMIFS('Additions (monthly)'!$E$2:$E$106,'Additions (monthly)'!$D$2:$D$106,BH$2,'Additions (monthly)'!$B$2:$B$106,"&lt;="&amp;$B25)</f>
        <v>0</v>
      </c>
      <c r="BI25" s="46" t="n">
        <f aca="false">SUMIFS('Additions (monthly)'!$E$2:$E$106,'Additions (monthly)'!$D$2:$D$106,BI$2,'Additions (monthly)'!$B$2:$B$106,"&lt;="&amp;$B25)</f>
        <v>6.7</v>
      </c>
    </row>
    <row r="26" customFormat="false" ht="15" hidden="false" customHeight="false" outlineLevel="0" collapsed="false">
      <c r="A26" s="44" t="n">
        <v>40878</v>
      </c>
      <c r="B26" s="45" t="n">
        <v>201112</v>
      </c>
      <c r="C26" s="42" t="n">
        <f aca="false">SUMIFS('Additions (monthly)'!$E$2:$E$106,'Additions (monthly)'!$B$2:$B$106,"&lt;="&amp;$B26)</f>
        <v>263.57</v>
      </c>
      <c r="D26" s="46" t="n">
        <f aca="false">SUMIFS('Additions (monthly)'!$E$2:$E$106,'Additions (monthly)'!$D$2:$D$106,D$2,'Additions (monthly)'!$B$2:$B$106,"&lt;="&amp;$B26)</f>
        <v>7.9</v>
      </c>
      <c r="E26" s="46" t="n">
        <f aca="false">SUMIFS('Additions (monthly)'!$E$2:$E$106,'Additions (monthly)'!$D$2:$D$106,E$2,'Additions (monthly)'!$B$2:$B$106,"&lt;="&amp;$B26)</f>
        <v>8.4</v>
      </c>
      <c r="F26" s="46" t="n">
        <f aca="false">SUMIFS('Additions (monthly)'!$E$2:$E$106,'Additions (monthly)'!$D$2:$D$106,F$2,'Additions (monthly)'!$B$2:$B$106,"&lt;="&amp;$B26)</f>
        <v>0</v>
      </c>
      <c r="G26" s="46" t="n">
        <f aca="false">SUMIFS('Additions (monthly)'!$E$2:$E$106,'Additions (monthly)'!$D$2:$D$106,G$2,'Additions (monthly)'!$B$2:$B$106,"&lt;="&amp;$B26)</f>
        <v>0</v>
      </c>
      <c r="H26" s="46" t="n">
        <f aca="false">SUMIFS('Additions (monthly)'!$E$2:$E$106,'Additions (monthly)'!$D$2:$D$106,H$2,'Additions (monthly)'!$B$2:$B$106,"&lt;="&amp;$B26)</f>
        <v>0</v>
      </c>
      <c r="I26" s="46" t="n">
        <f aca="false">SUMIFS('Additions (monthly)'!$E$2:$E$106,'Additions (monthly)'!$D$2:$D$106,I$2,'Additions (monthly)'!$B$2:$B$106,"&lt;="&amp;$B26)</f>
        <v>0</v>
      </c>
      <c r="J26" s="46" t="n">
        <f aca="false">SUMIFS('Additions (monthly)'!$E$2:$E$106,'Additions (monthly)'!$D$2:$D$106,J$2,'Additions (monthly)'!$B$2:$B$106,"&lt;="&amp;$B26)</f>
        <v>3.7</v>
      </c>
      <c r="K26" s="46" t="n">
        <f aca="false">SUMIFS('Additions (monthly)'!$E$2:$E$106,'Additions (monthly)'!$D$2:$D$106,K$2,'Additions (monthly)'!$B$2:$B$106,"&lt;="&amp;$B26)</f>
        <v>0</v>
      </c>
      <c r="L26" s="46" t="n">
        <f aca="false">SUMIFS('Additions (monthly)'!$E$2:$E$106,'Additions (monthly)'!$D$2:$D$106,L$2,'Additions (monthly)'!$B$2:$B$106,"&lt;="&amp;$B26)</f>
        <v>0</v>
      </c>
      <c r="M26" s="46" t="n">
        <f aca="false">SUMIFS('Additions (monthly)'!$E$2:$E$106,'Additions (monthly)'!$D$2:$D$106,M$2,'Additions (monthly)'!$B$2:$B$106,"&lt;="&amp;$B26)</f>
        <v>0</v>
      </c>
      <c r="N26" s="46" t="n">
        <f aca="false">SUMIFS('Additions (monthly)'!$E$2:$E$106,'Additions (monthly)'!$D$2:$D$106,N$2,'Additions (monthly)'!$B$2:$B$106,"&lt;="&amp;$B26)</f>
        <v>14.2</v>
      </c>
      <c r="O26" s="46" t="n">
        <f aca="false">SUMIFS('Additions (monthly)'!$E$2:$E$106,'Additions (monthly)'!$D$2:$D$106,O$2,'Additions (monthly)'!$B$2:$B$106,"&lt;="&amp;$B26)</f>
        <v>0</v>
      </c>
      <c r="P26" s="46" t="n">
        <f aca="false">SUMIFS('Additions (monthly)'!$E$2:$E$106,'Additions (monthly)'!$D$2:$D$106,P$2,'Additions (monthly)'!$B$2:$B$106,"&lt;="&amp;$B26)</f>
        <v>0</v>
      </c>
      <c r="Q26" s="46" t="n">
        <f aca="false">SUMIFS('Additions (monthly)'!$E$2:$E$106,'Additions (monthly)'!$D$2:$D$106,Q$2,'Additions (monthly)'!$B$2:$B$106,"&lt;="&amp;$B26)</f>
        <v>0</v>
      </c>
      <c r="R26" s="46" t="n">
        <f aca="false">SUMIFS('Additions (monthly)'!$E$2:$E$106,'Additions (monthly)'!$D$2:$D$106,R$2,'Additions (monthly)'!$B$2:$B$106,"&lt;="&amp;$B26)</f>
        <v>0</v>
      </c>
      <c r="S26" s="46" t="n">
        <f aca="false">SUMIFS('Additions (monthly)'!$E$2:$E$106,'Additions (monthly)'!$D$2:$D$106,S$2,'Additions (monthly)'!$B$2:$B$106,"&lt;="&amp;$B26)</f>
        <v>7.2</v>
      </c>
      <c r="T26" s="46" t="n">
        <f aca="false">SUMIFS('Additions (monthly)'!$E$2:$E$106,'Additions (monthly)'!$D$2:$D$106,T$2,'Additions (monthly)'!$B$2:$B$106,"&lt;="&amp;$B26)</f>
        <v>0</v>
      </c>
      <c r="U26" s="46" t="n">
        <f aca="false">SUMIFS('Additions (monthly)'!$E$2:$E$106,'Additions (monthly)'!$D$2:$D$106,U$2,'Additions (monthly)'!$B$2:$B$106,"&lt;="&amp;$B26)</f>
        <v>0</v>
      </c>
      <c r="V26" s="46" t="n">
        <f aca="false">SUMIFS('Additions (monthly)'!$E$2:$E$106,'Additions (monthly)'!$D$2:$D$106,V$2,'Additions (monthly)'!$B$2:$B$106,"&lt;="&amp;$B26)</f>
        <v>3.87</v>
      </c>
      <c r="W26" s="46" t="n">
        <f aca="false">SUMIFS('Additions (monthly)'!$E$2:$E$106,'Additions (monthly)'!$D$2:$D$106,W$2,'Additions (monthly)'!$B$2:$B$106,"&lt;="&amp;$B26)</f>
        <v>0</v>
      </c>
      <c r="X26" s="46" t="n">
        <f aca="false">SUMIFS('Additions (monthly)'!$E$2:$E$106,'Additions (monthly)'!$D$2:$D$106,X$2,'Additions (monthly)'!$B$2:$B$106,"&lt;="&amp;$B26)</f>
        <v>0</v>
      </c>
      <c r="Y26" s="46" t="n">
        <f aca="false">SUMIFS('Additions (monthly)'!$E$2:$E$106,'Additions (monthly)'!$D$2:$D$106,Y$2,'Additions (monthly)'!$B$2:$B$106,"&lt;="&amp;$B26)</f>
        <v>5</v>
      </c>
      <c r="Z26" s="46" t="n">
        <f aca="false">SUMIFS('Additions (monthly)'!$E$2:$E$106,'Additions (monthly)'!$D$2:$D$106,Z$2,'Additions (monthly)'!$B$2:$B$106,"&lt;="&amp;$B26)</f>
        <v>7.2</v>
      </c>
      <c r="AA26" s="46" t="n">
        <f aca="false">SUMIFS('Additions (monthly)'!$E$2:$E$106,'Additions (monthly)'!$D$2:$D$106,AA$2,'Additions (monthly)'!$B$2:$B$106,"&lt;="&amp;$B26)</f>
        <v>3.7</v>
      </c>
      <c r="AB26" s="46" t="n">
        <f aca="false">SUMIFS('Additions (monthly)'!$E$2:$E$106,'Additions (monthly)'!$D$2:$D$106,AB$2,'Additions (monthly)'!$B$2:$B$106,"&lt;="&amp;$B26)</f>
        <v>16.95</v>
      </c>
      <c r="AC26" s="46" t="n">
        <f aca="false">SUMIFS('Additions (monthly)'!$E$2:$E$106,'Additions (monthly)'!$D$2:$D$106,AC$2,'Additions (monthly)'!$B$2:$B$106,"&lt;="&amp;$B26)</f>
        <v>0</v>
      </c>
      <c r="AD26" s="46" t="n">
        <f aca="false">SUMIFS('Additions (monthly)'!$E$2:$E$106,'Additions (monthly)'!$D$2:$D$106,AD$2,'Additions (monthly)'!$B$2:$B$106,"&lt;="&amp;$B26)</f>
        <v>7.6</v>
      </c>
      <c r="AE26" s="46" t="n">
        <f aca="false">SUMIFS('Additions (monthly)'!$E$2:$E$106,'Additions (monthly)'!$D$2:$D$106,AE$2,'Additions (monthly)'!$B$2:$B$106,"&lt;="&amp;$B26)</f>
        <v>25.7</v>
      </c>
      <c r="AF26" s="46" t="n">
        <f aca="false">SUMIFS('Additions (monthly)'!$E$2:$E$106,'Additions (monthly)'!$D$2:$D$106,AF$2,'Additions (monthly)'!$B$2:$B$106,"&lt;="&amp;$B26)</f>
        <v>0</v>
      </c>
      <c r="AG26" s="46" t="n">
        <f aca="false">SUMIFS('Additions (monthly)'!$E$2:$E$106,'Additions (monthly)'!$D$2:$D$106,AG$2,'Additions (monthly)'!$B$2:$B$106,"&lt;="&amp;$B26)</f>
        <v>0</v>
      </c>
      <c r="AH26" s="46" t="n">
        <f aca="false">SUMIFS('Additions (monthly)'!$E$2:$E$106,'Additions (monthly)'!$D$2:$D$106,AH$2,'Additions (monthly)'!$B$2:$B$106,"&lt;="&amp;$B26)</f>
        <v>0</v>
      </c>
      <c r="AI26" s="46" t="n">
        <f aca="false">SUMIFS('Additions (monthly)'!$E$2:$E$106,'Additions (monthly)'!$D$2:$D$106,AI$2,'Additions (monthly)'!$B$2:$B$106,"&lt;="&amp;$B26)</f>
        <v>0</v>
      </c>
      <c r="AJ26" s="46" t="n">
        <f aca="false">SUMIFS('Additions (monthly)'!$E$2:$E$106,'Additions (monthly)'!$D$2:$D$106,AJ$2,'Additions (monthly)'!$B$2:$B$106,"&lt;="&amp;$B26)</f>
        <v>0</v>
      </c>
      <c r="AK26" s="46" t="n">
        <f aca="false">SUMIFS('Additions (monthly)'!$E$2:$E$106,'Additions (monthly)'!$D$2:$D$106,AK$2,'Additions (monthly)'!$B$2:$B$106,"&lt;="&amp;$B26)</f>
        <v>0</v>
      </c>
      <c r="AL26" s="46" t="n">
        <f aca="false">SUMIFS('Additions (monthly)'!$E$2:$E$106,'Additions (monthly)'!$D$2:$D$106,AL$2,'Additions (monthly)'!$B$2:$B$106,"&lt;="&amp;$B26)</f>
        <v>22.2</v>
      </c>
      <c r="AM26" s="46" t="n">
        <f aca="false">SUMIFS('Additions (monthly)'!$E$2:$E$106,'Additions (monthly)'!$D$2:$D$106,AM$2,'Additions (monthly)'!$B$2:$B$106,"&lt;="&amp;$B26)</f>
        <v>0.3</v>
      </c>
      <c r="AN26" s="46" t="n">
        <f aca="false">SUMIFS('Additions (monthly)'!$E$2:$E$106,'Additions (monthly)'!$D$2:$D$106,AN$2,'Additions (monthly)'!$B$2:$B$106,"&lt;="&amp;$B26)</f>
        <v>4.3</v>
      </c>
      <c r="AO26" s="46" t="n">
        <f aca="false">SUMIFS('Additions (monthly)'!$E$2:$E$106,'Additions (monthly)'!$D$2:$D$106,AO$2,'Additions (monthly)'!$B$2:$B$106,"&lt;="&amp;$B26)</f>
        <v>10.4</v>
      </c>
      <c r="AP26" s="46" t="n">
        <f aca="false">SUMIFS('Additions (monthly)'!$E$2:$E$106,'Additions (monthly)'!$D$2:$D$106,AP$2,'Additions (monthly)'!$B$2:$B$106,"&lt;="&amp;$B26)</f>
        <v>0</v>
      </c>
      <c r="AQ26" s="46" t="n">
        <f aca="false">SUMIFS('Additions (monthly)'!$E$2:$E$106,'Additions (monthly)'!$D$2:$D$106,AQ$2,'Additions (monthly)'!$B$2:$B$106,"&lt;="&amp;$B26)</f>
        <v>4.45</v>
      </c>
      <c r="AR26" s="46" t="n">
        <f aca="false">SUMIFS('Additions (monthly)'!$E$2:$E$106,'Additions (monthly)'!$D$2:$D$106,AR$2,'Additions (monthly)'!$B$2:$B$106,"&lt;="&amp;$B26)</f>
        <v>77.1</v>
      </c>
      <c r="AS26" s="46" t="n">
        <f aca="false">SUMIFS('Additions (monthly)'!$E$2:$E$106,'Additions (monthly)'!$D$2:$D$106,AS$2,'Additions (monthly)'!$B$2:$B$106,"&lt;="&amp;$B26)</f>
        <v>0</v>
      </c>
      <c r="AT26" s="46" t="n">
        <f aca="false">SUMIFS('Additions (monthly)'!$E$2:$E$106,'Additions (monthly)'!$D$2:$D$106,AT$2,'Additions (monthly)'!$B$2:$B$106,"&lt;="&amp;$B26)</f>
        <v>0</v>
      </c>
      <c r="AU26" s="46" t="n">
        <f aca="false">SUMIFS('Additions (monthly)'!$E$2:$E$106,'Additions (monthly)'!$D$2:$D$106,AU$2,'Additions (monthly)'!$B$2:$B$106,"&lt;="&amp;$B26)</f>
        <v>9.6</v>
      </c>
      <c r="AV26" s="46" t="n">
        <f aca="false">SUMIFS('Additions (monthly)'!$E$2:$E$106,'Additions (monthly)'!$D$2:$D$106,AV$2,'Additions (monthly)'!$B$2:$B$106,"&lt;="&amp;$B26)</f>
        <v>0</v>
      </c>
      <c r="AW26" s="46" t="n">
        <f aca="false">SUMIFS('Additions (monthly)'!$E$2:$E$106,'Additions (monthly)'!$D$2:$D$106,AW$2,'Additions (monthly)'!$B$2:$B$106,"&lt;="&amp;$B26)</f>
        <v>0</v>
      </c>
      <c r="AX26" s="46" t="n">
        <f aca="false">SUMIFS('Additions (monthly)'!$E$2:$E$106,'Additions (monthly)'!$D$2:$D$106,AX$2,'Additions (monthly)'!$B$2:$B$106,"&lt;="&amp;$B26)</f>
        <v>11.8</v>
      </c>
      <c r="AY26" s="46" t="n">
        <f aca="false">SUMIFS('Additions (monthly)'!$E$2:$E$106,'Additions (monthly)'!$D$2:$D$106,AY$2,'Additions (monthly)'!$B$2:$B$106,"&lt;="&amp;$B26)</f>
        <v>5.3</v>
      </c>
      <c r="AZ26" s="46" t="n">
        <f aca="false">SUMIFS('Additions (monthly)'!$E$2:$E$106,'Additions (monthly)'!$D$2:$D$106,AZ$2,'Additions (monthly)'!$B$2:$B$106,"&lt;="&amp;$B26)</f>
        <v>0</v>
      </c>
      <c r="BA26" s="46" t="n">
        <f aca="false">SUMIFS('Additions (monthly)'!$E$2:$E$106,'Additions (monthly)'!$D$2:$D$106,BA$2,'Additions (monthly)'!$B$2:$B$106,"&lt;="&amp;$B26)</f>
        <v>0</v>
      </c>
      <c r="BB26" s="46" t="n">
        <f aca="false">SUMIFS('Additions (monthly)'!$E$2:$E$106,'Additions (monthly)'!$D$2:$D$106,BB$2,'Additions (monthly)'!$B$2:$B$106,"&lt;="&amp;$B26)</f>
        <v>0</v>
      </c>
      <c r="BC26" s="46" t="n">
        <f aca="false">SUMIFS('Additions (monthly)'!$E$2:$E$106,'Additions (monthly)'!$D$2:$D$106,BC$2,'Additions (monthly)'!$B$2:$B$106,"&lt;="&amp;$B26)</f>
        <v>0</v>
      </c>
      <c r="BD26" s="46" t="n">
        <f aca="false">SUMIFS('Additions (monthly)'!$E$2:$E$106,'Additions (monthly)'!$D$2:$D$106,BD$2,'Additions (monthly)'!$B$2:$B$106,"&lt;="&amp;$B26)</f>
        <v>0</v>
      </c>
      <c r="BE26" s="46" t="n">
        <f aca="false">SUMIFS('Additions (monthly)'!$E$2:$E$106,'Additions (monthly)'!$D$2:$D$106,BE$2,'Additions (monthly)'!$B$2:$B$106,"&lt;="&amp;$B26)</f>
        <v>0</v>
      </c>
      <c r="BF26" s="46" t="n">
        <f aca="false">SUMIFS('Additions (monthly)'!$E$2:$E$106,'Additions (monthly)'!$D$2:$D$106,BF$2,'Additions (monthly)'!$B$2:$B$106,"&lt;="&amp;$B26)</f>
        <v>0</v>
      </c>
      <c r="BG26" s="46" t="n">
        <f aca="false">SUMIFS('Additions (monthly)'!$E$2:$E$106,'Additions (monthly)'!$D$2:$D$106,BG$2,'Additions (monthly)'!$B$2:$B$106,"&lt;="&amp;$B26)</f>
        <v>0</v>
      </c>
      <c r="BH26" s="46" t="n">
        <f aca="false">SUMIFS('Additions (monthly)'!$E$2:$E$106,'Additions (monthly)'!$D$2:$D$106,BH$2,'Additions (monthly)'!$B$2:$B$106,"&lt;="&amp;$B26)</f>
        <v>0</v>
      </c>
      <c r="BI26" s="46" t="n">
        <f aca="false">SUMIFS('Additions (monthly)'!$E$2:$E$106,'Additions (monthly)'!$D$2:$D$106,BI$2,'Additions (monthly)'!$B$2:$B$106,"&lt;="&amp;$B26)</f>
        <v>6.7</v>
      </c>
    </row>
    <row r="27" customFormat="false" ht="15" hidden="false" customHeight="false" outlineLevel="0" collapsed="false">
      <c r="A27" s="23" t="n">
        <v>40909</v>
      </c>
      <c r="B27" s="24" t="n">
        <v>201201</v>
      </c>
      <c r="C27" s="42" t="n">
        <f aca="false">SUMIFS('Additions (monthly)'!$E$2:$E$106,'Additions (monthly)'!$B$2:$B$106,"&lt;="&amp;$B27)</f>
        <v>263.57</v>
      </c>
      <c r="D27" s="43" t="n">
        <f aca="false">SUMIFS('Additions (monthly)'!$E$2:$E$106,'Additions (monthly)'!$D$2:$D$106,D$2,'Additions (monthly)'!$B$2:$B$106,"&lt;="&amp;$B27)</f>
        <v>7.9</v>
      </c>
      <c r="E27" s="43" t="n">
        <f aca="false">SUMIFS('Additions (monthly)'!$E$2:$E$106,'Additions (monthly)'!$D$2:$D$106,E$2,'Additions (monthly)'!$B$2:$B$106,"&lt;="&amp;$B27)</f>
        <v>8.4</v>
      </c>
      <c r="F27" s="43" t="n">
        <f aca="false">SUMIFS('Additions (monthly)'!$E$2:$E$106,'Additions (monthly)'!$D$2:$D$106,F$2,'Additions (monthly)'!$B$2:$B$106,"&lt;="&amp;$B27)</f>
        <v>0</v>
      </c>
      <c r="G27" s="43" t="n">
        <f aca="false">SUMIFS('Additions (monthly)'!$E$2:$E$106,'Additions (monthly)'!$D$2:$D$106,G$2,'Additions (monthly)'!$B$2:$B$106,"&lt;="&amp;$B27)</f>
        <v>0</v>
      </c>
      <c r="H27" s="43" t="n">
        <f aca="false">SUMIFS('Additions (monthly)'!$E$2:$E$106,'Additions (monthly)'!$D$2:$D$106,H$2,'Additions (monthly)'!$B$2:$B$106,"&lt;="&amp;$B27)</f>
        <v>0</v>
      </c>
      <c r="I27" s="43" t="n">
        <f aca="false">SUMIFS('Additions (monthly)'!$E$2:$E$106,'Additions (monthly)'!$D$2:$D$106,I$2,'Additions (monthly)'!$B$2:$B$106,"&lt;="&amp;$B27)</f>
        <v>0</v>
      </c>
      <c r="J27" s="43" t="n">
        <f aca="false">SUMIFS('Additions (monthly)'!$E$2:$E$106,'Additions (monthly)'!$D$2:$D$106,J$2,'Additions (monthly)'!$B$2:$B$106,"&lt;="&amp;$B27)</f>
        <v>3.7</v>
      </c>
      <c r="K27" s="43" t="n">
        <f aca="false">SUMIFS('Additions (monthly)'!$E$2:$E$106,'Additions (monthly)'!$D$2:$D$106,K$2,'Additions (monthly)'!$B$2:$B$106,"&lt;="&amp;$B27)</f>
        <v>0</v>
      </c>
      <c r="L27" s="43" t="n">
        <f aca="false">SUMIFS('Additions (monthly)'!$E$2:$E$106,'Additions (monthly)'!$D$2:$D$106,L$2,'Additions (monthly)'!$B$2:$B$106,"&lt;="&amp;$B27)</f>
        <v>0</v>
      </c>
      <c r="M27" s="43" t="n">
        <f aca="false">SUMIFS('Additions (monthly)'!$E$2:$E$106,'Additions (monthly)'!$D$2:$D$106,M$2,'Additions (monthly)'!$B$2:$B$106,"&lt;="&amp;$B27)</f>
        <v>0</v>
      </c>
      <c r="N27" s="43" t="n">
        <f aca="false">SUMIFS('Additions (monthly)'!$E$2:$E$106,'Additions (monthly)'!$D$2:$D$106,N$2,'Additions (monthly)'!$B$2:$B$106,"&lt;="&amp;$B27)</f>
        <v>14.2</v>
      </c>
      <c r="O27" s="43" t="n">
        <f aca="false">SUMIFS('Additions (monthly)'!$E$2:$E$106,'Additions (monthly)'!$D$2:$D$106,O$2,'Additions (monthly)'!$B$2:$B$106,"&lt;="&amp;$B27)</f>
        <v>0</v>
      </c>
      <c r="P27" s="43" t="n">
        <f aca="false">SUMIFS('Additions (monthly)'!$E$2:$E$106,'Additions (monthly)'!$D$2:$D$106,P$2,'Additions (monthly)'!$B$2:$B$106,"&lt;="&amp;$B27)</f>
        <v>0</v>
      </c>
      <c r="Q27" s="43" t="n">
        <f aca="false">SUMIFS('Additions (monthly)'!$E$2:$E$106,'Additions (monthly)'!$D$2:$D$106,Q$2,'Additions (monthly)'!$B$2:$B$106,"&lt;="&amp;$B27)</f>
        <v>0</v>
      </c>
      <c r="R27" s="43" t="n">
        <f aca="false">SUMIFS('Additions (monthly)'!$E$2:$E$106,'Additions (monthly)'!$D$2:$D$106,R$2,'Additions (monthly)'!$B$2:$B$106,"&lt;="&amp;$B27)</f>
        <v>0</v>
      </c>
      <c r="S27" s="43" t="n">
        <f aca="false">SUMIFS('Additions (monthly)'!$E$2:$E$106,'Additions (monthly)'!$D$2:$D$106,S$2,'Additions (monthly)'!$B$2:$B$106,"&lt;="&amp;$B27)</f>
        <v>7.2</v>
      </c>
      <c r="T27" s="43" t="n">
        <f aca="false">SUMIFS('Additions (monthly)'!$E$2:$E$106,'Additions (monthly)'!$D$2:$D$106,T$2,'Additions (monthly)'!$B$2:$B$106,"&lt;="&amp;$B27)</f>
        <v>0</v>
      </c>
      <c r="U27" s="43" t="n">
        <f aca="false">SUMIFS('Additions (monthly)'!$E$2:$E$106,'Additions (monthly)'!$D$2:$D$106,U$2,'Additions (monthly)'!$B$2:$B$106,"&lt;="&amp;$B27)</f>
        <v>0</v>
      </c>
      <c r="V27" s="43" t="n">
        <f aca="false">SUMIFS('Additions (monthly)'!$E$2:$E$106,'Additions (monthly)'!$D$2:$D$106,V$2,'Additions (monthly)'!$B$2:$B$106,"&lt;="&amp;$B27)</f>
        <v>3.87</v>
      </c>
      <c r="W27" s="43" t="n">
        <f aca="false">SUMIFS('Additions (monthly)'!$E$2:$E$106,'Additions (monthly)'!$D$2:$D$106,W$2,'Additions (monthly)'!$B$2:$B$106,"&lt;="&amp;$B27)</f>
        <v>0</v>
      </c>
      <c r="X27" s="43" t="n">
        <f aca="false">SUMIFS('Additions (monthly)'!$E$2:$E$106,'Additions (monthly)'!$D$2:$D$106,X$2,'Additions (monthly)'!$B$2:$B$106,"&lt;="&amp;$B27)</f>
        <v>0</v>
      </c>
      <c r="Y27" s="43" t="n">
        <f aca="false">SUMIFS('Additions (monthly)'!$E$2:$E$106,'Additions (monthly)'!$D$2:$D$106,Y$2,'Additions (monthly)'!$B$2:$B$106,"&lt;="&amp;$B27)</f>
        <v>5</v>
      </c>
      <c r="Z27" s="43" t="n">
        <f aca="false">SUMIFS('Additions (monthly)'!$E$2:$E$106,'Additions (monthly)'!$D$2:$D$106,Z$2,'Additions (monthly)'!$B$2:$B$106,"&lt;="&amp;$B27)</f>
        <v>7.2</v>
      </c>
      <c r="AA27" s="43" t="n">
        <f aca="false">SUMIFS('Additions (monthly)'!$E$2:$E$106,'Additions (monthly)'!$D$2:$D$106,AA$2,'Additions (monthly)'!$B$2:$B$106,"&lt;="&amp;$B27)</f>
        <v>3.7</v>
      </c>
      <c r="AB27" s="43" t="n">
        <f aca="false">SUMIFS('Additions (monthly)'!$E$2:$E$106,'Additions (monthly)'!$D$2:$D$106,AB$2,'Additions (monthly)'!$B$2:$B$106,"&lt;="&amp;$B27)</f>
        <v>16.95</v>
      </c>
      <c r="AC27" s="43" t="n">
        <f aca="false">SUMIFS('Additions (monthly)'!$E$2:$E$106,'Additions (monthly)'!$D$2:$D$106,AC$2,'Additions (monthly)'!$B$2:$B$106,"&lt;="&amp;$B27)</f>
        <v>0</v>
      </c>
      <c r="AD27" s="43" t="n">
        <f aca="false">SUMIFS('Additions (monthly)'!$E$2:$E$106,'Additions (monthly)'!$D$2:$D$106,AD$2,'Additions (monthly)'!$B$2:$B$106,"&lt;="&amp;$B27)</f>
        <v>7.6</v>
      </c>
      <c r="AE27" s="43" t="n">
        <f aca="false">SUMIFS('Additions (monthly)'!$E$2:$E$106,'Additions (monthly)'!$D$2:$D$106,AE$2,'Additions (monthly)'!$B$2:$B$106,"&lt;="&amp;$B27)</f>
        <v>25.7</v>
      </c>
      <c r="AF27" s="43" t="n">
        <f aca="false">SUMIFS('Additions (monthly)'!$E$2:$E$106,'Additions (monthly)'!$D$2:$D$106,AF$2,'Additions (monthly)'!$B$2:$B$106,"&lt;="&amp;$B27)</f>
        <v>0</v>
      </c>
      <c r="AG27" s="43" t="n">
        <f aca="false">SUMIFS('Additions (monthly)'!$E$2:$E$106,'Additions (monthly)'!$D$2:$D$106,AG$2,'Additions (monthly)'!$B$2:$B$106,"&lt;="&amp;$B27)</f>
        <v>0</v>
      </c>
      <c r="AH27" s="43" t="n">
        <f aca="false">SUMIFS('Additions (monthly)'!$E$2:$E$106,'Additions (monthly)'!$D$2:$D$106,AH$2,'Additions (monthly)'!$B$2:$B$106,"&lt;="&amp;$B27)</f>
        <v>0</v>
      </c>
      <c r="AI27" s="43" t="n">
        <f aca="false">SUMIFS('Additions (monthly)'!$E$2:$E$106,'Additions (monthly)'!$D$2:$D$106,AI$2,'Additions (monthly)'!$B$2:$B$106,"&lt;="&amp;$B27)</f>
        <v>0</v>
      </c>
      <c r="AJ27" s="43" t="n">
        <f aca="false">SUMIFS('Additions (monthly)'!$E$2:$E$106,'Additions (monthly)'!$D$2:$D$106,AJ$2,'Additions (monthly)'!$B$2:$B$106,"&lt;="&amp;$B27)</f>
        <v>0</v>
      </c>
      <c r="AK27" s="43" t="n">
        <f aca="false">SUMIFS('Additions (monthly)'!$E$2:$E$106,'Additions (monthly)'!$D$2:$D$106,AK$2,'Additions (monthly)'!$B$2:$B$106,"&lt;="&amp;$B27)</f>
        <v>0</v>
      </c>
      <c r="AL27" s="43" t="n">
        <f aca="false">SUMIFS('Additions (monthly)'!$E$2:$E$106,'Additions (monthly)'!$D$2:$D$106,AL$2,'Additions (monthly)'!$B$2:$B$106,"&lt;="&amp;$B27)</f>
        <v>22.2</v>
      </c>
      <c r="AM27" s="43" t="n">
        <f aca="false">SUMIFS('Additions (monthly)'!$E$2:$E$106,'Additions (monthly)'!$D$2:$D$106,AM$2,'Additions (monthly)'!$B$2:$B$106,"&lt;="&amp;$B27)</f>
        <v>0.3</v>
      </c>
      <c r="AN27" s="43" t="n">
        <f aca="false">SUMIFS('Additions (monthly)'!$E$2:$E$106,'Additions (monthly)'!$D$2:$D$106,AN$2,'Additions (monthly)'!$B$2:$B$106,"&lt;="&amp;$B27)</f>
        <v>4.3</v>
      </c>
      <c r="AO27" s="43" t="n">
        <f aca="false">SUMIFS('Additions (monthly)'!$E$2:$E$106,'Additions (monthly)'!$D$2:$D$106,AO$2,'Additions (monthly)'!$B$2:$B$106,"&lt;="&amp;$B27)</f>
        <v>10.4</v>
      </c>
      <c r="AP27" s="43" t="n">
        <f aca="false">SUMIFS('Additions (monthly)'!$E$2:$E$106,'Additions (monthly)'!$D$2:$D$106,AP$2,'Additions (monthly)'!$B$2:$B$106,"&lt;="&amp;$B27)</f>
        <v>0</v>
      </c>
      <c r="AQ27" s="43" t="n">
        <f aca="false">SUMIFS('Additions (monthly)'!$E$2:$E$106,'Additions (monthly)'!$D$2:$D$106,AQ$2,'Additions (monthly)'!$B$2:$B$106,"&lt;="&amp;$B27)</f>
        <v>4.45</v>
      </c>
      <c r="AR27" s="43" t="n">
        <f aca="false">SUMIFS('Additions (monthly)'!$E$2:$E$106,'Additions (monthly)'!$D$2:$D$106,AR$2,'Additions (monthly)'!$B$2:$B$106,"&lt;="&amp;$B27)</f>
        <v>77.1</v>
      </c>
      <c r="AS27" s="43" t="n">
        <f aca="false">SUMIFS('Additions (monthly)'!$E$2:$E$106,'Additions (monthly)'!$D$2:$D$106,AS$2,'Additions (monthly)'!$B$2:$B$106,"&lt;="&amp;$B27)</f>
        <v>0</v>
      </c>
      <c r="AT27" s="43" t="n">
        <f aca="false">SUMIFS('Additions (monthly)'!$E$2:$E$106,'Additions (monthly)'!$D$2:$D$106,AT$2,'Additions (monthly)'!$B$2:$B$106,"&lt;="&amp;$B27)</f>
        <v>0</v>
      </c>
      <c r="AU27" s="43" t="n">
        <f aca="false">SUMIFS('Additions (monthly)'!$E$2:$E$106,'Additions (monthly)'!$D$2:$D$106,AU$2,'Additions (monthly)'!$B$2:$B$106,"&lt;="&amp;$B27)</f>
        <v>9.6</v>
      </c>
      <c r="AV27" s="43" t="n">
        <f aca="false">SUMIFS('Additions (monthly)'!$E$2:$E$106,'Additions (monthly)'!$D$2:$D$106,AV$2,'Additions (monthly)'!$B$2:$B$106,"&lt;="&amp;$B27)</f>
        <v>0</v>
      </c>
      <c r="AW27" s="43" t="n">
        <f aca="false">SUMIFS('Additions (monthly)'!$E$2:$E$106,'Additions (monthly)'!$D$2:$D$106,AW$2,'Additions (monthly)'!$B$2:$B$106,"&lt;="&amp;$B27)</f>
        <v>0</v>
      </c>
      <c r="AX27" s="43" t="n">
        <f aca="false">SUMIFS('Additions (monthly)'!$E$2:$E$106,'Additions (monthly)'!$D$2:$D$106,AX$2,'Additions (monthly)'!$B$2:$B$106,"&lt;="&amp;$B27)</f>
        <v>11.8</v>
      </c>
      <c r="AY27" s="43" t="n">
        <f aca="false">SUMIFS('Additions (monthly)'!$E$2:$E$106,'Additions (monthly)'!$D$2:$D$106,AY$2,'Additions (monthly)'!$B$2:$B$106,"&lt;="&amp;$B27)</f>
        <v>5.3</v>
      </c>
      <c r="AZ27" s="43" t="n">
        <f aca="false">SUMIFS('Additions (monthly)'!$E$2:$E$106,'Additions (monthly)'!$D$2:$D$106,AZ$2,'Additions (monthly)'!$B$2:$B$106,"&lt;="&amp;$B27)</f>
        <v>0</v>
      </c>
      <c r="BA27" s="43" t="n">
        <f aca="false">SUMIFS('Additions (monthly)'!$E$2:$E$106,'Additions (monthly)'!$D$2:$D$106,BA$2,'Additions (monthly)'!$B$2:$B$106,"&lt;="&amp;$B27)</f>
        <v>0</v>
      </c>
      <c r="BB27" s="43" t="n">
        <f aca="false">SUMIFS('Additions (monthly)'!$E$2:$E$106,'Additions (monthly)'!$D$2:$D$106,BB$2,'Additions (monthly)'!$B$2:$B$106,"&lt;="&amp;$B27)</f>
        <v>0</v>
      </c>
      <c r="BC27" s="43" t="n">
        <f aca="false">SUMIFS('Additions (monthly)'!$E$2:$E$106,'Additions (monthly)'!$D$2:$D$106,BC$2,'Additions (monthly)'!$B$2:$B$106,"&lt;="&amp;$B27)</f>
        <v>0</v>
      </c>
      <c r="BD27" s="43" t="n">
        <f aca="false">SUMIFS('Additions (monthly)'!$E$2:$E$106,'Additions (monthly)'!$D$2:$D$106,BD$2,'Additions (monthly)'!$B$2:$B$106,"&lt;="&amp;$B27)</f>
        <v>0</v>
      </c>
      <c r="BE27" s="43" t="n">
        <f aca="false">SUMIFS('Additions (monthly)'!$E$2:$E$106,'Additions (monthly)'!$D$2:$D$106,BE$2,'Additions (monthly)'!$B$2:$B$106,"&lt;="&amp;$B27)</f>
        <v>0</v>
      </c>
      <c r="BF27" s="43" t="n">
        <f aca="false">SUMIFS('Additions (monthly)'!$E$2:$E$106,'Additions (monthly)'!$D$2:$D$106,BF$2,'Additions (monthly)'!$B$2:$B$106,"&lt;="&amp;$B27)</f>
        <v>0</v>
      </c>
      <c r="BG27" s="43" t="n">
        <f aca="false">SUMIFS('Additions (monthly)'!$E$2:$E$106,'Additions (monthly)'!$D$2:$D$106,BG$2,'Additions (monthly)'!$B$2:$B$106,"&lt;="&amp;$B27)</f>
        <v>0</v>
      </c>
      <c r="BH27" s="43" t="n">
        <f aca="false">SUMIFS('Additions (monthly)'!$E$2:$E$106,'Additions (monthly)'!$D$2:$D$106,BH$2,'Additions (monthly)'!$B$2:$B$106,"&lt;="&amp;$B27)</f>
        <v>0</v>
      </c>
      <c r="BI27" s="43" t="n">
        <f aca="false">SUMIFS('Additions (monthly)'!$E$2:$E$106,'Additions (monthly)'!$D$2:$D$106,BI$2,'Additions (monthly)'!$B$2:$B$106,"&lt;="&amp;$B27)</f>
        <v>6.7</v>
      </c>
    </row>
    <row r="28" customFormat="false" ht="15" hidden="false" customHeight="false" outlineLevel="0" collapsed="false">
      <c r="A28" s="23" t="n">
        <v>40940</v>
      </c>
      <c r="B28" s="24" t="n">
        <v>201202</v>
      </c>
      <c r="C28" s="42" t="n">
        <f aca="false">SUMIFS('Additions (monthly)'!$E$2:$E$106,'Additions (monthly)'!$B$2:$B$106,"&lt;="&amp;$B28)</f>
        <v>263.57</v>
      </c>
      <c r="D28" s="43" t="n">
        <f aca="false">SUMIFS('Additions (monthly)'!$E$2:$E$106,'Additions (monthly)'!$D$2:$D$106,D$2,'Additions (monthly)'!$B$2:$B$106,"&lt;="&amp;$B28)</f>
        <v>7.9</v>
      </c>
      <c r="E28" s="43" t="n">
        <f aca="false">SUMIFS('Additions (monthly)'!$E$2:$E$106,'Additions (monthly)'!$D$2:$D$106,E$2,'Additions (monthly)'!$B$2:$B$106,"&lt;="&amp;$B28)</f>
        <v>8.4</v>
      </c>
      <c r="F28" s="43" t="n">
        <f aca="false">SUMIFS('Additions (monthly)'!$E$2:$E$106,'Additions (monthly)'!$D$2:$D$106,F$2,'Additions (monthly)'!$B$2:$B$106,"&lt;="&amp;$B28)</f>
        <v>0</v>
      </c>
      <c r="G28" s="43" t="n">
        <f aca="false">SUMIFS('Additions (monthly)'!$E$2:$E$106,'Additions (monthly)'!$D$2:$D$106,G$2,'Additions (monthly)'!$B$2:$B$106,"&lt;="&amp;$B28)</f>
        <v>0</v>
      </c>
      <c r="H28" s="43" t="n">
        <f aca="false">SUMIFS('Additions (monthly)'!$E$2:$E$106,'Additions (monthly)'!$D$2:$D$106,H$2,'Additions (monthly)'!$B$2:$B$106,"&lt;="&amp;$B28)</f>
        <v>0</v>
      </c>
      <c r="I28" s="43" t="n">
        <f aca="false">SUMIFS('Additions (monthly)'!$E$2:$E$106,'Additions (monthly)'!$D$2:$D$106,I$2,'Additions (monthly)'!$B$2:$B$106,"&lt;="&amp;$B28)</f>
        <v>0</v>
      </c>
      <c r="J28" s="43" t="n">
        <f aca="false">SUMIFS('Additions (monthly)'!$E$2:$E$106,'Additions (monthly)'!$D$2:$D$106,J$2,'Additions (monthly)'!$B$2:$B$106,"&lt;="&amp;$B28)</f>
        <v>3.7</v>
      </c>
      <c r="K28" s="43" t="n">
        <f aca="false">SUMIFS('Additions (monthly)'!$E$2:$E$106,'Additions (monthly)'!$D$2:$D$106,K$2,'Additions (monthly)'!$B$2:$B$106,"&lt;="&amp;$B28)</f>
        <v>0</v>
      </c>
      <c r="L28" s="43" t="n">
        <f aca="false">SUMIFS('Additions (monthly)'!$E$2:$E$106,'Additions (monthly)'!$D$2:$D$106,L$2,'Additions (monthly)'!$B$2:$B$106,"&lt;="&amp;$B28)</f>
        <v>0</v>
      </c>
      <c r="M28" s="43" t="n">
        <f aca="false">SUMIFS('Additions (monthly)'!$E$2:$E$106,'Additions (monthly)'!$D$2:$D$106,M$2,'Additions (monthly)'!$B$2:$B$106,"&lt;="&amp;$B28)</f>
        <v>0</v>
      </c>
      <c r="N28" s="43" t="n">
        <f aca="false">SUMIFS('Additions (monthly)'!$E$2:$E$106,'Additions (monthly)'!$D$2:$D$106,N$2,'Additions (monthly)'!$B$2:$B$106,"&lt;="&amp;$B28)</f>
        <v>14.2</v>
      </c>
      <c r="O28" s="43" t="n">
        <f aca="false">SUMIFS('Additions (monthly)'!$E$2:$E$106,'Additions (monthly)'!$D$2:$D$106,O$2,'Additions (monthly)'!$B$2:$B$106,"&lt;="&amp;$B28)</f>
        <v>0</v>
      </c>
      <c r="P28" s="43" t="n">
        <f aca="false">SUMIFS('Additions (monthly)'!$E$2:$E$106,'Additions (monthly)'!$D$2:$D$106,P$2,'Additions (monthly)'!$B$2:$B$106,"&lt;="&amp;$B28)</f>
        <v>0</v>
      </c>
      <c r="Q28" s="43" t="n">
        <f aca="false">SUMIFS('Additions (monthly)'!$E$2:$E$106,'Additions (monthly)'!$D$2:$D$106,Q$2,'Additions (monthly)'!$B$2:$B$106,"&lt;="&amp;$B28)</f>
        <v>0</v>
      </c>
      <c r="R28" s="43" t="n">
        <f aca="false">SUMIFS('Additions (monthly)'!$E$2:$E$106,'Additions (monthly)'!$D$2:$D$106,R$2,'Additions (monthly)'!$B$2:$B$106,"&lt;="&amp;$B28)</f>
        <v>0</v>
      </c>
      <c r="S28" s="43" t="n">
        <f aca="false">SUMIFS('Additions (monthly)'!$E$2:$E$106,'Additions (monthly)'!$D$2:$D$106,S$2,'Additions (monthly)'!$B$2:$B$106,"&lt;="&amp;$B28)</f>
        <v>7.2</v>
      </c>
      <c r="T28" s="43" t="n">
        <f aca="false">SUMIFS('Additions (monthly)'!$E$2:$E$106,'Additions (monthly)'!$D$2:$D$106,T$2,'Additions (monthly)'!$B$2:$B$106,"&lt;="&amp;$B28)</f>
        <v>0</v>
      </c>
      <c r="U28" s="43" t="n">
        <f aca="false">SUMIFS('Additions (monthly)'!$E$2:$E$106,'Additions (monthly)'!$D$2:$D$106,U$2,'Additions (monthly)'!$B$2:$B$106,"&lt;="&amp;$B28)</f>
        <v>0</v>
      </c>
      <c r="V28" s="43" t="n">
        <f aca="false">SUMIFS('Additions (monthly)'!$E$2:$E$106,'Additions (monthly)'!$D$2:$D$106,V$2,'Additions (monthly)'!$B$2:$B$106,"&lt;="&amp;$B28)</f>
        <v>3.87</v>
      </c>
      <c r="W28" s="43" t="n">
        <f aca="false">SUMIFS('Additions (monthly)'!$E$2:$E$106,'Additions (monthly)'!$D$2:$D$106,W$2,'Additions (monthly)'!$B$2:$B$106,"&lt;="&amp;$B28)</f>
        <v>0</v>
      </c>
      <c r="X28" s="43" t="n">
        <f aca="false">SUMIFS('Additions (monthly)'!$E$2:$E$106,'Additions (monthly)'!$D$2:$D$106,X$2,'Additions (monthly)'!$B$2:$B$106,"&lt;="&amp;$B28)</f>
        <v>0</v>
      </c>
      <c r="Y28" s="43" t="n">
        <f aca="false">SUMIFS('Additions (monthly)'!$E$2:$E$106,'Additions (monthly)'!$D$2:$D$106,Y$2,'Additions (monthly)'!$B$2:$B$106,"&lt;="&amp;$B28)</f>
        <v>5</v>
      </c>
      <c r="Z28" s="43" t="n">
        <f aca="false">SUMIFS('Additions (monthly)'!$E$2:$E$106,'Additions (monthly)'!$D$2:$D$106,Z$2,'Additions (monthly)'!$B$2:$B$106,"&lt;="&amp;$B28)</f>
        <v>7.2</v>
      </c>
      <c r="AA28" s="43" t="n">
        <f aca="false">SUMIFS('Additions (monthly)'!$E$2:$E$106,'Additions (monthly)'!$D$2:$D$106,AA$2,'Additions (monthly)'!$B$2:$B$106,"&lt;="&amp;$B28)</f>
        <v>3.7</v>
      </c>
      <c r="AB28" s="43" t="n">
        <f aca="false">SUMIFS('Additions (monthly)'!$E$2:$E$106,'Additions (monthly)'!$D$2:$D$106,AB$2,'Additions (monthly)'!$B$2:$B$106,"&lt;="&amp;$B28)</f>
        <v>16.95</v>
      </c>
      <c r="AC28" s="43" t="n">
        <f aca="false">SUMIFS('Additions (monthly)'!$E$2:$E$106,'Additions (monthly)'!$D$2:$D$106,AC$2,'Additions (monthly)'!$B$2:$B$106,"&lt;="&amp;$B28)</f>
        <v>0</v>
      </c>
      <c r="AD28" s="43" t="n">
        <f aca="false">SUMIFS('Additions (monthly)'!$E$2:$E$106,'Additions (monthly)'!$D$2:$D$106,AD$2,'Additions (monthly)'!$B$2:$B$106,"&lt;="&amp;$B28)</f>
        <v>7.6</v>
      </c>
      <c r="AE28" s="43" t="n">
        <f aca="false">SUMIFS('Additions (monthly)'!$E$2:$E$106,'Additions (monthly)'!$D$2:$D$106,AE$2,'Additions (monthly)'!$B$2:$B$106,"&lt;="&amp;$B28)</f>
        <v>25.7</v>
      </c>
      <c r="AF28" s="43" t="n">
        <f aca="false">SUMIFS('Additions (monthly)'!$E$2:$E$106,'Additions (monthly)'!$D$2:$D$106,AF$2,'Additions (monthly)'!$B$2:$B$106,"&lt;="&amp;$B28)</f>
        <v>0</v>
      </c>
      <c r="AG28" s="43" t="n">
        <f aca="false">SUMIFS('Additions (monthly)'!$E$2:$E$106,'Additions (monthly)'!$D$2:$D$106,AG$2,'Additions (monthly)'!$B$2:$B$106,"&lt;="&amp;$B28)</f>
        <v>0</v>
      </c>
      <c r="AH28" s="43" t="n">
        <f aca="false">SUMIFS('Additions (monthly)'!$E$2:$E$106,'Additions (monthly)'!$D$2:$D$106,AH$2,'Additions (monthly)'!$B$2:$B$106,"&lt;="&amp;$B28)</f>
        <v>0</v>
      </c>
      <c r="AI28" s="43" t="n">
        <f aca="false">SUMIFS('Additions (monthly)'!$E$2:$E$106,'Additions (monthly)'!$D$2:$D$106,AI$2,'Additions (monthly)'!$B$2:$B$106,"&lt;="&amp;$B28)</f>
        <v>0</v>
      </c>
      <c r="AJ28" s="43" t="n">
        <f aca="false">SUMIFS('Additions (monthly)'!$E$2:$E$106,'Additions (monthly)'!$D$2:$D$106,AJ$2,'Additions (monthly)'!$B$2:$B$106,"&lt;="&amp;$B28)</f>
        <v>0</v>
      </c>
      <c r="AK28" s="43" t="n">
        <f aca="false">SUMIFS('Additions (monthly)'!$E$2:$E$106,'Additions (monthly)'!$D$2:$D$106,AK$2,'Additions (monthly)'!$B$2:$B$106,"&lt;="&amp;$B28)</f>
        <v>0</v>
      </c>
      <c r="AL28" s="43" t="n">
        <f aca="false">SUMIFS('Additions (monthly)'!$E$2:$E$106,'Additions (monthly)'!$D$2:$D$106,AL$2,'Additions (monthly)'!$B$2:$B$106,"&lt;="&amp;$B28)</f>
        <v>22.2</v>
      </c>
      <c r="AM28" s="43" t="n">
        <f aca="false">SUMIFS('Additions (monthly)'!$E$2:$E$106,'Additions (monthly)'!$D$2:$D$106,AM$2,'Additions (monthly)'!$B$2:$B$106,"&lt;="&amp;$B28)</f>
        <v>0.3</v>
      </c>
      <c r="AN28" s="43" t="n">
        <f aca="false">SUMIFS('Additions (monthly)'!$E$2:$E$106,'Additions (monthly)'!$D$2:$D$106,AN$2,'Additions (monthly)'!$B$2:$B$106,"&lt;="&amp;$B28)</f>
        <v>4.3</v>
      </c>
      <c r="AO28" s="43" t="n">
        <f aca="false">SUMIFS('Additions (monthly)'!$E$2:$E$106,'Additions (monthly)'!$D$2:$D$106,AO$2,'Additions (monthly)'!$B$2:$B$106,"&lt;="&amp;$B28)</f>
        <v>10.4</v>
      </c>
      <c r="AP28" s="43" t="n">
        <f aca="false">SUMIFS('Additions (monthly)'!$E$2:$E$106,'Additions (monthly)'!$D$2:$D$106,AP$2,'Additions (monthly)'!$B$2:$B$106,"&lt;="&amp;$B28)</f>
        <v>0</v>
      </c>
      <c r="AQ28" s="43" t="n">
        <f aca="false">SUMIFS('Additions (monthly)'!$E$2:$E$106,'Additions (monthly)'!$D$2:$D$106,AQ$2,'Additions (monthly)'!$B$2:$B$106,"&lt;="&amp;$B28)</f>
        <v>4.45</v>
      </c>
      <c r="AR28" s="43" t="n">
        <f aca="false">SUMIFS('Additions (monthly)'!$E$2:$E$106,'Additions (monthly)'!$D$2:$D$106,AR$2,'Additions (monthly)'!$B$2:$B$106,"&lt;="&amp;$B28)</f>
        <v>77.1</v>
      </c>
      <c r="AS28" s="43" t="n">
        <f aca="false">SUMIFS('Additions (monthly)'!$E$2:$E$106,'Additions (monthly)'!$D$2:$D$106,AS$2,'Additions (monthly)'!$B$2:$B$106,"&lt;="&amp;$B28)</f>
        <v>0</v>
      </c>
      <c r="AT28" s="43" t="n">
        <f aca="false">SUMIFS('Additions (monthly)'!$E$2:$E$106,'Additions (monthly)'!$D$2:$D$106,AT$2,'Additions (monthly)'!$B$2:$B$106,"&lt;="&amp;$B28)</f>
        <v>0</v>
      </c>
      <c r="AU28" s="43" t="n">
        <f aca="false">SUMIFS('Additions (monthly)'!$E$2:$E$106,'Additions (monthly)'!$D$2:$D$106,AU$2,'Additions (monthly)'!$B$2:$B$106,"&lt;="&amp;$B28)</f>
        <v>9.6</v>
      </c>
      <c r="AV28" s="43" t="n">
        <f aca="false">SUMIFS('Additions (monthly)'!$E$2:$E$106,'Additions (monthly)'!$D$2:$D$106,AV$2,'Additions (monthly)'!$B$2:$B$106,"&lt;="&amp;$B28)</f>
        <v>0</v>
      </c>
      <c r="AW28" s="43" t="n">
        <f aca="false">SUMIFS('Additions (monthly)'!$E$2:$E$106,'Additions (monthly)'!$D$2:$D$106,AW$2,'Additions (monthly)'!$B$2:$B$106,"&lt;="&amp;$B28)</f>
        <v>0</v>
      </c>
      <c r="AX28" s="43" t="n">
        <f aca="false">SUMIFS('Additions (monthly)'!$E$2:$E$106,'Additions (monthly)'!$D$2:$D$106,AX$2,'Additions (monthly)'!$B$2:$B$106,"&lt;="&amp;$B28)</f>
        <v>11.8</v>
      </c>
      <c r="AY28" s="43" t="n">
        <f aca="false">SUMIFS('Additions (monthly)'!$E$2:$E$106,'Additions (monthly)'!$D$2:$D$106,AY$2,'Additions (monthly)'!$B$2:$B$106,"&lt;="&amp;$B28)</f>
        <v>5.3</v>
      </c>
      <c r="AZ28" s="43" t="n">
        <f aca="false">SUMIFS('Additions (monthly)'!$E$2:$E$106,'Additions (monthly)'!$D$2:$D$106,AZ$2,'Additions (monthly)'!$B$2:$B$106,"&lt;="&amp;$B28)</f>
        <v>0</v>
      </c>
      <c r="BA28" s="43" t="n">
        <f aca="false">SUMIFS('Additions (monthly)'!$E$2:$E$106,'Additions (monthly)'!$D$2:$D$106,BA$2,'Additions (monthly)'!$B$2:$B$106,"&lt;="&amp;$B28)</f>
        <v>0</v>
      </c>
      <c r="BB28" s="43" t="n">
        <f aca="false">SUMIFS('Additions (monthly)'!$E$2:$E$106,'Additions (monthly)'!$D$2:$D$106,BB$2,'Additions (monthly)'!$B$2:$B$106,"&lt;="&amp;$B28)</f>
        <v>0</v>
      </c>
      <c r="BC28" s="43" t="n">
        <f aca="false">SUMIFS('Additions (monthly)'!$E$2:$E$106,'Additions (monthly)'!$D$2:$D$106,BC$2,'Additions (monthly)'!$B$2:$B$106,"&lt;="&amp;$B28)</f>
        <v>0</v>
      </c>
      <c r="BD28" s="43" t="n">
        <f aca="false">SUMIFS('Additions (monthly)'!$E$2:$E$106,'Additions (monthly)'!$D$2:$D$106,BD$2,'Additions (monthly)'!$B$2:$B$106,"&lt;="&amp;$B28)</f>
        <v>0</v>
      </c>
      <c r="BE28" s="43" t="n">
        <f aca="false">SUMIFS('Additions (monthly)'!$E$2:$E$106,'Additions (monthly)'!$D$2:$D$106,BE$2,'Additions (monthly)'!$B$2:$B$106,"&lt;="&amp;$B28)</f>
        <v>0</v>
      </c>
      <c r="BF28" s="43" t="n">
        <f aca="false">SUMIFS('Additions (monthly)'!$E$2:$E$106,'Additions (monthly)'!$D$2:$D$106,BF$2,'Additions (monthly)'!$B$2:$B$106,"&lt;="&amp;$B28)</f>
        <v>0</v>
      </c>
      <c r="BG28" s="43" t="n">
        <f aca="false">SUMIFS('Additions (monthly)'!$E$2:$E$106,'Additions (monthly)'!$D$2:$D$106,BG$2,'Additions (monthly)'!$B$2:$B$106,"&lt;="&amp;$B28)</f>
        <v>0</v>
      </c>
      <c r="BH28" s="43" t="n">
        <f aca="false">SUMIFS('Additions (monthly)'!$E$2:$E$106,'Additions (monthly)'!$D$2:$D$106,BH$2,'Additions (monthly)'!$B$2:$B$106,"&lt;="&amp;$B28)</f>
        <v>0</v>
      </c>
      <c r="BI28" s="43" t="n">
        <f aca="false">SUMIFS('Additions (monthly)'!$E$2:$E$106,'Additions (monthly)'!$D$2:$D$106,BI$2,'Additions (monthly)'!$B$2:$B$106,"&lt;="&amp;$B28)</f>
        <v>6.7</v>
      </c>
    </row>
    <row r="29" customFormat="false" ht="15" hidden="false" customHeight="false" outlineLevel="0" collapsed="false">
      <c r="A29" s="23" t="n">
        <v>40969</v>
      </c>
      <c r="B29" s="24" t="n">
        <v>201203</v>
      </c>
      <c r="C29" s="42" t="n">
        <f aca="false">SUMIFS('Additions (monthly)'!$E$2:$E$106,'Additions (monthly)'!$B$2:$B$106,"&lt;="&amp;$B29)</f>
        <v>263.57</v>
      </c>
      <c r="D29" s="43" t="n">
        <f aca="false">SUMIFS('Additions (monthly)'!$E$2:$E$106,'Additions (monthly)'!$D$2:$D$106,D$2,'Additions (monthly)'!$B$2:$B$106,"&lt;="&amp;$B29)</f>
        <v>7.9</v>
      </c>
      <c r="E29" s="43" t="n">
        <f aca="false">SUMIFS('Additions (monthly)'!$E$2:$E$106,'Additions (monthly)'!$D$2:$D$106,E$2,'Additions (monthly)'!$B$2:$B$106,"&lt;="&amp;$B29)</f>
        <v>8.4</v>
      </c>
      <c r="F29" s="43" t="n">
        <f aca="false">SUMIFS('Additions (monthly)'!$E$2:$E$106,'Additions (monthly)'!$D$2:$D$106,F$2,'Additions (monthly)'!$B$2:$B$106,"&lt;="&amp;$B29)</f>
        <v>0</v>
      </c>
      <c r="G29" s="43" t="n">
        <f aca="false">SUMIFS('Additions (monthly)'!$E$2:$E$106,'Additions (monthly)'!$D$2:$D$106,G$2,'Additions (monthly)'!$B$2:$B$106,"&lt;="&amp;$B29)</f>
        <v>0</v>
      </c>
      <c r="H29" s="43" t="n">
        <f aca="false">SUMIFS('Additions (monthly)'!$E$2:$E$106,'Additions (monthly)'!$D$2:$D$106,H$2,'Additions (monthly)'!$B$2:$B$106,"&lt;="&amp;$B29)</f>
        <v>0</v>
      </c>
      <c r="I29" s="43" t="n">
        <f aca="false">SUMIFS('Additions (monthly)'!$E$2:$E$106,'Additions (monthly)'!$D$2:$D$106,I$2,'Additions (monthly)'!$B$2:$B$106,"&lt;="&amp;$B29)</f>
        <v>0</v>
      </c>
      <c r="J29" s="43" t="n">
        <f aca="false">SUMIFS('Additions (monthly)'!$E$2:$E$106,'Additions (monthly)'!$D$2:$D$106,J$2,'Additions (monthly)'!$B$2:$B$106,"&lt;="&amp;$B29)</f>
        <v>3.7</v>
      </c>
      <c r="K29" s="43" t="n">
        <f aca="false">SUMIFS('Additions (monthly)'!$E$2:$E$106,'Additions (monthly)'!$D$2:$D$106,K$2,'Additions (monthly)'!$B$2:$B$106,"&lt;="&amp;$B29)</f>
        <v>0</v>
      </c>
      <c r="L29" s="43" t="n">
        <f aca="false">SUMIFS('Additions (monthly)'!$E$2:$E$106,'Additions (monthly)'!$D$2:$D$106,L$2,'Additions (monthly)'!$B$2:$B$106,"&lt;="&amp;$B29)</f>
        <v>0</v>
      </c>
      <c r="M29" s="43" t="n">
        <f aca="false">SUMIFS('Additions (monthly)'!$E$2:$E$106,'Additions (monthly)'!$D$2:$D$106,M$2,'Additions (monthly)'!$B$2:$B$106,"&lt;="&amp;$B29)</f>
        <v>0</v>
      </c>
      <c r="N29" s="43" t="n">
        <f aca="false">SUMIFS('Additions (monthly)'!$E$2:$E$106,'Additions (monthly)'!$D$2:$D$106,N$2,'Additions (monthly)'!$B$2:$B$106,"&lt;="&amp;$B29)</f>
        <v>14.2</v>
      </c>
      <c r="O29" s="43" t="n">
        <f aca="false">SUMIFS('Additions (monthly)'!$E$2:$E$106,'Additions (monthly)'!$D$2:$D$106,O$2,'Additions (monthly)'!$B$2:$B$106,"&lt;="&amp;$B29)</f>
        <v>0</v>
      </c>
      <c r="P29" s="43" t="n">
        <f aca="false">SUMIFS('Additions (monthly)'!$E$2:$E$106,'Additions (monthly)'!$D$2:$D$106,P$2,'Additions (monthly)'!$B$2:$B$106,"&lt;="&amp;$B29)</f>
        <v>0</v>
      </c>
      <c r="Q29" s="43" t="n">
        <f aca="false">SUMIFS('Additions (monthly)'!$E$2:$E$106,'Additions (monthly)'!$D$2:$D$106,Q$2,'Additions (monthly)'!$B$2:$B$106,"&lt;="&amp;$B29)</f>
        <v>0</v>
      </c>
      <c r="R29" s="43" t="n">
        <f aca="false">SUMIFS('Additions (monthly)'!$E$2:$E$106,'Additions (monthly)'!$D$2:$D$106,R$2,'Additions (monthly)'!$B$2:$B$106,"&lt;="&amp;$B29)</f>
        <v>0</v>
      </c>
      <c r="S29" s="43" t="n">
        <f aca="false">SUMIFS('Additions (monthly)'!$E$2:$E$106,'Additions (monthly)'!$D$2:$D$106,S$2,'Additions (monthly)'!$B$2:$B$106,"&lt;="&amp;$B29)</f>
        <v>7.2</v>
      </c>
      <c r="T29" s="43" t="n">
        <f aca="false">SUMIFS('Additions (monthly)'!$E$2:$E$106,'Additions (monthly)'!$D$2:$D$106,T$2,'Additions (monthly)'!$B$2:$B$106,"&lt;="&amp;$B29)</f>
        <v>0</v>
      </c>
      <c r="U29" s="43" t="n">
        <f aca="false">SUMIFS('Additions (monthly)'!$E$2:$E$106,'Additions (monthly)'!$D$2:$D$106,U$2,'Additions (monthly)'!$B$2:$B$106,"&lt;="&amp;$B29)</f>
        <v>0</v>
      </c>
      <c r="V29" s="43" t="n">
        <f aca="false">SUMIFS('Additions (monthly)'!$E$2:$E$106,'Additions (monthly)'!$D$2:$D$106,V$2,'Additions (monthly)'!$B$2:$B$106,"&lt;="&amp;$B29)</f>
        <v>3.87</v>
      </c>
      <c r="W29" s="43" t="n">
        <f aca="false">SUMIFS('Additions (monthly)'!$E$2:$E$106,'Additions (monthly)'!$D$2:$D$106,W$2,'Additions (monthly)'!$B$2:$B$106,"&lt;="&amp;$B29)</f>
        <v>0</v>
      </c>
      <c r="X29" s="43" t="n">
        <f aca="false">SUMIFS('Additions (monthly)'!$E$2:$E$106,'Additions (monthly)'!$D$2:$D$106,X$2,'Additions (monthly)'!$B$2:$B$106,"&lt;="&amp;$B29)</f>
        <v>0</v>
      </c>
      <c r="Y29" s="43" t="n">
        <f aca="false">SUMIFS('Additions (monthly)'!$E$2:$E$106,'Additions (monthly)'!$D$2:$D$106,Y$2,'Additions (monthly)'!$B$2:$B$106,"&lt;="&amp;$B29)</f>
        <v>5</v>
      </c>
      <c r="Z29" s="43" t="n">
        <f aca="false">SUMIFS('Additions (monthly)'!$E$2:$E$106,'Additions (monthly)'!$D$2:$D$106,Z$2,'Additions (monthly)'!$B$2:$B$106,"&lt;="&amp;$B29)</f>
        <v>7.2</v>
      </c>
      <c r="AA29" s="43" t="n">
        <f aca="false">SUMIFS('Additions (monthly)'!$E$2:$E$106,'Additions (monthly)'!$D$2:$D$106,AA$2,'Additions (monthly)'!$B$2:$B$106,"&lt;="&amp;$B29)</f>
        <v>3.7</v>
      </c>
      <c r="AB29" s="43" t="n">
        <f aca="false">SUMIFS('Additions (monthly)'!$E$2:$E$106,'Additions (monthly)'!$D$2:$D$106,AB$2,'Additions (monthly)'!$B$2:$B$106,"&lt;="&amp;$B29)</f>
        <v>16.95</v>
      </c>
      <c r="AC29" s="43" t="n">
        <f aca="false">SUMIFS('Additions (monthly)'!$E$2:$E$106,'Additions (monthly)'!$D$2:$D$106,AC$2,'Additions (monthly)'!$B$2:$B$106,"&lt;="&amp;$B29)</f>
        <v>0</v>
      </c>
      <c r="AD29" s="43" t="n">
        <f aca="false">SUMIFS('Additions (monthly)'!$E$2:$E$106,'Additions (monthly)'!$D$2:$D$106,AD$2,'Additions (monthly)'!$B$2:$B$106,"&lt;="&amp;$B29)</f>
        <v>7.6</v>
      </c>
      <c r="AE29" s="43" t="n">
        <f aca="false">SUMIFS('Additions (monthly)'!$E$2:$E$106,'Additions (monthly)'!$D$2:$D$106,AE$2,'Additions (monthly)'!$B$2:$B$106,"&lt;="&amp;$B29)</f>
        <v>25.7</v>
      </c>
      <c r="AF29" s="43" t="n">
        <f aca="false">SUMIFS('Additions (monthly)'!$E$2:$E$106,'Additions (monthly)'!$D$2:$D$106,AF$2,'Additions (monthly)'!$B$2:$B$106,"&lt;="&amp;$B29)</f>
        <v>0</v>
      </c>
      <c r="AG29" s="43" t="n">
        <f aca="false">SUMIFS('Additions (monthly)'!$E$2:$E$106,'Additions (monthly)'!$D$2:$D$106,AG$2,'Additions (monthly)'!$B$2:$B$106,"&lt;="&amp;$B29)</f>
        <v>0</v>
      </c>
      <c r="AH29" s="43" t="n">
        <f aca="false">SUMIFS('Additions (monthly)'!$E$2:$E$106,'Additions (monthly)'!$D$2:$D$106,AH$2,'Additions (monthly)'!$B$2:$B$106,"&lt;="&amp;$B29)</f>
        <v>0</v>
      </c>
      <c r="AI29" s="43" t="n">
        <f aca="false">SUMIFS('Additions (monthly)'!$E$2:$E$106,'Additions (monthly)'!$D$2:$D$106,AI$2,'Additions (monthly)'!$B$2:$B$106,"&lt;="&amp;$B29)</f>
        <v>0</v>
      </c>
      <c r="AJ29" s="43" t="n">
        <f aca="false">SUMIFS('Additions (monthly)'!$E$2:$E$106,'Additions (monthly)'!$D$2:$D$106,AJ$2,'Additions (monthly)'!$B$2:$B$106,"&lt;="&amp;$B29)</f>
        <v>0</v>
      </c>
      <c r="AK29" s="43" t="n">
        <f aca="false">SUMIFS('Additions (monthly)'!$E$2:$E$106,'Additions (monthly)'!$D$2:$D$106,AK$2,'Additions (monthly)'!$B$2:$B$106,"&lt;="&amp;$B29)</f>
        <v>0</v>
      </c>
      <c r="AL29" s="43" t="n">
        <f aca="false">SUMIFS('Additions (monthly)'!$E$2:$E$106,'Additions (monthly)'!$D$2:$D$106,AL$2,'Additions (monthly)'!$B$2:$B$106,"&lt;="&amp;$B29)</f>
        <v>22.2</v>
      </c>
      <c r="AM29" s="43" t="n">
        <f aca="false">SUMIFS('Additions (monthly)'!$E$2:$E$106,'Additions (monthly)'!$D$2:$D$106,AM$2,'Additions (monthly)'!$B$2:$B$106,"&lt;="&amp;$B29)</f>
        <v>0.3</v>
      </c>
      <c r="AN29" s="43" t="n">
        <f aca="false">SUMIFS('Additions (monthly)'!$E$2:$E$106,'Additions (monthly)'!$D$2:$D$106,AN$2,'Additions (monthly)'!$B$2:$B$106,"&lt;="&amp;$B29)</f>
        <v>4.3</v>
      </c>
      <c r="AO29" s="43" t="n">
        <f aca="false">SUMIFS('Additions (monthly)'!$E$2:$E$106,'Additions (monthly)'!$D$2:$D$106,AO$2,'Additions (monthly)'!$B$2:$B$106,"&lt;="&amp;$B29)</f>
        <v>10.4</v>
      </c>
      <c r="AP29" s="43" t="n">
        <f aca="false">SUMIFS('Additions (monthly)'!$E$2:$E$106,'Additions (monthly)'!$D$2:$D$106,AP$2,'Additions (monthly)'!$B$2:$B$106,"&lt;="&amp;$B29)</f>
        <v>0</v>
      </c>
      <c r="AQ29" s="43" t="n">
        <f aca="false">SUMIFS('Additions (monthly)'!$E$2:$E$106,'Additions (monthly)'!$D$2:$D$106,AQ$2,'Additions (monthly)'!$B$2:$B$106,"&lt;="&amp;$B29)</f>
        <v>4.45</v>
      </c>
      <c r="AR29" s="43" t="n">
        <f aca="false">SUMIFS('Additions (monthly)'!$E$2:$E$106,'Additions (monthly)'!$D$2:$D$106,AR$2,'Additions (monthly)'!$B$2:$B$106,"&lt;="&amp;$B29)</f>
        <v>77.1</v>
      </c>
      <c r="AS29" s="43" t="n">
        <f aca="false">SUMIFS('Additions (monthly)'!$E$2:$E$106,'Additions (monthly)'!$D$2:$D$106,AS$2,'Additions (monthly)'!$B$2:$B$106,"&lt;="&amp;$B29)</f>
        <v>0</v>
      </c>
      <c r="AT29" s="43" t="n">
        <f aca="false">SUMIFS('Additions (monthly)'!$E$2:$E$106,'Additions (monthly)'!$D$2:$D$106,AT$2,'Additions (monthly)'!$B$2:$B$106,"&lt;="&amp;$B29)</f>
        <v>0</v>
      </c>
      <c r="AU29" s="43" t="n">
        <f aca="false">SUMIFS('Additions (monthly)'!$E$2:$E$106,'Additions (monthly)'!$D$2:$D$106,AU$2,'Additions (monthly)'!$B$2:$B$106,"&lt;="&amp;$B29)</f>
        <v>9.6</v>
      </c>
      <c r="AV29" s="43" t="n">
        <f aca="false">SUMIFS('Additions (monthly)'!$E$2:$E$106,'Additions (monthly)'!$D$2:$D$106,AV$2,'Additions (monthly)'!$B$2:$B$106,"&lt;="&amp;$B29)</f>
        <v>0</v>
      </c>
      <c r="AW29" s="43" t="n">
        <f aca="false">SUMIFS('Additions (monthly)'!$E$2:$E$106,'Additions (monthly)'!$D$2:$D$106,AW$2,'Additions (monthly)'!$B$2:$B$106,"&lt;="&amp;$B29)</f>
        <v>0</v>
      </c>
      <c r="AX29" s="43" t="n">
        <f aca="false">SUMIFS('Additions (monthly)'!$E$2:$E$106,'Additions (monthly)'!$D$2:$D$106,AX$2,'Additions (monthly)'!$B$2:$B$106,"&lt;="&amp;$B29)</f>
        <v>11.8</v>
      </c>
      <c r="AY29" s="43" t="n">
        <f aca="false">SUMIFS('Additions (monthly)'!$E$2:$E$106,'Additions (monthly)'!$D$2:$D$106,AY$2,'Additions (monthly)'!$B$2:$B$106,"&lt;="&amp;$B29)</f>
        <v>5.3</v>
      </c>
      <c r="AZ29" s="43" t="n">
        <f aca="false">SUMIFS('Additions (monthly)'!$E$2:$E$106,'Additions (monthly)'!$D$2:$D$106,AZ$2,'Additions (monthly)'!$B$2:$B$106,"&lt;="&amp;$B29)</f>
        <v>0</v>
      </c>
      <c r="BA29" s="43" t="n">
        <f aca="false">SUMIFS('Additions (monthly)'!$E$2:$E$106,'Additions (monthly)'!$D$2:$D$106,BA$2,'Additions (monthly)'!$B$2:$B$106,"&lt;="&amp;$B29)</f>
        <v>0</v>
      </c>
      <c r="BB29" s="43" t="n">
        <f aca="false">SUMIFS('Additions (monthly)'!$E$2:$E$106,'Additions (monthly)'!$D$2:$D$106,BB$2,'Additions (monthly)'!$B$2:$B$106,"&lt;="&amp;$B29)</f>
        <v>0</v>
      </c>
      <c r="BC29" s="43" t="n">
        <f aca="false">SUMIFS('Additions (monthly)'!$E$2:$E$106,'Additions (monthly)'!$D$2:$D$106,BC$2,'Additions (monthly)'!$B$2:$B$106,"&lt;="&amp;$B29)</f>
        <v>0</v>
      </c>
      <c r="BD29" s="43" t="n">
        <f aca="false">SUMIFS('Additions (monthly)'!$E$2:$E$106,'Additions (monthly)'!$D$2:$D$106,BD$2,'Additions (monthly)'!$B$2:$B$106,"&lt;="&amp;$B29)</f>
        <v>0</v>
      </c>
      <c r="BE29" s="43" t="n">
        <f aca="false">SUMIFS('Additions (monthly)'!$E$2:$E$106,'Additions (monthly)'!$D$2:$D$106,BE$2,'Additions (monthly)'!$B$2:$B$106,"&lt;="&amp;$B29)</f>
        <v>0</v>
      </c>
      <c r="BF29" s="43" t="n">
        <f aca="false">SUMIFS('Additions (monthly)'!$E$2:$E$106,'Additions (monthly)'!$D$2:$D$106,BF$2,'Additions (monthly)'!$B$2:$B$106,"&lt;="&amp;$B29)</f>
        <v>0</v>
      </c>
      <c r="BG29" s="43" t="n">
        <f aca="false">SUMIFS('Additions (monthly)'!$E$2:$E$106,'Additions (monthly)'!$D$2:$D$106,BG$2,'Additions (monthly)'!$B$2:$B$106,"&lt;="&amp;$B29)</f>
        <v>0</v>
      </c>
      <c r="BH29" s="43" t="n">
        <f aca="false">SUMIFS('Additions (monthly)'!$E$2:$E$106,'Additions (monthly)'!$D$2:$D$106,BH$2,'Additions (monthly)'!$B$2:$B$106,"&lt;="&amp;$B29)</f>
        <v>0</v>
      </c>
      <c r="BI29" s="43" t="n">
        <f aca="false">SUMIFS('Additions (monthly)'!$E$2:$E$106,'Additions (monthly)'!$D$2:$D$106,BI$2,'Additions (monthly)'!$B$2:$B$106,"&lt;="&amp;$B29)</f>
        <v>6.7</v>
      </c>
    </row>
    <row r="30" customFormat="false" ht="15" hidden="false" customHeight="false" outlineLevel="0" collapsed="false">
      <c r="A30" s="23" t="n">
        <v>41000</v>
      </c>
      <c r="B30" s="24" t="n">
        <v>201204</v>
      </c>
      <c r="C30" s="42" t="n">
        <f aca="false">SUMIFS('Additions (monthly)'!$E$2:$E$106,'Additions (monthly)'!$B$2:$B$106,"&lt;="&amp;$B30)</f>
        <v>268.47</v>
      </c>
      <c r="D30" s="43" t="n">
        <f aca="false">SUMIFS('Additions (monthly)'!$E$2:$E$106,'Additions (monthly)'!$D$2:$D$106,D$2,'Additions (monthly)'!$B$2:$B$106,"&lt;="&amp;$B30)</f>
        <v>7.9</v>
      </c>
      <c r="E30" s="43" t="n">
        <f aca="false">SUMIFS('Additions (monthly)'!$E$2:$E$106,'Additions (monthly)'!$D$2:$D$106,E$2,'Additions (monthly)'!$B$2:$B$106,"&lt;="&amp;$B30)</f>
        <v>8.4</v>
      </c>
      <c r="F30" s="43" t="n">
        <f aca="false">SUMIFS('Additions (monthly)'!$E$2:$E$106,'Additions (monthly)'!$D$2:$D$106,F$2,'Additions (monthly)'!$B$2:$B$106,"&lt;="&amp;$B30)</f>
        <v>0</v>
      </c>
      <c r="G30" s="43" t="n">
        <f aca="false">SUMIFS('Additions (monthly)'!$E$2:$E$106,'Additions (monthly)'!$D$2:$D$106,G$2,'Additions (monthly)'!$B$2:$B$106,"&lt;="&amp;$B30)</f>
        <v>0</v>
      </c>
      <c r="H30" s="43" t="n">
        <f aca="false">SUMIFS('Additions (monthly)'!$E$2:$E$106,'Additions (monthly)'!$D$2:$D$106,H$2,'Additions (monthly)'!$B$2:$B$106,"&lt;="&amp;$B30)</f>
        <v>0</v>
      </c>
      <c r="I30" s="43" t="n">
        <f aca="false">SUMIFS('Additions (monthly)'!$E$2:$E$106,'Additions (monthly)'!$D$2:$D$106,I$2,'Additions (monthly)'!$B$2:$B$106,"&lt;="&amp;$B30)</f>
        <v>0</v>
      </c>
      <c r="J30" s="43" t="n">
        <f aca="false">SUMIFS('Additions (monthly)'!$E$2:$E$106,'Additions (monthly)'!$D$2:$D$106,J$2,'Additions (monthly)'!$B$2:$B$106,"&lt;="&amp;$B30)</f>
        <v>3.7</v>
      </c>
      <c r="K30" s="43" t="n">
        <f aca="false">SUMIFS('Additions (monthly)'!$E$2:$E$106,'Additions (monthly)'!$D$2:$D$106,K$2,'Additions (monthly)'!$B$2:$B$106,"&lt;="&amp;$B30)</f>
        <v>0</v>
      </c>
      <c r="L30" s="43" t="n">
        <f aca="false">SUMIFS('Additions (monthly)'!$E$2:$E$106,'Additions (monthly)'!$D$2:$D$106,L$2,'Additions (monthly)'!$B$2:$B$106,"&lt;="&amp;$B30)</f>
        <v>0</v>
      </c>
      <c r="M30" s="43" t="n">
        <f aca="false">SUMIFS('Additions (monthly)'!$E$2:$E$106,'Additions (monthly)'!$D$2:$D$106,M$2,'Additions (monthly)'!$B$2:$B$106,"&lt;="&amp;$B30)</f>
        <v>0</v>
      </c>
      <c r="N30" s="43" t="n">
        <f aca="false">SUMIFS('Additions (monthly)'!$E$2:$E$106,'Additions (monthly)'!$D$2:$D$106,N$2,'Additions (monthly)'!$B$2:$B$106,"&lt;="&amp;$B30)</f>
        <v>14.2</v>
      </c>
      <c r="O30" s="43" t="n">
        <f aca="false">SUMIFS('Additions (monthly)'!$E$2:$E$106,'Additions (monthly)'!$D$2:$D$106,O$2,'Additions (monthly)'!$B$2:$B$106,"&lt;="&amp;$B30)</f>
        <v>4.9</v>
      </c>
      <c r="P30" s="43" t="n">
        <f aca="false">SUMIFS('Additions (monthly)'!$E$2:$E$106,'Additions (monthly)'!$D$2:$D$106,P$2,'Additions (monthly)'!$B$2:$B$106,"&lt;="&amp;$B30)</f>
        <v>0</v>
      </c>
      <c r="Q30" s="43" t="n">
        <f aca="false">SUMIFS('Additions (monthly)'!$E$2:$E$106,'Additions (monthly)'!$D$2:$D$106,Q$2,'Additions (monthly)'!$B$2:$B$106,"&lt;="&amp;$B30)</f>
        <v>0</v>
      </c>
      <c r="R30" s="43" t="n">
        <f aca="false">SUMIFS('Additions (monthly)'!$E$2:$E$106,'Additions (monthly)'!$D$2:$D$106,R$2,'Additions (monthly)'!$B$2:$B$106,"&lt;="&amp;$B30)</f>
        <v>0</v>
      </c>
      <c r="S30" s="43" t="n">
        <f aca="false">SUMIFS('Additions (monthly)'!$E$2:$E$106,'Additions (monthly)'!$D$2:$D$106,S$2,'Additions (monthly)'!$B$2:$B$106,"&lt;="&amp;$B30)</f>
        <v>7.2</v>
      </c>
      <c r="T30" s="43" t="n">
        <f aca="false">SUMIFS('Additions (monthly)'!$E$2:$E$106,'Additions (monthly)'!$D$2:$D$106,T$2,'Additions (monthly)'!$B$2:$B$106,"&lt;="&amp;$B30)</f>
        <v>0</v>
      </c>
      <c r="U30" s="43" t="n">
        <f aca="false">SUMIFS('Additions (monthly)'!$E$2:$E$106,'Additions (monthly)'!$D$2:$D$106,U$2,'Additions (monthly)'!$B$2:$B$106,"&lt;="&amp;$B30)</f>
        <v>0</v>
      </c>
      <c r="V30" s="43" t="n">
        <f aca="false">SUMIFS('Additions (monthly)'!$E$2:$E$106,'Additions (monthly)'!$D$2:$D$106,V$2,'Additions (monthly)'!$B$2:$B$106,"&lt;="&amp;$B30)</f>
        <v>3.87</v>
      </c>
      <c r="W30" s="43" t="n">
        <f aca="false">SUMIFS('Additions (monthly)'!$E$2:$E$106,'Additions (monthly)'!$D$2:$D$106,W$2,'Additions (monthly)'!$B$2:$B$106,"&lt;="&amp;$B30)</f>
        <v>0</v>
      </c>
      <c r="X30" s="43" t="n">
        <f aca="false">SUMIFS('Additions (monthly)'!$E$2:$E$106,'Additions (monthly)'!$D$2:$D$106,X$2,'Additions (monthly)'!$B$2:$B$106,"&lt;="&amp;$B30)</f>
        <v>0</v>
      </c>
      <c r="Y30" s="43" t="n">
        <f aca="false">SUMIFS('Additions (monthly)'!$E$2:$E$106,'Additions (monthly)'!$D$2:$D$106,Y$2,'Additions (monthly)'!$B$2:$B$106,"&lt;="&amp;$B30)</f>
        <v>5</v>
      </c>
      <c r="Z30" s="43" t="n">
        <f aca="false">SUMIFS('Additions (monthly)'!$E$2:$E$106,'Additions (monthly)'!$D$2:$D$106,Z$2,'Additions (monthly)'!$B$2:$B$106,"&lt;="&amp;$B30)</f>
        <v>7.2</v>
      </c>
      <c r="AA30" s="43" t="n">
        <f aca="false">SUMIFS('Additions (monthly)'!$E$2:$E$106,'Additions (monthly)'!$D$2:$D$106,AA$2,'Additions (monthly)'!$B$2:$B$106,"&lt;="&amp;$B30)</f>
        <v>3.7</v>
      </c>
      <c r="AB30" s="43" t="n">
        <f aca="false">SUMIFS('Additions (monthly)'!$E$2:$E$106,'Additions (monthly)'!$D$2:$D$106,AB$2,'Additions (monthly)'!$B$2:$B$106,"&lt;="&amp;$B30)</f>
        <v>16.95</v>
      </c>
      <c r="AC30" s="43" t="n">
        <f aca="false">SUMIFS('Additions (monthly)'!$E$2:$E$106,'Additions (monthly)'!$D$2:$D$106,AC$2,'Additions (monthly)'!$B$2:$B$106,"&lt;="&amp;$B30)</f>
        <v>0</v>
      </c>
      <c r="AD30" s="43" t="n">
        <f aca="false">SUMIFS('Additions (monthly)'!$E$2:$E$106,'Additions (monthly)'!$D$2:$D$106,AD$2,'Additions (monthly)'!$B$2:$B$106,"&lt;="&amp;$B30)</f>
        <v>7.6</v>
      </c>
      <c r="AE30" s="43" t="n">
        <f aca="false">SUMIFS('Additions (monthly)'!$E$2:$E$106,'Additions (monthly)'!$D$2:$D$106,AE$2,'Additions (monthly)'!$B$2:$B$106,"&lt;="&amp;$B30)</f>
        <v>25.7</v>
      </c>
      <c r="AF30" s="43" t="n">
        <f aca="false">SUMIFS('Additions (monthly)'!$E$2:$E$106,'Additions (monthly)'!$D$2:$D$106,AF$2,'Additions (monthly)'!$B$2:$B$106,"&lt;="&amp;$B30)</f>
        <v>0</v>
      </c>
      <c r="AG30" s="43" t="n">
        <f aca="false">SUMIFS('Additions (monthly)'!$E$2:$E$106,'Additions (monthly)'!$D$2:$D$106,AG$2,'Additions (monthly)'!$B$2:$B$106,"&lt;="&amp;$B30)</f>
        <v>0</v>
      </c>
      <c r="AH30" s="43" t="n">
        <f aca="false">SUMIFS('Additions (monthly)'!$E$2:$E$106,'Additions (monthly)'!$D$2:$D$106,AH$2,'Additions (monthly)'!$B$2:$B$106,"&lt;="&amp;$B30)</f>
        <v>0</v>
      </c>
      <c r="AI30" s="43" t="n">
        <f aca="false">SUMIFS('Additions (monthly)'!$E$2:$E$106,'Additions (monthly)'!$D$2:$D$106,AI$2,'Additions (monthly)'!$B$2:$B$106,"&lt;="&amp;$B30)</f>
        <v>0</v>
      </c>
      <c r="AJ30" s="43" t="n">
        <f aca="false">SUMIFS('Additions (monthly)'!$E$2:$E$106,'Additions (monthly)'!$D$2:$D$106,AJ$2,'Additions (monthly)'!$B$2:$B$106,"&lt;="&amp;$B30)</f>
        <v>0</v>
      </c>
      <c r="AK30" s="43" t="n">
        <f aca="false">SUMIFS('Additions (monthly)'!$E$2:$E$106,'Additions (monthly)'!$D$2:$D$106,AK$2,'Additions (monthly)'!$B$2:$B$106,"&lt;="&amp;$B30)</f>
        <v>0</v>
      </c>
      <c r="AL30" s="43" t="n">
        <f aca="false">SUMIFS('Additions (monthly)'!$E$2:$E$106,'Additions (monthly)'!$D$2:$D$106,AL$2,'Additions (monthly)'!$B$2:$B$106,"&lt;="&amp;$B30)</f>
        <v>22.2</v>
      </c>
      <c r="AM30" s="43" t="n">
        <f aca="false">SUMIFS('Additions (monthly)'!$E$2:$E$106,'Additions (monthly)'!$D$2:$D$106,AM$2,'Additions (monthly)'!$B$2:$B$106,"&lt;="&amp;$B30)</f>
        <v>0.3</v>
      </c>
      <c r="AN30" s="43" t="n">
        <f aca="false">SUMIFS('Additions (monthly)'!$E$2:$E$106,'Additions (monthly)'!$D$2:$D$106,AN$2,'Additions (monthly)'!$B$2:$B$106,"&lt;="&amp;$B30)</f>
        <v>4.3</v>
      </c>
      <c r="AO30" s="43" t="n">
        <f aca="false">SUMIFS('Additions (monthly)'!$E$2:$E$106,'Additions (monthly)'!$D$2:$D$106,AO$2,'Additions (monthly)'!$B$2:$B$106,"&lt;="&amp;$B30)</f>
        <v>10.4</v>
      </c>
      <c r="AP30" s="43" t="n">
        <f aca="false">SUMIFS('Additions (monthly)'!$E$2:$E$106,'Additions (monthly)'!$D$2:$D$106,AP$2,'Additions (monthly)'!$B$2:$B$106,"&lt;="&amp;$B30)</f>
        <v>0</v>
      </c>
      <c r="AQ30" s="43" t="n">
        <f aca="false">SUMIFS('Additions (monthly)'!$E$2:$E$106,'Additions (monthly)'!$D$2:$D$106,AQ$2,'Additions (monthly)'!$B$2:$B$106,"&lt;="&amp;$B30)</f>
        <v>4.45</v>
      </c>
      <c r="AR30" s="43" t="n">
        <f aca="false">SUMIFS('Additions (monthly)'!$E$2:$E$106,'Additions (monthly)'!$D$2:$D$106,AR$2,'Additions (monthly)'!$B$2:$B$106,"&lt;="&amp;$B30)</f>
        <v>77.1</v>
      </c>
      <c r="AS30" s="43" t="n">
        <f aca="false">SUMIFS('Additions (monthly)'!$E$2:$E$106,'Additions (monthly)'!$D$2:$D$106,AS$2,'Additions (monthly)'!$B$2:$B$106,"&lt;="&amp;$B30)</f>
        <v>0</v>
      </c>
      <c r="AT30" s="43" t="n">
        <f aca="false">SUMIFS('Additions (monthly)'!$E$2:$E$106,'Additions (monthly)'!$D$2:$D$106,AT$2,'Additions (monthly)'!$B$2:$B$106,"&lt;="&amp;$B30)</f>
        <v>0</v>
      </c>
      <c r="AU30" s="43" t="n">
        <f aca="false">SUMIFS('Additions (monthly)'!$E$2:$E$106,'Additions (monthly)'!$D$2:$D$106,AU$2,'Additions (monthly)'!$B$2:$B$106,"&lt;="&amp;$B30)</f>
        <v>9.6</v>
      </c>
      <c r="AV30" s="43" t="n">
        <f aca="false">SUMIFS('Additions (monthly)'!$E$2:$E$106,'Additions (monthly)'!$D$2:$D$106,AV$2,'Additions (monthly)'!$B$2:$B$106,"&lt;="&amp;$B30)</f>
        <v>0</v>
      </c>
      <c r="AW30" s="43" t="n">
        <f aca="false">SUMIFS('Additions (monthly)'!$E$2:$E$106,'Additions (monthly)'!$D$2:$D$106,AW$2,'Additions (monthly)'!$B$2:$B$106,"&lt;="&amp;$B30)</f>
        <v>0</v>
      </c>
      <c r="AX30" s="43" t="n">
        <f aca="false">SUMIFS('Additions (monthly)'!$E$2:$E$106,'Additions (monthly)'!$D$2:$D$106,AX$2,'Additions (monthly)'!$B$2:$B$106,"&lt;="&amp;$B30)</f>
        <v>11.8</v>
      </c>
      <c r="AY30" s="43" t="n">
        <f aca="false">SUMIFS('Additions (monthly)'!$E$2:$E$106,'Additions (monthly)'!$D$2:$D$106,AY$2,'Additions (monthly)'!$B$2:$B$106,"&lt;="&amp;$B30)</f>
        <v>5.3</v>
      </c>
      <c r="AZ30" s="43" t="n">
        <f aca="false">SUMIFS('Additions (monthly)'!$E$2:$E$106,'Additions (monthly)'!$D$2:$D$106,AZ$2,'Additions (monthly)'!$B$2:$B$106,"&lt;="&amp;$B30)</f>
        <v>0</v>
      </c>
      <c r="BA30" s="43" t="n">
        <f aca="false">SUMIFS('Additions (monthly)'!$E$2:$E$106,'Additions (monthly)'!$D$2:$D$106,BA$2,'Additions (monthly)'!$B$2:$B$106,"&lt;="&amp;$B30)</f>
        <v>0</v>
      </c>
      <c r="BB30" s="43" t="n">
        <f aca="false">SUMIFS('Additions (monthly)'!$E$2:$E$106,'Additions (monthly)'!$D$2:$D$106,BB$2,'Additions (monthly)'!$B$2:$B$106,"&lt;="&amp;$B30)</f>
        <v>0</v>
      </c>
      <c r="BC30" s="43" t="n">
        <f aca="false">SUMIFS('Additions (monthly)'!$E$2:$E$106,'Additions (monthly)'!$D$2:$D$106,BC$2,'Additions (monthly)'!$B$2:$B$106,"&lt;="&amp;$B30)</f>
        <v>0</v>
      </c>
      <c r="BD30" s="43" t="n">
        <f aca="false">SUMIFS('Additions (monthly)'!$E$2:$E$106,'Additions (monthly)'!$D$2:$D$106,BD$2,'Additions (monthly)'!$B$2:$B$106,"&lt;="&amp;$B30)</f>
        <v>0</v>
      </c>
      <c r="BE30" s="43" t="n">
        <f aca="false">SUMIFS('Additions (monthly)'!$E$2:$E$106,'Additions (monthly)'!$D$2:$D$106,BE$2,'Additions (monthly)'!$B$2:$B$106,"&lt;="&amp;$B30)</f>
        <v>0</v>
      </c>
      <c r="BF30" s="43" t="n">
        <f aca="false">SUMIFS('Additions (monthly)'!$E$2:$E$106,'Additions (monthly)'!$D$2:$D$106,BF$2,'Additions (monthly)'!$B$2:$B$106,"&lt;="&amp;$B30)</f>
        <v>0</v>
      </c>
      <c r="BG30" s="43" t="n">
        <f aca="false">SUMIFS('Additions (monthly)'!$E$2:$E$106,'Additions (monthly)'!$D$2:$D$106,BG$2,'Additions (monthly)'!$B$2:$B$106,"&lt;="&amp;$B30)</f>
        <v>0</v>
      </c>
      <c r="BH30" s="43" t="n">
        <f aca="false">SUMIFS('Additions (monthly)'!$E$2:$E$106,'Additions (monthly)'!$D$2:$D$106,BH$2,'Additions (monthly)'!$B$2:$B$106,"&lt;="&amp;$B30)</f>
        <v>0</v>
      </c>
      <c r="BI30" s="43" t="n">
        <f aca="false">SUMIFS('Additions (monthly)'!$E$2:$E$106,'Additions (monthly)'!$D$2:$D$106,BI$2,'Additions (monthly)'!$B$2:$B$106,"&lt;="&amp;$B30)</f>
        <v>6.7</v>
      </c>
    </row>
    <row r="31" customFormat="false" ht="15" hidden="false" customHeight="false" outlineLevel="0" collapsed="false">
      <c r="A31" s="23" t="n">
        <v>41030</v>
      </c>
      <c r="B31" s="24" t="n">
        <v>201205</v>
      </c>
      <c r="C31" s="42" t="n">
        <f aca="false">SUMIFS('Additions (monthly)'!$E$2:$E$106,'Additions (monthly)'!$B$2:$B$106,"&lt;="&amp;$B31)</f>
        <v>268.47</v>
      </c>
      <c r="D31" s="43" t="n">
        <f aca="false">SUMIFS('Additions (monthly)'!$E$2:$E$106,'Additions (monthly)'!$D$2:$D$106,D$2,'Additions (monthly)'!$B$2:$B$106,"&lt;="&amp;$B31)</f>
        <v>7.9</v>
      </c>
      <c r="E31" s="43" t="n">
        <f aca="false">SUMIFS('Additions (monthly)'!$E$2:$E$106,'Additions (monthly)'!$D$2:$D$106,E$2,'Additions (monthly)'!$B$2:$B$106,"&lt;="&amp;$B31)</f>
        <v>8.4</v>
      </c>
      <c r="F31" s="43" t="n">
        <f aca="false">SUMIFS('Additions (monthly)'!$E$2:$E$106,'Additions (monthly)'!$D$2:$D$106,F$2,'Additions (monthly)'!$B$2:$B$106,"&lt;="&amp;$B31)</f>
        <v>0</v>
      </c>
      <c r="G31" s="43" t="n">
        <f aca="false">SUMIFS('Additions (monthly)'!$E$2:$E$106,'Additions (monthly)'!$D$2:$D$106,G$2,'Additions (monthly)'!$B$2:$B$106,"&lt;="&amp;$B31)</f>
        <v>0</v>
      </c>
      <c r="H31" s="43" t="n">
        <f aca="false">SUMIFS('Additions (monthly)'!$E$2:$E$106,'Additions (monthly)'!$D$2:$D$106,H$2,'Additions (monthly)'!$B$2:$B$106,"&lt;="&amp;$B31)</f>
        <v>0</v>
      </c>
      <c r="I31" s="43" t="n">
        <f aca="false">SUMIFS('Additions (monthly)'!$E$2:$E$106,'Additions (monthly)'!$D$2:$D$106,I$2,'Additions (monthly)'!$B$2:$B$106,"&lt;="&amp;$B31)</f>
        <v>0</v>
      </c>
      <c r="J31" s="43" t="n">
        <f aca="false">SUMIFS('Additions (monthly)'!$E$2:$E$106,'Additions (monthly)'!$D$2:$D$106,J$2,'Additions (monthly)'!$B$2:$B$106,"&lt;="&amp;$B31)</f>
        <v>3.7</v>
      </c>
      <c r="K31" s="43" t="n">
        <f aca="false">SUMIFS('Additions (monthly)'!$E$2:$E$106,'Additions (monthly)'!$D$2:$D$106,K$2,'Additions (monthly)'!$B$2:$B$106,"&lt;="&amp;$B31)</f>
        <v>0</v>
      </c>
      <c r="L31" s="43" t="n">
        <f aca="false">SUMIFS('Additions (monthly)'!$E$2:$E$106,'Additions (monthly)'!$D$2:$D$106,L$2,'Additions (monthly)'!$B$2:$B$106,"&lt;="&amp;$B31)</f>
        <v>0</v>
      </c>
      <c r="M31" s="43" t="n">
        <f aca="false">SUMIFS('Additions (monthly)'!$E$2:$E$106,'Additions (monthly)'!$D$2:$D$106,M$2,'Additions (monthly)'!$B$2:$B$106,"&lt;="&amp;$B31)</f>
        <v>0</v>
      </c>
      <c r="N31" s="43" t="n">
        <f aca="false">SUMIFS('Additions (monthly)'!$E$2:$E$106,'Additions (monthly)'!$D$2:$D$106,N$2,'Additions (monthly)'!$B$2:$B$106,"&lt;="&amp;$B31)</f>
        <v>14.2</v>
      </c>
      <c r="O31" s="43" t="n">
        <f aca="false">SUMIFS('Additions (monthly)'!$E$2:$E$106,'Additions (monthly)'!$D$2:$D$106,O$2,'Additions (monthly)'!$B$2:$B$106,"&lt;="&amp;$B31)</f>
        <v>4.9</v>
      </c>
      <c r="P31" s="43" t="n">
        <f aca="false">SUMIFS('Additions (monthly)'!$E$2:$E$106,'Additions (monthly)'!$D$2:$D$106,P$2,'Additions (monthly)'!$B$2:$B$106,"&lt;="&amp;$B31)</f>
        <v>0</v>
      </c>
      <c r="Q31" s="43" t="n">
        <f aca="false">SUMIFS('Additions (monthly)'!$E$2:$E$106,'Additions (monthly)'!$D$2:$D$106,Q$2,'Additions (monthly)'!$B$2:$B$106,"&lt;="&amp;$B31)</f>
        <v>0</v>
      </c>
      <c r="R31" s="43" t="n">
        <f aca="false">SUMIFS('Additions (monthly)'!$E$2:$E$106,'Additions (monthly)'!$D$2:$D$106,R$2,'Additions (monthly)'!$B$2:$B$106,"&lt;="&amp;$B31)</f>
        <v>0</v>
      </c>
      <c r="S31" s="43" t="n">
        <f aca="false">SUMIFS('Additions (monthly)'!$E$2:$E$106,'Additions (monthly)'!$D$2:$D$106,S$2,'Additions (monthly)'!$B$2:$B$106,"&lt;="&amp;$B31)</f>
        <v>7.2</v>
      </c>
      <c r="T31" s="43" t="n">
        <f aca="false">SUMIFS('Additions (monthly)'!$E$2:$E$106,'Additions (monthly)'!$D$2:$D$106,T$2,'Additions (monthly)'!$B$2:$B$106,"&lt;="&amp;$B31)</f>
        <v>0</v>
      </c>
      <c r="U31" s="43" t="n">
        <f aca="false">SUMIFS('Additions (monthly)'!$E$2:$E$106,'Additions (monthly)'!$D$2:$D$106,U$2,'Additions (monthly)'!$B$2:$B$106,"&lt;="&amp;$B31)</f>
        <v>0</v>
      </c>
      <c r="V31" s="43" t="n">
        <f aca="false">SUMIFS('Additions (monthly)'!$E$2:$E$106,'Additions (monthly)'!$D$2:$D$106,V$2,'Additions (monthly)'!$B$2:$B$106,"&lt;="&amp;$B31)</f>
        <v>3.87</v>
      </c>
      <c r="W31" s="43" t="n">
        <f aca="false">SUMIFS('Additions (monthly)'!$E$2:$E$106,'Additions (monthly)'!$D$2:$D$106,W$2,'Additions (monthly)'!$B$2:$B$106,"&lt;="&amp;$B31)</f>
        <v>0</v>
      </c>
      <c r="X31" s="43" t="n">
        <f aca="false">SUMIFS('Additions (monthly)'!$E$2:$E$106,'Additions (monthly)'!$D$2:$D$106,X$2,'Additions (monthly)'!$B$2:$B$106,"&lt;="&amp;$B31)</f>
        <v>0</v>
      </c>
      <c r="Y31" s="43" t="n">
        <f aca="false">SUMIFS('Additions (monthly)'!$E$2:$E$106,'Additions (monthly)'!$D$2:$D$106,Y$2,'Additions (monthly)'!$B$2:$B$106,"&lt;="&amp;$B31)</f>
        <v>5</v>
      </c>
      <c r="Z31" s="43" t="n">
        <f aca="false">SUMIFS('Additions (monthly)'!$E$2:$E$106,'Additions (monthly)'!$D$2:$D$106,Z$2,'Additions (monthly)'!$B$2:$B$106,"&lt;="&amp;$B31)</f>
        <v>7.2</v>
      </c>
      <c r="AA31" s="43" t="n">
        <f aca="false">SUMIFS('Additions (monthly)'!$E$2:$E$106,'Additions (monthly)'!$D$2:$D$106,AA$2,'Additions (monthly)'!$B$2:$B$106,"&lt;="&amp;$B31)</f>
        <v>3.7</v>
      </c>
      <c r="AB31" s="43" t="n">
        <f aca="false">SUMIFS('Additions (monthly)'!$E$2:$E$106,'Additions (monthly)'!$D$2:$D$106,AB$2,'Additions (monthly)'!$B$2:$B$106,"&lt;="&amp;$B31)</f>
        <v>16.95</v>
      </c>
      <c r="AC31" s="43" t="n">
        <f aca="false">SUMIFS('Additions (monthly)'!$E$2:$E$106,'Additions (monthly)'!$D$2:$D$106,AC$2,'Additions (monthly)'!$B$2:$B$106,"&lt;="&amp;$B31)</f>
        <v>0</v>
      </c>
      <c r="AD31" s="43" t="n">
        <f aca="false">SUMIFS('Additions (monthly)'!$E$2:$E$106,'Additions (monthly)'!$D$2:$D$106,AD$2,'Additions (monthly)'!$B$2:$B$106,"&lt;="&amp;$B31)</f>
        <v>7.6</v>
      </c>
      <c r="AE31" s="43" t="n">
        <f aca="false">SUMIFS('Additions (monthly)'!$E$2:$E$106,'Additions (monthly)'!$D$2:$D$106,AE$2,'Additions (monthly)'!$B$2:$B$106,"&lt;="&amp;$B31)</f>
        <v>25.7</v>
      </c>
      <c r="AF31" s="43" t="n">
        <f aca="false">SUMIFS('Additions (monthly)'!$E$2:$E$106,'Additions (monthly)'!$D$2:$D$106,AF$2,'Additions (monthly)'!$B$2:$B$106,"&lt;="&amp;$B31)</f>
        <v>0</v>
      </c>
      <c r="AG31" s="43" t="n">
        <f aca="false">SUMIFS('Additions (monthly)'!$E$2:$E$106,'Additions (monthly)'!$D$2:$D$106,AG$2,'Additions (monthly)'!$B$2:$B$106,"&lt;="&amp;$B31)</f>
        <v>0</v>
      </c>
      <c r="AH31" s="43" t="n">
        <f aca="false">SUMIFS('Additions (monthly)'!$E$2:$E$106,'Additions (monthly)'!$D$2:$D$106,AH$2,'Additions (monthly)'!$B$2:$B$106,"&lt;="&amp;$B31)</f>
        <v>0</v>
      </c>
      <c r="AI31" s="43" t="n">
        <f aca="false">SUMIFS('Additions (monthly)'!$E$2:$E$106,'Additions (monthly)'!$D$2:$D$106,AI$2,'Additions (monthly)'!$B$2:$B$106,"&lt;="&amp;$B31)</f>
        <v>0</v>
      </c>
      <c r="AJ31" s="43" t="n">
        <f aca="false">SUMIFS('Additions (monthly)'!$E$2:$E$106,'Additions (monthly)'!$D$2:$D$106,AJ$2,'Additions (monthly)'!$B$2:$B$106,"&lt;="&amp;$B31)</f>
        <v>0</v>
      </c>
      <c r="AK31" s="43" t="n">
        <f aca="false">SUMIFS('Additions (monthly)'!$E$2:$E$106,'Additions (monthly)'!$D$2:$D$106,AK$2,'Additions (monthly)'!$B$2:$B$106,"&lt;="&amp;$B31)</f>
        <v>0</v>
      </c>
      <c r="AL31" s="43" t="n">
        <f aca="false">SUMIFS('Additions (monthly)'!$E$2:$E$106,'Additions (monthly)'!$D$2:$D$106,AL$2,'Additions (monthly)'!$B$2:$B$106,"&lt;="&amp;$B31)</f>
        <v>22.2</v>
      </c>
      <c r="AM31" s="43" t="n">
        <f aca="false">SUMIFS('Additions (monthly)'!$E$2:$E$106,'Additions (monthly)'!$D$2:$D$106,AM$2,'Additions (monthly)'!$B$2:$B$106,"&lt;="&amp;$B31)</f>
        <v>0.3</v>
      </c>
      <c r="AN31" s="43" t="n">
        <f aca="false">SUMIFS('Additions (monthly)'!$E$2:$E$106,'Additions (monthly)'!$D$2:$D$106,AN$2,'Additions (monthly)'!$B$2:$B$106,"&lt;="&amp;$B31)</f>
        <v>4.3</v>
      </c>
      <c r="AO31" s="43" t="n">
        <f aca="false">SUMIFS('Additions (monthly)'!$E$2:$E$106,'Additions (monthly)'!$D$2:$D$106,AO$2,'Additions (monthly)'!$B$2:$B$106,"&lt;="&amp;$B31)</f>
        <v>10.4</v>
      </c>
      <c r="AP31" s="43" t="n">
        <f aca="false">SUMIFS('Additions (monthly)'!$E$2:$E$106,'Additions (monthly)'!$D$2:$D$106,AP$2,'Additions (monthly)'!$B$2:$B$106,"&lt;="&amp;$B31)</f>
        <v>0</v>
      </c>
      <c r="AQ31" s="43" t="n">
        <f aca="false">SUMIFS('Additions (monthly)'!$E$2:$E$106,'Additions (monthly)'!$D$2:$D$106,AQ$2,'Additions (monthly)'!$B$2:$B$106,"&lt;="&amp;$B31)</f>
        <v>4.45</v>
      </c>
      <c r="AR31" s="43" t="n">
        <f aca="false">SUMIFS('Additions (monthly)'!$E$2:$E$106,'Additions (monthly)'!$D$2:$D$106,AR$2,'Additions (monthly)'!$B$2:$B$106,"&lt;="&amp;$B31)</f>
        <v>77.1</v>
      </c>
      <c r="AS31" s="43" t="n">
        <f aca="false">SUMIFS('Additions (monthly)'!$E$2:$E$106,'Additions (monthly)'!$D$2:$D$106,AS$2,'Additions (monthly)'!$B$2:$B$106,"&lt;="&amp;$B31)</f>
        <v>0</v>
      </c>
      <c r="AT31" s="43" t="n">
        <f aca="false">SUMIFS('Additions (monthly)'!$E$2:$E$106,'Additions (monthly)'!$D$2:$D$106,AT$2,'Additions (monthly)'!$B$2:$B$106,"&lt;="&amp;$B31)</f>
        <v>0</v>
      </c>
      <c r="AU31" s="43" t="n">
        <f aca="false">SUMIFS('Additions (monthly)'!$E$2:$E$106,'Additions (monthly)'!$D$2:$D$106,AU$2,'Additions (monthly)'!$B$2:$B$106,"&lt;="&amp;$B31)</f>
        <v>9.6</v>
      </c>
      <c r="AV31" s="43" t="n">
        <f aca="false">SUMIFS('Additions (monthly)'!$E$2:$E$106,'Additions (monthly)'!$D$2:$D$106,AV$2,'Additions (monthly)'!$B$2:$B$106,"&lt;="&amp;$B31)</f>
        <v>0</v>
      </c>
      <c r="AW31" s="43" t="n">
        <f aca="false">SUMIFS('Additions (monthly)'!$E$2:$E$106,'Additions (monthly)'!$D$2:$D$106,AW$2,'Additions (monthly)'!$B$2:$B$106,"&lt;="&amp;$B31)</f>
        <v>0</v>
      </c>
      <c r="AX31" s="43" t="n">
        <f aca="false">SUMIFS('Additions (monthly)'!$E$2:$E$106,'Additions (monthly)'!$D$2:$D$106,AX$2,'Additions (monthly)'!$B$2:$B$106,"&lt;="&amp;$B31)</f>
        <v>11.8</v>
      </c>
      <c r="AY31" s="43" t="n">
        <f aca="false">SUMIFS('Additions (monthly)'!$E$2:$E$106,'Additions (monthly)'!$D$2:$D$106,AY$2,'Additions (monthly)'!$B$2:$B$106,"&lt;="&amp;$B31)</f>
        <v>5.3</v>
      </c>
      <c r="AZ31" s="43" t="n">
        <f aca="false">SUMIFS('Additions (monthly)'!$E$2:$E$106,'Additions (monthly)'!$D$2:$D$106,AZ$2,'Additions (monthly)'!$B$2:$B$106,"&lt;="&amp;$B31)</f>
        <v>0</v>
      </c>
      <c r="BA31" s="43" t="n">
        <f aca="false">SUMIFS('Additions (monthly)'!$E$2:$E$106,'Additions (monthly)'!$D$2:$D$106,BA$2,'Additions (monthly)'!$B$2:$B$106,"&lt;="&amp;$B31)</f>
        <v>0</v>
      </c>
      <c r="BB31" s="43" t="n">
        <f aca="false">SUMIFS('Additions (monthly)'!$E$2:$E$106,'Additions (monthly)'!$D$2:$D$106,BB$2,'Additions (monthly)'!$B$2:$B$106,"&lt;="&amp;$B31)</f>
        <v>0</v>
      </c>
      <c r="BC31" s="43" t="n">
        <f aca="false">SUMIFS('Additions (monthly)'!$E$2:$E$106,'Additions (monthly)'!$D$2:$D$106,BC$2,'Additions (monthly)'!$B$2:$B$106,"&lt;="&amp;$B31)</f>
        <v>0</v>
      </c>
      <c r="BD31" s="43" t="n">
        <f aca="false">SUMIFS('Additions (monthly)'!$E$2:$E$106,'Additions (monthly)'!$D$2:$D$106,BD$2,'Additions (monthly)'!$B$2:$B$106,"&lt;="&amp;$B31)</f>
        <v>0</v>
      </c>
      <c r="BE31" s="43" t="n">
        <f aca="false">SUMIFS('Additions (monthly)'!$E$2:$E$106,'Additions (monthly)'!$D$2:$D$106,BE$2,'Additions (monthly)'!$B$2:$B$106,"&lt;="&amp;$B31)</f>
        <v>0</v>
      </c>
      <c r="BF31" s="43" t="n">
        <f aca="false">SUMIFS('Additions (monthly)'!$E$2:$E$106,'Additions (monthly)'!$D$2:$D$106,BF$2,'Additions (monthly)'!$B$2:$B$106,"&lt;="&amp;$B31)</f>
        <v>0</v>
      </c>
      <c r="BG31" s="43" t="n">
        <f aca="false">SUMIFS('Additions (monthly)'!$E$2:$E$106,'Additions (monthly)'!$D$2:$D$106,BG$2,'Additions (monthly)'!$B$2:$B$106,"&lt;="&amp;$B31)</f>
        <v>0</v>
      </c>
      <c r="BH31" s="43" t="n">
        <f aca="false">SUMIFS('Additions (monthly)'!$E$2:$E$106,'Additions (monthly)'!$D$2:$D$106,BH$2,'Additions (monthly)'!$B$2:$B$106,"&lt;="&amp;$B31)</f>
        <v>0</v>
      </c>
      <c r="BI31" s="43" t="n">
        <f aca="false">SUMIFS('Additions (monthly)'!$E$2:$E$106,'Additions (monthly)'!$D$2:$D$106,BI$2,'Additions (monthly)'!$B$2:$B$106,"&lt;="&amp;$B31)</f>
        <v>6.7</v>
      </c>
    </row>
    <row r="32" customFormat="false" ht="15" hidden="false" customHeight="false" outlineLevel="0" collapsed="false">
      <c r="A32" s="23" t="n">
        <v>41061</v>
      </c>
      <c r="B32" s="24" t="n">
        <v>201206</v>
      </c>
      <c r="C32" s="42" t="n">
        <f aca="false">SUMIFS('Additions (monthly)'!$E$2:$E$106,'Additions (monthly)'!$B$2:$B$106,"&lt;="&amp;$B32)</f>
        <v>268.47</v>
      </c>
      <c r="D32" s="43" t="n">
        <f aca="false">SUMIFS('Additions (monthly)'!$E$2:$E$106,'Additions (monthly)'!$D$2:$D$106,D$2,'Additions (monthly)'!$B$2:$B$106,"&lt;="&amp;$B32)</f>
        <v>7.9</v>
      </c>
      <c r="E32" s="43" t="n">
        <f aca="false">SUMIFS('Additions (monthly)'!$E$2:$E$106,'Additions (monthly)'!$D$2:$D$106,E$2,'Additions (monthly)'!$B$2:$B$106,"&lt;="&amp;$B32)</f>
        <v>8.4</v>
      </c>
      <c r="F32" s="43" t="n">
        <f aca="false">SUMIFS('Additions (monthly)'!$E$2:$E$106,'Additions (monthly)'!$D$2:$D$106,F$2,'Additions (monthly)'!$B$2:$B$106,"&lt;="&amp;$B32)</f>
        <v>0</v>
      </c>
      <c r="G32" s="43" t="n">
        <f aca="false">SUMIFS('Additions (monthly)'!$E$2:$E$106,'Additions (monthly)'!$D$2:$D$106,G$2,'Additions (monthly)'!$B$2:$B$106,"&lt;="&amp;$B32)</f>
        <v>0</v>
      </c>
      <c r="H32" s="43" t="n">
        <f aca="false">SUMIFS('Additions (monthly)'!$E$2:$E$106,'Additions (monthly)'!$D$2:$D$106,H$2,'Additions (monthly)'!$B$2:$B$106,"&lt;="&amp;$B32)</f>
        <v>0</v>
      </c>
      <c r="I32" s="43" t="n">
        <f aca="false">SUMIFS('Additions (monthly)'!$E$2:$E$106,'Additions (monthly)'!$D$2:$D$106,I$2,'Additions (monthly)'!$B$2:$B$106,"&lt;="&amp;$B32)</f>
        <v>0</v>
      </c>
      <c r="J32" s="43" t="n">
        <f aca="false">SUMIFS('Additions (monthly)'!$E$2:$E$106,'Additions (monthly)'!$D$2:$D$106,J$2,'Additions (monthly)'!$B$2:$B$106,"&lt;="&amp;$B32)</f>
        <v>3.7</v>
      </c>
      <c r="K32" s="43" t="n">
        <f aca="false">SUMIFS('Additions (monthly)'!$E$2:$E$106,'Additions (monthly)'!$D$2:$D$106,K$2,'Additions (monthly)'!$B$2:$B$106,"&lt;="&amp;$B32)</f>
        <v>0</v>
      </c>
      <c r="L32" s="43" t="n">
        <f aca="false">SUMIFS('Additions (monthly)'!$E$2:$E$106,'Additions (monthly)'!$D$2:$D$106,L$2,'Additions (monthly)'!$B$2:$B$106,"&lt;="&amp;$B32)</f>
        <v>0</v>
      </c>
      <c r="M32" s="43" t="n">
        <f aca="false">SUMIFS('Additions (monthly)'!$E$2:$E$106,'Additions (monthly)'!$D$2:$D$106,M$2,'Additions (monthly)'!$B$2:$B$106,"&lt;="&amp;$B32)</f>
        <v>0</v>
      </c>
      <c r="N32" s="43" t="n">
        <f aca="false">SUMIFS('Additions (monthly)'!$E$2:$E$106,'Additions (monthly)'!$D$2:$D$106,N$2,'Additions (monthly)'!$B$2:$B$106,"&lt;="&amp;$B32)</f>
        <v>14.2</v>
      </c>
      <c r="O32" s="43" t="n">
        <f aca="false">SUMIFS('Additions (monthly)'!$E$2:$E$106,'Additions (monthly)'!$D$2:$D$106,O$2,'Additions (monthly)'!$B$2:$B$106,"&lt;="&amp;$B32)</f>
        <v>4.9</v>
      </c>
      <c r="P32" s="43" t="n">
        <f aca="false">SUMIFS('Additions (monthly)'!$E$2:$E$106,'Additions (monthly)'!$D$2:$D$106,P$2,'Additions (monthly)'!$B$2:$B$106,"&lt;="&amp;$B32)</f>
        <v>0</v>
      </c>
      <c r="Q32" s="43" t="n">
        <f aca="false">SUMIFS('Additions (monthly)'!$E$2:$E$106,'Additions (monthly)'!$D$2:$D$106,Q$2,'Additions (monthly)'!$B$2:$B$106,"&lt;="&amp;$B32)</f>
        <v>0</v>
      </c>
      <c r="R32" s="43" t="n">
        <f aca="false">SUMIFS('Additions (monthly)'!$E$2:$E$106,'Additions (monthly)'!$D$2:$D$106,R$2,'Additions (monthly)'!$B$2:$B$106,"&lt;="&amp;$B32)</f>
        <v>0</v>
      </c>
      <c r="S32" s="43" t="n">
        <f aca="false">SUMIFS('Additions (monthly)'!$E$2:$E$106,'Additions (monthly)'!$D$2:$D$106,S$2,'Additions (monthly)'!$B$2:$B$106,"&lt;="&amp;$B32)</f>
        <v>7.2</v>
      </c>
      <c r="T32" s="43" t="n">
        <f aca="false">SUMIFS('Additions (monthly)'!$E$2:$E$106,'Additions (monthly)'!$D$2:$D$106,T$2,'Additions (monthly)'!$B$2:$B$106,"&lt;="&amp;$B32)</f>
        <v>0</v>
      </c>
      <c r="U32" s="43" t="n">
        <f aca="false">SUMIFS('Additions (monthly)'!$E$2:$E$106,'Additions (monthly)'!$D$2:$D$106,U$2,'Additions (monthly)'!$B$2:$B$106,"&lt;="&amp;$B32)</f>
        <v>0</v>
      </c>
      <c r="V32" s="43" t="n">
        <f aca="false">SUMIFS('Additions (monthly)'!$E$2:$E$106,'Additions (monthly)'!$D$2:$D$106,V$2,'Additions (monthly)'!$B$2:$B$106,"&lt;="&amp;$B32)</f>
        <v>3.87</v>
      </c>
      <c r="W32" s="43" t="n">
        <f aca="false">SUMIFS('Additions (monthly)'!$E$2:$E$106,'Additions (monthly)'!$D$2:$D$106,W$2,'Additions (monthly)'!$B$2:$B$106,"&lt;="&amp;$B32)</f>
        <v>0</v>
      </c>
      <c r="X32" s="43" t="n">
        <f aca="false">SUMIFS('Additions (monthly)'!$E$2:$E$106,'Additions (monthly)'!$D$2:$D$106,X$2,'Additions (monthly)'!$B$2:$B$106,"&lt;="&amp;$B32)</f>
        <v>0</v>
      </c>
      <c r="Y32" s="43" t="n">
        <f aca="false">SUMIFS('Additions (monthly)'!$E$2:$E$106,'Additions (monthly)'!$D$2:$D$106,Y$2,'Additions (monthly)'!$B$2:$B$106,"&lt;="&amp;$B32)</f>
        <v>5</v>
      </c>
      <c r="Z32" s="43" t="n">
        <f aca="false">SUMIFS('Additions (monthly)'!$E$2:$E$106,'Additions (monthly)'!$D$2:$D$106,Z$2,'Additions (monthly)'!$B$2:$B$106,"&lt;="&amp;$B32)</f>
        <v>7.2</v>
      </c>
      <c r="AA32" s="43" t="n">
        <f aca="false">SUMIFS('Additions (monthly)'!$E$2:$E$106,'Additions (monthly)'!$D$2:$D$106,AA$2,'Additions (monthly)'!$B$2:$B$106,"&lt;="&amp;$B32)</f>
        <v>3.7</v>
      </c>
      <c r="AB32" s="43" t="n">
        <f aca="false">SUMIFS('Additions (monthly)'!$E$2:$E$106,'Additions (monthly)'!$D$2:$D$106,AB$2,'Additions (monthly)'!$B$2:$B$106,"&lt;="&amp;$B32)</f>
        <v>16.95</v>
      </c>
      <c r="AC32" s="43" t="n">
        <f aca="false">SUMIFS('Additions (monthly)'!$E$2:$E$106,'Additions (monthly)'!$D$2:$D$106,AC$2,'Additions (monthly)'!$B$2:$B$106,"&lt;="&amp;$B32)</f>
        <v>0</v>
      </c>
      <c r="AD32" s="43" t="n">
        <f aca="false">SUMIFS('Additions (monthly)'!$E$2:$E$106,'Additions (monthly)'!$D$2:$D$106,AD$2,'Additions (monthly)'!$B$2:$B$106,"&lt;="&amp;$B32)</f>
        <v>7.6</v>
      </c>
      <c r="AE32" s="43" t="n">
        <f aca="false">SUMIFS('Additions (monthly)'!$E$2:$E$106,'Additions (monthly)'!$D$2:$D$106,AE$2,'Additions (monthly)'!$B$2:$B$106,"&lt;="&amp;$B32)</f>
        <v>25.7</v>
      </c>
      <c r="AF32" s="43" t="n">
        <f aca="false">SUMIFS('Additions (monthly)'!$E$2:$E$106,'Additions (monthly)'!$D$2:$D$106,AF$2,'Additions (monthly)'!$B$2:$B$106,"&lt;="&amp;$B32)</f>
        <v>0</v>
      </c>
      <c r="AG32" s="43" t="n">
        <f aca="false">SUMIFS('Additions (monthly)'!$E$2:$E$106,'Additions (monthly)'!$D$2:$D$106,AG$2,'Additions (monthly)'!$B$2:$B$106,"&lt;="&amp;$B32)</f>
        <v>0</v>
      </c>
      <c r="AH32" s="43" t="n">
        <f aca="false">SUMIFS('Additions (monthly)'!$E$2:$E$106,'Additions (monthly)'!$D$2:$D$106,AH$2,'Additions (monthly)'!$B$2:$B$106,"&lt;="&amp;$B32)</f>
        <v>0</v>
      </c>
      <c r="AI32" s="43" t="n">
        <f aca="false">SUMIFS('Additions (monthly)'!$E$2:$E$106,'Additions (monthly)'!$D$2:$D$106,AI$2,'Additions (monthly)'!$B$2:$B$106,"&lt;="&amp;$B32)</f>
        <v>0</v>
      </c>
      <c r="AJ32" s="43" t="n">
        <f aca="false">SUMIFS('Additions (monthly)'!$E$2:$E$106,'Additions (monthly)'!$D$2:$D$106,AJ$2,'Additions (monthly)'!$B$2:$B$106,"&lt;="&amp;$B32)</f>
        <v>0</v>
      </c>
      <c r="AK32" s="43" t="n">
        <f aca="false">SUMIFS('Additions (monthly)'!$E$2:$E$106,'Additions (monthly)'!$D$2:$D$106,AK$2,'Additions (monthly)'!$B$2:$B$106,"&lt;="&amp;$B32)</f>
        <v>0</v>
      </c>
      <c r="AL32" s="43" t="n">
        <f aca="false">SUMIFS('Additions (monthly)'!$E$2:$E$106,'Additions (monthly)'!$D$2:$D$106,AL$2,'Additions (monthly)'!$B$2:$B$106,"&lt;="&amp;$B32)</f>
        <v>22.2</v>
      </c>
      <c r="AM32" s="43" t="n">
        <f aca="false">SUMIFS('Additions (monthly)'!$E$2:$E$106,'Additions (monthly)'!$D$2:$D$106,AM$2,'Additions (monthly)'!$B$2:$B$106,"&lt;="&amp;$B32)</f>
        <v>0.3</v>
      </c>
      <c r="AN32" s="43" t="n">
        <f aca="false">SUMIFS('Additions (monthly)'!$E$2:$E$106,'Additions (monthly)'!$D$2:$D$106,AN$2,'Additions (monthly)'!$B$2:$B$106,"&lt;="&amp;$B32)</f>
        <v>4.3</v>
      </c>
      <c r="AO32" s="43" t="n">
        <f aca="false">SUMIFS('Additions (monthly)'!$E$2:$E$106,'Additions (monthly)'!$D$2:$D$106,AO$2,'Additions (monthly)'!$B$2:$B$106,"&lt;="&amp;$B32)</f>
        <v>10.4</v>
      </c>
      <c r="AP32" s="43" t="n">
        <f aca="false">SUMIFS('Additions (monthly)'!$E$2:$E$106,'Additions (monthly)'!$D$2:$D$106,AP$2,'Additions (monthly)'!$B$2:$B$106,"&lt;="&amp;$B32)</f>
        <v>0</v>
      </c>
      <c r="AQ32" s="43" t="n">
        <f aca="false">SUMIFS('Additions (monthly)'!$E$2:$E$106,'Additions (monthly)'!$D$2:$D$106,AQ$2,'Additions (monthly)'!$B$2:$B$106,"&lt;="&amp;$B32)</f>
        <v>4.45</v>
      </c>
      <c r="AR32" s="43" t="n">
        <f aca="false">SUMIFS('Additions (monthly)'!$E$2:$E$106,'Additions (monthly)'!$D$2:$D$106,AR$2,'Additions (monthly)'!$B$2:$B$106,"&lt;="&amp;$B32)</f>
        <v>77.1</v>
      </c>
      <c r="AS32" s="43" t="n">
        <f aca="false">SUMIFS('Additions (monthly)'!$E$2:$E$106,'Additions (monthly)'!$D$2:$D$106,AS$2,'Additions (monthly)'!$B$2:$B$106,"&lt;="&amp;$B32)</f>
        <v>0</v>
      </c>
      <c r="AT32" s="43" t="n">
        <f aca="false">SUMIFS('Additions (monthly)'!$E$2:$E$106,'Additions (monthly)'!$D$2:$D$106,AT$2,'Additions (monthly)'!$B$2:$B$106,"&lt;="&amp;$B32)</f>
        <v>0</v>
      </c>
      <c r="AU32" s="43" t="n">
        <f aca="false">SUMIFS('Additions (monthly)'!$E$2:$E$106,'Additions (monthly)'!$D$2:$D$106,AU$2,'Additions (monthly)'!$B$2:$B$106,"&lt;="&amp;$B32)</f>
        <v>9.6</v>
      </c>
      <c r="AV32" s="43" t="n">
        <f aca="false">SUMIFS('Additions (monthly)'!$E$2:$E$106,'Additions (monthly)'!$D$2:$D$106,AV$2,'Additions (monthly)'!$B$2:$B$106,"&lt;="&amp;$B32)</f>
        <v>0</v>
      </c>
      <c r="AW32" s="43" t="n">
        <f aca="false">SUMIFS('Additions (monthly)'!$E$2:$E$106,'Additions (monthly)'!$D$2:$D$106,AW$2,'Additions (monthly)'!$B$2:$B$106,"&lt;="&amp;$B32)</f>
        <v>0</v>
      </c>
      <c r="AX32" s="43" t="n">
        <f aca="false">SUMIFS('Additions (monthly)'!$E$2:$E$106,'Additions (monthly)'!$D$2:$D$106,AX$2,'Additions (monthly)'!$B$2:$B$106,"&lt;="&amp;$B32)</f>
        <v>11.8</v>
      </c>
      <c r="AY32" s="43" t="n">
        <f aca="false">SUMIFS('Additions (monthly)'!$E$2:$E$106,'Additions (monthly)'!$D$2:$D$106,AY$2,'Additions (monthly)'!$B$2:$B$106,"&lt;="&amp;$B32)</f>
        <v>5.3</v>
      </c>
      <c r="AZ32" s="43" t="n">
        <f aca="false">SUMIFS('Additions (monthly)'!$E$2:$E$106,'Additions (monthly)'!$D$2:$D$106,AZ$2,'Additions (monthly)'!$B$2:$B$106,"&lt;="&amp;$B32)</f>
        <v>0</v>
      </c>
      <c r="BA32" s="43" t="n">
        <f aca="false">SUMIFS('Additions (monthly)'!$E$2:$E$106,'Additions (monthly)'!$D$2:$D$106,BA$2,'Additions (monthly)'!$B$2:$B$106,"&lt;="&amp;$B32)</f>
        <v>0</v>
      </c>
      <c r="BB32" s="43" t="n">
        <f aca="false">SUMIFS('Additions (monthly)'!$E$2:$E$106,'Additions (monthly)'!$D$2:$D$106,BB$2,'Additions (monthly)'!$B$2:$B$106,"&lt;="&amp;$B32)</f>
        <v>0</v>
      </c>
      <c r="BC32" s="43" t="n">
        <f aca="false">SUMIFS('Additions (monthly)'!$E$2:$E$106,'Additions (monthly)'!$D$2:$D$106,BC$2,'Additions (monthly)'!$B$2:$B$106,"&lt;="&amp;$B32)</f>
        <v>0</v>
      </c>
      <c r="BD32" s="43" t="n">
        <f aca="false">SUMIFS('Additions (monthly)'!$E$2:$E$106,'Additions (monthly)'!$D$2:$D$106,BD$2,'Additions (monthly)'!$B$2:$B$106,"&lt;="&amp;$B32)</f>
        <v>0</v>
      </c>
      <c r="BE32" s="43" t="n">
        <f aca="false">SUMIFS('Additions (monthly)'!$E$2:$E$106,'Additions (monthly)'!$D$2:$D$106,BE$2,'Additions (monthly)'!$B$2:$B$106,"&lt;="&amp;$B32)</f>
        <v>0</v>
      </c>
      <c r="BF32" s="43" t="n">
        <f aca="false">SUMIFS('Additions (monthly)'!$E$2:$E$106,'Additions (monthly)'!$D$2:$D$106,BF$2,'Additions (monthly)'!$B$2:$B$106,"&lt;="&amp;$B32)</f>
        <v>0</v>
      </c>
      <c r="BG32" s="43" t="n">
        <f aca="false">SUMIFS('Additions (monthly)'!$E$2:$E$106,'Additions (monthly)'!$D$2:$D$106,BG$2,'Additions (monthly)'!$B$2:$B$106,"&lt;="&amp;$B32)</f>
        <v>0</v>
      </c>
      <c r="BH32" s="43" t="n">
        <f aca="false">SUMIFS('Additions (monthly)'!$E$2:$E$106,'Additions (monthly)'!$D$2:$D$106,BH$2,'Additions (monthly)'!$B$2:$B$106,"&lt;="&amp;$B32)</f>
        <v>0</v>
      </c>
      <c r="BI32" s="43" t="n">
        <f aca="false">SUMIFS('Additions (monthly)'!$E$2:$E$106,'Additions (monthly)'!$D$2:$D$106,BI$2,'Additions (monthly)'!$B$2:$B$106,"&lt;="&amp;$B32)</f>
        <v>6.7</v>
      </c>
    </row>
    <row r="33" customFormat="false" ht="15" hidden="false" customHeight="false" outlineLevel="0" collapsed="false">
      <c r="A33" s="23" t="n">
        <v>41091</v>
      </c>
      <c r="B33" s="24" t="n">
        <v>201207</v>
      </c>
      <c r="C33" s="42" t="n">
        <f aca="false">SUMIFS('Additions (monthly)'!$E$2:$E$106,'Additions (monthly)'!$B$2:$B$106,"&lt;="&amp;$B33)</f>
        <v>268.47</v>
      </c>
      <c r="D33" s="43" t="n">
        <f aca="false">SUMIFS('Additions (monthly)'!$E$2:$E$106,'Additions (monthly)'!$D$2:$D$106,D$2,'Additions (monthly)'!$B$2:$B$106,"&lt;="&amp;$B33)</f>
        <v>7.9</v>
      </c>
      <c r="E33" s="43" t="n">
        <f aca="false">SUMIFS('Additions (monthly)'!$E$2:$E$106,'Additions (monthly)'!$D$2:$D$106,E$2,'Additions (monthly)'!$B$2:$B$106,"&lt;="&amp;$B33)</f>
        <v>8.4</v>
      </c>
      <c r="F33" s="43" t="n">
        <f aca="false">SUMIFS('Additions (monthly)'!$E$2:$E$106,'Additions (monthly)'!$D$2:$D$106,F$2,'Additions (monthly)'!$B$2:$B$106,"&lt;="&amp;$B33)</f>
        <v>0</v>
      </c>
      <c r="G33" s="43" t="n">
        <f aca="false">SUMIFS('Additions (monthly)'!$E$2:$E$106,'Additions (monthly)'!$D$2:$D$106,G$2,'Additions (monthly)'!$B$2:$B$106,"&lt;="&amp;$B33)</f>
        <v>0</v>
      </c>
      <c r="H33" s="43" t="n">
        <f aca="false">SUMIFS('Additions (monthly)'!$E$2:$E$106,'Additions (monthly)'!$D$2:$D$106,H$2,'Additions (monthly)'!$B$2:$B$106,"&lt;="&amp;$B33)</f>
        <v>0</v>
      </c>
      <c r="I33" s="43" t="n">
        <f aca="false">SUMIFS('Additions (monthly)'!$E$2:$E$106,'Additions (monthly)'!$D$2:$D$106,I$2,'Additions (monthly)'!$B$2:$B$106,"&lt;="&amp;$B33)</f>
        <v>0</v>
      </c>
      <c r="J33" s="43" t="n">
        <f aca="false">SUMIFS('Additions (monthly)'!$E$2:$E$106,'Additions (monthly)'!$D$2:$D$106,J$2,'Additions (monthly)'!$B$2:$B$106,"&lt;="&amp;$B33)</f>
        <v>3.7</v>
      </c>
      <c r="K33" s="43" t="n">
        <f aca="false">SUMIFS('Additions (monthly)'!$E$2:$E$106,'Additions (monthly)'!$D$2:$D$106,K$2,'Additions (monthly)'!$B$2:$B$106,"&lt;="&amp;$B33)</f>
        <v>0</v>
      </c>
      <c r="L33" s="43" t="n">
        <f aca="false">SUMIFS('Additions (monthly)'!$E$2:$E$106,'Additions (monthly)'!$D$2:$D$106,L$2,'Additions (monthly)'!$B$2:$B$106,"&lt;="&amp;$B33)</f>
        <v>0</v>
      </c>
      <c r="M33" s="43" t="n">
        <f aca="false">SUMIFS('Additions (monthly)'!$E$2:$E$106,'Additions (monthly)'!$D$2:$D$106,M$2,'Additions (monthly)'!$B$2:$B$106,"&lt;="&amp;$B33)</f>
        <v>0</v>
      </c>
      <c r="N33" s="43" t="n">
        <f aca="false">SUMIFS('Additions (monthly)'!$E$2:$E$106,'Additions (monthly)'!$D$2:$D$106,N$2,'Additions (monthly)'!$B$2:$B$106,"&lt;="&amp;$B33)</f>
        <v>14.2</v>
      </c>
      <c r="O33" s="43" t="n">
        <f aca="false">SUMIFS('Additions (monthly)'!$E$2:$E$106,'Additions (monthly)'!$D$2:$D$106,O$2,'Additions (monthly)'!$B$2:$B$106,"&lt;="&amp;$B33)</f>
        <v>4.9</v>
      </c>
      <c r="P33" s="43" t="n">
        <f aca="false">SUMIFS('Additions (monthly)'!$E$2:$E$106,'Additions (monthly)'!$D$2:$D$106,P$2,'Additions (monthly)'!$B$2:$B$106,"&lt;="&amp;$B33)</f>
        <v>0</v>
      </c>
      <c r="Q33" s="43" t="n">
        <f aca="false">SUMIFS('Additions (monthly)'!$E$2:$E$106,'Additions (monthly)'!$D$2:$D$106,Q$2,'Additions (monthly)'!$B$2:$B$106,"&lt;="&amp;$B33)</f>
        <v>0</v>
      </c>
      <c r="R33" s="43" t="n">
        <f aca="false">SUMIFS('Additions (monthly)'!$E$2:$E$106,'Additions (monthly)'!$D$2:$D$106,R$2,'Additions (monthly)'!$B$2:$B$106,"&lt;="&amp;$B33)</f>
        <v>0</v>
      </c>
      <c r="S33" s="43" t="n">
        <f aca="false">SUMIFS('Additions (monthly)'!$E$2:$E$106,'Additions (monthly)'!$D$2:$D$106,S$2,'Additions (monthly)'!$B$2:$B$106,"&lt;="&amp;$B33)</f>
        <v>7.2</v>
      </c>
      <c r="T33" s="43" t="n">
        <f aca="false">SUMIFS('Additions (monthly)'!$E$2:$E$106,'Additions (monthly)'!$D$2:$D$106,T$2,'Additions (monthly)'!$B$2:$B$106,"&lt;="&amp;$B33)</f>
        <v>0</v>
      </c>
      <c r="U33" s="43" t="n">
        <f aca="false">SUMIFS('Additions (monthly)'!$E$2:$E$106,'Additions (monthly)'!$D$2:$D$106,U$2,'Additions (monthly)'!$B$2:$B$106,"&lt;="&amp;$B33)</f>
        <v>0</v>
      </c>
      <c r="V33" s="43" t="n">
        <f aca="false">SUMIFS('Additions (monthly)'!$E$2:$E$106,'Additions (monthly)'!$D$2:$D$106,V$2,'Additions (monthly)'!$B$2:$B$106,"&lt;="&amp;$B33)</f>
        <v>3.87</v>
      </c>
      <c r="W33" s="43" t="n">
        <f aca="false">SUMIFS('Additions (monthly)'!$E$2:$E$106,'Additions (monthly)'!$D$2:$D$106,W$2,'Additions (monthly)'!$B$2:$B$106,"&lt;="&amp;$B33)</f>
        <v>0</v>
      </c>
      <c r="X33" s="43" t="n">
        <f aca="false">SUMIFS('Additions (monthly)'!$E$2:$E$106,'Additions (monthly)'!$D$2:$D$106,X$2,'Additions (monthly)'!$B$2:$B$106,"&lt;="&amp;$B33)</f>
        <v>0</v>
      </c>
      <c r="Y33" s="43" t="n">
        <f aca="false">SUMIFS('Additions (monthly)'!$E$2:$E$106,'Additions (monthly)'!$D$2:$D$106,Y$2,'Additions (monthly)'!$B$2:$B$106,"&lt;="&amp;$B33)</f>
        <v>5</v>
      </c>
      <c r="Z33" s="43" t="n">
        <f aca="false">SUMIFS('Additions (monthly)'!$E$2:$E$106,'Additions (monthly)'!$D$2:$D$106,Z$2,'Additions (monthly)'!$B$2:$B$106,"&lt;="&amp;$B33)</f>
        <v>7.2</v>
      </c>
      <c r="AA33" s="43" t="n">
        <f aca="false">SUMIFS('Additions (monthly)'!$E$2:$E$106,'Additions (monthly)'!$D$2:$D$106,AA$2,'Additions (monthly)'!$B$2:$B$106,"&lt;="&amp;$B33)</f>
        <v>3.7</v>
      </c>
      <c r="AB33" s="43" t="n">
        <f aca="false">SUMIFS('Additions (monthly)'!$E$2:$E$106,'Additions (monthly)'!$D$2:$D$106,AB$2,'Additions (monthly)'!$B$2:$B$106,"&lt;="&amp;$B33)</f>
        <v>16.95</v>
      </c>
      <c r="AC33" s="43" t="n">
        <f aca="false">SUMIFS('Additions (monthly)'!$E$2:$E$106,'Additions (monthly)'!$D$2:$D$106,AC$2,'Additions (monthly)'!$B$2:$B$106,"&lt;="&amp;$B33)</f>
        <v>0</v>
      </c>
      <c r="AD33" s="43" t="n">
        <f aca="false">SUMIFS('Additions (monthly)'!$E$2:$E$106,'Additions (monthly)'!$D$2:$D$106,AD$2,'Additions (monthly)'!$B$2:$B$106,"&lt;="&amp;$B33)</f>
        <v>7.6</v>
      </c>
      <c r="AE33" s="43" t="n">
        <f aca="false">SUMIFS('Additions (monthly)'!$E$2:$E$106,'Additions (monthly)'!$D$2:$D$106,AE$2,'Additions (monthly)'!$B$2:$B$106,"&lt;="&amp;$B33)</f>
        <v>25.7</v>
      </c>
      <c r="AF33" s="43" t="n">
        <f aca="false">SUMIFS('Additions (monthly)'!$E$2:$E$106,'Additions (monthly)'!$D$2:$D$106,AF$2,'Additions (monthly)'!$B$2:$B$106,"&lt;="&amp;$B33)</f>
        <v>0</v>
      </c>
      <c r="AG33" s="43" t="n">
        <f aca="false">SUMIFS('Additions (monthly)'!$E$2:$E$106,'Additions (monthly)'!$D$2:$D$106,AG$2,'Additions (monthly)'!$B$2:$B$106,"&lt;="&amp;$B33)</f>
        <v>0</v>
      </c>
      <c r="AH33" s="43" t="n">
        <f aca="false">SUMIFS('Additions (monthly)'!$E$2:$E$106,'Additions (monthly)'!$D$2:$D$106,AH$2,'Additions (monthly)'!$B$2:$B$106,"&lt;="&amp;$B33)</f>
        <v>0</v>
      </c>
      <c r="AI33" s="43" t="n">
        <f aca="false">SUMIFS('Additions (monthly)'!$E$2:$E$106,'Additions (monthly)'!$D$2:$D$106,AI$2,'Additions (monthly)'!$B$2:$B$106,"&lt;="&amp;$B33)</f>
        <v>0</v>
      </c>
      <c r="AJ33" s="43" t="n">
        <f aca="false">SUMIFS('Additions (monthly)'!$E$2:$E$106,'Additions (monthly)'!$D$2:$D$106,AJ$2,'Additions (monthly)'!$B$2:$B$106,"&lt;="&amp;$B33)</f>
        <v>0</v>
      </c>
      <c r="AK33" s="43" t="n">
        <f aca="false">SUMIFS('Additions (monthly)'!$E$2:$E$106,'Additions (monthly)'!$D$2:$D$106,AK$2,'Additions (monthly)'!$B$2:$B$106,"&lt;="&amp;$B33)</f>
        <v>0</v>
      </c>
      <c r="AL33" s="43" t="n">
        <f aca="false">SUMIFS('Additions (monthly)'!$E$2:$E$106,'Additions (monthly)'!$D$2:$D$106,AL$2,'Additions (monthly)'!$B$2:$B$106,"&lt;="&amp;$B33)</f>
        <v>22.2</v>
      </c>
      <c r="AM33" s="43" t="n">
        <f aca="false">SUMIFS('Additions (monthly)'!$E$2:$E$106,'Additions (monthly)'!$D$2:$D$106,AM$2,'Additions (monthly)'!$B$2:$B$106,"&lt;="&amp;$B33)</f>
        <v>0.3</v>
      </c>
      <c r="AN33" s="43" t="n">
        <f aca="false">SUMIFS('Additions (monthly)'!$E$2:$E$106,'Additions (monthly)'!$D$2:$D$106,AN$2,'Additions (monthly)'!$B$2:$B$106,"&lt;="&amp;$B33)</f>
        <v>4.3</v>
      </c>
      <c r="AO33" s="43" t="n">
        <f aca="false">SUMIFS('Additions (monthly)'!$E$2:$E$106,'Additions (monthly)'!$D$2:$D$106,AO$2,'Additions (monthly)'!$B$2:$B$106,"&lt;="&amp;$B33)</f>
        <v>10.4</v>
      </c>
      <c r="AP33" s="43" t="n">
        <f aca="false">SUMIFS('Additions (monthly)'!$E$2:$E$106,'Additions (monthly)'!$D$2:$D$106,AP$2,'Additions (monthly)'!$B$2:$B$106,"&lt;="&amp;$B33)</f>
        <v>0</v>
      </c>
      <c r="AQ33" s="43" t="n">
        <f aca="false">SUMIFS('Additions (monthly)'!$E$2:$E$106,'Additions (monthly)'!$D$2:$D$106,AQ$2,'Additions (monthly)'!$B$2:$B$106,"&lt;="&amp;$B33)</f>
        <v>4.45</v>
      </c>
      <c r="AR33" s="43" t="n">
        <f aca="false">SUMIFS('Additions (monthly)'!$E$2:$E$106,'Additions (monthly)'!$D$2:$D$106,AR$2,'Additions (monthly)'!$B$2:$B$106,"&lt;="&amp;$B33)</f>
        <v>77.1</v>
      </c>
      <c r="AS33" s="43" t="n">
        <f aca="false">SUMIFS('Additions (monthly)'!$E$2:$E$106,'Additions (monthly)'!$D$2:$D$106,AS$2,'Additions (monthly)'!$B$2:$B$106,"&lt;="&amp;$B33)</f>
        <v>0</v>
      </c>
      <c r="AT33" s="43" t="n">
        <f aca="false">SUMIFS('Additions (monthly)'!$E$2:$E$106,'Additions (monthly)'!$D$2:$D$106,AT$2,'Additions (monthly)'!$B$2:$B$106,"&lt;="&amp;$B33)</f>
        <v>0</v>
      </c>
      <c r="AU33" s="43" t="n">
        <f aca="false">SUMIFS('Additions (monthly)'!$E$2:$E$106,'Additions (monthly)'!$D$2:$D$106,AU$2,'Additions (monthly)'!$B$2:$B$106,"&lt;="&amp;$B33)</f>
        <v>9.6</v>
      </c>
      <c r="AV33" s="43" t="n">
        <f aca="false">SUMIFS('Additions (monthly)'!$E$2:$E$106,'Additions (monthly)'!$D$2:$D$106,AV$2,'Additions (monthly)'!$B$2:$B$106,"&lt;="&amp;$B33)</f>
        <v>0</v>
      </c>
      <c r="AW33" s="43" t="n">
        <f aca="false">SUMIFS('Additions (monthly)'!$E$2:$E$106,'Additions (monthly)'!$D$2:$D$106,AW$2,'Additions (monthly)'!$B$2:$B$106,"&lt;="&amp;$B33)</f>
        <v>0</v>
      </c>
      <c r="AX33" s="43" t="n">
        <f aca="false">SUMIFS('Additions (monthly)'!$E$2:$E$106,'Additions (monthly)'!$D$2:$D$106,AX$2,'Additions (monthly)'!$B$2:$B$106,"&lt;="&amp;$B33)</f>
        <v>11.8</v>
      </c>
      <c r="AY33" s="43" t="n">
        <f aca="false">SUMIFS('Additions (monthly)'!$E$2:$E$106,'Additions (monthly)'!$D$2:$D$106,AY$2,'Additions (monthly)'!$B$2:$B$106,"&lt;="&amp;$B33)</f>
        <v>5.3</v>
      </c>
      <c r="AZ33" s="43" t="n">
        <f aca="false">SUMIFS('Additions (monthly)'!$E$2:$E$106,'Additions (monthly)'!$D$2:$D$106,AZ$2,'Additions (monthly)'!$B$2:$B$106,"&lt;="&amp;$B33)</f>
        <v>0</v>
      </c>
      <c r="BA33" s="43" t="n">
        <f aca="false">SUMIFS('Additions (monthly)'!$E$2:$E$106,'Additions (monthly)'!$D$2:$D$106,BA$2,'Additions (monthly)'!$B$2:$B$106,"&lt;="&amp;$B33)</f>
        <v>0</v>
      </c>
      <c r="BB33" s="43" t="n">
        <f aca="false">SUMIFS('Additions (monthly)'!$E$2:$E$106,'Additions (monthly)'!$D$2:$D$106,BB$2,'Additions (monthly)'!$B$2:$B$106,"&lt;="&amp;$B33)</f>
        <v>0</v>
      </c>
      <c r="BC33" s="43" t="n">
        <f aca="false">SUMIFS('Additions (monthly)'!$E$2:$E$106,'Additions (monthly)'!$D$2:$D$106,BC$2,'Additions (monthly)'!$B$2:$B$106,"&lt;="&amp;$B33)</f>
        <v>0</v>
      </c>
      <c r="BD33" s="43" t="n">
        <f aca="false">SUMIFS('Additions (monthly)'!$E$2:$E$106,'Additions (monthly)'!$D$2:$D$106,BD$2,'Additions (monthly)'!$B$2:$B$106,"&lt;="&amp;$B33)</f>
        <v>0</v>
      </c>
      <c r="BE33" s="43" t="n">
        <f aca="false">SUMIFS('Additions (monthly)'!$E$2:$E$106,'Additions (monthly)'!$D$2:$D$106,BE$2,'Additions (monthly)'!$B$2:$B$106,"&lt;="&amp;$B33)</f>
        <v>0</v>
      </c>
      <c r="BF33" s="43" t="n">
        <f aca="false">SUMIFS('Additions (monthly)'!$E$2:$E$106,'Additions (monthly)'!$D$2:$D$106,BF$2,'Additions (monthly)'!$B$2:$B$106,"&lt;="&amp;$B33)</f>
        <v>0</v>
      </c>
      <c r="BG33" s="43" t="n">
        <f aca="false">SUMIFS('Additions (monthly)'!$E$2:$E$106,'Additions (monthly)'!$D$2:$D$106,BG$2,'Additions (monthly)'!$B$2:$B$106,"&lt;="&amp;$B33)</f>
        <v>0</v>
      </c>
      <c r="BH33" s="43" t="n">
        <f aca="false">SUMIFS('Additions (monthly)'!$E$2:$E$106,'Additions (monthly)'!$D$2:$D$106,BH$2,'Additions (monthly)'!$B$2:$B$106,"&lt;="&amp;$B33)</f>
        <v>0</v>
      </c>
      <c r="BI33" s="43" t="n">
        <f aca="false">SUMIFS('Additions (monthly)'!$E$2:$E$106,'Additions (monthly)'!$D$2:$D$106,BI$2,'Additions (monthly)'!$B$2:$B$106,"&lt;="&amp;$B33)</f>
        <v>6.7</v>
      </c>
    </row>
    <row r="34" customFormat="false" ht="15" hidden="false" customHeight="false" outlineLevel="0" collapsed="false">
      <c r="A34" s="23" t="n">
        <v>41122</v>
      </c>
      <c r="B34" s="24" t="n">
        <v>201208</v>
      </c>
      <c r="C34" s="42" t="n">
        <f aca="false">SUMIFS('Additions (monthly)'!$E$2:$E$106,'Additions (monthly)'!$B$2:$B$106,"&lt;="&amp;$B34)</f>
        <v>268.47</v>
      </c>
      <c r="D34" s="43" t="n">
        <f aca="false">SUMIFS('Additions (monthly)'!$E$2:$E$106,'Additions (monthly)'!$D$2:$D$106,D$2,'Additions (monthly)'!$B$2:$B$106,"&lt;="&amp;$B34)</f>
        <v>7.9</v>
      </c>
      <c r="E34" s="43" t="n">
        <f aca="false">SUMIFS('Additions (monthly)'!$E$2:$E$106,'Additions (monthly)'!$D$2:$D$106,E$2,'Additions (monthly)'!$B$2:$B$106,"&lt;="&amp;$B34)</f>
        <v>8.4</v>
      </c>
      <c r="F34" s="43" t="n">
        <f aca="false">SUMIFS('Additions (monthly)'!$E$2:$E$106,'Additions (monthly)'!$D$2:$D$106,F$2,'Additions (monthly)'!$B$2:$B$106,"&lt;="&amp;$B34)</f>
        <v>0</v>
      </c>
      <c r="G34" s="43" t="n">
        <f aca="false">SUMIFS('Additions (monthly)'!$E$2:$E$106,'Additions (monthly)'!$D$2:$D$106,G$2,'Additions (monthly)'!$B$2:$B$106,"&lt;="&amp;$B34)</f>
        <v>0</v>
      </c>
      <c r="H34" s="43" t="n">
        <f aca="false">SUMIFS('Additions (monthly)'!$E$2:$E$106,'Additions (monthly)'!$D$2:$D$106,H$2,'Additions (monthly)'!$B$2:$B$106,"&lt;="&amp;$B34)</f>
        <v>0</v>
      </c>
      <c r="I34" s="43" t="n">
        <f aca="false">SUMIFS('Additions (monthly)'!$E$2:$E$106,'Additions (monthly)'!$D$2:$D$106,I$2,'Additions (monthly)'!$B$2:$B$106,"&lt;="&amp;$B34)</f>
        <v>0</v>
      </c>
      <c r="J34" s="43" t="n">
        <f aca="false">SUMIFS('Additions (monthly)'!$E$2:$E$106,'Additions (monthly)'!$D$2:$D$106,J$2,'Additions (monthly)'!$B$2:$B$106,"&lt;="&amp;$B34)</f>
        <v>3.7</v>
      </c>
      <c r="K34" s="43" t="n">
        <f aca="false">SUMIFS('Additions (monthly)'!$E$2:$E$106,'Additions (monthly)'!$D$2:$D$106,K$2,'Additions (monthly)'!$B$2:$B$106,"&lt;="&amp;$B34)</f>
        <v>0</v>
      </c>
      <c r="L34" s="43" t="n">
        <f aca="false">SUMIFS('Additions (monthly)'!$E$2:$E$106,'Additions (monthly)'!$D$2:$D$106,L$2,'Additions (monthly)'!$B$2:$B$106,"&lt;="&amp;$B34)</f>
        <v>0</v>
      </c>
      <c r="M34" s="43" t="n">
        <f aca="false">SUMIFS('Additions (monthly)'!$E$2:$E$106,'Additions (monthly)'!$D$2:$D$106,M$2,'Additions (monthly)'!$B$2:$B$106,"&lt;="&amp;$B34)</f>
        <v>0</v>
      </c>
      <c r="N34" s="43" t="n">
        <f aca="false">SUMIFS('Additions (monthly)'!$E$2:$E$106,'Additions (monthly)'!$D$2:$D$106,N$2,'Additions (monthly)'!$B$2:$B$106,"&lt;="&amp;$B34)</f>
        <v>14.2</v>
      </c>
      <c r="O34" s="43" t="n">
        <f aca="false">SUMIFS('Additions (monthly)'!$E$2:$E$106,'Additions (monthly)'!$D$2:$D$106,O$2,'Additions (monthly)'!$B$2:$B$106,"&lt;="&amp;$B34)</f>
        <v>4.9</v>
      </c>
      <c r="P34" s="43" t="n">
        <f aca="false">SUMIFS('Additions (monthly)'!$E$2:$E$106,'Additions (monthly)'!$D$2:$D$106,P$2,'Additions (monthly)'!$B$2:$B$106,"&lt;="&amp;$B34)</f>
        <v>0</v>
      </c>
      <c r="Q34" s="43" t="n">
        <f aca="false">SUMIFS('Additions (monthly)'!$E$2:$E$106,'Additions (monthly)'!$D$2:$D$106,Q$2,'Additions (monthly)'!$B$2:$B$106,"&lt;="&amp;$B34)</f>
        <v>0</v>
      </c>
      <c r="R34" s="43" t="n">
        <f aca="false">SUMIFS('Additions (monthly)'!$E$2:$E$106,'Additions (monthly)'!$D$2:$D$106,R$2,'Additions (monthly)'!$B$2:$B$106,"&lt;="&amp;$B34)</f>
        <v>0</v>
      </c>
      <c r="S34" s="43" t="n">
        <f aca="false">SUMIFS('Additions (monthly)'!$E$2:$E$106,'Additions (monthly)'!$D$2:$D$106,S$2,'Additions (monthly)'!$B$2:$B$106,"&lt;="&amp;$B34)</f>
        <v>7.2</v>
      </c>
      <c r="T34" s="43" t="n">
        <f aca="false">SUMIFS('Additions (monthly)'!$E$2:$E$106,'Additions (monthly)'!$D$2:$D$106,T$2,'Additions (monthly)'!$B$2:$B$106,"&lt;="&amp;$B34)</f>
        <v>0</v>
      </c>
      <c r="U34" s="43" t="n">
        <f aca="false">SUMIFS('Additions (monthly)'!$E$2:$E$106,'Additions (monthly)'!$D$2:$D$106,U$2,'Additions (monthly)'!$B$2:$B$106,"&lt;="&amp;$B34)</f>
        <v>0</v>
      </c>
      <c r="V34" s="43" t="n">
        <f aca="false">SUMIFS('Additions (monthly)'!$E$2:$E$106,'Additions (monthly)'!$D$2:$D$106,V$2,'Additions (monthly)'!$B$2:$B$106,"&lt;="&amp;$B34)</f>
        <v>3.87</v>
      </c>
      <c r="W34" s="43" t="n">
        <f aca="false">SUMIFS('Additions (monthly)'!$E$2:$E$106,'Additions (monthly)'!$D$2:$D$106,W$2,'Additions (monthly)'!$B$2:$B$106,"&lt;="&amp;$B34)</f>
        <v>0</v>
      </c>
      <c r="X34" s="43" t="n">
        <f aca="false">SUMIFS('Additions (monthly)'!$E$2:$E$106,'Additions (monthly)'!$D$2:$D$106,X$2,'Additions (monthly)'!$B$2:$B$106,"&lt;="&amp;$B34)</f>
        <v>0</v>
      </c>
      <c r="Y34" s="43" t="n">
        <f aca="false">SUMIFS('Additions (monthly)'!$E$2:$E$106,'Additions (monthly)'!$D$2:$D$106,Y$2,'Additions (monthly)'!$B$2:$B$106,"&lt;="&amp;$B34)</f>
        <v>5</v>
      </c>
      <c r="Z34" s="43" t="n">
        <f aca="false">SUMIFS('Additions (monthly)'!$E$2:$E$106,'Additions (monthly)'!$D$2:$D$106,Z$2,'Additions (monthly)'!$B$2:$B$106,"&lt;="&amp;$B34)</f>
        <v>7.2</v>
      </c>
      <c r="AA34" s="43" t="n">
        <f aca="false">SUMIFS('Additions (monthly)'!$E$2:$E$106,'Additions (monthly)'!$D$2:$D$106,AA$2,'Additions (monthly)'!$B$2:$B$106,"&lt;="&amp;$B34)</f>
        <v>3.7</v>
      </c>
      <c r="AB34" s="43" t="n">
        <f aca="false">SUMIFS('Additions (monthly)'!$E$2:$E$106,'Additions (monthly)'!$D$2:$D$106,AB$2,'Additions (monthly)'!$B$2:$B$106,"&lt;="&amp;$B34)</f>
        <v>16.95</v>
      </c>
      <c r="AC34" s="43" t="n">
        <f aca="false">SUMIFS('Additions (monthly)'!$E$2:$E$106,'Additions (monthly)'!$D$2:$D$106,AC$2,'Additions (monthly)'!$B$2:$B$106,"&lt;="&amp;$B34)</f>
        <v>0</v>
      </c>
      <c r="AD34" s="43" t="n">
        <f aca="false">SUMIFS('Additions (monthly)'!$E$2:$E$106,'Additions (monthly)'!$D$2:$D$106,AD$2,'Additions (monthly)'!$B$2:$B$106,"&lt;="&amp;$B34)</f>
        <v>7.6</v>
      </c>
      <c r="AE34" s="43" t="n">
        <f aca="false">SUMIFS('Additions (monthly)'!$E$2:$E$106,'Additions (monthly)'!$D$2:$D$106,AE$2,'Additions (monthly)'!$B$2:$B$106,"&lt;="&amp;$B34)</f>
        <v>25.7</v>
      </c>
      <c r="AF34" s="43" t="n">
        <f aca="false">SUMIFS('Additions (monthly)'!$E$2:$E$106,'Additions (monthly)'!$D$2:$D$106,AF$2,'Additions (monthly)'!$B$2:$B$106,"&lt;="&amp;$B34)</f>
        <v>0</v>
      </c>
      <c r="AG34" s="43" t="n">
        <f aca="false">SUMIFS('Additions (monthly)'!$E$2:$E$106,'Additions (monthly)'!$D$2:$D$106,AG$2,'Additions (monthly)'!$B$2:$B$106,"&lt;="&amp;$B34)</f>
        <v>0</v>
      </c>
      <c r="AH34" s="43" t="n">
        <f aca="false">SUMIFS('Additions (monthly)'!$E$2:$E$106,'Additions (monthly)'!$D$2:$D$106,AH$2,'Additions (monthly)'!$B$2:$B$106,"&lt;="&amp;$B34)</f>
        <v>0</v>
      </c>
      <c r="AI34" s="43" t="n">
        <f aca="false">SUMIFS('Additions (monthly)'!$E$2:$E$106,'Additions (monthly)'!$D$2:$D$106,AI$2,'Additions (monthly)'!$B$2:$B$106,"&lt;="&amp;$B34)</f>
        <v>0</v>
      </c>
      <c r="AJ34" s="43" t="n">
        <f aca="false">SUMIFS('Additions (monthly)'!$E$2:$E$106,'Additions (monthly)'!$D$2:$D$106,AJ$2,'Additions (monthly)'!$B$2:$B$106,"&lt;="&amp;$B34)</f>
        <v>0</v>
      </c>
      <c r="AK34" s="43" t="n">
        <f aca="false">SUMIFS('Additions (monthly)'!$E$2:$E$106,'Additions (monthly)'!$D$2:$D$106,AK$2,'Additions (monthly)'!$B$2:$B$106,"&lt;="&amp;$B34)</f>
        <v>0</v>
      </c>
      <c r="AL34" s="43" t="n">
        <f aca="false">SUMIFS('Additions (monthly)'!$E$2:$E$106,'Additions (monthly)'!$D$2:$D$106,AL$2,'Additions (monthly)'!$B$2:$B$106,"&lt;="&amp;$B34)</f>
        <v>22.2</v>
      </c>
      <c r="AM34" s="43" t="n">
        <f aca="false">SUMIFS('Additions (monthly)'!$E$2:$E$106,'Additions (monthly)'!$D$2:$D$106,AM$2,'Additions (monthly)'!$B$2:$B$106,"&lt;="&amp;$B34)</f>
        <v>0.3</v>
      </c>
      <c r="AN34" s="43" t="n">
        <f aca="false">SUMIFS('Additions (monthly)'!$E$2:$E$106,'Additions (monthly)'!$D$2:$D$106,AN$2,'Additions (monthly)'!$B$2:$B$106,"&lt;="&amp;$B34)</f>
        <v>4.3</v>
      </c>
      <c r="AO34" s="43" t="n">
        <f aca="false">SUMIFS('Additions (monthly)'!$E$2:$E$106,'Additions (monthly)'!$D$2:$D$106,AO$2,'Additions (monthly)'!$B$2:$B$106,"&lt;="&amp;$B34)</f>
        <v>10.4</v>
      </c>
      <c r="AP34" s="43" t="n">
        <f aca="false">SUMIFS('Additions (monthly)'!$E$2:$E$106,'Additions (monthly)'!$D$2:$D$106,AP$2,'Additions (monthly)'!$B$2:$B$106,"&lt;="&amp;$B34)</f>
        <v>0</v>
      </c>
      <c r="AQ34" s="43" t="n">
        <f aca="false">SUMIFS('Additions (monthly)'!$E$2:$E$106,'Additions (monthly)'!$D$2:$D$106,AQ$2,'Additions (monthly)'!$B$2:$B$106,"&lt;="&amp;$B34)</f>
        <v>4.45</v>
      </c>
      <c r="AR34" s="43" t="n">
        <f aca="false">SUMIFS('Additions (monthly)'!$E$2:$E$106,'Additions (monthly)'!$D$2:$D$106,AR$2,'Additions (monthly)'!$B$2:$B$106,"&lt;="&amp;$B34)</f>
        <v>77.1</v>
      </c>
      <c r="AS34" s="43" t="n">
        <f aca="false">SUMIFS('Additions (monthly)'!$E$2:$E$106,'Additions (monthly)'!$D$2:$D$106,AS$2,'Additions (monthly)'!$B$2:$B$106,"&lt;="&amp;$B34)</f>
        <v>0</v>
      </c>
      <c r="AT34" s="43" t="n">
        <f aca="false">SUMIFS('Additions (monthly)'!$E$2:$E$106,'Additions (monthly)'!$D$2:$D$106,AT$2,'Additions (monthly)'!$B$2:$B$106,"&lt;="&amp;$B34)</f>
        <v>0</v>
      </c>
      <c r="AU34" s="43" t="n">
        <f aca="false">SUMIFS('Additions (monthly)'!$E$2:$E$106,'Additions (monthly)'!$D$2:$D$106,AU$2,'Additions (monthly)'!$B$2:$B$106,"&lt;="&amp;$B34)</f>
        <v>9.6</v>
      </c>
      <c r="AV34" s="43" t="n">
        <f aca="false">SUMIFS('Additions (monthly)'!$E$2:$E$106,'Additions (monthly)'!$D$2:$D$106,AV$2,'Additions (monthly)'!$B$2:$B$106,"&lt;="&amp;$B34)</f>
        <v>0</v>
      </c>
      <c r="AW34" s="43" t="n">
        <f aca="false">SUMIFS('Additions (monthly)'!$E$2:$E$106,'Additions (monthly)'!$D$2:$D$106,AW$2,'Additions (monthly)'!$B$2:$B$106,"&lt;="&amp;$B34)</f>
        <v>0</v>
      </c>
      <c r="AX34" s="43" t="n">
        <f aca="false">SUMIFS('Additions (monthly)'!$E$2:$E$106,'Additions (monthly)'!$D$2:$D$106,AX$2,'Additions (monthly)'!$B$2:$B$106,"&lt;="&amp;$B34)</f>
        <v>11.8</v>
      </c>
      <c r="AY34" s="43" t="n">
        <f aca="false">SUMIFS('Additions (monthly)'!$E$2:$E$106,'Additions (monthly)'!$D$2:$D$106,AY$2,'Additions (monthly)'!$B$2:$B$106,"&lt;="&amp;$B34)</f>
        <v>5.3</v>
      </c>
      <c r="AZ34" s="43" t="n">
        <f aca="false">SUMIFS('Additions (monthly)'!$E$2:$E$106,'Additions (monthly)'!$D$2:$D$106,AZ$2,'Additions (monthly)'!$B$2:$B$106,"&lt;="&amp;$B34)</f>
        <v>0</v>
      </c>
      <c r="BA34" s="43" t="n">
        <f aca="false">SUMIFS('Additions (monthly)'!$E$2:$E$106,'Additions (monthly)'!$D$2:$D$106,BA$2,'Additions (monthly)'!$B$2:$B$106,"&lt;="&amp;$B34)</f>
        <v>0</v>
      </c>
      <c r="BB34" s="43" t="n">
        <f aca="false">SUMIFS('Additions (monthly)'!$E$2:$E$106,'Additions (monthly)'!$D$2:$D$106,BB$2,'Additions (monthly)'!$B$2:$B$106,"&lt;="&amp;$B34)</f>
        <v>0</v>
      </c>
      <c r="BC34" s="43" t="n">
        <f aca="false">SUMIFS('Additions (monthly)'!$E$2:$E$106,'Additions (monthly)'!$D$2:$D$106,BC$2,'Additions (monthly)'!$B$2:$B$106,"&lt;="&amp;$B34)</f>
        <v>0</v>
      </c>
      <c r="BD34" s="43" t="n">
        <f aca="false">SUMIFS('Additions (monthly)'!$E$2:$E$106,'Additions (monthly)'!$D$2:$D$106,BD$2,'Additions (monthly)'!$B$2:$B$106,"&lt;="&amp;$B34)</f>
        <v>0</v>
      </c>
      <c r="BE34" s="43" t="n">
        <f aca="false">SUMIFS('Additions (monthly)'!$E$2:$E$106,'Additions (monthly)'!$D$2:$D$106,BE$2,'Additions (monthly)'!$B$2:$B$106,"&lt;="&amp;$B34)</f>
        <v>0</v>
      </c>
      <c r="BF34" s="43" t="n">
        <f aca="false">SUMIFS('Additions (monthly)'!$E$2:$E$106,'Additions (monthly)'!$D$2:$D$106,BF$2,'Additions (monthly)'!$B$2:$B$106,"&lt;="&amp;$B34)</f>
        <v>0</v>
      </c>
      <c r="BG34" s="43" t="n">
        <f aca="false">SUMIFS('Additions (monthly)'!$E$2:$E$106,'Additions (monthly)'!$D$2:$D$106,BG$2,'Additions (monthly)'!$B$2:$B$106,"&lt;="&amp;$B34)</f>
        <v>0</v>
      </c>
      <c r="BH34" s="43" t="n">
        <f aca="false">SUMIFS('Additions (monthly)'!$E$2:$E$106,'Additions (monthly)'!$D$2:$D$106,BH$2,'Additions (monthly)'!$B$2:$B$106,"&lt;="&amp;$B34)</f>
        <v>0</v>
      </c>
      <c r="BI34" s="43" t="n">
        <f aca="false">SUMIFS('Additions (monthly)'!$E$2:$E$106,'Additions (monthly)'!$D$2:$D$106,BI$2,'Additions (monthly)'!$B$2:$B$106,"&lt;="&amp;$B34)</f>
        <v>6.7</v>
      </c>
    </row>
    <row r="35" customFormat="false" ht="15" hidden="false" customHeight="false" outlineLevel="0" collapsed="false">
      <c r="A35" s="23" t="n">
        <v>41153</v>
      </c>
      <c r="B35" s="24" t="n">
        <v>201209</v>
      </c>
      <c r="C35" s="42" t="n">
        <f aca="false">SUMIFS('Additions (monthly)'!$E$2:$E$106,'Additions (monthly)'!$B$2:$B$106,"&lt;="&amp;$B35)</f>
        <v>268.47</v>
      </c>
      <c r="D35" s="43" t="n">
        <f aca="false">SUMIFS('Additions (monthly)'!$E$2:$E$106,'Additions (monthly)'!$D$2:$D$106,D$2,'Additions (monthly)'!$B$2:$B$106,"&lt;="&amp;$B35)</f>
        <v>7.9</v>
      </c>
      <c r="E35" s="43" t="n">
        <f aca="false">SUMIFS('Additions (monthly)'!$E$2:$E$106,'Additions (monthly)'!$D$2:$D$106,E$2,'Additions (monthly)'!$B$2:$B$106,"&lt;="&amp;$B35)</f>
        <v>8.4</v>
      </c>
      <c r="F35" s="43" t="n">
        <f aca="false">SUMIFS('Additions (monthly)'!$E$2:$E$106,'Additions (monthly)'!$D$2:$D$106,F$2,'Additions (monthly)'!$B$2:$B$106,"&lt;="&amp;$B35)</f>
        <v>0</v>
      </c>
      <c r="G35" s="43" t="n">
        <f aca="false">SUMIFS('Additions (monthly)'!$E$2:$E$106,'Additions (monthly)'!$D$2:$D$106,G$2,'Additions (monthly)'!$B$2:$B$106,"&lt;="&amp;$B35)</f>
        <v>0</v>
      </c>
      <c r="H35" s="43" t="n">
        <f aca="false">SUMIFS('Additions (monthly)'!$E$2:$E$106,'Additions (monthly)'!$D$2:$D$106,H$2,'Additions (monthly)'!$B$2:$B$106,"&lt;="&amp;$B35)</f>
        <v>0</v>
      </c>
      <c r="I35" s="43" t="n">
        <f aca="false">SUMIFS('Additions (monthly)'!$E$2:$E$106,'Additions (monthly)'!$D$2:$D$106,I$2,'Additions (monthly)'!$B$2:$B$106,"&lt;="&amp;$B35)</f>
        <v>0</v>
      </c>
      <c r="J35" s="43" t="n">
        <f aca="false">SUMIFS('Additions (monthly)'!$E$2:$E$106,'Additions (monthly)'!$D$2:$D$106,J$2,'Additions (monthly)'!$B$2:$B$106,"&lt;="&amp;$B35)</f>
        <v>3.7</v>
      </c>
      <c r="K35" s="43" t="n">
        <f aca="false">SUMIFS('Additions (monthly)'!$E$2:$E$106,'Additions (monthly)'!$D$2:$D$106,K$2,'Additions (monthly)'!$B$2:$B$106,"&lt;="&amp;$B35)</f>
        <v>0</v>
      </c>
      <c r="L35" s="43" t="n">
        <f aca="false">SUMIFS('Additions (monthly)'!$E$2:$E$106,'Additions (monthly)'!$D$2:$D$106,L$2,'Additions (monthly)'!$B$2:$B$106,"&lt;="&amp;$B35)</f>
        <v>0</v>
      </c>
      <c r="M35" s="43" t="n">
        <f aca="false">SUMIFS('Additions (monthly)'!$E$2:$E$106,'Additions (monthly)'!$D$2:$D$106,M$2,'Additions (monthly)'!$B$2:$B$106,"&lt;="&amp;$B35)</f>
        <v>0</v>
      </c>
      <c r="N35" s="43" t="n">
        <f aca="false">SUMIFS('Additions (monthly)'!$E$2:$E$106,'Additions (monthly)'!$D$2:$D$106,N$2,'Additions (monthly)'!$B$2:$B$106,"&lt;="&amp;$B35)</f>
        <v>14.2</v>
      </c>
      <c r="O35" s="43" t="n">
        <f aca="false">SUMIFS('Additions (monthly)'!$E$2:$E$106,'Additions (monthly)'!$D$2:$D$106,O$2,'Additions (monthly)'!$B$2:$B$106,"&lt;="&amp;$B35)</f>
        <v>4.9</v>
      </c>
      <c r="P35" s="43" t="n">
        <f aca="false">SUMIFS('Additions (monthly)'!$E$2:$E$106,'Additions (monthly)'!$D$2:$D$106,P$2,'Additions (monthly)'!$B$2:$B$106,"&lt;="&amp;$B35)</f>
        <v>0</v>
      </c>
      <c r="Q35" s="43" t="n">
        <f aca="false">SUMIFS('Additions (monthly)'!$E$2:$E$106,'Additions (monthly)'!$D$2:$D$106,Q$2,'Additions (monthly)'!$B$2:$B$106,"&lt;="&amp;$B35)</f>
        <v>0</v>
      </c>
      <c r="R35" s="43" t="n">
        <f aca="false">SUMIFS('Additions (monthly)'!$E$2:$E$106,'Additions (monthly)'!$D$2:$D$106,R$2,'Additions (monthly)'!$B$2:$B$106,"&lt;="&amp;$B35)</f>
        <v>0</v>
      </c>
      <c r="S35" s="43" t="n">
        <f aca="false">SUMIFS('Additions (monthly)'!$E$2:$E$106,'Additions (monthly)'!$D$2:$D$106,S$2,'Additions (monthly)'!$B$2:$B$106,"&lt;="&amp;$B35)</f>
        <v>7.2</v>
      </c>
      <c r="T35" s="43" t="n">
        <f aca="false">SUMIFS('Additions (monthly)'!$E$2:$E$106,'Additions (monthly)'!$D$2:$D$106,T$2,'Additions (monthly)'!$B$2:$B$106,"&lt;="&amp;$B35)</f>
        <v>0</v>
      </c>
      <c r="U35" s="43" t="n">
        <f aca="false">SUMIFS('Additions (monthly)'!$E$2:$E$106,'Additions (monthly)'!$D$2:$D$106,U$2,'Additions (monthly)'!$B$2:$B$106,"&lt;="&amp;$B35)</f>
        <v>0</v>
      </c>
      <c r="V35" s="43" t="n">
        <f aca="false">SUMIFS('Additions (monthly)'!$E$2:$E$106,'Additions (monthly)'!$D$2:$D$106,V$2,'Additions (monthly)'!$B$2:$B$106,"&lt;="&amp;$B35)</f>
        <v>3.87</v>
      </c>
      <c r="W35" s="43" t="n">
        <f aca="false">SUMIFS('Additions (monthly)'!$E$2:$E$106,'Additions (monthly)'!$D$2:$D$106,W$2,'Additions (monthly)'!$B$2:$B$106,"&lt;="&amp;$B35)</f>
        <v>0</v>
      </c>
      <c r="X35" s="43" t="n">
        <f aca="false">SUMIFS('Additions (monthly)'!$E$2:$E$106,'Additions (monthly)'!$D$2:$D$106,X$2,'Additions (monthly)'!$B$2:$B$106,"&lt;="&amp;$B35)</f>
        <v>0</v>
      </c>
      <c r="Y35" s="43" t="n">
        <f aca="false">SUMIFS('Additions (monthly)'!$E$2:$E$106,'Additions (monthly)'!$D$2:$D$106,Y$2,'Additions (monthly)'!$B$2:$B$106,"&lt;="&amp;$B35)</f>
        <v>5</v>
      </c>
      <c r="Z35" s="43" t="n">
        <f aca="false">SUMIFS('Additions (monthly)'!$E$2:$E$106,'Additions (monthly)'!$D$2:$D$106,Z$2,'Additions (monthly)'!$B$2:$B$106,"&lt;="&amp;$B35)</f>
        <v>7.2</v>
      </c>
      <c r="AA35" s="43" t="n">
        <f aca="false">SUMIFS('Additions (monthly)'!$E$2:$E$106,'Additions (monthly)'!$D$2:$D$106,AA$2,'Additions (monthly)'!$B$2:$B$106,"&lt;="&amp;$B35)</f>
        <v>3.7</v>
      </c>
      <c r="AB35" s="43" t="n">
        <f aca="false">SUMIFS('Additions (monthly)'!$E$2:$E$106,'Additions (monthly)'!$D$2:$D$106,AB$2,'Additions (monthly)'!$B$2:$B$106,"&lt;="&amp;$B35)</f>
        <v>16.95</v>
      </c>
      <c r="AC35" s="43" t="n">
        <f aca="false">SUMIFS('Additions (monthly)'!$E$2:$E$106,'Additions (monthly)'!$D$2:$D$106,AC$2,'Additions (monthly)'!$B$2:$B$106,"&lt;="&amp;$B35)</f>
        <v>0</v>
      </c>
      <c r="AD35" s="43" t="n">
        <f aca="false">SUMIFS('Additions (monthly)'!$E$2:$E$106,'Additions (monthly)'!$D$2:$D$106,AD$2,'Additions (monthly)'!$B$2:$B$106,"&lt;="&amp;$B35)</f>
        <v>7.6</v>
      </c>
      <c r="AE35" s="43" t="n">
        <f aca="false">SUMIFS('Additions (monthly)'!$E$2:$E$106,'Additions (monthly)'!$D$2:$D$106,AE$2,'Additions (monthly)'!$B$2:$B$106,"&lt;="&amp;$B35)</f>
        <v>25.7</v>
      </c>
      <c r="AF35" s="43" t="n">
        <f aca="false">SUMIFS('Additions (monthly)'!$E$2:$E$106,'Additions (monthly)'!$D$2:$D$106,AF$2,'Additions (monthly)'!$B$2:$B$106,"&lt;="&amp;$B35)</f>
        <v>0</v>
      </c>
      <c r="AG35" s="43" t="n">
        <f aca="false">SUMIFS('Additions (monthly)'!$E$2:$E$106,'Additions (monthly)'!$D$2:$D$106,AG$2,'Additions (monthly)'!$B$2:$B$106,"&lt;="&amp;$B35)</f>
        <v>0</v>
      </c>
      <c r="AH35" s="43" t="n">
        <f aca="false">SUMIFS('Additions (monthly)'!$E$2:$E$106,'Additions (monthly)'!$D$2:$D$106,AH$2,'Additions (monthly)'!$B$2:$B$106,"&lt;="&amp;$B35)</f>
        <v>0</v>
      </c>
      <c r="AI35" s="43" t="n">
        <f aca="false">SUMIFS('Additions (monthly)'!$E$2:$E$106,'Additions (monthly)'!$D$2:$D$106,AI$2,'Additions (monthly)'!$B$2:$B$106,"&lt;="&amp;$B35)</f>
        <v>0</v>
      </c>
      <c r="AJ35" s="43" t="n">
        <f aca="false">SUMIFS('Additions (monthly)'!$E$2:$E$106,'Additions (monthly)'!$D$2:$D$106,AJ$2,'Additions (monthly)'!$B$2:$B$106,"&lt;="&amp;$B35)</f>
        <v>0</v>
      </c>
      <c r="AK35" s="43" t="n">
        <f aca="false">SUMIFS('Additions (monthly)'!$E$2:$E$106,'Additions (monthly)'!$D$2:$D$106,AK$2,'Additions (monthly)'!$B$2:$B$106,"&lt;="&amp;$B35)</f>
        <v>0</v>
      </c>
      <c r="AL35" s="43" t="n">
        <f aca="false">SUMIFS('Additions (monthly)'!$E$2:$E$106,'Additions (monthly)'!$D$2:$D$106,AL$2,'Additions (monthly)'!$B$2:$B$106,"&lt;="&amp;$B35)</f>
        <v>22.2</v>
      </c>
      <c r="AM35" s="43" t="n">
        <f aca="false">SUMIFS('Additions (monthly)'!$E$2:$E$106,'Additions (monthly)'!$D$2:$D$106,AM$2,'Additions (monthly)'!$B$2:$B$106,"&lt;="&amp;$B35)</f>
        <v>0.3</v>
      </c>
      <c r="AN35" s="43" t="n">
        <f aca="false">SUMIFS('Additions (monthly)'!$E$2:$E$106,'Additions (monthly)'!$D$2:$D$106,AN$2,'Additions (monthly)'!$B$2:$B$106,"&lt;="&amp;$B35)</f>
        <v>4.3</v>
      </c>
      <c r="AO35" s="43" t="n">
        <f aca="false">SUMIFS('Additions (monthly)'!$E$2:$E$106,'Additions (monthly)'!$D$2:$D$106,AO$2,'Additions (monthly)'!$B$2:$B$106,"&lt;="&amp;$B35)</f>
        <v>10.4</v>
      </c>
      <c r="AP35" s="43" t="n">
        <f aca="false">SUMIFS('Additions (monthly)'!$E$2:$E$106,'Additions (monthly)'!$D$2:$D$106,AP$2,'Additions (monthly)'!$B$2:$B$106,"&lt;="&amp;$B35)</f>
        <v>0</v>
      </c>
      <c r="AQ35" s="43" t="n">
        <f aca="false">SUMIFS('Additions (monthly)'!$E$2:$E$106,'Additions (monthly)'!$D$2:$D$106,AQ$2,'Additions (monthly)'!$B$2:$B$106,"&lt;="&amp;$B35)</f>
        <v>4.45</v>
      </c>
      <c r="AR35" s="43" t="n">
        <f aca="false">SUMIFS('Additions (monthly)'!$E$2:$E$106,'Additions (monthly)'!$D$2:$D$106,AR$2,'Additions (monthly)'!$B$2:$B$106,"&lt;="&amp;$B35)</f>
        <v>77.1</v>
      </c>
      <c r="AS35" s="43" t="n">
        <f aca="false">SUMIFS('Additions (monthly)'!$E$2:$E$106,'Additions (monthly)'!$D$2:$D$106,AS$2,'Additions (monthly)'!$B$2:$B$106,"&lt;="&amp;$B35)</f>
        <v>0</v>
      </c>
      <c r="AT35" s="43" t="n">
        <f aca="false">SUMIFS('Additions (monthly)'!$E$2:$E$106,'Additions (monthly)'!$D$2:$D$106,AT$2,'Additions (monthly)'!$B$2:$B$106,"&lt;="&amp;$B35)</f>
        <v>0</v>
      </c>
      <c r="AU35" s="43" t="n">
        <f aca="false">SUMIFS('Additions (monthly)'!$E$2:$E$106,'Additions (monthly)'!$D$2:$D$106,AU$2,'Additions (monthly)'!$B$2:$B$106,"&lt;="&amp;$B35)</f>
        <v>9.6</v>
      </c>
      <c r="AV35" s="43" t="n">
        <f aca="false">SUMIFS('Additions (monthly)'!$E$2:$E$106,'Additions (monthly)'!$D$2:$D$106,AV$2,'Additions (monthly)'!$B$2:$B$106,"&lt;="&amp;$B35)</f>
        <v>0</v>
      </c>
      <c r="AW35" s="43" t="n">
        <f aca="false">SUMIFS('Additions (monthly)'!$E$2:$E$106,'Additions (monthly)'!$D$2:$D$106,AW$2,'Additions (monthly)'!$B$2:$B$106,"&lt;="&amp;$B35)</f>
        <v>0</v>
      </c>
      <c r="AX35" s="43" t="n">
        <f aca="false">SUMIFS('Additions (monthly)'!$E$2:$E$106,'Additions (monthly)'!$D$2:$D$106,AX$2,'Additions (monthly)'!$B$2:$B$106,"&lt;="&amp;$B35)</f>
        <v>11.8</v>
      </c>
      <c r="AY35" s="43" t="n">
        <f aca="false">SUMIFS('Additions (monthly)'!$E$2:$E$106,'Additions (monthly)'!$D$2:$D$106,AY$2,'Additions (monthly)'!$B$2:$B$106,"&lt;="&amp;$B35)</f>
        <v>5.3</v>
      </c>
      <c r="AZ35" s="43" t="n">
        <f aca="false">SUMIFS('Additions (monthly)'!$E$2:$E$106,'Additions (monthly)'!$D$2:$D$106,AZ$2,'Additions (monthly)'!$B$2:$B$106,"&lt;="&amp;$B35)</f>
        <v>0</v>
      </c>
      <c r="BA35" s="43" t="n">
        <f aca="false">SUMIFS('Additions (monthly)'!$E$2:$E$106,'Additions (monthly)'!$D$2:$D$106,BA$2,'Additions (monthly)'!$B$2:$B$106,"&lt;="&amp;$B35)</f>
        <v>0</v>
      </c>
      <c r="BB35" s="43" t="n">
        <f aca="false">SUMIFS('Additions (monthly)'!$E$2:$E$106,'Additions (monthly)'!$D$2:$D$106,BB$2,'Additions (monthly)'!$B$2:$B$106,"&lt;="&amp;$B35)</f>
        <v>0</v>
      </c>
      <c r="BC35" s="43" t="n">
        <f aca="false">SUMIFS('Additions (monthly)'!$E$2:$E$106,'Additions (monthly)'!$D$2:$D$106,BC$2,'Additions (monthly)'!$B$2:$B$106,"&lt;="&amp;$B35)</f>
        <v>0</v>
      </c>
      <c r="BD35" s="43" t="n">
        <f aca="false">SUMIFS('Additions (monthly)'!$E$2:$E$106,'Additions (monthly)'!$D$2:$D$106,BD$2,'Additions (monthly)'!$B$2:$B$106,"&lt;="&amp;$B35)</f>
        <v>0</v>
      </c>
      <c r="BE35" s="43" t="n">
        <f aca="false">SUMIFS('Additions (monthly)'!$E$2:$E$106,'Additions (monthly)'!$D$2:$D$106,BE$2,'Additions (monthly)'!$B$2:$B$106,"&lt;="&amp;$B35)</f>
        <v>0</v>
      </c>
      <c r="BF35" s="43" t="n">
        <f aca="false">SUMIFS('Additions (monthly)'!$E$2:$E$106,'Additions (monthly)'!$D$2:$D$106,BF$2,'Additions (monthly)'!$B$2:$B$106,"&lt;="&amp;$B35)</f>
        <v>0</v>
      </c>
      <c r="BG35" s="43" t="n">
        <f aca="false">SUMIFS('Additions (monthly)'!$E$2:$E$106,'Additions (monthly)'!$D$2:$D$106,BG$2,'Additions (monthly)'!$B$2:$B$106,"&lt;="&amp;$B35)</f>
        <v>0</v>
      </c>
      <c r="BH35" s="43" t="n">
        <f aca="false">SUMIFS('Additions (monthly)'!$E$2:$E$106,'Additions (monthly)'!$D$2:$D$106,BH$2,'Additions (monthly)'!$B$2:$B$106,"&lt;="&amp;$B35)</f>
        <v>0</v>
      </c>
      <c r="BI35" s="43" t="n">
        <f aca="false">SUMIFS('Additions (monthly)'!$E$2:$E$106,'Additions (monthly)'!$D$2:$D$106,BI$2,'Additions (monthly)'!$B$2:$B$106,"&lt;="&amp;$B35)</f>
        <v>6.7</v>
      </c>
    </row>
    <row r="36" customFormat="false" ht="15" hidden="false" customHeight="false" outlineLevel="0" collapsed="false">
      <c r="A36" s="23" t="n">
        <v>41183</v>
      </c>
      <c r="B36" s="24" t="n">
        <v>201210</v>
      </c>
      <c r="C36" s="42" t="n">
        <f aca="false">SUMIFS('Additions (monthly)'!$E$2:$E$106,'Additions (monthly)'!$B$2:$B$106,"&lt;="&amp;$B36)</f>
        <v>268.47</v>
      </c>
      <c r="D36" s="43" t="n">
        <f aca="false">SUMIFS('Additions (monthly)'!$E$2:$E$106,'Additions (monthly)'!$D$2:$D$106,D$2,'Additions (monthly)'!$B$2:$B$106,"&lt;="&amp;$B36)</f>
        <v>7.9</v>
      </c>
      <c r="E36" s="43" t="n">
        <f aca="false">SUMIFS('Additions (monthly)'!$E$2:$E$106,'Additions (monthly)'!$D$2:$D$106,E$2,'Additions (monthly)'!$B$2:$B$106,"&lt;="&amp;$B36)</f>
        <v>8.4</v>
      </c>
      <c r="F36" s="43" t="n">
        <f aca="false">SUMIFS('Additions (monthly)'!$E$2:$E$106,'Additions (monthly)'!$D$2:$D$106,F$2,'Additions (monthly)'!$B$2:$B$106,"&lt;="&amp;$B36)</f>
        <v>0</v>
      </c>
      <c r="G36" s="43" t="n">
        <f aca="false">SUMIFS('Additions (monthly)'!$E$2:$E$106,'Additions (monthly)'!$D$2:$D$106,G$2,'Additions (monthly)'!$B$2:$B$106,"&lt;="&amp;$B36)</f>
        <v>0</v>
      </c>
      <c r="H36" s="43" t="n">
        <f aca="false">SUMIFS('Additions (monthly)'!$E$2:$E$106,'Additions (monthly)'!$D$2:$D$106,H$2,'Additions (monthly)'!$B$2:$B$106,"&lt;="&amp;$B36)</f>
        <v>0</v>
      </c>
      <c r="I36" s="43" t="n">
        <f aca="false">SUMIFS('Additions (monthly)'!$E$2:$E$106,'Additions (monthly)'!$D$2:$D$106,I$2,'Additions (monthly)'!$B$2:$B$106,"&lt;="&amp;$B36)</f>
        <v>0</v>
      </c>
      <c r="J36" s="43" t="n">
        <f aca="false">SUMIFS('Additions (monthly)'!$E$2:$E$106,'Additions (monthly)'!$D$2:$D$106,J$2,'Additions (monthly)'!$B$2:$B$106,"&lt;="&amp;$B36)</f>
        <v>3.7</v>
      </c>
      <c r="K36" s="43" t="n">
        <f aca="false">SUMIFS('Additions (monthly)'!$E$2:$E$106,'Additions (monthly)'!$D$2:$D$106,K$2,'Additions (monthly)'!$B$2:$B$106,"&lt;="&amp;$B36)</f>
        <v>0</v>
      </c>
      <c r="L36" s="43" t="n">
        <f aca="false">SUMIFS('Additions (monthly)'!$E$2:$E$106,'Additions (monthly)'!$D$2:$D$106,L$2,'Additions (monthly)'!$B$2:$B$106,"&lt;="&amp;$B36)</f>
        <v>0</v>
      </c>
      <c r="M36" s="43" t="n">
        <f aca="false">SUMIFS('Additions (monthly)'!$E$2:$E$106,'Additions (monthly)'!$D$2:$D$106,M$2,'Additions (monthly)'!$B$2:$B$106,"&lt;="&amp;$B36)</f>
        <v>0</v>
      </c>
      <c r="N36" s="43" t="n">
        <f aca="false">SUMIFS('Additions (monthly)'!$E$2:$E$106,'Additions (monthly)'!$D$2:$D$106,N$2,'Additions (monthly)'!$B$2:$B$106,"&lt;="&amp;$B36)</f>
        <v>14.2</v>
      </c>
      <c r="O36" s="43" t="n">
        <f aca="false">SUMIFS('Additions (monthly)'!$E$2:$E$106,'Additions (monthly)'!$D$2:$D$106,O$2,'Additions (monthly)'!$B$2:$B$106,"&lt;="&amp;$B36)</f>
        <v>4.9</v>
      </c>
      <c r="P36" s="43" t="n">
        <f aca="false">SUMIFS('Additions (monthly)'!$E$2:$E$106,'Additions (monthly)'!$D$2:$D$106,P$2,'Additions (monthly)'!$B$2:$B$106,"&lt;="&amp;$B36)</f>
        <v>0</v>
      </c>
      <c r="Q36" s="43" t="n">
        <f aca="false">SUMIFS('Additions (monthly)'!$E$2:$E$106,'Additions (monthly)'!$D$2:$D$106,Q$2,'Additions (monthly)'!$B$2:$B$106,"&lt;="&amp;$B36)</f>
        <v>0</v>
      </c>
      <c r="R36" s="43" t="n">
        <f aca="false">SUMIFS('Additions (monthly)'!$E$2:$E$106,'Additions (monthly)'!$D$2:$D$106,R$2,'Additions (monthly)'!$B$2:$B$106,"&lt;="&amp;$B36)</f>
        <v>0</v>
      </c>
      <c r="S36" s="43" t="n">
        <f aca="false">SUMIFS('Additions (monthly)'!$E$2:$E$106,'Additions (monthly)'!$D$2:$D$106,S$2,'Additions (monthly)'!$B$2:$B$106,"&lt;="&amp;$B36)</f>
        <v>7.2</v>
      </c>
      <c r="T36" s="43" t="n">
        <f aca="false">SUMIFS('Additions (monthly)'!$E$2:$E$106,'Additions (monthly)'!$D$2:$D$106,T$2,'Additions (monthly)'!$B$2:$B$106,"&lt;="&amp;$B36)</f>
        <v>0</v>
      </c>
      <c r="U36" s="43" t="n">
        <f aca="false">SUMIFS('Additions (monthly)'!$E$2:$E$106,'Additions (monthly)'!$D$2:$D$106,U$2,'Additions (monthly)'!$B$2:$B$106,"&lt;="&amp;$B36)</f>
        <v>0</v>
      </c>
      <c r="V36" s="43" t="n">
        <f aca="false">SUMIFS('Additions (monthly)'!$E$2:$E$106,'Additions (monthly)'!$D$2:$D$106,V$2,'Additions (monthly)'!$B$2:$B$106,"&lt;="&amp;$B36)</f>
        <v>3.87</v>
      </c>
      <c r="W36" s="43" t="n">
        <f aca="false">SUMIFS('Additions (monthly)'!$E$2:$E$106,'Additions (monthly)'!$D$2:$D$106,W$2,'Additions (monthly)'!$B$2:$B$106,"&lt;="&amp;$B36)</f>
        <v>0</v>
      </c>
      <c r="X36" s="43" t="n">
        <f aca="false">SUMIFS('Additions (monthly)'!$E$2:$E$106,'Additions (monthly)'!$D$2:$D$106,X$2,'Additions (monthly)'!$B$2:$B$106,"&lt;="&amp;$B36)</f>
        <v>0</v>
      </c>
      <c r="Y36" s="43" t="n">
        <f aca="false">SUMIFS('Additions (monthly)'!$E$2:$E$106,'Additions (monthly)'!$D$2:$D$106,Y$2,'Additions (monthly)'!$B$2:$B$106,"&lt;="&amp;$B36)</f>
        <v>5</v>
      </c>
      <c r="Z36" s="43" t="n">
        <f aca="false">SUMIFS('Additions (monthly)'!$E$2:$E$106,'Additions (monthly)'!$D$2:$D$106,Z$2,'Additions (monthly)'!$B$2:$B$106,"&lt;="&amp;$B36)</f>
        <v>7.2</v>
      </c>
      <c r="AA36" s="43" t="n">
        <f aca="false">SUMIFS('Additions (monthly)'!$E$2:$E$106,'Additions (monthly)'!$D$2:$D$106,AA$2,'Additions (monthly)'!$B$2:$B$106,"&lt;="&amp;$B36)</f>
        <v>3.7</v>
      </c>
      <c r="AB36" s="43" t="n">
        <f aca="false">SUMIFS('Additions (monthly)'!$E$2:$E$106,'Additions (monthly)'!$D$2:$D$106,AB$2,'Additions (monthly)'!$B$2:$B$106,"&lt;="&amp;$B36)</f>
        <v>16.95</v>
      </c>
      <c r="AC36" s="43" t="n">
        <f aca="false">SUMIFS('Additions (monthly)'!$E$2:$E$106,'Additions (monthly)'!$D$2:$D$106,AC$2,'Additions (monthly)'!$B$2:$B$106,"&lt;="&amp;$B36)</f>
        <v>0</v>
      </c>
      <c r="AD36" s="43" t="n">
        <f aca="false">SUMIFS('Additions (monthly)'!$E$2:$E$106,'Additions (monthly)'!$D$2:$D$106,AD$2,'Additions (monthly)'!$B$2:$B$106,"&lt;="&amp;$B36)</f>
        <v>7.6</v>
      </c>
      <c r="AE36" s="43" t="n">
        <f aca="false">SUMIFS('Additions (monthly)'!$E$2:$E$106,'Additions (monthly)'!$D$2:$D$106,AE$2,'Additions (monthly)'!$B$2:$B$106,"&lt;="&amp;$B36)</f>
        <v>25.7</v>
      </c>
      <c r="AF36" s="43" t="n">
        <f aca="false">SUMIFS('Additions (monthly)'!$E$2:$E$106,'Additions (monthly)'!$D$2:$D$106,AF$2,'Additions (monthly)'!$B$2:$B$106,"&lt;="&amp;$B36)</f>
        <v>0</v>
      </c>
      <c r="AG36" s="43" t="n">
        <f aca="false">SUMIFS('Additions (monthly)'!$E$2:$E$106,'Additions (monthly)'!$D$2:$D$106,AG$2,'Additions (monthly)'!$B$2:$B$106,"&lt;="&amp;$B36)</f>
        <v>0</v>
      </c>
      <c r="AH36" s="43" t="n">
        <f aca="false">SUMIFS('Additions (monthly)'!$E$2:$E$106,'Additions (monthly)'!$D$2:$D$106,AH$2,'Additions (monthly)'!$B$2:$B$106,"&lt;="&amp;$B36)</f>
        <v>0</v>
      </c>
      <c r="AI36" s="43" t="n">
        <f aca="false">SUMIFS('Additions (monthly)'!$E$2:$E$106,'Additions (monthly)'!$D$2:$D$106,AI$2,'Additions (monthly)'!$B$2:$B$106,"&lt;="&amp;$B36)</f>
        <v>0</v>
      </c>
      <c r="AJ36" s="43" t="n">
        <f aca="false">SUMIFS('Additions (monthly)'!$E$2:$E$106,'Additions (monthly)'!$D$2:$D$106,AJ$2,'Additions (monthly)'!$B$2:$B$106,"&lt;="&amp;$B36)</f>
        <v>0</v>
      </c>
      <c r="AK36" s="43" t="n">
        <f aca="false">SUMIFS('Additions (monthly)'!$E$2:$E$106,'Additions (monthly)'!$D$2:$D$106,AK$2,'Additions (monthly)'!$B$2:$B$106,"&lt;="&amp;$B36)</f>
        <v>0</v>
      </c>
      <c r="AL36" s="43" t="n">
        <f aca="false">SUMIFS('Additions (monthly)'!$E$2:$E$106,'Additions (monthly)'!$D$2:$D$106,AL$2,'Additions (monthly)'!$B$2:$B$106,"&lt;="&amp;$B36)</f>
        <v>22.2</v>
      </c>
      <c r="AM36" s="43" t="n">
        <f aca="false">SUMIFS('Additions (monthly)'!$E$2:$E$106,'Additions (monthly)'!$D$2:$D$106,AM$2,'Additions (monthly)'!$B$2:$B$106,"&lt;="&amp;$B36)</f>
        <v>0.3</v>
      </c>
      <c r="AN36" s="43" t="n">
        <f aca="false">SUMIFS('Additions (monthly)'!$E$2:$E$106,'Additions (monthly)'!$D$2:$D$106,AN$2,'Additions (monthly)'!$B$2:$B$106,"&lt;="&amp;$B36)</f>
        <v>4.3</v>
      </c>
      <c r="AO36" s="43" t="n">
        <f aca="false">SUMIFS('Additions (monthly)'!$E$2:$E$106,'Additions (monthly)'!$D$2:$D$106,AO$2,'Additions (monthly)'!$B$2:$B$106,"&lt;="&amp;$B36)</f>
        <v>10.4</v>
      </c>
      <c r="AP36" s="43" t="n">
        <f aca="false">SUMIFS('Additions (monthly)'!$E$2:$E$106,'Additions (monthly)'!$D$2:$D$106,AP$2,'Additions (monthly)'!$B$2:$B$106,"&lt;="&amp;$B36)</f>
        <v>0</v>
      </c>
      <c r="AQ36" s="43" t="n">
        <f aca="false">SUMIFS('Additions (monthly)'!$E$2:$E$106,'Additions (monthly)'!$D$2:$D$106,AQ$2,'Additions (monthly)'!$B$2:$B$106,"&lt;="&amp;$B36)</f>
        <v>4.45</v>
      </c>
      <c r="AR36" s="43" t="n">
        <f aca="false">SUMIFS('Additions (monthly)'!$E$2:$E$106,'Additions (monthly)'!$D$2:$D$106,AR$2,'Additions (monthly)'!$B$2:$B$106,"&lt;="&amp;$B36)</f>
        <v>77.1</v>
      </c>
      <c r="AS36" s="43" t="n">
        <f aca="false">SUMIFS('Additions (monthly)'!$E$2:$E$106,'Additions (monthly)'!$D$2:$D$106,AS$2,'Additions (monthly)'!$B$2:$B$106,"&lt;="&amp;$B36)</f>
        <v>0</v>
      </c>
      <c r="AT36" s="43" t="n">
        <f aca="false">SUMIFS('Additions (monthly)'!$E$2:$E$106,'Additions (monthly)'!$D$2:$D$106,AT$2,'Additions (monthly)'!$B$2:$B$106,"&lt;="&amp;$B36)</f>
        <v>0</v>
      </c>
      <c r="AU36" s="43" t="n">
        <f aca="false">SUMIFS('Additions (monthly)'!$E$2:$E$106,'Additions (monthly)'!$D$2:$D$106,AU$2,'Additions (monthly)'!$B$2:$B$106,"&lt;="&amp;$B36)</f>
        <v>9.6</v>
      </c>
      <c r="AV36" s="43" t="n">
        <f aca="false">SUMIFS('Additions (monthly)'!$E$2:$E$106,'Additions (monthly)'!$D$2:$D$106,AV$2,'Additions (monthly)'!$B$2:$B$106,"&lt;="&amp;$B36)</f>
        <v>0</v>
      </c>
      <c r="AW36" s="43" t="n">
        <f aca="false">SUMIFS('Additions (monthly)'!$E$2:$E$106,'Additions (monthly)'!$D$2:$D$106,AW$2,'Additions (monthly)'!$B$2:$B$106,"&lt;="&amp;$B36)</f>
        <v>0</v>
      </c>
      <c r="AX36" s="43" t="n">
        <f aca="false">SUMIFS('Additions (monthly)'!$E$2:$E$106,'Additions (monthly)'!$D$2:$D$106,AX$2,'Additions (monthly)'!$B$2:$B$106,"&lt;="&amp;$B36)</f>
        <v>11.8</v>
      </c>
      <c r="AY36" s="43" t="n">
        <f aca="false">SUMIFS('Additions (monthly)'!$E$2:$E$106,'Additions (monthly)'!$D$2:$D$106,AY$2,'Additions (monthly)'!$B$2:$B$106,"&lt;="&amp;$B36)</f>
        <v>5.3</v>
      </c>
      <c r="AZ36" s="43" t="n">
        <f aca="false">SUMIFS('Additions (monthly)'!$E$2:$E$106,'Additions (monthly)'!$D$2:$D$106,AZ$2,'Additions (monthly)'!$B$2:$B$106,"&lt;="&amp;$B36)</f>
        <v>0</v>
      </c>
      <c r="BA36" s="43" t="n">
        <f aca="false">SUMIFS('Additions (monthly)'!$E$2:$E$106,'Additions (monthly)'!$D$2:$D$106,BA$2,'Additions (monthly)'!$B$2:$B$106,"&lt;="&amp;$B36)</f>
        <v>0</v>
      </c>
      <c r="BB36" s="43" t="n">
        <f aca="false">SUMIFS('Additions (monthly)'!$E$2:$E$106,'Additions (monthly)'!$D$2:$D$106,BB$2,'Additions (monthly)'!$B$2:$B$106,"&lt;="&amp;$B36)</f>
        <v>0</v>
      </c>
      <c r="BC36" s="43" t="n">
        <f aca="false">SUMIFS('Additions (monthly)'!$E$2:$E$106,'Additions (monthly)'!$D$2:$D$106,BC$2,'Additions (monthly)'!$B$2:$B$106,"&lt;="&amp;$B36)</f>
        <v>0</v>
      </c>
      <c r="BD36" s="43" t="n">
        <f aca="false">SUMIFS('Additions (monthly)'!$E$2:$E$106,'Additions (monthly)'!$D$2:$D$106,BD$2,'Additions (monthly)'!$B$2:$B$106,"&lt;="&amp;$B36)</f>
        <v>0</v>
      </c>
      <c r="BE36" s="43" t="n">
        <f aca="false">SUMIFS('Additions (monthly)'!$E$2:$E$106,'Additions (monthly)'!$D$2:$D$106,BE$2,'Additions (monthly)'!$B$2:$B$106,"&lt;="&amp;$B36)</f>
        <v>0</v>
      </c>
      <c r="BF36" s="43" t="n">
        <f aca="false">SUMIFS('Additions (monthly)'!$E$2:$E$106,'Additions (monthly)'!$D$2:$D$106,BF$2,'Additions (monthly)'!$B$2:$B$106,"&lt;="&amp;$B36)</f>
        <v>0</v>
      </c>
      <c r="BG36" s="43" t="n">
        <f aca="false">SUMIFS('Additions (monthly)'!$E$2:$E$106,'Additions (monthly)'!$D$2:$D$106,BG$2,'Additions (monthly)'!$B$2:$B$106,"&lt;="&amp;$B36)</f>
        <v>0</v>
      </c>
      <c r="BH36" s="43" t="n">
        <f aca="false">SUMIFS('Additions (monthly)'!$E$2:$E$106,'Additions (monthly)'!$D$2:$D$106,BH$2,'Additions (monthly)'!$B$2:$B$106,"&lt;="&amp;$B36)</f>
        <v>0</v>
      </c>
      <c r="BI36" s="43" t="n">
        <f aca="false">SUMIFS('Additions (monthly)'!$E$2:$E$106,'Additions (monthly)'!$D$2:$D$106,BI$2,'Additions (monthly)'!$B$2:$B$106,"&lt;="&amp;$B36)</f>
        <v>6.7</v>
      </c>
    </row>
    <row r="37" customFormat="false" ht="15" hidden="false" customHeight="false" outlineLevel="0" collapsed="false">
      <c r="A37" s="23" t="n">
        <v>41214</v>
      </c>
      <c r="B37" s="24" t="n">
        <v>201211</v>
      </c>
      <c r="C37" s="42" t="n">
        <f aca="false">SUMIFS('Additions (monthly)'!$E$2:$E$106,'Additions (monthly)'!$B$2:$B$106,"&lt;="&amp;$B37)</f>
        <v>268.47</v>
      </c>
      <c r="D37" s="43" t="n">
        <f aca="false">SUMIFS('Additions (monthly)'!$E$2:$E$106,'Additions (monthly)'!$D$2:$D$106,D$2,'Additions (monthly)'!$B$2:$B$106,"&lt;="&amp;$B37)</f>
        <v>7.9</v>
      </c>
      <c r="E37" s="43" t="n">
        <f aca="false">SUMIFS('Additions (monthly)'!$E$2:$E$106,'Additions (monthly)'!$D$2:$D$106,E$2,'Additions (monthly)'!$B$2:$B$106,"&lt;="&amp;$B37)</f>
        <v>8.4</v>
      </c>
      <c r="F37" s="43" t="n">
        <f aca="false">SUMIFS('Additions (monthly)'!$E$2:$E$106,'Additions (monthly)'!$D$2:$D$106,F$2,'Additions (monthly)'!$B$2:$B$106,"&lt;="&amp;$B37)</f>
        <v>0</v>
      </c>
      <c r="G37" s="43" t="n">
        <f aca="false">SUMIFS('Additions (monthly)'!$E$2:$E$106,'Additions (monthly)'!$D$2:$D$106,G$2,'Additions (monthly)'!$B$2:$B$106,"&lt;="&amp;$B37)</f>
        <v>0</v>
      </c>
      <c r="H37" s="43" t="n">
        <f aca="false">SUMIFS('Additions (monthly)'!$E$2:$E$106,'Additions (monthly)'!$D$2:$D$106,H$2,'Additions (monthly)'!$B$2:$B$106,"&lt;="&amp;$B37)</f>
        <v>0</v>
      </c>
      <c r="I37" s="43" t="n">
        <f aca="false">SUMIFS('Additions (monthly)'!$E$2:$E$106,'Additions (monthly)'!$D$2:$D$106,I$2,'Additions (monthly)'!$B$2:$B$106,"&lt;="&amp;$B37)</f>
        <v>0</v>
      </c>
      <c r="J37" s="43" t="n">
        <f aca="false">SUMIFS('Additions (monthly)'!$E$2:$E$106,'Additions (monthly)'!$D$2:$D$106,J$2,'Additions (monthly)'!$B$2:$B$106,"&lt;="&amp;$B37)</f>
        <v>3.7</v>
      </c>
      <c r="K37" s="43" t="n">
        <f aca="false">SUMIFS('Additions (monthly)'!$E$2:$E$106,'Additions (monthly)'!$D$2:$D$106,K$2,'Additions (monthly)'!$B$2:$B$106,"&lt;="&amp;$B37)</f>
        <v>0</v>
      </c>
      <c r="L37" s="43" t="n">
        <f aca="false">SUMIFS('Additions (monthly)'!$E$2:$E$106,'Additions (monthly)'!$D$2:$D$106,L$2,'Additions (monthly)'!$B$2:$B$106,"&lt;="&amp;$B37)</f>
        <v>0</v>
      </c>
      <c r="M37" s="43" t="n">
        <f aca="false">SUMIFS('Additions (monthly)'!$E$2:$E$106,'Additions (monthly)'!$D$2:$D$106,M$2,'Additions (monthly)'!$B$2:$B$106,"&lt;="&amp;$B37)</f>
        <v>0</v>
      </c>
      <c r="N37" s="43" t="n">
        <f aca="false">SUMIFS('Additions (monthly)'!$E$2:$E$106,'Additions (monthly)'!$D$2:$D$106,N$2,'Additions (monthly)'!$B$2:$B$106,"&lt;="&amp;$B37)</f>
        <v>14.2</v>
      </c>
      <c r="O37" s="43" t="n">
        <f aca="false">SUMIFS('Additions (monthly)'!$E$2:$E$106,'Additions (monthly)'!$D$2:$D$106,O$2,'Additions (monthly)'!$B$2:$B$106,"&lt;="&amp;$B37)</f>
        <v>4.9</v>
      </c>
      <c r="P37" s="43" t="n">
        <f aca="false">SUMIFS('Additions (monthly)'!$E$2:$E$106,'Additions (monthly)'!$D$2:$D$106,P$2,'Additions (monthly)'!$B$2:$B$106,"&lt;="&amp;$B37)</f>
        <v>0</v>
      </c>
      <c r="Q37" s="43" t="n">
        <f aca="false">SUMIFS('Additions (monthly)'!$E$2:$E$106,'Additions (monthly)'!$D$2:$D$106,Q$2,'Additions (monthly)'!$B$2:$B$106,"&lt;="&amp;$B37)</f>
        <v>0</v>
      </c>
      <c r="R37" s="43" t="n">
        <f aca="false">SUMIFS('Additions (monthly)'!$E$2:$E$106,'Additions (monthly)'!$D$2:$D$106,R$2,'Additions (monthly)'!$B$2:$B$106,"&lt;="&amp;$B37)</f>
        <v>0</v>
      </c>
      <c r="S37" s="43" t="n">
        <f aca="false">SUMIFS('Additions (monthly)'!$E$2:$E$106,'Additions (monthly)'!$D$2:$D$106,S$2,'Additions (monthly)'!$B$2:$B$106,"&lt;="&amp;$B37)</f>
        <v>7.2</v>
      </c>
      <c r="T37" s="43" t="n">
        <f aca="false">SUMIFS('Additions (monthly)'!$E$2:$E$106,'Additions (monthly)'!$D$2:$D$106,T$2,'Additions (monthly)'!$B$2:$B$106,"&lt;="&amp;$B37)</f>
        <v>0</v>
      </c>
      <c r="U37" s="43" t="n">
        <f aca="false">SUMIFS('Additions (monthly)'!$E$2:$E$106,'Additions (monthly)'!$D$2:$D$106,U$2,'Additions (monthly)'!$B$2:$B$106,"&lt;="&amp;$B37)</f>
        <v>0</v>
      </c>
      <c r="V37" s="43" t="n">
        <f aca="false">SUMIFS('Additions (monthly)'!$E$2:$E$106,'Additions (monthly)'!$D$2:$D$106,V$2,'Additions (monthly)'!$B$2:$B$106,"&lt;="&amp;$B37)</f>
        <v>3.87</v>
      </c>
      <c r="W37" s="43" t="n">
        <f aca="false">SUMIFS('Additions (monthly)'!$E$2:$E$106,'Additions (monthly)'!$D$2:$D$106,W$2,'Additions (monthly)'!$B$2:$B$106,"&lt;="&amp;$B37)</f>
        <v>0</v>
      </c>
      <c r="X37" s="43" t="n">
        <f aca="false">SUMIFS('Additions (monthly)'!$E$2:$E$106,'Additions (monthly)'!$D$2:$D$106,X$2,'Additions (monthly)'!$B$2:$B$106,"&lt;="&amp;$B37)</f>
        <v>0</v>
      </c>
      <c r="Y37" s="43" t="n">
        <f aca="false">SUMIFS('Additions (monthly)'!$E$2:$E$106,'Additions (monthly)'!$D$2:$D$106,Y$2,'Additions (monthly)'!$B$2:$B$106,"&lt;="&amp;$B37)</f>
        <v>5</v>
      </c>
      <c r="Z37" s="43" t="n">
        <f aca="false">SUMIFS('Additions (monthly)'!$E$2:$E$106,'Additions (monthly)'!$D$2:$D$106,Z$2,'Additions (monthly)'!$B$2:$B$106,"&lt;="&amp;$B37)</f>
        <v>7.2</v>
      </c>
      <c r="AA37" s="43" t="n">
        <f aca="false">SUMIFS('Additions (monthly)'!$E$2:$E$106,'Additions (monthly)'!$D$2:$D$106,AA$2,'Additions (monthly)'!$B$2:$B$106,"&lt;="&amp;$B37)</f>
        <v>3.7</v>
      </c>
      <c r="AB37" s="43" t="n">
        <f aca="false">SUMIFS('Additions (monthly)'!$E$2:$E$106,'Additions (monthly)'!$D$2:$D$106,AB$2,'Additions (monthly)'!$B$2:$B$106,"&lt;="&amp;$B37)</f>
        <v>16.95</v>
      </c>
      <c r="AC37" s="43" t="n">
        <f aca="false">SUMIFS('Additions (monthly)'!$E$2:$E$106,'Additions (monthly)'!$D$2:$D$106,AC$2,'Additions (monthly)'!$B$2:$B$106,"&lt;="&amp;$B37)</f>
        <v>0</v>
      </c>
      <c r="AD37" s="43" t="n">
        <f aca="false">SUMIFS('Additions (monthly)'!$E$2:$E$106,'Additions (monthly)'!$D$2:$D$106,AD$2,'Additions (monthly)'!$B$2:$B$106,"&lt;="&amp;$B37)</f>
        <v>7.6</v>
      </c>
      <c r="AE37" s="43" t="n">
        <f aca="false">SUMIFS('Additions (monthly)'!$E$2:$E$106,'Additions (monthly)'!$D$2:$D$106,AE$2,'Additions (monthly)'!$B$2:$B$106,"&lt;="&amp;$B37)</f>
        <v>25.7</v>
      </c>
      <c r="AF37" s="43" t="n">
        <f aca="false">SUMIFS('Additions (monthly)'!$E$2:$E$106,'Additions (monthly)'!$D$2:$D$106,AF$2,'Additions (monthly)'!$B$2:$B$106,"&lt;="&amp;$B37)</f>
        <v>0</v>
      </c>
      <c r="AG37" s="43" t="n">
        <f aca="false">SUMIFS('Additions (monthly)'!$E$2:$E$106,'Additions (monthly)'!$D$2:$D$106,AG$2,'Additions (monthly)'!$B$2:$B$106,"&lt;="&amp;$B37)</f>
        <v>0</v>
      </c>
      <c r="AH37" s="43" t="n">
        <f aca="false">SUMIFS('Additions (monthly)'!$E$2:$E$106,'Additions (monthly)'!$D$2:$D$106,AH$2,'Additions (monthly)'!$B$2:$B$106,"&lt;="&amp;$B37)</f>
        <v>0</v>
      </c>
      <c r="AI37" s="43" t="n">
        <f aca="false">SUMIFS('Additions (monthly)'!$E$2:$E$106,'Additions (monthly)'!$D$2:$D$106,AI$2,'Additions (monthly)'!$B$2:$B$106,"&lt;="&amp;$B37)</f>
        <v>0</v>
      </c>
      <c r="AJ37" s="43" t="n">
        <f aca="false">SUMIFS('Additions (monthly)'!$E$2:$E$106,'Additions (monthly)'!$D$2:$D$106,AJ$2,'Additions (monthly)'!$B$2:$B$106,"&lt;="&amp;$B37)</f>
        <v>0</v>
      </c>
      <c r="AK37" s="43" t="n">
        <f aca="false">SUMIFS('Additions (monthly)'!$E$2:$E$106,'Additions (monthly)'!$D$2:$D$106,AK$2,'Additions (monthly)'!$B$2:$B$106,"&lt;="&amp;$B37)</f>
        <v>0</v>
      </c>
      <c r="AL37" s="43" t="n">
        <f aca="false">SUMIFS('Additions (monthly)'!$E$2:$E$106,'Additions (monthly)'!$D$2:$D$106,AL$2,'Additions (monthly)'!$B$2:$B$106,"&lt;="&amp;$B37)</f>
        <v>22.2</v>
      </c>
      <c r="AM37" s="43" t="n">
        <f aca="false">SUMIFS('Additions (monthly)'!$E$2:$E$106,'Additions (monthly)'!$D$2:$D$106,AM$2,'Additions (monthly)'!$B$2:$B$106,"&lt;="&amp;$B37)</f>
        <v>0.3</v>
      </c>
      <c r="AN37" s="43" t="n">
        <f aca="false">SUMIFS('Additions (monthly)'!$E$2:$E$106,'Additions (monthly)'!$D$2:$D$106,AN$2,'Additions (monthly)'!$B$2:$B$106,"&lt;="&amp;$B37)</f>
        <v>4.3</v>
      </c>
      <c r="AO37" s="43" t="n">
        <f aca="false">SUMIFS('Additions (monthly)'!$E$2:$E$106,'Additions (monthly)'!$D$2:$D$106,AO$2,'Additions (monthly)'!$B$2:$B$106,"&lt;="&amp;$B37)</f>
        <v>10.4</v>
      </c>
      <c r="AP37" s="43" t="n">
        <f aca="false">SUMIFS('Additions (monthly)'!$E$2:$E$106,'Additions (monthly)'!$D$2:$D$106,AP$2,'Additions (monthly)'!$B$2:$B$106,"&lt;="&amp;$B37)</f>
        <v>0</v>
      </c>
      <c r="AQ37" s="43" t="n">
        <f aca="false">SUMIFS('Additions (monthly)'!$E$2:$E$106,'Additions (monthly)'!$D$2:$D$106,AQ$2,'Additions (monthly)'!$B$2:$B$106,"&lt;="&amp;$B37)</f>
        <v>4.45</v>
      </c>
      <c r="AR37" s="43" t="n">
        <f aca="false">SUMIFS('Additions (monthly)'!$E$2:$E$106,'Additions (monthly)'!$D$2:$D$106,AR$2,'Additions (monthly)'!$B$2:$B$106,"&lt;="&amp;$B37)</f>
        <v>77.1</v>
      </c>
      <c r="AS37" s="43" t="n">
        <f aca="false">SUMIFS('Additions (monthly)'!$E$2:$E$106,'Additions (monthly)'!$D$2:$D$106,AS$2,'Additions (monthly)'!$B$2:$B$106,"&lt;="&amp;$B37)</f>
        <v>0</v>
      </c>
      <c r="AT37" s="43" t="n">
        <f aca="false">SUMIFS('Additions (monthly)'!$E$2:$E$106,'Additions (monthly)'!$D$2:$D$106,AT$2,'Additions (monthly)'!$B$2:$B$106,"&lt;="&amp;$B37)</f>
        <v>0</v>
      </c>
      <c r="AU37" s="43" t="n">
        <f aca="false">SUMIFS('Additions (monthly)'!$E$2:$E$106,'Additions (monthly)'!$D$2:$D$106,AU$2,'Additions (monthly)'!$B$2:$B$106,"&lt;="&amp;$B37)</f>
        <v>9.6</v>
      </c>
      <c r="AV37" s="43" t="n">
        <f aca="false">SUMIFS('Additions (monthly)'!$E$2:$E$106,'Additions (monthly)'!$D$2:$D$106,AV$2,'Additions (monthly)'!$B$2:$B$106,"&lt;="&amp;$B37)</f>
        <v>0</v>
      </c>
      <c r="AW37" s="43" t="n">
        <f aca="false">SUMIFS('Additions (monthly)'!$E$2:$E$106,'Additions (monthly)'!$D$2:$D$106,AW$2,'Additions (monthly)'!$B$2:$B$106,"&lt;="&amp;$B37)</f>
        <v>0</v>
      </c>
      <c r="AX37" s="43" t="n">
        <f aca="false">SUMIFS('Additions (monthly)'!$E$2:$E$106,'Additions (monthly)'!$D$2:$D$106,AX$2,'Additions (monthly)'!$B$2:$B$106,"&lt;="&amp;$B37)</f>
        <v>11.8</v>
      </c>
      <c r="AY37" s="43" t="n">
        <f aca="false">SUMIFS('Additions (monthly)'!$E$2:$E$106,'Additions (monthly)'!$D$2:$D$106,AY$2,'Additions (monthly)'!$B$2:$B$106,"&lt;="&amp;$B37)</f>
        <v>5.3</v>
      </c>
      <c r="AZ37" s="43" t="n">
        <f aca="false">SUMIFS('Additions (monthly)'!$E$2:$E$106,'Additions (monthly)'!$D$2:$D$106,AZ$2,'Additions (monthly)'!$B$2:$B$106,"&lt;="&amp;$B37)</f>
        <v>0</v>
      </c>
      <c r="BA37" s="43" t="n">
        <f aca="false">SUMIFS('Additions (monthly)'!$E$2:$E$106,'Additions (monthly)'!$D$2:$D$106,BA$2,'Additions (monthly)'!$B$2:$B$106,"&lt;="&amp;$B37)</f>
        <v>0</v>
      </c>
      <c r="BB37" s="43" t="n">
        <f aca="false">SUMIFS('Additions (monthly)'!$E$2:$E$106,'Additions (monthly)'!$D$2:$D$106,BB$2,'Additions (monthly)'!$B$2:$B$106,"&lt;="&amp;$B37)</f>
        <v>0</v>
      </c>
      <c r="BC37" s="43" t="n">
        <f aca="false">SUMIFS('Additions (monthly)'!$E$2:$E$106,'Additions (monthly)'!$D$2:$D$106,BC$2,'Additions (monthly)'!$B$2:$B$106,"&lt;="&amp;$B37)</f>
        <v>0</v>
      </c>
      <c r="BD37" s="43" t="n">
        <f aca="false">SUMIFS('Additions (monthly)'!$E$2:$E$106,'Additions (monthly)'!$D$2:$D$106,BD$2,'Additions (monthly)'!$B$2:$B$106,"&lt;="&amp;$B37)</f>
        <v>0</v>
      </c>
      <c r="BE37" s="43" t="n">
        <f aca="false">SUMIFS('Additions (monthly)'!$E$2:$E$106,'Additions (monthly)'!$D$2:$D$106,BE$2,'Additions (monthly)'!$B$2:$B$106,"&lt;="&amp;$B37)</f>
        <v>0</v>
      </c>
      <c r="BF37" s="43" t="n">
        <f aca="false">SUMIFS('Additions (monthly)'!$E$2:$E$106,'Additions (monthly)'!$D$2:$D$106,BF$2,'Additions (monthly)'!$B$2:$B$106,"&lt;="&amp;$B37)</f>
        <v>0</v>
      </c>
      <c r="BG37" s="43" t="n">
        <f aca="false">SUMIFS('Additions (monthly)'!$E$2:$E$106,'Additions (monthly)'!$D$2:$D$106,BG$2,'Additions (monthly)'!$B$2:$B$106,"&lt;="&amp;$B37)</f>
        <v>0</v>
      </c>
      <c r="BH37" s="43" t="n">
        <f aca="false">SUMIFS('Additions (monthly)'!$E$2:$E$106,'Additions (monthly)'!$D$2:$D$106,BH$2,'Additions (monthly)'!$B$2:$B$106,"&lt;="&amp;$B37)</f>
        <v>0</v>
      </c>
      <c r="BI37" s="43" t="n">
        <f aca="false">SUMIFS('Additions (monthly)'!$E$2:$E$106,'Additions (monthly)'!$D$2:$D$106,BI$2,'Additions (monthly)'!$B$2:$B$106,"&lt;="&amp;$B37)</f>
        <v>6.7</v>
      </c>
    </row>
    <row r="38" customFormat="false" ht="15" hidden="false" customHeight="false" outlineLevel="0" collapsed="false">
      <c r="A38" s="23" t="n">
        <v>41244</v>
      </c>
      <c r="B38" s="24" t="n">
        <v>201212</v>
      </c>
      <c r="C38" s="42" t="n">
        <f aca="false">SUMIFS('Additions (monthly)'!$E$2:$E$106,'Additions (monthly)'!$B$2:$B$106,"&lt;="&amp;$B38)</f>
        <v>268.47</v>
      </c>
      <c r="D38" s="43" t="n">
        <f aca="false">SUMIFS('Additions (monthly)'!$E$2:$E$106,'Additions (monthly)'!$D$2:$D$106,D$2,'Additions (monthly)'!$B$2:$B$106,"&lt;="&amp;$B38)</f>
        <v>7.9</v>
      </c>
      <c r="E38" s="43" t="n">
        <f aca="false">SUMIFS('Additions (monthly)'!$E$2:$E$106,'Additions (monthly)'!$D$2:$D$106,E$2,'Additions (monthly)'!$B$2:$B$106,"&lt;="&amp;$B38)</f>
        <v>8.4</v>
      </c>
      <c r="F38" s="43" t="n">
        <f aca="false">SUMIFS('Additions (monthly)'!$E$2:$E$106,'Additions (monthly)'!$D$2:$D$106,F$2,'Additions (monthly)'!$B$2:$B$106,"&lt;="&amp;$B38)</f>
        <v>0</v>
      </c>
      <c r="G38" s="43" t="n">
        <f aca="false">SUMIFS('Additions (monthly)'!$E$2:$E$106,'Additions (monthly)'!$D$2:$D$106,G$2,'Additions (monthly)'!$B$2:$B$106,"&lt;="&amp;$B38)</f>
        <v>0</v>
      </c>
      <c r="H38" s="43" t="n">
        <f aca="false">SUMIFS('Additions (monthly)'!$E$2:$E$106,'Additions (monthly)'!$D$2:$D$106,H$2,'Additions (monthly)'!$B$2:$B$106,"&lt;="&amp;$B38)</f>
        <v>0</v>
      </c>
      <c r="I38" s="43" t="n">
        <f aca="false">SUMIFS('Additions (monthly)'!$E$2:$E$106,'Additions (monthly)'!$D$2:$D$106,I$2,'Additions (monthly)'!$B$2:$B$106,"&lt;="&amp;$B38)</f>
        <v>0</v>
      </c>
      <c r="J38" s="43" t="n">
        <f aca="false">SUMIFS('Additions (monthly)'!$E$2:$E$106,'Additions (monthly)'!$D$2:$D$106,J$2,'Additions (monthly)'!$B$2:$B$106,"&lt;="&amp;$B38)</f>
        <v>3.7</v>
      </c>
      <c r="K38" s="43" t="n">
        <f aca="false">SUMIFS('Additions (monthly)'!$E$2:$E$106,'Additions (monthly)'!$D$2:$D$106,K$2,'Additions (monthly)'!$B$2:$B$106,"&lt;="&amp;$B38)</f>
        <v>0</v>
      </c>
      <c r="L38" s="43" t="n">
        <f aca="false">SUMIFS('Additions (monthly)'!$E$2:$E$106,'Additions (monthly)'!$D$2:$D$106,L$2,'Additions (monthly)'!$B$2:$B$106,"&lt;="&amp;$B38)</f>
        <v>0</v>
      </c>
      <c r="M38" s="43" t="n">
        <f aca="false">SUMIFS('Additions (monthly)'!$E$2:$E$106,'Additions (monthly)'!$D$2:$D$106,M$2,'Additions (monthly)'!$B$2:$B$106,"&lt;="&amp;$B38)</f>
        <v>0</v>
      </c>
      <c r="N38" s="43" t="n">
        <f aca="false">SUMIFS('Additions (monthly)'!$E$2:$E$106,'Additions (monthly)'!$D$2:$D$106,N$2,'Additions (monthly)'!$B$2:$B$106,"&lt;="&amp;$B38)</f>
        <v>14.2</v>
      </c>
      <c r="O38" s="43" t="n">
        <f aca="false">SUMIFS('Additions (monthly)'!$E$2:$E$106,'Additions (monthly)'!$D$2:$D$106,O$2,'Additions (monthly)'!$B$2:$B$106,"&lt;="&amp;$B38)</f>
        <v>4.9</v>
      </c>
      <c r="P38" s="43" t="n">
        <f aca="false">SUMIFS('Additions (monthly)'!$E$2:$E$106,'Additions (monthly)'!$D$2:$D$106,P$2,'Additions (monthly)'!$B$2:$B$106,"&lt;="&amp;$B38)</f>
        <v>0</v>
      </c>
      <c r="Q38" s="43" t="n">
        <f aca="false">SUMIFS('Additions (monthly)'!$E$2:$E$106,'Additions (monthly)'!$D$2:$D$106,Q$2,'Additions (monthly)'!$B$2:$B$106,"&lt;="&amp;$B38)</f>
        <v>0</v>
      </c>
      <c r="R38" s="43" t="n">
        <f aca="false">SUMIFS('Additions (monthly)'!$E$2:$E$106,'Additions (monthly)'!$D$2:$D$106,R$2,'Additions (monthly)'!$B$2:$B$106,"&lt;="&amp;$B38)</f>
        <v>0</v>
      </c>
      <c r="S38" s="43" t="n">
        <f aca="false">SUMIFS('Additions (monthly)'!$E$2:$E$106,'Additions (monthly)'!$D$2:$D$106,S$2,'Additions (monthly)'!$B$2:$B$106,"&lt;="&amp;$B38)</f>
        <v>7.2</v>
      </c>
      <c r="T38" s="43" t="n">
        <f aca="false">SUMIFS('Additions (monthly)'!$E$2:$E$106,'Additions (monthly)'!$D$2:$D$106,T$2,'Additions (monthly)'!$B$2:$B$106,"&lt;="&amp;$B38)</f>
        <v>0</v>
      </c>
      <c r="U38" s="43" t="n">
        <f aca="false">SUMIFS('Additions (monthly)'!$E$2:$E$106,'Additions (monthly)'!$D$2:$D$106,U$2,'Additions (monthly)'!$B$2:$B$106,"&lt;="&amp;$B38)</f>
        <v>0</v>
      </c>
      <c r="V38" s="43" t="n">
        <f aca="false">SUMIFS('Additions (monthly)'!$E$2:$E$106,'Additions (monthly)'!$D$2:$D$106,V$2,'Additions (monthly)'!$B$2:$B$106,"&lt;="&amp;$B38)</f>
        <v>3.87</v>
      </c>
      <c r="W38" s="43" t="n">
        <f aca="false">SUMIFS('Additions (monthly)'!$E$2:$E$106,'Additions (monthly)'!$D$2:$D$106,W$2,'Additions (monthly)'!$B$2:$B$106,"&lt;="&amp;$B38)</f>
        <v>0</v>
      </c>
      <c r="X38" s="43" t="n">
        <f aca="false">SUMIFS('Additions (monthly)'!$E$2:$E$106,'Additions (monthly)'!$D$2:$D$106,X$2,'Additions (monthly)'!$B$2:$B$106,"&lt;="&amp;$B38)</f>
        <v>0</v>
      </c>
      <c r="Y38" s="43" t="n">
        <f aca="false">SUMIFS('Additions (monthly)'!$E$2:$E$106,'Additions (monthly)'!$D$2:$D$106,Y$2,'Additions (monthly)'!$B$2:$B$106,"&lt;="&amp;$B38)</f>
        <v>5</v>
      </c>
      <c r="Z38" s="43" t="n">
        <f aca="false">SUMIFS('Additions (monthly)'!$E$2:$E$106,'Additions (monthly)'!$D$2:$D$106,Z$2,'Additions (monthly)'!$B$2:$B$106,"&lt;="&amp;$B38)</f>
        <v>7.2</v>
      </c>
      <c r="AA38" s="43" t="n">
        <f aca="false">SUMIFS('Additions (monthly)'!$E$2:$E$106,'Additions (monthly)'!$D$2:$D$106,AA$2,'Additions (monthly)'!$B$2:$B$106,"&lt;="&amp;$B38)</f>
        <v>3.7</v>
      </c>
      <c r="AB38" s="43" t="n">
        <f aca="false">SUMIFS('Additions (monthly)'!$E$2:$E$106,'Additions (monthly)'!$D$2:$D$106,AB$2,'Additions (monthly)'!$B$2:$B$106,"&lt;="&amp;$B38)</f>
        <v>16.95</v>
      </c>
      <c r="AC38" s="43" t="n">
        <f aca="false">SUMIFS('Additions (monthly)'!$E$2:$E$106,'Additions (monthly)'!$D$2:$D$106,AC$2,'Additions (monthly)'!$B$2:$B$106,"&lt;="&amp;$B38)</f>
        <v>0</v>
      </c>
      <c r="AD38" s="43" t="n">
        <f aca="false">SUMIFS('Additions (monthly)'!$E$2:$E$106,'Additions (monthly)'!$D$2:$D$106,AD$2,'Additions (monthly)'!$B$2:$B$106,"&lt;="&amp;$B38)</f>
        <v>7.6</v>
      </c>
      <c r="AE38" s="43" t="n">
        <f aca="false">SUMIFS('Additions (monthly)'!$E$2:$E$106,'Additions (monthly)'!$D$2:$D$106,AE$2,'Additions (monthly)'!$B$2:$B$106,"&lt;="&amp;$B38)</f>
        <v>25.7</v>
      </c>
      <c r="AF38" s="43" t="n">
        <f aca="false">SUMIFS('Additions (monthly)'!$E$2:$E$106,'Additions (monthly)'!$D$2:$D$106,AF$2,'Additions (monthly)'!$B$2:$B$106,"&lt;="&amp;$B38)</f>
        <v>0</v>
      </c>
      <c r="AG38" s="43" t="n">
        <f aca="false">SUMIFS('Additions (monthly)'!$E$2:$E$106,'Additions (monthly)'!$D$2:$D$106,AG$2,'Additions (monthly)'!$B$2:$B$106,"&lt;="&amp;$B38)</f>
        <v>0</v>
      </c>
      <c r="AH38" s="43" t="n">
        <f aca="false">SUMIFS('Additions (monthly)'!$E$2:$E$106,'Additions (monthly)'!$D$2:$D$106,AH$2,'Additions (monthly)'!$B$2:$B$106,"&lt;="&amp;$B38)</f>
        <v>0</v>
      </c>
      <c r="AI38" s="43" t="n">
        <f aca="false">SUMIFS('Additions (monthly)'!$E$2:$E$106,'Additions (monthly)'!$D$2:$D$106,AI$2,'Additions (monthly)'!$B$2:$B$106,"&lt;="&amp;$B38)</f>
        <v>0</v>
      </c>
      <c r="AJ38" s="43" t="n">
        <f aca="false">SUMIFS('Additions (monthly)'!$E$2:$E$106,'Additions (monthly)'!$D$2:$D$106,AJ$2,'Additions (monthly)'!$B$2:$B$106,"&lt;="&amp;$B38)</f>
        <v>0</v>
      </c>
      <c r="AK38" s="43" t="n">
        <f aca="false">SUMIFS('Additions (monthly)'!$E$2:$E$106,'Additions (monthly)'!$D$2:$D$106,AK$2,'Additions (monthly)'!$B$2:$B$106,"&lt;="&amp;$B38)</f>
        <v>0</v>
      </c>
      <c r="AL38" s="43" t="n">
        <f aca="false">SUMIFS('Additions (monthly)'!$E$2:$E$106,'Additions (monthly)'!$D$2:$D$106,AL$2,'Additions (monthly)'!$B$2:$B$106,"&lt;="&amp;$B38)</f>
        <v>22.2</v>
      </c>
      <c r="AM38" s="43" t="n">
        <f aca="false">SUMIFS('Additions (monthly)'!$E$2:$E$106,'Additions (monthly)'!$D$2:$D$106,AM$2,'Additions (monthly)'!$B$2:$B$106,"&lt;="&amp;$B38)</f>
        <v>0.3</v>
      </c>
      <c r="AN38" s="43" t="n">
        <f aca="false">SUMIFS('Additions (monthly)'!$E$2:$E$106,'Additions (monthly)'!$D$2:$D$106,AN$2,'Additions (monthly)'!$B$2:$B$106,"&lt;="&amp;$B38)</f>
        <v>4.3</v>
      </c>
      <c r="AO38" s="43" t="n">
        <f aca="false">SUMIFS('Additions (monthly)'!$E$2:$E$106,'Additions (monthly)'!$D$2:$D$106,AO$2,'Additions (monthly)'!$B$2:$B$106,"&lt;="&amp;$B38)</f>
        <v>10.4</v>
      </c>
      <c r="AP38" s="43" t="n">
        <f aca="false">SUMIFS('Additions (monthly)'!$E$2:$E$106,'Additions (monthly)'!$D$2:$D$106,AP$2,'Additions (monthly)'!$B$2:$B$106,"&lt;="&amp;$B38)</f>
        <v>0</v>
      </c>
      <c r="AQ38" s="43" t="n">
        <f aca="false">SUMIFS('Additions (monthly)'!$E$2:$E$106,'Additions (monthly)'!$D$2:$D$106,AQ$2,'Additions (monthly)'!$B$2:$B$106,"&lt;="&amp;$B38)</f>
        <v>4.45</v>
      </c>
      <c r="AR38" s="43" t="n">
        <f aca="false">SUMIFS('Additions (monthly)'!$E$2:$E$106,'Additions (monthly)'!$D$2:$D$106,AR$2,'Additions (monthly)'!$B$2:$B$106,"&lt;="&amp;$B38)</f>
        <v>77.1</v>
      </c>
      <c r="AS38" s="43" t="n">
        <f aca="false">SUMIFS('Additions (monthly)'!$E$2:$E$106,'Additions (monthly)'!$D$2:$D$106,AS$2,'Additions (monthly)'!$B$2:$B$106,"&lt;="&amp;$B38)</f>
        <v>0</v>
      </c>
      <c r="AT38" s="43" t="n">
        <f aca="false">SUMIFS('Additions (monthly)'!$E$2:$E$106,'Additions (monthly)'!$D$2:$D$106,AT$2,'Additions (monthly)'!$B$2:$B$106,"&lt;="&amp;$B38)</f>
        <v>0</v>
      </c>
      <c r="AU38" s="43" t="n">
        <f aca="false">SUMIFS('Additions (monthly)'!$E$2:$E$106,'Additions (monthly)'!$D$2:$D$106,AU$2,'Additions (monthly)'!$B$2:$B$106,"&lt;="&amp;$B38)</f>
        <v>9.6</v>
      </c>
      <c r="AV38" s="43" t="n">
        <f aca="false">SUMIFS('Additions (monthly)'!$E$2:$E$106,'Additions (monthly)'!$D$2:$D$106,AV$2,'Additions (monthly)'!$B$2:$B$106,"&lt;="&amp;$B38)</f>
        <v>0</v>
      </c>
      <c r="AW38" s="43" t="n">
        <f aca="false">SUMIFS('Additions (monthly)'!$E$2:$E$106,'Additions (monthly)'!$D$2:$D$106,AW$2,'Additions (monthly)'!$B$2:$B$106,"&lt;="&amp;$B38)</f>
        <v>0</v>
      </c>
      <c r="AX38" s="43" t="n">
        <f aca="false">SUMIFS('Additions (monthly)'!$E$2:$E$106,'Additions (monthly)'!$D$2:$D$106,AX$2,'Additions (monthly)'!$B$2:$B$106,"&lt;="&amp;$B38)</f>
        <v>11.8</v>
      </c>
      <c r="AY38" s="43" t="n">
        <f aca="false">SUMIFS('Additions (monthly)'!$E$2:$E$106,'Additions (monthly)'!$D$2:$D$106,AY$2,'Additions (monthly)'!$B$2:$B$106,"&lt;="&amp;$B38)</f>
        <v>5.3</v>
      </c>
      <c r="AZ38" s="43" t="n">
        <f aca="false">SUMIFS('Additions (monthly)'!$E$2:$E$106,'Additions (monthly)'!$D$2:$D$106,AZ$2,'Additions (monthly)'!$B$2:$B$106,"&lt;="&amp;$B38)</f>
        <v>0</v>
      </c>
      <c r="BA38" s="43" t="n">
        <f aca="false">SUMIFS('Additions (monthly)'!$E$2:$E$106,'Additions (monthly)'!$D$2:$D$106,BA$2,'Additions (monthly)'!$B$2:$B$106,"&lt;="&amp;$B38)</f>
        <v>0</v>
      </c>
      <c r="BB38" s="43" t="n">
        <f aca="false">SUMIFS('Additions (monthly)'!$E$2:$E$106,'Additions (monthly)'!$D$2:$D$106,BB$2,'Additions (monthly)'!$B$2:$B$106,"&lt;="&amp;$B38)</f>
        <v>0</v>
      </c>
      <c r="BC38" s="43" t="n">
        <f aca="false">SUMIFS('Additions (monthly)'!$E$2:$E$106,'Additions (monthly)'!$D$2:$D$106,BC$2,'Additions (monthly)'!$B$2:$B$106,"&lt;="&amp;$B38)</f>
        <v>0</v>
      </c>
      <c r="BD38" s="43" t="n">
        <f aca="false">SUMIFS('Additions (monthly)'!$E$2:$E$106,'Additions (monthly)'!$D$2:$D$106,BD$2,'Additions (monthly)'!$B$2:$B$106,"&lt;="&amp;$B38)</f>
        <v>0</v>
      </c>
      <c r="BE38" s="43" t="n">
        <f aca="false">SUMIFS('Additions (monthly)'!$E$2:$E$106,'Additions (monthly)'!$D$2:$D$106,BE$2,'Additions (monthly)'!$B$2:$B$106,"&lt;="&amp;$B38)</f>
        <v>0</v>
      </c>
      <c r="BF38" s="43" t="n">
        <f aca="false">SUMIFS('Additions (monthly)'!$E$2:$E$106,'Additions (monthly)'!$D$2:$D$106,BF$2,'Additions (monthly)'!$B$2:$B$106,"&lt;="&amp;$B38)</f>
        <v>0</v>
      </c>
      <c r="BG38" s="43" t="n">
        <f aca="false">SUMIFS('Additions (monthly)'!$E$2:$E$106,'Additions (monthly)'!$D$2:$D$106,BG$2,'Additions (monthly)'!$B$2:$B$106,"&lt;="&amp;$B38)</f>
        <v>0</v>
      </c>
      <c r="BH38" s="43" t="n">
        <f aca="false">SUMIFS('Additions (monthly)'!$E$2:$E$106,'Additions (monthly)'!$D$2:$D$106,BH$2,'Additions (monthly)'!$B$2:$B$106,"&lt;="&amp;$B38)</f>
        <v>0</v>
      </c>
      <c r="BI38" s="43" t="n">
        <f aca="false">SUMIFS('Additions (monthly)'!$E$2:$E$106,'Additions (monthly)'!$D$2:$D$106,BI$2,'Additions (monthly)'!$B$2:$B$106,"&lt;="&amp;$B38)</f>
        <v>6.7</v>
      </c>
    </row>
    <row r="39" customFormat="false" ht="15" hidden="false" customHeight="false" outlineLevel="0" collapsed="false">
      <c r="A39" s="44" t="n">
        <v>41275</v>
      </c>
      <c r="B39" s="45" t="n">
        <v>201301</v>
      </c>
      <c r="C39" s="42" t="n">
        <f aca="false">SUMIFS('Additions (monthly)'!$E$2:$E$106,'Additions (monthly)'!$B$2:$B$106,"&lt;="&amp;$B39)</f>
        <v>268.47</v>
      </c>
      <c r="D39" s="46" t="n">
        <f aca="false">SUMIFS('Additions (monthly)'!$E$2:$E$106,'Additions (monthly)'!$D$2:$D$106,D$2,'Additions (monthly)'!$B$2:$B$106,"&lt;="&amp;$B39)</f>
        <v>7.9</v>
      </c>
      <c r="E39" s="46" t="n">
        <f aca="false">SUMIFS('Additions (monthly)'!$E$2:$E$106,'Additions (monthly)'!$D$2:$D$106,E$2,'Additions (monthly)'!$B$2:$B$106,"&lt;="&amp;$B39)</f>
        <v>8.4</v>
      </c>
      <c r="F39" s="46" t="n">
        <f aca="false">SUMIFS('Additions (monthly)'!$E$2:$E$106,'Additions (monthly)'!$D$2:$D$106,F$2,'Additions (monthly)'!$B$2:$B$106,"&lt;="&amp;$B39)</f>
        <v>0</v>
      </c>
      <c r="G39" s="46" t="n">
        <f aca="false">SUMIFS('Additions (monthly)'!$E$2:$E$106,'Additions (monthly)'!$D$2:$D$106,G$2,'Additions (monthly)'!$B$2:$B$106,"&lt;="&amp;$B39)</f>
        <v>0</v>
      </c>
      <c r="H39" s="46" t="n">
        <f aca="false">SUMIFS('Additions (monthly)'!$E$2:$E$106,'Additions (monthly)'!$D$2:$D$106,H$2,'Additions (monthly)'!$B$2:$B$106,"&lt;="&amp;$B39)</f>
        <v>0</v>
      </c>
      <c r="I39" s="46" t="n">
        <f aca="false">SUMIFS('Additions (monthly)'!$E$2:$E$106,'Additions (monthly)'!$D$2:$D$106,I$2,'Additions (monthly)'!$B$2:$B$106,"&lt;="&amp;$B39)</f>
        <v>0</v>
      </c>
      <c r="J39" s="46" t="n">
        <f aca="false">SUMIFS('Additions (monthly)'!$E$2:$E$106,'Additions (monthly)'!$D$2:$D$106,J$2,'Additions (monthly)'!$B$2:$B$106,"&lt;="&amp;$B39)</f>
        <v>3.7</v>
      </c>
      <c r="K39" s="46" t="n">
        <f aca="false">SUMIFS('Additions (monthly)'!$E$2:$E$106,'Additions (monthly)'!$D$2:$D$106,K$2,'Additions (monthly)'!$B$2:$B$106,"&lt;="&amp;$B39)</f>
        <v>0</v>
      </c>
      <c r="L39" s="46" t="n">
        <f aca="false">SUMIFS('Additions (monthly)'!$E$2:$E$106,'Additions (monthly)'!$D$2:$D$106,L$2,'Additions (monthly)'!$B$2:$B$106,"&lt;="&amp;$B39)</f>
        <v>0</v>
      </c>
      <c r="M39" s="46" t="n">
        <f aca="false">SUMIFS('Additions (monthly)'!$E$2:$E$106,'Additions (monthly)'!$D$2:$D$106,M$2,'Additions (monthly)'!$B$2:$B$106,"&lt;="&amp;$B39)</f>
        <v>0</v>
      </c>
      <c r="N39" s="46" t="n">
        <f aca="false">SUMIFS('Additions (monthly)'!$E$2:$E$106,'Additions (monthly)'!$D$2:$D$106,N$2,'Additions (monthly)'!$B$2:$B$106,"&lt;="&amp;$B39)</f>
        <v>14.2</v>
      </c>
      <c r="O39" s="46" t="n">
        <f aca="false">SUMIFS('Additions (monthly)'!$E$2:$E$106,'Additions (monthly)'!$D$2:$D$106,O$2,'Additions (monthly)'!$B$2:$B$106,"&lt;="&amp;$B39)</f>
        <v>4.9</v>
      </c>
      <c r="P39" s="46" t="n">
        <f aca="false">SUMIFS('Additions (monthly)'!$E$2:$E$106,'Additions (monthly)'!$D$2:$D$106,P$2,'Additions (monthly)'!$B$2:$B$106,"&lt;="&amp;$B39)</f>
        <v>0</v>
      </c>
      <c r="Q39" s="46" t="n">
        <f aca="false">SUMIFS('Additions (monthly)'!$E$2:$E$106,'Additions (monthly)'!$D$2:$D$106,Q$2,'Additions (monthly)'!$B$2:$B$106,"&lt;="&amp;$B39)</f>
        <v>0</v>
      </c>
      <c r="R39" s="46" t="n">
        <f aca="false">SUMIFS('Additions (monthly)'!$E$2:$E$106,'Additions (monthly)'!$D$2:$D$106,R$2,'Additions (monthly)'!$B$2:$B$106,"&lt;="&amp;$B39)</f>
        <v>0</v>
      </c>
      <c r="S39" s="46" t="n">
        <f aca="false">SUMIFS('Additions (monthly)'!$E$2:$E$106,'Additions (monthly)'!$D$2:$D$106,S$2,'Additions (monthly)'!$B$2:$B$106,"&lt;="&amp;$B39)</f>
        <v>7.2</v>
      </c>
      <c r="T39" s="46" t="n">
        <f aca="false">SUMIFS('Additions (monthly)'!$E$2:$E$106,'Additions (monthly)'!$D$2:$D$106,T$2,'Additions (monthly)'!$B$2:$B$106,"&lt;="&amp;$B39)</f>
        <v>0</v>
      </c>
      <c r="U39" s="46" t="n">
        <f aca="false">SUMIFS('Additions (monthly)'!$E$2:$E$106,'Additions (monthly)'!$D$2:$D$106,U$2,'Additions (monthly)'!$B$2:$B$106,"&lt;="&amp;$B39)</f>
        <v>0</v>
      </c>
      <c r="V39" s="46" t="n">
        <f aca="false">SUMIFS('Additions (monthly)'!$E$2:$E$106,'Additions (monthly)'!$D$2:$D$106,V$2,'Additions (monthly)'!$B$2:$B$106,"&lt;="&amp;$B39)</f>
        <v>3.87</v>
      </c>
      <c r="W39" s="46" t="n">
        <f aca="false">SUMIFS('Additions (monthly)'!$E$2:$E$106,'Additions (monthly)'!$D$2:$D$106,W$2,'Additions (monthly)'!$B$2:$B$106,"&lt;="&amp;$B39)</f>
        <v>0</v>
      </c>
      <c r="X39" s="46" t="n">
        <f aca="false">SUMIFS('Additions (monthly)'!$E$2:$E$106,'Additions (monthly)'!$D$2:$D$106,X$2,'Additions (monthly)'!$B$2:$B$106,"&lt;="&amp;$B39)</f>
        <v>0</v>
      </c>
      <c r="Y39" s="46" t="n">
        <f aca="false">SUMIFS('Additions (monthly)'!$E$2:$E$106,'Additions (monthly)'!$D$2:$D$106,Y$2,'Additions (monthly)'!$B$2:$B$106,"&lt;="&amp;$B39)</f>
        <v>5</v>
      </c>
      <c r="Z39" s="46" t="n">
        <f aca="false">SUMIFS('Additions (monthly)'!$E$2:$E$106,'Additions (monthly)'!$D$2:$D$106,Z$2,'Additions (monthly)'!$B$2:$B$106,"&lt;="&amp;$B39)</f>
        <v>7.2</v>
      </c>
      <c r="AA39" s="46" t="n">
        <f aca="false">SUMIFS('Additions (monthly)'!$E$2:$E$106,'Additions (monthly)'!$D$2:$D$106,AA$2,'Additions (monthly)'!$B$2:$B$106,"&lt;="&amp;$B39)</f>
        <v>3.7</v>
      </c>
      <c r="AB39" s="46" t="n">
        <f aca="false">SUMIFS('Additions (monthly)'!$E$2:$E$106,'Additions (monthly)'!$D$2:$D$106,AB$2,'Additions (monthly)'!$B$2:$B$106,"&lt;="&amp;$B39)</f>
        <v>16.95</v>
      </c>
      <c r="AC39" s="46" t="n">
        <f aca="false">SUMIFS('Additions (monthly)'!$E$2:$E$106,'Additions (monthly)'!$D$2:$D$106,AC$2,'Additions (monthly)'!$B$2:$B$106,"&lt;="&amp;$B39)</f>
        <v>0</v>
      </c>
      <c r="AD39" s="46" t="n">
        <f aca="false">SUMIFS('Additions (monthly)'!$E$2:$E$106,'Additions (monthly)'!$D$2:$D$106,AD$2,'Additions (monthly)'!$B$2:$B$106,"&lt;="&amp;$B39)</f>
        <v>7.6</v>
      </c>
      <c r="AE39" s="46" t="n">
        <f aca="false">SUMIFS('Additions (monthly)'!$E$2:$E$106,'Additions (monthly)'!$D$2:$D$106,AE$2,'Additions (monthly)'!$B$2:$B$106,"&lt;="&amp;$B39)</f>
        <v>25.7</v>
      </c>
      <c r="AF39" s="46" t="n">
        <f aca="false">SUMIFS('Additions (monthly)'!$E$2:$E$106,'Additions (monthly)'!$D$2:$D$106,AF$2,'Additions (monthly)'!$B$2:$B$106,"&lt;="&amp;$B39)</f>
        <v>0</v>
      </c>
      <c r="AG39" s="46" t="n">
        <f aca="false">SUMIFS('Additions (monthly)'!$E$2:$E$106,'Additions (monthly)'!$D$2:$D$106,AG$2,'Additions (monthly)'!$B$2:$B$106,"&lt;="&amp;$B39)</f>
        <v>0</v>
      </c>
      <c r="AH39" s="46" t="n">
        <f aca="false">SUMIFS('Additions (monthly)'!$E$2:$E$106,'Additions (monthly)'!$D$2:$D$106,AH$2,'Additions (monthly)'!$B$2:$B$106,"&lt;="&amp;$B39)</f>
        <v>0</v>
      </c>
      <c r="AI39" s="46" t="n">
        <f aca="false">SUMIFS('Additions (monthly)'!$E$2:$E$106,'Additions (monthly)'!$D$2:$D$106,AI$2,'Additions (monthly)'!$B$2:$B$106,"&lt;="&amp;$B39)</f>
        <v>0</v>
      </c>
      <c r="AJ39" s="46" t="n">
        <f aca="false">SUMIFS('Additions (monthly)'!$E$2:$E$106,'Additions (monthly)'!$D$2:$D$106,AJ$2,'Additions (monthly)'!$B$2:$B$106,"&lt;="&amp;$B39)</f>
        <v>0</v>
      </c>
      <c r="AK39" s="46" t="n">
        <f aca="false">SUMIFS('Additions (monthly)'!$E$2:$E$106,'Additions (monthly)'!$D$2:$D$106,AK$2,'Additions (monthly)'!$B$2:$B$106,"&lt;="&amp;$B39)</f>
        <v>0</v>
      </c>
      <c r="AL39" s="46" t="n">
        <f aca="false">SUMIFS('Additions (monthly)'!$E$2:$E$106,'Additions (monthly)'!$D$2:$D$106,AL$2,'Additions (monthly)'!$B$2:$B$106,"&lt;="&amp;$B39)</f>
        <v>22.2</v>
      </c>
      <c r="AM39" s="46" t="n">
        <f aca="false">SUMIFS('Additions (monthly)'!$E$2:$E$106,'Additions (monthly)'!$D$2:$D$106,AM$2,'Additions (monthly)'!$B$2:$B$106,"&lt;="&amp;$B39)</f>
        <v>0.3</v>
      </c>
      <c r="AN39" s="46" t="n">
        <f aca="false">SUMIFS('Additions (monthly)'!$E$2:$E$106,'Additions (monthly)'!$D$2:$D$106,AN$2,'Additions (monthly)'!$B$2:$B$106,"&lt;="&amp;$B39)</f>
        <v>4.3</v>
      </c>
      <c r="AO39" s="46" t="n">
        <f aca="false">SUMIFS('Additions (monthly)'!$E$2:$E$106,'Additions (monthly)'!$D$2:$D$106,AO$2,'Additions (monthly)'!$B$2:$B$106,"&lt;="&amp;$B39)</f>
        <v>10.4</v>
      </c>
      <c r="AP39" s="46" t="n">
        <f aca="false">SUMIFS('Additions (monthly)'!$E$2:$E$106,'Additions (monthly)'!$D$2:$D$106,AP$2,'Additions (monthly)'!$B$2:$B$106,"&lt;="&amp;$B39)</f>
        <v>0</v>
      </c>
      <c r="AQ39" s="46" t="n">
        <f aca="false">SUMIFS('Additions (monthly)'!$E$2:$E$106,'Additions (monthly)'!$D$2:$D$106,AQ$2,'Additions (monthly)'!$B$2:$B$106,"&lt;="&amp;$B39)</f>
        <v>4.45</v>
      </c>
      <c r="AR39" s="46" t="n">
        <f aca="false">SUMIFS('Additions (monthly)'!$E$2:$E$106,'Additions (monthly)'!$D$2:$D$106,AR$2,'Additions (monthly)'!$B$2:$B$106,"&lt;="&amp;$B39)</f>
        <v>77.1</v>
      </c>
      <c r="AS39" s="46" t="n">
        <f aca="false">SUMIFS('Additions (monthly)'!$E$2:$E$106,'Additions (monthly)'!$D$2:$D$106,AS$2,'Additions (monthly)'!$B$2:$B$106,"&lt;="&amp;$B39)</f>
        <v>0</v>
      </c>
      <c r="AT39" s="46" t="n">
        <f aca="false">SUMIFS('Additions (monthly)'!$E$2:$E$106,'Additions (monthly)'!$D$2:$D$106,AT$2,'Additions (monthly)'!$B$2:$B$106,"&lt;="&amp;$B39)</f>
        <v>0</v>
      </c>
      <c r="AU39" s="46" t="n">
        <f aca="false">SUMIFS('Additions (monthly)'!$E$2:$E$106,'Additions (monthly)'!$D$2:$D$106,AU$2,'Additions (monthly)'!$B$2:$B$106,"&lt;="&amp;$B39)</f>
        <v>9.6</v>
      </c>
      <c r="AV39" s="46" t="n">
        <f aca="false">SUMIFS('Additions (monthly)'!$E$2:$E$106,'Additions (monthly)'!$D$2:$D$106,AV$2,'Additions (monthly)'!$B$2:$B$106,"&lt;="&amp;$B39)</f>
        <v>0</v>
      </c>
      <c r="AW39" s="46" t="n">
        <f aca="false">SUMIFS('Additions (monthly)'!$E$2:$E$106,'Additions (monthly)'!$D$2:$D$106,AW$2,'Additions (monthly)'!$B$2:$B$106,"&lt;="&amp;$B39)</f>
        <v>0</v>
      </c>
      <c r="AX39" s="46" t="n">
        <f aca="false">SUMIFS('Additions (monthly)'!$E$2:$E$106,'Additions (monthly)'!$D$2:$D$106,AX$2,'Additions (monthly)'!$B$2:$B$106,"&lt;="&amp;$B39)</f>
        <v>11.8</v>
      </c>
      <c r="AY39" s="46" t="n">
        <f aca="false">SUMIFS('Additions (monthly)'!$E$2:$E$106,'Additions (monthly)'!$D$2:$D$106,AY$2,'Additions (monthly)'!$B$2:$B$106,"&lt;="&amp;$B39)</f>
        <v>5.3</v>
      </c>
      <c r="AZ39" s="46" t="n">
        <f aca="false">SUMIFS('Additions (monthly)'!$E$2:$E$106,'Additions (monthly)'!$D$2:$D$106,AZ$2,'Additions (monthly)'!$B$2:$B$106,"&lt;="&amp;$B39)</f>
        <v>0</v>
      </c>
      <c r="BA39" s="46" t="n">
        <f aca="false">SUMIFS('Additions (monthly)'!$E$2:$E$106,'Additions (monthly)'!$D$2:$D$106,BA$2,'Additions (monthly)'!$B$2:$B$106,"&lt;="&amp;$B39)</f>
        <v>0</v>
      </c>
      <c r="BB39" s="46" t="n">
        <f aca="false">SUMIFS('Additions (monthly)'!$E$2:$E$106,'Additions (monthly)'!$D$2:$D$106,BB$2,'Additions (monthly)'!$B$2:$B$106,"&lt;="&amp;$B39)</f>
        <v>0</v>
      </c>
      <c r="BC39" s="46" t="n">
        <f aca="false">SUMIFS('Additions (monthly)'!$E$2:$E$106,'Additions (monthly)'!$D$2:$D$106,BC$2,'Additions (monthly)'!$B$2:$B$106,"&lt;="&amp;$B39)</f>
        <v>0</v>
      </c>
      <c r="BD39" s="46" t="n">
        <f aca="false">SUMIFS('Additions (monthly)'!$E$2:$E$106,'Additions (monthly)'!$D$2:$D$106,BD$2,'Additions (monthly)'!$B$2:$B$106,"&lt;="&amp;$B39)</f>
        <v>0</v>
      </c>
      <c r="BE39" s="46" t="n">
        <f aca="false">SUMIFS('Additions (monthly)'!$E$2:$E$106,'Additions (monthly)'!$D$2:$D$106,BE$2,'Additions (monthly)'!$B$2:$B$106,"&lt;="&amp;$B39)</f>
        <v>0</v>
      </c>
      <c r="BF39" s="46" t="n">
        <f aca="false">SUMIFS('Additions (monthly)'!$E$2:$E$106,'Additions (monthly)'!$D$2:$D$106,BF$2,'Additions (monthly)'!$B$2:$B$106,"&lt;="&amp;$B39)</f>
        <v>0</v>
      </c>
      <c r="BG39" s="46" t="n">
        <f aca="false">SUMIFS('Additions (monthly)'!$E$2:$E$106,'Additions (monthly)'!$D$2:$D$106,BG$2,'Additions (monthly)'!$B$2:$B$106,"&lt;="&amp;$B39)</f>
        <v>0</v>
      </c>
      <c r="BH39" s="46" t="n">
        <f aca="false">SUMIFS('Additions (monthly)'!$E$2:$E$106,'Additions (monthly)'!$D$2:$D$106,BH$2,'Additions (monthly)'!$B$2:$B$106,"&lt;="&amp;$B39)</f>
        <v>0</v>
      </c>
      <c r="BI39" s="46" t="n">
        <f aca="false">SUMIFS('Additions (monthly)'!$E$2:$E$106,'Additions (monthly)'!$D$2:$D$106,BI$2,'Additions (monthly)'!$B$2:$B$106,"&lt;="&amp;$B39)</f>
        <v>6.7</v>
      </c>
    </row>
    <row r="40" customFormat="false" ht="15" hidden="false" customHeight="false" outlineLevel="0" collapsed="false">
      <c r="A40" s="44" t="n">
        <v>41306</v>
      </c>
      <c r="B40" s="45" t="n">
        <v>201302</v>
      </c>
      <c r="C40" s="42" t="n">
        <f aca="false">SUMIFS('Additions (monthly)'!$E$2:$E$106,'Additions (monthly)'!$B$2:$B$106,"&lt;="&amp;$B40)</f>
        <v>268.47</v>
      </c>
      <c r="D40" s="46" t="n">
        <f aca="false">SUMIFS('Additions (monthly)'!$E$2:$E$106,'Additions (monthly)'!$D$2:$D$106,D$2,'Additions (monthly)'!$B$2:$B$106,"&lt;="&amp;$B40)</f>
        <v>7.9</v>
      </c>
      <c r="E40" s="46" t="n">
        <f aca="false">SUMIFS('Additions (monthly)'!$E$2:$E$106,'Additions (monthly)'!$D$2:$D$106,E$2,'Additions (monthly)'!$B$2:$B$106,"&lt;="&amp;$B40)</f>
        <v>8.4</v>
      </c>
      <c r="F40" s="46" t="n">
        <f aca="false">SUMIFS('Additions (monthly)'!$E$2:$E$106,'Additions (monthly)'!$D$2:$D$106,F$2,'Additions (monthly)'!$B$2:$B$106,"&lt;="&amp;$B40)</f>
        <v>0</v>
      </c>
      <c r="G40" s="46" t="n">
        <f aca="false">SUMIFS('Additions (monthly)'!$E$2:$E$106,'Additions (monthly)'!$D$2:$D$106,G$2,'Additions (monthly)'!$B$2:$B$106,"&lt;="&amp;$B40)</f>
        <v>0</v>
      </c>
      <c r="H40" s="46" t="n">
        <f aca="false">SUMIFS('Additions (monthly)'!$E$2:$E$106,'Additions (monthly)'!$D$2:$D$106,H$2,'Additions (monthly)'!$B$2:$B$106,"&lt;="&amp;$B40)</f>
        <v>0</v>
      </c>
      <c r="I40" s="46" t="n">
        <f aca="false">SUMIFS('Additions (monthly)'!$E$2:$E$106,'Additions (monthly)'!$D$2:$D$106,I$2,'Additions (monthly)'!$B$2:$B$106,"&lt;="&amp;$B40)</f>
        <v>0</v>
      </c>
      <c r="J40" s="46" t="n">
        <f aca="false">SUMIFS('Additions (monthly)'!$E$2:$E$106,'Additions (monthly)'!$D$2:$D$106,J$2,'Additions (monthly)'!$B$2:$B$106,"&lt;="&amp;$B40)</f>
        <v>3.7</v>
      </c>
      <c r="K40" s="46" t="n">
        <f aca="false">SUMIFS('Additions (monthly)'!$E$2:$E$106,'Additions (monthly)'!$D$2:$D$106,K$2,'Additions (monthly)'!$B$2:$B$106,"&lt;="&amp;$B40)</f>
        <v>0</v>
      </c>
      <c r="L40" s="46" t="n">
        <f aca="false">SUMIFS('Additions (monthly)'!$E$2:$E$106,'Additions (monthly)'!$D$2:$D$106,L$2,'Additions (monthly)'!$B$2:$B$106,"&lt;="&amp;$B40)</f>
        <v>0</v>
      </c>
      <c r="M40" s="46" t="n">
        <f aca="false">SUMIFS('Additions (monthly)'!$E$2:$E$106,'Additions (monthly)'!$D$2:$D$106,M$2,'Additions (monthly)'!$B$2:$B$106,"&lt;="&amp;$B40)</f>
        <v>0</v>
      </c>
      <c r="N40" s="46" t="n">
        <f aca="false">SUMIFS('Additions (monthly)'!$E$2:$E$106,'Additions (monthly)'!$D$2:$D$106,N$2,'Additions (monthly)'!$B$2:$B$106,"&lt;="&amp;$B40)</f>
        <v>14.2</v>
      </c>
      <c r="O40" s="46" t="n">
        <f aca="false">SUMIFS('Additions (monthly)'!$E$2:$E$106,'Additions (monthly)'!$D$2:$D$106,O$2,'Additions (monthly)'!$B$2:$B$106,"&lt;="&amp;$B40)</f>
        <v>4.9</v>
      </c>
      <c r="P40" s="46" t="n">
        <f aca="false">SUMIFS('Additions (monthly)'!$E$2:$E$106,'Additions (monthly)'!$D$2:$D$106,P$2,'Additions (monthly)'!$B$2:$B$106,"&lt;="&amp;$B40)</f>
        <v>0</v>
      </c>
      <c r="Q40" s="46" t="n">
        <f aca="false">SUMIFS('Additions (monthly)'!$E$2:$E$106,'Additions (monthly)'!$D$2:$D$106,Q$2,'Additions (monthly)'!$B$2:$B$106,"&lt;="&amp;$B40)</f>
        <v>0</v>
      </c>
      <c r="R40" s="46" t="n">
        <f aca="false">SUMIFS('Additions (monthly)'!$E$2:$E$106,'Additions (monthly)'!$D$2:$D$106,R$2,'Additions (monthly)'!$B$2:$B$106,"&lt;="&amp;$B40)</f>
        <v>0</v>
      </c>
      <c r="S40" s="46" t="n">
        <f aca="false">SUMIFS('Additions (monthly)'!$E$2:$E$106,'Additions (monthly)'!$D$2:$D$106,S$2,'Additions (monthly)'!$B$2:$B$106,"&lt;="&amp;$B40)</f>
        <v>7.2</v>
      </c>
      <c r="T40" s="46" t="n">
        <f aca="false">SUMIFS('Additions (monthly)'!$E$2:$E$106,'Additions (monthly)'!$D$2:$D$106,T$2,'Additions (monthly)'!$B$2:$B$106,"&lt;="&amp;$B40)</f>
        <v>0</v>
      </c>
      <c r="U40" s="46" t="n">
        <f aca="false">SUMIFS('Additions (monthly)'!$E$2:$E$106,'Additions (monthly)'!$D$2:$D$106,U$2,'Additions (monthly)'!$B$2:$B$106,"&lt;="&amp;$B40)</f>
        <v>0</v>
      </c>
      <c r="V40" s="46" t="n">
        <f aca="false">SUMIFS('Additions (monthly)'!$E$2:$E$106,'Additions (monthly)'!$D$2:$D$106,V$2,'Additions (monthly)'!$B$2:$B$106,"&lt;="&amp;$B40)</f>
        <v>3.87</v>
      </c>
      <c r="W40" s="46" t="n">
        <f aca="false">SUMIFS('Additions (monthly)'!$E$2:$E$106,'Additions (monthly)'!$D$2:$D$106,W$2,'Additions (monthly)'!$B$2:$B$106,"&lt;="&amp;$B40)</f>
        <v>0</v>
      </c>
      <c r="X40" s="46" t="n">
        <f aca="false">SUMIFS('Additions (monthly)'!$E$2:$E$106,'Additions (monthly)'!$D$2:$D$106,X$2,'Additions (monthly)'!$B$2:$B$106,"&lt;="&amp;$B40)</f>
        <v>0</v>
      </c>
      <c r="Y40" s="46" t="n">
        <f aca="false">SUMIFS('Additions (monthly)'!$E$2:$E$106,'Additions (monthly)'!$D$2:$D$106,Y$2,'Additions (monthly)'!$B$2:$B$106,"&lt;="&amp;$B40)</f>
        <v>5</v>
      </c>
      <c r="Z40" s="46" t="n">
        <f aca="false">SUMIFS('Additions (monthly)'!$E$2:$E$106,'Additions (monthly)'!$D$2:$D$106,Z$2,'Additions (monthly)'!$B$2:$B$106,"&lt;="&amp;$B40)</f>
        <v>7.2</v>
      </c>
      <c r="AA40" s="46" t="n">
        <f aca="false">SUMIFS('Additions (monthly)'!$E$2:$E$106,'Additions (monthly)'!$D$2:$D$106,AA$2,'Additions (monthly)'!$B$2:$B$106,"&lt;="&amp;$B40)</f>
        <v>3.7</v>
      </c>
      <c r="AB40" s="46" t="n">
        <f aca="false">SUMIFS('Additions (monthly)'!$E$2:$E$106,'Additions (monthly)'!$D$2:$D$106,AB$2,'Additions (monthly)'!$B$2:$B$106,"&lt;="&amp;$B40)</f>
        <v>16.95</v>
      </c>
      <c r="AC40" s="46" t="n">
        <f aca="false">SUMIFS('Additions (monthly)'!$E$2:$E$106,'Additions (monthly)'!$D$2:$D$106,AC$2,'Additions (monthly)'!$B$2:$B$106,"&lt;="&amp;$B40)</f>
        <v>0</v>
      </c>
      <c r="AD40" s="46" t="n">
        <f aca="false">SUMIFS('Additions (monthly)'!$E$2:$E$106,'Additions (monthly)'!$D$2:$D$106,AD$2,'Additions (monthly)'!$B$2:$B$106,"&lt;="&amp;$B40)</f>
        <v>7.6</v>
      </c>
      <c r="AE40" s="46" t="n">
        <f aca="false">SUMIFS('Additions (monthly)'!$E$2:$E$106,'Additions (monthly)'!$D$2:$D$106,AE$2,'Additions (monthly)'!$B$2:$B$106,"&lt;="&amp;$B40)</f>
        <v>25.7</v>
      </c>
      <c r="AF40" s="46" t="n">
        <f aca="false">SUMIFS('Additions (monthly)'!$E$2:$E$106,'Additions (monthly)'!$D$2:$D$106,AF$2,'Additions (monthly)'!$B$2:$B$106,"&lt;="&amp;$B40)</f>
        <v>0</v>
      </c>
      <c r="AG40" s="46" t="n">
        <f aca="false">SUMIFS('Additions (monthly)'!$E$2:$E$106,'Additions (monthly)'!$D$2:$D$106,AG$2,'Additions (monthly)'!$B$2:$B$106,"&lt;="&amp;$B40)</f>
        <v>0</v>
      </c>
      <c r="AH40" s="46" t="n">
        <f aca="false">SUMIFS('Additions (monthly)'!$E$2:$E$106,'Additions (monthly)'!$D$2:$D$106,AH$2,'Additions (monthly)'!$B$2:$B$106,"&lt;="&amp;$B40)</f>
        <v>0</v>
      </c>
      <c r="AI40" s="46" t="n">
        <f aca="false">SUMIFS('Additions (monthly)'!$E$2:$E$106,'Additions (monthly)'!$D$2:$D$106,AI$2,'Additions (monthly)'!$B$2:$B$106,"&lt;="&amp;$B40)</f>
        <v>0</v>
      </c>
      <c r="AJ40" s="46" t="n">
        <f aca="false">SUMIFS('Additions (monthly)'!$E$2:$E$106,'Additions (monthly)'!$D$2:$D$106,AJ$2,'Additions (monthly)'!$B$2:$B$106,"&lt;="&amp;$B40)</f>
        <v>0</v>
      </c>
      <c r="AK40" s="46" t="n">
        <f aca="false">SUMIFS('Additions (monthly)'!$E$2:$E$106,'Additions (monthly)'!$D$2:$D$106,AK$2,'Additions (monthly)'!$B$2:$B$106,"&lt;="&amp;$B40)</f>
        <v>0</v>
      </c>
      <c r="AL40" s="46" t="n">
        <f aca="false">SUMIFS('Additions (monthly)'!$E$2:$E$106,'Additions (monthly)'!$D$2:$D$106,AL$2,'Additions (monthly)'!$B$2:$B$106,"&lt;="&amp;$B40)</f>
        <v>22.2</v>
      </c>
      <c r="AM40" s="46" t="n">
        <f aca="false">SUMIFS('Additions (monthly)'!$E$2:$E$106,'Additions (monthly)'!$D$2:$D$106,AM$2,'Additions (monthly)'!$B$2:$B$106,"&lt;="&amp;$B40)</f>
        <v>0.3</v>
      </c>
      <c r="AN40" s="46" t="n">
        <f aca="false">SUMIFS('Additions (monthly)'!$E$2:$E$106,'Additions (monthly)'!$D$2:$D$106,AN$2,'Additions (monthly)'!$B$2:$B$106,"&lt;="&amp;$B40)</f>
        <v>4.3</v>
      </c>
      <c r="AO40" s="46" t="n">
        <f aca="false">SUMIFS('Additions (monthly)'!$E$2:$E$106,'Additions (monthly)'!$D$2:$D$106,AO$2,'Additions (monthly)'!$B$2:$B$106,"&lt;="&amp;$B40)</f>
        <v>10.4</v>
      </c>
      <c r="AP40" s="46" t="n">
        <f aca="false">SUMIFS('Additions (monthly)'!$E$2:$E$106,'Additions (monthly)'!$D$2:$D$106,AP$2,'Additions (monthly)'!$B$2:$B$106,"&lt;="&amp;$B40)</f>
        <v>0</v>
      </c>
      <c r="AQ40" s="46" t="n">
        <f aca="false">SUMIFS('Additions (monthly)'!$E$2:$E$106,'Additions (monthly)'!$D$2:$D$106,AQ$2,'Additions (monthly)'!$B$2:$B$106,"&lt;="&amp;$B40)</f>
        <v>4.45</v>
      </c>
      <c r="AR40" s="46" t="n">
        <f aca="false">SUMIFS('Additions (monthly)'!$E$2:$E$106,'Additions (monthly)'!$D$2:$D$106,AR$2,'Additions (monthly)'!$B$2:$B$106,"&lt;="&amp;$B40)</f>
        <v>77.1</v>
      </c>
      <c r="AS40" s="46" t="n">
        <f aca="false">SUMIFS('Additions (monthly)'!$E$2:$E$106,'Additions (monthly)'!$D$2:$D$106,AS$2,'Additions (monthly)'!$B$2:$B$106,"&lt;="&amp;$B40)</f>
        <v>0</v>
      </c>
      <c r="AT40" s="46" t="n">
        <f aca="false">SUMIFS('Additions (monthly)'!$E$2:$E$106,'Additions (monthly)'!$D$2:$D$106,AT$2,'Additions (monthly)'!$B$2:$B$106,"&lt;="&amp;$B40)</f>
        <v>0</v>
      </c>
      <c r="AU40" s="46" t="n">
        <f aca="false">SUMIFS('Additions (monthly)'!$E$2:$E$106,'Additions (monthly)'!$D$2:$D$106,AU$2,'Additions (monthly)'!$B$2:$B$106,"&lt;="&amp;$B40)</f>
        <v>9.6</v>
      </c>
      <c r="AV40" s="46" t="n">
        <f aca="false">SUMIFS('Additions (monthly)'!$E$2:$E$106,'Additions (monthly)'!$D$2:$D$106,AV$2,'Additions (monthly)'!$B$2:$B$106,"&lt;="&amp;$B40)</f>
        <v>0</v>
      </c>
      <c r="AW40" s="46" t="n">
        <f aca="false">SUMIFS('Additions (monthly)'!$E$2:$E$106,'Additions (monthly)'!$D$2:$D$106,AW$2,'Additions (monthly)'!$B$2:$B$106,"&lt;="&amp;$B40)</f>
        <v>0</v>
      </c>
      <c r="AX40" s="46" t="n">
        <f aca="false">SUMIFS('Additions (monthly)'!$E$2:$E$106,'Additions (monthly)'!$D$2:$D$106,AX$2,'Additions (monthly)'!$B$2:$B$106,"&lt;="&amp;$B40)</f>
        <v>11.8</v>
      </c>
      <c r="AY40" s="46" t="n">
        <f aca="false">SUMIFS('Additions (monthly)'!$E$2:$E$106,'Additions (monthly)'!$D$2:$D$106,AY$2,'Additions (monthly)'!$B$2:$B$106,"&lt;="&amp;$B40)</f>
        <v>5.3</v>
      </c>
      <c r="AZ40" s="46" t="n">
        <f aca="false">SUMIFS('Additions (monthly)'!$E$2:$E$106,'Additions (monthly)'!$D$2:$D$106,AZ$2,'Additions (monthly)'!$B$2:$B$106,"&lt;="&amp;$B40)</f>
        <v>0</v>
      </c>
      <c r="BA40" s="46" t="n">
        <f aca="false">SUMIFS('Additions (monthly)'!$E$2:$E$106,'Additions (monthly)'!$D$2:$D$106,BA$2,'Additions (monthly)'!$B$2:$B$106,"&lt;="&amp;$B40)</f>
        <v>0</v>
      </c>
      <c r="BB40" s="46" t="n">
        <f aca="false">SUMIFS('Additions (monthly)'!$E$2:$E$106,'Additions (monthly)'!$D$2:$D$106,BB$2,'Additions (monthly)'!$B$2:$B$106,"&lt;="&amp;$B40)</f>
        <v>0</v>
      </c>
      <c r="BC40" s="46" t="n">
        <f aca="false">SUMIFS('Additions (monthly)'!$E$2:$E$106,'Additions (monthly)'!$D$2:$D$106,BC$2,'Additions (monthly)'!$B$2:$B$106,"&lt;="&amp;$B40)</f>
        <v>0</v>
      </c>
      <c r="BD40" s="46" t="n">
        <f aca="false">SUMIFS('Additions (monthly)'!$E$2:$E$106,'Additions (monthly)'!$D$2:$D$106,BD$2,'Additions (monthly)'!$B$2:$B$106,"&lt;="&amp;$B40)</f>
        <v>0</v>
      </c>
      <c r="BE40" s="46" t="n">
        <f aca="false">SUMIFS('Additions (monthly)'!$E$2:$E$106,'Additions (monthly)'!$D$2:$D$106,BE$2,'Additions (monthly)'!$B$2:$B$106,"&lt;="&amp;$B40)</f>
        <v>0</v>
      </c>
      <c r="BF40" s="46" t="n">
        <f aca="false">SUMIFS('Additions (monthly)'!$E$2:$E$106,'Additions (monthly)'!$D$2:$D$106,BF$2,'Additions (monthly)'!$B$2:$B$106,"&lt;="&amp;$B40)</f>
        <v>0</v>
      </c>
      <c r="BG40" s="46" t="n">
        <f aca="false">SUMIFS('Additions (monthly)'!$E$2:$E$106,'Additions (monthly)'!$D$2:$D$106,BG$2,'Additions (monthly)'!$B$2:$B$106,"&lt;="&amp;$B40)</f>
        <v>0</v>
      </c>
      <c r="BH40" s="46" t="n">
        <f aca="false">SUMIFS('Additions (monthly)'!$E$2:$E$106,'Additions (monthly)'!$D$2:$D$106,BH$2,'Additions (monthly)'!$B$2:$B$106,"&lt;="&amp;$B40)</f>
        <v>0</v>
      </c>
      <c r="BI40" s="46" t="n">
        <f aca="false">SUMIFS('Additions (monthly)'!$E$2:$E$106,'Additions (monthly)'!$D$2:$D$106,BI$2,'Additions (monthly)'!$B$2:$B$106,"&lt;="&amp;$B40)</f>
        <v>6.7</v>
      </c>
    </row>
    <row r="41" customFormat="false" ht="15" hidden="false" customHeight="false" outlineLevel="0" collapsed="false">
      <c r="A41" s="44" t="n">
        <v>41334</v>
      </c>
      <c r="B41" s="45" t="n">
        <v>201303</v>
      </c>
      <c r="C41" s="42" t="n">
        <f aca="false">SUMIFS('Additions (monthly)'!$E$2:$E$106,'Additions (monthly)'!$B$2:$B$106,"&lt;="&amp;$B41)</f>
        <v>272.97</v>
      </c>
      <c r="D41" s="46" t="n">
        <f aca="false">SUMIFS('Additions (monthly)'!$E$2:$E$106,'Additions (monthly)'!$D$2:$D$106,D$2,'Additions (monthly)'!$B$2:$B$106,"&lt;="&amp;$B41)</f>
        <v>7.9</v>
      </c>
      <c r="E41" s="46" t="n">
        <f aca="false">SUMIFS('Additions (monthly)'!$E$2:$E$106,'Additions (monthly)'!$D$2:$D$106,E$2,'Additions (monthly)'!$B$2:$B$106,"&lt;="&amp;$B41)</f>
        <v>8.4</v>
      </c>
      <c r="F41" s="46" t="n">
        <f aca="false">SUMIFS('Additions (monthly)'!$E$2:$E$106,'Additions (monthly)'!$D$2:$D$106,F$2,'Additions (monthly)'!$B$2:$B$106,"&lt;="&amp;$B41)</f>
        <v>0</v>
      </c>
      <c r="G41" s="46" t="n">
        <f aca="false">SUMIFS('Additions (monthly)'!$E$2:$E$106,'Additions (monthly)'!$D$2:$D$106,G$2,'Additions (monthly)'!$B$2:$B$106,"&lt;="&amp;$B41)</f>
        <v>4.5</v>
      </c>
      <c r="H41" s="46" t="n">
        <f aca="false">SUMIFS('Additions (monthly)'!$E$2:$E$106,'Additions (monthly)'!$D$2:$D$106,H$2,'Additions (monthly)'!$B$2:$B$106,"&lt;="&amp;$B41)</f>
        <v>0</v>
      </c>
      <c r="I41" s="46" t="n">
        <f aca="false">SUMIFS('Additions (monthly)'!$E$2:$E$106,'Additions (monthly)'!$D$2:$D$106,I$2,'Additions (monthly)'!$B$2:$B$106,"&lt;="&amp;$B41)</f>
        <v>0</v>
      </c>
      <c r="J41" s="46" t="n">
        <f aca="false">SUMIFS('Additions (monthly)'!$E$2:$E$106,'Additions (monthly)'!$D$2:$D$106,J$2,'Additions (monthly)'!$B$2:$B$106,"&lt;="&amp;$B41)</f>
        <v>3.7</v>
      </c>
      <c r="K41" s="46" t="n">
        <f aca="false">SUMIFS('Additions (monthly)'!$E$2:$E$106,'Additions (monthly)'!$D$2:$D$106,K$2,'Additions (monthly)'!$B$2:$B$106,"&lt;="&amp;$B41)</f>
        <v>0</v>
      </c>
      <c r="L41" s="46" t="n">
        <f aca="false">SUMIFS('Additions (monthly)'!$E$2:$E$106,'Additions (monthly)'!$D$2:$D$106,L$2,'Additions (monthly)'!$B$2:$B$106,"&lt;="&amp;$B41)</f>
        <v>0</v>
      </c>
      <c r="M41" s="46" t="n">
        <f aca="false">SUMIFS('Additions (monthly)'!$E$2:$E$106,'Additions (monthly)'!$D$2:$D$106,M$2,'Additions (monthly)'!$B$2:$B$106,"&lt;="&amp;$B41)</f>
        <v>0</v>
      </c>
      <c r="N41" s="46" t="n">
        <f aca="false">SUMIFS('Additions (monthly)'!$E$2:$E$106,'Additions (monthly)'!$D$2:$D$106,N$2,'Additions (monthly)'!$B$2:$B$106,"&lt;="&amp;$B41)</f>
        <v>14.2</v>
      </c>
      <c r="O41" s="46" t="n">
        <f aca="false">SUMIFS('Additions (monthly)'!$E$2:$E$106,'Additions (monthly)'!$D$2:$D$106,O$2,'Additions (monthly)'!$B$2:$B$106,"&lt;="&amp;$B41)</f>
        <v>4.9</v>
      </c>
      <c r="P41" s="46" t="n">
        <f aca="false">SUMIFS('Additions (monthly)'!$E$2:$E$106,'Additions (monthly)'!$D$2:$D$106,P$2,'Additions (monthly)'!$B$2:$B$106,"&lt;="&amp;$B41)</f>
        <v>0</v>
      </c>
      <c r="Q41" s="46" t="n">
        <f aca="false">SUMIFS('Additions (monthly)'!$E$2:$E$106,'Additions (monthly)'!$D$2:$D$106,Q$2,'Additions (monthly)'!$B$2:$B$106,"&lt;="&amp;$B41)</f>
        <v>0</v>
      </c>
      <c r="R41" s="46" t="n">
        <f aca="false">SUMIFS('Additions (monthly)'!$E$2:$E$106,'Additions (monthly)'!$D$2:$D$106,R$2,'Additions (monthly)'!$B$2:$B$106,"&lt;="&amp;$B41)</f>
        <v>0</v>
      </c>
      <c r="S41" s="46" t="n">
        <f aca="false">SUMIFS('Additions (monthly)'!$E$2:$E$106,'Additions (monthly)'!$D$2:$D$106,S$2,'Additions (monthly)'!$B$2:$B$106,"&lt;="&amp;$B41)</f>
        <v>7.2</v>
      </c>
      <c r="T41" s="46" t="n">
        <f aca="false">SUMIFS('Additions (monthly)'!$E$2:$E$106,'Additions (monthly)'!$D$2:$D$106,T$2,'Additions (monthly)'!$B$2:$B$106,"&lt;="&amp;$B41)</f>
        <v>0</v>
      </c>
      <c r="U41" s="46" t="n">
        <f aca="false">SUMIFS('Additions (monthly)'!$E$2:$E$106,'Additions (monthly)'!$D$2:$D$106,U$2,'Additions (monthly)'!$B$2:$B$106,"&lt;="&amp;$B41)</f>
        <v>0</v>
      </c>
      <c r="V41" s="46" t="n">
        <f aca="false">SUMIFS('Additions (monthly)'!$E$2:$E$106,'Additions (monthly)'!$D$2:$D$106,V$2,'Additions (monthly)'!$B$2:$B$106,"&lt;="&amp;$B41)</f>
        <v>3.87</v>
      </c>
      <c r="W41" s="46" t="n">
        <f aca="false">SUMIFS('Additions (monthly)'!$E$2:$E$106,'Additions (monthly)'!$D$2:$D$106,W$2,'Additions (monthly)'!$B$2:$B$106,"&lt;="&amp;$B41)</f>
        <v>0</v>
      </c>
      <c r="X41" s="46" t="n">
        <f aca="false">SUMIFS('Additions (monthly)'!$E$2:$E$106,'Additions (monthly)'!$D$2:$D$106,X$2,'Additions (monthly)'!$B$2:$B$106,"&lt;="&amp;$B41)</f>
        <v>0</v>
      </c>
      <c r="Y41" s="46" t="n">
        <f aca="false">SUMIFS('Additions (monthly)'!$E$2:$E$106,'Additions (monthly)'!$D$2:$D$106,Y$2,'Additions (monthly)'!$B$2:$B$106,"&lt;="&amp;$B41)</f>
        <v>5</v>
      </c>
      <c r="Z41" s="46" t="n">
        <f aca="false">SUMIFS('Additions (monthly)'!$E$2:$E$106,'Additions (monthly)'!$D$2:$D$106,Z$2,'Additions (monthly)'!$B$2:$B$106,"&lt;="&amp;$B41)</f>
        <v>7.2</v>
      </c>
      <c r="AA41" s="46" t="n">
        <f aca="false">SUMIFS('Additions (monthly)'!$E$2:$E$106,'Additions (monthly)'!$D$2:$D$106,AA$2,'Additions (monthly)'!$B$2:$B$106,"&lt;="&amp;$B41)</f>
        <v>3.7</v>
      </c>
      <c r="AB41" s="46" t="n">
        <f aca="false">SUMIFS('Additions (monthly)'!$E$2:$E$106,'Additions (monthly)'!$D$2:$D$106,AB$2,'Additions (monthly)'!$B$2:$B$106,"&lt;="&amp;$B41)</f>
        <v>16.95</v>
      </c>
      <c r="AC41" s="46" t="n">
        <f aca="false">SUMIFS('Additions (monthly)'!$E$2:$E$106,'Additions (monthly)'!$D$2:$D$106,AC$2,'Additions (monthly)'!$B$2:$B$106,"&lt;="&amp;$B41)</f>
        <v>0</v>
      </c>
      <c r="AD41" s="46" t="n">
        <f aca="false">SUMIFS('Additions (monthly)'!$E$2:$E$106,'Additions (monthly)'!$D$2:$D$106,AD$2,'Additions (monthly)'!$B$2:$B$106,"&lt;="&amp;$B41)</f>
        <v>7.6</v>
      </c>
      <c r="AE41" s="46" t="n">
        <f aca="false">SUMIFS('Additions (monthly)'!$E$2:$E$106,'Additions (monthly)'!$D$2:$D$106,AE$2,'Additions (monthly)'!$B$2:$B$106,"&lt;="&amp;$B41)</f>
        <v>25.7</v>
      </c>
      <c r="AF41" s="46" t="n">
        <f aca="false">SUMIFS('Additions (monthly)'!$E$2:$E$106,'Additions (monthly)'!$D$2:$D$106,AF$2,'Additions (monthly)'!$B$2:$B$106,"&lt;="&amp;$B41)</f>
        <v>0</v>
      </c>
      <c r="AG41" s="46" t="n">
        <f aca="false">SUMIFS('Additions (monthly)'!$E$2:$E$106,'Additions (monthly)'!$D$2:$D$106,AG$2,'Additions (monthly)'!$B$2:$B$106,"&lt;="&amp;$B41)</f>
        <v>0</v>
      </c>
      <c r="AH41" s="46" t="n">
        <f aca="false">SUMIFS('Additions (monthly)'!$E$2:$E$106,'Additions (monthly)'!$D$2:$D$106,AH$2,'Additions (monthly)'!$B$2:$B$106,"&lt;="&amp;$B41)</f>
        <v>0</v>
      </c>
      <c r="AI41" s="46" t="n">
        <f aca="false">SUMIFS('Additions (monthly)'!$E$2:$E$106,'Additions (monthly)'!$D$2:$D$106,AI$2,'Additions (monthly)'!$B$2:$B$106,"&lt;="&amp;$B41)</f>
        <v>0</v>
      </c>
      <c r="AJ41" s="46" t="n">
        <f aca="false">SUMIFS('Additions (monthly)'!$E$2:$E$106,'Additions (monthly)'!$D$2:$D$106,AJ$2,'Additions (monthly)'!$B$2:$B$106,"&lt;="&amp;$B41)</f>
        <v>0</v>
      </c>
      <c r="AK41" s="46" t="n">
        <f aca="false">SUMIFS('Additions (monthly)'!$E$2:$E$106,'Additions (monthly)'!$D$2:$D$106,AK$2,'Additions (monthly)'!$B$2:$B$106,"&lt;="&amp;$B41)</f>
        <v>0</v>
      </c>
      <c r="AL41" s="46" t="n">
        <f aca="false">SUMIFS('Additions (monthly)'!$E$2:$E$106,'Additions (monthly)'!$D$2:$D$106,AL$2,'Additions (monthly)'!$B$2:$B$106,"&lt;="&amp;$B41)</f>
        <v>22.2</v>
      </c>
      <c r="AM41" s="46" t="n">
        <f aca="false">SUMIFS('Additions (monthly)'!$E$2:$E$106,'Additions (monthly)'!$D$2:$D$106,AM$2,'Additions (monthly)'!$B$2:$B$106,"&lt;="&amp;$B41)</f>
        <v>0.3</v>
      </c>
      <c r="AN41" s="46" t="n">
        <f aca="false">SUMIFS('Additions (monthly)'!$E$2:$E$106,'Additions (monthly)'!$D$2:$D$106,AN$2,'Additions (monthly)'!$B$2:$B$106,"&lt;="&amp;$B41)</f>
        <v>4.3</v>
      </c>
      <c r="AO41" s="46" t="n">
        <f aca="false">SUMIFS('Additions (monthly)'!$E$2:$E$106,'Additions (monthly)'!$D$2:$D$106,AO$2,'Additions (monthly)'!$B$2:$B$106,"&lt;="&amp;$B41)</f>
        <v>10.4</v>
      </c>
      <c r="AP41" s="46" t="n">
        <f aca="false">SUMIFS('Additions (monthly)'!$E$2:$E$106,'Additions (monthly)'!$D$2:$D$106,AP$2,'Additions (monthly)'!$B$2:$B$106,"&lt;="&amp;$B41)</f>
        <v>0</v>
      </c>
      <c r="AQ41" s="46" t="n">
        <f aca="false">SUMIFS('Additions (monthly)'!$E$2:$E$106,'Additions (monthly)'!$D$2:$D$106,AQ$2,'Additions (monthly)'!$B$2:$B$106,"&lt;="&amp;$B41)</f>
        <v>4.45</v>
      </c>
      <c r="AR41" s="46" t="n">
        <f aca="false">SUMIFS('Additions (monthly)'!$E$2:$E$106,'Additions (monthly)'!$D$2:$D$106,AR$2,'Additions (monthly)'!$B$2:$B$106,"&lt;="&amp;$B41)</f>
        <v>77.1</v>
      </c>
      <c r="AS41" s="46" t="n">
        <f aca="false">SUMIFS('Additions (monthly)'!$E$2:$E$106,'Additions (monthly)'!$D$2:$D$106,AS$2,'Additions (monthly)'!$B$2:$B$106,"&lt;="&amp;$B41)</f>
        <v>0</v>
      </c>
      <c r="AT41" s="46" t="n">
        <f aca="false">SUMIFS('Additions (monthly)'!$E$2:$E$106,'Additions (monthly)'!$D$2:$D$106,AT$2,'Additions (monthly)'!$B$2:$B$106,"&lt;="&amp;$B41)</f>
        <v>0</v>
      </c>
      <c r="AU41" s="46" t="n">
        <f aca="false">SUMIFS('Additions (monthly)'!$E$2:$E$106,'Additions (monthly)'!$D$2:$D$106,AU$2,'Additions (monthly)'!$B$2:$B$106,"&lt;="&amp;$B41)</f>
        <v>9.6</v>
      </c>
      <c r="AV41" s="46" t="n">
        <f aca="false">SUMIFS('Additions (monthly)'!$E$2:$E$106,'Additions (monthly)'!$D$2:$D$106,AV$2,'Additions (monthly)'!$B$2:$B$106,"&lt;="&amp;$B41)</f>
        <v>0</v>
      </c>
      <c r="AW41" s="46" t="n">
        <f aca="false">SUMIFS('Additions (monthly)'!$E$2:$E$106,'Additions (monthly)'!$D$2:$D$106,AW$2,'Additions (monthly)'!$B$2:$B$106,"&lt;="&amp;$B41)</f>
        <v>0</v>
      </c>
      <c r="AX41" s="46" t="n">
        <f aca="false">SUMIFS('Additions (monthly)'!$E$2:$E$106,'Additions (monthly)'!$D$2:$D$106,AX$2,'Additions (monthly)'!$B$2:$B$106,"&lt;="&amp;$B41)</f>
        <v>11.8</v>
      </c>
      <c r="AY41" s="46" t="n">
        <f aca="false">SUMIFS('Additions (monthly)'!$E$2:$E$106,'Additions (monthly)'!$D$2:$D$106,AY$2,'Additions (monthly)'!$B$2:$B$106,"&lt;="&amp;$B41)</f>
        <v>5.3</v>
      </c>
      <c r="AZ41" s="46" t="n">
        <f aca="false">SUMIFS('Additions (monthly)'!$E$2:$E$106,'Additions (monthly)'!$D$2:$D$106,AZ$2,'Additions (monthly)'!$B$2:$B$106,"&lt;="&amp;$B41)</f>
        <v>0</v>
      </c>
      <c r="BA41" s="46" t="n">
        <f aca="false">SUMIFS('Additions (monthly)'!$E$2:$E$106,'Additions (monthly)'!$D$2:$D$106,BA$2,'Additions (monthly)'!$B$2:$B$106,"&lt;="&amp;$B41)</f>
        <v>0</v>
      </c>
      <c r="BB41" s="46" t="n">
        <f aca="false">SUMIFS('Additions (monthly)'!$E$2:$E$106,'Additions (monthly)'!$D$2:$D$106,BB$2,'Additions (monthly)'!$B$2:$B$106,"&lt;="&amp;$B41)</f>
        <v>0</v>
      </c>
      <c r="BC41" s="46" t="n">
        <f aca="false">SUMIFS('Additions (monthly)'!$E$2:$E$106,'Additions (monthly)'!$D$2:$D$106,BC$2,'Additions (monthly)'!$B$2:$B$106,"&lt;="&amp;$B41)</f>
        <v>0</v>
      </c>
      <c r="BD41" s="46" t="n">
        <f aca="false">SUMIFS('Additions (monthly)'!$E$2:$E$106,'Additions (monthly)'!$D$2:$D$106,BD$2,'Additions (monthly)'!$B$2:$B$106,"&lt;="&amp;$B41)</f>
        <v>0</v>
      </c>
      <c r="BE41" s="46" t="n">
        <f aca="false">SUMIFS('Additions (monthly)'!$E$2:$E$106,'Additions (monthly)'!$D$2:$D$106,BE$2,'Additions (monthly)'!$B$2:$B$106,"&lt;="&amp;$B41)</f>
        <v>0</v>
      </c>
      <c r="BF41" s="46" t="n">
        <f aca="false">SUMIFS('Additions (monthly)'!$E$2:$E$106,'Additions (monthly)'!$D$2:$D$106,BF$2,'Additions (monthly)'!$B$2:$B$106,"&lt;="&amp;$B41)</f>
        <v>0</v>
      </c>
      <c r="BG41" s="46" t="n">
        <f aca="false">SUMIFS('Additions (monthly)'!$E$2:$E$106,'Additions (monthly)'!$D$2:$D$106,BG$2,'Additions (monthly)'!$B$2:$B$106,"&lt;="&amp;$B41)</f>
        <v>0</v>
      </c>
      <c r="BH41" s="46" t="n">
        <f aca="false">SUMIFS('Additions (monthly)'!$E$2:$E$106,'Additions (monthly)'!$D$2:$D$106,BH$2,'Additions (monthly)'!$B$2:$B$106,"&lt;="&amp;$B41)</f>
        <v>0</v>
      </c>
      <c r="BI41" s="46" t="n">
        <f aca="false">SUMIFS('Additions (monthly)'!$E$2:$E$106,'Additions (monthly)'!$D$2:$D$106,BI$2,'Additions (monthly)'!$B$2:$B$106,"&lt;="&amp;$B41)</f>
        <v>6.7</v>
      </c>
    </row>
    <row r="42" customFormat="false" ht="15" hidden="false" customHeight="false" outlineLevel="0" collapsed="false">
      <c r="A42" s="44" t="n">
        <v>41365</v>
      </c>
      <c r="B42" s="45" t="n">
        <v>201304</v>
      </c>
      <c r="C42" s="42" t="n">
        <f aca="false">SUMIFS('Additions (monthly)'!$E$2:$E$106,'Additions (monthly)'!$B$2:$B$106,"&lt;="&amp;$B42)</f>
        <v>272.97</v>
      </c>
      <c r="D42" s="46" t="n">
        <f aca="false">SUMIFS('Additions (monthly)'!$E$2:$E$106,'Additions (monthly)'!$D$2:$D$106,D$2,'Additions (monthly)'!$B$2:$B$106,"&lt;="&amp;$B42)</f>
        <v>7.9</v>
      </c>
      <c r="E42" s="46" t="n">
        <f aca="false">SUMIFS('Additions (monthly)'!$E$2:$E$106,'Additions (monthly)'!$D$2:$D$106,E$2,'Additions (monthly)'!$B$2:$B$106,"&lt;="&amp;$B42)</f>
        <v>8.4</v>
      </c>
      <c r="F42" s="46" t="n">
        <f aca="false">SUMIFS('Additions (monthly)'!$E$2:$E$106,'Additions (monthly)'!$D$2:$D$106,F$2,'Additions (monthly)'!$B$2:$B$106,"&lt;="&amp;$B42)</f>
        <v>0</v>
      </c>
      <c r="G42" s="46" t="n">
        <f aca="false">SUMIFS('Additions (monthly)'!$E$2:$E$106,'Additions (monthly)'!$D$2:$D$106,G$2,'Additions (monthly)'!$B$2:$B$106,"&lt;="&amp;$B42)</f>
        <v>4.5</v>
      </c>
      <c r="H42" s="46" t="n">
        <f aca="false">SUMIFS('Additions (monthly)'!$E$2:$E$106,'Additions (monthly)'!$D$2:$D$106,H$2,'Additions (monthly)'!$B$2:$B$106,"&lt;="&amp;$B42)</f>
        <v>0</v>
      </c>
      <c r="I42" s="46" t="n">
        <f aca="false">SUMIFS('Additions (monthly)'!$E$2:$E$106,'Additions (monthly)'!$D$2:$D$106,I$2,'Additions (monthly)'!$B$2:$B$106,"&lt;="&amp;$B42)</f>
        <v>0</v>
      </c>
      <c r="J42" s="46" t="n">
        <f aca="false">SUMIFS('Additions (monthly)'!$E$2:$E$106,'Additions (monthly)'!$D$2:$D$106,J$2,'Additions (monthly)'!$B$2:$B$106,"&lt;="&amp;$B42)</f>
        <v>3.7</v>
      </c>
      <c r="K42" s="46" t="n">
        <f aca="false">SUMIFS('Additions (monthly)'!$E$2:$E$106,'Additions (monthly)'!$D$2:$D$106,K$2,'Additions (monthly)'!$B$2:$B$106,"&lt;="&amp;$B42)</f>
        <v>0</v>
      </c>
      <c r="L42" s="46" t="n">
        <f aca="false">SUMIFS('Additions (monthly)'!$E$2:$E$106,'Additions (monthly)'!$D$2:$D$106,L$2,'Additions (monthly)'!$B$2:$B$106,"&lt;="&amp;$B42)</f>
        <v>0</v>
      </c>
      <c r="M42" s="46" t="n">
        <f aca="false">SUMIFS('Additions (monthly)'!$E$2:$E$106,'Additions (monthly)'!$D$2:$D$106,M$2,'Additions (monthly)'!$B$2:$B$106,"&lt;="&amp;$B42)</f>
        <v>0</v>
      </c>
      <c r="N42" s="46" t="n">
        <f aca="false">SUMIFS('Additions (monthly)'!$E$2:$E$106,'Additions (monthly)'!$D$2:$D$106,N$2,'Additions (monthly)'!$B$2:$B$106,"&lt;="&amp;$B42)</f>
        <v>14.2</v>
      </c>
      <c r="O42" s="46" t="n">
        <f aca="false">SUMIFS('Additions (monthly)'!$E$2:$E$106,'Additions (monthly)'!$D$2:$D$106,O$2,'Additions (monthly)'!$B$2:$B$106,"&lt;="&amp;$B42)</f>
        <v>4.9</v>
      </c>
      <c r="P42" s="46" t="n">
        <f aca="false">SUMIFS('Additions (monthly)'!$E$2:$E$106,'Additions (monthly)'!$D$2:$D$106,P$2,'Additions (monthly)'!$B$2:$B$106,"&lt;="&amp;$B42)</f>
        <v>0</v>
      </c>
      <c r="Q42" s="46" t="n">
        <f aca="false">SUMIFS('Additions (monthly)'!$E$2:$E$106,'Additions (monthly)'!$D$2:$D$106,Q$2,'Additions (monthly)'!$B$2:$B$106,"&lt;="&amp;$B42)</f>
        <v>0</v>
      </c>
      <c r="R42" s="46" t="n">
        <f aca="false">SUMIFS('Additions (monthly)'!$E$2:$E$106,'Additions (monthly)'!$D$2:$D$106,R$2,'Additions (monthly)'!$B$2:$B$106,"&lt;="&amp;$B42)</f>
        <v>0</v>
      </c>
      <c r="S42" s="46" t="n">
        <f aca="false">SUMIFS('Additions (monthly)'!$E$2:$E$106,'Additions (monthly)'!$D$2:$D$106,S$2,'Additions (monthly)'!$B$2:$B$106,"&lt;="&amp;$B42)</f>
        <v>7.2</v>
      </c>
      <c r="T42" s="46" t="n">
        <f aca="false">SUMIFS('Additions (monthly)'!$E$2:$E$106,'Additions (monthly)'!$D$2:$D$106,T$2,'Additions (monthly)'!$B$2:$B$106,"&lt;="&amp;$B42)</f>
        <v>0</v>
      </c>
      <c r="U42" s="46" t="n">
        <f aca="false">SUMIFS('Additions (monthly)'!$E$2:$E$106,'Additions (monthly)'!$D$2:$D$106,U$2,'Additions (monthly)'!$B$2:$B$106,"&lt;="&amp;$B42)</f>
        <v>0</v>
      </c>
      <c r="V42" s="46" t="n">
        <f aca="false">SUMIFS('Additions (monthly)'!$E$2:$E$106,'Additions (monthly)'!$D$2:$D$106,V$2,'Additions (monthly)'!$B$2:$B$106,"&lt;="&amp;$B42)</f>
        <v>3.87</v>
      </c>
      <c r="W42" s="46" t="n">
        <f aca="false">SUMIFS('Additions (monthly)'!$E$2:$E$106,'Additions (monthly)'!$D$2:$D$106,W$2,'Additions (monthly)'!$B$2:$B$106,"&lt;="&amp;$B42)</f>
        <v>0</v>
      </c>
      <c r="X42" s="46" t="n">
        <f aca="false">SUMIFS('Additions (monthly)'!$E$2:$E$106,'Additions (monthly)'!$D$2:$D$106,X$2,'Additions (monthly)'!$B$2:$B$106,"&lt;="&amp;$B42)</f>
        <v>0</v>
      </c>
      <c r="Y42" s="46" t="n">
        <f aca="false">SUMIFS('Additions (monthly)'!$E$2:$E$106,'Additions (monthly)'!$D$2:$D$106,Y$2,'Additions (monthly)'!$B$2:$B$106,"&lt;="&amp;$B42)</f>
        <v>5</v>
      </c>
      <c r="Z42" s="46" t="n">
        <f aca="false">SUMIFS('Additions (monthly)'!$E$2:$E$106,'Additions (monthly)'!$D$2:$D$106,Z$2,'Additions (monthly)'!$B$2:$B$106,"&lt;="&amp;$B42)</f>
        <v>7.2</v>
      </c>
      <c r="AA42" s="46" t="n">
        <f aca="false">SUMIFS('Additions (monthly)'!$E$2:$E$106,'Additions (monthly)'!$D$2:$D$106,AA$2,'Additions (monthly)'!$B$2:$B$106,"&lt;="&amp;$B42)</f>
        <v>3.7</v>
      </c>
      <c r="AB42" s="46" t="n">
        <f aca="false">SUMIFS('Additions (monthly)'!$E$2:$E$106,'Additions (monthly)'!$D$2:$D$106,AB$2,'Additions (monthly)'!$B$2:$B$106,"&lt;="&amp;$B42)</f>
        <v>16.95</v>
      </c>
      <c r="AC42" s="46" t="n">
        <f aca="false">SUMIFS('Additions (monthly)'!$E$2:$E$106,'Additions (monthly)'!$D$2:$D$106,AC$2,'Additions (monthly)'!$B$2:$B$106,"&lt;="&amp;$B42)</f>
        <v>0</v>
      </c>
      <c r="AD42" s="46" t="n">
        <f aca="false">SUMIFS('Additions (monthly)'!$E$2:$E$106,'Additions (monthly)'!$D$2:$D$106,AD$2,'Additions (monthly)'!$B$2:$B$106,"&lt;="&amp;$B42)</f>
        <v>7.6</v>
      </c>
      <c r="AE42" s="46" t="n">
        <f aca="false">SUMIFS('Additions (monthly)'!$E$2:$E$106,'Additions (monthly)'!$D$2:$D$106,AE$2,'Additions (monthly)'!$B$2:$B$106,"&lt;="&amp;$B42)</f>
        <v>25.7</v>
      </c>
      <c r="AF42" s="46" t="n">
        <f aca="false">SUMIFS('Additions (monthly)'!$E$2:$E$106,'Additions (monthly)'!$D$2:$D$106,AF$2,'Additions (monthly)'!$B$2:$B$106,"&lt;="&amp;$B42)</f>
        <v>0</v>
      </c>
      <c r="AG42" s="46" t="n">
        <f aca="false">SUMIFS('Additions (monthly)'!$E$2:$E$106,'Additions (monthly)'!$D$2:$D$106,AG$2,'Additions (monthly)'!$B$2:$B$106,"&lt;="&amp;$B42)</f>
        <v>0</v>
      </c>
      <c r="AH42" s="46" t="n">
        <f aca="false">SUMIFS('Additions (monthly)'!$E$2:$E$106,'Additions (monthly)'!$D$2:$D$106,AH$2,'Additions (monthly)'!$B$2:$B$106,"&lt;="&amp;$B42)</f>
        <v>0</v>
      </c>
      <c r="AI42" s="46" t="n">
        <f aca="false">SUMIFS('Additions (monthly)'!$E$2:$E$106,'Additions (monthly)'!$D$2:$D$106,AI$2,'Additions (monthly)'!$B$2:$B$106,"&lt;="&amp;$B42)</f>
        <v>0</v>
      </c>
      <c r="AJ42" s="46" t="n">
        <f aca="false">SUMIFS('Additions (monthly)'!$E$2:$E$106,'Additions (monthly)'!$D$2:$D$106,AJ$2,'Additions (monthly)'!$B$2:$B$106,"&lt;="&amp;$B42)</f>
        <v>0</v>
      </c>
      <c r="AK42" s="46" t="n">
        <f aca="false">SUMIFS('Additions (monthly)'!$E$2:$E$106,'Additions (monthly)'!$D$2:$D$106,AK$2,'Additions (monthly)'!$B$2:$B$106,"&lt;="&amp;$B42)</f>
        <v>0</v>
      </c>
      <c r="AL42" s="46" t="n">
        <f aca="false">SUMIFS('Additions (monthly)'!$E$2:$E$106,'Additions (monthly)'!$D$2:$D$106,AL$2,'Additions (monthly)'!$B$2:$B$106,"&lt;="&amp;$B42)</f>
        <v>22.2</v>
      </c>
      <c r="AM42" s="46" t="n">
        <f aca="false">SUMIFS('Additions (monthly)'!$E$2:$E$106,'Additions (monthly)'!$D$2:$D$106,AM$2,'Additions (monthly)'!$B$2:$B$106,"&lt;="&amp;$B42)</f>
        <v>0.3</v>
      </c>
      <c r="AN42" s="46" t="n">
        <f aca="false">SUMIFS('Additions (monthly)'!$E$2:$E$106,'Additions (monthly)'!$D$2:$D$106,AN$2,'Additions (monthly)'!$B$2:$B$106,"&lt;="&amp;$B42)</f>
        <v>4.3</v>
      </c>
      <c r="AO42" s="46" t="n">
        <f aca="false">SUMIFS('Additions (monthly)'!$E$2:$E$106,'Additions (monthly)'!$D$2:$D$106,AO$2,'Additions (monthly)'!$B$2:$B$106,"&lt;="&amp;$B42)</f>
        <v>10.4</v>
      </c>
      <c r="AP42" s="46" t="n">
        <f aca="false">SUMIFS('Additions (monthly)'!$E$2:$E$106,'Additions (monthly)'!$D$2:$D$106,AP$2,'Additions (monthly)'!$B$2:$B$106,"&lt;="&amp;$B42)</f>
        <v>0</v>
      </c>
      <c r="AQ42" s="46" t="n">
        <f aca="false">SUMIFS('Additions (monthly)'!$E$2:$E$106,'Additions (monthly)'!$D$2:$D$106,AQ$2,'Additions (monthly)'!$B$2:$B$106,"&lt;="&amp;$B42)</f>
        <v>4.45</v>
      </c>
      <c r="AR42" s="46" t="n">
        <f aca="false">SUMIFS('Additions (monthly)'!$E$2:$E$106,'Additions (monthly)'!$D$2:$D$106,AR$2,'Additions (monthly)'!$B$2:$B$106,"&lt;="&amp;$B42)</f>
        <v>77.1</v>
      </c>
      <c r="AS42" s="46" t="n">
        <f aca="false">SUMIFS('Additions (monthly)'!$E$2:$E$106,'Additions (monthly)'!$D$2:$D$106,AS$2,'Additions (monthly)'!$B$2:$B$106,"&lt;="&amp;$B42)</f>
        <v>0</v>
      </c>
      <c r="AT42" s="46" t="n">
        <f aca="false">SUMIFS('Additions (monthly)'!$E$2:$E$106,'Additions (monthly)'!$D$2:$D$106,AT$2,'Additions (monthly)'!$B$2:$B$106,"&lt;="&amp;$B42)</f>
        <v>0</v>
      </c>
      <c r="AU42" s="46" t="n">
        <f aca="false">SUMIFS('Additions (monthly)'!$E$2:$E$106,'Additions (monthly)'!$D$2:$D$106,AU$2,'Additions (monthly)'!$B$2:$B$106,"&lt;="&amp;$B42)</f>
        <v>9.6</v>
      </c>
      <c r="AV42" s="46" t="n">
        <f aca="false">SUMIFS('Additions (monthly)'!$E$2:$E$106,'Additions (monthly)'!$D$2:$D$106,AV$2,'Additions (monthly)'!$B$2:$B$106,"&lt;="&amp;$B42)</f>
        <v>0</v>
      </c>
      <c r="AW42" s="46" t="n">
        <f aca="false">SUMIFS('Additions (monthly)'!$E$2:$E$106,'Additions (monthly)'!$D$2:$D$106,AW$2,'Additions (monthly)'!$B$2:$B$106,"&lt;="&amp;$B42)</f>
        <v>0</v>
      </c>
      <c r="AX42" s="46" t="n">
        <f aca="false">SUMIFS('Additions (monthly)'!$E$2:$E$106,'Additions (monthly)'!$D$2:$D$106,AX$2,'Additions (monthly)'!$B$2:$B$106,"&lt;="&amp;$B42)</f>
        <v>11.8</v>
      </c>
      <c r="AY42" s="46" t="n">
        <f aca="false">SUMIFS('Additions (monthly)'!$E$2:$E$106,'Additions (monthly)'!$D$2:$D$106,AY$2,'Additions (monthly)'!$B$2:$B$106,"&lt;="&amp;$B42)</f>
        <v>5.3</v>
      </c>
      <c r="AZ42" s="46" t="n">
        <f aca="false">SUMIFS('Additions (monthly)'!$E$2:$E$106,'Additions (monthly)'!$D$2:$D$106,AZ$2,'Additions (monthly)'!$B$2:$B$106,"&lt;="&amp;$B42)</f>
        <v>0</v>
      </c>
      <c r="BA42" s="46" t="n">
        <f aca="false">SUMIFS('Additions (monthly)'!$E$2:$E$106,'Additions (monthly)'!$D$2:$D$106,BA$2,'Additions (monthly)'!$B$2:$B$106,"&lt;="&amp;$B42)</f>
        <v>0</v>
      </c>
      <c r="BB42" s="46" t="n">
        <f aca="false">SUMIFS('Additions (monthly)'!$E$2:$E$106,'Additions (monthly)'!$D$2:$D$106,BB$2,'Additions (monthly)'!$B$2:$B$106,"&lt;="&amp;$B42)</f>
        <v>0</v>
      </c>
      <c r="BC42" s="46" t="n">
        <f aca="false">SUMIFS('Additions (monthly)'!$E$2:$E$106,'Additions (monthly)'!$D$2:$D$106,BC$2,'Additions (monthly)'!$B$2:$B$106,"&lt;="&amp;$B42)</f>
        <v>0</v>
      </c>
      <c r="BD42" s="46" t="n">
        <f aca="false">SUMIFS('Additions (monthly)'!$E$2:$E$106,'Additions (monthly)'!$D$2:$D$106,BD$2,'Additions (monthly)'!$B$2:$B$106,"&lt;="&amp;$B42)</f>
        <v>0</v>
      </c>
      <c r="BE42" s="46" t="n">
        <f aca="false">SUMIFS('Additions (monthly)'!$E$2:$E$106,'Additions (monthly)'!$D$2:$D$106,BE$2,'Additions (monthly)'!$B$2:$B$106,"&lt;="&amp;$B42)</f>
        <v>0</v>
      </c>
      <c r="BF42" s="46" t="n">
        <f aca="false">SUMIFS('Additions (monthly)'!$E$2:$E$106,'Additions (monthly)'!$D$2:$D$106,BF$2,'Additions (monthly)'!$B$2:$B$106,"&lt;="&amp;$B42)</f>
        <v>0</v>
      </c>
      <c r="BG42" s="46" t="n">
        <f aca="false">SUMIFS('Additions (monthly)'!$E$2:$E$106,'Additions (monthly)'!$D$2:$D$106,BG$2,'Additions (monthly)'!$B$2:$B$106,"&lt;="&amp;$B42)</f>
        <v>0</v>
      </c>
      <c r="BH42" s="46" t="n">
        <f aca="false">SUMIFS('Additions (monthly)'!$E$2:$E$106,'Additions (monthly)'!$D$2:$D$106,BH$2,'Additions (monthly)'!$B$2:$B$106,"&lt;="&amp;$B42)</f>
        <v>0</v>
      </c>
      <c r="BI42" s="46" t="n">
        <f aca="false">SUMIFS('Additions (monthly)'!$E$2:$E$106,'Additions (monthly)'!$D$2:$D$106,BI$2,'Additions (monthly)'!$B$2:$B$106,"&lt;="&amp;$B42)</f>
        <v>6.7</v>
      </c>
    </row>
    <row r="43" customFormat="false" ht="15" hidden="false" customHeight="false" outlineLevel="0" collapsed="false">
      <c r="A43" s="44" t="n">
        <v>41395</v>
      </c>
      <c r="B43" s="45" t="n">
        <v>201305</v>
      </c>
      <c r="C43" s="42" t="n">
        <f aca="false">SUMIFS('Additions (monthly)'!$E$2:$E$106,'Additions (monthly)'!$B$2:$B$106,"&lt;="&amp;$B43)</f>
        <v>272.97</v>
      </c>
      <c r="D43" s="46" t="n">
        <f aca="false">SUMIFS('Additions (monthly)'!$E$2:$E$106,'Additions (monthly)'!$D$2:$D$106,D$2,'Additions (monthly)'!$B$2:$B$106,"&lt;="&amp;$B43)</f>
        <v>7.9</v>
      </c>
      <c r="E43" s="46" t="n">
        <f aca="false">SUMIFS('Additions (monthly)'!$E$2:$E$106,'Additions (monthly)'!$D$2:$D$106,E$2,'Additions (monthly)'!$B$2:$B$106,"&lt;="&amp;$B43)</f>
        <v>8.4</v>
      </c>
      <c r="F43" s="46" t="n">
        <f aca="false">SUMIFS('Additions (monthly)'!$E$2:$E$106,'Additions (monthly)'!$D$2:$D$106,F$2,'Additions (monthly)'!$B$2:$B$106,"&lt;="&amp;$B43)</f>
        <v>0</v>
      </c>
      <c r="G43" s="46" t="n">
        <f aca="false">SUMIFS('Additions (monthly)'!$E$2:$E$106,'Additions (monthly)'!$D$2:$D$106,G$2,'Additions (monthly)'!$B$2:$B$106,"&lt;="&amp;$B43)</f>
        <v>4.5</v>
      </c>
      <c r="H43" s="46" t="n">
        <f aca="false">SUMIFS('Additions (monthly)'!$E$2:$E$106,'Additions (monthly)'!$D$2:$D$106,H$2,'Additions (monthly)'!$B$2:$B$106,"&lt;="&amp;$B43)</f>
        <v>0</v>
      </c>
      <c r="I43" s="46" t="n">
        <f aca="false">SUMIFS('Additions (monthly)'!$E$2:$E$106,'Additions (monthly)'!$D$2:$D$106,I$2,'Additions (monthly)'!$B$2:$B$106,"&lt;="&amp;$B43)</f>
        <v>0</v>
      </c>
      <c r="J43" s="46" t="n">
        <f aca="false">SUMIFS('Additions (monthly)'!$E$2:$E$106,'Additions (monthly)'!$D$2:$D$106,J$2,'Additions (monthly)'!$B$2:$B$106,"&lt;="&amp;$B43)</f>
        <v>3.7</v>
      </c>
      <c r="K43" s="46" t="n">
        <f aca="false">SUMIFS('Additions (monthly)'!$E$2:$E$106,'Additions (monthly)'!$D$2:$D$106,K$2,'Additions (monthly)'!$B$2:$B$106,"&lt;="&amp;$B43)</f>
        <v>0</v>
      </c>
      <c r="L43" s="46" t="n">
        <f aca="false">SUMIFS('Additions (monthly)'!$E$2:$E$106,'Additions (monthly)'!$D$2:$D$106,L$2,'Additions (monthly)'!$B$2:$B$106,"&lt;="&amp;$B43)</f>
        <v>0</v>
      </c>
      <c r="M43" s="46" t="n">
        <f aca="false">SUMIFS('Additions (monthly)'!$E$2:$E$106,'Additions (monthly)'!$D$2:$D$106,M$2,'Additions (monthly)'!$B$2:$B$106,"&lt;="&amp;$B43)</f>
        <v>0</v>
      </c>
      <c r="N43" s="46" t="n">
        <f aca="false">SUMIFS('Additions (monthly)'!$E$2:$E$106,'Additions (monthly)'!$D$2:$D$106,N$2,'Additions (monthly)'!$B$2:$B$106,"&lt;="&amp;$B43)</f>
        <v>14.2</v>
      </c>
      <c r="O43" s="46" t="n">
        <f aca="false">SUMIFS('Additions (monthly)'!$E$2:$E$106,'Additions (monthly)'!$D$2:$D$106,O$2,'Additions (monthly)'!$B$2:$B$106,"&lt;="&amp;$B43)</f>
        <v>4.9</v>
      </c>
      <c r="P43" s="46" t="n">
        <f aca="false">SUMIFS('Additions (monthly)'!$E$2:$E$106,'Additions (monthly)'!$D$2:$D$106,P$2,'Additions (monthly)'!$B$2:$B$106,"&lt;="&amp;$B43)</f>
        <v>0</v>
      </c>
      <c r="Q43" s="46" t="n">
        <f aca="false">SUMIFS('Additions (monthly)'!$E$2:$E$106,'Additions (monthly)'!$D$2:$D$106,Q$2,'Additions (monthly)'!$B$2:$B$106,"&lt;="&amp;$B43)</f>
        <v>0</v>
      </c>
      <c r="R43" s="46" t="n">
        <f aca="false">SUMIFS('Additions (monthly)'!$E$2:$E$106,'Additions (monthly)'!$D$2:$D$106,R$2,'Additions (monthly)'!$B$2:$B$106,"&lt;="&amp;$B43)</f>
        <v>0</v>
      </c>
      <c r="S43" s="46" t="n">
        <f aca="false">SUMIFS('Additions (monthly)'!$E$2:$E$106,'Additions (monthly)'!$D$2:$D$106,S$2,'Additions (monthly)'!$B$2:$B$106,"&lt;="&amp;$B43)</f>
        <v>7.2</v>
      </c>
      <c r="T43" s="46" t="n">
        <f aca="false">SUMIFS('Additions (monthly)'!$E$2:$E$106,'Additions (monthly)'!$D$2:$D$106,T$2,'Additions (monthly)'!$B$2:$B$106,"&lt;="&amp;$B43)</f>
        <v>0</v>
      </c>
      <c r="U43" s="46" t="n">
        <f aca="false">SUMIFS('Additions (monthly)'!$E$2:$E$106,'Additions (monthly)'!$D$2:$D$106,U$2,'Additions (monthly)'!$B$2:$B$106,"&lt;="&amp;$B43)</f>
        <v>0</v>
      </c>
      <c r="V43" s="46" t="n">
        <f aca="false">SUMIFS('Additions (monthly)'!$E$2:$E$106,'Additions (monthly)'!$D$2:$D$106,V$2,'Additions (monthly)'!$B$2:$B$106,"&lt;="&amp;$B43)</f>
        <v>3.87</v>
      </c>
      <c r="W43" s="46" t="n">
        <f aca="false">SUMIFS('Additions (monthly)'!$E$2:$E$106,'Additions (monthly)'!$D$2:$D$106,W$2,'Additions (monthly)'!$B$2:$B$106,"&lt;="&amp;$B43)</f>
        <v>0</v>
      </c>
      <c r="X43" s="46" t="n">
        <f aca="false">SUMIFS('Additions (monthly)'!$E$2:$E$106,'Additions (monthly)'!$D$2:$D$106,X$2,'Additions (monthly)'!$B$2:$B$106,"&lt;="&amp;$B43)</f>
        <v>0</v>
      </c>
      <c r="Y43" s="46" t="n">
        <f aca="false">SUMIFS('Additions (monthly)'!$E$2:$E$106,'Additions (monthly)'!$D$2:$D$106,Y$2,'Additions (monthly)'!$B$2:$B$106,"&lt;="&amp;$B43)</f>
        <v>5</v>
      </c>
      <c r="Z43" s="46" t="n">
        <f aca="false">SUMIFS('Additions (monthly)'!$E$2:$E$106,'Additions (monthly)'!$D$2:$D$106,Z$2,'Additions (monthly)'!$B$2:$B$106,"&lt;="&amp;$B43)</f>
        <v>7.2</v>
      </c>
      <c r="AA43" s="46" t="n">
        <f aca="false">SUMIFS('Additions (monthly)'!$E$2:$E$106,'Additions (monthly)'!$D$2:$D$106,AA$2,'Additions (monthly)'!$B$2:$B$106,"&lt;="&amp;$B43)</f>
        <v>3.7</v>
      </c>
      <c r="AB43" s="46" t="n">
        <f aca="false">SUMIFS('Additions (monthly)'!$E$2:$E$106,'Additions (monthly)'!$D$2:$D$106,AB$2,'Additions (monthly)'!$B$2:$B$106,"&lt;="&amp;$B43)</f>
        <v>16.95</v>
      </c>
      <c r="AC43" s="46" t="n">
        <f aca="false">SUMIFS('Additions (monthly)'!$E$2:$E$106,'Additions (monthly)'!$D$2:$D$106,AC$2,'Additions (monthly)'!$B$2:$B$106,"&lt;="&amp;$B43)</f>
        <v>0</v>
      </c>
      <c r="AD43" s="46" t="n">
        <f aca="false">SUMIFS('Additions (monthly)'!$E$2:$E$106,'Additions (monthly)'!$D$2:$D$106,AD$2,'Additions (monthly)'!$B$2:$B$106,"&lt;="&amp;$B43)</f>
        <v>7.6</v>
      </c>
      <c r="AE43" s="46" t="n">
        <f aca="false">SUMIFS('Additions (monthly)'!$E$2:$E$106,'Additions (monthly)'!$D$2:$D$106,AE$2,'Additions (monthly)'!$B$2:$B$106,"&lt;="&amp;$B43)</f>
        <v>25.7</v>
      </c>
      <c r="AF43" s="46" t="n">
        <f aca="false">SUMIFS('Additions (monthly)'!$E$2:$E$106,'Additions (monthly)'!$D$2:$D$106,AF$2,'Additions (monthly)'!$B$2:$B$106,"&lt;="&amp;$B43)</f>
        <v>0</v>
      </c>
      <c r="AG43" s="46" t="n">
        <f aca="false">SUMIFS('Additions (monthly)'!$E$2:$E$106,'Additions (monthly)'!$D$2:$D$106,AG$2,'Additions (monthly)'!$B$2:$B$106,"&lt;="&amp;$B43)</f>
        <v>0</v>
      </c>
      <c r="AH43" s="46" t="n">
        <f aca="false">SUMIFS('Additions (monthly)'!$E$2:$E$106,'Additions (monthly)'!$D$2:$D$106,AH$2,'Additions (monthly)'!$B$2:$B$106,"&lt;="&amp;$B43)</f>
        <v>0</v>
      </c>
      <c r="AI43" s="46" t="n">
        <f aca="false">SUMIFS('Additions (monthly)'!$E$2:$E$106,'Additions (monthly)'!$D$2:$D$106,AI$2,'Additions (monthly)'!$B$2:$B$106,"&lt;="&amp;$B43)</f>
        <v>0</v>
      </c>
      <c r="AJ43" s="46" t="n">
        <f aca="false">SUMIFS('Additions (monthly)'!$E$2:$E$106,'Additions (monthly)'!$D$2:$D$106,AJ$2,'Additions (monthly)'!$B$2:$B$106,"&lt;="&amp;$B43)</f>
        <v>0</v>
      </c>
      <c r="AK43" s="46" t="n">
        <f aca="false">SUMIFS('Additions (monthly)'!$E$2:$E$106,'Additions (monthly)'!$D$2:$D$106,AK$2,'Additions (monthly)'!$B$2:$B$106,"&lt;="&amp;$B43)</f>
        <v>0</v>
      </c>
      <c r="AL43" s="46" t="n">
        <f aca="false">SUMIFS('Additions (monthly)'!$E$2:$E$106,'Additions (monthly)'!$D$2:$D$106,AL$2,'Additions (monthly)'!$B$2:$B$106,"&lt;="&amp;$B43)</f>
        <v>22.2</v>
      </c>
      <c r="AM43" s="46" t="n">
        <f aca="false">SUMIFS('Additions (monthly)'!$E$2:$E$106,'Additions (monthly)'!$D$2:$D$106,AM$2,'Additions (monthly)'!$B$2:$B$106,"&lt;="&amp;$B43)</f>
        <v>0.3</v>
      </c>
      <c r="AN43" s="46" t="n">
        <f aca="false">SUMIFS('Additions (monthly)'!$E$2:$E$106,'Additions (monthly)'!$D$2:$D$106,AN$2,'Additions (monthly)'!$B$2:$B$106,"&lt;="&amp;$B43)</f>
        <v>4.3</v>
      </c>
      <c r="AO43" s="46" t="n">
        <f aca="false">SUMIFS('Additions (monthly)'!$E$2:$E$106,'Additions (monthly)'!$D$2:$D$106,AO$2,'Additions (monthly)'!$B$2:$B$106,"&lt;="&amp;$B43)</f>
        <v>10.4</v>
      </c>
      <c r="AP43" s="46" t="n">
        <f aca="false">SUMIFS('Additions (monthly)'!$E$2:$E$106,'Additions (monthly)'!$D$2:$D$106,AP$2,'Additions (monthly)'!$B$2:$B$106,"&lt;="&amp;$B43)</f>
        <v>0</v>
      </c>
      <c r="AQ43" s="46" t="n">
        <f aca="false">SUMIFS('Additions (monthly)'!$E$2:$E$106,'Additions (monthly)'!$D$2:$D$106,AQ$2,'Additions (monthly)'!$B$2:$B$106,"&lt;="&amp;$B43)</f>
        <v>4.45</v>
      </c>
      <c r="AR43" s="46" t="n">
        <f aca="false">SUMIFS('Additions (monthly)'!$E$2:$E$106,'Additions (monthly)'!$D$2:$D$106,AR$2,'Additions (monthly)'!$B$2:$B$106,"&lt;="&amp;$B43)</f>
        <v>77.1</v>
      </c>
      <c r="AS43" s="46" t="n">
        <f aca="false">SUMIFS('Additions (monthly)'!$E$2:$E$106,'Additions (monthly)'!$D$2:$D$106,AS$2,'Additions (monthly)'!$B$2:$B$106,"&lt;="&amp;$B43)</f>
        <v>0</v>
      </c>
      <c r="AT43" s="46" t="n">
        <f aca="false">SUMIFS('Additions (monthly)'!$E$2:$E$106,'Additions (monthly)'!$D$2:$D$106,AT$2,'Additions (monthly)'!$B$2:$B$106,"&lt;="&amp;$B43)</f>
        <v>0</v>
      </c>
      <c r="AU43" s="46" t="n">
        <f aca="false">SUMIFS('Additions (monthly)'!$E$2:$E$106,'Additions (monthly)'!$D$2:$D$106,AU$2,'Additions (monthly)'!$B$2:$B$106,"&lt;="&amp;$B43)</f>
        <v>9.6</v>
      </c>
      <c r="AV43" s="46" t="n">
        <f aca="false">SUMIFS('Additions (monthly)'!$E$2:$E$106,'Additions (monthly)'!$D$2:$D$106,AV$2,'Additions (monthly)'!$B$2:$B$106,"&lt;="&amp;$B43)</f>
        <v>0</v>
      </c>
      <c r="AW43" s="46" t="n">
        <f aca="false">SUMIFS('Additions (monthly)'!$E$2:$E$106,'Additions (monthly)'!$D$2:$D$106,AW$2,'Additions (monthly)'!$B$2:$B$106,"&lt;="&amp;$B43)</f>
        <v>0</v>
      </c>
      <c r="AX43" s="46" t="n">
        <f aca="false">SUMIFS('Additions (monthly)'!$E$2:$E$106,'Additions (monthly)'!$D$2:$D$106,AX$2,'Additions (monthly)'!$B$2:$B$106,"&lt;="&amp;$B43)</f>
        <v>11.8</v>
      </c>
      <c r="AY43" s="46" t="n">
        <f aca="false">SUMIFS('Additions (monthly)'!$E$2:$E$106,'Additions (monthly)'!$D$2:$D$106,AY$2,'Additions (monthly)'!$B$2:$B$106,"&lt;="&amp;$B43)</f>
        <v>5.3</v>
      </c>
      <c r="AZ43" s="46" t="n">
        <f aca="false">SUMIFS('Additions (monthly)'!$E$2:$E$106,'Additions (monthly)'!$D$2:$D$106,AZ$2,'Additions (monthly)'!$B$2:$B$106,"&lt;="&amp;$B43)</f>
        <v>0</v>
      </c>
      <c r="BA43" s="46" t="n">
        <f aca="false">SUMIFS('Additions (monthly)'!$E$2:$E$106,'Additions (monthly)'!$D$2:$D$106,BA$2,'Additions (monthly)'!$B$2:$B$106,"&lt;="&amp;$B43)</f>
        <v>0</v>
      </c>
      <c r="BB43" s="46" t="n">
        <f aca="false">SUMIFS('Additions (monthly)'!$E$2:$E$106,'Additions (monthly)'!$D$2:$D$106,BB$2,'Additions (monthly)'!$B$2:$B$106,"&lt;="&amp;$B43)</f>
        <v>0</v>
      </c>
      <c r="BC43" s="46" t="n">
        <f aca="false">SUMIFS('Additions (monthly)'!$E$2:$E$106,'Additions (monthly)'!$D$2:$D$106,BC$2,'Additions (monthly)'!$B$2:$B$106,"&lt;="&amp;$B43)</f>
        <v>0</v>
      </c>
      <c r="BD43" s="46" t="n">
        <f aca="false">SUMIFS('Additions (monthly)'!$E$2:$E$106,'Additions (monthly)'!$D$2:$D$106,BD$2,'Additions (monthly)'!$B$2:$B$106,"&lt;="&amp;$B43)</f>
        <v>0</v>
      </c>
      <c r="BE43" s="46" t="n">
        <f aca="false">SUMIFS('Additions (monthly)'!$E$2:$E$106,'Additions (monthly)'!$D$2:$D$106,BE$2,'Additions (monthly)'!$B$2:$B$106,"&lt;="&amp;$B43)</f>
        <v>0</v>
      </c>
      <c r="BF43" s="46" t="n">
        <f aca="false">SUMIFS('Additions (monthly)'!$E$2:$E$106,'Additions (monthly)'!$D$2:$D$106,BF$2,'Additions (monthly)'!$B$2:$B$106,"&lt;="&amp;$B43)</f>
        <v>0</v>
      </c>
      <c r="BG43" s="46" t="n">
        <f aca="false">SUMIFS('Additions (monthly)'!$E$2:$E$106,'Additions (monthly)'!$D$2:$D$106,BG$2,'Additions (monthly)'!$B$2:$B$106,"&lt;="&amp;$B43)</f>
        <v>0</v>
      </c>
      <c r="BH43" s="46" t="n">
        <f aca="false">SUMIFS('Additions (monthly)'!$E$2:$E$106,'Additions (monthly)'!$D$2:$D$106,BH$2,'Additions (monthly)'!$B$2:$B$106,"&lt;="&amp;$B43)</f>
        <v>0</v>
      </c>
      <c r="BI43" s="46" t="n">
        <f aca="false">SUMIFS('Additions (monthly)'!$E$2:$E$106,'Additions (monthly)'!$D$2:$D$106,BI$2,'Additions (monthly)'!$B$2:$B$106,"&lt;="&amp;$B43)</f>
        <v>6.7</v>
      </c>
    </row>
    <row r="44" customFormat="false" ht="15" hidden="false" customHeight="false" outlineLevel="0" collapsed="false">
      <c r="A44" s="44" t="n">
        <v>41426</v>
      </c>
      <c r="B44" s="45" t="n">
        <v>201306</v>
      </c>
      <c r="C44" s="42" t="n">
        <f aca="false">SUMIFS('Additions (monthly)'!$E$2:$E$106,'Additions (monthly)'!$B$2:$B$106,"&lt;="&amp;$B44)</f>
        <v>278.17</v>
      </c>
      <c r="D44" s="46" t="n">
        <f aca="false">SUMIFS('Additions (monthly)'!$E$2:$E$106,'Additions (monthly)'!$D$2:$D$106,D$2,'Additions (monthly)'!$B$2:$B$106,"&lt;="&amp;$B44)</f>
        <v>7.9</v>
      </c>
      <c r="E44" s="46" t="n">
        <f aca="false">SUMIFS('Additions (monthly)'!$E$2:$E$106,'Additions (monthly)'!$D$2:$D$106,E$2,'Additions (monthly)'!$B$2:$B$106,"&lt;="&amp;$B44)</f>
        <v>8.4</v>
      </c>
      <c r="F44" s="46" t="n">
        <f aca="false">SUMIFS('Additions (monthly)'!$E$2:$E$106,'Additions (monthly)'!$D$2:$D$106,F$2,'Additions (monthly)'!$B$2:$B$106,"&lt;="&amp;$B44)</f>
        <v>0</v>
      </c>
      <c r="G44" s="46" t="n">
        <f aca="false">SUMIFS('Additions (monthly)'!$E$2:$E$106,'Additions (monthly)'!$D$2:$D$106,G$2,'Additions (monthly)'!$B$2:$B$106,"&lt;="&amp;$B44)</f>
        <v>4.5</v>
      </c>
      <c r="H44" s="46" t="n">
        <f aca="false">SUMIFS('Additions (monthly)'!$E$2:$E$106,'Additions (monthly)'!$D$2:$D$106,H$2,'Additions (monthly)'!$B$2:$B$106,"&lt;="&amp;$B44)</f>
        <v>5.2</v>
      </c>
      <c r="I44" s="46" t="n">
        <f aca="false">SUMIFS('Additions (monthly)'!$E$2:$E$106,'Additions (monthly)'!$D$2:$D$106,I$2,'Additions (monthly)'!$B$2:$B$106,"&lt;="&amp;$B44)</f>
        <v>0</v>
      </c>
      <c r="J44" s="46" t="n">
        <f aca="false">SUMIFS('Additions (monthly)'!$E$2:$E$106,'Additions (monthly)'!$D$2:$D$106,J$2,'Additions (monthly)'!$B$2:$B$106,"&lt;="&amp;$B44)</f>
        <v>3.7</v>
      </c>
      <c r="K44" s="46" t="n">
        <f aca="false">SUMIFS('Additions (monthly)'!$E$2:$E$106,'Additions (monthly)'!$D$2:$D$106,K$2,'Additions (monthly)'!$B$2:$B$106,"&lt;="&amp;$B44)</f>
        <v>0</v>
      </c>
      <c r="L44" s="46" t="n">
        <f aca="false">SUMIFS('Additions (monthly)'!$E$2:$E$106,'Additions (monthly)'!$D$2:$D$106,L$2,'Additions (monthly)'!$B$2:$B$106,"&lt;="&amp;$B44)</f>
        <v>0</v>
      </c>
      <c r="M44" s="46" t="n">
        <f aca="false">SUMIFS('Additions (monthly)'!$E$2:$E$106,'Additions (monthly)'!$D$2:$D$106,M$2,'Additions (monthly)'!$B$2:$B$106,"&lt;="&amp;$B44)</f>
        <v>0</v>
      </c>
      <c r="N44" s="46" t="n">
        <f aca="false">SUMIFS('Additions (monthly)'!$E$2:$E$106,'Additions (monthly)'!$D$2:$D$106,N$2,'Additions (monthly)'!$B$2:$B$106,"&lt;="&amp;$B44)</f>
        <v>14.2</v>
      </c>
      <c r="O44" s="46" t="n">
        <f aca="false">SUMIFS('Additions (monthly)'!$E$2:$E$106,'Additions (monthly)'!$D$2:$D$106,O$2,'Additions (monthly)'!$B$2:$B$106,"&lt;="&amp;$B44)</f>
        <v>4.9</v>
      </c>
      <c r="P44" s="46" t="n">
        <f aca="false">SUMIFS('Additions (monthly)'!$E$2:$E$106,'Additions (monthly)'!$D$2:$D$106,P$2,'Additions (monthly)'!$B$2:$B$106,"&lt;="&amp;$B44)</f>
        <v>0</v>
      </c>
      <c r="Q44" s="46" t="n">
        <f aca="false">SUMIFS('Additions (monthly)'!$E$2:$E$106,'Additions (monthly)'!$D$2:$D$106,Q$2,'Additions (monthly)'!$B$2:$B$106,"&lt;="&amp;$B44)</f>
        <v>0</v>
      </c>
      <c r="R44" s="46" t="n">
        <f aca="false">SUMIFS('Additions (monthly)'!$E$2:$E$106,'Additions (monthly)'!$D$2:$D$106,R$2,'Additions (monthly)'!$B$2:$B$106,"&lt;="&amp;$B44)</f>
        <v>0</v>
      </c>
      <c r="S44" s="46" t="n">
        <f aca="false">SUMIFS('Additions (monthly)'!$E$2:$E$106,'Additions (monthly)'!$D$2:$D$106,S$2,'Additions (monthly)'!$B$2:$B$106,"&lt;="&amp;$B44)</f>
        <v>7.2</v>
      </c>
      <c r="T44" s="46" t="n">
        <f aca="false">SUMIFS('Additions (monthly)'!$E$2:$E$106,'Additions (monthly)'!$D$2:$D$106,T$2,'Additions (monthly)'!$B$2:$B$106,"&lt;="&amp;$B44)</f>
        <v>0</v>
      </c>
      <c r="U44" s="46" t="n">
        <f aca="false">SUMIFS('Additions (monthly)'!$E$2:$E$106,'Additions (monthly)'!$D$2:$D$106,U$2,'Additions (monthly)'!$B$2:$B$106,"&lt;="&amp;$B44)</f>
        <v>0</v>
      </c>
      <c r="V44" s="46" t="n">
        <f aca="false">SUMIFS('Additions (monthly)'!$E$2:$E$106,'Additions (monthly)'!$D$2:$D$106,V$2,'Additions (monthly)'!$B$2:$B$106,"&lt;="&amp;$B44)</f>
        <v>3.87</v>
      </c>
      <c r="W44" s="46" t="n">
        <f aca="false">SUMIFS('Additions (monthly)'!$E$2:$E$106,'Additions (monthly)'!$D$2:$D$106,W$2,'Additions (monthly)'!$B$2:$B$106,"&lt;="&amp;$B44)</f>
        <v>0</v>
      </c>
      <c r="X44" s="46" t="n">
        <f aca="false">SUMIFS('Additions (monthly)'!$E$2:$E$106,'Additions (monthly)'!$D$2:$D$106,X$2,'Additions (monthly)'!$B$2:$B$106,"&lt;="&amp;$B44)</f>
        <v>0</v>
      </c>
      <c r="Y44" s="46" t="n">
        <f aca="false">SUMIFS('Additions (monthly)'!$E$2:$E$106,'Additions (monthly)'!$D$2:$D$106,Y$2,'Additions (monthly)'!$B$2:$B$106,"&lt;="&amp;$B44)</f>
        <v>5</v>
      </c>
      <c r="Z44" s="46" t="n">
        <f aca="false">SUMIFS('Additions (monthly)'!$E$2:$E$106,'Additions (monthly)'!$D$2:$D$106,Z$2,'Additions (monthly)'!$B$2:$B$106,"&lt;="&amp;$B44)</f>
        <v>7.2</v>
      </c>
      <c r="AA44" s="46" t="n">
        <f aca="false">SUMIFS('Additions (monthly)'!$E$2:$E$106,'Additions (monthly)'!$D$2:$D$106,AA$2,'Additions (monthly)'!$B$2:$B$106,"&lt;="&amp;$B44)</f>
        <v>3.7</v>
      </c>
      <c r="AB44" s="46" t="n">
        <f aca="false">SUMIFS('Additions (monthly)'!$E$2:$E$106,'Additions (monthly)'!$D$2:$D$106,AB$2,'Additions (monthly)'!$B$2:$B$106,"&lt;="&amp;$B44)</f>
        <v>16.95</v>
      </c>
      <c r="AC44" s="46" t="n">
        <f aca="false">SUMIFS('Additions (monthly)'!$E$2:$E$106,'Additions (monthly)'!$D$2:$D$106,AC$2,'Additions (monthly)'!$B$2:$B$106,"&lt;="&amp;$B44)</f>
        <v>0</v>
      </c>
      <c r="AD44" s="46" t="n">
        <f aca="false">SUMIFS('Additions (monthly)'!$E$2:$E$106,'Additions (monthly)'!$D$2:$D$106,AD$2,'Additions (monthly)'!$B$2:$B$106,"&lt;="&amp;$B44)</f>
        <v>7.6</v>
      </c>
      <c r="AE44" s="46" t="n">
        <f aca="false">SUMIFS('Additions (monthly)'!$E$2:$E$106,'Additions (monthly)'!$D$2:$D$106,AE$2,'Additions (monthly)'!$B$2:$B$106,"&lt;="&amp;$B44)</f>
        <v>25.7</v>
      </c>
      <c r="AF44" s="46" t="n">
        <f aca="false">SUMIFS('Additions (monthly)'!$E$2:$E$106,'Additions (monthly)'!$D$2:$D$106,AF$2,'Additions (monthly)'!$B$2:$B$106,"&lt;="&amp;$B44)</f>
        <v>0</v>
      </c>
      <c r="AG44" s="46" t="n">
        <f aca="false">SUMIFS('Additions (monthly)'!$E$2:$E$106,'Additions (monthly)'!$D$2:$D$106,AG$2,'Additions (monthly)'!$B$2:$B$106,"&lt;="&amp;$B44)</f>
        <v>0</v>
      </c>
      <c r="AH44" s="46" t="n">
        <f aca="false">SUMIFS('Additions (monthly)'!$E$2:$E$106,'Additions (monthly)'!$D$2:$D$106,AH$2,'Additions (monthly)'!$B$2:$B$106,"&lt;="&amp;$B44)</f>
        <v>0</v>
      </c>
      <c r="AI44" s="46" t="n">
        <f aca="false">SUMIFS('Additions (monthly)'!$E$2:$E$106,'Additions (monthly)'!$D$2:$D$106,AI$2,'Additions (monthly)'!$B$2:$B$106,"&lt;="&amp;$B44)</f>
        <v>0</v>
      </c>
      <c r="AJ44" s="46" t="n">
        <f aca="false">SUMIFS('Additions (monthly)'!$E$2:$E$106,'Additions (monthly)'!$D$2:$D$106,AJ$2,'Additions (monthly)'!$B$2:$B$106,"&lt;="&amp;$B44)</f>
        <v>0</v>
      </c>
      <c r="AK44" s="46" t="n">
        <f aca="false">SUMIFS('Additions (monthly)'!$E$2:$E$106,'Additions (monthly)'!$D$2:$D$106,AK$2,'Additions (monthly)'!$B$2:$B$106,"&lt;="&amp;$B44)</f>
        <v>0</v>
      </c>
      <c r="AL44" s="46" t="n">
        <f aca="false">SUMIFS('Additions (monthly)'!$E$2:$E$106,'Additions (monthly)'!$D$2:$D$106,AL$2,'Additions (monthly)'!$B$2:$B$106,"&lt;="&amp;$B44)</f>
        <v>22.2</v>
      </c>
      <c r="AM44" s="46" t="n">
        <f aca="false">SUMIFS('Additions (monthly)'!$E$2:$E$106,'Additions (monthly)'!$D$2:$D$106,AM$2,'Additions (monthly)'!$B$2:$B$106,"&lt;="&amp;$B44)</f>
        <v>0.3</v>
      </c>
      <c r="AN44" s="46" t="n">
        <f aca="false">SUMIFS('Additions (monthly)'!$E$2:$E$106,'Additions (monthly)'!$D$2:$D$106,AN$2,'Additions (monthly)'!$B$2:$B$106,"&lt;="&amp;$B44)</f>
        <v>4.3</v>
      </c>
      <c r="AO44" s="46" t="n">
        <f aca="false">SUMIFS('Additions (monthly)'!$E$2:$E$106,'Additions (monthly)'!$D$2:$D$106,AO$2,'Additions (monthly)'!$B$2:$B$106,"&lt;="&amp;$B44)</f>
        <v>10.4</v>
      </c>
      <c r="AP44" s="46" t="n">
        <f aca="false">SUMIFS('Additions (monthly)'!$E$2:$E$106,'Additions (monthly)'!$D$2:$D$106,AP$2,'Additions (monthly)'!$B$2:$B$106,"&lt;="&amp;$B44)</f>
        <v>0</v>
      </c>
      <c r="AQ44" s="46" t="n">
        <f aca="false">SUMIFS('Additions (monthly)'!$E$2:$E$106,'Additions (monthly)'!$D$2:$D$106,AQ$2,'Additions (monthly)'!$B$2:$B$106,"&lt;="&amp;$B44)</f>
        <v>4.45</v>
      </c>
      <c r="AR44" s="46" t="n">
        <f aca="false">SUMIFS('Additions (monthly)'!$E$2:$E$106,'Additions (monthly)'!$D$2:$D$106,AR$2,'Additions (monthly)'!$B$2:$B$106,"&lt;="&amp;$B44)</f>
        <v>77.1</v>
      </c>
      <c r="AS44" s="46" t="n">
        <f aca="false">SUMIFS('Additions (monthly)'!$E$2:$E$106,'Additions (monthly)'!$D$2:$D$106,AS$2,'Additions (monthly)'!$B$2:$B$106,"&lt;="&amp;$B44)</f>
        <v>0</v>
      </c>
      <c r="AT44" s="46" t="n">
        <f aca="false">SUMIFS('Additions (monthly)'!$E$2:$E$106,'Additions (monthly)'!$D$2:$D$106,AT$2,'Additions (monthly)'!$B$2:$B$106,"&lt;="&amp;$B44)</f>
        <v>0</v>
      </c>
      <c r="AU44" s="46" t="n">
        <f aca="false">SUMIFS('Additions (monthly)'!$E$2:$E$106,'Additions (monthly)'!$D$2:$D$106,AU$2,'Additions (monthly)'!$B$2:$B$106,"&lt;="&amp;$B44)</f>
        <v>9.6</v>
      </c>
      <c r="AV44" s="46" t="n">
        <f aca="false">SUMIFS('Additions (monthly)'!$E$2:$E$106,'Additions (monthly)'!$D$2:$D$106,AV$2,'Additions (monthly)'!$B$2:$B$106,"&lt;="&amp;$B44)</f>
        <v>0</v>
      </c>
      <c r="AW44" s="46" t="n">
        <f aca="false">SUMIFS('Additions (monthly)'!$E$2:$E$106,'Additions (monthly)'!$D$2:$D$106,AW$2,'Additions (monthly)'!$B$2:$B$106,"&lt;="&amp;$B44)</f>
        <v>0</v>
      </c>
      <c r="AX44" s="46" t="n">
        <f aca="false">SUMIFS('Additions (monthly)'!$E$2:$E$106,'Additions (monthly)'!$D$2:$D$106,AX$2,'Additions (monthly)'!$B$2:$B$106,"&lt;="&amp;$B44)</f>
        <v>11.8</v>
      </c>
      <c r="AY44" s="46" t="n">
        <f aca="false">SUMIFS('Additions (monthly)'!$E$2:$E$106,'Additions (monthly)'!$D$2:$D$106,AY$2,'Additions (monthly)'!$B$2:$B$106,"&lt;="&amp;$B44)</f>
        <v>5.3</v>
      </c>
      <c r="AZ44" s="46" t="n">
        <f aca="false">SUMIFS('Additions (monthly)'!$E$2:$E$106,'Additions (monthly)'!$D$2:$D$106,AZ$2,'Additions (monthly)'!$B$2:$B$106,"&lt;="&amp;$B44)</f>
        <v>0</v>
      </c>
      <c r="BA44" s="46" t="n">
        <f aca="false">SUMIFS('Additions (monthly)'!$E$2:$E$106,'Additions (monthly)'!$D$2:$D$106,BA$2,'Additions (monthly)'!$B$2:$B$106,"&lt;="&amp;$B44)</f>
        <v>0</v>
      </c>
      <c r="BB44" s="46" t="n">
        <f aca="false">SUMIFS('Additions (monthly)'!$E$2:$E$106,'Additions (monthly)'!$D$2:$D$106,BB$2,'Additions (monthly)'!$B$2:$B$106,"&lt;="&amp;$B44)</f>
        <v>0</v>
      </c>
      <c r="BC44" s="46" t="n">
        <f aca="false">SUMIFS('Additions (monthly)'!$E$2:$E$106,'Additions (monthly)'!$D$2:$D$106,BC$2,'Additions (monthly)'!$B$2:$B$106,"&lt;="&amp;$B44)</f>
        <v>0</v>
      </c>
      <c r="BD44" s="46" t="n">
        <f aca="false">SUMIFS('Additions (monthly)'!$E$2:$E$106,'Additions (monthly)'!$D$2:$D$106,BD$2,'Additions (monthly)'!$B$2:$B$106,"&lt;="&amp;$B44)</f>
        <v>0</v>
      </c>
      <c r="BE44" s="46" t="n">
        <f aca="false">SUMIFS('Additions (monthly)'!$E$2:$E$106,'Additions (monthly)'!$D$2:$D$106,BE$2,'Additions (monthly)'!$B$2:$B$106,"&lt;="&amp;$B44)</f>
        <v>0</v>
      </c>
      <c r="BF44" s="46" t="n">
        <f aca="false">SUMIFS('Additions (monthly)'!$E$2:$E$106,'Additions (monthly)'!$D$2:$D$106,BF$2,'Additions (monthly)'!$B$2:$B$106,"&lt;="&amp;$B44)</f>
        <v>0</v>
      </c>
      <c r="BG44" s="46" t="n">
        <f aca="false">SUMIFS('Additions (monthly)'!$E$2:$E$106,'Additions (monthly)'!$D$2:$D$106,BG$2,'Additions (monthly)'!$B$2:$B$106,"&lt;="&amp;$B44)</f>
        <v>0</v>
      </c>
      <c r="BH44" s="46" t="n">
        <f aca="false">SUMIFS('Additions (monthly)'!$E$2:$E$106,'Additions (monthly)'!$D$2:$D$106,BH$2,'Additions (monthly)'!$B$2:$B$106,"&lt;="&amp;$B44)</f>
        <v>0</v>
      </c>
      <c r="BI44" s="46" t="n">
        <f aca="false">SUMIFS('Additions (monthly)'!$E$2:$E$106,'Additions (monthly)'!$D$2:$D$106,BI$2,'Additions (monthly)'!$B$2:$B$106,"&lt;="&amp;$B44)</f>
        <v>6.7</v>
      </c>
    </row>
    <row r="45" customFormat="false" ht="15" hidden="false" customHeight="false" outlineLevel="0" collapsed="false">
      <c r="A45" s="44" t="n">
        <v>41456</v>
      </c>
      <c r="B45" s="45" t="n">
        <v>201307</v>
      </c>
      <c r="C45" s="42" t="n">
        <f aca="false">SUMIFS('Additions (monthly)'!$E$2:$E$106,'Additions (monthly)'!$B$2:$B$106,"&lt;="&amp;$B45)</f>
        <v>278.17</v>
      </c>
      <c r="D45" s="46" t="n">
        <f aca="false">SUMIFS('Additions (monthly)'!$E$2:$E$106,'Additions (monthly)'!$D$2:$D$106,D$2,'Additions (monthly)'!$B$2:$B$106,"&lt;="&amp;$B45)</f>
        <v>7.9</v>
      </c>
      <c r="E45" s="46" t="n">
        <f aca="false">SUMIFS('Additions (monthly)'!$E$2:$E$106,'Additions (monthly)'!$D$2:$D$106,E$2,'Additions (monthly)'!$B$2:$B$106,"&lt;="&amp;$B45)</f>
        <v>8.4</v>
      </c>
      <c r="F45" s="46" t="n">
        <f aca="false">SUMIFS('Additions (monthly)'!$E$2:$E$106,'Additions (monthly)'!$D$2:$D$106,F$2,'Additions (monthly)'!$B$2:$B$106,"&lt;="&amp;$B45)</f>
        <v>0</v>
      </c>
      <c r="G45" s="46" t="n">
        <f aca="false">SUMIFS('Additions (monthly)'!$E$2:$E$106,'Additions (monthly)'!$D$2:$D$106,G$2,'Additions (monthly)'!$B$2:$B$106,"&lt;="&amp;$B45)</f>
        <v>4.5</v>
      </c>
      <c r="H45" s="46" t="n">
        <f aca="false">SUMIFS('Additions (monthly)'!$E$2:$E$106,'Additions (monthly)'!$D$2:$D$106,H$2,'Additions (monthly)'!$B$2:$B$106,"&lt;="&amp;$B45)</f>
        <v>5.2</v>
      </c>
      <c r="I45" s="46" t="n">
        <f aca="false">SUMIFS('Additions (monthly)'!$E$2:$E$106,'Additions (monthly)'!$D$2:$D$106,I$2,'Additions (monthly)'!$B$2:$B$106,"&lt;="&amp;$B45)</f>
        <v>0</v>
      </c>
      <c r="J45" s="46" t="n">
        <f aca="false">SUMIFS('Additions (monthly)'!$E$2:$E$106,'Additions (monthly)'!$D$2:$D$106,J$2,'Additions (monthly)'!$B$2:$B$106,"&lt;="&amp;$B45)</f>
        <v>3.7</v>
      </c>
      <c r="K45" s="46" t="n">
        <f aca="false">SUMIFS('Additions (monthly)'!$E$2:$E$106,'Additions (monthly)'!$D$2:$D$106,K$2,'Additions (monthly)'!$B$2:$B$106,"&lt;="&amp;$B45)</f>
        <v>0</v>
      </c>
      <c r="L45" s="46" t="n">
        <f aca="false">SUMIFS('Additions (monthly)'!$E$2:$E$106,'Additions (monthly)'!$D$2:$D$106,L$2,'Additions (monthly)'!$B$2:$B$106,"&lt;="&amp;$B45)</f>
        <v>0</v>
      </c>
      <c r="M45" s="46" t="n">
        <f aca="false">SUMIFS('Additions (monthly)'!$E$2:$E$106,'Additions (monthly)'!$D$2:$D$106,M$2,'Additions (monthly)'!$B$2:$B$106,"&lt;="&amp;$B45)</f>
        <v>0</v>
      </c>
      <c r="N45" s="46" t="n">
        <f aca="false">SUMIFS('Additions (monthly)'!$E$2:$E$106,'Additions (monthly)'!$D$2:$D$106,N$2,'Additions (monthly)'!$B$2:$B$106,"&lt;="&amp;$B45)</f>
        <v>14.2</v>
      </c>
      <c r="O45" s="46" t="n">
        <f aca="false">SUMIFS('Additions (monthly)'!$E$2:$E$106,'Additions (monthly)'!$D$2:$D$106,O$2,'Additions (monthly)'!$B$2:$B$106,"&lt;="&amp;$B45)</f>
        <v>4.9</v>
      </c>
      <c r="P45" s="46" t="n">
        <f aca="false">SUMIFS('Additions (monthly)'!$E$2:$E$106,'Additions (monthly)'!$D$2:$D$106,P$2,'Additions (monthly)'!$B$2:$B$106,"&lt;="&amp;$B45)</f>
        <v>0</v>
      </c>
      <c r="Q45" s="46" t="n">
        <f aca="false">SUMIFS('Additions (monthly)'!$E$2:$E$106,'Additions (monthly)'!$D$2:$D$106,Q$2,'Additions (monthly)'!$B$2:$B$106,"&lt;="&amp;$B45)</f>
        <v>0</v>
      </c>
      <c r="R45" s="46" t="n">
        <f aca="false">SUMIFS('Additions (monthly)'!$E$2:$E$106,'Additions (monthly)'!$D$2:$D$106,R$2,'Additions (monthly)'!$B$2:$B$106,"&lt;="&amp;$B45)</f>
        <v>0</v>
      </c>
      <c r="S45" s="46" t="n">
        <f aca="false">SUMIFS('Additions (monthly)'!$E$2:$E$106,'Additions (monthly)'!$D$2:$D$106,S$2,'Additions (monthly)'!$B$2:$B$106,"&lt;="&amp;$B45)</f>
        <v>7.2</v>
      </c>
      <c r="T45" s="46" t="n">
        <f aca="false">SUMIFS('Additions (monthly)'!$E$2:$E$106,'Additions (monthly)'!$D$2:$D$106,T$2,'Additions (monthly)'!$B$2:$B$106,"&lt;="&amp;$B45)</f>
        <v>0</v>
      </c>
      <c r="U45" s="46" t="n">
        <f aca="false">SUMIFS('Additions (monthly)'!$E$2:$E$106,'Additions (monthly)'!$D$2:$D$106,U$2,'Additions (monthly)'!$B$2:$B$106,"&lt;="&amp;$B45)</f>
        <v>0</v>
      </c>
      <c r="V45" s="46" t="n">
        <f aca="false">SUMIFS('Additions (monthly)'!$E$2:$E$106,'Additions (monthly)'!$D$2:$D$106,V$2,'Additions (monthly)'!$B$2:$B$106,"&lt;="&amp;$B45)</f>
        <v>3.87</v>
      </c>
      <c r="W45" s="46" t="n">
        <f aca="false">SUMIFS('Additions (monthly)'!$E$2:$E$106,'Additions (monthly)'!$D$2:$D$106,W$2,'Additions (monthly)'!$B$2:$B$106,"&lt;="&amp;$B45)</f>
        <v>0</v>
      </c>
      <c r="X45" s="46" t="n">
        <f aca="false">SUMIFS('Additions (monthly)'!$E$2:$E$106,'Additions (monthly)'!$D$2:$D$106,X$2,'Additions (monthly)'!$B$2:$B$106,"&lt;="&amp;$B45)</f>
        <v>0</v>
      </c>
      <c r="Y45" s="46" t="n">
        <f aca="false">SUMIFS('Additions (monthly)'!$E$2:$E$106,'Additions (monthly)'!$D$2:$D$106,Y$2,'Additions (monthly)'!$B$2:$B$106,"&lt;="&amp;$B45)</f>
        <v>5</v>
      </c>
      <c r="Z45" s="46" t="n">
        <f aca="false">SUMIFS('Additions (monthly)'!$E$2:$E$106,'Additions (monthly)'!$D$2:$D$106,Z$2,'Additions (monthly)'!$B$2:$B$106,"&lt;="&amp;$B45)</f>
        <v>7.2</v>
      </c>
      <c r="AA45" s="46" t="n">
        <f aca="false">SUMIFS('Additions (monthly)'!$E$2:$E$106,'Additions (monthly)'!$D$2:$D$106,AA$2,'Additions (monthly)'!$B$2:$B$106,"&lt;="&amp;$B45)</f>
        <v>3.7</v>
      </c>
      <c r="AB45" s="46" t="n">
        <f aca="false">SUMIFS('Additions (monthly)'!$E$2:$E$106,'Additions (monthly)'!$D$2:$D$106,AB$2,'Additions (monthly)'!$B$2:$B$106,"&lt;="&amp;$B45)</f>
        <v>16.95</v>
      </c>
      <c r="AC45" s="46" t="n">
        <f aca="false">SUMIFS('Additions (monthly)'!$E$2:$E$106,'Additions (monthly)'!$D$2:$D$106,AC$2,'Additions (monthly)'!$B$2:$B$106,"&lt;="&amp;$B45)</f>
        <v>0</v>
      </c>
      <c r="AD45" s="46" t="n">
        <f aca="false">SUMIFS('Additions (monthly)'!$E$2:$E$106,'Additions (monthly)'!$D$2:$D$106,AD$2,'Additions (monthly)'!$B$2:$B$106,"&lt;="&amp;$B45)</f>
        <v>7.6</v>
      </c>
      <c r="AE45" s="46" t="n">
        <f aca="false">SUMIFS('Additions (monthly)'!$E$2:$E$106,'Additions (monthly)'!$D$2:$D$106,AE$2,'Additions (monthly)'!$B$2:$B$106,"&lt;="&amp;$B45)</f>
        <v>25.7</v>
      </c>
      <c r="AF45" s="46" t="n">
        <f aca="false">SUMIFS('Additions (monthly)'!$E$2:$E$106,'Additions (monthly)'!$D$2:$D$106,AF$2,'Additions (monthly)'!$B$2:$B$106,"&lt;="&amp;$B45)</f>
        <v>0</v>
      </c>
      <c r="AG45" s="46" t="n">
        <f aca="false">SUMIFS('Additions (monthly)'!$E$2:$E$106,'Additions (monthly)'!$D$2:$D$106,AG$2,'Additions (monthly)'!$B$2:$B$106,"&lt;="&amp;$B45)</f>
        <v>0</v>
      </c>
      <c r="AH45" s="46" t="n">
        <f aca="false">SUMIFS('Additions (monthly)'!$E$2:$E$106,'Additions (monthly)'!$D$2:$D$106,AH$2,'Additions (monthly)'!$B$2:$B$106,"&lt;="&amp;$B45)</f>
        <v>0</v>
      </c>
      <c r="AI45" s="46" t="n">
        <f aca="false">SUMIFS('Additions (monthly)'!$E$2:$E$106,'Additions (monthly)'!$D$2:$D$106,AI$2,'Additions (monthly)'!$B$2:$B$106,"&lt;="&amp;$B45)</f>
        <v>0</v>
      </c>
      <c r="AJ45" s="46" t="n">
        <f aca="false">SUMIFS('Additions (monthly)'!$E$2:$E$106,'Additions (monthly)'!$D$2:$D$106,AJ$2,'Additions (monthly)'!$B$2:$B$106,"&lt;="&amp;$B45)</f>
        <v>0</v>
      </c>
      <c r="AK45" s="46" t="n">
        <f aca="false">SUMIFS('Additions (monthly)'!$E$2:$E$106,'Additions (monthly)'!$D$2:$D$106,AK$2,'Additions (monthly)'!$B$2:$B$106,"&lt;="&amp;$B45)</f>
        <v>0</v>
      </c>
      <c r="AL45" s="46" t="n">
        <f aca="false">SUMIFS('Additions (monthly)'!$E$2:$E$106,'Additions (monthly)'!$D$2:$D$106,AL$2,'Additions (monthly)'!$B$2:$B$106,"&lt;="&amp;$B45)</f>
        <v>22.2</v>
      </c>
      <c r="AM45" s="46" t="n">
        <f aca="false">SUMIFS('Additions (monthly)'!$E$2:$E$106,'Additions (monthly)'!$D$2:$D$106,AM$2,'Additions (monthly)'!$B$2:$B$106,"&lt;="&amp;$B45)</f>
        <v>0.3</v>
      </c>
      <c r="AN45" s="46" t="n">
        <f aca="false">SUMIFS('Additions (monthly)'!$E$2:$E$106,'Additions (monthly)'!$D$2:$D$106,AN$2,'Additions (monthly)'!$B$2:$B$106,"&lt;="&amp;$B45)</f>
        <v>4.3</v>
      </c>
      <c r="AO45" s="46" t="n">
        <f aca="false">SUMIFS('Additions (monthly)'!$E$2:$E$106,'Additions (monthly)'!$D$2:$D$106,AO$2,'Additions (monthly)'!$B$2:$B$106,"&lt;="&amp;$B45)</f>
        <v>10.4</v>
      </c>
      <c r="AP45" s="46" t="n">
        <f aca="false">SUMIFS('Additions (monthly)'!$E$2:$E$106,'Additions (monthly)'!$D$2:$D$106,AP$2,'Additions (monthly)'!$B$2:$B$106,"&lt;="&amp;$B45)</f>
        <v>0</v>
      </c>
      <c r="AQ45" s="46" t="n">
        <f aca="false">SUMIFS('Additions (monthly)'!$E$2:$E$106,'Additions (monthly)'!$D$2:$D$106,AQ$2,'Additions (monthly)'!$B$2:$B$106,"&lt;="&amp;$B45)</f>
        <v>4.45</v>
      </c>
      <c r="AR45" s="46" t="n">
        <f aca="false">SUMIFS('Additions (monthly)'!$E$2:$E$106,'Additions (monthly)'!$D$2:$D$106,AR$2,'Additions (monthly)'!$B$2:$B$106,"&lt;="&amp;$B45)</f>
        <v>77.1</v>
      </c>
      <c r="AS45" s="46" t="n">
        <f aca="false">SUMIFS('Additions (monthly)'!$E$2:$E$106,'Additions (monthly)'!$D$2:$D$106,AS$2,'Additions (monthly)'!$B$2:$B$106,"&lt;="&amp;$B45)</f>
        <v>0</v>
      </c>
      <c r="AT45" s="46" t="n">
        <f aca="false">SUMIFS('Additions (monthly)'!$E$2:$E$106,'Additions (monthly)'!$D$2:$D$106,AT$2,'Additions (monthly)'!$B$2:$B$106,"&lt;="&amp;$B45)</f>
        <v>0</v>
      </c>
      <c r="AU45" s="46" t="n">
        <f aca="false">SUMIFS('Additions (monthly)'!$E$2:$E$106,'Additions (monthly)'!$D$2:$D$106,AU$2,'Additions (monthly)'!$B$2:$B$106,"&lt;="&amp;$B45)</f>
        <v>9.6</v>
      </c>
      <c r="AV45" s="46" t="n">
        <f aca="false">SUMIFS('Additions (monthly)'!$E$2:$E$106,'Additions (monthly)'!$D$2:$D$106,AV$2,'Additions (monthly)'!$B$2:$B$106,"&lt;="&amp;$B45)</f>
        <v>0</v>
      </c>
      <c r="AW45" s="46" t="n">
        <f aca="false">SUMIFS('Additions (monthly)'!$E$2:$E$106,'Additions (monthly)'!$D$2:$D$106,AW$2,'Additions (monthly)'!$B$2:$B$106,"&lt;="&amp;$B45)</f>
        <v>0</v>
      </c>
      <c r="AX45" s="46" t="n">
        <f aca="false">SUMIFS('Additions (monthly)'!$E$2:$E$106,'Additions (monthly)'!$D$2:$D$106,AX$2,'Additions (monthly)'!$B$2:$B$106,"&lt;="&amp;$B45)</f>
        <v>11.8</v>
      </c>
      <c r="AY45" s="46" t="n">
        <f aca="false">SUMIFS('Additions (monthly)'!$E$2:$E$106,'Additions (monthly)'!$D$2:$D$106,AY$2,'Additions (monthly)'!$B$2:$B$106,"&lt;="&amp;$B45)</f>
        <v>5.3</v>
      </c>
      <c r="AZ45" s="46" t="n">
        <f aca="false">SUMIFS('Additions (monthly)'!$E$2:$E$106,'Additions (monthly)'!$D$2:$D$106,AZ$2,'Additions (monthly)'!$B$2:$B$106,"&lt;="&amp;$B45)</f>
        <v>0</v>
      </c>
      <c r="BA45" s="46" t="n">
        <f aca="false">SUMIFS('Additions (monthly)'!$E$2:$E$106,'Additions (monthly)'!$D$2:$D$106,BA$2,'Additions (monthly)'!$B$2:$B$106,"&lt;="&amp;$B45)</f>
        <v>0</v>
      </c>
      <c r="BB45" s="46" t="n">
        <f aca="false">SUMIFS('Additions (monthly)'!$E$2:$E$106,'Additions (monthly)'!$D$2:$D$106,BB$2,'Additions (monthly)'!$B$2:$B$106,"&lt;="&amp;$B45)</f>
        <v>0</v>
      </c>
      <c r="BC45" s="46" t="n">
        <f aca="false">SUMIFS('Additions (monthly)'!$E$2:$E$106,'Additions (monthly)'!$D$2:$D$106,BC$2,'Additions (monthly)'!$B$2:$B$106,"&lt;="&amp;$B45)</f>
        <v>0</v>
      </c>
      <c r="BD45" s="46" t="n">
        <f aca="false">SUMIFS('Additions (monthly)'!$E$2:$E$106,'Additions (monthly)'!$D$2:$D$106,BD$2,'Additions (monthly)'!$B$2:$B$106,"&lt;="&amp;$B45)</f>
        <v>0</v>
      </c>
      <c r="BE45" s="46" t="n">
        <f aca="false">SUMIFS('Additions (monthly)'!$E$2:$E$106,'Additions (monthly)'!$D$2:$D$106,BE$2,'Additions (monthly)'!$B$2:$B$106,"&lt;="&amp;$B45)</f>
        <v>0</v>
      </c>
      <c r="BF45" s="46" t="n">
        <f aca="false">SUMIFS('Additions (monthly)'!$E$2:$E$106,'Additions (monthly)'!$D$2:$D$106,BF$2,'Additions (monthly)'!$B$2:$B$106,"&lt;="&amp;$B45)</f>
        <v>0</v>
      </c>
      <c r="BG45" s="46" t="n">
        <f aca="false">SUMIFS('Additions (monthly)'!$E$2:$E$106,'Additions (monthly)'!$D$2:$D$106,BG$2,'Additions (monthly)'!$B$2:$B$106,"&lt;="&amp;$B45)</f>
        <v>0</v>
      </c>
      <c r="BH45" s="46" t="n">
        <f aca="false">SUMIFS('Additions (monthly)'!$E$2:$E$106,'Additions (monthly)'!$D$2:$D$106,BH$2,'Additions (monthly)'!$B$2:$B$106,"&lt;="&amp;$B45)</f>
        <v>0</v>
      </c>
      <c r="BI45" s="46" t="n">
        <f aca="false">SUMIFS('Additions (monthly)'!$E$2:$E$106,'Additions (monthly)'!$D$2:$D$106,BI$2,'Additions (monthly)'!$B$2:$B$106,"&lt;="&amp;$B45)</f>
        <v>6.7</v>
      </c>
    </row>
    <row r="46" customFormat="false" ht="15" hidden="false" customHeight="false" outlineLevel="0" collapsed="false">
      <c r="A46" s="44" t="n">
        <v>41487</v>
      </c>
      <c r="B46" s="45" t="n">
        <v>201308</v>
      </c>
      <c r="C46" s="42" t="n">
        <f aca="false">SUMIFS('Additions (monthly)'!$E$2:$E$106,'Additions (monthly)'!$B$2:$B$106,"&lt;="&amp;$B46)</f>
        <v>278.17</v>
      </c>
      <c r="D46" s="46" t="n">
        <f aca="false">SUMIFS('Additions (monthly)'!$E$2:$E$106,'Additions (monthly)'!$D$2:$D$106,D$2,'Additions (monthly)'!$B$2:$B$106,"&lt;="&amp;$B46)</f>
        <v>7.9</v>
      </c>
      <c r="E46" s="46" t="n">
        <f aca="false">SUMIFS('Additions (monthly)'!$E$2:$E$106,'Additions (monthly)'!$D$2:$D$106,E$2,'Additions (monthly)'!$B$2:$B$106,"&lt;="&amp;$B46)</f>
        <v>8.4</v>
      </c>
      <c r="F46" s="46" t="n">
        <f aca="false">SUMIFS('Additions (monthly)'!$E$2:$E$106,'Additions (monthly)'!$D$2:$D$106,F$2,'Additions (monthly)'!$B$2:$B$106,"&lt;="&amp;$B46)</f>
        <v>0</v>
      </c>
      <c r="G46" s="46" t="n">
        <f aca="false">SUMIFS('Additions (monthly)'!$E$2:$E$106,'Additions (monthly)'!$D$2:$D$106,G$2,'Additions (monthly)'!$B$2:$B$106,"&lt;="&amp;$B46)</f>
        <v>4.5</v>
      </c>
      <c r="H46" s="46" t="n">
        <f aca="false">SUMIFS('Additions (monthly)'!$E$2:$E$106,'Additions (monthly)'!$D$2:$D$106,H$2,'Additions (monthly)'!$B$2:$B$106,"&lt;="&amp;$B46)</f>
        <v>5.2</v>
      </c>
      <c r="I46" s="46" t="n">
        <f aca="false">SUMIFS('Additions (monthly)'!$E$2:$E$106,'Additions (monthly)'!$D$2:$D$106,I$2,'Additions (monthly)'!$B$2:$B$106,"&lt;="&amp;$B46)</f>
        <v>0</v>
      </c>
      <c r="J46" s="46" t="n">
        <f aca="false">SUMIFS('Additions (monthly)'!$E$2:$E$106,'Additions (monthly)'!$D$2:$D$106,J$2,'Additions (monthly)'!$B$2:$B$106,"&lt;="&amp;$B46)</f>
        <v>3.7</v>
      </c>
      <c r="K46" s="46" t="n">
        <f aca="false">SUMIFS('Additions (monthly)'!$E$2:$E$106,'Additions (monthly)'!$D$2:$D$106,K$2,'Additions (monthly)'!$B$2:$B$106,"&lt;="&amp;$B46)</f>
        <v>0</v>
      </c>
      <c r="L46" s="46" t="n">
        <f aca="false">SUMIFS('Additions (monthly)'!$E$2:$E$106,'Additions (monthly)'!$D$2:$D$106,L$2,'Additions (monthly)'!$B$2:$B$106,"&lt;="&amp;$B46)</f>
        <v>0</v>
      </c>
      <c r="M46" s="46" t="n">
        <f aca="false">SUMIFS('Additions (monthly)'!$E$2:$E$106,'Additions (monthly)'!$D$2:$D$106,M$2,'Additions (monthly)'!$B$2:$B$106,"&lt;="&amp;$B46)</f>
        <v>0</v>
      </c>
      <c r="N46" s="46" t="n">
        <f aca="false">SUMIFS('Additions (monthly)'!$E$2:$E$106,'Additions (monthly)'!$D$2:$D$106,N$2,'Additions (monthly)'!$B$2:$B$106,"&lt;="&amp;$B46)</f>
        <v>14.2</v>
      </c>
      <c r="O46" s="46" t="n">
        <f aca="false">SUMIFS('Additions (monthly)'!$E$2:$E$106,'Additions (monthly)'!$D$2:$D$106,O$2,'Additions (monthly)'!$B$2:$B$106,"&lt;="&amp;$B46)</f>
        <v>4.9</v>
      </c>
      <c r="P46" s="46" t="n">
        <f aca="false">SUMIFS('Additions (monthly)'!$E$2:$E$106,'Additions (monthly)'!$D$2:$D$106,P$2,'Additions (monthly)'!$B$2:$B$106,"&lt;="&amp;$B46)</f>
        <v>0</v>
      </c>
      <c r="Q46" s="46" t="n">
        <f aca="false">SUMIFS('Additions (monthly)'!$E$2:$E$106,'Additions (monthly)'!$D$2:$D$106,Q$2,'Additions (monthly)'!$B$2:$B$106,"&lt;="&amp;$B46)</f>
        <v>0</v>
      </c>
      <c r="R46" s="46" t="n">
        <f aca="false">SUMIFS('Additions (monthly)'!$E$2:$E$106,'Additions (monthly)'!$D$2:$D$106,R$2,'Additions (monthly)'!$B$2:$B$106,"&lt;="&amp;$B46)</f>
        <v>0</v>
      </c>
      <c r="S46" s="46" t="n">
        <f aca="false">SUMIFS('Additions (monthly)'!$E$2:$E$106,'Additions (monthly)'!$D$2:$D$106,S$2,'Additions (monthly)'!$B$2:$B$106,"&lt;="&amp;$B46)</f>
        <v>7.2</v>
      </c>
      <c r="T46" s="46" t="n">
        <f aca="false">SUMIFS('Additions (monthly)'!$E$2:$E$106,'Additions (monthly)'!$D$2:$D$106,T$2,'Additions (monthly)'!$B$2:$B$106,"&lt;="&amp;$B46)</f>
        <v>0</v>
      </c>
      <c r="U46" s="46" t="n">
        <f aca="false">SUMIFS('Additions (monthly)'!$E$2:$E$106,'Additions (monthly)'!$D$2:$D$106,U$2,'Additions (monthly)'!$B$2:$B$106,"&lt;="&amp;$B46)</f>
        <v>0</v>
      </c>
      <c r="V46" s="46" t="n">
        <f aca="false">SUMIFS('Additions (monthly)'!$E$2:$E$106,'Additions (monthly)'!$D$2:$D$106,V$2,'Additions (monthly)'!$B$2:$B$106,"&lt;="&amp;$B46)</f>
        <v>3.87</v>
      </c>
      <c r="W46" s="46" t="n">
        <f aca="false">SUMIFS('Additions (monthly)'!$E$2:$E$106,'Additions (monthly)'!$D$2:$D$106,W$2,'Additions (monthly)'!$B$2:$B$106,"&lt;="&amp;$B46)</f>
        <v>0</v>
      </c>
      <c r="X46" s="46" t="n">
        <f aca="false">SUMIFS('Additions (monthly)'!$E$2:$E$106,'Additions (monthly)'!$D$2:$D$106,X$2,'Additions (monthly)'!$B$2:$B$106,"&lt;="&amp;$B46)</f>
        <v>0</v>
      </c>
      <c r="Y46" s="46" t="n">
        <f aca="false">SUMIFS('Additions (monthly)'!$E$2:$E$106,'Additions (monthly)'!$D$2:$D$106,Y$2,'Additions (monthly)'!$B$2:$B$106,"&lt;="&amp;$B46)</f>
        <v>5</v>
      </c>
      <c r="Z46" s="46" t="n">
        <f aca="false">SUMIFS('Additions (monthly)'!$E$2:$E$106,'Additions (monthly)'!$D$2:$D$106,Z$2,'Additions (monthly)'!$B$2:$B$106,"&lt;="&amp;$B46)</f>
        <v>7.2</v>
      </c>
      <c r="AA46" s="46" t="n">
        <f aca="false">SUMIFS('Additions (monthly)'!$E$2:$E$106,'Additions (monthly)'!$D$2:$D$106,AA$2,'Additions (monthly)'!$B$2:$B$106,"&lt;="&amp;$B46)</f>
        <v>3.7</v>
      </c>
      <c r="AB46" s="46" t="n">
        <f aca="false">SUMIFS('Additions (monthly)'!$E$2:$E$106,'Additions (monthly)'!$D$2:$D$106,AB$2,'Additions (monthly)'!$B$2:$B$106,"&lt;="&amp;$B46)</f>
        <v>16.95</v>
      </c>
      <c r="AC46" s="46" t="n">
        <f aca="false">SUMIFS('Additions (monthly)'!$E$2:$E$106,'Additions (monthly)'!$D$2:$D$106,AC$2,'Additions (monthly)'!$B$2:$B$106,"&lt;="&amp;$B46)</f>
        <v>0</v>
      </c>
      <c r="AD46" s="46" t="n">
        <f aca="false">SUMIFS('Additions (monthly)'!$E$2:$E$106,'Additions (monthly)'!$D$2:$D$106,AD$2,'Additions (monthly)'!$B$2:$B$106,"&lt;="&amp;$B46)</f>
        <v>7.6</v>
      </c>
      <c r="AE46" s="46" t="n">
        <f aca="false">SUMIFS('Additions (monthly)'!$E$2:$E$106,'Additions (monthly)'!$D$2:$D$106,AE$2,'Additions (monthly)'!$B$2:$B$106,"&lt;="&amp;$B46)</f>
        <v>25.7</v>
      </c>
      <c r="AF46" s="46" t="n">
        <f aca="false">SUMIFS('Additions (monthly)'!$E$2:$E$106,'Additions (monthly)'!$D$2:$D$106,AF$2,'Additions (monthly)'!$B$2:$B$106,"&lt;="&amp;$B46)</f>
        <v>0</v>
      </c>
      <c r="AG46" s="46" t="n">
        <f aca="false">SUMIFS('Additions (monthly)'!$E$2:$E$106,'Additions (monthly)'!$D$2:$D$106,AG$2,'Additions (monthly)'!$B$2:$B$106,"&lt;="&amp;$B46)</f>
        <v>0</v>
      </c>
      <c r="AH46" s="46" t="n">
        <f aca="false">SUMIFS('Additions (monthly)'!$E$2:$E$106,'Additions (monthly)'!$D$2:$D$106,AH$2,'Additions (monthly)'!$B$2:$B$106,"&lt;="&amp;$B46)</f>
        <v>0</v>
      </c>
      <c r="AI46" s="46" t="n">
        <f aca="false">SUMIFS('Additions (monthly)'!$E$2:$E$106,'Additions (monthly)'!$D$2:$D$106,AI$2,'Additions (monthly)'!$B$2:$B$106,"&lt;="&amp;$B46)</f>
        <v>0</v>
      </c>
      <c r="AJ46" s="46" t="n">
        <f aca="false">SUMIFS('Additions (monthly)'!$E$2:$E$106,'Additions (monthly)'!$D$2:$D$106,AJ$2,'Additions (monthly)'!$B$2:$B$106,"&lt;="&amp;$B46)</f>
        <v>0</v>
      </c>
      <c r="AK46" s="46" t="n">
        <f aca="false">SUMIFS('Additions (monthly)'!$E$2:$E$106,'Additions (monthly)'!$D$2:$D$106,AK$2,'Additions (monthly)'!$B$2:$B$106,"&lt;="&amp;$B46)</f>
        <v>0</v>
      </c>
      <c r="AL46" s="46" t="n">
        <f aca="false">SUMIFS('Additions (monthly)'!$E$2:$E$106,'Additions (monthly)'!$D$2:$D$106,AL$2,'Additions (monthly)'!$B$2:$B$106,"&lt;="&amp;$B46)</f>
        <v>22.2</v>
      </c>
      <c r="AM46" s="46" t="n">
        <f aca="false">SUMIFS('Additions (monthly)'!$E$2:$E$106,'Additions (monthly)'!$D$2:$D$106,AM$2,'Additions (monthly)'!$B$2:$B$106,"&lt;="&amp;$B46)</f>
        <v>0.3</v>
      </c>
      <c r="AN46" s="46" t="n">
        <f aca="false">SUMIFS('Additions (monthly)'!$E$2:$E$106,'Additions (monthly)'!$D$2:$D$106,AN$2,'Additions (monthly)'!$B$2:$B$106,"&lt;="&amp;$B46)</f>
        <v>4.3</v>
      </c>
      <c r="AO46" s="46" t="n">
        <f aca="false">SUMIFS('Additions (monthly)'!$E$2:$E$106,'Additions (monthly)'!$D$2:$D$106,AO$2,'Additions (monthly)'!$B$2:$B$106,"&lt;="&amp;$B46)</f>
        <v>10.4</v>
      </c>
      <c r="AP46" s="46" t="n">
        <f aca="false">SUMIFS('Additions (monthly)'!$E$2:$E$106,'Additions (monthly)'!$D$2:$D$106,AP$2,'Additions (monthly)'!$B$2:$B$106,"&lt;="&amp;$B46)</f>
        <v>0</v>
      </c>
      <c r="AQ46" s="46" t="n">
        <f aca="false">SUMIFS('Additions (monthly)'!$E$2:$E$106,'Additions (monthly)'!$D$2:$D$106,AQ$2,'Additions (monthly)'!$B$2:$B$106,"&lt;="&amp;$B46)</f>
        <v>4.45</v>
      </c>
      <c r="AR46" s="46" t="n">
        <f aca="false">SUMIFS('Additions (monthly)'!$E$2:$E$106,'Additions (monthly)'!$D$2:$D$106,AR$2,'Additions (monthly)'!$B$2:$B$106,"&lt;="&amp;$B46)</f>
        <v>77.1</v>
      </c>
      <c r="AS46" s="46" t="n">
        <f aca="false">SUMIFS('Additions (monthly)'!$E$2:$E$106,'Additions (monthly)'!$D$2:$D$106,AS$2,'Additions (monthly)'!$B$2:$B$106,"&lt;="&amp;$B46)</f>
        <v>0</v>
      </c>
      <c r="AT46" s="46" t="n">
        <f aca="false">SUMIFS('Additions (monthly)'!$E$2:$E$106,'Additions (monthly)'!$D$2:$D$106,AT$2,'Additions (monthly)'!$B$2:$B$106,"&lt;="&amp;$B46)</f>
        <v>0</v>
      </c>
      <c r="AU46" s="46" t="n">
        <f aca="false">SUMIFS('Additions (monthly)'!$E$2:$E$106,'Additions (monthly)'!$D$2:$D$106,AU$2,'Additions (monthly)'!$B$2:$B$106,"&lt;="&amp;$B46)</f>
        <v>9.6</v>
      </c>
      <c r="AV46" s="46" t="n">
        <f aca="false">SUMIFS('Additions (monthly)'!$E$2:$E$106,'Additions (monthly)'!$D$2:$D$106,AV$2,'Additions (monthly)'!$B$2:$B$106,"&lt;="&amp;$B46)</f>
        <v>0</v>
      </c>
      <c r="AW46" s="46" t="n">
        <f aca="false">SUMIFS('Additions (monthly)'!$E$2:$E$106,'Additions (monthly)'!$D$2:$D$106,AW$2,'Additions (monthly)'!$B$2:$B$106,"&lt;="&amp;$B46)</f>
        <v>0</v>
      </c>
      <c r="AX46" s="46" t="n">
        <f aca="false">SUMIFS('Additions (monthly)'!$E$2:$E$106,'Additions (monthly)'!$D$2:$D$106,AX$2,'Additions (monthly)'!$B$2:$B$106,"&lt;="&amp;$B46)</f>
        <v>11.8</v>
      </c>
      <c r="AY46" s="46" t="n">
        <f aca="false">SUMIFS('Additions (monthly)'!$E$2:$E$106,'Additions (monthly)'!$D$2:$D$106,AY$2,'Additions (monthly)'!$B$2:$B$106,"&lt;="&amp;$B46)</f>
        <v>5.3</v>
      </c>
      <c r="AZ46" s="46" t="n">
        <f aca="false">SUMIFS('Additions (monthly)'!$E$2:$E$106,'Additions (monthly)'!$D$2:$D$106,AZ$2,'Additions (monthly)'!$B$2:$B$106,"&lt;="&amp;$B46)</f>
        <v>0</v>
      </c>
      <c r="BA46" s="46" t="n">
        <f aca="false">SUMIFS('Additions (monthly)'!$E$2:$E$106,'Additions (monthly)'!$D$2:$D$106,BA$2,'Additions (monthly)'!$B$2:$B$106,"&lt;="&amp;$B46)</f>
        <v>0</v>
      </c>
      <c r="BB46" s="46" t="n">
        <f aca="false">SUMIFS('Additions (monthly)'!$E$2:$E$106,'Additions (monthly)'!$D$2:$D$106,BB$2,'Additions (monthly)'!$B$2:$B$106,"&lt;="&amp;$B46)</f>
        <v>0</v>
      </c>
      <c r="BC46" s="46" t="n">
        <f aca="false">SUMIFS('Additions (monthly)'!$E$2:$E$106,'Additions (monthly)'!$D$2:$D$106,BC$2,'Additions (monthly)'!$B$2:$B$106,"&lt;="&amp;$B46)</f>
        <v>0</v>
      </c>
      <c r="BD46" s="46" t="n">
        <f aca="false">SUMIFS('Additions (monthly)'!$E$2:$E$106,'Additions (monthly)'!$D$2:$D$106,BD$2,'Additions (monthly)'!$B$2:$B$106,"&lt;="&amp;$B46)</f>
        <v>0</v>
      </c>
      <c r="BE46" s="46" t="n">
        <f aca="false">SUMIFS('Additions (monthly)'!$E$2:$E$106,'Additions (monthly)'!$D$2:$D$106,BE$2,'Additions (monthly)'!$B$2:$B$106,"&lt;="&amp;$B46)</f>
        <v>0</v>
      </c>
      <c r="BF46" s="46" t="n">
        <f aca="false">SUMIFS('Additions (monthly)'!$E$2:$E$106,'Additions (monthly)'!$D$2:$D$106,BF$2,'Additions (monthly)'!$B$2:$B$106,"&lt;="&amp;$B46)</f>
        <v>0</v>
      </c>
      <c r="BG46" s="46" t="n">
        <f aca="false">SUMIFS('Additions (monthly)'!$E$2:$E$106,'Additions (monthly)'!$D$2:$D$106,BG$2,'Additions (monthly)'!$B$2:$B$106,"&lt;="&amp;$B46)</f>
        <v>0</v>
      </c>
      <c r="BH46" s="46" t="n">
        <f aca="false">SUMIFS('Additions (monthly)'!$E$2:$E$106,'Additions (monthly)'!$D$2:$D$106,BH$2,'Additions (monthly)'!$B$2:$B$106,"&lt;="&amp;$B46)</f>
        <v>0</v>
      </c>
      <c r="BI46" s="46" t="n">
        <f aca="false">SUMIFS('Additions (monthly)'!$E$2:$E$106,'Additions (monthly)'!$D$2:$D$106,BI$2,'Additions (monthly)'!$B$2:$B$106,"&lt;="&amp;$B46)</f>
        <v>6.7</v>
      </c>
    </row>
    <row r="47" customFormat="false" ht="15" hidden="false" customHeight="false" outlineLevel="0" collapsed="false">
      <c r="A47" s="44" t="n">
        <v>41518</v>
      </c>
      <c r="B47" s="45" t="n">
        <v>201309</v>
      </c>
      <c r="C47" s="42" t="n">
        <f aca="false">SUMIFS('Additions (monthly)'!$E$2:$E$106,'Additions (monthly)'!$B$2:$B$106,"&lt;="&amp;$B47)</f>
        <v>278.17</v>
      </c>
      <c r="D47" s="46" t="n">
        <f aca="false">SUMIFS('Additions (monthly)'!$E$2:$E$106,'Additions (monthly)'!$D$2:$D$106,D$2,'Additions (monthly)'!$B$2:$B$106,"&lt;="&amp;$B47)</f>
        <v>7.9</v>
      </c>
      <c r="E47" s="46" t="n">
        <f aca="false">SUMIFS('Additions (monthly)'!$E$2:$E$106,'Additions (monthly)'!$D$2:$D$106,E$2,'Additions (monthly)'!$B$2:$B$106,"&lt;="&amp;$B47)</f>
        <v>8.4</v>
      </c>
      <c r="F47" s="46" t="n">
        <f aca="false">SUMIFS('Additions (monthly)'!$E$2:$E$106,'Additions (monthly)'!$D$2:$D$106,F$2,'Additions (monthly)'!$B$2:$B$106,"&lt;="&amp;$B47)</f>
        <v>0</v>
      </c>
      <c r="G47" s="46" t="n">
        <f aca="false">SUMIFS('Additions (monthly)'!$E$2:$E$106,'Additions (monthly)'!$D$2:$D$106,G$2,'Additions (monthly)'!$B$2:$B$106,"&lt;="&amp;$B47)</f>
        <v>4.5</v>
      </c>
      <c r="H47" s="46" t="n">
        <f aca="false">SUMIFS('Additions (monthly)'!$E$2:$E$106,'Additions (monthly)'!$D$2:$D$106,H$2,'Additions (monthly)'!$B$2:$B$106,"&lt;="&amp;$B47)</f>
        <v>5.2</v>
      </c>
      <c r="I47" s="46" t="n">
        <f aca="false">SUMIFS('Additions (monthly)'!$E$2:$E$106,'Additions (monthly)'!$D$2:$D$106,I$2,'Additions (monthly)'!$B$2:$B$106,"&lt;="&amp;$B47)</f>
        <v>0</v>
      </c>
      <c r="J47" s="46" t="n">
        <f aca="false">SUMIFS('Additions (monthly)'!$E$2:$E$106,'Additions (monthly)'!$D$2:$D$106,J$2,'Additions (monthly)'!$B$2:$B$106,"&lt;="&amp;$B47)</f>
        <v>3.7</v>
      </c>
      <c r="K47" s="46" t="n">
        <f aca="false">SUMIFS('Additions (monthly)'!$E$2:$E$106,'Additions (monthly)'!$D$2:$D$106,K$2,'Additions (monthly)'!$B$2:$B$106,"&lt;="&amp;$B47)</f>
        <v>0</v>
      </c>
      <c r="L47" s="46" t="n">
        <f aca="false">SUMIFS('Additions (monthly)'!$E$2:$E$106,'Additions (monthly)'!$D$2:$D$106,L$2,'Additions (monthly)'!$B$2:$B$106,"&lt;="&amp;$B47)</f>
        <v>0</v>
      </c>
      <c r="M47" s="46" t="n">
        <f aca="false">SUMIFS('Additions (monthly)'!$E$2:$E$106,'Additions (monthly)'!$D$2:$D$106,M$2,'Additions (monthly)'!$B$2:$B$106,"&lt;="&amp;$B47)</f>
        <v>0</v>
      </c>
      <c r="N47" s="46" t="n">
        <f aca="false">SUMIFS('Additions (monthly)'!$E$2:$E$106,'Additions (monthly)'!$D$2:$D$106,N$2,'Additions (monthly)'!$B$2:$B$106,"&lt;="&amp;$B47)</f>
        <v>14.2</v>
      </c>
      <c r="O47" s="46" t="n">
        <f aca="false">SUMIFS('Additions (monthly)'!$E$2:$E$106,'Additions (monthly)'!$D$2:$D$106,O$2,'Additions (monthly)'!$B$2:$B$106,"&lt;="&amp;$B47)</f>
        <v>4.9</v>
      </c>
      <c r="P47" s="46" t="n">
        <f aca="false">SUMIFS('Additions (monthly)'!$E$2:$E$106,'Additions (monthly)'!$D$2:$D$106,P$2,'Additions (monthly)'!$B$2:$B$106,"&lt;="&amp;$B47)</f>
        <v>0</v>
      </c>
      <c r="Q47" s="46" t="n">
        <f aca="false">SUMIFS('Additions (monthly)'!$E$2:$E$106,'Additions (monthly)'!$D$2:$D$106,Q$2,'Additions (monthly)'!$B$2:$B$106,"&lt;="&amp;$B47)</f>
        <v>0</v>
      </c>
      <c r="R47" s="46" t="n">
        <f aca="false">SUMIFS('Additions (monthly)'!$E$2:$E$106,'Additions (monthly)'!$D$2:$D$106,R$2,'Additions (monthly)'!$B$2:$B$106,"&lt;="&amp;$B47)</f>
        <v>0</v>
      </c>
      <c r="S47" s="46" t="n">
        <f aca="false">SUMIFS('Additions (monthly)'!$E$2:$E$106,'Additions (monthly)'!$D$2:$D$106,S$2,'Additions (monthly)'!$B$2:$B$106,"&lt;="&amp;$B47)</f>
        <v>7.2</v>
      </c>
      <c r="T47" s="46" t="n">
        <f aca="false">SUMIFS('Additions (monthly)'!$E$2:$E$106,'Additions (monthly)'!$D$2:$D$106,T$2,'Additions (monthly)'!$B$2:$B$106,"&lt;="&amp;$B47)</f>
        <v>0</v>
      </c>
      <c r="U47" s="46" t="n">
        <f aca="false">SUMIFS('Additions (monthly)'!$E$2:$E$106,'Additions (monthly)'!$D$2:$D$106,U$2,'Additions (monthly)'!$B$2:$B$106,"&lt;="&amp;$B47)</f>
        <v>0</v>
      </c>
      <c r="V47" s="46" t="n">
        <f aca="false">SUMIFS('Additions (monthly)'!$E$2:$E$106,'Additions (monthly)'!$D$2:$D$106,V$2,'Additions (monthly)'!$B$2:$B$106,"&lt;="&amp;$B47)</f>
        <v>3.87</v>
      </c>
      <c r="W47" s="46" t="n">
        <f aca="false">SUMIFS('Additions (monthly)'!$E$2:$E$106,'Additions (monthly)'!$D$2:$D$106,W$2,'Additions (monthly)'!$B$2:$B$106,"&lt;="&amp;$B47)</f>
        <v>0</v>
      </c>
      <c r="X47" s="46" t="n">
        <f aca="false">SUMIFS('Additions (monthly)'!$E$2:$E$106,'Additions (monthly)'!$D$2:$D$106,X$2,'Additions (monthly)'!$B$2:$B$106,"&lt;="&amp;$B47)</f>
        <v>0</v>
      </c>
      <c r="Y47" s="46" t="n">
        <f aca="false">SUMIFS('Additions (monthly)'!$E$2:$E$106,'Additions (monthly)'!$D$2:$D$106,Y$2,'Additions (monthly)'!$B$2:$B$106,"&lt;="&amp;$B47)</f>
        <v>5</v>
      </c>
      <c r="Z47" s="46" t="n">
        <f aca="false">SUMIFS('Additions (monthly)'!$E$2:$E$106,'Additions (monthly)'!$D$2:$D$106,Z$2,'Additions (monthly)'!$B$2:$B$106,"&lt;="&amp;$B47)</f>
        <v>7.2</v>
      </c>
      <c r="AA47" s="46" t="n">
        <f aca="false">SUMIFS('Additions (monthly)'!$E$2:$E$106,'Additions (monthly)'!$D$2:$D$106,AA$2,'Additions (monthly)'!$B$2:$B$106,"&lt;="&amp;$B47)</f>
        <v>3.7</v>
      </c>
      <c r="AB47" s="46" t="n">
        <f aca="false">SUMIFS('Additions (monthly)'!$E$2:$E$106,'Additions (monthly)'!$D$2:$D$106,AB$2,'Additions (monthly)'!$B$2:$B$106,"&lt;="&amp;$B47)</f>
        <v>16.95</v>
      </c>
      <c r="AC47" s="46" t="n">
        <f aca="false">SUMIFS('Additions (monthly)'!$E$2:$E$106,'Additions (monthly)'!$D$2:$D$106,AC$2,'Additions (monthly)'!$B$2:$B$106,"&lt;="&amp;$B47)</f>
        <v>0</v>
      </c>
      <c r="AD47" s="46" t="n">
        <f aca="false">SUMIFS('Additions (monthly)'!$E$2:$E$106,'Additions (monthly)'!$D$2:$D$106,AD$2,'Additions (monthly)'!$B$2:$B$106,"&lt;="&amp;$B47)</f>
        <v>7.6</v>
      </c>
      <c r="AE47" s="46" t="n">
        <f aca="false">SUMIFS('Additions (monthly)'!$E$2:$E$106,'Additions (monthly)'!$D$2:$D$106,AE$2,'Additions (monthly)'!$B$2:$B$106,"&lt;="&amp;$B47)</f>
        <v>25.7</v>
      </c>
      <c r="AF47" s="46" t="n">
        <f aca="false">SUMIFS('Additions (monthly)'!$E$2:$E$106,'Additions (monthly)'!$D$2:$D$106,AF$2,'Additions (monthly)'!$B$2:$B$106,"&lt;="&amp;$B47)</f>
        <v>0</v>
      </c>
      <c r="AG47" s="46" t="n">
        <f aca="false">SUMIFS('Additions (monthly)'!$E$2:$E$106,'Additions (monthly)'!$D$2:$D$106,AG$2,'Additions (monthly)'!$B$2:$B$106,"&lt;="&amp;$B47)</f>
        <v>0</v>
      </c>
      <c r="AH47" s="46" t="n">
        <f aca="false">SUMIFS('Additions (monthly)'!$E$2:$E$106,'Additions (monthly)'!$D$2:$D$106,AH$2,'Additions (monthly)'!$B$2:$B$106,"&lt;="&amp;$B47)</f>
        <v>0</v>
      </c>
      <c r="AI47" s="46" t="n">
        <f aca="false">SUMIFS('Additions (monthly)'!$E$2:$E$106,'Additions (monthly)'!$D$2:$D$106,AI$2,'Additions (monthly)'!$B$2:$B$106,"&lt;="&amp;$B47)</f>
        <v>0</v>
      </c>
      <c r="AJ47" s="46" t="n">
        <f aca="false">SUMIFS('Additions (monthly)'!$E$2:$E$106,'Additions (monthly)'!$D$2:$D$106,AJ$2,'Additions (monthly)'!$B$2:$B$106,"&lt;="&amp;$B47)</f>
        <v>0</v>
      </c>
      <c r="AK47" s="46" t="n">
        <f aca="false">SUMIFS('Additions (monthly)'!$E$2:$E$106,'Additions (monthly)'!$D$2:$D$106,AK$2,'Additions (monthly)'!$B$2:$B$106,"&lt;="&amp;$B47)</f>
        <v>0</v>
      </c>
      <c r="AL47" s="46" t="n">
        <f aca="false">SUMIFS('Additions (monthly)'!$E$2:$E$106,'Additions (monthly)'!$D$2:$D$106,AL$2,'Additions (monthly)'!$B$2:$B$106,"&lt;="&amp;$B47)</f>
        <v>22.2</v>
      </c>
      <c r="AM47" s="46" t="n">
        <f aca="false">SUMIFS('Additions (monthly)'!$E$2:$E$106,'Additions (monthly)'!$D$2:$D$106,AM$2,'Additions (monthly)'!$B$2:$B$106,"&lt;="&amp;$B47)</f>
        <v>0.3</v>
      </c>
      <c r="AN47" s="46" t="n">
        <f aca="false">SUMIFS('Additions (monthly)'!$E$2:$E$106,'Additions (monthly)'!$D$2:$D$106,AN$2,'Additions (monthly)'!$B$2:$B$106,"&lt;="&amp;$B47)</f>
        <v>4.3</v>
      </c>
      <c r="AO47" s="46" t="n">
        <f aca="false">SUMIFS('Additions (monthly)'!$E$2:$E$106,'Additions (monthly)'!$D$2:$D$106,AO$2,'Additions (monthly)'!$B$2:$B$106,"&lt;="&amp;$B47)</f>
        <v>10.4</v>
      </c>
      <c r="AP47" s="46" t="n">
        <f aca="false">SUMIFS('Additions (monthly)'!$E$2:$E$106,'Additions (monthly)'!$D$2:$D$106,AP$2,'Additions (monthly)'!$B$2:$B$106,"&lt;="&amp;$B47)</f>
        <v>0</v>
      </c>
      <c r="AQ47" s="46" t="n">
        <f aca="false">SUMIFS('Additions (monthly)'!$E$2:$E$106,'Additions (monthly)'!$D$2:$D$106,AQ$2,'Additions (monthly)'!$B$2:$B$106,"&lt;="&amp;$B47)</f>
        <v>4.45</v>
      </c>
      <c r="AR47" s="46" t="n">
        <f aca="false">SUMIFS('Additions (monthly)'!$E$2:$E$106,'Additions (monthly)'!$D$2:$D$106,AR$2,'Additions (monthly)'!$B$2:$B$106,"&lt;="&amp;$B47)</f>
        <v>77.1</v>
      </c>
      <c r="AS47" s="46" t="n">
        <f aca="false">SUMIFS('Additions (monthly)'!$E$2:$E$106,'Additions (monthly)'!$D$2:$D$106,AS$2,'Additions (monthly)'!$B$2:$B$106,"&lt;="&amp;$B47)</f>
        <v>0</v>
      </c>
      <c r="AT47" s="46" t="n">
        <f aca="false">SUMIFS('Additions (monthly)'!$E$2:$E$106,'Additions (monthly)'!$D$2:$D$106,AT$2,'Additions (monthly)'!$B$2:$B$106,"&lt;="&amp;$B47)</f>
        <v>0</v>
      </c>
      <c r="AU47" s="46" t="n">
        <f aca="false">SUMIFS('Additions (monthly)'!$E$2:$E$106,'Additions (monthly)'!$D$2:$D$106,AU$2,'Additions (monthly)'!$B$2:$B$106,"&lt;="&amp;$B47)</f>
        <v>9.6</v>
      </c>
      <c r="AV47" s="46" t="n">
        <f aca="false">SUMIFS('Additions (monthly)'!$E$2:$E$106,'Additions (monthly)'!$D$2:$D$106,AV$2,'Additions (monthly)'!$B$2:$B$106,"&lt;="&amp;$B47)</f>
        <v>0</v>
      </c>
      <c r="AW47" s="46" t="n">
        <f aca="false">SUMIFS('Additions (monthly)'!$E$2:$E$106,'Additions (monthly)'!$D$2:$D$106,AW$2,'Additions (monthly)'!$B$2:$B$106,"&lt;="&amp;$B47)</f>
        <v>0</v>
      </c>
      <c r="AX47" s="46" t="n">
        <f aca="false">SUMIFS('Additions (monthly)'!$E$2:$E$106,'Additions (monthly)'!$D$2:$D$106,AX$2,'Additions (monthly)'!$B$2:$B$106,"&lt;="&amp;$B47)</f>
        <v>11.8</v>
      </c>
      <c r="AY47" s="46" t="n">
        <f aca="false">SUMIFS('Additions (monthly)'!$E$2:$E$106,'Additions (monthly)'!$D$2:$D$106,AY$2,'Additions (monthly)'!$B$2:$B$106,"&lt;="&amp;$B47)</f>
        <v>5.3</v>
      </c>
      <c r="AZ47" s="46" t="n">
        <f aca="false">SUMIFS('Additions (monthly)'!$E$2:$E$106,'Additions (monthly)'!$D$2:$D$106,AZ$2,'Additions (monthly)'!$B$2:$B$106,"&lt;="&amp;$B47)</f>
        <v>0</v>
      </c>
      <c r="BA47" s="46" t="n">
        <f aca="false">SUMIFS('Additions (monthly)'!$E$2:$E$106,'Additions (monthly)'!$D$2:$D$106,BA$2,'Additions (monthly)'!$B$2:$B$106,"&lt;="&amp;$B47)</f>
        <v>0</v>
      </c>
      <c r="BB47" s="46" t="n">
        <f aca="false">SUMIFS('Additions (monthly)'!$E$2:$E$106,'Additions (monthly)'!$D$2:$D$106,BB$2,'Additions (monthly)'!$B$2:$B$106,"&lt;="&amp;$B47)</f>
        <v>0</v>
      </c>
      <c r="BC47" s="46" t="n">
        <f aca="false">SUMIFS('Additions (monthly)'!$E$2:$E$106,'Additions (monthly)'!$D$2:$D$106,BC$2,'Additions (monthly)'!$B$2:$B$106,"&lt;="&amp;$B47)</f>
        <v>0</v>
      </c>
      <c r="BD47" s="46" t="n">
        <f aca="false">SUMIFS('Additions (monthly)'!$E$2:$E$106,'Additions (monthly)'!$D$2:$D$106,BD$2,'Additions (monthly)'!$B$2:$B$106,"&lt;="&amp;$B47)</f>
        <v>0</v>
      </c>
      <c r="BE47" s="46" t="n">
        <f aca="false">SUMIFS('Additions (monthly)'!$E$2:$E$106,'Additions (monthly)'!$D$2:$D$106,BE$2,'Additions (monthly)'!$B$2:$B$106,"&lt;="&amp;$B47)</f>
        <v>0</v>
      </c>
      <c r="BF47" s="46" t="n">
        <f aca="false">SUMIFS('Additions (monthly)'!$E$2:$E$106,'Additions (monthly)'!$D$2:$D$106,BF$2,'Additions (monthly)'!$B$2:$B$106,"&lt;="&amp;$B47)</f>
        <v>0</v>
      </c>
      <c r="BG47" s="46" t="n">
        <f aca="false">SUMIFS('Additions (monthly)'!$E$2:$E$106,'Additions (monthly)'!$D$2:$D$106,BG$2,'Additions (monthly)'!$B$2:$B$106,"&lt;="&amp;$B47)</f>
        <v>0</v>
      </c>
      <c r="BH47" s="46" t="n">
        <f aca="false">SUMIFS('Additions (monthly)'!$E$2:$E$106,'Additions (monthly)'!$D$2:$D$106,BH$2,'Additions (monthly)'!$B$2:$B$106,"&lt;="&amp;$B47)</f>
        <v>0</v>
      </c>
      <c r="BI47" s="46" t="n">
        <f aca="false">SUMIFS('Additions (monthly)'!$E$2:$E$106,'Additions (monthly)'!$D$2:$D$106,BI$2,'Additions (monthly)'!$B$2:$B$106,"&lt;="&amp;$B47)</f>
        <v>6.7</v>
      </c>
    </row>
    <row r="48" customFormat="false" ht="15" hidden="false" customHeight="false" outlineLevel="0" collapsed="false">
      <c r="A48" s="44" t="n">
        <v>41548</v>
      </c>
      <c r="B48" s="45" t="n">
        <v>201310</v>
      </c>
      <c r="C48" s="42" t="n">
        <f aca="false">SUMIFS('Additions (monthly)'!$E$2:$E$106,'Additions (monthly)'!$B$2:$B$106,"&lt;="&amp;$B48)</f>
        <v>278.17</v>
      </c>
      <c r="D48" s="46" t="n">
        <f aca="false">SUMIFS('Additions (monthly)'!$E$2:$E$106,'Additions (monthly)'!$D$2:$D$106,D$2,'Additions (monthly)'!$B$2:$B$106,"&lt;="&amp;$B48)</f>
        <v>7.9</v>
      </c>
      <c r="E48" s="46" t="n">
        <f aca="false">SUMIFS('Additions (monthly)'!$E$2:$E$106,'Additions (monthly)'!$D$2:$D$106,E$2,'Additions (monthly)'!$B$2:$B$106,"&lt;="&amp;$B48)</f>
        <v>8.4</v>
      </c>
      <c r="F48" s="46" t="n">
        <f aca="false">SUMIFS('Additions (monthly)'!$E$2:$E$106,'Additions (monthly)'!$D$2:$D$106,F$2,'Additions (monthly)'!$B$2:$B$106,"&lt;="&amp;$B48)</f>
        <v>0</v>
      </c>
      <c r="G48" s="46" t="n">
        <f aca="false">SUMIFS('Additions (monthly)'!$E$2:$E$106,'Additions (monthly)'!$D$2:$D$106,G$2,'Additions (monthly)'!$B$2:$B$106,"&lt;="&amp;$B48)</f>
        <v>4.5</v>
      </c>
      <c r="H48" s="46" t="n">
        <f aca="false">SUMIFS('Additions (monthly)'!$E$2:$E$106,'Additions (monthly)'!$D$2:$D$106,H$2,'Additions (monthly)'!$B$2:$B$106,"&lt;="&amp;$B48)</f>
        <v>5.2</v>
      </c>
      <c r="I48" s="46" t="n">
        <f aca="false">SUMIFS('Additions (monthly)'!$E$2:$E$106,'Additions (monthly)'!$D$2:$D$106,I$2,'Additions (monthly)'!$B$2:$B$106,"&lt;="&amp;$B48)</f>
        <v>0</v>
      </c>
      <c r="J48" s="46" t="n">
        <f aca="false">SUMIFS('Additions (monthly)'!$E$2:$E$106,'Additions (monthly)'!$D$2:$D$106,J$2,'Additions (monthly)'!$B$2:$B$106,"&lt;="&amp;$B48)</f>
        <v>3.7</v>
      </c>
      <c r="K48" s="46" t="n">
        <f aca="false">SUMIFS('Additions (monthly)'!$E$2:$E$106,'Additions (monthly)'!$D$2:$D$106,K$2,'Additions (monthly)'!$B$2:$B$106,"&lt;="&amp;$B48)</f>
        <v>0</v>
      </c>
      <c r="L48" s="46" t="n">
        <f aca="false">SUMIFS('Additions (monthly)'!$E$2:$E$106,'Additions (monthly)'!$D$2:$D$106,L$2,'Additions (monthly)'!$B$2:$B$106,"&lt;="&amp;$B48)</f>
        <v>0</v>
      </c>
      <c r="M48" s="46" t="n">
        <f aca="false">SUMIFS('Additions (monthly)'!$E$2:$E$106,'Additions (monthly)'!$D$2:$D$106,M$2,'Additions (monthly)'!$B$2:$B$106,"&lt;="&amp;$B48)</f>
        <v>0</v>
      </c>
      <c r="N48" s="46" t="n">
        <f aca="false">SUMIFS('Additions (monthly)'!$E$2:$E$106,'Additions (monthly)'!$D$2:$D$106,N$2,'Additions (monthly)'!$B$2:$B$106,"&lt;="&amp;$B48)</f>
        <v>14.2</v>
      </c>
      <c r="O48" s="46" t="n">
        <f aca="false">SUMIFS('Additions (monthly)'!$E$2:$E$106,'Additions (monthly)'!$D$2:$D$106,O$2,'Additions (monthly)'!$B$2:$B$106,"&lt;="&amp;$B48)</f>
        <v>4.9</v>
      </c>
      <c r="P48" s="46" t="n">
        <f aca="false">SUMIFS('Additions (monthly)'!$E$2:$E$106,'Additions (monthly)'!$D$2:$D$106,P$2,'Additions (monthly)'!$B$2:$B$106,"&lt;="&amp;$B48)</f>
        <v>0</v>
      </c>
      <c r="Q48" s="46" t="n">
        <f aca="false">SUMIFS('Additions (monthly)'!$E$2:$E$106,'Additions (monthly)'!$D$2:$D$106,Q$2,'Additions (monthly)'!$B$2:$B$106,"&lt;="&amp;$B48)</f>
        <v>0</v>
      </c>
      <c r="R48" s="46" t="n">
        <f aca="false">SUMIFS('Additions (monthly)'!$E$2:$E$106,'Additions (monthly)'!$D$2:$D$106,R$2,'Additions (monthly)'!$B$2:$B$106,"&lt;="&amp;$B48)</f>
        <v>0</v>
      </c>
      <c r="S48" s="46" t="n">
        <f aca="false">SUMIFS('Additions (monthly)'!$E$2:$E$106,'Additions (monthly)'!$D$2:$D$106,S$2,'Additions (monthly)'!$B$2:$B$106,"&lt;="&amp;$B48)</f>
        <v>7.2</v>
      </c>
      <c r="T48" s="46" t="n">
        <f aca="false">SUMIFS('Additions (monthly)'!$E$2:$E$106,'Additions (monthly)'!$D$2:$D$106,T$2,'Additions (monthly)'!$B$2:$B$106,"&lt;="&amp;$B48)</f>
        <v>0</v>
      </c>
      <c r="U48" s="46" t="n">
        <f aca="false">SUMIFS('Additions (monthly)'!$E$2:$E$106,'Additions (monthly)'!$D$2:$D$106,U$2,'Additions (monthly)'!$B$2:$B$106,"&lt;="&amp;$B48)</f>
        <v>0</v>
      </c>
      <c r="V48" s="46" t="n">
        <f aca="false">SUMIFS('Additions (monthly)'!$E$2:$E$106,'Additions (monthly)'!$D$2:$D$106,V$2,'Additions (monthly)'!$B$2:$B$106,"&lt;="&amp;$B48)</f>
        <v>3.87</v>
      </c>
      <c r="W48" s="46" t="n">
        <f aca="false">SUMIFS('Additions (monthly)'!$E$2:$E$106,'Additions (monthly)'!$D$2:$D$106,W$2,'Additions (monthly)'!$B$2:$B$106,"&lt;="&amp;$B48)</f>
        <v>0</v>
      </c>
      <c r="X48" s="46" t="n">
        <f aca="false">SUMIFS('Additions (monthly)'!$E$2:$E$106,'Additions (monthly)'!$D$2:$D$106,X$2,'Additions (monthly)'!$B$2:$B$106,"&lt;="&amp;$B48)</f>
        <v>0</v>
      </c>
      <c r="Y48" s="46" t="n">
        <f aca="false">SUMIFS('Additions (monthly)'!$E$2:$E$106,'Additions (monthly)'!$D$2:$D$106,Y$2,'Additions (monthly)'!$B$2:$B$106,"&lt;="&amp;$B48)</f>
        <v>5</v>
      </c>
      <c r="Z48" s="46" t="n">
        <f aca="false">SUMIFS('Additions (monthly)'!$E$2:$E$106,'Additions (monthly)'!$D$2:$D$106,Z$2,'Additions (monthly)'!$B$2:$B$106,"&lt;="&amp;$B48)</f>
        <v>7.2</v>
      </c>
      <c r="AA48" s="46" t="n">
        <f aca="false">SUMIFS('Additions (monthly)'!$E$2:$E$106,'Additions (monthly)'!$D$2:$D$106,AA$2,'Additions (monthly)'!$B$2:$B$106,"&lt;="&amp;$B48)</f>
        <v>3.7</v>
      </c>
      <c r="AB48" s="46" t="n">
        <f aca="false">SUMIFS('Additions (monthly)'!$E$2:$E$106,'Additions (monthly)'!$D$2:$D$106,AB$2,'Additions (monthly)'!$B$2:$B$106,"&lt;="&amp;$B48)</f>
        <v>16.95</v>
      </c>
      <c r="AC48" s="46" t="n">
        <f aca="false">SUMIFS('Additions (monthly)'!$E$2:$E$106,'Additions (monthly)'!$D$2:$D$106,AC$2,'Additions (monthly)'!$B$2:$B$106,"&lt;="&amp;$B48)</f>
        <v>0</v>
      </c>
      <c r="AD48" s="46" t="n">
        <f aca="false">SUMIFS('Additions (monthly)'!$E$2:$E$106,'Additions (monthly)'!$D$2:$D$106,AD$2,'Additions (monthly)'!$B$2:$B$106,"&lt;="&amp;$B48)</f>
        <v>7.6</v>
      </c>
      <c r="AE48" s="46" t="n">
        <f aca="false">SUMIFS('Additions (monthly)'!$E$2:$E$106,'Additions (monthly)'!$D$2:$D$106,AE$2,'Additions (monthly)'!$B$2:$B$106,"&lt;="&amp;$B48)</f>
        <v>25.7</v>
      </c>
      <c r="AF48" s="46" t="n">
        <f aca="false">SUMIFS('Additions (monthly)'!$E$2:$E$106,'Additions (monthly)'!$D$2:$D$106,AF$2,'Additions (monthly)'!$B$2:$B$106,"&lt;="&amp;$B48)</f>
        <v>0</v>
      </c>
      <c r="AG48" s="46" t="n">
        <f aca="false">SUMIFS('Additions (monthly)'!$E$2:$E$106,'Additions (monthly)'!$D$2:$D$106,AG$2,'Additions (monthly)'!$B$2:$B$106,"&lt;="&amp;$B48)</f>
        <v>0</v>
      </c>
      <c r="AH48" s="46" t="n">
        <f aca="false">SUMIFS('Additions (monthly)'!$E$2:$E$106,'Additions (monthly)'!$D$2:$D$106,AH$2,'Additions (monthly)'!$B$2:$B$106,"&lt;="&amp;$B48)</f>
        <v>0</v>
      </c>
      <c r="AI48" s="46" t="n">
        <f aca="false">SUMIFS('Additions (monthly)'!$E$2:$E$106,'Additions (monthly)'!$D$2:$D$106,AI$2,'Additions (monthly)'!$B$2:$B$106,"&lt;="&amp;$B48)</f>
        <v>0</v>
      </c>
      <c r="AJ48" s="46" t="n">
        <f aca="false">SUMIFS('Additions (monthly)'!$E$2:$E$106,'Additions (monthly)'!$D$2:$D$106,AJ$2,'Additions (monthly)'!$B$2:$B$106,"&lt;="&amp;$B48)</f>
        <v>0</v>
      </c>
      <c r="AK48" s="46" t="n">
        <f aca="false">SUMIFS('Additions (monthly)'!$E$2:$E$106,'Additions (monthly)'!$D$2:$D$106,AK$2,'Additions (monthly)'!$B$2:$B$106,"&lt;="&amp;$B48)</f>
        <v>0</v>
      </c>
      <c r="AL48" s="46" t="n">
        <f aca="false">SUMIFS('Additions (monthly)'!$E$2:$E$106,'Additions (monthly)'!$D$2:$D$106,AL$2,'Additions (monthly)'!$B$2:$B$106,"&lt;="&amp;$B48)</f>
        <v>22.2</v>
      </c>
      <c r="AM48" s="46" t="n">
        <f aca="false">SUMIFS('Additions (monthly)'!$E$2:$E$106,'Additions (monthly)'!$D$2:$D$106,AM$2,'Additions (monthly)'!$B$2:$B$106,"&lt;="&amp;$B48)</f>
        <v>0.3</v>
      </c>
      <c r="AN48" s="46" t="n">
        <f aca="false">SUMIFS('Additions (monthly)'!$E$2:$E$106,'Additions (monthly)'!$D$2:$D$106,AN$2,'Additions (monthly)'!$B$2:$B$106,"&lt;="&amp;$B48)</f>
        <v>4.3</v>
      </c>
      <c r="AO48" s="46" t="n">
        <f aca="false">SUMIFS('Additions (monthly)'!$E$2:$E$106,'Additions (monthly)'!$D$2:$D$106,AO$2,'Additions (monthly)'!$B$2:$B$106,"&lt;="&amp;$B48)</f>
        <v>10.4</v>
      </c>
      <c r="AP48" s="46" t="n">
        <f aca="false">SUMIFS('Additions (monthly)'!$E$2:$E$106,'Additions (monthly)'!$D$2:$D$106,AP$2,'Additions (monthly)'!$B$2:$B$106,"&lt;="&amp;$B48)</f>
        <v>0</v>
      </c>
      <c r="AQ48" s="46" t="n">
        <f aca="false">SUMIFS('Additions (monthly)'!$E$2:$E$106,'Additions (monthly)'!$D$2:$D$106,AQ$2,'Additions (monthly)'!$B$2:$B$106,"&lt;="&amp;$B48)</f>
        <v>4.45</v>
      </c>
      <c r="AR48" s="46" t="n">
        <f aca="false">SUMIFS('Additions (monthly)'!$E$2:$E$106,'Additions (monthly)'!$D$2:$D$106,AR$2,'Additions (monthly)'!$B$2:$B$106,"&lt;="&amp;$B48)</f>
        <v>77.1</v>
      </c>
      <c r="AS48" s="46" t="n">
        <f aca="false">SUMIFS('Additions (monthly)'!$E$2:$E$106,'Additions (monthly)'!$D$2:$D$106,AS$2,'Additions (monthly)'!$B$2:$B$106,"&lt;="&amp;$B48)</f>
        <v>0</v>
      </c>
      <c r="AT48" s="46" t="n">
        <f aca="false">SUMIFS('Additions (monthly)'!$E$2:$E$106,'Additions (monthly)'!$D$2:$D$106,AT$2,'Additions (monthly)'!$B$2:$B$106,"&lt;="&amp;$B48)</f>
        <v>0</v>
      </c>
      <c r="AU48" s="46" t="n">
        <f aca="false">SUMIFS('Additions (monthly)'!$E$2:$E$106,'Additions (monthly)'!$D$2:$D$106,AU$2,'Additions (monthly)'!$B$2:$B$106,"&lt;="&amp;$B48)</f>
        <v>9.6</v>
      </c>
      <c r="AV48" s="46" t="n">
        <f aca="false">SUMIFS('Additions (monthly)'!$E$2:$E$106,'Additions (monthly)'!$D$2:$D$106,AV$2,'Additions (monthly)'!$B$2:$B$106,"&lt;="&amp;$B48)</f>
        <v>0</v>
      </c>
      <c r="AW48" s="46" t="n">
        <f aca="false">SUMIFS('Additions (monthly)'!$E$2:$E$106,'Additions (monthly)'!$D$2:$D$106,AW$2,'Additions (monthly)'!$B$2:$B$106,"&lt;="&amp;$B48)</f>
        <v>0</v>
      </c>
      <c r="AX48" s="46" t="n">
        <f aca="false">SUMIFS('Additions (monthly)'!$E$2:$E$106,'Additions (monthly)'!$D$2:$D$106,AX$2,'Additions (monthly)'!$B$2:$B$106,"&lt;="&amp;$B48)</f>
        <v>11.8</v>
      </c>
      <c r="AY48" s="46" t="n">
        <f aca="false">SUMIFS('Additions (monthly)'!$E$2:$E$106,'Additions (monthly)'!$D$2:$D$106,AY$2,'Additions (monthly)'!$B$2:$B$106,"&lt;="&amp;$B48)</f>
        <v>5.3</v>
      </c>
      <c r="AZ48" s="46" t="n">
        <f aca="false">SUMIFS('Additions (monthly)'!$E$2:$E$106,'Additions (monthly)'!$D$2:$D$106,AZ$2,'Additions (monthly)'!$B$2:$B$106,"&lt;="&amp;$B48)</f>
        <v>0</v>
      </c>
      <c r="BA48" s="46" t="n">
        <f aca="false">SUMIFS('Additions (monthly)'!$E$2:$E$106,'Additions (monthly)'!$D$2:$D$106,BA$2,'Additions (monthly)'!$B$2:$B$106,"&lt;="&amp;$B48)</f>
        <v>0</v>
      </c>
      <c r="BB48" s="46" t="n">
        <f aca="false">SUMIFS('Additions (monthly)'!$E$2:$E$106,'Additions (monthly)'!$D$2:$D$106,BB$2,'Additions (monthly)'!$B$2:$B$106,"&lt;="&amp;$B48)</f>
        <v>0</v>
      </c>
      <c r="BC48" s="46" t="n">
        <f aca="false">SUMIFS('Additions (monthly)'!$E$2:$E$106,'Additions (monthly)'!$D$2:$D$106,BC$2,'Additions (monthly)'!$B$2:$B$106,"&lt;="&amp;$B48)</f>
        <v>0</v>
      </c>
      <c r="BD48" s="46" t="n">
        <f aca="false">SUMIFS('Additions (monthly)'!$E$2:$E$106,'Additions (monthly)'!$D$2:$D$106,BD$2,'Additions (monthly)'!$B$2:$B$106,"&lt;="&amp;$B48)</f>
        <v>0</v>
      </c>
      <c r="BE48" s="46" t="n">
        <f aca="false">SUMIFS('Additions (monthly)'!$E$2:$E$106,'Additions (monthly)'!$D$2:$D$106,BE$2,'Additions (monthly)'!$B$2:$B$106,"&lt;="&amp;$B48)</f>
        <v>0</v>
      </c>
      <c r="BF48" s="46" t="n">
        <f aca="false">SUMIFS('Additions (monthly)'!$E$2:$E$106,'Additions (monthly)'!$D$2:$D$106,BF$2,'Additions (monthly)'!$B$2:$B$106,"&lt;="&amp;$B48)</f>
        <v>0</v>
      </c>
      <c r="BG48" s="46" t="n">
        <f aca="false">SUMIFS('Additions (monthly)'!$E$2:$E$106,'Additions (monthly)'!$D$2:$D$106,BG$2,'Additions (monthly)'!$B$2:$B$106,"&lt;="&amp;$B48)</f>
        <v>0</v>
      </c>
      <c r="BH48" s="46" t="n">
        <f aca="false">SUMIFS('Additions (monthly)'!$E$2:$E$106,'Additions (monthly)'!$D$2:$D$106,BH$2,'Additions (monthly)'!$B$2:$B$106,"&lt;="&amp;$B48)</f>
        <v>0</v>
      </c>
      <c r="BI48" s="46" t="n">
        <f aca="false">SUMIFS('Additions (monthly)'!$E$2:$E$106,'Additions (monthly)'!$D$2:$D$106,BI$2,'Additions (monthly)'!$B$2:$B$106,"&lt;="&amp;$B48)</f>
        <v>6.7</v>
      </c>
    </row>
    <row r="49" customFormat="false" ht="15" hidden="false" customHeight="false" outlineLevel="0" collapsed="false">
      <c r="A49" s="44" t="n">
        <v>41579</v>
      </c>
      <c r="B49" s="45" t="n">
        <v>201311</v>
      </c>
      <c r="C49" s="42" t="n">
        <f aca="false">SUMIFS('Additions (monthly)'!$E$2:$E$106,'Additions (monthly)'!$B$2:$B$106,"&lt;="&amp;$B49)</f>
        <v>278.17</v>
      </c>
      <c r="D49" s="46" t="n">
        <f aca="false">SUMIFS('Additions (monthly)'!$E$2:$E$106,'Additions (monthly)'!$D$2:$D$106,D$2,'Additions (monthly)'!$B$2:$B$106,"&lt;="&amp;$B49)</f>
        <v>7.9</v>
      </c>
      <c r="E49" s="46" t="n">
        <f aca="false">SUMIFS('Additions (monthly)'!$E$2:$E$106,'Additions (monthly)'!$D$2:$D$106,E$2,'Additions (monthly)'!$B$2:$B$106,"&lt;="&amp;$B49)</f>
        <v>8.4</v>
      </c>
      <c r="F49" s="46" t="n">
        <f aca="false">SUMIFS('Additions (monthly)'!$E$2:$E$106,'Additions (monthly)'!$D$2:$D$106,F$2,'Additions (monthly)'!$B$2:$B$106,"&lt;="&amp;$B49)</f>
        <v>0</v>
      </c>
      <c r="G49" s="46" t="n">
        <f aca="false">SUMIFS('Additions (monthly)'!$E$2:$E$106,'Additions (monthly)'!$D$2:$D$106,G$2,'Additions (monthly)'!$B$2:$B$106,"&lt;="&amp;$B49)</f>
        <v>4.5</v>
      </c>
      <c r="H49" s="46" t="n">
        <f aca="false">SUMIFS('Additions (monthly)'!$E$2:$E$106,'Additions (monthly)'!$D$2:$D$106,H$2,'Additions (monthly)'!$B$2:$B$106,"&lt;="&amp;$B49)</f>
        <v>5.2</v>
      </c>
      <c r="I49" s="46" t="n">
        <f aca="false">SUMIFS('Additions (monthly)'!$E$2:$E$106,'Additions (monthly)'!$D$2:$D$106,I$2,'Additions (monthly)'!$B$2:$B$106,"&lt;="&amp;$B49)</f>
        <v>0</v>
      </c>
      <c r="J49" s="46" t="n">
        <f aca="false">SUMIFS('Additions (monthly)'!$E$2:$E$106,'Additions (monthly)'!$D$2:$D$106,J$2,'Additions (monthly)'!$B$2:$B$106,"&lt;="&amp;$B49)</f>
        <v>3.7</v>
      </c>
      <c r="K49" s="46" t="n">
        <f aca="false">SUMIFS('Additions (monthly)'!$E$2:$E$106,'Additions (monthly)'!$D$2:$D$106,K$2,'Additions (monthly)'!$B$2:$B$106,"&lt;="&amp;$B49)</f>
        <v>0</v>
      </c>
      <c r="L49" s="46" t="n">
        <f aca="false">SUMIFS('Additions (monthly)'!$E$2:$E$106,'Additions (monthly)'!$D$2:$D$106,L$2,'Additions (monthly)'!$B$2:$B$106,"&lt;="&amp;$B49)</f>
        <v>0</v>
      </c>
      <c r="M49" s="46" t="n">
        <f aca="false">SUMIFS('Additions (monthly)'!$E$2:$E$106,'Additions (monthly)'!$D$2:$D$106,M$2,'Additions (monthly)'!$B$2:$B$106,"&lt;="&amp;$B49)</f>
        <v>0</v>
      </c>
      <c r="N49" s="46" t="n">
        <f aca="false">SUMIFS('Additions (monthly)'!$E$2:$E$106,'Additions (monthly)'!$D$2:$D$106,N$2,'Additions (monthly)'!$B$2:$B$106,"&lt;="&amp;$B49)</f>
        <v>14.2</v>
      </c>
      <c r="O49" s="46" t="n">
        <f aca="false">SUMIFS('Additions (monthly)'!$E$2:$E$106,'Additions (monthly)'!$D$2:$D$106,O$2,'Additions (monthly)'!$B$2:$B$106,"&lt;="&amp;$B49)</f>
        <v>4.9</v>
      </c>
      <c r="P49" s="46" t="n">
        <f aca="false">SUMIFS('Additions (monthly)'!$E$2:$E$106,'Additions (monthly)'!$D$2:$D$106,P$2,'Additions (monthly)'!$B$2:$B$106,"&lt;="&amp;$B49)</f>
        <v>0</v>
      </c>
      <c r="Q49" s="46" t="n">
        <f aca="false">SUMIFS('Additions (monthly)'!$E$2:$E$106,'Additions (monthly)'!$D$2:$D$106,Q$2,'Additions (monthly)'!$B$2:$B$106,"&lt;="&amp;$B49)</f>
        <v>0</v>
      </c>
      <c r="R49" s="46" t="n">
        <f aca="false">SUMIFS('Additions (monthly)'!$E$2:$E$106,'Additions (monthly)'!$D$2:$D$106,R$2,'Additions (monthly)'!$B$2:$B$106,"&lt;="&amp;$B49)</f>
        <v>0</v>
      </c>
      <c r="S49" s="46" t="n">
        <f aca="false">SUMIFS('Additions (monthly)'!$E$2:$E$106,'Additions (monthly)'!$D$2:$D$106,S$2,'Additions (monthly)'!$B$2:$B$106,"&lt;="&amp;$B49)</f>
        <v>7.2</v>
      </c>
      <c r="T49" s="46" t="n">
        <f aca="false">SUMIFS('Additions (monthly)'!$E$2:$E$106,'Additions (monthly)'!$D$2:$D$106,T$2,'Additions (monthly)'!$B$2:$B$106,"&lt;="&amp;$B49)</f>
        <v>0</v>
      </c>
      <c r="U49" s="46" t="n">
        <f aca="false">SUMIFS('Additions (monthly)'!$E$2:$E$106,'Additions (monthly)'!$D$2:$D$106,U$2,'Additions (monthly)'!$B$2:$B$106,"&lt;="&amp;$B49)</f>
        <v>0</v>
      </c>
      <c r="V49" s="46" t="n">
        <f aca="false">SUMIFS('Additions (monthly)'!$E$2:$E$106,'Additions (monthly)'!$D$2:$D$106,V$2,'Additions (monthly)'!$B$2:$B$106,"&lt;="&amp;$B49)</f>
        <v>3.87</v>
      </c>
      <c r="W49" s="46" t="n">
        <f aca="false">SUMIFS('Additions (monthly)'!$E$2:$E$106,'Additions (monthly)'!$D$2:$D$106,W$2,'Additions (monthly)'!$B$2:$B$106,"&lt;="&amp;$B49)</f>
        <v>0</v>
      </c>
      <c r="X49" s="46" t="n">
        <f aca="false">SUMIFS('Additions (monthly)'!$E$2:$E$106,'Additions (monthly)'!$D$2:$D$106,X$2,'Additions (monthly)'!$B$2:$B$106,"&lt;="&amp;$B49)</f>
        <v>0</v>
      </c>
      <c r="Y49" s="46" t="n">
        <f aca="false">SUMIFS('Additions (monthly)'!$E$2:$E$106,'Additions (monthly)'!$D$2:$D$106,Y$2,'Additions (monthly)'!$B$2:$B$106,"&lt;="&amp;$B49)</f>
        <v>5</v>
      </c>
      <c r="Z49" s="46" t="n">
        <f aca="false">SUMIFS('Additions (monthly)'!$E$2:$E$106,'Additions (monthly)'!$D$2:$D$106,Z$2,'Additions (monthly)'!$B$2:$B$106,"&lt;="&amp;$B49)</f>
        <v>7.2</v>
      </c>
      <c r="AA49" s="46" t="n">
        <f aca="false">SUMIFS('Additions (monthly)'!$E$2:$E$106,'Additions (monthly)'!$D$2:$D$106,AA$2,'Additions (monthly)'!$B$2:$B$106,"&lt;="&amp;$B49)</f>
        <v>3.7</v>
      </c>
      <c r="AB49" s="46" t="n">
        <f aca="false">SUMIFS('Additions (monthly)'!$E$2:$E$106,'Additions (monthly)'!$D$2:$D$106,AB$2,'Additions (monthly)'!$B$2:$B$106,"&lt;="&amp;$B49)</f>
        <v>16.95</v>
      </c>
      <c r="AC49" s="46" t="n">
        <f aca="false">SUMIFS('Additions (monthly)'!$E$2:$E$106,'Additions (monthly)'!$D$2:$D$106,AC$2,'Additions (monthly)'!$B$2:$B$106,"&lt;="&amp;$B49)</f>
        <v>0</v>
      </c>
      <c r="AD49" s="46" t="n">
        <f aca="false">SUMIFS('Additions (monthly)'!$E$2:$E$106,'Additions (monthly)'!$D$2:$D$106,AD$2,'Additions (monthly)'!$B$2:$B$106,"&lt;="&amp;$B49)</f>
        <v>7.6</v>
      </c>
      <c r="AE49" s="46" t="n">
        <f aca="false">SUMIFS('Additions (monthly)'!$E$2:$E$106,'Additions (monthly)'!$D$2:$D$106,AE$2,'Additions (monthly)'!$B$2:$B$106,"&lt;="&amp;$B49)</f>
        <v>25.7</v>
      </c>
      <c r="AF49" s="46" t="n">
        <f aca="false">SUMIFS('Additions (monthly)'!$E$2:$E$106,'Additions (monthly)'!$D$2:$D$106,AF$2,'Additions (monthly)'!$B$2:$B$106,"&lt;="&amp;$B49)</f>
        <v>0</v>
      </c>
      <c r="AG49" s="46" t="n">
        <f aca="false">SUMIFS('Additions (monthly)'!$E$2:$E$106,'Additions (monthly)'!$D$2:$D$106,AG$2,'Additions (monthly)'!$B$2:$B$106,"&lt;="&amp;$B49)</f>
        <v>0</v>
      </c>
      <c r="AH49" s="46" t="n">
        <f aca="false">SUMIFS('Additions (monthly)'!$E$2:$E$106,'Additions (monthly)'!$D$2:$D$106,AH$2,'Additions (monthly)'!$B$2:$B$106,"&lt;="&amp;$B49)</f>
        <v>0</v>
      </c>
      <c r="AI49" s="46" t="n">
        <f aca="false">SUMIFS('Additions (monthly)'!$E$2:$E$106,'Additions (monthly)'!$D$2:$D$106,AI$2,'Additions (monthly)'!$B$2:$B$106,"&lt;="&amp;$B49)</f>
        <v>0</v>
      </c>
      <c r="AJ49" s="46" t="n">
        <f aca="false">SUMIFS('Additions (monthly)'!$E$2:$E$106,'Additions (monthly)'!$D$2:$D$106,AJ$2,'Additions (monthly)'!$B$2:$B$106,"&lt;="&amp;$B49)</f>
        <v>0</v>
      </c>
      <c r="AK49" s="46" t="n">
        <f aca="false">SUMIFS('Additions (monthly)'!$E$2:$E$106,'Additions (monthly)'!$D$2:$D$106,AK$2,'Additions (monthly)'!$B$2:$B$106,"&lt;="&amp;$B49)</f>
        <v>0</v>
      </c>
      <c r="AL49" s="46" t="n">
        <f aca="false">SUMIFS('Additions (monthly)'!$E$2:$E$106,'Additions (monthly)'!$D$2:$D$106,AL$2,'Additions (monthly)'!$B$2:$B$106,"&lt;="&amp;$B49)</f>
        <v>22.2</v>
      </c>
      <c r="AM49" s="46" t="n">
        <f aca="false">SUMIFS('Additions (monthly)'!$E$2:$E$106,'Additions (monthly)'!$D$2:$D$106,AM$2,'Additions (monthly)'!$B$2:$B$106,"&lt;="&amp;$B49)</f>
        <v>0.3</v>
      </c>
      <c r="AN49" s="46" t="n">
        <f aca="false">SUMIFS('Additions (monthly)'!$E$2:$E$106,'Additions (monthly)'!$D$2:$D$106,AN$2,'Additions (monthly)'!$B$2:$B$106,"&lt;="&amp;$B49)</f>
        <v>4.3</v>
      </c>
      <c r="AO49" s="46" t="n">
        <f aca="false">SUMIFS('Additions (monthly)'!$E$2:$E$106,'Additions (monthly)'!$D$2:$D$106,AO$2,'Additions (monthly)'!$B$2:$B$106,"&lt;="&amp;$B49)</f>
        <v>10.4</v>
      </c>
      <c r="AP49" s="46" t="n">
        <f aca="false">SUMIFS('Additions (monthly)'!$E$2:$E$106,'Additions (monthly)'!$D$2:$D$106,AP$2,'Additions (monthly)'!$B$2:$B$106,"&lt;="&amp;$B49)</f>
        <v>0</v>
      </c>
      <c r="AQ49" s="46" t="n">
        <f aca="false">SUMIFS('Additions (monthly)'!$E$2:$E$106,'Additions (monthly)'!$D$2:$D$106,AQ$2,'Additions (monthly)'!$B$2:$B$106,"&lt;="&amp;$B49)</f>
        <v>4.45</v>
      </c>
      <c r="AR49" s="46" t="n">
        <f aca="false">SUMIFS('Additions (monthly)'!$E$2:$E$106,'Additions (monthly)'!$D$2:$D$106,AR$2,'Additions (monthly)'!$B$2:$B$106,"&lt;="&amp;$B49)</f>
        <v>77.1</v>
      </c>
      <c r="AS49" s="46" t="n">
        <f aca="false">SUMIFS('Additions (monthly)'!$E$2:$E$106,'Additions (monthly)'!$D$2:$D$106,AS$2,'Additions (monthly)'!$B$2:$B$106,"&lt;="&amp;$B49)</f>
        <v>0</v>
      </c>
      <c r="AT49" s="46" t="n">
        <f aca="false">SUMIFS('Additions (monthly)'!$E$2:$E$106,'Additions (monthly)'!$D$2:$D$106,AT$2,'Additions (monthly)'!$B$2:$B$106,"&lt;="&amp;$B49)</f>
        <v>0</v>
      </c>
      <c r="AU49" s="46" t="n">
        <f aca="false">SUMIFS('Additions (monthly)'!$E$2:$E$106,'Additions (monthly)'!$D$2:$D$106,AU$2,'Additions (monthly)'!$B$2:$B$106,"&lt;="&amp;$B49)</f>
        <v>9.6</v>
      </c>
      <c r="AV49" s="46" t="n">
        <f aca="false">SUMIFS('Additions (monthly)'!$E$2:$E$106,'Additions (monthly)'!$D$2:$D$106,AV$2,'Additions (monthly)'!$B$2:$B$106,"&lt;="&amp;$B49)</f>
        <v>0</v>
      </c>
      <c r="AW49" s="46" t="n">
        <f aca="false">SUMIFS('Additions (monthly)'!$E$2:$E$106,'Additions (monthly)'!$D$2:$D$106,AW$2,'Additions (monthly)'!$B$2:$B$106,"&lt;="&amp;$B49)</f>
        <v>0</v>
      </c>
      <c r="AX49" s="46" t="n">
        <f aca="false">SUMIFS('Additions (monthly)'!$E$2:$E$106,'Additions (monthly)'!$D$2:$D$106,AX$2,'Additions (monthly)'!$B$2:$B$106,"&lt;="&amp;$B49)</f>
        <v>11.8</v>
      </c>
      <c r="AY49" s="46" t="n">
        <f aca="false">SUMIFS('Additions (monthly)'!$E$2:$E$106,'Additions (monthly)'!$D$2:$D$106,AY$2,'Additions (monthly)'!$B$2:$B$106,"&lt;="&amp;$B49)</f>
        <v>5.3</v>
      </c>
      <c r="AZ49" s="46" t="n">
        <f aca="false">SUMIFS('Additions (monthly)'!$E$2:$E$106,'Additions (monthly)'!$D$2:$D$106,AZ$2,'Additions (monthly)'!$B$2:$B$106,"&lt;="&amp;$B49)</f>
        <v>0</v>
      </c>
      <c r="BA49" s="46" t="n">
        <f aca="false">SUMIFS('Additions (monthly)'!$E$2:$E$106,'Additions (monthly)'!$D$2:$D$106,BA$2,'Additions (monthly)'!$B$2:$B$106,"&lt;="&amp;$B49)</f>
        <v>0</v>
      </c>
      <c r="BB49" s="46" t="n">
        <f aca="false">SUMIFS('Additions (monthly)'!$E$2:$E$106,'Additions (monthly)'!$D$2:$D$106,BB$2,'Additions (monthly)'!$B$2:$B$106,"&lt;="&amp;$B49)</f>
        <v>0</v>
      </c>
      <c r="BC49" s="46" t="n">
        <f aca="false">SUMIFS('Additions (monthly)'!$E$2:$E$106,'Additions (monthly)'!$D$2:$D$106,BC$2,'Additions (monthly)'!$B$2:$B$106,"&lt;="&amp;$B49)</f>
        <v>0</v>
      </c>
      <c r="BD49" s="46" t="n">
        <f aca="false">SUMIFS('Additions (monthly)'!$E$2:$E$106,'Additions (monthly)'!$D$2:$D$106,BD$2,'Additions (monthly)'!$B$2:$B$106,"&lt;="&amp;$B49)</f>
        <v>0</v>
      </c>
      <c r="BE49" s="46" t="n">
        <f aca="false">SUMIFS('Additions (monthly)'!$E$2:$E$106,'Additions (monthly)'!$D$2:$D$106,BE$2,'Additions (monthly)'!$B$2:$B$106,"&lt;="&amp;$B49)</f>
        <v>0</v>
      </c>
      <c r="BF49" s="46" t="n">
        <f aca="false">SUMIFS('Additions (monthly)'!$E$2:$E$106,'Additions (monthly)'!$D$2:$D$106,BF$2,'Additions (monthly)'!$B$2:$B$106,"&lt;="&amp;$B49)</f>
        <v>0</v>
      </c>
      <c r="BG49" s="46" t="n">
        <f aca="false">SUMIFS('Additions (monthly)'!$E$2:$E$106,'Additions (monthly)'!$D$2:$D$106,BG$2,'Additions (monthly)'!$B$2:$B$106,"&lt;="&amp;$B49)</f>
        <v>0</v>
      </c>
      <c r="BH49" s="46" t="n">
        <f aca="false">SUMIFS('Additions (monthly)'!$E$2:$E$106,'Additions (monthly)'!$D$2:$D$106,BH$2,'Additions (monthly)'!$B$2:$B$106,"&lt;="&amp;$B49)</f>
        <v>0</v>
      </c>
      <c r="BI49" s="46" t="n">
        <f aca="false">SUMIFS('Additions (monthly)'!$E$2:$E$106,'Additions (monthly)'!$D$2:$D$106,BI$2,'Additions (monthly)'!$B$2:$B$106,"&lt;="&amp;$B49)</f>
        <v>6.7</v>
      </c>
    </row>
    <row r="50" customFormat="false" ht="15" hidden="false" customHeight="false" outlineLevel="0" collapsed="false">
      <c r="A50" s="44" t="n">
        <v>41609</v>
      </c>
      <c r="B50" s="45" t="n">
        <v>201312</v>
      </c>
      <c r="C50" s="42" t="n">
        <f aca="false">SUMIFS('Additions (monthly)'!$E$2:$E$106,'Additions (monthly)'!$B$2:$B$106,"&lt;="&amp;$B50)</f>
        <v>278.17</v>
      </c>
      <c r="D50" s="46" t="n">
        <f aca="false">SUMIFS('Additions (monthly)'!$E$2:$E$106,'Additions (monthly)'!$D$2:$D$106,D$2,'Additions (monthly)'!$B$2:$B$106,"&lt;="&amp;$B50)</f>
        <v>7.9</v>
      </c>
      <c r="E50" s="46" t="n">
        <f aca="false">SUMIFS('Additions (monthly)'!$E$2:$E$106,'Additions (monthly)'!$D$2:$D$106,E$2,'Additions (monthly)'!$B$2:$B$106,"&lt;="&amp;$B50)</f>
        <v>8.4</v>
      </c>
      <c r="F50" s="46" t="n">
        <f aca="false">SUMIFS('Additions (monthly)'!$E$2:$E$106,'Additions (monthly)'!$D$2:$D$106,F$2,'Additions (monthly)'!$B$2:$B$106,"&lt;="&amp;$B50)</f>
        <v>0</v>
      </c>
      <c r="G50" s="46" t="n">
        <f aca="false">SUMIFS('Additions (monthly)'!$E$2:$E$106,'Additions (monthly)'!$D$2:$D$106,G$2,'Additions (monthly)'!$B$2:$B$106,"&lt;="&amp;$B50)</f>
        <v>4.5</v>
      </c>
      <c r="H50" s="46" t="n">
        <f aca="false">SUMIFS('Additions (monthly)'!$E$2:$E$106,'Additions (monthly)'!$D$2:$D$106,H$2,'Additions (monthly)'!$B$2:$B$106,"&lt;="&amp;$B50)</f>
        <v>5.2</v>
      </c>
      <c r="I50" s="46" t="n">
        <f aca="false">SUMIFS('Additions (monthly)'!$E$2:$E$106,'Additions (monthly)'!$D$2:$D$106,I$2,'Additions (monthly)'!$B$2:$B$106,"&lt;="&amp;$B50)</f>
        <v>0</v>
      </c>
      <c r="J50" s="46" t="n">
        <f aca="false">SUMIFS('Additions (monthly)'!$E$2:$E$106,'Additions (monthly)'!$D$2:$D$106,J$2,'Additions (monthly)'!$B$2:$B$106,"&lt;="&amp;$B50)</f>
        <v>3.7</v>
      </c>
      <c r="K50" s="46" t="n">
        <f aca="false">SUMIFS('Additions (monthly)'!$E$2:$E$106,'Additions (monthly)'!$D$2:$D$106,K$2,'Additions (monthly)'!$B$2:$B$106,"&lt;="&amp;$B50)</f>
        <v>0</v>
      </c>
      <c r="L50" s="46" t="n">
        <f aca="false">SUMIFS('Additions (monthly)'!$E$2:$E$106,'Additions (monthly)'!$D$2:$D$106,L$2,'Additions (monthly)'!$B$2:$B$106,"&lt;="&amp;$B50)</f>
        <v>0</v>
      </c>
      <c r="M50" s="46" t="n">
        <f aca="false">SUMIFS('Additions (monthly)'!$E$2:$E$106,'Additions (monthly)'!$D$2:$D$106,M$2,'Additions (monthly)'!$B$2:$B$106,"&lt;="&amp;$B50)</f>
        <v>0</v>
      </c>
      <c r="N50" s="46" t="n">
        <f aca="false">SUMIFS('Additions (monthly)'!$E$2:$E$106,'Additions (monthly)'!$D$2:$D$106,N$2,'Additions (monthly)'!$B$2:$B$106,"&lt;="&amp;$B50)</f>
        <v>14.2</v>
      </c>
      <c r="O50" s="46" t="n">
        <f aca="false">SUMIFS('Additions (monthly)'!$E$2:$E$106,'Additions (monthly)'!$D$2:$D$106,O$2,'Additions (monthly)'!$B$2:$B$106,"&lt;="&amp;$B50)</f>
        <v>4.9</v>
      </c>
      <c r="P50" s="46" t="n">
        <f aca="false">SUMIFS('Additions (monthly)'!$E$2:$E$106,'Additions (monthly)'!$D$2:$D$106,P$2,'Additions (monthly)'!$B$2:$B$106,"&lt;="&amp;$B50)</f>
        <v>0</v>
      </c>
      <c r="Q50" s="46" t="n">
        <f aca="false">SUMIFS('Additions (monthly)'!$E$2:$E$106,'Additions (monthly)'!$D$2:$D$106,Q$2,'Additions (monthly)'!$B$2:$B$106,"&lt;="&amp;$B50)</f>
        <v>0</v>
      </c>
      <c r="R50" s="46" t="n">
        <f aca="false">SUMIFS('Additions (monthly)'!$E$2:$E$106,'Additions (monthly)'!$D$2:$D$106,R$2,'Additions (monthly)'!$B$2:$B$106,"&lt;="&amp;$B50)</f>
        <v>0</v>
      </c>
      <c r="S50" s="46" t="n">
        <f aca="false">SUMIFS('Additions (monthly)'!$E$2:$E$106,'Additions (monthly)'!$D$2:$D$106,S$2,'Additions (monthly)'!$B$2:$B$106,"&lt;="&amp;$B50)</f>
        <v>7.2</v>
      </c>
      <c r="T50" s="46" t="n">
        <f aca="false">SUMIFS('Additions (monthly)'!$E$2:$E$106,'Additions (monthly)'!$D$2:$D$106,T$2,'Additions (monthly)'!$B$2:$B$106,"&lt;="&amp;$B50)</f>
        <v>0</v>
      </c>
      <c r="U50" s="46" t="n">
        <f aca="false">SUMIFS('Additions (monthly)'!$E$2:$E$106,'Additions (monthly)'!$D$2:$D$106,U$2,'Additions (monthly)'!$B$2:$B$106,"&lt;="&amp;$B50)</f>
        <v>0</v>
      </c>
      <c r="V50" s="46" t="n">
        <f aca="false">SUMIFS('Additions (monthly)'!$E$2:$E$106,'Additions (monthly)'!$D$2:$D$106,V$2,'Additions (monthly)'!$B$2:$B$106,"&lt;="&amp;$B50)</f>
        <v>3.87</v>
      </c>
      <c r="W50" s="46" t="n">
        <f aca="false">SUMIFS('Additions (monthly)'!$E$2:$E$106,'Additions (monthly)'!$D$2:$D$106,W$2,'Additions (monthly)'!$B$2:$B$106,"&lt;="&amp;$B50)</f>
        <v>0</v>
      </c>
      <c r="X50" s="46" t="n">
        <f aca="false">SUMIFS('Additions (monthly)'!$E$2:$E$106,'Additions (monthly)'!$D$2:$D$106,X$2,'Additions (monthly)'!$B$2:$B$106,"&lt;="&amp;$B50)</f>
        <v>0</v>
      </c>
      <c r="Y50" s="46" t="n">
        <f aca="false">SUMIFS('Additions (monthly)'!$E$2:$E$106,'Additions (monthly)'!$D$2:$D$106,Y$2,'Additions (monthly)'!$B$2:$B$106,"&lt;="&amp;$B50)</f>
        <v>5</v>
      </c>
      <c r="Z50" s="46" t="n">
        <f aca="false">SUMIFS('Additions (monthly)'!$E$2:$E$106,'Additions (monthly)'!$D$2:$D$106,Z$2,'Additions (monthly)'!$B$2:$B$106,"&lt;="&amp;$B50)</f>
        <v>7.2</v>
      </c>
      <c r="AA50" s="46" t="n">
        <f aca="false">SUMIFS('Additions (monthly)'!$E$2:$E$106,'Additions (monthly)'!$D$2:$D$106,AA$2,'Additions (monthly)'!$B$2:$B$106,"&lt;="&amp;$B50)</f>
        <v>3.7</v>
      </c>
      <c r="AB50" s="46" t="n">
        <f aca="false">SUMIFS('Additions (monthly)'!$E$2:$E$106,'Additions (monthly)'!$D$2:$D$106,AB$2,'Additions (monthly)'!$B$2:$B$106,"&lt;="&amp;$B50)</f>
        <v>16.95</v>
      </c>
      <c r="AC50" s="46" t="n">
        <f aca="false">SUMIFS('Additions (monthly)'!$E$2:$E$106,'Additions (monthly)'!$D$2:$D$106,AC$2,'Additions (monthly)'!$B$2:$B$106,"&lt;="&amp;$B50)</f>
        <v>0</v>
      </c>
      <c r="AD50" s="46" t="n">
        <f aca="false">SUMIFS('Additions (monthly)'!$E$2:$E$106,'Additions (monthly)'!$D$2:$D$106,AD$2,'Additions (monthly)'!$B$2:$B$106,"&lt;="&amp;$B50)</f>
        <v>7.6</v>
      </c>
      <c r="AE50" s="46" t="n">
        <f aca="false">SUMIFS('Additions (monthly)'!$E$2:$E$106,'Additions (monthly)'!$D$2:$D$106,AE$2,'Additions (monthly)'!$B$2:$B$106,"&lt;="&amp;$B50)</f>
        <v>25.7</v>
      </c>
      <c r="AF50" s="46" t="n">
        <f aca="false">SUMIFS('Additions (monthly)'!$E$2:$E$106,'Additions (monthly)'!$D$2:$D$106,AF$2,'Additions (monthly)'!$B$2:$B$106,"&lt;="&amp;$B50)</f>
        <v>0</v>
      </c>
      <c r="AG50" s="46" t="n">
        <f aca="false">SUMIFS('Additions (monthly)'!$E$2:$E$106,'Additions (monthly)'!$D$2:$D$106,AG$2,'Additions (monthly)'!$B$2:$B$106,"&lt;="&amp;$B50)</f>
        <v>0</v>
      </c>
      <c r="AH50" s="46" t="n">
        <f aca="false">SUMIFS('Additions (monthly)'!$E$2:$E$106,'Additions (monthly)'!$D$2:$D$106,AH$2,'Additions (monthly)'!$B$2:$B$106,"&lt;="&amp;$B50)</f>
        <v>0</v>
      </c>
      <c r="AI50" s="46" t="n">
        <f aca="false">SUMIFS('Additions (monthly)'!$E$2:$E$106,'Additions (monthly)'!$D$2:$D$106,AI$2,'Additions (monthly)'!$B$2:$B$106,"&lt;="&amp;$B50)</f>
        <v>0</v>
      </c>
      <c r="AJ50" s="46" t="n">
        <f aca="false">SUMIFS('Additions (monthly)'!$E$2:$E$106,'Additions (monthly)'!$D$2:$D$106,AJ$2,'Additions (monthly)'!$B$2:$B$106,"&lt;="&amp;$B50)</f>
        <v>0</v>
      </c>
      <c r="AK50" s="46" t="n">
        <f aca="false">SUMIFS('Additions (monthly)'!$E$2:$E$106,'Additions (monthly)'!$D$2:$D$106,AK$2,'Additions (monthly)'!$B$2:$B$106,"&lt;="&amp;$B50)</f>
        <v>0</v>
      </c>
      <c r="AL50" s="46" t="n">
        <f aca="false">SUMIFS('Additions (monthly)'!$E$2:$E$106,'Additions (monthly)'!$D$2:$D$106,AL$2,'Additions (monthly)'!$B$2:$B$106,"&lt;="&amp;$B50)</f>
        <v>22.2</v>
      </c>
      <c r="AM50" s="46" t="n">
        <f aca="false">SUMIFS('Additions (monthly)'!$E$2:$E$106,'Additions (monthly)'!$D$2:$D$106,AM$2,'Additions (monthly)'!$B$2:$B$106,"&lt;="&amp;$B50)</f>
        <v>0.3</v>
      </c>
      <c r="AN50" s="46" t="n">
        <f aca="false">SUMIFS('Additions (monthly)'!$E$2:$E$106,'Additions (monthly)'!$D$2:$D$106,AN$2,'Additions (monthly)'!$B$2:$B$106,"&lt;="&amp;$B50)</f>
        <v>4.3</v>
      </c>
      <c r="AO50" s="46" t="n">
        <f aca="false">SUMIFS('Additions (monthly)'!$E$2:$E$106,'Additions (monthly)'!$D$2:$D$106,AO$2,'Additions (monthly)'!$B$2:$B$106,"&lt;="&amp;$B50)</f>
        <v>10.4</v>
      </c>
      <c r="AP50" s="46" t="n">
        <f aca="false">SUMIFS('Additions (monthly)'!$E$2:$E$106,'Additions (monthly)'!$D$2:$D$106,AP$2,'Additions (monthly)'!$B$2:$B$106,"&lt;="&amp;$B50)</f>
        <v>0</v>
      </c>
      <c r="AQ50" s="46" t="n">
        <f aca="false">SUMIFS('Additions (monthly)'!$E$2:$E$106,'Additions (monthly)'!$D$2:$D$106,AQ$2,'Additions (monthly)'!$B$2:$B$106,"&lt;="&amp;$B50)</f>
        <v>4.45</v>
      </c>
      <c r="AR50" s="46" t="n">
        <f aca="false">SUMIFS('Additions (monthly)'!$E$2:$E$106,'Additions (monthly)'!$D$2:$D$106,AR$2,'Additions (monthly)'!$B$2:$B$106,"&lt;="&amp;$B50)</f>
        <v>77.1</v>
      </c>
      <c r="AS50" s="46" t="n">
        <f aca="false">SUMIFS('Additions (monthly)'!$E$2:$E$106,'Additions (monthly)'!$D$2:$D$106,AS$2,'Additions (monthly)'!$B$2:$B$106,"&lt;="&amp;$B50)</f>
        <v>0</v>
      </c>
      <c r="AT50" s="46" t="n">
        <f aca="false">SUMIFS('Additions (monthly)'!$E$2:$E$106,'Additions (monthly)'!$D$2:$D$106,AT$2,'Additions (monthly)'!$B$2:$B$106,"&lt;="&amp;$B50)</f>
        <v>0</v>
      </c>
      <c r="AU50" s="46" t="n">
        <f aca="false">SUMIFS('Additions (monthly)'!$E$2:$E$106,'Additions (monthly)'!$D$2:$D$106,AU$2,'Additions (monthly)'!$B$2:$B$106,"&lt;="&amp;$B50)</f>
        <v>9.6</v>
      </c>
      <c r="AV50" s="46" t="n">
        <f aca="false">SUMIFS('Additions (monthly)'!$E$2:$E$106,'Additions (monthly)'!$D$2:$D$106,AV$2,'Additions (monthly)'!$B$2:$B$106,"&lt;="&amp;$B50)</f>
        <v>0</v>
      </c>
      <c r="AW50" s="46" t="n">
        <f aca="false">SUMIFS('Additions (monthly)'!$E$2:$E$106,'Additions (monthly)'!$D$2:$D$106,AW$2,'Additions (monthly)'!$B$2:$B$106,"&lt;="&amp;$B50)</f>
        <v>0</v>
      </c>
      <c r="AX50" s="46" t="n">
        <f aca="false">SUMIFS('Additions (monthly)'!$E$2:$E$106,'Additions (monthly)'!$D$2:$D$106,AX$2,'Additions (monthly)'!$B$2:$B$106,"&lt;="&amp;$B50)</f>
        <v>11.8</v>
      </c>
      <c r="AY50" s="46" t="n">
        <f aca="false">SUMIFS('Additions (monthly)'!$E$2:$E$106,'Additions (monthly)'!$D$2:$D$106,AY$2,'Additions (monthly)'!$B$2:$B$106,"&lt;="&amp;$B50)</f>
        <v>5.3</v>
      </c>
      <c r="AZ50" s="46" t="n">
        <f aca="false">SUMIFS('Additions (monthly)'!$E$2:$E$106,'Additions (monthly)'!$D$2:$D$106,AZ$2,'Additions (monthly)'!$B$2:$B$106,"&lt;="&amp;$B50)</f>
        <v>0</v>
      </c>
      <c r="BA50" s="46" t="n">
        <f aca="false">SUMIFS('Additions (monthly)'!$E$2:$E$106,'Additions (monthly)'!$D$2:$D$106,BA$2,'Additions (monthly)'!$B$2:$B$106,"&lt;="&amp;$B50)</f>
        <v>0</v>
      </c>
      <c r="BB50" s="46" t="n">
        <f aca="false">SUMIFS('Additions (monthly)'!$E$2:$E$106,'Additions (monthly)'!$D$2:$D$106,BB$2,'Additions (monthly)'!$B$2:$B$106,"&lt;="&amp;$B50)</f>
        <v>0</v>
      </c>
      <c r="BC50" s="46" t="n">
        <f aca="false">SUMIFS('Additions (monthly)'!$E$2:$E$106,'Additions (monthly)'!$D$2:$D$106,BC$2,'Additions (monthly)'!$B$2:$B$106,"&lt;="&amp;$B50)</f>
        <v>0</v>
      </c>
      <c r="BD50" s="46" t="n">
        <f aca="false">SUMIFS('Additions (monthly)'!$E$2:$E$106,'Additions (monthly)'!$D$2:$D$106,BD$2,'Additions (monthly)'!$B$2:$B$106,"&lt;="&amp;$B50)</f>
        <v>0</v>
      </c>
      <c r="BE50" s="46" t="n">
        <f aca="false">SUMIFS('Additions (monthly)'!$E$2:$E$106,'Additions (monthly)'!$D$2:$D$106,BE$2,'Additions (monthly)'!$B$2:$B$106,"&lt;="&amp;$B50)</f>
        <v>0</v>
      </c>
      <c r="BF50" s="46" t="n">
        <f aca="false">SUMIFS('Additions (monthly)'!$E$2:$E$106,'Additions (monthly)'!$D$2:$D$106,BF$2,'Additions (monthly)'!$B$2:$B$106,"&lt;="&amp;$B50)</f>
        <v>0</v>
      </c>
      <c r="BG50" s="46" t="n">
        <f aca="false">SUMIFS('Additions (monthly)'!$E$2:$E$106,'Additions (monthly)'!$D$2:$D$106,BG$2,'Additions (monthly)'!$B$2:$B$106,"&lt;="&amp;$B50)</f>
        <v>0</v>
      </c>
      <c r="BH50" s="46" t="n">
        <f aca="false">SUMIFS('Additions (monthly)'!$E$2:$E$106,'Additions (monthly)'!$D$2:$D$106,BH$2,'Additions (monthly)'!$B$2:$B$106,"&lt;="&amp;$B50)</f>
        <v>0</v>
      </c>
      <c r="BI50" s="46" t="n">
        <f aca="false">SUMIFS('Additions (monthly)'!$E$2:$E$106,'Additions (monthly)'!$D$2:$D$106,BI$2,'Additions (monthly)'!$B$2:$B$106,"&lt;="&amp;$B50)</f>
        <v>6.7</v>
      </c>
    </row>
    <row r="51" customFormat="false" ht="15" hidden="false" customHeight="false" outlineLevel="0" collapsed="false">
      <c r="A51" s="23" t="n">
        <v>41640</v>
      </c>
      <c r="B51" s="24" t="n">
        <v>201401</v>
      </c>
      <c r="C51" s="42" t="n">
        <f aca="false">SUMIFS('Additions (monthly)'!$E$2:$E$106,'Additions (monthly)'!$B$2:$B$106,"&lt;="&amp;$B51)</f>
        <v>278.17</v>
      </c>
      <c r="D51" s="43" t="n">
        <f aca="false">SUMIFS('Additions (monthly)'!$E$2:$E$106,'Additions (monthly)'!$D$2:$D$106,D$2,'Additions (monthly)'!$B$2:$B$106,"&lt;="&amp;$B51)</f>
        <v>7.9</v>
      </c>
      <c r="E51" s="43" t="n">
        <f aca="false">SUMIFS('Additions (monthly)'!$E$2:$E$106,'Additions (monthly)'!$D$2:$D$106,E$2,'Additions (monthly)'!$B$2:$B$106,"&lt;="&amp;$B51)</f>
        <v>8.4</v>
      </c>
      <c r="F51" s="43" t="n">
        <f aca="false">SUMIFS('Additions (monthly)'!$E$2:$E$106,'Additions (monthly)'!$D$2:$D$106,F$2,'Additions (monthly)'!$B$2:$B$106,"&lt;="&amp;$B51)</f>
        <v>0</v>
      </c>
      <c r="G51" s="43" t="n">
        <f aca="false">SUMIFS('Additions (monthly)'!$E$2:$E$106,'Additions (monthly)'!$D$2:$D$106,G$2,'Additions (monthly)'!$B$2:$B$106,"&lt;="&amp;$B51)</f>
        <v>4.5</v>
      </c>
      <c r="H51" s="43" t="n">
        <f aca="false">SUMIFS('Additions (monthly)'!$E$2:$E$106,'Additions (monthly)'!$D$2:$D$106,H$2,'Additions (monthly)'!$B$2:$B$106,"&lt;="&amp;$B51)</f>
        <v>5.2</v>
      </c>
      <c r="I51" s="43" t="n">
        <f aca="false">SUMIFS('Additions (monthly)'!$E$2:$E$106,'Additions (monthly)'!$D$2:$D$106,I$2,'Additions (monthly)'!$B$2:$B$106,"&lt;="&amp;$B51)</f>
        <v>0</v>
      </c>
      <c r="J51" s="43" t="n">
        <f aca="false">SUMIFS('Additions (monthly)'!$E$2:$E$106,'Additions (monthly)'!$D$2:$D$106,J$2,'Additions (monthly)'!$B$2:$B$106,"&lt;="&amp;$B51)</f>
        <v>3.7</v>
      </c>
      <c r="K51" s="43" t="n">
        <f aca="false">SUMIFS('Additions (monthly)'!$E$2:$E$106,'Additions (monthly)'!$D$2:$D$106,K$2,'Additions (monthly)'!$B$2:$B$106,"&lt;="&amp;$B51)</f>
        <v>0</v>
      </c>
      <c r="L51" s="43" t="n">
        <f aca="false">SUMIFS('Additions (monthly)'!$E$2:$E$106,'Additions (monthly)'!$D$2:$D$106,L$2,'Additions (monthly)'!$B$2:$B$106,"&lt;="&amp;$B51)</f>
        <v>0</v>
      </c>
      <c r="M51" s="43" t="n">
        <f aca="false">SUMIFS('Additions (monthly)'!$E$2:$E$106,'Additions (monthly)'!$D$2:$D$106,M$2,'Additions (monthly)'!$B$2:$B$106,"&lt;="&amp;$B51)</f>
        <v>0</v>
      </c>
      <c r="N51" s="43" t="n">
        <f aca="false">SUMIFS('Additions (monthly)'!$E$2:$E$106,'Additions (monthly)'!$D$2:$D$106,N$2,'Additions (monthly)'!$B$2:$B$106,"&lt;="&amp;$B51)</f>
        <v>14.2</v>
      </c>
      <c r="O51" s="43" t="n">
        <f aca="false">SUMIFS('Additions (monthly)'!$E$2:$E$106,'Additions (monthly)'!$D$2:$D$106,O$2,'Additions (monthly)'!$B$2:$B$106,"&lt;="&amp;$B51)</f>
        <v>4.9</v>
      </c>
      <c r="P51" s="43" t="n">
        <f aca="false">SUMIFS('Additions (monthly)'!$E$2:$E$106,'Additions (monthly)'!$D$2:$D$106,P$2,'Additions (monthly)'!$B$2:$B$106,"&lt;="&amp;$B51)</f>
        <v>0</v>
      </c>
      <c r="Q51" s="43" t="n">
        <f aca="false">SUMIFS('Additions (monthly)'!$E$2:$E$106,'Additions (monthly)'!$D$2:$D$106,Q$2,'Additions (monthly)'!$B$2:$B$106,"&lt;="&amp;$B51)</f>
        <v>0</v>
      </c>
      <c r="R51" s="43" t="n">
        <f aca="false">SUMIFS('Additions (monthly)'!$E$2:$E$106,'Additions (monthly)'!$D$2:$D$106,R$2,'Additions (monthly)'!$B$2:$B$106,"&lt;="&amp;$B51)</f>
        <v>0</v>
      </c>
      <c r="S51" s="43" t="n">
        <f aca="false">SUMIFS('Additions (monthly)'!$E$2:$E$106,'Additions (monthly)'!$D$2:$D$106,S$2,'Additions (monthly)'!$B$2:$B$106,"&lt;="&amp;$B51)</f>
        <v>7.2</v>
      </c>
      <c r="T51" s="43" t="n">
        <f aca="false">SUMIFS('Additions (monthly)'!$E$2:$E$106,'Additions (monthly)'!$D$2:$D$106,T$2,'Additions (monthly)'!$B$2:$B$106,"&lt;="&amp;$B51)</f>
        <v>0</v>
      </c>
      <c r="U51" s="43" t="n">
        <f aca="false">SUMIFS('Additions (monthly)'!$E$2:$E$106,'Additions (monthly)'!$D$2:$D$106,U$2,'Additions (monthly)'!$B$2:$B$106,"&lt;="&amp;$B51)</f>
        <v>0</v>
      </c>
      <c r="V51" s="43" t="n">
        <f aca="false">SUMIFS('Additions (monthly)'!$E$2:$E$106,'Additions (monthly)'!$D$2:$D$106,V$2,'Additions (monthly)'!$B$2:$B$106,"&lt;="&amp;$B51)</f>
        <v>3.87</v>
      </c>
      <c r="W51" s="43" t="n">
        <f aca="false">SUMIFS('Additions (monthly)'!$E$2:$E$106,'Additions (monthly)'!$D$2:$D$106,W$2,'Additions (monthly)'!$B$2:$B$106,"&lt;="&amp;$B51)</f>
        <v>0</v>
      </c>
      <c r="X51" s="43" t="n">
        <f aca="false">SUMIFS('Additions (monthly)'!$E$2:$E$106,'Additions (monthly)'!$D$2:$D$106,X$2,'Additions (monthly)'!$B$2:$B$106,"&lt;="&amp;$B51)</f>
        <v>0</v>
      </c>
      <c r="Y51" s="43" t="n">
        <f aca="false">SUMIFS('Additions (monthly)'!$E$2:$E$106,'Additions (monthly)'!$D$2:$D$106,Y$2,'Additions (monthly)'!$B$2:$B$106,"&lt;="&amp;$B51)</f>
        <v>5</v>
      </c>
      <c r="Z51" s="43" t="n">
        <f aca="false">SUMIFS('Additions (monthly)'!$E$2:$E$106,'Additions (monthly)'!$D$2:$D$106,Z$2,'Additions (monthly)'!$B$2:$B$106,"&lt;="&amp;$B51)</f>
        <v>7.2</v>
      </c>
      <c r="AA51" s="43" t="n">
        <f aca="false">SUMIFS('Additions (monthly)'!$E$2:$E$106,'Additions (monthly)'!$D$2:$D$106,AA$2,'Additions (monthly)'!$B$2:$B$106,"&lt;="&amp;$B51)</f>
        <v>3.7</v>
      </c>
      <c r="AB51" s="43" t="n">
        <f aca="false">SUMIFS('Additions (monthly)'!$E$2:$E$106,'Additions (monthly)'!$D$2:$D$106,AB$2,'Additions (monthly)'!$B$2:$B$106,"&lt;="&amp;$B51)</f>
        <v>16.95</v>
      </c>
      <c r="AC51" s="43" t="n">
        <f aca="false">SUMIFS('Additions (monthly)'!$E$2:$E$106,'Additions (monthly)'!$D$2:$D$106,AC$2,'Additions (monthly)'!$B$2:$B$106,"&lt;="&amp;$B51)</f>
        <v>0</v>
      </c>
      <c r="AD51" s="43" t="n">
        <f aca="false">SUMIFS('Additions (monthly)'!$E$2:$E$106,'Additions (monthly)'!$D$2:$D$106,AD$2,'Additions (monthly)'!$B$2:$B$106,"&lt;="&amp;$B51)</f>
        <v>7.6</v>
      </c>
      <c r="AE51" s="43" t="n">
        <f aca="false">SUMIFS('Additions (monthly)'!$E$2:$E$106,'Additions (monthly)'!$D$2:$D$106,AE$2,'Additions (monthly)'!$B$2:$B$106,"&lt;="&amp;$B51)</f>
        <v>25.7</v>
      </c>
      <c r="AF51" s="43" t="n">
        <f aca="false">SUMIFS('Additions (monthly)'!$E$2:$E$106,'Additions (monthly)'!$D$2:$D$106,AF$2,'Additions (monthly)'!$B$2:$B$106,"&lt;="&amp;$B51)</f>
        <v>0</v>
      </c>
      <c r="AG51" s="43" t="n">
        <f aca="false">SUMIFS('Additions (monthly)'!$E$2:$E$106,'Additions (monthly)'!$D$2:$D$106,AG$2,'Additions (monthly)'!$B$2:$B$106,"&lt;="&amp;$B51)</f>
        <v>0</v>
      </c>
      <c r="AH51" s="43" t="n">
        <f aca="false">SUMIFS('Additions (monthly)'!$E$2:$E$106,'Additions (monthly)'!$D$2:$D$106,AH$2,'Additions (monthly)'!$B$2:$B$106,"&lt;="&amp;$B51)</f>
        <v>0</v>
      </c>
      <c r="AI51" s="43" t="n">
        <f aca="false">SUMIFS('Additions (monthly)'!$E$2:$E$106,'Additions (monthly)'!$D$2:$D$106,AI$2,'Additions (monthly)'!$B$2:$B$106,"&lt;="&amp;$B51)</f>
        <v>0</v>
      </c>
      <c r="AJ51" s="43" t="n">
        <f aca="false">SUMIFS('Additions (monthly)'!$E$2:$E$106,'Additions (monthly)'!$D$2:$D$106,AJ$2,'Additions (monthly)'!$B$2:$B$106,"&lt;="&amp;$B51)</f>
        <v>0</v>
      </c>
      <c r="AK51" s="43" t="n">
        <f aca="false">SUMIFS('Additions (monthly)'!$E$2:$E$106,'Additions (monthly)'!$D$2:$D$106,AK$2,'Additions (monthly)'!$B$2:$B$106,"&lt;="&amp;$B51)</f>
        <v>0</v>
      </c>
      <c r="AL51" s="43" t="n">
        <f aca="false">SUMIFS('Additions (monthly)'!$E$2:$E$106,'Additions (monthly)'!$D$2:$D$106,AL$2,'Additions (monthly)'!$B$2:$B$106,"&lt;="&amp;$B51)</f>
        <v>22.2</v>
      </c>
      <c r="AM51" s="43" t="n">
        <f aca="false">SUMIFS('Additions (monthly)'!$E$2:$E$106,'Additions (monthly)'!$D$2:$D$106,AM$2,'Additions (monthly)'!$B$2:$B$106,"&lt;="&amp;$B51)</f>
        <v>0.3</v>
      </c>
      <c r="AN51" s="43" t="n">
        <f aca="false">SUMIFS('Additions (monthly)'!$E$2:$E$106,'Additions (monthly)'!$D$2:$D$106,AN$2,'Additions (monthly)'!$B$2:$B$106,"&lt;="&amp;$B51)</f>
        <v>4.3</v>
      </c>
      <c r="AO51" s="43" t="n">
        <f aca="false">SUMIFS('Additions (monthly)'!$E$2:$E$106,'Additions (monthly)'!$D$2:$D$106,AO$2,'Additions (monthly)'!$B$2:$B$106,"&lt;="&amp;$B51)</f>
        <v>10.4</v>
      </c>
      <c r="AP51" s="43" t="n">
        <f aca="false">SUMIFS('Additions (monthly)'!$E$2:$E$106,'Additions (monthly)'!$D$2:$D$106,AP$2,'Additions (monthly)'!$B$2:$B$106,"&lt;="&amp;$B51)</f>
        <v>0</v>
      </c>
      <c r="AQ51" s="43" t="n">
        <f aca="false">SUMIFS('Additions (monthly)'!$E$2:$E$106,'Additions (monthly)'!$D$2:$D$106,AQ$2,'Additions (monthly)'!$B$2:$B$106,"&lt;="&amp;$B51)</f>
        <v>4.45</v>
      </c>
      <c r="AR51" s="43" t="n">
        <f aca="false">SUMIFS('Additions (monthly)'!$E$2:$E$106,'Additions (monthly)'!$D$2:$D$106,AR$2,'Additions (monthly)'!$B$2:$B$106,"&lt;="&amp;$B51)</f>
        <v>77.1</v>
      </c>
      <c r="AS51" s="43" t="n">
        <f aca="false">SUMIFS('Additions (monthly)'!$E$2:$E$106,'Additions (monthly)'!$D$2:$D$106,AS$2,'Additions (monthly)'!$B$2:$B$106,"&lt;="&amp;$B51)</f>
        <v>0</v>
      </c>
      <c r="AT51" s="43" t="n">
        <f aca="false">SUMIFS('Additions (monthly)'!$E$2:$E$106,'Additions (monthly)'!$D$2:$D$106,AT$2,'Additions (monthly)'!$B$2:$B$106,"&lt;="&amp;$B51)</f>
        <v>0</v>
      </c>
      <c r="AU51" s="43" t="n">
        <f aca="false">SUMIFS('Additions (monthly)'!$E$2:$E$106,'Additions (monthly)'!$D$2:$D$106,AU$2,'Additions (monthly)'!$B$2:$B$106,"&lt;="&amp;$B51)</f>
        <v>9.6</v>
      </c>
      <c r="AV51" s="43" t="n">
        <f aca="false">SUMIFS('Additions (monthly)'!$E$2:$E$106,'Additions (monthly)'!$D$2:$D$106,AV$2,'Additions (monthly)'!$B$2:$B$106,"&lt;="&amp;$B51)</f>
        <v>0</v>
      </c>
      <c r="AW51" s="43" t="n">
        <f aca="false">SUMIFS('Additions (monthly)'!$E$2:$E$106,'Additions (monthly)'!$D$2:$D$106,AW$2,'Additions (monthly)'!$B$2:$B$106,"&lt;="&amp;$B51)</f>
        <v>0</v>
      </c>
      <c r="AX51" s="43" t="n">
        <f aca="false">SUMIFS('Additions (monthly)'!$E$2:$E$106,'Additions (monthly)'!$D$2:$D$106,AX$2,'Additions (monthly)'!$B$2:$B$106,"&lt;="&amp;$B51)</f>
        <v>11.8</v>
      </c>
      <c r="AY51" s="43" t="n">
        <f aca="false">SUMIFS('Additions (monthly)'!$E$2:$E$106,'Additions (monthly)'!$D$2:$D$106,AY$2,'Additions (monthly)'!$B$2:$B$106,"&lt;="&amp;$B51)</f>
        <v>5.3</v>
      </c>
      <c r="AZ51" s="43" t="n">
        <f aca="false">SUMIFS('Additions (monthly)'!$E$2:$E$106,'Additions (monthly)'!$D$2:$D$106,AZ$2,'Additions (monthly)'!$B$2:$B$106,"&lt;="&amp;$B51)</f>
        <v>0</v>
      </c>
      <c r="BA51" s="43" t="n">
        <f aca="false">SUMIFS('Additions (monthly)'!$E$2:$E$106,'Additions (monthly)'!$D$2:$D$106,BA$2,'Additions (monthly)'!$B$2:$B$106,"&lt;="&amp;$B51)</f>
        <v>0</v>
      </c>
      <c r="BB51" s="43" t="n">
        <f aca="false">SUMIFS('Additions (monthly)'!$E$2:$E$106,'Additions (monthly)'!$D$2:$D$106,BB$2,'Additions (monthly)'!$B$2:$B$106,"&lt;="&amp;$B51)</f>
        <v>0</v>
      </c>
      <c r="BC51" s="43" t="n">
        <f aca="false">SUMIFS('Additions (monthly)'!$E$2:$E$106,'Additions (monthly)'!$D$2:$D$106,BC$2,'Additions (monthly)'!$B$2:$B$106,"&lt;="&amp;$B51)</f>
        <v>0</v>
      </c>
      <c r="BD51" s="43" t="n">
        <f aca="false">SUMIFS('Additions (monthly)'!$E$2:$E$106,'Additions (monthly)'!$D$2:$D$106,BD$2,'Additions (monthly)'!$B$2:$B$106,"&lt;="&amp;$B51)</f>
        <v>0</v>
      </c>
      <c r="BE51" s="43" t="n">
        <f aca="false">SUMIFS('Additions (monthly)'!$E$2:$E$106,'Additions (monthly)'!$D$2:$D$106,BE$2,'Additions (monthly)'!$B$2:$B$106,"&lt;="&amp;$B51)</f>
        <v>0</v>
      </c>
      <c r="BF51" s="43" t="n">
        <f aca="false">SUMIFS('Additions (monthly)'!$E$2:$E$106,'Additions (monthly)'!$D$2:$D$106,BF$2,'Additions (monthly)'!$B$2:$B$106,"&lt;="&amp;$B51)</f>
        <v>0</v>
      </c>
      <c r="BG51" s="43" t="n">
        <f aca="false">SUMIFS('Additions (monthly)'!$E$2:$E$106,'Additions (monthly)'!$D$2:$D$106,BG$2,'Additions (monthly)'!$B$2:$B$106,"&lt;="&amp;$B51)</f>
        <v>0</v>
      </c>
      <c r="BH51" s="43" t="n">
        <f aca="false">SUMIFS('Additions (monthly)'!$E$2:$E$106,'Additions (monthly)'!$D$2:$D$106,BH$2,'Additions (monthly)'!$B$2:$B$106,"&lt;="&amp;$B51)</f>
        <v>0</v>
      </c>
      <c r="BI51" s="43" t="n">
        <f aca="false">SUMIFS('Additions (monthly)'!$E$2:$E$106,'Additions (monthly)'!$D$2:$D$106,BI$2,'Additions (monthly)'!$B$2:$B$106,"&lt;="&amp;$B51)</f>
        <v>6.7</v>
      </c>
    </row>
    <row r="52" customFormat="false" ht="15" hidden="false" customHeight="false" outlineLevel="0" collapsed="false">
      <c r="A52" s="23" t="n">
        <v>41671</v>
      </c>
      <c r="B52" s="24" t="n">
        <v>201402</v>
      </c>
      <c r="C52" s="42" t="n">
        <f aca="false">SUMIFS('Additions (monthly)'!$E$2:$E$106,'Additions (monthly)'!$B$2:$B$106,"&lt;="&amp;$B52)</f>
        <v>278.17</v>
      </c>
      <c r="D52" s="43" t="n">
        <f aca="false">SUMIFS('Additions (monthly)'!$E$2:$E$106,'Additions (monthly)'!$D$2:$D$106,D$2,'Additions (monthly)'!$B$2:$B$106,"&lt;="&amp;$B52)</f>
        <v>7.9</v>
      </c>
      <c r="E52" s="43" t="n">
        <f aca="false">SUMIFS('Additions (monthly)'!$E$2:$E$106,'Additions (monthly)'!$D$2:$D$106,E$2,'Additions (monthly)'!$B$2:$B$106,"&lt;="&amp;$B52)</f>
        <v>8.4</v>
      </c>
      <c r="F52" s="43" t="n">
        <f aca="false">SUMIFS('Additions (monthly)'!$E$2:$E$106,'Additions (monthly)'!$D$2:$D$106,F$2,'Additions (monthly)'!$B$2:$B$106,"&lt;="&amp;$B52)</f>
        <v>0</v>
      </c>
      <c r="G52" s="43" t="n">
        <f aca="false">SUMIFS('Additions (monthly)'!$E$2:$E$106,'Additions (monthly)'!$D$2:$D$106,G$2,'Additions (monthly)'!$B$2:$B$106,"&lt;="&amp;$B52)</f>
        <v>4.5</v>
      </c>
      <c r="H52" s="43" t="n">
        <f aca="false">SUMIFS('Additions (monthly)'!$E$2:$E$106,'Additions (monthly)'!$D$2:$D$106,H$2,'Additions (monthly)'!$B$2:$B$106,"&lt;="&amp;$B52)</f>
        <v>5.2</v>
      </c>
      <c r="I52" s="43" t="n">
        <f aca="false">SUMIFS('Additions (monthly)'!$E$2:$E$106,'Additions (monthly)'!$D$2:$D$106,I$2,'Additions (monthly)'!$B$2:$B$106,"&lt;="&amp;$B52)</f>
        <v>0</v>
      </c>
      <c r="J52" s="43" t="n">
        <f aca="false">SUMIFS('Additions (monthly)'!$E$2:$E$106,'Additions (monthly)'!$D$2:$D$106,J$2,'Additions (monthly)'!$B$2:$B$106,"&lt;="&amp;$B52)</f>
        <v>3.7</v>
      </c>
      <c r="K52" s="43" t="n">
        <f aca="false">SUMIFS('Additions (monthly)'!$E$2:$E$106,'Additions (monthly)'!$D$2:$D$106,K$2,'Additions (monthly)'!$B$2:$B$106,"&lt;="&amp;$B52)</f>
        <v>0</v>
      </c>
      <c r="L52" s="43" t="n">
        <f aca="false">SUMIFS('Additions (monthly)'!$E$2:$E$106,'Additions (monthly)'!$D$2:$D$106,L$2,'Additions (monthly)'!$B$2:$B$106,"&lt;="&amp;$B52)</f>
        <v>0</v>
      </c>
      <c r="M52" s="43" t="n">
        <f aca="false">SUMIFS('Additions (monthly)'!$E$2:$E$106,'Additions (monthly)'!$D$2:$D$106,M$2,'Additions (monthly)'!$B$2:$B$106,"&lt;="&amp;$B52)</f>
        <v>0</v>
      </c>
      <c r="N52" s="43" t="n">
        <f aca="false">SUMIFS('Additions (monthly)'!$E$2:$E$106,'Additions (monthly)'!$D$2:$D$106,N$2,'Additions (monthly)'!$B$2:$B$106,"&lt;="&amp;$B52)</f>
        <v>14.2</v>
      </c>
      <c r="O52" s="43" t="n">
        <f aca="false">SUMIFS('Additions (monthly)'!$E$2:$E$106,'Additions (monthly)'!$D$2:$D$106,O$2,'Additions (monthly)'!$B$2:$B$106,"&lt;="&amp;$B52)</f>
        <v>4.9</v>
      </c>
      <c r="P52" s="43" t="n">
        <f aca="false">SUMIFS('Additions (monthly)'!$E$2:$E$106,'Additions (monthly)'!$D$2:$D$106,P$2,'Additions (monthly)'!$B$2:$B$106,"&lt;="&amp;$B52)</f>
        <v>0</v>
      </c>
      <c r="Q52" s="43" t="n">
        <f aca="false">SUMIFS('Additions (monthly)'!$E$2:$E$106,'Additions (monthly)'!$D$2:$D$106,Q$2,'Additions (monthly)'!$B$2:$B$106,"&lt;="&amp;$B52)</f>
        <v>0</v>
      </c>
      <c r="R52" s="43" t="n">
        <f aca="false">SUMIFS('Additions (monthly)'!$E$2:$E$106,'Additions (monthly)'!$D$2:$D$106,R$2,'Additions (monthly)'!$B$2:$B$106,"&lt;="&amp;$B52)</f>
        <v>0</v>
      </c>
      <c r="S52" s="43" t="n">
        <f aca="false">SUMIFS('Additions (monthly)'!$E$2:$E$106,'Additions (monthly)'!$D$2:$D$106,S$2,'Additions (monthly)'!$B$2:$B$106,"&lt;="&amp;$B52)</f>
        <v>7.2</v>
      </c>
      <c r="T52" s="43" t="n">
        <f aca="false">SUMIFS('Additions (monthly)'!$E$2:$E$106,'Additions (monthly)'!$D$2:$D$106,T$2,'Additions (monthly)'!$B$2:$B$106,"&lt;="&amp;$B52)</f>
        <v>0</v>
      </c>
      <c r="U52" s="43" t="n">
        <f aca="false">SUMIFS('Additions (monthly)'!$E$2:$E$106,'Additions (monthly)'!$D$2:$D$106,U$2,'Additions (monthly)'!$B$2:$B$106,"&lt;="&amp;$B52)</f>
        <v>0</v>
      </c>
      <c r="V52" s="43" t="n">
        <f aca="false">SUMIFS('Additions (monthly)'!$E$2:$E$106,'Additions (monthly)'!$D$2:$D$106,V$2,'Additions (monthly)'!$B$2:$B$106,"&lt;="&amp;$B52)</f>
        <v>3.87</v>
      </c>
      <c r="W52" s="43" t="n">
        <f aca="false">SUMIFS('Additions (monthly)'!$E$2:$E$106,'Additions (monthly)'!$D$2:$D$106,W$2,'Additions (monthly)'!$B$2:$B$106,"&lt;="&amp;$B52)</f>
        <v>0</v>
      </c>
      <c r="X52" s="43" t="n">
        <f aca="false">SUMIFS('Additions (monthly)'!$E$2:$E$106,'Additions (monthly)'!$D$2:$D$106,X$2,'Additions (monthly)'!$B$2:$B$106,"&lt;="&amp;$B52)</f>
        <v>0</v>
      </c>
      <c r="Y52" s="43" t="n">
        <f aca="false">SUMIFS('Additions (monthly)'!$E$2:$E$106,'Additions (monthly)'!$D$2:$D$106,Y$2,'Additions (monthly)'!$B$2:$B$106,"&lt;="&amp;$B52)</f>
        <v>5</v>
      </c>
      <c r="Z52" s="43" t="n">
        <f aca="false">SUMIFS('Additions (monthly)'!$E$2:$E$106,'Additions (monthly)'!$D$2:$D$106,Z$2,'Additions (monthly)'!$B$2:$B$106,"&lt;="&amp;$B52)</f>
        <v>7.2</v>
      </c>
      <c r="AA52" s="43" t="n">
        <f aca="false">SUMIFS('Additions (monthly)'!$E$2:$E$106,'Additions (monthly)'!$D$2:$D$106,AA$2,'Additions (monthly)'!$B$2:$B$106,"&lt;="&amp;$B52)</f>
        <v>3.7</v>
      </c>
      <c r="AB52" s="43" t="n">
        <f aca="false">SUMIFS('Additions (monthly)'!$E$2:$E$106,'Additions (monthly)'!$D$2:$D$106,AB$2,'Additions (monthly)'!$B$2:$B$106,"&lt;="&amp;$B52)</f>
        <v>16.95</v>
      </c>
      <c r="AC52" s="43" t="n">
        <f aca="false">SUMIFS('Additions (monthly)'!$E$2:$E$106,'Additions (monthly)'!$D$2:$D$106,AC$2,'Additions (monthly)'!$B$2:$B$106,"&lt;="&amp;$B52)</f>
        <v>0</v>
      </c>
      <c r="AD52" s="43" t="n">
        <f aca="false">SUMIFS('Additions (monthly)'!$E$2:$E$106,'Additions (monthly)'!$D$2:$D$106,AD$2,'Additions (monthly)'!$B$2:$B$106,"&lt;="&amp;$B52)</f>
        <v>7.6</v>
      </c>
      <c r="AE52" s="43" t="n">
        <f aca="false">SUMIFS('Additions (monthly)'!$E$2:$E$106,'Additions (monthly)'!$D$2:$D$106,AE$2,'Additions (monthly)'!$B$2:$B$106,"&lt;="&amp;$B52)</f>
        <v>25.7</v>
      </c>
      <c r="AF52" s="43" t="n">
        <f aca="false">SUMIFS('Additions (monthly)'!$E$2:$E$106,'Additions (monthly)'!$D$2:$D$106,AF$2,'Additions (monthly)'!$B$2:$B$106,"&lt;="&amp;$B52)</f>
        <v>0</v>
      </c>
      <c r="AG52" s="43" t="n">
        <f aca="false">SUMIFS('Additions (monthly)'!$E$2:$E$106,'Additions (monthly)'!$D$2:$D$106,AG$2,'Additions (monthly)'!$B$2:$B$106,"&lt;="&amp;$B52)</f>
        <v>0</v>
      </c>
      <c r="AH52" s="43" t="n">
        <f aca="false">SUMIFS('Additions (monthly)'!$E$2:$E$106,'Additions (monthly)'!$D$2:$D$106,AH$2,'Additions (monthly)'!$B$2:$B$106,"&lt;="&amp;$B52)</f>
        <v>0</v>
      </c>
      <c r="AI52" s="43" t="n">
        <f aca="false">SUMIFS('Additions (monthly)'!$E$2:$E$106,'Additions (monthly)'!$D$2:$D$106,AI$2,'Additions (monthly)'!$B$2:$B$106,"&lt;="&amp;$B52)</f>
        <v>0</v>
      </c>
      <c r="AJ52" s="43" t="n">
        <f aca="false">SUMIFS('Additions (monthly)'!$E$2:$E$106,'Additions (monthly)'!$D$2:$D$106,AJ$2,'Additions (monthly)'!$B$2:$B$106,"&lt;="&amp;$B52)</f>
        <v>0</v>
      </c>
      <c r="AK52" s="43" t="n">
        <f aca="false">SUMIFS('Additions (monthly)'!$E$2:$E$106,'Additions (monthly)'!$D$2:$D$106,AK$2,'Additions (monthly)'!$B$2:$B$106,"&lt;="&amp;$B52)</f>
        <v>0</v>
      </c>
      <c r="AL52" s="43" t="n">
        <f aca="false">SUMIFS('Additions (monthly)'!$E$2:$E$106,'Additions (monthly)'!$D$2:$D$106,AL$2,'Additions (monthly)'!$B$2:$B$106,"&lt;="&amp;$B52)</f>
        <v>22.2</v>
      </c>
      <c r="AM52" s="43" t="n">
        <f aca="false">SUMIFS('Additions (monthly)'!$E$2:$E$106,'Additions (monthly)'!$D$2:$D$106,AM$2,'Additions (monthly)'!$B$2:$B$106,"&lt;="&amp;$B52)</f>
        <v>0.3</v>
      </c>
      <c r="AN52" s="43" t="n">
        <f aca="false">SUMIFS('Additions (monthly)'!$E$2:$E$106,'Additions (monthly)'!$D$2:$D$106,AN$2,'Additions (monthly)'!$B$2:$B$106,"&lt;="&amp;$B52)</f>
        <v>4.3</v>
      </c>
      <c r="AO52" s="43" t="n">
        <f aca="false">SUMIFS('Additions (monthly)'!$E$2:$E$106,'Additions (monthly)'!$D$2:$D$106,AO$2,'Additions (monthly)'!$B$2:$B$106,"&lt;="&amp;$B52)</f>
        <v>10.4</v>
      </c>
      <c r="AP52" s="43" t="n">
        <f aca="false">SUMIFS('Additions (monthly)'!$E$2:$E$106,'Additions (monthly)'!$D$2:$D$106,AP$2,'Additions (monthly)'!$B$2:$B$106,"&lt;="&amp;$B52)</f>
        <v>0</v>
      </c>
      <c r="AQ52" s="43" t="n">
        <f aca="false">SUMIFS('Additions (monthly)'!$E$2:$E$106,'Additions (monthly)'!$D$2:$D$106,AQ$2,'Additions (monthly)'!$B$2:$B$106,"&lt;="&amp;$B52)</f>
        <v>4.45</v>
      </c>
      <c r="AR52" s="43" t="n">
        <f aca="false">SUMIFS('Additions (monthly)'!$E$2:$E$106,'Additions (monthly)'!$D$2:$D$106,AR$2,'Additions (monthly)'!$B$2:$B$106,"&lt;="&amp;$B52)</f>
        <v>77.1</v>
      </c>
      <c r="AS52" s="43" t="n">
        <f aca="false">SUMIFS('Additions (monthly)'!$E$2:$E$106,'Additions (monthly)'!$D$2:$D$106,AS$2,'Additions (monthly)'!$B$2:$B$106,"&lt;="&amp;$B52)</f>
        <v>0</v>
      </c>
      <c r="AT52" s="43" t="n">
        <f aca="false">SUMIFS('Additions (monthly)'!$E$2:$E$106,'Additions (monthly)'!$D$2:$D$106,AT$2,'Additions (monthly)'!$B$2:$B$106,"&lt;="&amp;$B52)</f>
        <v>0</v>
      </c>
      <c r="AU52" s="43" t="n">
        <f aca="false">SUMIFS('Additions (monthly)'!$E$2:$E$106,'Additions (monthly)'!$D$2:$D$106,AU$2,'Additions (monthly)'!$B$2:$B$106,"&lt;="&amp;$B52)</f>
        <v>9.6</v>
      </c>
      <c r="AV52" s="43" t="n">
        <f aca="false">SUMIFS('Additions (monthly)'!$E$2:$E$106,'Additions (monthly)'!$D$2:$D$106,AV$2,'Additions (monthly)'!$B$2:$B$106,"&lt;="&amp;$B52)</f>
        <v>0</v>
      </c>
      <c r="AW52" s="43" t="n">
        <f aca="false">SUMIFS('Additions (monthly)'!$E$2:$E$106,'Additions (monthly)'!$D$2:$D$106,AW$2,'Additions (monthly)'!$B$2:$B$106,"&lt;="&amp;$B52)</f>
        <v>0</v>
      </c>
      <c r="AX52" s="43" t="n">
        <f aca="false">SUMIFS('Additions (monthly)'!$E$2:$E$106,'Additions (monthly)'!$D$2:$D$106,AX$2,'Additions (monthly)'!$B$2:$B$106,"&lt;="&amp;$B52)</f>
        <v>11.8</v>
      </c>
      <c r="AY52" s="43" t="n">
        <f aca="false">SUMIFS('Additions (monthly)'!$E$2:$E$106,'Additions (monthly)'!$D$2:$D$106,AY$2,'Additions (monthly)'!$B$2:$B$106,"&lt;="&amp;$B52)</f>
        <v>5.3</v>
      </c>
      <c r="AZ52" s="43" t="n">
        <f aca="false">SUMIFS('Additions (monthly)'!$E$2:$E$106,'Additions (monthly)'!$D$2:$D$106,AZ$2,'Additions (monthly)'!$B$2:$B$106,"&lt;="&amp;$B52)</f>
        <v>0</v>
      </c>
      <c r="BA52" s="43" t="n">
        <f aca="false">SUMIFS('Additions (monthly)'!$E$2:$E$106,'Additions (monthly)'!$D$2:$D$106,BA$2,'Additions (monthly)'!$B$2:$B$106,"&lt;="&amp;$B52)</f>
        <v>0</v>
      </c>
      <c r="BB52" s="43" t="n">
        <f aca="false">SUMIFS('Additions (monthly)'!$E$2:$E$106,'Additions (monthly)'!$D$2:$D$106,BB$2,'Additions (monthly)'!$B$2:$B$106,"&lt;="&amp;$B52)</f>
        <v>0</v>
      </c>
      <c r="BC52" s="43" t="n">
        <f aca="false">SUMIFS('Additions (monthly)'!$E$2:$E$106,'Additions (monthly)'!$D$2:$D$106,BC$2,'Additions (monthly)'!$B$2:$B$106,"&lt;="&amp;$B52)</f>
        <v>0</v>
      </c>
      <c r="BD52" s="43" t="n">
        <f aca="false">SUMIFS('Additions (monthly)'!$E$2:$E$106,'Additions (monthly)'!$D$2:$D$106,BD$2,'Additions (monthly)'!$B$2:$B$106,"&lt;="&amp;$B52)</f>
        <v>0</v>
      </c>
      <c r="BE52" s="43" t="n">
        <f aca="false">SUMIFS('Additions (monthly)'!$E$2:$E$106,'Additions (monthly)'!$D$2:$D$106,BE$2,'Additions (monthly)'!$B$2:$B$106,"&lt;="&amp;$B52)</f>
        <v>0</v>
      </c>
      <c r="BF52" s="43" t="n">
        <f aca="false">SUMIFS('Additions (monthly)'!$E$2:$E$106,'Additions (monthly)'!$D$2:$D$106,BF$2,'Additions (monthly)'!$B$2:$B$106,"&lt;="&amp;$B52)</f>
        <v>0</v>
      </c>
      <c r="BG52" s="43" t="n">
        <f aca="false">SUMIFS('Additions (monthly)'!$E$2:$E$106,'Additions (monthly)'!$D$2:$D$106,BG$2,'Additions (monthly)'!$B$2:$B$106,"&lt;="&amp;$B52)</f>
        <v>0</v>
      </c>
      <c r="BH52" s="43" t="n">
        <f aca="false">SUMIFS('Additions (monthly)'!$E$2:$E$106,'Additions (monthly)'!$D$2:$D$106,BH$2,'Additions (monthly)'!$B$2:$B$106,"&lt;="&amp;$B52)</f>
        <v>0</v>
      </c>
      <c r="BI52" s="43" t="n">
        <f aca="false">SUMIFS('Additions (monthly)'!$E$2:$E$106,'Additions (monthly)'!$D$2:$D$106,BI$2,'Additions (monthly)'!$B$2:$B$106,"&lt;="&amp;$B52)</f>
        <v>6.7</v>
      </c>
    </row>
    <row r="53" customFormat="false" ht="15" hidden="false" customHeight="false" outlineLevel="0" collapsed="false">
      <c r="A53" s="23" t="n">
        <v>41699</v>
      </c>
      <c r="B53" s="24" t="n">
        <v>201403</v>
      </c>
      <c r="C53" s="42" t="n">
        <f aca="false">SUMIFS('Additions (monthly)'!$E$2:$E$106,'Additions (monthly)'!$B$2:$B$106,"&lt;="&amp;$B53)</f>
        <v>278.17</v>
      </c>
      <c r="D53" s="43" t="n">
        <f aca="false">SUMIFS('Additions (monthly)'!$E$2:$E$106,'Additions (monthly)'!$D$2:$D$106,D$2,'Additions (monthly)'!$B$2:$B$106,"&lt;="&amp;$B53)</f>
        <v>7.9</v>
      </c>
      <c r="E53" s="43" t="n">
        <f aca="false">SUMIFS('Additions (monthly)'!$E$2:$E$106,'Additions (monthly)'!$D$2:$D$106,E$2,'Additions (monthly)'!$B$2:$B$106,"&lt;="&amp;$B53)</f>
        <v>8.4</v>
      </c>
      <c r="F53" s="43" t="n">
        <f aca="false">SUMIFS('Additions (monthly)'!$E$2:$E$106,'Additions (monthly)'!$D$2:$D$106,F$2,'Additions (monthly)'!$B$2:$B$106,"&lt;="&amp;$B53)</f>
        <v>0</v>
      </c>
      <c r="G53" s="43" t="n">
        <f aca="false">SUMIFS('Additions (monthly)'!$E$2:$E$106,'Additions (monthly)'!$D$2:$D$106,G$2,'Additions (monthly)'!$B$2:$B$106,"&lt;="&amp;$B53)</f>
        <v>4.5</v>
      </c>
      <c r="H53" s="43" t="n">
        <f aca="false">SUMIFS('Additions (monthly)'!$E$2:$E$106,'Additions (monthly)'!$D$2:$D$106,H$2,'Additions (monthly)'!$B$2:$B$106,"&lt;="&amp;$B53)</f>
        <v>5.2</v>
      </c>
      <c r="I53" s="43" t="n">
        <f aca="false">SUMIFS('Additions (monthly)'!$E$2:$E$106,'Additions (monthly)'!$D$2:$D$106,I$2,'Additions (monthly)'!$B$2:$B$106,"&lt;="&amp;$B53)</f>
        <v>0</v>
      </c>
      <c r="J53" s="43" t="n">
        <f aca="false">SUMIFS('Additions (monthly)'!$E$2:$E$106,'Additions (monthly)'!$D$2:$D$106,J$2,'Additions (monthly)'!$B$2:$B$106,"&lt;="&amp;$B53)</f>
        <v>3.7</v>
      </c>
      <c r="K53" s="43" t="n">
        <f aca="false">SUMIFS('Additions (monthly)'!$E$2:$E$106,'Additions (monthly)'!$D$2:$D$106,K$2,'Additions (monthly)'!$B$2:$B$106,"&lt;="&amp;$B53)</f>
        <v>0</v>
      </c>
      <c r="L53" s="43" t="n">
        <f aca="false">SUMIFS('Additions (monthly)'!$E$2:$E$106,'Additions (monthly)'!$D$2:$D$106,L$2,'Additions (monthly)'!$B$2:$B$106,"&lt;="&amp;$B53)</f>
        <v>0</v>
      </c>
      <c r="M53" s="43" t="n">
        <f aca="false">SUMIFS('Additions (monthly)'!$E$2:$E$106,'Additions (monthly)'!$D$2:$D$106,M$2,'Additions (monthly)'!$B$2:$B$106,"&lt;="&amp;$B53)</f>
        <v>0</v>
      </c>
      <c r="N53" s="43" t="n">
        <f aca="false">SUMIFS('Additions (monthly)'!$E$2:$E$106,'Additions (monthly)'!$D$2:$D$106,N$2,'Additions (monthly)'!$B$2:$B$106,"&lt;="&amp;$B53)</f>
        <v>14.2</v>
      </c>
      <c r="O53" s="43" t="n">
        <f aca="false">SUMIFS('Additions (monthly)'!$E$2:$E$106,'Additions (monthly)'!$D$2:$D$106,O$2,'Additions (monthly)'!$B$2:$B$106,"&lt;="&amp;$B53)</f>
        <v>4.9</v>
      </c>
      <c r="P53" s="43" t="n">
        <f aca="false">SUMIFS('Additions (monthly)'!$E$2:$E$106,'Additions (monthly)'!$D$2:$D$106,P$2,'Additions (monthly)'!$B$2:$B$106,"&lt;="&amp;$B53)</f>
        <v>0</v>
      </c>
      <c r="Q53" s="43" t="n">
        <f aca="false">SUMIFS('Additions (monthly)'!$E$2:$E$106,'Additions (monthly)'!$D$2:$D$106,Q$2,'Additions (monthly)'!$B$2:$B$106,"&lt;="&amp;$B53)</f>
        <v>0</v>
      </c>
      <c r="R53" s="43" t="n">
        <f aca="false">SUMIFS('Additions (monthly)'!$E$2:$E$106,'Additions (monthly)'!$D$2:$D$106,R$2,'Additions (monthly)'!$B$2:$B$106,"&lt;="&amp;$B53)</f>
        <v>0</v>
      </c>
      <c r="S53" s="43" t="n">
        <f aca="false">SUMIFS('Additions (monthly)'!$E$2:$E$106,'Additions (monthly)'!$D$2:$D$106,S$2,'Additions (monthly)'!$B$2:$B$106,"&lt;="&amp;$B53)</f>
        <v>7.2</v>
      </c>
      <c r="T53" s="43" t="n">
        <f aca="false">SUMIFS('Additions (monthly)'!$E$2:$E$106,'Additions (monthly)'!$D$2:$D$106,T$2,'Additions (monthly)'!$B$2:$B$106,"&lt;="&amp;$B53)</f>
        <v>0</v>
      </c>
      <c r="U53" s="43" t="n">
        <f aca="false">SUMIFS('Additions (monthly)'!$E$2:$E$106,'Additions (monthly)'!$D$2:$D$106,U$2,'Additions (monthly)'!$B$2:$B$106,"&lt;="&amp;$B53)</f>
        <v>0</v>
      </c>
      <c r="V53" s="43" t="n">
        <f aca="false">SUMIFS('Additions (monthly)'!$E$2:$E$106,'Additions (monthly)'!$D$2:$D$106,V$2,'Additions (monthly)'!$B$2:$B$106,"&lt;="&amp;$B53)</f>
        <v>3.87</v>
      </c>
      <c r="W53" s="43" t="n">
        <f aca="false">SUMIFS('Additions (monthly)'!$E$2:$E$106,'Additions (monthly)'!$D$2:$D$106,W$2,'Additions (monthly)'!$B$2:$B$106,"&lt;="&amp;$B53)</f>
        <v>0</v>
      </c>
      <c r="X53" s="43" t="n">
        <f aca="false">SUMIFS('Additions (monthly)'!$E$2:$E$106,'Additions (monthly)'!$D$2:$D$106,X$2,'Additions (monthly)'!$B$2:$B$106,"&lt;="&amp;$B53)</f>
        <v>0</v>
      </c>
      <c r="Y53" s="43" t="n">
        <f aca="false">SUMIFS('Additions (monthly)'!$E$2:$E$106,'Additions (monthly)'!$D$2:$D$106,Y$2,'Additions (monthly)'!$B$2:$B$106,"&lt;="&amp;$B53)</f>
        <v>5</v>
      </c>
      <c r="Z53" s="43" t="n">
        <f aca="false">SUMIFS('Additions (monthly)'!$E$2:$E$106,'Additions (monthly)'!$D$2:$D$106,Z$2,'Additions (monthly)'!$B$2:$B$106,"&lt;="&amp;$B53)</f>
        <v>7.2</v>
      </c>
      <c r="AA53" s="43" t="n">
        <f aca="false">SUMIFS('Additions (monthly)'!$E$2:$E$106,'Additions (monthly)'!$D$2:$D$106,AA$2,'Additions (monthly)'!$B$2:$B$106,"&lt;="&amp;$B53)</f>
        <v>3.7</v>
      </c>
      <c r="AB53" s="43" t="n">
        <f aca="false">SUMIFS('Additions (monthly)'!$E$2:$E$106,'Additions (monthly)'!$D$2:$D$106,AB$2,'Additions (monthly)'!$B$2:$B$106,"&lt;="&amp;$B53)</f>
        <v>16.95</v>
      </c>
      <c r="AC53" s="43" t="n">
        <f aca="false">SUMIFS('Additions (monthly)'!$E$2:$E$106,'Additions (monthly)'!$D$2:$D$106,AC$2,'Additions (monthly)'!$B$2:$B$106,"&lt;="&amp;$B53)</f>
        <v>0</v>
      </c>
      <c r="AD53" s="43" t="n">
        <f aca="false">SUMIFS('Additions (monthly)'!$E$2:$E$106,'Additions (monthly)'!$D$2:$D$106,AD$2,'Additions (monthly)'!$B$2:$B$106,"&lt;="&amp;$B53)</f>
        <v>7.6</v>
      </c>
      <c r="AE53" s="43" t="n">
        <f aca="false">SUMIFS('Additions (monthly)'!$E$2:$E$106,'Additions (monthly)'!$D$2:$D$106,AE$2,'Additions (monthly)'!$B$2:$B$106,"&lt;="&amp;$B53)</f>
        <v>25.7</v>
      </c>
      <c r="AF53" s="43" t="n">
        <f aca="false">SUMIFS('Additions (monthly)'!$E$2:$E$106,'Additions (monthly)'!$D$2:$D$106,AF$2,'Additions (monthly)'!$B$2:$B$106,"&lt;="&amp;$B53)</f>
        <v>0</v>
      </c>
      <c r="AG53" s="43" t="n">
        <f aca="false">SUMIFS('Additions (monthly)'!$E$2:$E$106,'Additions (monthly)'!$D$2:$D$106,AG$2,'Additions (monthly)'!$B$2:$B$106,"&lt;="&amp;$B53)</f>
        <v>0</v>
      </c>
      <c r="AH53" s="43" t="n">
        <f aca="false">SUMIFS('Additions (monthly)'!$E$2:$E$106,'Additions (monthly)'!$D$2:$D$106,AH$2,'Additions (monthly)'!$B$2:$B$106,"&lt;="&amp;$B53)</f>
        <v>0</v>
      </c>
      <c r="AI53" s="43" t="n">
        <f aca="false">SUMIFS('Additions (monthly)'!$E$2:$E$106,'Additions (monthly)'!$D$2:$D$106,AI$2,'Additions (monthly)'!$B$2:$B$106,"&lt;="&amp;$B53)</f>
        <v>0</v>
      </c>
      <c r="AJ53" s="43" t="n">
        <f aca="false">SUMIFS('Additions (monthly)'!$E$2:$E$106,'Additions (monthly)'!$D$2:$D$106,AJ$2,'Additions (monthly)'!$B$2:$B$106,"&lt;="&amp;$B53)</f>
        <v>0</v>
      </c>
      <c r="AK53" s="43" t="n">
        <f aca="false">SUMIFS('Additions (monthly)'!$E$2:$E$106,'Additions (monthly)'!$D$2:$D$106,AK$2,'Additions (monthly)'!$B$2:$B$106,"&lt;="&amp;$B53)</f>
        <v>0</v>
      </c>
      <c r="AL53" s="43" t="n">
        <f aca="false">SUMIFS('Additions (monthly)'!$E$2:$E$106,'Additions (monthly)'!$D$2:$D$106,AL$2,'Additions (monthly)'!$B$2:$B$106,"&lt;="&amp;$B53)</f>
        <v>22.2</v>
      </c>
      <c r="AM53" s="43" t="n">
        <f aca="false">SUMIFS('Additions (monthly)'!$E$2:$E$106,'Additions (monthly)'!$D$2:$D$106,AM$2,'Additions (monthly)'!$B$2:$B$106,"&lt;="&amp;$B53)</f>
        <v>0.3</v>
      </c>
      <c r="AN53" s="43" t="n">
        <f aca="false">SUMIFS('Additions (monthly)'!$E$2:$E$106,'Additions (monthly)'!$D$2:$D$106,AN$2,'Additions (monthly)'!$B$2:$B$106,"&lt;="&amp;$B53)</f>
        <v>4.3</v>
      </c>
      <c r="AO53" s="43" t="n">
        <f aca="false">SUMIFS('Additions (monthly)'!$E$2:$E$106,'Additions (monthly)'!$D$2:$D$106,AO$2,'Additions (monthly)'!$B$2:$B$106,"&lt;="&amp;$B53)</f>
        <v>10.4</v>
      </c>
      <c r="AP53" s="43" t="n">
        <f aca="false">SUMIFS('Additions (monthly)'!$E$2:$E$106,'Additions (monthly)'!$D$2:$D$106,AP$2,'Additions (monthly)'!$B$2:$B$106,"&lt;="&amp;$B53)</f>
        <v>0</v>
      </c>
      <c r="AQ53" s="43" t="n">
        <f aca="false">SUMIFS('Additions (monthly)'!$E$2:$E$106,'Additions (monthly)'!$D$2:$D$106,AQ$2,'Additions (monthly)'!$B$2:$B$106,"&lt;="&amp;$B53)</f>
        <v>4.45</v>
      </c>
      <c r="AR53" s="43" t="n">
        <f aca="false">SUMIFS('Additions (monthly)'!$E$2:$E$106,'Additions (monthly)'!$D$2:$D$106,AR$2,'Additions (monthly)'!$B$2:$B$106,"&lt;="&amp;$B53)</f>
        <v>77.1</v>
      </c>
      <c r="AS53" s="43" t="n">
        <f aca="false">SUMIFS('Additions (monthly)'!$E$2:$E$106,'Additions (monthly)'!$D$2:$D$106,AS$2,'Additions (monthly)'!$B$2:$B$106,"&lt;="&amp;$B53)</f>
        <v>0</v>
      </c>
      <c r="AT53" s="43" t="n">
        <f aca="false">SUMIFS('Additions (monthly)'!$E$2:$E$106,'Additions (monthly)'!$D$2:$D$106,AT$2,'Additions (monthly)'!$B$2:$B$106,"&lt;="&amp;$B53)</f>
        <v>0</v>
      </c>
      <c r="AU53" s="43" t="n">
        <f aca="false">SUMIFS('Additions (monthly)'!$E$2:$E$106,'Additions (monthly)'!$D$2:$D$106,AU$2,'Additions (monthly)'!$B$2:$B$106,"&lt;="&amp;$B53)</f>
        <v>9.6</v>
      </c>
      <c r="AV53" s="43" t="n">
        <f aca="false">SUMIFS('Additions (monthly)'!$E$2:$E$106,'Additions (monthly)'!$D$2:$D$106,AV$2,'Additions (monthly)'!$B$2:$B$106,"&lt;="&amp;$B53)</f>
        <v>0</v>
      </c>
      <c r="AW53" s="43" t="n">
        <f aca="false">SUMIFS('Additions (monthly)'!$E$2:$E$106,'Additions (monthly)'!$D$2:$D$106,AW$2,'Additions (monthly)'!$B$2:$B$106,"&lt;="&amp;$B53)</f>
        <v>0</v>
      </c>
      <c r="AX53" s="43" t="n">
        <f aca="false">SUMIFS('Additions (monthly)'!$E$2:$E$106,'Additions (monthly)'!$D$2:$D$106,AX$2,'Additions (monthly)'!$B$2:$B$106,"&lt;="&amp;$B53)</f>
        <v>11.8</v>
      </c>
      <c r="AY53" s="43" t="n">
        <f aca="false">SUMIFS('Additions (monthly)'!$E$2:$E$106,'Additions (monthly)'!$D$2:$D$106,AY$2,'Additions (monthly)'!$B$2:$B$106,"&lt;="&amp;$B53)</f>
        <v>5.3</v>
      </c>
      <c r="AZ53" s="43" t="n">
        <f aca="false">SUMIFS('Additions (monthly)'!$E$2:$E$106,'Additions (monthly)'!$D$2:$D$106,AZ$2,'Additions (monthly)'!$B$2:$B$106,"&lt;="&amp;$B53)</f>
        <v>0</v>
      </c>
      <c r="BA53" s="43" t="n">
        <f aca="false">SUMIFS('Additions (monthly)'!$E$2:$E$106,'Additions (monthly)'!$D$2:$D$106,BA$2,'Additions (monthly)'!$B$2:$B$106,"&lt;="&amp;$B53)</f>
        <v>0</v>
      </c>
      <c r="BB53" s="43" t="n">
        <f aca="false">SUMIFS('Additions (monthly)'!$E$2:$E$106,'Additions (monthly)'!$D$2:$D$106,BB$2,'Additions (monthly)'!$B$2:$B$106,"&lt;="&amp;$B53)</f>
        <v>0</v>
      </c>
      <c r="BC53" s="43" t="n">
        <f aca="false">SUMIFS('Additions (monthly)'!$E$2:$E$106,'Additions (monthly)'!$D$2:$D$106,BC$2,'Additions (monthly)'!$B$2:$B$106,"&lt;="&amp;$B53)</f>
        <v>0</v>
      </c>
      <c r="BD53" s="43" t="n">
        <f aca="false">SUMIFS('Additions (monthly)'!$E$2:$E$106,'Additions (monthly)'!$D$2:$D$106,BD$2,'Additions (monthly)'!$B$2:$B$106,"&lt;="&amp;$B53)</f>
        <v>0</v>
      </c>
      <c r="BE53" s="43" t="n">
        <f aca="false">SUMIFS('Additions (monthly)'!$E$2:$E$106,'Additions (monthly)'!$D$2:$D$106,BE$2,'Additions (monthly)'!$B$2:$B$106,"&lt;="&amp;$B53)</f>
        <v>0</v>
      </c>
      <c r="BF53" s="43" t="n">
        <f aca="false">SUMIFS('Additions (monthly)'!$E$2:$E$106,'Additions (monthly)'!$D$2:$D$106,BF$2,'Additions (monthly)'!$B$2:$B$106,"&lt;="&amp;$B53)</f>
        <v>0</v>
      </c>
      <c r="BG53" s="43" t="n">
        <f aca="false">SUMIFS('Additions (monthly)'!$E$2:$E$106,'Additions (monthly)'!$D$2:$D$106,BG$2,'Additions (monthly)'!$B$2:$B$106,"&lt;="&amp;$B53)</f>
        <v>0</v>
      </c>
      <c r="BH53" s="43" t="n">
        <f aca="false">SUMIFS('Additions (monthly)'!$E$2:$E$106,'Additions (monthly)'!$D$2:$D$106,BH$2,'Additions (monthly)'!$B$2:$B$106,"&lt;="&amp;$B53)</f>
        <v>0</v>
      </c>
      <c r="BI53" s="43" t="n">
        <f aca="false">SUMIFS('Additions (monthly)'!$E$2:$E$106,'Additions (monthly)'!$D$2:$D$106,BI$2,'Additions (monthly)'!$B$2:$B$106,"&lt;="&amp;$B53)</f>
        <v>6.7</v>
      </c>
    </row>
    <row r="54" customFormat="false" ht="15" hidden="false" customHeight="false" outlineLevel="0" collapsed="false">
      <c r="A54" s="23" t="n">
        <v>41730</v>
      </c>
      <c r="B54" s="24" t="n">
        <v>201404</v>
      </c>
      <c r="C54" s="42" t="n">
        <f aca="false">SUMIFS('Additions (monthly)'!$E$2:$E$106,'Additions (monthly)'!$B$2:$B$106,"&lt;="&amp;$B54)</f>
        <v>285.07</v>
      </c>
      <c r="D54" s="43" t="n">
        <f aca="false">SUMIFS('Additions (monthly)'!$E$2:$E$106,'Additions (monthly)'!$D$2:$D$106,D$2,'Additions (monthly)'!$B$2:$B$106,"&lt;="&amp;$B54)</f>
        <v>7.9</v>
      </c>
      <c r="E54" s="43" t="n">
        <f aca="false">SUMIFS('Additions (monthly)'!$E$2:$E$106,'Additions (monthly)'!$D$2:$D$106,E$2,'Additions (monthly)'!$B$2:$B$106,"&lt;="&amp;$B54)</f>
        <v>8.4</v>
      </c>
      <c r="F54" s="43" t="n">
        <f aca="false">SUMIFS('Additions (monthly)'!$E$2:$E$106,'Additions (monthly)'!$D$2:$D$106,F$2,'Additions (monthly)'!$B$2:$B$106,"&lt;="&amp;$B54)</f>
        <v>0</v>
      </c>
      <c r="G54" s="43" t="n">
        <f aca="false">SUMIFS('Additions (monthly)'!$E$2:$E$106,'Additions (monthly)'!$D$2:$D$106,G$2,'Additions (monthly)'!$B$2:$B$106,"&lt;="&amp;$B54)</f>
        <v>4.5</v>
      </c>
      <c r="H54" s="43" t="n">
        <f aca="false">SUMIFS('Additions (monthly)'!$E$2:$E$106,'Additions (monthly)'!$D$2:$D$106,H$2,'Additions (monthly)'!$B$2:$B$106,"&lt;="&amp;$B54)</f>
        <v>5.2</v>
      </c>
      <c r="I54" s="43" t="n">
        <f aca="false">SUMIFS('Additions (monthly)'!$E$2:$E$106,'Additions (monthly)'!$D$2:$D$106,I$2,'Additions (monthly)'!$B$2:$B$106,"&lt;="&amp;$B54)</f>
        <v>0</v>
      </c>
      <c r="J54" s="43" t="n">
        <f aca="false">SUMIFS('Additions (monthly)'!$E$2:$E$106,'Additions (monthly)'!$D$2:$D$106,J$2,'Additions (monthly)'!$B$2:$B$106,"&lt;="&amp;$B54)</f>
        <v>3.7</v>
      </c>
      <c r="K54" s="43" t="n">
        <f aca="false">SUMIFS('Additions (monthly)'!$E$2:$E$106,'Additions (monthly)'!$D$2:$D$106,K$2,'Additions (monthly)'!$B$2:$B$106,"&lt;="&amp;$B54)</f>
        <v>0</v>
      </c>
      <c r="L54" s="43" t="n">
        <f aca="false">SUMIFS('Additions (monthly)'!$E$2:$E$106,'Additions (monthly)'!$D$2:$D$106,L$2,'Additions (monthly)'!$B$2:$B$106,"&lt;="&amp;$B54)</f>
        <v>0</v>
      </c>
      <c r="M54" s="43" t="n">
        <f aca="false">SUMIFS('Additions (monthly)'!$E$2:$E$106,'Additions (monthly)'!$D$2:$D$106,M$2,'Additions (monthly)'!$B$2:$B$106,"&lt;="&amp;$B54)</f>
        <v>0</v>
      </c>
      <c r="N54" s="43" t="n">
        <f aca="false">SUMIFS('Additions (monthly)'!$E$2:$E$106,'Additions (monthly)'!$D$2:$D$106,N$2,'Additions (monthly)'!$B$2:$B$106,"&lt;="&amp;$B54)</f>
        <v>14.2</v>
      </c>
      <c r="O54" s="43" t="n">
        <f aca="false">SUMIFS('Additions (monthly)'!$E$2:$E$106,'Additions (monthly)'!$D$2:$D$106,O$2,'Additions (monthly)'!$B$2:$B$106,"&lt;="&amp;$B54)</f>
        <v>4.9</v>
      </c>
      <c r="P54" s="43" t="n">
        <f aca="false">SUMIFS('Additions (monthly)'!$E$2:$E$106,'Additions (monthly)'!$D$2:$D$106,P$2,'Additions (monthly)'!$B$2:$B$106,"&lt;="&amp;$B54)</f>
        <v>0</v>
      </c>
      <c r="Q54" s="43" t="n">
        <f aca="false">SUMIFS('Additions (monthly)'!$E$2:$E$106,'Additions (monthly)'!$D$2:$D$106,Q$2,'Additions (monthly)'!$B$2:$B$106,"&lt;="&amp;$B54)</f>
        <v>0</v>
      </c>
      <c r="R54" s="43" t="n">
        <f aca="false">SUMIFS('Additions (monthly)'!$E$2:$E$106,'Additions (monthly)'!$D$2:$D$106,R$2,'Additions (monthly)'!$B$2:$B$106,"&lt;="&amp;$B54)</f>
        <v>0</v>
      </c>
      <c r="S54" s="43" t="n">
        <f aca="false">SUMIFS('Additions (monthly)'!$E$2:$E$106,'Additions (monthly)'!$D$2:$D$106,S$2,'Additions (monthly)'!$B$2:$B$106,"&lt;="&amp;$B54)</f>
        <v>7.2</v>
      </c>
      <c r="T54" s="43" t="n">
        <f aca="false">SUMIFS('Additions (monthly)'!$E$2:$E$106,'Additions (monthly)'!$D$2:$D$106,T$2,'Additions (monthly)'!$B$2:$B$106,"&lt;="&amp;$B54)</f>
        <v>0</v>
      </c>
      <c r="U54" s="43" t="n">
        <f aca="false">SUMIFS('Additions (monthly)'!$E$2:$E$106,'Additions (monthly)'!$D$2:$D$106,U$2,'Additions (monthly)'!$B$2:$B$106,"&lt;="&amp;$B54)</f>
        <v>0</v>
      </c>
      <c r="V54" s="43" t="n">
        <f aca="false">SUMIFS('Additions (monthly)'!$E$2:$E$106,'Additions (monthly)'!$D$2:$D$106,V$2,'Additions (monthly)'!$B$2:$B$106,"&lt;="&amp;$B54)</f>
        <v>3.87</v>
      </c>
      <c r="W54" s="43" t="n">
        <f aca="false">SUMIFS('Additions (monthly)'!$E$2:$E$106,'Additions (monthly)'!$D$2:$D$106,W$2,'Additions (monthly)'!$B$2:$B$106,"&lt;="&amp;$B54)</f>
        <v>0</v>
      </c>
      <c r="X54" s="43" t="n">
        <f aca="false">SUMIFS('Additions (monthly)'!$E$2:$E$106,'Additions (monthly)'!$D$2:$D$106,X$2,'Additions (monthly)'!$B$2:$B$106,"&lt;="&amp;$B54)</f>
        <v>0</v>
      </c>
      <c r="Y54" s="43" t="n">
        <f aca="false">SUMIFS('Additions (monthly)'!$E$2:$E$106,'Additions (monthly)'!$D$2:$D$106,Y$2,'Additions (monthly)'!$B$2:$B$106,"&lt;="&amp;$B54)</f>
        <v>5</v>
      </c>
      <c r="Z54" s="43" t="n">
        <f aca="false">SUMIFS('Additions (monthly)'!$E$2:$E$106,'Additions (monthly)'!$D$2:$D$106,Z$2,'Additions (monthly)'!$B$2:$B$106,"&lt;="&amp;$B54)</f>
        <v>7.2</v>
      </c>
      <c r="AA54" s="43" t="n">
        <f aca="false">SUMIFS('Additions (monthly)'!$E$2:$E$106,'Additions (monthly)'!$D$2:$D$106,AA$2,'Additions (monthly)'!$B$2:$B$106,"&lt;="&amp;$B54)</f>
        <v>3.7</v>
      </c>
      <c r="AB54" s="43" t="n">
        <f aca="false">SUMIFS('Additions (monthly)'!$E$2:$E$106,'Additions (monthly)'!$D$2:$D$106,AB$2,'Additions (monthly)'!$B$2:$B$106,"&lt;="&amp;$B54)</f>
        <v>16.95</v>
      </c>
      <c r="AC54" s="43" t="n">
        <f aca="false">SUMIFS('Additions (monthly)'!$E$2:$E$106,'Additions (monthly)'!$D$2:$D$106,AC$2,'Additions (monthly)'!$B$2:$B$106,"&lt;="&amp;$B54)</f>
        <v>0</v>
      </c>
      <c r="AD54" s="43" t="n">
        <f aca="false">SUMIFS('Additions (monthly)'!$E$2:$E$106,'Additions (monthly)'!$D$2:$D$106,AD$2,'Additions (monthly)'!$B$2:$B$106,"&lt;="&amp;$B54)</f>
        <v>7.6</v>
      </c>
      <c r="AE54" s="43" t="n">
        <f aca="false">SUMIFS('Additions (monthly)'!$E$2:$E$106,'Additions (monthly)'!$D$2:$D$106,AE$2,'Additions (monthly)'!$B$2:$B$106,"&lt;="&amp;$B54)</f>
        <v>25.7</v>
      </c>
      <c r="AF54" s="43" t="n">
        <f aca="false">SUMIFS('Additions (monthly)'!$E$2:$E$106,'Additions (monthly)'!$D$2:$D$106,AF$2,'Additions (monthly)'!$B$2:$B$106,"&lt;="&amp;$B54)</f>
        <v>0</v>
      </c>
      <c r="AG54" s="43" t="n">
        <f aca="false">SUMIFS('Additions (monthly)'!$E$2:$E$106,'Additions (monthly)'!$D$2:$D$106,AG$2,'Additions (monthly)'!$B$2:$B$106,"&lt;="&amp;$B54)</f>
        <v>0</v>
      </c>
      <c r="AH54" s="43" t="n">
        <f aca="false">SUMIFS('Additions (monthly)'!$E$2:$E$106,'Additions (monthly)'!$D$2:$D$106,AH$2,'Additions (monthly)'!$B$2:$B$106,"&lt;="&amp;$B54)</f>
        <v>0</v>
      </c>
      <c r="AI54" s="43" t="n">
        <f aca="false">SUMIFS('Additions (monthly)'!$E$2:$E$106,'Additions (monthly)'!$D$2:$D$106,AI$2,'Additions (monthly)'!$B$2:$B$106,"&lt;="&amp;$B54)</f>
        <v>0</v>
      </c>
      <c r="AJ54" s="43" t="n">
        <f aca="false">SUMIFS('Additions (monthly)'!$E$2:$E$106,'Additions (monthly)'!$D$2:$D$106,AJ$2,'Additions (monthly)'!$B$2:$B$106,"&lt;="&amp;$B54)</f>
        <v>0</v>
      </c>
      <c r="AK54" s="43" t="n">
        <f aca="false">SUMIFS('Additions (monthly)'!$E$2:$E$106,'Additions (monthly)'!$D$2:$D$106,AK$2,'Additions (monthly)'!$B$2:$B$106,"&lt;="&amp;$B54)</f>
        <v>0</v>
      </c>
      <c r="AL54" s="43" t="n">
        <f aca="false">SUMIFS('Additions (monthly)'!$E$2:$E$106,'Additions (monthly)'!$D$2:$D$106,AL$2,'Additions (monthly)'!$B$2:$B$106,"&lt;="&amp;$B54)</f>
        <v>22.2</v>
      </c>
      <c r="AM54" s="43" t="n">
        <f aca="false">SUMIFS('Additions (monthly)'!$E$2:$E$106,'Additions (monthly)'!$D$2:$D$106,AM$2,'Additions (monthly)'!$B$2:$B$106,"&lt;="&amp;$B54)</f>
        <v>0.3</v>
      </c>
      <c r="AN54" s="43" t="n">
        <f aca="false">SUMIFS('Additions (monthly)'!$E$2:$E$106,'Additions (monthly)'!$D$2:$D$106,AN$2,'Additions (monthly)'!$B$2:$B$106,"&lt;="&amp;$B54)</f>
        <v>4.3</v>
      </c>
      <c r="AO54" s="43" t="n">
        <f aca="false">SUMIFS('Additions (monthly)'!$E$2:$E$106,'Additions (monthly)'!$D$2:$D$106,AO$2,'Additions (monthly)'!$B$2:$B$106,"&lt;="&amp;$B54)</f>
        <v>10.4</v>
      </c>
      <c r="AP54" s="43" t="n">
        <f aca="false">SUMIFS('Additions (monthly)'!$E$2:$E$106,'Additions (monthly)'!$D$2:$D$106,AP$2,'Additions (monthly)'!$B$2:$B$106,"&lt;="&amp;$B54)</f>
        <v>6.9</v>
      </c>
      <c r="AQ54" s="43" t="n">
        <f aca="false">SUMIFS('Additions (monthly)'!$E$2:$E$106,'Additions (monthly)'!$D$2:$D$106,AQ$2,'Additions (monthly)'!$B$2:$B$106,"&lt;="&amp;$B54)</f>
        <v>4.45</v>
      </c>
      <c r="AR54" s="43" t="n">
        <f aca="false">SUMIFS('Additions (monthly)'!$E$2:$E$106,'Additions (monthly)'!$D$2:$D$106,AR$2,'Additions (monthly)'!$B$2:$B$106,"&lt;="&amp;$B54)</f>
        <v>77.1</v>
      </c>
      <c r="AS54" s="43" t="n">
        <f aca="false">SUMIFS('Additions (monthly)'!$E$2:$E$106,'Additions (monthly)'!$D$2:$D$106,AS$2,'Additions (monthly)'!$B$2:$B$106,"&lt;="&amp;$B54)</f>
        <v>0</v>
      </c>
      <c r="AT54" s="43" t="n">
        <f aca="false">SUMIFS('Additions (monthly)'!$E$2:$E$106,'Additions (monthly)'!$D$2:$D$106,AT$2,'Additions (monthly)'!$B$2:$B$106,"&lt;="&amp;$B54)</f>
        <v>0</v>
      </c>
      <c r="AU54" s="43" t="n">
        <f aca="false">SUMIFS('Additions (monthly)'!$E$2:$E$106,'Additions (monthly)'!$D$2:$D$106,AU$2,'Additions (monthly)'!$B$2:$B$106,"&lt;="&amp;$B54)</f>
        <v>9.6</v>
      </c>
      <c r="AV54" s="43" t="n">
        <f aca="false">SUMIFS('Additions (monthly)'!$E$2:$E$106,'Additions (monthly)'!$D$2:$D$106,AV$2,'Additions (monthly)'!$B$2:$B$106,"&lt;="&amp;$B54)</f>
        <v>0</v>
      </c>
      <c r="AW54" s="43" t="n">
        <f aca="false">SUMIFS('Additions (monthly)'!$E$2:$E$106,'Additions (monthly)'!$D$2:$D$106,AW$2,'Additions (monthly)'!$B$2:$B$106,"&lt;="&amp;$B54)</f>
        <v>0</v>
      </c>
      <c r="AX54" s="43" t="n">
        <f aca="false">SUMIFS('Additions (monthly)'!$E$2:$E$106,'Additions (monthly)'!$D$2:$D$106,AX$2,'Additions (monthly)'!$B$2:$B$106,"&lt;="&amp;$B54)</f>
        <v>11.8</v>
      </c>
      <c r="AY54" s="43" t="n">
        <f aca="false">SUMIFS('Additions (monthly)'!$E$2:$E$106,'Additions (monthly)'!$D$2:$D$106,AY$2,'Additions (monthly)'!$B$2:$B$106,"&lt;="&amp;$B54)</f>
        <v>5.3</v>
      </c>
      <c r="AZ54" s="43" t="n">
        <f aca="false">SUMIFS('Additions (monthly)'!$E$2:$E$106,'Additions (monthly)'!$D$2:$D$106,AZ$2,'Additions (monthly)'!$B$2:$B$106,"&lt;="&amp;$B54)</f>
        <v>0</v>
      </c>
      <c r="BA54" s="43" t="n">
        <f aca="false">SUMIFS('Additions (monthly)'!$E$2:$E$106,'Additions (monthly)'!$D$2:$D$106,BA$2,'Additions (monthly)'!$B$2:$B$106,"&lt;="&amp;$B54)</f>
        <v>0</v>
      </c>
      <c r="BB54" s="43" t="n">
        <f aca="false">SUMIFS('Additions (monthly)'!$E$2:$E$106,'Additions (monthly)'!$D$2:$D$106,BB$2,'Additions (monthly)'!$B$2:$B$106,"&lt;="&amp;$B54)</f>
        <v>0</v>
      </c>
      <c r="BC54" s="43" t="n">
        <f aca="false">SUMIFS('Additions (monthly)'!$E$2:$E$106,'Additions (monthly)'!$D$2:$D$106,BC$2,'Additions (monthly)'!$B$2:$B$106,"&lt;="&amp;$B54)</f>
        <v>0</v>
      </c>
      <c r="BD54" s="43" t="n">
        <f aca="false">SUMIFS('Additions (monthly)'!$E$2:$E$106,'Additions (monthly)'!$D$2:$D$106,BD$2,'Additions (monthly)'!$B$2:$B$106,"&lt;="&amp;$B54)</f>
        <v>0</v>
      </c>
      <c r="BE54" s="43" t="n">
        <f aca="false">SUMIFS('Additions (monthly)'!$E$2:$E$106,'Additions (monthly)'!$D$2:$D$106,BE$2,'Additions (monthly)'!$B$2:$B$106,"&lt;="&amp;$B54)</f>
        <v>0</v>
      </c>
      <c r="BF54" s="43" t="n">
        <f aca="false">SUMIFS('Additions (monthly)'!$E$2:$E$106,'Additions (monthly)'!$D$2:$D$106,BF$2,'Additions (monthly)'!$B$2:$B$106,"&lt;="&amp;$B54)</f>
        <v>0</v>
      </c>
      <c r="BG54" s="43" t="n">
        <f aca="false">SUMIFS('Additions (monthly)'!$E$2:$E$106,'Additions (monthly)'!$D$2:$D$106,BG$2,'Additions (monthly)'!$B$2:$B$106,"&lt;="&amp;$B54)</f>
        <v>0</v>
      </c>
      <c r="BH54" s="43" t="n">
        <f aca="false">SUMIFS('Additions (monthly)'!$E$2:$E$106,'Additions (monthly)'!$D$2:$D$106,BH$2,'Additions (monthly)'!$B$2:$B$106,"&lt;="&amp;$B54)</f>
        <v>0</v>
      </c>
      <c r="BI54" s="43" t="n">
        <f aca="false">SUMIFS('Additions (monthly)'!$E$2:$E$106,'Additions (monthly)'!$D$2:$D$106,BI$2,'Additions (monthly)'!$B$2:$B$106,"&lt;="&amp;$B54)</f>
        <v>6.7</v>
      </c>
    </row>
    <row r="55" customFormat="false" ht="15" hidden="false" customHeight="false" outlineLevel="0" collapsed="false">
      <c r="A55" s="23" t="n">
        <v>41760</v>
      </c>
      <c r="B55" s="24" t="n">
        <v>201405</v>
      </c>
      <c r="C55" s="42" t="n">
        <f aca="false">SUMIFS('Additions (monthly)'!$E$2:$E$106,'Additions (monthly)'!$B$2:$B$106,"&lt;="&amp;$B55)</f>
        <v>285.07</v>
      </c>
      <c r="D55" s="43" t="n">
        <f aca="false">SUMIFS('Additions (monthly)'!$E$2:$E$106,'Additions (monthly)'!$D$2:$D$106,D$2,'Additions (monthly)'!$B$2:$B$106,"&lt;="&amp;$B55)</f>
        <v>7.9</v>
      </c>
      <c r="E55" s="43" t="n">
        <f aca="false">SUMIFS('Additions (monthly)'!$E$2:$E$106,'Additions (monthly)'!$D$2:$D$106,E$2,'Additions (monthly)'!$B$2:$B$106,"&lt;="&amp;$B55)</f>
        <v>8.4</v>
      </c>
      <c r="F55" s="43" t="n">
        <f aca="false">SUMIFS('Additions (monthly)'!$E$2:$E$106,'Additions (monthly)'!$D$2:$D$106,F$2,'Additions (monthly)'!$B$2:$B$106,"&lt;="&amp;$B55)</f>
        <v>0</v>
      </c>
      <c r="G55" s="43" t="n">
        <f aca="false">SUMIFS('Additions (monthly)'!$E$2:$E$106,'Additions (monthly)'!$D$2:$D$106,G$2,'Additions (monthly)'!$B$2:$B$106,"&lt;="&amp;$B55)</f>
        <v>4.5</v>
      </c>
      <c r="H55" s="43" t="n">
        <f aca="false">SUMIFS('Additions (monthly)'!$E$2:$E$106,'Additions (monthly)'!$D$2:$D$106,H$2,'Additions (monthly)'!$B$2:$B$106,"&lt;="&amp;$B55)</f>
        <v>5.2</v>
      </c>
      <c r="I55" s="43" t="n">
        <f aca="false">SUMIFS('Additions (monthly)'!$E$2:$E$106,'Additions (monthly)'!$D$2:$D$106,I$2,'Additions (monthly)'!$B$2:$B$106,"&lt;="&amp;$B55)</f>
        <v>0</v>
      </c>
      <c r="J55" s="43" t="n">
        <f aca="false">SUMIFS('Additions (monthly)'!$E$2:$E$106,'Additions (monthly)'!$D$2:$D$106,J$2,'Additions (monthly)'!$B$2:$B$106,"&lt;="&amp;$B55)</f>
        <v>3.7</v>
      </c>
      <c r="K55" s="43" t="n">
        <f aca="false">SUMIFS('Additions (monthly)'!$E$2:$E$106,'Additions (monthly)'!$D$2:$D$106,K$2,'Additions (monthly)'!$B$2:$B$106,"&lt;="&amp;$B55)</f>
        <v>0</v>
      </c>
      <c r="L55" s="43" t="n">
        <f aca="false">SUMIFS('Additions (monthly)'!$E$2:$E$106,'Additions (monthly)'!$D$2:$D$106,L$2,'Additions (monthly)'!$B$2:$B$106,"&lt;="&amp;$B55)</f>
        <v>0</v>
      </c>
      <c r="M55" s="43" t="n">
        <f aca="false">SUMIFS('Additions (monthly)'!$E$2:$E$106,'Additions (monthly)'!$D$2:$D$106,M$2,'Additions (monthly)'!$B$2:$B$106,"&lt;="&amp;$B55)</f>
        <v>0</v>
      </c>
      <c r="N55" s="43" t="n">
        <f aca="false">SUMIFS('Additions (monthly)'!$E$2:$E$106,'Additions (monthly)'!$D$2:$D$106,N$2,'Additions (monthly)'!$B$2:$B$106,"&lt;="&amp;$B55)</f>
        <v>14.2</v>
      </c>
      <c r="O55" s="43" t="n">
        <f aca="false">SUMIFS('Additions (monthly)'!$E$2:$E$106,'Additions (monthly)'!$D$2:$D$106,O$2,'Additions (monthly)'!$B$2:$B$106,"&lt;="&amp;$B55)</f>
        <v>4.9</v>
      </c>
      <c r="P55" s="43" t="n">
        <f aca="false">SUMIFS('Additions (monthly)'!$E$2:$E$106,'Additions (monthly)'!$D$2:$D$106,P$2,'Additions (monthly)'!$B$2:$B$106,"&lt;="&amp;$B55)</f>
        <v>0</v>
      </c>
      <c r="Q55" s="43" t="n">
        <f aca="false">SUMIFS('Additions (monthly)'!$E$2:$E$106,'Additions (monthly)'!$D$2:$D$106,Q$2,'Additions (monthly)'!$B$2:$B$106,"&lt;="&amp;$B55)</f>
        <v>0</v>
      </c>
      <c r="R55" s="43" t="n">
        <f aca="false">SUMIFS('Additions (monthly)'!$E$2:$E$106,'Additions (monthly)'!$D$2:$D$106,R$2,'Additions (monthly)'!$B$2:$B$106,"&lt;="&amp;$B55)</f>
        <v>0</v>
      </c>
      <c r="S55" s="43" t="n">
        <f aca="false">SUMIFS('Additions (monthly)'!$E$2:$E$106,'Additions (monthly)'!$D$2:$D$106,S$2,'Additions (monthly)'!$B$2:$B$106,"&lt;="&amp;$B55)</f>
        <v>7.2</v>
      </c>
      <c r="T55" s="43" t="n">
        <f aca="false">SUMIFS('Additions (monthly)'!$E$2:$E$106,'Additions (monthly)'!$D$2:$D$106,T$2,'Additions (monthly)'!$B$2:$B$106,"&lt;="&amp;$B55)</f>
        <v>0</v>
      </c>
      <c r="U55" s="43" t="n">
        <f aca="false">SUMIFS('Additions (monthly)'!$E$2:$E$106,'Additions (monthly)'!$D$2:$D$106,U$2,'Additions (monthly)'!$B$2:$B$106,"&lt;="&amp;$B55)</f>
        <v>0</v>
      </c>
      <c r="V55" s="43" t="n">
        <f aca="false">SUMIFS('Additions (monthly)'!$E$2:$E$106,'Additions (monthly)'!$D$2:$D$106,V$2,'Additions (monthly)'!$B$2:$B$106,"&lt;="&amp;$B55)</f>
        <v>3.87</v>
      </c>
      <c r="W55" s="43" t="n">
        <f aca="false">SUMIFS('Additions (monthly)'!$E$2:$E$106,'Additions (monthly)'!$D$2:$D$106,W$2,'Additions (monthly)'!$B$2:$B$106,"&lt;="&amp;$B55)</f>
        <v>0</v>
      </c>
      <c r="X55" s="43" t="n">
        <f aca="false">SUMIFS('Additions (monthly)'!$E$2:$E$106,'Additions (monthly)'!$D$2:$D$106,X$2,'Additions (monthly)'!$B$2:$B$106,"&lt;="&amp;$B55)</f>
        <v>0</v>
      </c>
      <c r="Y55" s="43" t="n">
        <f aca="false">SUMIFS('Additions (monthly)'!$E$2:$E$106,'Additions (monthly)'!$D$2:$D$106,Y$2,'Additions (monthly)'!$B$2:$B$106,"&lt;="&amp;$B55)</f>
        <v>5</v>
      </c>
      <c r="Z55" s="43" t="n">
        <f aca="false">SUMIFS('Additions (monthly)'!$E$2:$E$106,'Additions (monthly)'!$D$2:$D$106,Z$2,'Additions (monthly)'!$B$2:$B$106,"&lt;="&amp;$B55)</f>
        <v>7.2</v>
      </c>
      <c r="AA55" s="43" t="n">
        <f aca="false">SUMIFS('Additions (monthly)'!$E$2:$E$106,'Additions (monthly)'!$D$2:$D$106,AA$2,'Additions (monthly)'!$B$2:$B$106,"&lt;="&amp;$B55)</f>
        <v>3.7</v>
      </c>
      <c r="AB55" s="43" t="n">
        <f aca="false">SUMIFS('Additions (monthly)'!$E$2:$E$106,'Additions (monthly)'!$D$2:$D$106,AB$2,'Additions (monthly)'!$B$2:$B$106,"&lt;="&amp;$B55)</f>
        <v>16.95</v>
      </c>
      <c r="AC55" s="43" t="n">
        <f aca="false">SUMIFS('Additions (monthly)'!$E$2:$E$106,'Additions (monthly)'!$D$2:$D$106,AC$2,'Additions (monthly)'!$B$2:$B$106,"&lt;="&amp;$B55)</f>
        <v>0</v>
      </c>
      <c r="AD55" s="43" t="n">
        <f aca="false">SUMIFS('Additions (monthly)'!$E$2:$E$106,'Additions (monthly)'!$D$2:$D$106,AD$2,'Additions (monthly)'!$B$2:$B$106,"&lt;="&amp;$B55)</f>
        <v>7.6</v>
      </c>
      <c r="AE55" s="43" t="n">
        <f aca="false">SUMIFS('Additions (monthly)'!$E$2:$E$106,'Additions (monthly)'!$D$2:$D$106,AE$2,'Additions (monthly)'!$B$2:$B$106,"&lt;="&amp;$B55)</f>
        <v>25.7</v>
      </c>
      <c r="AF55" s="43" t="n">
        <f aca="false">SUMIFS('Additions (monthly)'!$E$2:$E$106,'Additions (monthly)'!$D$2:$D$106,AF$2,'Additions (monthly)'!$B$2:$B$106,"&lt;="&amp;$B55)</f>
        <v>0</v>
      </c>
      <c r="AG55" s="43" t="n">
        <f aca="false">SUMIFS('Additions (monthly)'!$E$2:$E$106,'Additions (monthly)'!$D$2:$D$106,AG$2,'Additions (monthly)'!$B$2:$B$106,"&lt;="&amp;$B55)</f>
        <v>0</v>
      </c>
      <c r="AH55" s="43" t="n">
        <f aca="false">SUMIFS('Additions (monthly)'!$E$2:$E$106,'Additions (monthly)'!$D$2:$D$106,AH$2,'Additions (monthly)'!$B$2:$B$106,"&lt;="&amp;$B55)</f>
        <v>0</v>
      </c>
      <c r="AI55" s="43" t="n">
        <f aca="false">SUMIFS('Additions (monthly)'!$E$2:$E$106,'Additions (monthly)'!$D$2:$D$106,AI$2,'Additions (monthly)'!$B$2:$B$106,"&lt;="&amp;$B55)</f>
        <v>0</v>
      </c>
      <c r="AJ55" s="43" t="n">
        <f aca="false">SUMIFS('Additions (monthly)'!$E$2:$E$106,'Additions (monthly)'!$D$2:$D$106,AJ$2,'Additions (monthly)'!$B$2:$B$106,"&lt;="&amp;$B55)</f>
        <v>0</v>
      </c>
      <c r="AK55" s="43" t="n">
        <f aca="false">SUMIFS('Additions (monthly)'!$E$2:$E$106,'Additions (monthly)'!$D$2:$D$106,AK$2,'Additions (monthly)'!$B$2:$B$106,"&lt;="&amp;$B55)</f>
        <v>0</v>
      </c>
      <c r="AL55" s="43" t="n">
        <f aca="false">SUMIFS('Additions (monthly)'!$E$2:$E$106,'Additions (monthly)'!$D$2:$D$106,AL$2,'Additions (monthly)'!$B$2:$B$106,"&lt;="&amp;$B55)</f>
        <v>22.2</v>
      </c>
      <c r="AM55" s="43" t="n">
        <f aca="false">SUMIFS('Additions (monthly)'!$E$2:$E$106,'Additions (monthly)'!$D$2:$D$106,AM$2,'Additions (monthly)'!$B$2:$B$106,"&lt;="&amp;$B55)</f>
        <v>0.3</v>
      </c>
      <c r="AN55" s="43" t="n">
        <f aca="false">SUMIFS('Additions (monthly)'!$E$2:$E$106,'Additions (monthly)'!$D$2:$D$106,AN$2,'Additions (monthly)'!$B$2:$B$106,"&lt;="&amp;$B55)</f>
        <v>4.3</v>
      </c>
      <c r="AO55" s="43" t="n">
        <f aca="false">SUMIFS('Additions (monthly)'!$E$2:$E$106,'Additions (monthly)'!$D$2:$D$106,AO$2,'Additions (monthly)'!$B$2:$B$106,"&lt;="&amp;$B55)</f>
        <v>10.4</v>
      </c>
      <c r="AP55" s="43" t="n">
        <f aca="false">SUMIFS('Additions (monthly)'!$E$2:$E$106,'Additions (monthly)'!$D$2:$D$106,AP$2,'Additions (monthly)'!$B$2:$B$106,"&lt;="&amp;$B55)</f>
        <v>6.9</v>
      </c>
      <c r="AQ55" s="43" t="n">
        <f aca="false">SUMIFS('Additions (monthly)'!$E$2:$E$106,'Additions (monthly)'!$D$2:$D$106,AQ$2,'Additions (monthly)'!$B$2:$B$106,"&lt;="&amp;$B55)</f>
        <v>4.45</v>
      </c>
      <c r="AR55" s="43" t="n">
        <f aca="false">SUMIFS('Additions (monthly)'!$E$2:$E$106,'Additions (monthly)'!$D$2:$D$106,AR$2,'Additions (monthly)'!$B$2:$B$106,"&lt;="&amp;$B55)</f>
        <v>77.1</v>
      </c>
      <c r="AS55" s="43" t="n">
        <f aca="false">SUMIFS('Additions (monthly)'!$E$2:$E$106,'Additions (monthly)'!$D$2:$D$106,AS$2,'Additions (monthly)'!$B$2:$B$106,"&lt;="&amp;$B55)</f>
        <v>0</v>
      </c>
      <c r="AT55" s="43" t="n">
        <f aca="false">SUMIFS('Additions (monthly)'!$E$2:$E$106,'Additions (monthly)'!$D$2:$D$106,AT$2,'Additions (monthly)'!$B$2:$B$106,"&lt;="&amp;$B55)</f>
        <v>0</v>
      </c>
      <c r="AU55" s="43" t="n">
        <f aca="false">SUMIFS('Additions (monthly)'!$E$2:$E$106,'Additions (monthly)'!$D$2:$D$106,AU$2,'Additions (monthly)'!$B$2:$B$106,"&lt;="&amp;$B55)</f>
        <v>9.6</v>
      </c>
      <c r="AV55" s="43" t="n">
        <f aca="false">SUMIFS('Additions (monthly)'!$E$2:$E$106,'Additions (monthly)'!$D$2:$D$106,AV$2,'Additions (monthly)'!$B$2:$B$106,"&lt;="&amp;$B55)</f>
        <v>0</v>
      </c>
      <c r="AW55" s="43" t="n">
        <f aca="false">SUMIFS('Additions (monthly)'!$E$2:$E$106,'Additions (monthly)'!$D$2:$D$106,AW$2,'Additions (monthly)'!$B$2:$B$106,"&lt;="&amp;$B55)</f>
        <v>0</v>
      </c>
      <c r="AX55" s="43" t="n">
        <f aca="false">SUMIFS('Additions (monthly)'!$E$2:$E$106,'Additions (monthly)'!$D$2:$D$106,AX$2,'Additions (monthly)'!$B$2:$B$106,"&lt;="&amp;$B55)</f>
        <v>11.8</v>
      </c>
      <c r="AY55" s="43" t="n">
        <f aca="false">SUMIFS('Additions (monthly)'!$E$2:$E$106,'Additions (monthly)'!$D$2:$D$106,AY$2,'Additions (monthly)'!$B$2:$B$106,"&lt;="&amp;$B55)</f>
        <v>5.3</v>
      </c>
      <c r="AZ55" s="43" t="n">
        <f aca="false">SUMIFS('Additions (monthly)'!$E$2:$E$106,'Additions (monthly)'!$D$2:$D$106,AZ$2,'Additions (monthly)'!$B$2:$B$106,"&lt;="&amp;$B55)</f>
        <v>0</v>
      </c>
      <c r="BA55" s="43" t="n">
        <f aca="false">SUMIFS('Additions (monthly)'!$E$2:$E$106,'Additions (monthly)'!$D$2:$D$106,BA$2,'Additions (monthly)'!$B$2:$B$106,"&lt;="&amp;$B55)</f>
        <v>0</v>
      </c>
      <c r="BB55" s="43" t="n">
        <f aca="false">SUMIFS('Additions (monthly)'!$E$2:$E$106,'Additions (monthly)'!$D$2:$D$106,BB$2,'Additions (monthly)'!$B$2:$B$106,"&lt;="&amp;$B55)</f>
        <v>0</v>
      </c>
      <c r="BC55" s="43" t="n">
        <f aca="false">SUMIFS('Additions (monthly)'!$E$2:$E$106,'Additions (monthly)'!$D$2:$D$106,BC$2,'Additions (monthly)'!$B$2:$B$106,"&lt;="&amp;$B55)</f>
        <v>0</v>
      </c>
      <c r="BD55" s="43" t="n">
        <f aca="false">SUMIFS('Additions (monthly)'!$E$2:$E$106,'Additions (monthly)'!$D$2:$D$106,BD$2,'Additions (monthly)'!$B$2:$B$106,"&lt;="&amp;$B55)</f>
        <v>0</v>
      </c>
      <c r="BE55" s="43" t="n">
        <f aca="false">SUMIFS('Additions (monthly)'!$E$2:$E$106,'Additions (monthly)'!$D$2:$D$106,BE$2,'Additions (monthly)'!$B$2:$B$106,"&lt;="&amp;$B55)</f>
        <v>0</v>
      </c>
      <c r="BF55" s="43" t="n">
        <f aca="false">SUMIFS('Additions (monthly)'!$E$2:$E$106,'Additions (monthly)'!$D$2:$D$106,BF$2,'Additions (monthly)'!$B$2:$B$106,"&lt;="&amp;$B55)</f>
        <v>0</v>
      </c>
      <c r="BG55" s="43" t="n">
        <f aca="false">SUMIFS('Additions (monthly)'!$E$2:$E$106,'Additions (monthly)'!$D$2:$D$106,BG$2,'Additions (monthly)'!$B$2:$B$106,"&lt;="&amp;$B55)</f>
        <v>0</v>
      </c>
      <c r="BH55" s="43" t="n">
        <f aca="false">SUMIFS('Additions (monthly)'!$E$2:$E$106,'Additions (monthly)'!$D$2:$D$106,BH$2,'Additions (monthly)'!$B$2:$B$106,"&lt;="&amp;$B55)</f>
        <v>0</v>
      </c>
      <c r="BI55" s="43" t="n">
        <f aca="false">SUMIFS('Additions (monthly)'!$E$2:$E$106,'Additions (monthly)'!$D$2:$D$106,BI$2,'Additions (monthly)'!$B$2:$B$106,"&lt;="&amp;$B55)</f>
        <v>6.7</v>
      </c>
    </row>
    <row r="56" customFormat="false" ht="15" hidden="false" customHeight="false" outlineLevel="0" collapsed="false">
      <c r="A56" s="23" t="n">
        <v>41791</v>
      </c>
      <c r="B56" s="24" t="n">
        <v>201406</v>
      </c>
      <c r="C56" s="42" t="n">
        <f aca="false">SUMIFS('Additions (monthly)'!$E$2:$E$106,'Additions (monthly)'!$B$2:$B$106,"&lt;="&amp;$B56)</f>
        <v>285.07</v>
      </c>
      <c r="D56" s="43" t="n">
        <f aca="false">SUMIFS('Additions (monthly)'!$E$2:$E$106,'Additions (monthly)'!$D$2:$D$106,D$2,'Additions (monthly)'!$B$2:$B$106,"&lt;="&amp;$B56)</f>
        <v>7.9</v>
      </c>
      <c r="E56" s="43" t="n">
        <f aca="false">SUMIFS('Additions (monthly)'!$E$2:$E$106,'Additions (monthly)'!$D$2:$D$106,E$2,'Additions (monthly)'!$B$2:$B$106,"&lt;="&amp;$B56)</f>
        <v>8.4</v>
      </c>
      <c r="F56" s="43" t="n">
        <f aca="false">SUMIFS('Additions (monthly)'!$E$2:$E$106,'Additions (monthly)'!$D$2:$D$106,F$2,'Additions (monthly)'!$B$2:$B$106,"&lt;="&amp;$B56)</f>
        <v>0</v>
      </c>
      <c r="G56" s="43" t="n">
        <f aca="false">SUMIFS('Additions (monthly)'!$E$2:$E$106,'Additions (monthly)'!$D$2:$D$106,G$2,'Additions (monthly)'!$B$2:$B$106,"&lt;="&amp;$B56)</f>
        <v>4.5</v>
      </c>
      <c r="H56" s="43" t="n">
        <f aca="false">SUMIFS('Additions (monthly)'!$E$2:$E$106,'Additions (monthly)'!$D$2:$D$106,H$2,'Additions (monthly)'!$B$2:$B$106,"&lt;="&amp;$B56)</f>
        <v>5.2</v>
      </c>
      <c r="I56" s="43" t="n">
        <f aca="false">SUMIFS('Additions (monthly)'!$E$2:$E$106,'Additions (monthly)'!$D$2:$D$106,I$2,'Additions (monthly)'!$B$2:$B$106,"&lt;="&amp;$B56)</f>
        <v>0</v>
      </c>
      <c r="J56" s="43" t="n">
        <f aca="false">SUMIFS('Additions (monthly)'!$E$2:$E$106,'Additions (monthly)'!$D$2:$D$106,J$2,'Additions (monthly)'!$B$2:$B$106,"&lt;="&amp;$B56)</f>
        <v>3.7</v>
      </c>
      <c r="K56" s="43" t="n">
        <f aca="false">SUMIFS('Additions (monthly)'!$E$2:$E$106,'Additions (monthly)'!$D$2:$D$106,K$2,'Additions (monthly)'!$B$2:$B$106,"&lt;="&amp;$B56)</f>
        <v>0</v>
      </c>
      <c r="L56" s="43" t="n">
        <f aca="false">SUMIFS('Additions (monthly)'!$E$2:$E$106,'Additions (monthly)'!$D$2:$D$106,L$2,'Additions (monthly)'!$B$2:$B$106,"&lt;="&amp;$B56)</f>
        <v>0</v>
      </c>
      <c r="M56" s="43" t="n">
        <f aca="false">SUMIFS('Additions (monthly)'!$E$2:$E$106,'Additions (monthly)'!$D$2:$D$106,M$2,'Additions (monthly)'!$B$2:$B$106,"&lt;="&amp;$B56)</f>
        <v>0</v>
      </c>
      <c r="N56" s="43" t="n">
        <f aca="false">SUMIFS('Additions (monthly)'!$E$2:$E$106,'Additions (monthly)'!$D$2:$D$106,N$2,'Additions (monthly)'!$B$2:$B$106,"&lt;="&amp;$B56)</f>
        <v>14.2</v>
      </c>
      <c r="O56" s="43" t="n">
        <f aca="false">SUMIFS('Additions (monthly)'!$E$2:$E$106,'Additions (monthly)'!$D$2:$D$106,O$2,'Additions (monthly)'!$B$2:$B$106,"&lt;="&amp;$B56)</f>
        <v>4.9</v>
      </c>
      <c r="P56" s="43" t="n">
        <f aca="false">SUMIFS('Additions (monthly)'!$E$2:$E$106,'Additions (monthly)'!$D$2:$D$106,P$2,'Additions (monthly)'!$B$2:$B$106,"&lt;="&amp;$B56)</f>
        <v>0</v>
      </c>
      <c r="Q56" s="43" t="n">
        <f aca="false">SUMIFS('Additions (monthly)'!$E$2:$E$106,'Additions (monthly)'!$D$2:$D$106,Q$2,'Additions (monthly)'!$B$2:$B$106,"&lt;="&amp;$B56)</f>
        <v>0</v>
      </c>
      <c r="R56" s="43" t="n">
        <f aca="false">SUMIFS('Additions (monthly)'!$E$2:$E$106,'Additions (monthly)'!$D$2:$D$106,R$2,'Additions (monthly)'!$B$2:$B$106,"&lt;="&amp;$B56)</f>
        <v>0</v>
      </c>
      <c r="S56" s="43" t="n">
        <f aca="false">SUMIFS('Additions (monthly)'!$E$2:$E$106,'Additions (monthly)'!$D$2:$D$106,S$2,'Additions (monthly)'!$B$2:$B$106,"&lt;="&amp;$B56)</f>
        <v>7.2</v>
      </c>
      <c r="T56" s="43" t="n">
        <f aca="false">SUMIFS('Additions (monthly)'!$E$2:$E$106,'Additions (monthly)'!$D$2:$D$106,T$2,'Additions (monthly)'!$B$2:$B$106,"&lt;="&amp;$B56)</f>
        <v>0</v>
      </c>
      <c r="U56" s="43" t="n">
        <f aca="false">SUMIFS('Additions (monthly)'!$E$2:$E$106,'Additions (monthly)'!$D$2:$D$106,U$2,'Additions (monthly)'!$B$2:$B$106,"&lt;="&amp;$B56)</f>
        <v>0</v>
      </c>
      <c r="V56" s="43" t="n">
        <f aca="false">SUMIFS('Additions (monthly)'!$E$2:$E$106,'Additions (monthly)'!$D$2:$D$106,V$2,'Additions (monthly)'!$B$2:$B$106,"&lt;="&amp;$B56)</f>
        <v>3.87</v>
      </c>
      <c r="W56" s="43" t="n">
        <f aca="false">SUMIFS('Additions (monthly)'!$E$2:$E$106,'Additions (monthly)'!$D$2:$D$106,W$2,'Additions (monthly)'!$B$2:$B$106,"&lt;="&amp;$B56)</f>
        <v>0</v>
      </c>
      <c r="X56" s="43" t="n">
        <f aca="false">SUMIFS('Additions (monthly)'!$E$2:$E$106,'Additions (monthly)'!$D$2:$D$106,X$2,'Additions (monthly)'!$B$2:$B$106,"&lt;="&amp;$B56)</f>
        <v>0</v>
      </c>
      <c r="Y56" s="43" t="n">
        <f aca="false">SUMIFS('Additions (monthly)'!$E$2:$E$106,'Additions (monthly)'!$D$2:$D$106,Y$2,'Additions (monthly)'!$B$2:$B$106,"&lt;="&amp;$B56)</f>
        <v>5</v>
      </c>
      <c r="Z56" s="43" t="n">
        <f aca="false">SUMIFS('Additions (monthly)'!$E$2:$E$106,'Additions (monthly)'!$D$2:$D$106,Z$2,'Additions (monthly)'!$B$2:$B$106,"&lt;="&amp;$B56)</f>
        <v>7.2</v>
      </c>
      <c r="AA56" s="43" t="n">
        <f aca="false">SUMIFS('Additions (monthly)'!$E$2:$E$106,'Additions (monthly)'!$D$2:$D$106,AA$2,'Additions (monthly)'!$B$2:$B$106,"&lt;="&amp;$B56)</f>
        <v>3.7</v>
      </c>
      <c r="AB56" s="43" t="n">
        <f aca="false">SUMIFS('Additions (monthly)'!$E$2:$E$106,'Additions (monthly)'!$D$2:$D$106,AB$2,'Additions (monthly)'!$B$2:$B$106,"&lt;="&amp;$B56)</f>
        <v>16.95</v>
      </c>
      <c r="AC56" s="43" t="n">
        <f aca="false">SUMIFS('Additions (monthly)'!$E$2:$E$106,'Additions (monthly)'!$D$2:$D$106,AC$2,'Additions (monthly)'!$B$2:$B$106,"&lt;="&amp;$B56)</f>
        <v>0</v>
      </c>
      <c r="AD56" s="43" t="n">
        <f aca="false">SUMIFS('Additions (monthly)'!$E$2:$E$106,'Additions (monthly)'!$D$2:$D$106,AD$2,'Additions (monthly)'!$B$2:$B$106,"&lt;="&amp;$B56)</f>
        <v>7.6</v>
      </c>
      <c r="AE56" s="43" t="n">
        <f aca="false">SUMIFS('Additions (monthly)'!$E$2:$E$106,'Additions (monthly)'!$D$2:$D$106,AE$2,'Additions (monthly)'!$B$2:$B$106,"&lt;="&amp;$B56)</f>
        <v>25.7</v>
      </c>
      <c r="AF56" s="43" t="n">
        <f aca="false">SUMIFS('Additions (monthly)'!$E$2:$E$106,'Additions (monthly)'!$D$2:$D$106,AF$2,'Additions (monthly)'!$B$2:$B$106,"&lt;="&amp;$B56)</f>
        <v>0</v>
      </c>
      <c r="AG56" s="43" t="n">
        <f aca="false">SUMIFS('Additions (monthly)'!$E$2:$E$106,'Additions (monthly)'!$D$2:$D$106,AG$2,'Additions (monthly)'!$B$2:$B$106,"&lt;="&amp;$B56)</f>
        <v>0</v>
      </c>
      <c r="AH56" s="43" t="n">
        <f aca="false">SUMIFS('Additions (monthly)'!$E$2:$E$106,'Additions (monthly)'!$D$2:$D$106,AH$2,'Additions (monthly)'!$B$2:$B$106,"&lt;="&amp;$B56)</f>
        <v>0</v>
      </c>
      <c r="AI56" s="43" t="n">
        <f aca="false">SUMIFS('Additions (monthly)'!$E$2:$E$106,'Additions (monthly)'!$D$2:$D$106,AI$2,'Additions (monthly)'!$B$2:$B$106,"&lt;="&amp;$B56)</f>
        <v>0</v>
      </c>
      <c r="AJ56" s="43" t="n">
        <f aca="false">SUMIFS('Additions (monthly)'!$E$2:$E$106,'Additions (monthly)'!$D$2:$D$106,AJ$2,'Additions (monthly)'!$B$2:$B$106,"&lt;="&amp;$B56)</f>
        <v>0</v>
      </c>
      <c r="AK56" s="43" t="n">
        <f aca="false">SUMIFS('Additions (monthly)'!$E$2:$E$106,'Additions (monthly)'!$D$2:$D$106,AK$2,'Additions (monthly)'!$B$2:$B$106,"&lt;="&amp;$B56)</f>
        <v>0</v>
      </c>
      <c r="AL56" s="43" t="n">
        <f aca="false">SUMIFS('Additions (monthly)'!$E$2:$E$106,'Additions (monthly)'!$D$2:$D$106,AL$2,'Additions (monthly)'!$B$2:$B$106,"&lt;="&amp;$B56)</f>
        <v>22.2</v>
      </c>
      <c r="AM56" s="43" t="n">
        <f aca="false">SUMIFS('Additions (monthly)'!$E$2:$E$106,'Additions (monthly)'!$D$2:$D$106,AM$2,'Additions (monthly)'!$B$2:$B$106,"&lt;="&amp;$B56)</f>
        <v>0.3</v>
      </c>
      <c r="AN56" s="43" t="n">
        <f aca="false">SUMIFS('Additions (monthly)'!$E$2:$E$106,'Additions (monthly)'!$D$2:$D$106,AN$2,'Additions (monthly)'!$B$2:$B$106,"&lt;="&amp;$B56)</f>
        <v>4.3</v>
      </c>
      <c r="AO56" s="43" t="n">
        <f aca="false">SUMIFS('Additions (monthly)'!$E$2:$E$106,'Additions (monthly)'!$D$2:$D$106,AO$2,'Additions (monthly)'!$B$2:$B$106,"&lt;="&amp;$B56)</f>
        <v>10.4</v>
      </c>
      <c r="AP56" s="43" t="n">
        <f aca="false">SUMIFS('Additions (monthly)'!$E$2:$E$106,'Additions (monthly)'!$D$2:$D$106,AP$2,'Additions (monthly)'!$B$2:$B$106,"&lt;="&amp;$B56)</f>
        <v>6.9</v>
      </c>
      <c r="AQ56" s="43" t="n">
        <f aca="false">SUMIFS('Additions (monthly)'!$E$2:$E$106,'Additions (monthly)'!$D$2:$D$106,AQ$2,'Additions (monthly)'!$B$2:$B$106,"&lt;="&amp;$B56)</f>
        <v>4.45</v>
      </c>
      <c r="AR56" s="43" t="n">
        <f aca="false">SUMIFS('Additions (monthly)'!$E$2:$E$106,'Additions (monthly)'!$D$2:$D$106,AR$2,'Additions (monthly)'!$B$2:$B$106,"&lt;="&amp;$B56)</f>
        <v>77.1</v>
      </c>
      <c r="AS56" s="43" t="n">
        <f aca="false">SUMIFS('Additions (monthly)'!$E$2:$E$106,'Additions (monthly)'!$D$2:$D$106,AS$2,'Additions (monthly)'!$B$2:$B$106,"&lt;="&amp;$B56)</f>
        <v>0</v>
      </c>
      <c r="AT56" s="43" t="n">
        <f aca="false">SUMIFS('Additions (monthly)'!$E$2:$E$106,'Additions (monthly)'!$D$2:$D$106,AT$2,'Additions (monthly)'!$B$2:$B$106,"&lt;="&amp;$B56)</f>
        <v>0</v>
      </c>
      <c r="AU56" s="43" t="n">
        <f aca="false">SUMIFS('Additions (monthly)'!$E$2:$E$106,'Additions (monthly)'!$D$2:$D$106,AU$2,'Additions (monthly)'!$B$2:$B$106,"&lt;="&amp;$B56)</f>
        <v>9.6</v>
      </c>
      <c r="AV56" s="43" t="n">
        <f aca="false">SUMIFS('Additions (monthly)'!$E$2:$E$106,'Additions (monthly)'!$D$2:$D$106,AV$2,'Additions (monthly)'!$B$2:$B$106,"&lt;="&amp;$B56)</f>
        <v>0</v>
      </c>
      <c r="AW56" s="43" t="n">
        <f aca="false">SUMIFS('Additions (monthly)'!$E$2:$E$106,'Additions (monthly)'!$D$2:$D$106,AW$2,'Additions (monthly)'!$B$2:$B$106,"&lt;="&amp;$B56)</f>
        <v>0</v>
      </c>
      <c r="AX56" s="43" t="n">
        <f aca="false">SUMIFS('Additions (monthly)'!$E$2:$E$106,'Additions (monthly)'!$D$2:$D$106,AX$2,'Additions (monthly)'!$B$2:$B$106,"&lt;="&amp;$B56)</f>
        <v>11.8</v>
      </c>
      <c r="AY56" s="43" t="n">
        <f aca="false">SUMIFS('Additions (monthly)'!$E$2:$E$106,'Additions (monthly)'!$D$2:$D$106,AY$2,'Additions (monthly)'!$B$2:$B$106,"&lt;="&amp;$B56)</f>
        <v>5.3</v>
      </c>
      <c r="AZ56" s="43" t="n">
        <f aca="false">SUMIFS('Additions (monthly)'!$E$2:$E$106,'Additions (monthly)'!$D$2:$D$106,AZ$2,'Additions (monthly)'!$B$2:$B$106,"&lt;="&amp;$B56)</f>
        <v>0</v>
      </c>
      <c r="BA56" s="43" t="n">
        <f aca="false">SUMIFS('Additions (monthly)'!$E$2:$E$106,'Additions (monthly)'!$D$2:$D$106,BA$2,'Additions (monthly)'!$B$2:$B$106,"&lt;="&amp;$B56)</f>
        <v>0</v>
      </c>
      <c r="BB56" s="43" t="n">
        <f aca="false">SUMIFS('Additions (monthly)'!$E$2:$E$106,'Additions (monthly)'!$D$2:$D$106,BB$2,'Additions (monthly)'!$B$2:$B$106,"&lt;="&amp;$B56)</f>
        <v>0</v>
      </c>
      <c r="BC56" s="43" t="n">
        <f aca="false">SUMIFS('Additions (monthly)'!$E$2:$E$106,'Additions (monthly)'!$D$2:$D$106,BC$2,'Additions (monthly)'!$B$2:$B$106,"&lt;="&amp;$B56)</f>
        <v>0</v>
      </c>
      <c r="BD56" s="43" t="n">
        <f aca="false">SUMIFS('Additions (monthly)'!$E$2:$E$106,'Additions (monthly)'!$D$2:$D$106,BD$2,'Additions (monthly)'!$B$2:$B$106,"&lt;="&amp;$B56)</f>
        <v>0</v>
      </c>
      <c r="BE56" s="43" t="n">
        <f aca="false">SUMIFS('Additions (monthly)'!$E$2:$E$106,'Additions (monthly)'!$D$2:$D$106,BE$2,'Additions (monthly)'!$B$2:$B$106,"&lt;="&amp;$B56)</f>
        <v>0</v>
      </c>
      <c r="BF56" s="43" t="n">
        <f aca="false">SUMIFS('Additions (monthly)'!$E$2:$E$106,'Additions (monthly)'!$D$2:$D$106,BF$2,'Additions (monthly)'!$B$2:$B$106,"&lt;="&amp;$B56)</f>
        <v>0</v>
      </c>
      <c r="BG56" s="43" t="n">
        <f aca="false">SUMIFS('Additions (monthly)'!$E$2:$E$106,'Additions (monthly)'!$D$2:$D$106,BG$2,'Additions (monthly)'!$B$2:$B$106,"&lt;="&amp;$B56)</f>
        <v>0</v>
      </c>
      <c r="BH56" s="43" t="n">
        <f aca="false">SUMIFS('Additions (monthly)'!$E$2:$E$106,'Additions (monthly)'!$D$2:$D$106,BH$2,'Additions (monthly)'!$B$2:$B$106,"&lt;="&amp;$B56)</f>
        <v>0</v>
      </c>
      <c r="BI56" s="43" t="n">
        <f aca="false">SUMIFS('Additions (monthly)'!$E$2:$E$106,'Additions (monthly)'!$D$2:$D$106,BI$2,'Additions (monthly)'!$B$2:$B$106,"&lt;="&amp;$B56)</f>
        <v>6.7</v>
      </c>
    </row>
    <row r="57" customFormat="false" ht="15" hidden="false" customHeight="false" outlineLevel="0" collapsed="false">
      <c r="A57" s="23" t="n">
        <v>41821</v>
      </c>
      <c r="B57" s="24" t="n">
        <v>201407</v>
      </c>
      <c r="C57" s="42" t="n">
        <f aca="false">SUMIFS('Additions (monthly)'!$E$2:$E$106,'Additions (monthly)'!$B$2:$B$106,"&lt;="&amp;$B57)</f>
        <v>285.07</v>
      </c>
      <c r="D57" s="43" t="n">
        <f aca="false">SUMIFS('Additions (monthly)'!$E$2:$E$106,'Additions (monthly)'!$D$2:$D$106,D$2,'Additions (monthly)'!$B$2:$B$106,"&lt;="&amp;$B57)</f>
        <v>7.9</v>
      </c>
      <c r="E57" s="43" t="n">
        <f aca="false">SUMIFS('Additions (monthly)'!$E$2:$E$106,'Additions (monthly)'!$D$2:$D$106,E$2,'Additions (monthly)'!$B$2:$B$106,"&lt;="&amp;$B57)</f>
        <v>8.4</v>
      </c>
      <c r="F57" s="43" t="n">
        <f aca="false">SUMIFS('Additions (monthly)'!$E$2:$E$106,'Additions (monthly)'!$D$2:$D$106,F$2,'Additions (monthly)'!$B$2:$B$106,"&lt;="&amp;$B57)</f>
        <v>0</v>
      </c>
      <c r="G57" s="43" t="n">
        <f aca="false">SUMIFS('Additions (monthly)'!$E$2:$E$106,'Additions (monthly)'!$D$2:$D$106,G$2,'Additions (monthly)'!$B$2:$B$106,"&lt;="&amp;$B57)</f>
        <v>4.5</v>
      </c>
      <c r="H57" s="43" t="n">
        <f aca="false">SUMIFS('Additions (monthly)'!$E$2:$E$106,'Additions (monthly)'!$D$2:$D$106,H$2,'Additions (monthly)'!$B$2:$B$106,"&lt;="&amp;$B57)</f>
        <v>5.2</v>
      </c>
      <c r="I57" s="43" t="n">
        <f aca="false">SUMIFS('Additions (monthly)'!$E$2:$E$106,'Additions (monthly)'!$D$2:$D$106,I$2,'Additions (monthly)'!$B$2:$B$106,"&lt;="&amp;$B57)</f>
        <v>0</v>
      </c>
      <c r="J57" s="43" t="n">
        <f aca="false">SUMIFS('Additions (monthly)'!$E$2:$E$106,'Additions (monthly)'!$D$2:$D$106,J$2,'Additions (monthly)'!$B$2:$B$106,"&lt;="&amp;$B57)</f>
        <v>3.7</v>
      </c>
      <c r="K57" s="43" t="n">
        <f aca="false">SUMIFS('Additions (monthly)'!$E$2:$E$106,'Additions (monthly)'!$D$2:$D$106,K$2,'Additions (monthly)'!$B$2:$B$106,"&lt;="&amp;$B57)</f>
        <v>0</v>
      </c>
      <c r="L57" s="43" t="n">
        <f aca="false">SUMIFS('Additions (monthly)'!$E$2:$E$106,'Additions (monthly)'!$D$2:$D$106,L$2,'Additions (monthly)'!$B$2:$B$106,"&lt;="&amp;$B57)</f>
        <v>0</v>
      </c>
      <c r="M57" s="43" t="n">
        <f aca="false">SUMIFS('Additions (monthly)'!$E$2:$E$106,'Additions (monthly)'!$D$2:$D$106,M$2,'Additions (monthly)'!$B$2:$B$106,"&lt;="&amp;$B57)</f>
        <v>0</v>
      </c>
      <c r="N57" s="43" t="n">
        <f aca="false">SUMIFS('Additions (monthly)'!$E$2:$E$106,'Additions (monthly)'!$D$2:$D$106,N$2,'Additions (monthly)'!$B$2:$B$106,"&lt;="&amp;$B57)</f>
        <v>14.2</v>
      </c>
      <c r="O57" s="43" t="n">
        <f aca="false">SUMIFS('Additions (monthly)'!$E$2:$E$106,'Additions (monthly)'!$D$2:$D$106,O$2,'Additions (monthly)'!$B$2:$B$106,"&lt;="&amp;$B57)</f>
        <v>4.9</v>
      </c>
      <c r="P57" s="43" t="n">
        <f aca="false">SUMIFS('Additions (monthly)'!$E$2:$E$106,'Additions (monthly)'!$D$2:$D$106,P$2,'Additions (monthly)'!$B$2:$B$106,"&lt;="&amp;$B57)</f>
        <v>0</v>
      </c>
      <c r="Q57" s="43" t="n">
        <f aca="false">SUMIFS('Additions (monthly)'!$E$2:$E$106,'Additions (monthly)'!$D$2:$D$106,Q$2,'Additions (monthly)'!$B$2:$B$106,"&lt;="&amp;$B57)</f>
        <v>0</v>
      </c>
      <c r="R57" s="43" t="n">
        <f aca="false">SUMIFS('Additions (monthly)'!$E$2:$E$106,'Additions (monthly)'!$D$2:$D$106,R$2,'Additions (monthly)'!$B$2:$B$106,"&lt;="&amp;$B57)</f>
        <v>0</v>
      </c>
      <c r="S57" s="43" t="n">
        <f aca="false">SUMIFS('Additions (monthly)'!$E$2:$E$106,'Additions (monthly)'!$D$2:$D$106,S$2,'Additions (monthly)'!$B$2:$B$106,"&lt;="&amp;$B57)</f>
        <v>7.2</v>
      </c>
      <c r="T57" s="43" t="n">
        <f aca="false">SUMIFS('Additions (monthly)'!$E$2:$E$106,'Additions (monthly)'!$D$2:$D$106,T$2,'Additions (monthly)'!$B$2:$B$106,"&lt;="&amp;$B57)</f>
        <v>0</v>
      </c>
      <c r="U57" s="43" t="n">
        <f aca="false">SUMIFS('Additions (monthly)'!$E$2:$E$106,'Additions (monthly)'!$D$2:$D$106,U$2,'Additions (monthly)'!$B$2:$B$106,"&lt;="&amp;$B57)</f>
        <v>0</v>
      </c>
      <c r="V57" s="43" t="n">
        <f aca="false">SUMIFS('Additions (monthly)'!$E$2:$E$106,'Additions (monthly)'!$D$2:$D$106,V$2,'Additions (monthly)'!$B$2:$B$106,"&lt;="&amp;$B57)</f>
        <v>3.87</v>
      </c>
      <c r="W57" s="43" t="n">
        <f aca="false">SUMIFS('Additions (monthly)'!$E$2:$E$106,'Additions (monthly)'!$D$2:$D$106,W$2,'Additions (monthly)'!$B$2:$B$106,"&lt;="&amp;$B57)</f>
        <v>0</v>
      </c>
      <c r="X57" s="43" t="n">
        <f aca="false">SUMIFS('Additions (monthly)'!$E$2:$E$106,'Additions (monthly)'!$D$2:$D$106,X$2,'Additions (monthly)'!$B$2:$B$106,"&lt;="&amp;$B57)</f>
        <v>0</v>
      </c>
      <c r="Y57" s="43" t="n">
        <f aca="false">SUMIFS('Additions (monthly)'!$E$2:$E$106,'Additions (monthly)'!$D$2:$D$106,Y$2,'Additions (monthly)'!$B$2:$B$106,"&lt;="&amp;$B57)</f>
        <v>5</v>
      </c>
      <c r="Z57" s="43" t="n">
        <f aca="false">SUMIFS('Additions (monthly)'!$E$2:$E$106,'Additions (monthly)'!$D$2:$D$106,Z$2,'Additions (monthly)'!$B$2:$B$106,"&lt;="&amp;$B57)</f>
        <v>7.2</v>
      </c>
      <c r="AA57" s="43" t="n">
        <f aca="false">SUMIFS('Additions (monthly)'!$E$2:$E$106,'Additions (monthly)'!$D$2:$D$106,AA$2,'Additions (monthly)'!$B$2:$B$106,"&lt;="&amp;$B57)</f>
        <v>3.7</v>
      </c>
      <c r="AB57" s="43" t="n">
        <f aca="false">SUMIFS('Additions (monthly)'!$E$2:$E$106,'Additions (monthly)'!$D$2:$D$106,AB$2,'Additions (monthly)'!$B$2:$B$106,"&lt;="&amp;$B57)</f>
        <v>16.95</v>
      </c>
      <c r="AC57" s="43" t="n">
        <f aca="false">SUMIFS('Additions (monthly)'!$E$2:$E$106,'Additions (monthly)'!$D$2:$D$106,AC$2,'Additions (monthly)'!$B$2:$B$106,"&lt;="&amp;$B57)</f>
        <v>0</v>
      </c>
      <c r="AD57" s="43" t="n">
        <f aca="false">SUMIFS('Additions (monthly)'!$E$2:$E$106,'Additions (monthly)'!$D$2:$D$106,AD$2,'Additions (monthly)'!$B$2:$B$106,"&lt;="&amp;$B57)</f>
        <v>7.6</v>
      </c>
      <c r="AE57" s="43" t="n">
        <f aca="false">SUMIFS('Additions (monthly)'!$E$2:$E$106,'Additions (monthly)'!$D$2:$D$106,AE$2,'Additions (monthly)'!$B$2:$B$106,"&lt;="&amp;$B57)</f>
        <v>25.7</v>
      </c>
      <c r="AF57" s="43" t="n">
        <f aca="false">SUMIFS('Additions (monthly)'!$E$2:$E$106,'Additions (monthly)'!$D$2:$D$106,AF$2,'Additions (monthly)'!$B$2:$B$106,"&lt;="&amp;$B57)</f>
        <v>0</v>
      </c>
      <c r="AG57" s="43" t="n">
        <f aca="false">SUMIFS('Additions (monthly)'!$E$2:$E$106,'Additions (monthly)'!$D$2:$D$106,AG$2,'Additions (monthly)'!$B$2:$B$106,"&lt;="&amp;$B57)</f>
        <v>0</v>
      </c>
      <c r="AH57" s="43" t="n">
        <f aca="false">SUMIFS('Additions (monthly)'!$E$2:$E$106,'Additions (monthly)'!$D$2:$D$106,AH$2,'Additions (monthly)'!$B$2:$B$106,"&lt;="&amp;$B57)</f>
        <v>0</v>
      </c>
      <c r="AI57" s="43" t="n">
        <f aca="false">SUMIFS('Additions (monthly)'!$E$2:$E$106,'Additions (monthly)'!$D$2:$D$106,AI$2,'Additions (monthly)'!$B$2:$B$106,"&lt;="&amp;$B57)</f>
        <v>0</v>
      </c>
      <c r="AJ57" s="43" t="n">
        <f aca="false">SUMIFS('Additions (monthly)'!$E$2:$E$106,'Additions (monthly)'!$D$2:$D$106,AJ$2,'Additions (monthly)'!$B$2:$B$106,"&lt;="&amp;$B57)</f>
        <v>0</v>
      </c>
      <c r="AK57" s="43" t="n">
        <f aca="false">SUMIFS('Additions (monthly)'!$E$2:$E$106,'Additions (monthly)'!$D$2:$D$106,AK$2,'Additions (monthly)'!$B$2:$B$106,"&lt;="&amp;$B57)</f>
        <v>0</v>
      </c>
      <c r="AL57" s="43" t="n">
        <f aca="false">SUMIFS('Additions (monthly)'!$E$2:$E$106,'Additions (monthly)'!$D$2:$D$106,AL$2,'Additions (monthly)'!$B$2:$B$106,"&lt;="&amp;$B57)</f>
        <v>22.2</v>
      </c>
      <c r="AM57" s="43" t="n">
        <f aca="false">SUMIFS('Additions (monthly)'!$E$2:$E$106,'Additions (monthly)'!$D$2:$D$106,AM$2,'Additions (monthly)'!$B$2:$B$106,"&lt;="&amp;$B57)</f>
        <v>0.3</v>
      </c>
      <c r="AN57" s="43" t="n">
        <f aca="false">SUMIFS('Additions (monthly)'!$E$2:$E$106,'Additions (monthly)'!$D$2:$D$106,AN$2,'Additions (monthly)'!$B$2:$B$106,"&lt;="&amp;$B57)</f>
        <v>4.3</v>
      </c>
      <c r="AO57" s="43" t="n">
        <f aca="false">SUMIFS('Additions (monthly)'!$E$2:$E$106,'Additions (monthly)'!$D$2:$D$106,AO$2,'Additions (monthly)'!$B$2:$B$106,"&lt;="&amp;$B57)</f>
        <v>10.4</v>
      </c>
      <c r="AP57" s="43" t="n">
        <f aca="false">SUMIFS('Additions (monthly)'!$E$2:$E$106,'Additions (monthly)'!$D$2:$D$106,AP$2,'Additions (monthly)'!$B$2:$B$106,"&lt;="&amp;$B57)</f>
        <v>6.9</v>
      </c>
      <c r="AQ57" s="43" t="n">
        <f aca="false">SUMIFS('Additions (monthly)'!$E$2:$E$106,'Additions (monthly)'!$D$2:$D$106,AQ$2,'Additions (monthly)'!$B$2:$B$106,"&lt;="&amp;$B57)</f>
        <v>4.45</v>
      </c>
      <c r="AR57" s="43" t="n">
        <f aca="false">SUMIFS('Additions (monthly)'!$E$2:$E$106,'Additions (monthly)'!$D$2:$D$106,AR$2,'Additions (monthly)'!$B$2:$B$106,"&lt;="&amp;$B57)</f>
        <v>77.1</v>
      </c>
      <c r="AS57" s="43" t="n">
        <f aca="false">SUMIFS('Additions (monthly)'!$E$2:$E$106,'Additions (monthly)'!$D$2:$D$106,AS$2,'Additions (monthly)'!$B$2:$B$106,"&lt;="&amp;$B57)</f>
        <v>0</v>
      </c>
      <c r="AT57" s="43" t="n">
        <f aca="false">SUMIFS('Additions (monthly)'!$E$2:$E$106,'Additions (monthly)'!$D$2:$D$106,AT$2,'Additions (monthly)'!$B$2:$B$106,"&lt;="&amp;$B57)</f>
        <v>0</v>
      </c>
      <c r="AU57" s="43" t="n">
        <f aca="false">SUMIFS('Additions (monthly)'!$E$2:$E$106,'Additions (monthly)'!$D$2:$D$106,AU$2,'Additions (monthly)'!$B$2:$B$106,"&lt;="&amp;$B57)</f>
        <v>9.6</v>
      </c>
      <c r="AV57" s="43" t="n">
        <f aca="false">SUMIFS('Additions (monthly)'!$E$2:$E$106,'Additions (monthly)'!$D$2:$D$106,AV$2,'Additions (monthly)'!$B$2:$B$106,"&lt;="&amp;$B57)</f>
        <v>0</v>
      </c>
      <c r="AW57" s="43" t="n">
        <f aca="false">SUMIFS('Additions (monthly)'!$E$2:$E$106,'Additions (monthly)'!$D$2:$D$106,AW$2,'Additions (monthly)'!$B$2:$B$106,"&lt;="&amp;$B57)</f>
        <v>0</v>
      </c>
      <c r="AX57" s="43" t="n">
        <f aca="false">SUMIFS('Additions (monthly)'!$E$2:$E$106,'Additions (monthly)'!$D$2:$D$106,AX$2,'Additions (monthly)'!$B$2:$B$106,"&lt;="&amp;$B57)</f>
        <v>11.8</v>
      </c>
      <c r="AY57" s="43" t="n">
        <f aca="false">SUMIFS('Additions (monthly)'!$E$2:$E$106,'Additions (monthly)'!$D$2:$D$106,AY$2,'Additions (monthly)'!$B$2:$B$106,"&lt;="&amp;$B57)</f>
        <v>5.3</v>
      </c>
      <c r="AZ57" s="43" t="n">
        <f aca="false">SUMIFS('Additions (monthly)'!$E$2:$E$106,'Additions (monthly)'!$D$2:$D$106,AZ$2,'Additions (monthly)'!$B$2:$B$106,"&lt;="&amp;$B57)</f>
        <v>0</v>
      </c>
      <c r="BA57" s="43" t="n">
        <f aca="false">SUMIFS('Additions (monthly)'!$E$2:$E$106,'Additions (monthly)'!$D$2:$D$106,BA$2,'Additions (monthly)'!$B$2:$B$106,"&lt;="&amp;$B57)</f>
        <v>0</v>
      </c>
      <c r="BB57" s="43" t="n">
        <f aca="false">SUMIFS('Additions (monthly)'!$E$2:$E$106,'Additions (monthly)'!$D$2:$D$106,BB$2,'Additions (monthly)'!$B$2:$B$106,"&lt;="&amp;$B57)</f>
        <v>0</v>
      </c>
      <c r="BC57" s="43" t="n">
        <f aca="false">SUMIFS('Additions (monthly)'!$E$2:$E$106,'Additions (monthly)'!$D$2:$D$106,BC$2,'Additions (monthly)'!$B$2:$B$106,"&lt;="&amp;$B57)</f>
        <v>0</v>
      </c>
      <c r="BD57" s="43" t="n">
        <f aca="false">SUMIFS('Additions (monthly)'!$E$2:$E$106,'Additions (monthly)'!$D$2:$D$106,BD$2,'Additions (monthly)'!$B$2:$B$106,"&lt;="&amp;$B57)</f>
        <v>0</v>
      </c>
      <c r="BE57" s="43" t="n">
        <f aca="false">SUMIFS('Additions (monthly)'!$E$2:$E$106,'Additions (monthly)'!$D$2:$D$106,BE$2,'Additions (monthly)'!$B$2:$B$106,"&lt;="&amp;$B57)</f>
        <v>0</v>
      </c>
      <c r="BF57" s="43" t="n">
        <f aca="false">SUMIFS('Additions (monthly)'!$E$2:$E$106,'Additions (monthly)'!$D$2:$D$106,BF$2,'Additions (monthly)'!$B$2:$B$106,"&lt;="&amp;$B57)</f>
        <v>0</v>
      </c>
      <c r="BG57" s="43" t="n">
        <f aca="false">SUMIFS('Additions (monthly)'!$E$2:$E$106,'Additions (monthly)'!$D$2:$D$106,BG$2,'Additions (monthly)'!$B$2:$B$106,"&lt;="&amp;$B57)</f>
        <v>0</v>
      </c>
      <c r="BH57" s="43" t="n">
        <f aca="false">SUMIFS('Additions (monthly)'!$E$2:$E$106,'Additions (monthly)'!$D$2:$D$106,BH$2,'Additions (monthly)'!$B$2:$B$106,"&lt;="&amp;$B57)</f>
        <v>0</v>
      </c>
      <c r="BI57" s="43" t="n">
        <f aca="false">SUMIFS('Additions (monthly)'!$E$2:$E$106,'Additions (monthly)'!$D$2:$D$106,BI$2,'Additions (monthly)'!$B$2:$B$106,"&lt;="&amp;$B57)</f>
        <v>6.7</v>
      </c>
    </row>
    <row r="58" customFormat="false" ht="15" hidden="false" customHeight="false" outlineLevel="0" collapsed="false">
      <c r="A58" s="23" t="n">
        <v>41852</v>
      </c>
      <c r="B58" s="24" t="n">
        <v>201408</v>
      </c>
      <c r="C58" s="42" t="n">
        <f aca="false">SUMIFS('Additions (monthly)'!$E$2:$E$106,'Additions (monthly)'!$B$2:$B$106,"&lt;="&amp;$B58)</f>
        <v>285.07</v>
      </c>
      <c r="D58" s="43" t="n">
        <f aca="false">SUMIFS('Additions (monthly)'!$E$2:$E$106,'Additions (monthly)'!$D$2:$D$106,D$2,'Additions (monthly)'!$B$2:$B$106,"&lt;="&amp;$B58)</f>
        <v>7.9</v>
      </c>
      <c r="E58" s="43" t="n">
        <f aca="false">SUMIFS('Additions (monthly)'!$E$2:$E$106,'Additions (monthly)'!$D$2:$D$106,E$2,'Additions (monthly)'!$B$2:$B$106,"&lt;="&amp;$B58)</f>
        <v>8.4</v>
      </c>
      <c r="F58" s="43" t="n">
        <f aca="false">SUMIFS('Additions (monthly)'!$E$2:$E$106,'Additions (monthly)'!$D$2:$D$106,F$2,'Additions (monthly)'!$B$2:$B$106,"&lt;="&amp;$B58)</f>
        <v>0</v>
      </c>
      <c r="G58" s="43" t="n">
        <f aca="false">SUMIFS('Additions (monthly)'!$E$2:$E$106,'Additions (monthly)'!$D$2:$D$106,G$2,'Additions (monthly)'!$B$2:$B$106,"&lt;="&amp;$B58)</f>
        <v>4.5</v>
      </c>
      <c r="H58" s="43" t="n">
        <f aca="false">SUMIFS('Additions (monthly)'!$E$2:$E$106,'Additions (monthly)'!$D$2:$D$106,H$2,'Additions (monthly)'!$B$2:$B$106,"&lt;="&amp;$B58)</f>
        <v>5.2</v>
      </c>
      <c r="I58" s="43" t="n">
        <f aca="false">SUMIFS('Additions (monthly)'!$E$2:$E$106,'Additions (monthly)'!$D$2:$D$106,I$2,'Additions (monthly)'!$B$2:$B$106,"&lt;="&amp;$B58)</f>
        <v>0</v>
      </c>
      <c r="J58" s="43" t="n">
        <f aca="false">SUMIFS('Additions (monthly)'!$E$2:$E$106,'Additions (monthly)'!$D$2:$D$106,J$2,'Additions (monthly)'!$B$2:$B$106,"&lt;="&amp;$B58)</f>
        <v>3.7</v>
      </c>
      <c r="K58" s="43" t="n">
        <f aca="false">SUMIFS('Additions (monthly)'!$E$2:$E$106,'Additions (monthly)'!$D$2:$D$106,K$2,'Additions (monthly)'!$B$2:$B$106,"&lt;="&amp;$B58)</f>
        <v>0</v>
      </c>
      <c r="L58" s="43" t="n">
        <f aca="false">SUMIFS('Additions (monthly)'!$E$2:$E$106,'Additions (monthly)'!$D$2:$D$106,L$2,'Additions (monthly)'!$B$2:$B$106,"&lt;="&amp;$B58)</f>
        <v>0</v>
      </c>
      <c r="M58" s="43" t="n">
        <f aca="false">SUMIFS('Additions (monthly)'!$E$2:$E$106,'Additions (monthly)'!$D$2:$D$106,M$2,'Additions (monthly)'!$B$2:$B$106,"&lt;="&amp;$B58)</f>
        <v>0</v>
      </c>
      <c r="N58" s="43" t="n">
        <f aca="false">SUMIFS('Additions (monthly)'!$E$2:$E$106,'Additions (monthly)'!$D$2:$D$106,N$2,'Additions (monthly)'!$B$2:$B$106,"&lt;="&amp;$B58)</f>
        <v>14.2</v>
      </c>
      <c r="O58" s="43" t="n">
        <f aca="false">SUMIFS('Additions (monthly)'!$E$2:$E$106,'Additions (monthly)'!$D$2:$D$106,O$2,'Additions (monthly)'!$B$2:$B$106,"&lt;="&amp;$B58)</f>
        <v>4.9</v>
      </c>
      <c r="P58" s="43" t="n">
        <f aca="false">SUMIFS('Additions (monthly)'!$E$2:$E$106,'Additions (monthly)'!$D$2:$D$106,P$2,'Additions (monthly)'!$B$2:$B$106,"&lt;="&amp;$B58)</f>
        <v>0</v>
      </c>
      <c r="Q58" s="43" t="n">
        <f aca="false">SUMIFS('Additions (monthly)'!$E$2:$E$106,'Additions (monthly)'!$D$2:$D$106,Q$2,'Additions (monthly)'!$B$2:$B$106,"&lt;="&amp;$B58)</f>
        <v>0</v>
      </c>
      <c r="R58" s="43" t="n">
        <f aca="false">SUMIFS('Additions (monthly)'!$E$2:$E$106,'Additions (monthly)'!$D$2:$D$106,R$2,'Additions (monthly)'!$B$2:$B$106,"&lt;="&amp;$B58)</f>
        <v>0</v>
      </c>
      <c r="S58" s="43" t="n">
        <f aca="false">SUMIFS('Additions (monthly)'!$E$2:$E$106,'Additions (monthly)'!$D$2:$D$106,S$2,'Additions (monthly)'!$B$2:$B$106,"&lt;="&amp;$B58)</f>
        <v>7.2</v>
      </c>
      <c r="T58" s="43" t="n">
        <f aca="false">SUMIFS('Additions (monthly)'!$E$2:$E$106,'Additions (monthly)'!$D$2:$D$106,T$2,'Additions (monthly)'!$B$2:$B$106,"&lt;="&amp;$B58)</f>
        <v>0</v>
      </c>
      <c r="U58" s="43" t="n">
        <f aca="false">SUMIFS('Additions (monthly)'!$E$2:$E$106,'Additions (monthly)'!$D$2:$D$106,U$2,'Additions (monthly)'!$B$2:$B$106,"&lt;="&amp;$B58)</f>
        <v>0</v>
      </c>
      <c r="V58" s="43" t="n">
        <f aca="false">SUMIFS('Additions (monthly)'!$E$2:$E$106,'Additions (monthly)'!$D$2:$D$106,V$2,'Additions (monthly)'!$B$2:$B$106,"&lt;="&amp;$B58)</f>
        <v>3.87</v>
      </c>
      <c r="W58" s="43" t="n">
        <f aca="false">SUMIFS('Additions (monthly)'!$E$2:$E$106,'Additions (monthly)'!$D$2:$D$106,W$2,'Additions (monthly)'!$B$2:$B$106,"&lt;="&amp;$B58)</f>
        <v>0</v>
      </c>
      <c r="X58" s="43" t="n">
        <f aca="false">SUMIFS('Additions (monthly)'!$E$2:$E$106,'Additions (monthly)'!$D$2:$D$106,X$2,'Additions (monthly)'!$B$2:$B$106,"&lt;="&amp;$B58)</f>
        <v>0</v>
      </c>
      <c r="Y58" s="43" t="n">
        <f aca="false">SUMIFS('Additions (monthly)'!$E$2:$E$106,'Additions (monthly)'!$D$2:$D$106,Y$2,'Additions (monthly)'!$B$2:$B$106,"&lt;="&amp;$B58)</f>
        <v>5</v>
      </c>
      <c r="Z58" s="43" t="n">
        <f aca="false">SUMIFS('Additions (monthly)'!$E$2:$E$106,'Additions (monthly)'!$D$2:$D$106,Z$2,'Additions (monthly)'!$B$2:$B$106,"&lt;="&amp;$B58)</f>
        <v>7.2</v>
      </c>
      <c r="AA58" s="43" t="n">
        <f aca="false">SUMIFS('Additions (monthly)'!$E$2:$E$106,'Additions (monthly)'!$D$2:$D$106,AA$2,'Additions (monthly)'!$B$2:$B$106,"&lt;="&amp;$B58)</f>
        <v>3.7</v>
      </c>
      <c r="AB58" s="43" t="n">
        <f aca="false">SUMIFS('Additions (monthly)'!$E$2:$E$106,'Additions (monthly)'!$D$2:$D$106,AB$2,'Additions (monthly)'!$B$2:$B$106,"&lt;="&amp;$B58)</f>
        <v>16.95</v>
      </c>
      <c r="AC58" s="43" t="n">
        <f aca="false">SUMIFS('Additions (monthly)'!$E$2:$E$106,'Additions (monthly)'!$D$2:$D$106,AC$2,'Additions (monthly)'!$B$2:$B$106,"&lt;="&amp;$B58)</f>
        <v>0</v>
      </c>
      <c r="AD58" s="43" t="n">
        <f aca="false">SUMIFS('Additions (monthly)'!$E$2:$E$106,'Additions (monthly)'!$D$2:$D$106,AD$2,'Additions (monthly)'!$B$2:$B$106,"&lt;="&amp;$B58)</f>
        <v>7.6</v>
      </c>
      <c r="AE58" s="43" t="n">
        <f aca="false">SUMIFS('Additions (monthly)'!$E$2:$E$106,'Additions (monthly)'!$D$2:$D$106,AE$2,'Additions (monthly)'!$B$2:$B$106,"&lt;="&amp;$B58)</f>
        <v>25.7</v>
      </c>
      <c r="AF58" s="43" t="n">
        <f aca="false">SUMIFS('Additions (monthly)'!$E$2:$E$106,'Additions (monthly)'!$D$2:$D$106,AF$2,'Additions (monthly)'!$B$2:$B$106,"&lt;="&amp;$B58)</f>
        <v>0</v>
      </c>
      <c r="AG58" s="43" t="n">
        <f aca="false">SUMIFS('Additions (monthly)'!$E$2:$E$106,'Additions (monthly)'!$D$2:$D$106,AG$2,'Additions (monthly)'!$B$2:$B$106,"&lt;="&amp;$B58)</f>
        <v>0</v>
      </c>
      <c r="AH58" s="43" t="n">
        <f aca="false">SUMIFS('Additions (monthly)'!$E$2:$E$106,'Additions (monthly)'!$D$2:$D$106,AH$2,'Additions (monthly)'!$B$2:$B$106,"&lt;="&amp;$B58)</f>
        <v>0</v>
      </c>
      <c r="AI58" s="43" t="n">
        <f aca="false">SUMIFS('Additions (monthly)'!$E$2:$E$106,'Additions (monthly)'!$D$2:$D$106,AI$2,'Additions (monthly)'!$B$2:$B$106,"&lt;="&amp;$B58)</f>
        <v>0</v>
      </c>
      <c r="AJ58" s="43" t="n">
        <f aca="false">SUMIFS('Additions (monthly)'!$E$2:$E$106,'Additions (monthly)'!$D$2:$D$106,AJ$2,'Additions (monthly)'!$B$2:$B$106,"&lt;="&amp;$B58)</f>
        <v>0</v>
      </c>
      <c r="AK58" s="43" t="n">
        <f aca="false">SUMIFS('Additions (monthly)'!$E$2:$E$106,'Additions (monthly)'!$D$2:$D$106,AK$2,'Additions (monthly)'!$B$2:$B$106,"&lt;="&amp;$B58)</f>
        <v>0</v>
      </c>
      <c r="AL58" s="43" t="n">
        <f aca="false">SUMIFS('Additions (monthly)'!$E$2:$E$106,'Additions (monthly)'!$D$2:$D$106,AL$2,'Additions (monthly)'!$B$2:$B$106,"&lt;="&amp;$B58)</f>
        <v>22.2</v>
      </c>
      <c r="AM58" s="43" t="n">
        <f aca="false">SUMIFS('Additions (monthly)'!$E$2:$E$106,'Additions (monthly)'!$D$2:$D$106,AM$2,'Additions (monthly)'!$B$2:$B$106,"&lt;="&amp;$B58)</f>
        <v>0.3</v>
      </c>
      <c r="AN58" s="43" t="n">
        <f aca="false">SUMIFS('Additions (monthly)'!$E$2:$E$106,'Additions (monthly)'!$D$2:$D$106,AN$2,'Additions (monthly)'!$B$2:$B$106,"&lt;="&amp;$B58)</f>
        <v>4.3</v>
      </c>
      <c r="AO58" s="43" t="n">
        <f aca="false">SUMIFS('Additions (monthly)'!$E$2:$E$106,'Additions (monthly)'!$D$2:$D$106,AO$2,'Additions (monthly)'!$B$2:$B$106,"&lt;="&amp;$B58)</f>
        <v>10.4</v>
      </c>
      <c r="AP58" s="43" t="n">
        <f aca="false">SUMIFS('Additions (monthly)'!$E$2:$E$106,'Additions (monthly)'!$D$2:$D$106,AP$2,'Additions (monthly)'!$B$2:$B$106,"&lt;="&amp;$B58)</f>
        <v>6.9</v>
      </c>
      <c r="AQ58" s="43" t="n">
        <f aca="false">SUMIFS('Additions (monthly)'!$E$2:$E$106,'Additions (monthly)'!$D$2:$D$106,AQ$2,'Additions (monthly)'!$B$2:$B$106,"&lt;="&amp;$B58)</f>
        <v>4.45</v>
      </c>
      <c r="AR58" s="43" t="n">
        <f aca="false">SUMIFS('Additions (monthly)'!$E$2:$E$106,'Additions (monthly)'!$D$2:$D$106,AR$2,'Additions (monthly)'!$B$2:$B$106,"&lt;="&amp;$B58)</f>
        <v>77.1</v>
      </c>
      <c r="AS58" s="43" t="n">
        <f aca="false">SUMIFS('Additions (monthly)'!$E$2:$E$106,'Additions (monthly)'!$D$2:$D$106,AS$2,'Additions (monthly)'!$B$2:$B$106,"&lt;="&amp;$B58)</f>
        <v>0</v>
      </c>
      <c r="AT58" s="43" t="n">
        <f aca="false">SUMIFS('Additions (monthly)'!$E$2:$E$106,'Additions (monthly)'!$D$2:$D$106,AT$2,'Additions (monthly)'!$B$2:$B$106,"&lt;="&amp;$B58)</f>
        <v>0</v>
      </c>
      <c r="AU58" s="43" t="n">
        <f aca="false">SUMIFS('Additions (monthly)'!$E$2:$E$106,'Additions (monthly)'!$D$2:$D$106,AU$2,'Additions (monthly)'!$B$2:$B$106,"&lt;="&amp;$B58)</f>
        <v>9.6</v>
      </c>
      <c r="AV58" s="43" t="n">
        <f aca="false">SUMIFS('Additions (monthly)'!$E$2:$E$106,'Additions (monthly)'!$D$2:$D$106,AV$2,'Additions (monthly)'!$B$2:$B$106,"&lt;="&amp;$B58)</f>
        <v>0</v>
      </c>
      <c r="AW58" s="43" t="n">
        <f aca="false">SUMIFS('Additions (monthly)'!$E$2:$E$106,'Additions (monthly)'!$D$2:$D$106,AW$2,'Additions (monthly)'!$B$2:$B$106,"&lt;="&amp;$B58)</f>
        <v>0</v>
      </c>
      <c r="AX58" s="43" t="n">
        <f aca="false">SUMIFS('Additions (monthly)'!$E$2:$E$106,'Additions (monthly)'!$D$2:$D$106,AX$2,'Additions (monthly)'!$B$2:$B$106,"&lt;="&amp;$B58)</f>
        <v>11.8</v>
      </c>
      <c r="AY58" s="43" t="n">
        <f aca="false">SUMIFS('Additions (monthly)'!$E$2:$E$106,'Additions (monthly)'!$D$2:$D$106,AY$2,'Additions (monthly)'!$B$2:$B$106,"&lt;="&amp;$B58)</f>
        <v>5.3</v>
      </c>
      <c r="AZ58" s="43" t="n">
        <f aca="false">SUMIFS('Additions (monthly)'!$E$2:$E$106,'Additions (monthly)'!$D$2:$D$106,AZ$2,'Additions (monthly)'!$B$2:$B$106,"&lt;="&amp;$B58)</f>
        <v>0</v>
      </c>
      <c r="BA58" s="43" t="n">
        <f aca="false">SUMIFS('Additions (monthly)'!$E$2:$E$106,'Additions (monthly)'!$D$2:$D$106,BA$2,'Additions (monthly)'!$B$2:$B$106,"&lt;="&amp;$B58)</f>
        <v>0</v>
      </c>
      <c r="BB58" s="43" t="n">
        <f aca="false">SUMIFS('Additions (monthly)'!$E$2:$E$106,'Additions (monthly)'!$D$2:$D$106,BB$2,'Additions (monthly)'!$B$2:$B$106,"&lt;="&amp;$B58)</f>
        <v>0</v>
      </c>
      <c r="BC58" s="43" t="n">
        <f aca="false">SUMIFS('Additions (monthly)'!$E$2:$E$106,'Additions (monthly)'!$D$2:$D$106,BC$2,'Additions (monthly)'!$B$2:$B$106,"&lt;="&amp;$B58)</f>
        <v>0</v>
      </c>
      <c r="BD58" s="43" t="n">
        <f aca="false">SUMIFS('Additions (monthly)'!$E$2:$E$106,'Additions (monthly)'!$D$2:$D$106,BD$2,'Additions (monthly)'!$B$2:$B$106,"&lt;="&amp;$B58)</f>
        <v>0</v>
      </c>
      <c r="BE58" s="43" t="n">
        <f aca="false">SUMIFS('Additions (monthly)'!$E$2:$E$106,'Additions (monthly)'!$D$2:$D$106,BE$2,'Additions (monthly)'!$B$2:$B$106,"&lt;="&amp;$B58)</f>
        <v>0</v>
      </c>
      <c r="BF58" s="43" t="n">
        <f aca="false">SUMIFS('Additions (monthly)'!$E$2:$E$106,'Additions (monthly)'!$D$2:$D$106,BF$2,'Additions (monthly)'!$B$2:$B$106,"&lt;="&amp;$B58)</f>
        <v>0</v>
      </c>
      <c r="BG58" s="43" t="n">
        <f aca="false">SUMIFS('Additions (monthly)'!$E$2:$E$106,'Additions (monthly)'!$D$2:$D$106,BG$2,'Additions (monthly)'!$B$2:$B$106,"&lt;="&amp;$B58)</f>
        <v>0</v>
      </c>
      <c r="BH58" s="43" t="n">
        <f aca="false">SUMIFS('Additions (monthly)'!$E$2:$E$106,'Additions (monthly)'!$D$2:$D$106,BH$2,'Additions (monthly)'!$B$2:$B$106,"&lt;="&amp;$B58)</f>
        <v>0</v>
      </c>
      <c r="BI58" s="43" t="n">
        <f aca="false">SUMIFS('Additions (monthly)'!$E$2:$E$106,'Additions (monthly)'!$D$2:$D$106,BI$2,'Additions (monthly)'!$B$2:$B$106,"&lt;="&amp;$B58)</f>
        <v>6.7</v>
      </c>
    </row>
    <row r="59" customFormat="false" ht="15" hidden="false" customHeight="false" outlineLevel="0" collapsed="false">
      <c r="A59" s="23" t="n">
        <v>41883</v>
      </c>
      <c r="B59" s="24" t="n">
        <v>201409</v>
      </c>
      <c r="C59" s="42" t="n">
        <f aca="false">SUMIFS('Additions (monthly)'!$E$2:$E$106,'Additions (monthly)'!$B$2:$B$106,"&lt;="&amp;$B59)</f>
        <v>285.07</v>
      </c>
      <c r="D59" s="43" t="n">
        <f aca="false">SUMIFS('Additions (monthly)'!$E$2:$E$106,'Additions (monthly)'!$D$2:$D$106,D$2,'Additions (monthly)'!$B$2:$B$106,"&lt;="&amp;$B59)</f>
        <v>7.9</v>
      </c>
      <c r="E59" s="43" t="n">
        <f aca="false">SUMIFS('Additions (monthly)'!$E$2:$E$106,'Additions (monthly)'!$D$2:$D$106,E$2,'Additions (monthly)'!$B$2:$B$106,"&lt;="&amp;$B59)</f>
        <v>8.4</v>
      </c>
      <c r="F59" s="43" t="n">
        <f aca="false">SUMIFS('Additions (monthly)'!$E$2:$E$106,'Additions (monthly)'!$D$2:$D$106,F$2,'Additions (monthly)'!$B$2:$B$106,"&lt;="&amp;$B59)</f>
        <v>0</v>
      </c>
      <c r="G59" s="43" t="n">
        <f aca="false">SUMIFS('Additions (monthly)'!$E$2:$E$106,'Additions (monthly)'!$D$2:$D$106,G$2,'Additions (monthly)'!$B$2:$B$106,"&lt;="&amp;$B59)</f>
        <v>4.5</v>
      </c>
      <c r="H59" s="43" t="n">
        <f aca="false">SUMIFS('Additions (monthly)'!$E$2:$E$106,'Additions (monthly)'!$D$2:$D$106,H$2,'Additions (monthly)'!$B$2:$B$106,"&lt;="&amp;$B59)</f>
        <v>5.2</v>
      </c>
      <c r="I59" s="43" t="n">
        <f aca="false">SUMIFS('Additions (monthly)'!$E$2:$E$106,'Additions (monthly)'!$D$2:$D$106,I$2,'Additions (monthly)'!$B$2:$B$106,"&lt;="&amp;$B59)</f>
        <v>0</v>
      </c>
      <c r="J59" s="43" t="n">
        <f aca="false">SUMIFS('Additions (monthly)'!$E$2:$E$106,'Additions (monthly)'!$D$2:$D$106,J$2,'Additions (monthly)'!$B$2:$B$106,"&lt;="&amp;$B59)</f>
        <v>3.7</v>
      </c>
      <c r="K59" s="43" t="n">
        <f aca="false">SUMIFS('Additions (monthly)'!$E$2:$E$106,'Additions (monthly)'!$D$2:$D$106,K$2,'Additions (monthly)'!$B$2:$B$106,"&lt;="&amp;$B59)</f>
        <v>0</v>
      </c>
      <c r="L59" s="43" t="n">
        <f aca="false">SUMIFS('Additions (monthly)'!$E$2:$E$106,'Additions (monthly)'!$D$2:$D$106,L$2,'Additions (monthly)'!$B$2:$B$106,"&lt;="&amp;$B59)</f>
        <v>0</v>
      </c>
      <c r="M59" s="43" t="n">
        <f aca="false">SUMIFS('Additions (monthly)'!$E$2:$E$106,'Additions (monthly)'!$D$2:$D$106,M$2,'Additions (monthly)'!$B$2:$B$106,"&lt;="&amp;$B59)</f>
        <v>0</v>
      </c>
      <c r="N59" s="43" t="n">
        <f aca="false">SUMIFS('Additions (monthly)'!$E$2:$E$106,'Additions (monthly)'!$D$2:$D$106,N$2,'Additions (monthly)'!$B$2:$B$106,"&lt;="&amp;$B59)</f>
        <v>14.2</v>
      </c>
      <c r="O59" s="43" t="n">
        <f aca="false">SUMIFS('Additions (monthly)'!$E$2:$E$106,'Additions (monthly)'!$D$2:$D$106,O$2,'Additions (monthly)'!$B$2:$B$106,"&lt;="&amp;$B59)</f>
        <v>4.9</v>
      </c>
      <c r="P59" s="43" t="n">
        <f aca="false">SUMIFS('Additions (monthly)'!$E$2:$E$106,'Additions (monthly)'!$D$2:$D$106,P$2,'Additions (monthly)'!$B$2:$B$106,"&lt;="&amp;$B59)</f>
        <v>0</v>
      </c>
      <c r="Q59" s="43" t="n">
        <f aca="false">SUMIFS('Additions (monthly)'!$E$2:$E$106,'Additions (monthly)'!$D$2:$D$106,Q$2,'Additions (monthly)'!$B$2:$B$106,"&lt;="&amp;$B59)</f>
        <v>0</v>
      </c>
      <c r="R59" s="43" t="n">
        <f aca="false">SUMIFS('Additions (monthly)'!$E$2:$E$106,'Additions (monthly)'!$D$2:$D$106,R$2,'Additions (monthly)'!$B$2:$B$106,"&lt;="&amp;$B59)</f>
        <v>0</v>
      </c>
      <c r="S59" s="43" t="n">
        <f aca="false">SUMIFS('Additions (monthly)'!$E$2:$E$106,'Additions (monthly)'!$D$2:$D$106,S$2,'Additions (monthly)'!$B$2:$B$106,"&lt;="&amp;$B59)</f>
        <v>7.2</v>
      </c>
      <c r="T59" s="43" t="n">
        <f aca="false">SUMIFS('Additions (monthly)'!$E$2:$E$106,'Additions (monthly)'!$D$2:$D$106,T$2,'Additions (monthly)'!$B$2:$B$106,"&lt;="&amp;$B59)</f>
        <v>0</v>
      </c>
      <c r="U59" s="43" t="n">
        <f aca="false">SUMIFS('Additions (monthly)'!$E$2:$E$106,'Additions (monthly)'!$D$2:$D$106,U$2,'Additions (monthly)'!$B$2:$B$106,"&lt;="&amp;$B59)</f>
        <v>0</v>
      </c>
      <c r="V59" s="43" t="n">
        <f aca="false">SUMIFS('Additions (monthly)'!$E$2:$E$106,'Additions (monthly)'!$D$2:$D$106,V$2,'Additions (monthly)'!$B$2:$B$106,"&lt;="&amp;$B59)</f>
        <v>3.87</v>
      </c>
      <c r="W59" s="43" t="n">
        <f aca="false">SUMIFS('Additions (monthly)'!$E$2:$E$106,'Additions (monthly)'!$D$2:$D$106,W$2,'Additions (monthly)'!$B$2:$B$106,"&lt;="&amp;$B59)</f>
        <v>0</v>
      </c>
      <c r="X59" s="43" t="n">
        <f aca="false">SUMIFS('Additions (monthly)'!$E$2:$E$106,'Additions (monthly)'!$D$2:$D$106,X$2,'Additions (monthly)'!$B$2:$B$106,"&lt;="&amp;$B59)</f>
        <v>0</v>
      </c>
      <c r="Y59" s="43" t="n">
        <f aca="false">SUMIFS('Additions (monthly)'!$E$2:$E$106,'Additions (monthly)'!$D$2:$D$106,Y$2,'Additions (monthly)'!$B$2:$B$106,"&lt;="&amp;$B59)</f>
        <v>5</v>
      </c>
      <c r="Z59" s="43" t="n">
        <f aca="false">SUMIFS('Additions (monthly)'!$E$2:$E$106,'Additions (monthly)'!$D$2:$D$106,Z$2,'Additions (monthly)'!$B$2:$B$106,"&lt;="&amp;$B59)</f>
        <v>7.2</v>
      </c>
      <c r="AA59" s="43" t="n">
        <f aca="false">SUMIFS('Additions (monthly)'!$E$2:$E$106,'Additions (monthly)'!$D$2:$D$106,AA$2,'Additions (monthly)'!$B$2:$B$106,"&lt;="&amp;$B59)</f>
        <v>3.7</v>
      </c>
      <c r="AB59" s="43" t="n">
        <f aca="false">SUMIFS('Additions (monthly)'!$E$2:$E$106,'Additions (monthly)'!$D$2:$D$106,AB$2,'Additions (monthly)'!$B$2:$B$106,"&lt;="&amp;$B59)</f>
        <v>16.95</v>
      </c>
      <c r="AC59" s="43" t="n">
        <f aca="false">SUMIFS('Additions (monthly)'!$E$2:$E$106,'Additions (monthly)'!$D$2:$D$106,AC$2,'Additions (monthly)'!$B$2:$B$106,"&lt;="&amp;$B59)</f>
        <v>0</v>
      </c>
      <c r="AD59" s="43" t="n">
        <f aca="false">SUMIFS('Additions (monthly)'!$E$2:$E$106,'Additions (monthly)'!$D$2:$D$106,AD$2,'Additions (monthly)'!$B$2:$B$106,"&lt;="&amp;$B59)</f>
        <v>7.6</v>
      </c>
      <c r="AE59" s="43" t="n">
        <f aca="false">SUMIFS('Additions (monthly)'!$E$2:$E$106,'Additions (monthly)'!$D$2:$D$106,AE$2,'Additions (monthly)'!$B$2:$B$106,"&lt;="&amp;$B59)</f>
        <v>25.7</v>
      </c>
      <c r="AF59" s="43" t="n">
        <f aca="false">SUMIFS('Additions (monthly)'!$E$2:$E$106,'Additions (monthly)'!$D$2:$D$106,AF$2,'Additions (monthly)'!$B$2:$B$106,"&lt;="&amp;$B59)</f>
        <v>0</v>
      </c>
      <c r="AG59" s="43" t="n">
        <f aca="false">SUMIFS('Additions (monthly)'!$E$2:$E$106,'Additions (monthly)'!$D$2:$D$106,AG$2,'Additions (monthly)'!$B$2:$B$106,"&lt;="&amp;$B59)</f>
        <v>0</v>
      </c>
      <c r="AH59" s="43" t="n">
        <f aca="false">SUMIFS('Additions (monthly)'!$E$2:$E$106,'Additions (monthly)'!$D$2:$D$106,AH$2,'Additions (monthly)'!$B$2:$B$106,"&lt;="&amp;$B59)</f>
        <v>0</v>
      </c>
      <c r="AI59" s="43" t="n">
        <f aca="false">SUMIFS('Additions (monthly)'!$E$2:$E$106,'Additions (monthly)'!$D$2:$D$106,AI$2,'Additions (monthly)'!$B$2:$B$106,"&lt;="&amp;$B59)</f>
        <v>0</v>
      </c>
      <c r="AJ59" s="43" t="n">
        <f aca="false">SUMIFS('Additions (monthly)'!$E$2:$E$106,'Additions (monthly)'!$D$2:$D$106,AJ$2,'Additions (monthly)'!$B$2:$B$106,"&lt;="&amp;$B59)</f>
        <v>0</v>
      </c>
      <c r="AK59" s="43" t="n">
        <f aca="false">SUMIFS('Additions (monthly)'!$E$2:$E$106,'Additions (monthly)'!$D$2:$D$106,AK$2,'Additions (monthly)'!$B$2:$B$106,"&lt;="&amp;$B59)</f>
        <v>0</v>
      </c>
      <c r="AL59" s="43" t="n">
        <f aca="false">SUMIFS('Additions (monthly)'!$E$2:$E$106,'Additions (monthly)'!$D$2:$D$106,AL$2,'Additions (monthly)'!$B$2:$B$106,"&lt;="&amp;$B59)</f>
        <v>22.2</v>
      </c>
      <c r="AM59" s="43" t="n">
        <f aca="false">SUMIFS('Additions (monthly)'!$E$2:$E$106,'Additions (monthly)'!$D$2:$D$106,AM$2,'Additions (monthly)'!$B$2:$B$106,"&lt;="&amp;$B59)</f>
        <v>0.3</v>
      </c>
      <c r="AN59" s="43" t="n">
        <f aca="false">SUMIFS('Additions (monthly)'!$E$2:$E$106,'Additions (monthly)'!$D$2:$D$106,AN$2,'Additions (monthly)'!$B$2:$B$106,"&lt;="&amp;$B59)</f>
        <v>4.3</v>
      </c>
      <c r="AO59" s="43" t="n">
        <f aca="false">SUMIFS('Additions (monthly)'!$E$2:$E$106,'Additions (monthly)'!$D$2:$D$106,AO$2,'Additions (monthly)'!$B$2:$B$106,"&lt;="&amp;$B59)</f>
        <v>10.4</v>
      </c>
      <c r="AP59" s="43" t="n">
        <f aca="false">SUMIFS('Additions (monthly)'!$E$2:$E$106,'Additions (monthly)'!$D$2:$D$106,AP$2,'Additions (monthly)'!$B$2:$B$106,"&lt;="&amp;$B59)</f>
        <v>6.9</v>
      </c>
      <c r="AQ59" s="43" t="n">
        <f aca="false">SUMIFS('Additions (monthly)'!$E$2:$E$106,'Additions (monthly)'!$D$2:$D$106,AQ$2,'Additions (monthly)'!$B$2:$B$106,"&lt;="&amp;$B59)</f>
        <v>4.45</v>
      </c>
      <c r="AR59" s="43" t="n">
        <f aca="false">SUMIFS('Additions (monthly)'!$E$2:$E$106,'Additions (monthly)'!$D$2:$D$106,AR$2,'Additions (monthly)'!$B$2:$B$106,"&lt;="&amp;$B59)</f>
        <v>77.1</v>
      </c>
      <c r="AS59" s="43" t="n">
        <f aca="false">SUMIFS('Additions (monthly)'!$E$2:$E$106,'Additions (monthly)'!$D$2:$D$106,AS$2,'Additions (monthly)'!$B$2:$B$106,"&lt;="&amp;$B59)</f>
        <v>0</v>
      </c>
      <c r="AT59" s="43" t="n">
        <f aca="false">SUMIFS('Additions (monthly)'!$E$2:$E$106,'Additions (monthly)'!$D$2:$D$106,AT$2,'Additions (monthly)'!$B$2:$B$106,"&lt;="&amp;$B59)</f>
        <v>0</v>
      </c>
      <c r="AU59" s="43" t="n">
        <f aca="false">SUMIFS('Additions (monthly)'!$E$2:$E$106,'Additions (monthly)'!$D$2:$D$106,AU$2,'Additions (monthly)'!$B$2:$B$106,"&lt;="&amp;$B59)</f>
        <v>9.6</v>
      </c>
      <c r="AV59" s="43" t="n">
        <f aca="false">SUMIFS('Additions (monthly)'!$E$2:$E$106,'Additions (monthly)'!$D$2:$D$106,AV$2,'Additions (monthly)'!$B$2:$B$106,"&lt;="&amp;$B59)</f>
        <v>0</v>
      </c>
      <c r="AW59" s="43" t="n">
        <f aca="false">SUMIFS('Additions (monthly)'!$E$2:$E$106,'Additions (monthly)'!$D$2:$D$106,AW$2,'Additions (monthly)'!$B$2:$B$106,"&lt;="&amp;$B59)</f>
        <v>0</v>
      </c>
      <c r="AX59" s="43" t="n">
        <f aca="false">SUMIFS('Additions (monthly)'!$E$2:$E$106,'Additions (monthly)'!$D$2:$D$106,AX$2,'Additions (monthly)'!$B$2:$B$106,"&lt;="&amp;$B59)</f>
        <v>11.8</v>
      </c>
      <c r="AY59" s="43" t="n">
        <f aca="false">SUMIFS('Additions (monthly)'!$E$2:$E$106,'Additions (monthly)'!$D$2:$D$106,AY$2,'Additions (monthly)'!$B$2:$B$106,"&lt;="&amp;$B59)</f>
        <v>5.3</v>
      </c>
      <c r="AZ59" s="43" t="n">
        <f aca="false">SUMIFS('Additions (monthly)'!$E$2:$E$106,'Additions (monthly)'!$D$2:$D$106,AZ$2,'Additions (monthly)'!$B$2:$B$106,"&lt;="&amp;$B59)</f>
        <v>0</v>
      </c>
      <c r="BA59" s="43" t="n">
        <f aca="false">SUMIFS('Additions (monthly)'!$E$2:$E$106,'Additions (monthly)'!$D$2:$D$106,BA$2,'Additions (monthly)'!$B$2:$B$106,"&lt;="&amp;$B59)</f>
        <v>0</v>
      </c>
      <c r="BB59" s="43" t="n">
        <f aca="false">SUMIFS('Additions (monthly)'!$E$2:$E$106,'Additions (monthly)'!$D$2:$D$106,BB$2,'Additions (monthly)'!$B$2:$B$106,"&lt;="&amp;$B59)</f>
        <v>0</v>
      </c>
      <c r="BC59" s="43" t="n">
        <f aca="false">SUMIFS('Additions (monthly)'!$E$2:$E$106,'Additions (monthly)'!$D$2:$D$106,BC$2,'Additions (monthly)'!$B$2:$B$106,"&lt;="&amp;$B59)</f>
        <v>0</v>
      </c>
      <c r="BD59" s="43" t="n">
        <f aca="false">SUMIFS('Additions (monthly)'!$E$2:$E$106,'Additions (monthly)'!$D$2:$D$106,BD$2,'Additions (monthly)'!$B$2:$B$106,"&lt;="&amp;$B59)</f>
        <v>0</v>
      </c>
      <c r="BE59" s="43" t="n">
        <f aca="false">SUMIFS('Additions (monthly)'!$E$2:$E$106,'Additions (monthly)'!$D$2:$D$106,BE$2,'Additions (monthly)'!$B$2:$B$106,"&lt;="&amp;$B59)</f>
        <v>0</v>
      </c>
      <c r="BF59" s="43" t="n">
        <f aca="false">SUMIFS('Additions (monthly)'!$E$2:$E$106,'Additions (monthly)'!$D$2:$D$106,BF$2,'Additions (monthly)'!$B$2:$B$106,"&lt;="&amp;$B59)</f>
        <v>0</v>
      </c>
      <c r="BG59" s="43" t="n">
        <f aca="false">SUMIFS('Additions (monthly)'!$E$2:$E$106,'Additions (monthly)'!$D$2:$D$106,BG$2,'Additions (monthly)'!$B$2:$B$106,"&lt;="&amp;$B59)</f>
        <v>0</v>
      </c>
      <c r="BH59" s="43" t="n">
        <f aca="false">SUMIFS('Additions (monthly)'!$E$2:$E$106,'Additions (monthly)'!$D$2:$D$106,BH$2,'Additions (monthly)'!$B$2:$B$106,"&lt;="&amp;$B59)</f>
        <v>0</v>
      </c>
      <c r="BI59" s="43" t="n">
        <f aca="false">SUMIFS('Additions (monthly)'!$E$2:$E$106,'Additions (monthly)'!$D$2:$D$106,BI$2,'Additions (monthly)'!$B$2:$B$106,"&lt;="&amp;$B59)</f>
        <v>6.7</v>
      </c>
    </row>
    <row r="60" customFormat="false" ht="15" hidden="false" customHeight="false" outlineLevel="0" collapsed="false">
      <c r="A60" s="23" t="n">
        <v>41913</v>
      </c>
      <c r="B60" s="24" t="n">
        <v>201410</v>
      </c>
      <c r="C60" s="42" t="n">
        <f aca="false">SUMIFS('Additions (monthly)'!$E$2:$E$106,'Additions (monthly)'!$B$2:$B$106,"&lt;="&amp;$B60)</f>
        <v>285.07</v>
      </c>
      <c r="D60" s="43" t="n">
        <f aca="false">SUMIFS('Additions (monthly)'!$E$2:$E$106,'Additions (monthly)'!$D$2:$D$106,D$2,'Additions (monthly)'!$B$2:$B$106,"&lt;="&amp;$B60)</f>
        <v>7.9</v>
      </c>
      <c r="E60" s="43" t="n">
        <f aca="false">SUMIFS('Additions (monthly)'!$E$2:$E$106,'Additions (monthly)'!$D$2:$D$106,E$2,'Additions (monthly)'!$B$2:$B$106,"&lt;="&amp;$B60)</f>
        <v>8.4</v>
      </c>
      <c r="F60" s="43" t="n">
        <f aca="false">SUMIFS('Additions (monthly)'!$E$2:$E$106,'Additions (monthly)'!$D$2:$D$106,F$2,'Additions (monthly)'!$B$2:$B$106,"&lt;="&amp;$B60)</f>
        <v>0</v>
      </c>
      <c r="G60" s="43" t="n">
        <f aca="false">SUMIFS('Additions (monthly)'!$E$2:$E$106,'Additions (monthly)'!$D$2:$D$106,G$2,'Additions (monthly)'!$B$2:$B$106,"&lt;="&amp;$B60)</f>
        <v>4.5</v>
      </c>
      <c r="H60" s="43" t="n">
        <f aca="false">SUMIFS('Additions (monthly)'!$E$2:$E$106,'Additions (monthly)'!$D$2:$D$106,H$2,'Additions (monthly)'!$B$2:$B$106,"&lt;="&amp;$B60)</f>
        <v>5.2</v>
      </c>
      <c r="I60" s="43" t="n">
        <f aca="false">SUMIFS('Additions (monthly)'!$E$2:$E$106,'Additions (monthly)'!$D$2:$D$106,I$2,'Additions (monthly)'!$B$2:$B$106,"&lt;="&amp;$B60)</f>
        <v>0</v>
      </c>
      <c r="J60" s="43" t="n">
        <f aca="false">SUMIFS('Additions (monthly)'!$E$2:$E$106,'Additions (monthly)'!$D$2:$D$106,J$2,'Additions (monthly)'!$B$2:$B$106,"&lt;="&amp;$B60)</f>
        <v>3.7</v>
      </c>
      <c r="K60" s="43" t="n">
        <f aca="false">SUMIFS('Additions (monthly)'!$E$2:$E$106,'Additions (monthly)'!$D$2:$D$106,K$2,'Additions (monthly)'!$B$2:$B$106,"&lt;="&amp;$B60)</f>
        <v>0</v>
      </c>
      <c r="L60" s="43" t="n">
        <f aca="false">SUMIFS('Additions (monthly)'!$E$2:$E$106,'Additions (monthly)'!$D$2:$D$106,L$2,'Additions (monthly)'!$B$2:$B$106,"&lt;="&amp;$B60)</f>
        <v>0</v>
      </c>
      <c r="M60" s="43" t="n">
        <f aca="false">SUMIFS('Additions (monthly)'!$E$2:$E$106,'Additions (monthly)'!$D$2:$D$106,M$2,'Additions (monthly)'!$B$2:$B$106,"&lt;="&amp;$B60)</f>
        <v>0</v>
      </c>
      <c r="N60" s="43" t="n">
        <f aca="false">SUMIFS('Additions (monthly)'!$E$2:$E$106,'Additions (monthly)'!$D$2:$D$106,N$2,'Additions (monthly)'!$B$2:$B$106,"&lt;="&amp;$B60)</f>
        <v>14.2</v>
      </c>
      <c r="O60" s="43" t="n">
        <f aca="false">SUMIFS('Additions (monthly)'!$E$2:$E$106,'Additions (monthly)'!$D$2:$D$106,O$2,'Additions (monthly)'!$B$2:$B$106,"&lt;="&amp;$B60)</f>
        <v>4.9</v>
      </c>
      <c r="P60" s="43" t="n">
        <f aca="false">SUMIFS('Additions (monthly)'!$E$2:$E$106,'Additions (monthly)'!$D$2:$D$106,P$2,'Additions (monthly)'!$B$2:$B$106,"&lt;="&amp;$B60)</f>
        <v>0</v>
      </c>
      <c r="Q60" s="43" t="n">
        <f aca="false">SUMIFS('Additions (monthly)'!$E$2:$E$106,'Additions (monthly)'!$D$2:$D$106,Q$2,'Additions (monthly)'!$B$2:$B$106,"&lt;="&amp;$B60)</f>
        <v>0</v>
      </c>
      <c r="R60" s="43" t="n">
        <f aca="false">SUMIFS('Additions (monthly)'!$E$2:$E$106,'Additions (monthly)'!$D$2:$D$106,R$2,'Additions (monthly)'!$B$2:$B$106,"&lt;="&amp;$B60)</f>
        <v>0</v>
      </c>
      <c r="S60" s="43" t="n">
        <f aca="false">SUMIFS('Additions (monthly)'!$E$2:$E$106,'Additions (monthly)'!$D$2:$D$106,S$2,'Additions (monthly)'!$B$2:$B$106,"&lt;="&amp;$B60)</f>
        <v>7.2</v>
      </c>
      <c r="T60" s="43" t="n">
        <f aca="false">SUMIFS('Additions (monthly)'!$E$2:$E$106,'Additions (monthly)'!$D$2:$D$106,T$2,'Additions (monthly)'!$B$2:$B$106,"&lt;="&amp;$B60)</f>
        <v>0</v>
      </c>
      <c r="U60" s="43" t="n">
        <f aca="false">SUMIFS('Additions (monthly)'!$E$2:$E$106,'Additions (monthly)'!$D$2:$D$106,U$2,'Additions (monthly)'!$B$2:$B$106,"&lt;="&amp;$B60)</f>
        <v>0</v>
      </c>
      <c r="V60" s="43" t="n">
        <f aca="false">SUMIFS('Additions (monthly)'!$E$2:$E$106,'Additions (monthly)'!$D$2:$D$106,V$2,'Additions (monthly)'!$B$2:$B$106,"&lt;="&amp;$B60)</f>
        <v>3.87</v>
      </c>
      <c r="W60" s="43" t="n">
        <f aca="false">SUMIFS('Additions (monthly)'!$E$2:$E$106,'Additions (monthly)'!$D$2:$D$106,W$2,'Additions (monthly)'!$B$2:$B$106,"&lt;="&amp;$B60)</f>
        <v>0</v>
      </c>
      <c r="X60" s="43" t="n">
        <f aca="false">SUMIFS('Additions (monthly)'!$E$2:$E$106,'Additions (monthly)'!$D$2:$D$106,X$2,'Additions (monthly)'!$B$2:$B$106,"&lt;="&amp;$B60)</f>
        <v>0</v>
      </c>
      <c r="Y60" s="43" t="n">
        <f aca="false">SUMIFS('Additions (monthly)'!$E$2:$E$106,'Additions (monthly)'!$D$2:$D$106,Y$2,'Additions (monthly)'!$B$2:$B$106,"&lt;="&amp;$B60)</f>
        <v>5</v>
      </c>
      <c r="Z60" s="43" t="n">
        <f aca="false">SUMIFS('Additions (monthly)'!$E$2:$E$106,'Additions (monthly)'!$D$2:$D$106,Z$2,'Additions (monthly)'!$B$2:$B$106,"&lt;="&amp;$B60)</f>
        <v>7.2</v>
      </c>
      <c r="AA60" s="43" t="n">
        <f aca="false">SUMIFS('Additions (monthly)'!$E$2:$E$106,'Additions (monthly)'!$D$2:$D$106,AA$2,'Additions (monthly)'!$B$2:$B$106,"&lt;="&amp;$B60)</f>
        <v>3.7</v>
      </c>
      <c r="AB60" s="43" t="n">
        <f aca="false">SUMIFS('Additions (monthly)'!$E$2:$E$106,'Additions (monthly)'!$D$2:$D$106,AB$2,'Additions (monthly)'!$B$2:$B$106,"&lt;="&amp;$B60)</f>
        <v>16.95</v>
      </c>
      <c r="AC60" s="43" t="n">
        <f aca="false">SUMIFS('Additions (monthly)'!$E$2:$E$106,'Additions (monthly)'!$D$2:$D$106,AC$2,'Additions (monthly)'!$B$2:$B$106,"&lt;="&amp;$B60)</f>
        <v>0</v>
      </c>
      <c r="AD60" s="43" t="n">
        <f aca="false">SUMIFS('Additions (monthly)'!$E$2:$E$106,'Additions (monthly)'!$D$2:$D$106,AD$2,'Additions (monthly)'!$B$2:$B$106,"&lt;="&amp;$B60)</f>
        <v>7.6</v>
      </c>
      <c r="AE60" s="43" t="n">
        <f aca="false">SUMIFS('Additions (monthly)'!$E$2:$E$106,'Additions (monthly)'!$D$2:$D$106,AE$2,'Additions (monthly)'!$B$2:$B$106,"&lt;="&amp;$B60)</f>
        <v>25.7</v>
      </c>
      <c r="AF60" s="43" t="n">
        <f aca="false">SUMIFS('Additions (monthly)'!$E$2:$E$106,'Additions (monthly)'!$D$2:$D$106,AF$2,'Additions (monthly)'!$B$2:$B$106,"&lt;="&amp;$B60)</f>
        <v>0</v>
      </c>
      <c r="AG60" s="43" t="n">
        <f aca="false">SUMIFS('Additions (monthly)'!$E$2:$E$106,'Additions (monthly)'!$D$2:$D$106,AG$2,'Additions (monthly)'!$B$2:$B$106,"&lt;="&amp;$B60)</f>
        <v>0</v>
      </c>
      <c r="AH60" s="43" t="n">
        <f aca="false">SUMIFS('Additions (monthly)'!$E$2:$E$106,'Additions (monthly)'!$D$2:$D$106,AH$2,'Additions (monthly)'!$B$2:$B$106,"&lt;="&amp;$B60)</f>
        <v>0</v>
      </c>
      <c r="AI60" s="43" t="n">
        <f aca="false">SUMIFS('Additions (monthly)'!$E$2:$E$106,'Additions (monthly)'!$D$2:$D$106,AI$2,'Additions (monthly)'!$B$2:$B$106,"&lt;="&amp;$B60)</f>
        <v>0</v>
      </c>
      <c r="AJ60" s="43" t="n">
        <f aca="false">SUMIFS('Additions (monthly)'!$E$2:$E$106,'Additions (monthly)'!$D$2:$D$106,AJ$2,'Additions (monthly)'!$B$2:$B$106,"&lt;="&amp;$B60)</f>
        <v>0</v>
      </c>
      <c r="AK60" s="43" t="n">
        <f aca="false">SUMIFS('Additions (monthly)'!$E$2:$E$106,'Additions (monthly)'!$D$2:$D$106,AK$2,'Additions (monthly)'!$B$2:$B$106,"&lt;="&amp;$B60)</f>
        <v>0</v>
      </c>
      <c r="AL60" s="43" t="n">
        <f aca="false">SUMIFS('Additions (monthly)'!$E$2:$E$106,'Additions (monthly)'!$D$2:$D$106,AL$2,'Additions (monthly)'!$B$2:$B$106,"&lt;="&amp;$B60)</f>
        <v>22.2</v>
      </c>
      <c r="AM60" s="43" t="n">
        <f aca="false">SUMIFS('Additions (monthly)'!$E$2:$E$106,'Additions (monthly)'!$D$2:$D$106,AM$2,'Additions (monthly)'!$B$2:$B$106,"&lt;="&amp;$B60)</f>
        <v>0.3</v>
      </c>
      <c r="AN60" s="43" t="n">
        <f aca="false">SUMIFS('Additions (monthly)'!$E$2:$E$106,'Additions (monthly)'!$D$2:$D$106,AN$2,'Additions (monthly)'!$B$2:$B$106,"&lt;="&amp;$B60)</f>
        <v>4.3</v>
      </c>
      <c r="AO60" s="43" t="n">
        <f aca="false">SUMIFS('Additions (monthly)'!$E$2:$E$106,'Additions (monthly)'!$D$2:$D$106,AO$2,'Additions (monthly)'!$B$2:$B$106,"&lt;="&amp;$B60)</f>
        <v>10.4</v>
      </c>
      <c r="AP60" s="43" t="n">
        <f aca="false">SUMIFS('Additions (monthly)'!$E$2:$E$106,'Additions (monthly)'!$D$2:$D$106,AP$2,'Additions (monthly)'!$B$2:$B$106,"&lt;="&amp;$B60)</f>
        <v>6.9</v>
      </c>
      <c r="AQ60" s="43" t="n">
        <f aca="false">SUMIFS('Additions (monthly)'!$E$2:$E$106,'Additions (monthly)'!$D$2:$D$106,AQ$2,'Additions (monthly)'!$B$2:$B$106,"&lt;="&amp;$B60)</f>
        <v>4.45</v>
      </c>
      <c r="AR60" s="43" t="n">
        <f aca="false">SUMIFS('Additions (monthly)'!$E$2:$E$106,'Additions (monthly)'!$D$2:$D$106,AR$2,'Additions (monthly)'!$B$2:$B$106,"&lt;="&amp;$B60)</f>
        <v>77.1</v>
      </c>
      <c r="AS60" s="43" t="n">
        <f aca="false">SUMIFS('Additions (monthly)'!$E$2:$E$106,'Additions (monthly)'!$D$2:$D$106,AS$2,'Additions (monthly)'!$B$2:$B$106,"&lt;="&amp;$B60)</f>
        <v>0</v>
      </c>
      <c r="AT60" s="43" t="n">
        <f aca="false">SUMIFS('Additions (monthly)'!$E$2:$E$106,'Additions (monthly)'!$D$2:$D$106,AT$2,'Additions (monthly)'!$B$2:$B$106,"&lt;="&amp;$B60)</f>
        <v>0</v>
      </c>
      <c r="AU60" s="43" t="n">
        <f aca="false">SUMIFS('Additions (monthly)'!$E$2:$E$106,'Additions (monthly)'!$D$2:$D$106,AU$2,'Additions (monthly)'!$B$2:$B$106,"&lt;="&amp;$B60)</f>
        <v>9.6</v>
      </c>
      <c r="AV60" s="43" t="n">
        <f aca="false">SUMIFS('Additions (monthly)'!$E$2:$E$106,'Additions (monthly)'!$D$2:$D$106,AV$2,'Additions (monthly)'!$B$2:$B$106,"&lt;="&amp;$B60)</f>
        <v>0</v>
      </c>
      <c r="AW60" s="43" t="n">
        <f aca="false">SUMIFS('Additions (monthly)'!$E$2:$E$106,'Additions (monthly)'!$D$2:$D$106,AW$2,'Additions (monthly)'!$B$2:$B$106,"&lt;="&amp;$B60)</f>
        <v>0</v>
      </c>
      <c r="AX60" s="43" t="n">
        <f aca="false">SUMIFS('Additions (monthly)'!$E$2:$E$106,'Additions (monthly)'!$D$2:$D$106,AX$2,'Additions (monthly)'!$B$2:$B$106,"&lt;="&amp;$B60)</f>
        <v>11.8</v>
      </c>
      <c r="AY60" s="43" t="n">
        <f aca="false">SUMIFS('Additions (monthly)'!$E$2:$E$106,'Additions (monthly)'!$D$2:$D$106,AY$2,'Additions (monthly)'!$B$2:$B$106,"&lt;="&amp;$B60)</f>
        <v>5.3</v>
      </c>
      <c r="AZ60" s="43" t="n">
        <f aca="false">SUMIFS('Additions (monthly)'!$E$2:$E$106,'Additions (monthly)'!$D$2:$D$106,AZ$2,'Additions (monthly)'!$B$2:$B$106,"&lt;="&amp;$B60)</f>
        <v>0</v>
      </c>
      <c r="BA60" s="43" t="n">
        <f aca="false">SUMIFS('Additions (monthly)'!$E$2:$E$106,'Additions (monthly)'!$D$2:$D$106,BA$2,'Additions (monthly)'!$B$2:$B$106,"&lt;="&amp;$B60)</f>
        <v>0</v>
      </c>
      <c r="BB60" s="43" t="n">
        <f aca="false">SUMIFS('Additions (monthly)'!$E$2:$E$106,'Additions (monthly)'!$D$2:$D$106,BB$2,'Additions (monthly)'!$B$2:$B$106,"&lt;="&amp;$B60)</f>
        <v>0</v>
      </c>
      <c r="BC60" s="43" t="n">
        <f aca="false">SUMIFS('Additions (monthly)'!$E$2:$E$106,'Additions (monthly)'!$D$2:$D$106,BC$2,'Additions (monthly)'!$B$2:$B$106,"&lt;="&amp;$B60)</f>
        <v>0</v>
      </c>
      <c r="BD60" s="43" t="n">
        <f aca="false">SUMIFS('Additions (monthly)'!$E$2:$E$106,'Additions (monthly)'!$D$2:$D$106,BD$2,'Additions (monthly)'!$B$2:$B$106,"&lt;="&amp;$B60)</f>
        <v>0</v>
      </c>
      <c r="BE60" s="43" t="n">
        <f aca="false">SUMIFS('Additions (monthly)'!$E$2:$E$106,'Additions (monthly)'!$D$2:$D$106,BE$2,'Additions (monthly)'!$B$2:$B$106,"&lt;="&amp;$B60)</f>
        <v>0</v>
      </c>
      <c r="BF60" s="43" t="n">
        <f aca="false">SUMIFS('Additions (monthly)'!$E$2:$E$106,'Additions (monthly)'!$D$2:$D$106,BF$2,'Additions (monthly)'!$B$2:$B$106,"&lt;="&amp;$B60)</f>
        <v>0</v>
      </c>
      <c r="BG60" s="43" t="n">
        <f aca="false">SUMIFS('Additions (monthly)'!$E$2:$E$106,'Additions (monthly)'!$D$2:$D$106,BG$2,'Additions (monthly)'!$B$2:$B$106,"&lt;="&amp;$B60)</f>
        <v>0</v>
      </c>
      <c r="BH60" s="43" t="n">
        <f aca="false">SUMIFS('Additions (monthly)'!$E$2:$E$106,'Additions (monthly)'!$D$2:$D$106,BH$2,'Additions (monthly)'!$B$2:$B$106,"&lt;="&amp;$B60)</f>
        <v>0</v>
      </c>
      <c r="BI60" s="43" t="n">
        <f aca="false">SUMIFS('Additions (monthly)'!$E$2:$E$106,'Additions (monthly)'!$D$2:$D$106,BI$2,'Additions (monthly)'!$B$2:$B$106,"&lt;="&amp;$B60)</f>
        <v>6.7</v>
      </c>
    </row>
    <row r="61" customFormat="false" ht="15" hidden="false" customHeight="false" outlineLevel="0" collapsed="false">
      <c r="A61" s="23" t="n">
        <v>41944</v>
      </c>
      <c r="B61" s="24" t="n">
        <v>201411</v>
      </c>
      <c r="C61" s="42" t="n">
        <f aca="false">SUMIFS('Additions (monthly)'!$E$2:$E$106,'Additions (monthly)'!$B$2:$B$106,"&lt;="&amp;$B61)</f>
        <v>289.77</v>
      </c>
      <c r="D61" s="43" t="n">
        <f aca="false">SUMIFS('Additions (monthly)'!$E$2:$E$106,'Additions (monthly)'!$D$2:$D$106,D$2,'Additions (monthly)'!$B$2:$B$106,"&lt;="&amp;$B61)</f>
        <v>7.9</v>
      </c>
      <c r="E61" s="43" t="n">
        <f aca="false">SUMIFS('Additions (monthly)'!$E$2:$E$106,'Additions (monthly)'!$D$2:$D$106,E$2,'Additions (monthly)'!$B$2:$B$106,"&lt;="&amp;$B61)</f>
        <v>8.4</v>
      </c>
      <c r="F61" s="43" t="n">
        <f aca="false">SUMIFS('Additions (monthly)'!$E$2:$E$106,'Additions (monthly)'!$D$2:$D$106,F$2,'Additions (monthly)'!$B$2:$B$106,"&lt;="&amp;$B61)</f>
        <v>4.7</v>
      </c>
      <c r="G61" s="43" t="n">
        <f aca="false">SUMIFS('Additions (monthly)'!$E$2:$E$106,'Additions (monthly)'!$D$2:$D$106,G$2,'Additions (monthly)'!$B$2:$B$106,"&lt;="&amp;$B61)</f>
        <v>4.5</v>
      </c>
      <c r="H61" s="43" t="n">
        <f aca="false">SUMIFS('Additions (monthly)'!$E$2:$E$106,'Additions (monthly)'!$D$2:$D$106,H$2,'Additions (monthly)'!$B$2:$B$106,"&lt;="&amp;$B61)</f>
        <v>5.2</v>
      </c>
      <c r="I61" s="43" t="n">
        <f aca="false">SUMIFS('Additions (monthly)'!$E$2:$E$106,'Additions (monthly)'!$D$2:$D$106,I$2,'Additions (monthly)'!$B$2:$B$106,"&lt;="&amp;$B61)</f>
        <v>0</v>
      </c>
      <c r="J61" s="43" t="n">
        <f aca="false">SUMIFS('Additions (monthly)'!$E$2:$E$106,'Additions (monthly)'!$D$2:$D$106,J$2,'Additions (monthly)'!$B$2:$B$106,"&lt;="&amp;$B61)</f>
        <v>3.7</v>
      </c>
      <c r="K61" s="43" t="n">
        <f aca="false">SUMIFS('Additions (monthly)'!$E$2:$E$106,'Additions (monthly)'!$D$2:$D$106,K$2,'Additions (monthly)'!$B$2:$B$106,"&lt;="&amp;$B61)</f>
        <v>0</v>
      </c>
      <c r="L61" s="43" t="n">
        <f aca="false">SUMIFS('Additions (monthly)'!$E$2:$E$106,'Additions (monthly)'!$D$2:$D$106,L$2,'Additions (monthly)'!$B$2:$B$106,"&lt;="&amp;$B61)</f>
        <v>0</v>
      </c>
      <c r="M61" s="43" t="n">
        <f aca="false">SUMIFS('Additions (monthly)'!$E$2:$E$106,'Additions (monthly)'!$D$2:$D$106,M$2,'Additions (monthly)'!$B$2:$B$106,"&lt;="&amp;$B61)</f>
        <v>0</v>
      </c>
      <c r="N61" s="43" t="n">
        <f aca="false">SUMIFS('Additions (monthly)'!$E$2:$E$106,'Additions (monthly)'!$D$2:$D$106,N$2,'Additions (monthly)'!$B$2:$B$106,"&lt;="&amp;$B61)</f>
        <v>14.2</v>
      </c>
      <c r="O61" s="43" t="n">
        <f aca="false">SUMIFS('Additions (monthly)'!$E$2:$E$106,'Additions (monthly)'!$D$2:$D$106,O$2,'Additions (monthly)'!$B$2:$B$106,"&lt;="&amp;$B61)</f>
        <v>4.9</v>
      </c>
      <c r="P61" s="43" t="n">
        <f aca="false">SUMIFS('Additions (monthly)'!$E$2:$E$106,'Additions (monthly)'!$D$2:$D$106,P$2,'Additions (monthly)'!$B$2:$B$106,"&lt;="&amp;$B61)</f>
        <v>0</v>
      </c>
      <c r="Q61" s="43" t="n">
        <f aca="false">SUMIFS('Additions (monthly)'!$E$2:$E$106,'Additions (monthly)'!$D$2:$D$106,Q$2,'Additions (monthly)'!$B$2:$B$106,"&lt;="&amp;$B61)</f>
        <v>0</v>
      </c>
      <c r="R61" s="43" t="n">
        <f aca="false">SUMIFS('Additions (monthly)'!$E$2:$E$106,'Additions (monthly)'!$D$2:$D$106,R$2,'Additions (monthly)'!$B$2:$B$106,"&lt;="&amp;$B61)</f>
        <v>0</v>
      </c>
      <c r="S61" s="43" t="n">
        <f aca="false">SUMIFS('Additions (monthly)'!$E$2:$E$106,'Additions (monthly)'!$D$2:$D$106,S$2,'Additions (monthly)'!$B$2:$B$106,"&lt;="&amp;$B61)</f>
        <v>7.2</v>
      </c>
      <c r="T61" s="43" t="n">
        <f aca="false">SUMIFS('Additions (monthly)'!$E$2:$E$106,'Additions (monthly)'!$D$2:$D$106,T$2,'Additions (monthly)'!$B$2:$B$106,"&lt;="&amp;$B61)</f>
        <v>0</v>
      </c>
      <c r="U61" s="43" t="n">
        <f aca="false">SUMIFS('Additions (monthly)'!$E$2:$E$106,'Additions (monthly)'!$D$2:$D$106,U$2,'Additions (monthly)'!$B$2:$B$106,"&lt;="&amp;$B61)</f>
        <v>0</v>
      </c>
      <c r="V61" s="43" t="n">
        <f aca="false">SUMIFS('Additions (monthly)'!$E$2:$E$106,'Additions (monthly)'!$D$2:$D$106,V$2,'Additions (monthly)'!$B$2:$B$106,"&lt;="&amp;$B61)</f>
        <v>3.87</v>
      </c>
      <c r="W61" s="43" t="n">
        <f aca="false">SUMIFS('Additions (monthly)'!$E$2:$E$106,'Additions (monthly)'!$D$2:$D$106,W$2,'Additions (monthly)'!$B$2:$B$106,"&lt;="&amp;$B61)</f>
        <v>0</v>
      </c>
      <c r="X61" s="43" t="n">
        <f aca="false">SUMIFS('Additions (monthly)'!$E$2:$E$106,'Additions (monthly)'!$D$2:$D$106,X$2,'Additions (monthly)'!$B$2:$B$106,"&lt;="&amp;$B61)</f>
        <v>0</v>
      </c>
      <c r="Y61" s="43" t="n">
        <f aca="false">SUMIFS('Additions (monthly)'!$E$2:$E$106,'Additions (monthly)'!$D$2:$D$106,Y$2,'Additions (monthly)'!$B$2:$B$106,"&lt;="&amp;$B61)</f>
        <v>5</v>
      </c>
      <c r="Z61" s="43" t="n">
        <f aca="false">SUMIFS('Additions (monthly)'!$E$2:$E$106,'Additions (monthly)'!$D$2:$D$106,Z$2,'Additions (monthly)'!$B$2:$B$106,"&lt;="&amp;$B61)</f>
        <v>7.2</v>
      </c>
      <c r="AA61" s="43" t="n">
        <f aca="false">SUMIFS('Additions (monthly)'!$E$2:$E$106,'Additions (monthly)'!$D$2:$D$106,AA$2,'Additions (monthly)'!$B$2:$B$106,"&lt;="&amp;$B61)</f>
        <v>3.7</v>
      </c>
      <c r="AB61" s="43" t="n">
        <f aca="false">SUMIFS('Additions (monthly)'!$E$2:$E$106,'Additions (monthly)'!$D$2:$D$106,AB$2,'Additions (monthly)'!$B$2:$B$106,"&lt;="&amp;$B61)</f>
        <v>16.95</v>
      </c>
      <c r="AC61" s="43" t="n">
        <f aca="false">SUMIFS('Additions (monthly)'!$E$2:$E$106,'Additions (monthly)'!$D$2:$D$106,AC$2,'Additions (monthly)'!$B$2:$B$106,"&lt;="&amp;$B61)</f>
        <v>0</v>
      </c>
      <c r="AD61" s="43" t="n">
        <f aca="false">SUMIFS('Additions (monthly)'!$E$2:$E$106,'Additions (monthly)'!$D$2:$D$106,AD$2,'Additions (monthly)'!$B$2:$B$106,"&lt;="&amp;$B61)</f>
        <v>7.6</v>
      </c>
      <c r="AE61" s="43" t="n">
        <f aca="false">SUMIFS('Additions (monthly)'!$E$2:$E$106,'Additions (monthly)'!$D$2:$D$106,AE$2,'Additions (monthly)'!$B$2:$B$106,"&lt;="&amp;$B61)</f>
        <v>25.7</v>
      </c>
      <c r="AF61" s="43" t="n">
        <f aca="false">SUMIFS('Additions (monthly)'!$E$2:$E$106,'Additions (monthly)'!$D$2:$D$106,AF$2,'Additions (monthly)'!$B$2:$B$106,"&lt;="&amp;$B61)</f>
        <v>0</v>
      </c>
      <c r="AG61" s="43" t="n">
        <f aca="false">SUMIFS('Additions (monthly)'!$E$2:$E$106,'Additions (monthly)'!$D$2:$D$106,AG$2,'Additions (monthly)'!$B$2:$B$106,"&lt;="&amp;$B61)</f>
        <v>0</v>
      </c>
      <c r="AH61" s="43" t="n">
        <f aca="false">SUMIFS('Additions (monthly)'!$E$2:$E$106,'Additions (monthly)'!$D$2:$D$106,AH$2,'Additions (monthly)'!$B$2:$B$106,"&lt;="&amp;$B61)</f>
        <v>0</v>
      </c>
      <c r="AI61" s="43" t="n">
        <f aca="false">SUMIFS('Additions (monthly)'!$E$2:$E$106,'Additions (monthly)'!$D$2:$D$106,AI$2,'Additions (monthly)'!$B$2:$B$106,"&lt;="&amp;$B61)</f>
        <v>0</v>
      </c>
      <c r="AJ61" s="43" t="n">
        <f aca="false">SUMIFS('Additions (monthly)'!$E$2:$E$106,'Additions (monthly)'!$D$2:$D$106,AJ$2,'Additions (monthly)'!$B$2:$B$106,"&lt;="&amp;$B61)</f>
        <v>0</v>
      </c>
      <c r="AK61" s="43" t="n">
        <f aca="false">SUMIFS('Additions (monthly)'!$E$2:$E$106,'Additions (monthly)'!$D$2:$D$106,AK$2,'Additions (monthly)'!$B$2:$B$106,"&lt;="&amp;$B61)</f>
        <v>0</v>
      </c>
      <c r="AL61" s="43" t="n">
        <f aca="false">SUMIFS('Additions (monthly)'!$E$2:$E$106,'Additions (monthly)'!$D$2:$D$106,AL$2,'Additions (monthly)'!$B$2:$B$106,"&lt;="&amp;$B61)</f>
        <v>22.2</v>
      </c>
      <c r="AM61" s="43" t="n">
        <f aca="false">SUMIFS('Additions (monthly)'!$E$2:$E$106,'Additions (monthly)'!$D$2:$D$106,AM$2,'Additions (monthly)'!$B$2:$B$106,"&lt;="&amp;$B61)</f>
        <v>0.3</v>
      </c>
      <c r="AN61" s="43" t="n">
        <f aca="false">SUMIFS('Additions (monthly)'!$E$2:$E$106,'Additions (monthly)'!$D$2:$D$106,AN$2,'Additions (monthly)'!$B$2:$B$106,"&lt;="&amp;$B61)</f>
        <v>4.3</v>
      </c>
      <c r="AO61" s="43" t="n">
        <f aca="false">SUMIFS('Additions (monthly)'!$E$2:$E$106,'Additions (monthly)'!$D$2:$D$106,AO$2,'Additions (monthly)'!$B$2:$B$106,"&lt;="&amp;$B61)</f>
        <v>10.4</v>
      </c>
      <c r="AP61" s="43" t="n">
        <f aca="false">SUMIFS('Additions (monthly)'!$E$2:$E$106,'Additions (monthly)'!$D$2:$D$106,AP$2,'Additions (monthly)'!$B$2:$B$106,"&lt;="&amp;$B61)</f>
        <v>6.9</v>
      </c>
      <c r="AQ61" s="43" t="n">
        <f aca="false">SUMIFS('Additions (monthly)'!$E$2:$E$106,'Additions (monthly)'!$D$2:$D$106,AQ$2,'Additions (monthly)'!$B$2:$B$106,"&lt;="&amp;$B61)</f>
        <v>4.45</v>
      </c>
      <c r="AR61" s="43" t="n">
        <f aca="false">SUMIFS('Additions (monthly)'!$E$2:$E$106,'Additions (monthly)'!$D$2:$D$106,AR$2,'Additions (monthly)'!$B$2:$B$106,"&lt;="&amp;$B61)</f>
        <v>77.1</v>
      </c>
      <c r="AS61" s="43" t="n">
        <f aca="false">SUMIFS('Additions (monthly)'!$E$2:$E$106,'Additions (monthly)'!$D$2:$D$106,AS$2,'Additions (monthly)'!$B$2:$B$106,"&lt;="&amp;$B61)</f>
        <v>0</v>
      </c>
      <c r="AT61" s="43" t="n">
        <f aca="false">SUMIFS('Additions (monthly)'!$E$2:$E$106,'Additions (monthly)'!$D$2:$D$106,AT$2,'Additions (monthly)'!$B$2:$B$106,"&lt;="&amp;$B61)</f>
        <v>0</v>
      </c>
      <c r="AU61" s="43" t="n">
        <f aca="false">SUMIFS('Additions (monthly)'!$E$2:$E$106,'Additions (monthly)'!$D$2:$D$106,AU$2,'Additions (monthly)'!$B$2:$B$106,"&lt;="&amp;$B61)</f>
        <v>9.6</v>
      </c>
      <c r="AV61" s="43" t="n">
        <f aca="false">SUMIFS('Additions (monthly)'!$E$2:$E$106,'Additions (monthly)'!$D$2:$D$106,AV$2,'Additions (monthly)'!$B$2:$B$106,"&lt;="&amp;$B61)</f>
        <v>0</v>
      </c>
      <c r="AW61" s="43" t="n">
        <f aca="false">SUMIFS('Additions (monthly)'!$E$2:$E$106,'Additions (monthly)'!$D$2:$D$106,AW$2,'Additions (monthly)'!$B$2:$B$106,"&lt;="&amp;$B61)</f>
        <v>0</v>
      </c>
      <c r="AX61" s="43" t="n">
        <f aca="false">SUMIFS('Additions (monthly)'!$E$2:$E$106,'Additions (monthly)'!$D$2:$D$106,AX$2,'Additions (monthly)'!$B$2:$B$106,"&lt;="&amp;$B61)</f>
        <v>11.8</v>
      </c>
      <c r="AY61" s="43" t="n">
        <f aca="false">SUMIFS('Additions (monthly)'!$E$2:$E$106,'Additions (monthly)'!$D$2:$D$106,AY$2,'Additions (monthly)'!$B$2:$B$106,"&lt;="&amp;$B61)</f>
        <v>5.3</v>
      </c>
      <c r="AZ61" s="43" t="n">
        <f aca="false">SUMIFS('Additions (monthly)'!$E$2:$E$106,'Additions (monthly)'!$D$2:$D$106,AZ$2,'Additions (monthly)'!$B$2:$B$106,"&lt;="&amp;$B61)</f>
        <v>0</v>
      </c>
      <c r="BA61" s="43" t="n">
        <f aca="false">SUMIFS('Additions (monthly)'!$E$2:$E$106,'Additions (monthly)'!$D$2:$D$106,BA$2,'Additions (monthly)'!$B$2:$B$106,"&lt;="&amp;$B61)</f>
        <v>0</v>
      </c>
      <c r="BB61" s="43" t="n">
        <f aca="false">SUMIFS('Additions (monthly)'!$E$2:$E$106,'Additions (monthly)'!$D$2:$D$106,BB$2,'Additions (monthly)'!$B$2:$B$106,"&lt;="&amp;$B61)</f>
        <v>0</v>
      </c>
      <c r="BC61" s="43" t="n">
        <f aca="false">SUMIFS('Additions (monthly)'!$E$2:$E$106,'Additions (monthly)'!$D$2:$D$106,BC$2,'Additions (monthly)'!$B$2:$B$106,"&lt;="&amp;$B61)</f>
        <v>0</v>
      </c>
      <c r="BD61" s="43" t="n">
        <f aca="false">SUMIFS('Additions (monthly)'!$E$2:$E$106,'Additions (monthly)'!$D$2:$D$106,BD$2,'Additions (monthly)'!$B$2:$B$106,"&lt;="&amp;$B61)</f>
        <v>0</v>
      </c>
      <c r="BE61" s="43" t="n">
        <f aca="false">SUMIFS('Additions (monthly)'!$E$2:$E$106,'Additions (monthly)'!$D$2:$D$106,BE$2,'Additions (monthly)'!$B$2:$B$106,"&lt;="&amp;$B61)</f>
        <v>0</v>
      </c>
      <c r="BF61" s="43" t="n">
        <f aca="false">SUMIFS('Additions (monthly)'!$E$2:$E$106,'Additions (monthly)'!$D$2:$D$106,BF$2,'Additions (monthly)'!$B$2:$B$106,"&lt;="&amp;$B61)</f>
        <v>0</v>
      </c>
      <c r="BG61" s="43" t="n">
        <f aca="false">SUMIFS('Additions (monthly)'!$E$2:$E$106,'Additions (monthly)'!$D$2:$D$106,BG$2,'Additions (monthly)'!$B$2:$B$106,"&lt;="&amp;$B61)</f>
        <v>0</v>
      </c>
      <c r="BH61" s="43" t="n">
        <f aca="false">SUMIFS('Additions (monthly)'!$E$2:$E$106,'Additions (monthly)'!$D$2:$D$106,BH$2,'Additions (monthly)'!$B$2:$B$106,"&lt;="&amp;$B61)</f>
        <v>0</v>
      </c>
      <c r="BI61" s="43" t="n">
        <f aca="false">SUMIFS('Additions (monthly)'!$E$2:$E$106,'Additions (monthly)'!$D$2:$D$106,BI$2,'Additions (monthly)'!$B$2:$B$106,"&lt;="&amp;$B61)</f>
        <v>6.7</v>
      </c>
    </row>
    <row r="62" customFormat="false" ht="15" hidden="false" customHeight="false" outlineLevel="0" collapsed="false">
      <c r="A62" s="23" t="n">
        <v>41974</v>
      </c>
      <c r="B62" s="24" t="n">
        <v>201412</v>
      </c>
      <c r="C62" s="42" t="n">
        <f aca="false">SUMIFS('Additions (monthly)'!$E$2:$E$106,'Additions (monthly)'!$B$2:$B$106,"&lt;="&amp;$B62)</f>
        <v>298.27</v>
      </c>
      <c r="D62" s="43" t="n">
        <f aca="false">SUMIFS('Additions (monthly)'!$E$2:$E$106,'Additions (monthly)'!$D$2:$D$106,D$2,'Additions (monthly)'!$B$2:$B$106,"&lt;="&amp;$B62)</f>
        <v>7.9</v>
      </c>
      <c r="E62" s="43" t="n">
        <f aca="false">SUMIFS('Additions (monthly)'!$E$2:$E$106,'Additions (monthly)'!$D$2:$D$106,E$2,'Additions (monthly)'!$B$2:$B$106,"&lt;="&amp;$B62)</f>
        <v>8.4</v>
      </c>
      <c r="F62" s="43" t="n">
        <f aca="false">SUMIFS('Additions (monthly)'!$E$2:$E$106,'Additions (monthly)'!$D$2:$D$106,F$2,'Additions (monthly)'!$B$2:$B$106,"&lt;="&amp;$B62)</f>
        <v>4.7</v>
      </c>
      <c r="G62" s="43" t="n">
        <f aca="false">SUMIFS('Additions (monthly)'!$E$2:$E$106,'Additions (monthly)'!$D$2:$D$106,G$2,'Additions (monthly)'!$B$2:$B$106,"&lt;="&amp;$B62)</f>
        <v>4.5</v>
      </c>
      <c r="H62" s="43" t="n">
        <f aca="false">SUMIFS('Additions (monthly)'!$E$2:$E$106,'Additions (monthly)'!$D$2:$D$106,H$2,'Additions (monthly)'!$B$2:$B$106,"&lt;="&amp;$B62)</f>
        <v>5.2</v>
      </c>
      <c r="I62" s="43" t="n">
        <f aca="false">SUMIFS('Additions (monthly)'!$E$2:$E$106,'Additions (monthly)'!$D$2:$D$106,I$2,'Additions (monthly)'!$B$2:$B$106,"&lt;="&amp;$B62)</f>
        <v>0</v>
      </c>
      <c r="J62" s="43" t="n">
        <f aca="false">SUMIFS('Additions (monthly)'!$E$2:$E$106,'Additions (monthly)'!$D$2:$D$106,J$2,'Additions (monthly)'!$B$2:$B$106,"&lt;="&amp;$B62)</f>
        <v>3.7</v>
      </c>
      <c r="K62" s="43" t="n">
        <f aca="false">SUMIFS('Additions (monthly)'!$E$2:$E$106,'Additions (monthly)'!$D$2:$D$106,K$2,'Additions (monthly)'!$B$2:$B$106,"&lt;="&amp;$B62)</f>
        <v>0</v>
      </c>
      <c r="L62" s="43" t="n">
        <f aca="false">SUMIFS('Additions (monthly)'!$E$2:$E$106,'Additions (monthly)'!$D$2:$D$106,L$2,'Additions (monthly)'!$B$2:$B$106,"&lt;="&amp;$B62)</f>
        <v>0</v>
      </c>
      <c r="M62" s="43" t="n">
        <f aca="false">SUMIFS('Additions (monthly)'!$E$2:$E$106,'Additions (monthly)'!$D$2:$D$106,M$2,'Additions (monthly)'!$B$2:$B$106,"&lt;="&amp;$B62)</f>
        <v>0</v>
      </c>
      <c r="N62" s="43" t="n">
        <f aca="false">SUMIFS('Additions (monthly)'!$E$2:$E$106,'Additions (monthly)'!$D$2:$D$106,N$2,'Additions (monthly)'!$B$2:$B$106,"&lt;="&amp;$B62)</f>
        <v>14.2</v>
      </c>
      <c r="O62" s="43" t="n">
        <f aca="false">SUMIFS('Additions (monthly)'!$E$2:$E$106,'Additions (monthly)'!$D$2:$D$106,O$2,'Additions (monthly)'!$B$2:$B$106,"&lt;="&amp;$B62)</f>
        <v>4.9</v>
      </c>
      <c r="P62" s="43" t="n">
        <f aca="false">SUMIFS('Additions (monthly)'!$E$2:$E$106,'Additions (monthly)'!$D$2:$D$106,P$2,'Additions (monthly)'!$B$2:$B$106,"&lt;="&amp;$B62)</f>
        <v>0</v>
      </c>
      <c r="Q62" s="43" t="n">
        <f aca="false">SUMIFS('Additions (monthly)'!$E$2:$E$106,'Additions (monthly)'!$D$2:$D$106,Q$2,'Additions (monthly)'!$B$2:$B$106,"&lt;="&amp;$B62)</f>
        <v>8.5</v>
      </c>
      <c r="R62" s="43" t="n">
        <f aca="false">SUMIFS('Additions (monthly)'!$E$2:$E$106,'Additions (monthly)'!$D$2:$D$106,R$2,'Additions (monthly)'!$B$2:$B$106,"&lt;="&amp;$B62)</f>
        <v>0</v>
      </c>
      <c r="S62" s="43" t="n">
        <f aca="false">SUMIFS('Additions (monthly)'!$E$2:$E$106,'Additions (monthly)'!$D$2:$D$106,S$2,'Additions (monthly)'!$B$2:$B$106,"&lt;="&amp;$B62)</f>
        <v>7.2</v>
      </c>
      <c r="T62" s="43" t="n">
        <f aca="false">SUMIFS('Additions (monthly)'!$E$2:$E$106,'Additions (monthly)'!$D$2:$D$106,T$2,'Additions (monthly)'!$B$2:$B$106,"&lt;="&amp;$B62)</f>
        <v>0</v>
      </c>
      <c r="U62" s="43" t="n">
        <f aca="false">SUMIFS('Additions (monthly)'!$E$2:$E$106,'Additions (monthly)'!$D$2:$D$106,U$2,'Additions (monthly)'!$B$2:$B$106,"&lt;="&amp;$B62)</f>
        <v>0</v>
      </c>
      <c r="V62" s="43" t="n">
        <f aca="false">SUMIFS('Additions (monthly)'!$E$2:$E$106,'Additions (monthly)'!$D$2:$D$106,V$2,'Additions (monthly)'!$B$2:$B$106,"&lt;="&amp;$B62)</f>
        <v>3.87</v>
      </c>
      <c r="W62" s="43" t="n">
        <f aca="false">SUMIFS('Additions (monthly)'!$E$2:$E$106,'Additions (monthly)'!$D$2:$D$106,W$2,'Additions (monthly)'!$B$2:$B$106,"&lt;="&amp;$B62)</f>
        <v>0</v>
      </c>
      <c r="X62" s="43" t="n">
        <f aca="false">SUMIFS('Additions (monthly)'!$E$2:$E$106,'Additions (monthly)'!$D$2:$D$106,X$2,'Additions (monthly)'!$B$2:$B$106,"&lt;="&amp;$B62)</f>
        <v>0</v>
      </c>
      <c r="Y62" s="43" t="n">
        <f aca="false">SUMIFS('Additions (monthly)'!$E$2:$E$106,'Additions (monthly)'!$D$2:$D$106,Y$2,'Additions (monthly)'!$B$2:$B$106,"&lt;="&amp;$B62)</f>
        <v>5</v>
      </c>
      <c r="Z62" s="43" t="n">
        <f aca="false">SUMIFS('Additions (monthly)'!$E$2:$E$106,'Additions (monthly)'!$D$2:$D$106,Z$2,'Additions (monthly)'!$B$2:$B$106,"&lt;="&amp;$B62)</f>
        <v>7.2</v>
      </c>
      <c r="AA62" s="43" t="n">
        <f aca="false">SUMIFS('Additions (monthly)'!$E$2:$E$106,'Additions (monthly)'!$D$2:$D$106,AA$2,'Additions (monthly)'!$B$2:$B$106,"&lt;="&amp;$B62)</f>
        <v>3.7</v>
      </c>
      <c r="AB62" s="43" t="n">
        <f aca="false">SUMIFS('Additions (monthly)'!$E$2:$E$106,'Additions (monthly)'!$D$2:$D$106,AB$2,'Additions (monthly)'!$B$2:$B$106,"&lt;="&amp;$B62)</f>
        <v>16.95</v>
      </c>
      <c r="AC62" s="43" t="n">
        <f aca="false">SUMIFS('Additions (monthly)'!$E$2:$E$106,'Additions (monthly)'!$D$2:$D$106,AC$2,'Additions (monthly)'!$B$2:$B$106,"&lt;="&amp;$B62)</f>
        <v>0</v>
      </c>
      <c r="AD62" s="43" t="n">
        <f aca="false">SUMIFS('Additions (monthly)'!$E$2:$E$106,'Additions (monthly)'!$D$2:$D$106,AD$2,'Additions (monthly)'!$B$2:$B$106,"&lt;="&amp;$B62)</f>
        <v>7.6</v>
      </c>
      <c r="AE62" s="43" t="n">
        <f aca="false">SUMIFS('Additions (monthly)'!$E$2:$E$106,'Additions (monthly)'!$D$2:$D$106,AE$2,'Additions (monthly)'!$B$2:$B$106,"&lt;="&amp;$B62)</f>
        <v>25.7</v>
      </c>
      <c r="AF62" s="43" t="n">
        <f aca="false">SUMIFS('Additions (monthly)'!$E$2:$E$106,'Additions (monthly)'!$D$2:$D$106,AF$2,'Additions (monthly)'!$B$2:$B$106,"&lt;="&amp;$B62)</f>
        <v>0</v>
      </c>
      <c r="AG62" s="43" t="n">
        <f aca="false">SUMIFS('Additions (monthly)'!$E$2:$E$106,'Additions (monthly)'!$D$2:$D$106,AG$2,'Additions (monthly)'!$B$2:$B$106,"&lt;="&amp;$B62)</f>
        <v>0</v>
      </c>
      <c r="AH62" s="43" t="n">
        <f aca="false">SUMIFS('Additions (monthly)'!$E$2:$E$106,'Additions (monthly)'!$D$2:$D$106,AH$2,'Additions (monthly)'!$B$2:$B$106,"&lt;="&amp;$B62)</f>
        <v>0</v>
      </c>
      <c r="AI62" s="43" t="n">
        <f aca="false">SUMIFS('Additions (monthly)'!$E$2:$E$106,'Additions (monthly)'!$D$2:$D$106,AI$2,'Additions (monthly)'!$B$2:$B$106,"&lt;="&amp;$B62)</f>
        <v>0</v>
      </c>
      <c r="AJ62" s="43" t="n">
        <f aca="false">SUMIFS('Additions (monthly)'!$E$2:$E$106,'Additions (monthly)'!$D$2:$D$106,AJ$2,'Additions (monthly)'!$B$2:$B$106,"&lt;="&amp;$B62)</f>
        <v>0</v>
      </c>
      <c r="AK62" s="43" t="n">
        <f aca="false">SUMIFS('Additions (monthly)'!$E$2:$E$106,'Additions (monthly)'!$D$2:$D$106,AK$2,'Additions (monthly)'!$B$2:$B$106,"&lt;="&amp;$B62)</f>
        <v>0</v>
      </c>
      <c r="AL62" s="43" t="n">
        <f aca="false">SUMIFS('Additions (monthly)'!$E$2:$E$106,'Additions (monthly)'!$D$2:$D$106,AL$2,'Additions (monthly)'!$B$2:$B$106,"&lt;="&amp;$B62)</f>
        <v>22.2</v>
      </c>
      <c r="AM62" s="43" t="n">
        <f aca="false">SUMIFS('Additions (monthly)'!$E$2:$E$106,'Additions (monthly)'!$D$2:$D$106,AM$2,'Additions (monthly)'!$B$2:$B$106,"&lt;="&amp;$B62)</f>
        <v>0.3</v>
      </c>
      <c r="AN62" s="43" t="n">
        <f aca="false">SUMIFS('Additions (monthly)'!$E$2:$E$106,'Additions (monthly)'!$D$2:$D$106,AN$2,'Additions (monthly)'!$B$2:$B$106,"&lt;="&amp;$B62)</f>
        <v>4.3</v>
      </c>
      <c r="AO62" s="43" t="n">
        <f aca="false">SUMIFS('Additions (monthly)'!$E$2:$E$106,'Additions (monthly)'!$D$2:$D$106,AO$2,'Additions (monthly)'!$B$2:$B$106,"&lt;="&amp;$B62)</f>
        <v>10.4</v>
      </c>
      <c r="AP62" s="43" t="n">
        <f aca="false">SUMIFS('Additions (monthly)'!$E$2:$E$106,'Additions (monthly)'!$D$2:$D$106,AP$2,'Additions (monthly)'!$B$2:$B$106,"&lt;="&amp;$B62)</f>
        <v>6.9</v>
      </c>
      <c r="AQ62" s="43" t="n">
        <f aca="false">SUMIFS('Additions (monthly)'!$E$2:$E$106,'Additions (monthly)'!$D$2:$D$106,AQ$2,'Additions (monthly)'!$B$2:$B$106,"&lt;="&amp;$B62)</f>
        <v>4.45</v>
      </c>
      <c r="AR62" s="43" t="n">
        <f aca="false">SUMIFS('Additions (monthly)'!$E$2:$E$106,'Additions (monthly)'!$D$2:$D$106,AR$2,'Additions (monthly)'!$B$2:$B$106,"&lt;="&amp;$B62)</f>
        <v>77.1</v>
      </c>
      <c r="AS62" s="43" t="n">
        <f aca="false">SUMIFS('Additions (monthly)'!$E$2:$E$106,'Additions (monthly)'!$D$2:$D$106,AS$2,'Additions (monthly)'!$B$2:$B$106,"&lt;="&amp;$B62)</f>
        <v>0</v>
      </c>
      <c r="AT62" s="43" t="n">
        <f aca="false">SUMIFS('Additions (monthly)'!$E$2:$E$106,'Additions (monthly)'!$D$2:$D$106,AT$2,'Additions (monthly)'!$B$2:$B$106,"&lt;="&amp;$B62)</f>
        <v>0</v>
      </c>
      <c r="AU62" s="43" t="n">
        <f aca="false">SUMIFS('Additions (monthly)'!$E$2:$E$106,'Additions (monthly)'!$D$2:$D$106,AU$2,'Additions (monthly)'!$B$2:$B$106,"&lt;="&amp;$B62)</f>
        <v>9.6</v>
      </c>
      <c r="AV62" s="43" t="n">
        <f aca="false">SUMIFS('Additions (monthly)'!$E$2:$E$106,'Additions (monthly)'!$D$2:$D$106,AV$2,'Additions (monthly)'!$B$2:$B$106,"&lt;="&amp;$B62)</f>
        <v>0</v>
      </c>
      <c r="AW62" s="43" t="n">
        <f aca="false">SUMIFS('Additions (monthly)'!$E$2:$E$106,'Additions (monthly)'!$D$2:$D$106,AW$2,'Additions (monthly)'!$B$2:$B$106,"&lt;="&amp;$B62)</f>
        <v>0</v>
      </c>
      <c r="AX62" s="43" t="n">
        <f aca="false">SUMIFS('Additions (monthly)'!$E$2:$E$106,'Additions (monthly)'!$D$2:$D$106,AX$2,'Additions (monthly)'!$B$2:$B$106,"&lt;="&amp;$B62)</f>
        <v>11.8</v>
      </c>
      <c r="AY62" s="43" t="n">
        <f aca="false">SUMIFS('Additions (monthly)'!$E$2:$E$106,'Additions (monthly)'!$D$2:$D$106,AY$2,'Additions (monthly)'!$B$2:$B$106,"&lt;="&amp;$B62)</f>
        <v>5.3</v>
      </c>
      <c r="AZ62" s="43" t="n">
        <f aca="false">SUMIFS('Additions (monthly)'!$E$2:$E$106,'Additions (monthly)'!$D$2:$D$106,AZ$2,'Additions (monthly)'!$B$2:$B$106,"&lt;="&amp;$B62)</f>
        <v>0</v>
      </c>
      <c r="BA62" s="43" t="n">
        <f aca="false">SUMIFS('Additions (monthly)'!$E$2:$E$106,'Additions (monthly)'!$D$2:$D$106,BA$2,'Additions (monthly)'!$B$2:$B$106,"&lt;="&amp;$B62)</f>
        <v>0</v>
      </c>
      <c r="BB62" s="43" t="n">
        <f aca="false">SUMIFS('Additions (monthly)'!$E$2:$E$106,'Additions (monthly)'!$D$2:$D$106,BB$2,'Additions (monthly)'!$B$2:$B$106,"&lt;="&amp;$B62)</f>
        <v>0</v>
      </c>
      <c r="BC62" s="43" t="n">
        <f aca="false">SUMIFS('Additions (monthly)'!$E$2:$E$106,'Additions (monthly)'!$D$2:$D$106,BC$2,'Additions (monthly)'!$B$2:$B$106,"&lt;="&amp;$B62)</f>
        <v>0</v>
      </c>
      <c r="BD62" s="43" t="n">
        <f aca="false">SUMIFS('Additions (monthly)'!$E$2:$E$106,'Additions (monthly)'!$D$2:$D$106,BD$2,'Additions (monthly)'!$B$2:$B$106,"&lt;="&amp;$B62)</f>
        <v>0</v>
      </c>
      <c r="BE62" s="43" t="n">
        <f aca="false">SUMIFS('Additions (monthly)'!$E$2:$E$106,'Additions (monthly)'!$D$2:$D$106,BE$2,'Additions (monthly)'!$B$2:$B$106,"&lt;="&amp;$B62)</f>
        <v>0</v>
      </c>
      <c r="BF62" s="43" t="n">
        <f aca="false">SUMIFS('Additions (monthly)'!$E$2:$E$106,'Additions (monthly)'!$D$2:$D$106,BF$2,'Additions (monthly)'!$B$2:$B$106,"&lt;="&amp;$B62)</f>
        <v>0</v>
      </c>
      <c r="BG62" s="43" t="n">
        <f aca="false">SUMIFS('Additions (monthly)'!$E$2:$E$106,'Additions (monthly)'!$D$2:$D$106,BG$2,'Additions (monthly)'!$B$2:$B$106,"&lt;="&amp;$B62)</f>
        <v>0</v>
      </c>
      <c r="BH62" s="43" t="n">
        <f aca="false">SUMIFS('Additions (monthly)'!$E$2:$E$106,'Additions (monthly)'!$D$2:$D$106,BH$2,'Additions (monthly)'!$B$2:$B$106,"&lt;="&amp;$B62)</f>
        <v>0</v>
      </c>
      <c r="BI62" s="43" t="n">
        <f aca="false">SUMIFS('Additions (monthly)'!$E$2:$E$106,'Additions (monthly)'!$D$2:$D$106,BI$2,'Additions (monthly)'!$B$2:$B$106,"&lt;="&amp;$B62)</f>
        <v>6.7</v>
      </c>
    </row>
    <row r="63" customFormat="false" ht="15" hidden="false" customHeight="false" outlineLevel="0" collapsed="false">
      <c r="A63" s="44" t="n">
        <v>42005</v>
      </c>
      <c r="B63" s="45" t="n">
        <v>201501</v>
      </c>
      <c r="C63" s="42" t="n">
        <f aca="false">SUMIFS('Additions (monthly)'!$E$2:$E$106,'Additions (monthly)'!$B$2:$B$106,"&lt;="&amp;$B63)</f>
        <v>298.27</v>
      </c>
      <c r="D63" s="46" t="n">
        <f aca="false">SUMIFS('Additions (monthly)'!$E$2:$E$106,'Additions (monthly)'!$D$2:$D$106,D$2,'Additions (monthly)'!$B$2:$B$106,"&lt;="&amp;$B63)</f>
        <v>7.9</v>
      </c>
      <c r="E63" s="46" t="n">
        <f aca="false">SUMIFS('Additions (monthly)'!$E$2:$E$106,'Additions (monthly)'!$D$2:$D$106,E$2,'Additions (monthly)'!$B$2:$B$106,"&lt;="&amp;$B63)</f>
        <v>8.4</v>
      </c>
      <c r="F63" s="46" t="n">
        <f aca="false">SUMIFS('Additions (monthly)'!$E$2:$E$106,'Additions (monthly)'!$D$2:$D$106,F$2,'Additions (monthly)'!$B$2:$B$106,"&lt;="&amp;$B63)</f>
        <v>4.7</v>
      </c>
      <c r="G63" s="46" t="n">
        <f aca="false">SUMIFS('Additions (monthly)'!$E$2:$E$106,'Additions (monthly)'!$D$2:$D$106,G$2,'Additions (monthly)'!$B$2:$B$106,"&lt;="&amp;$B63)</f>
        <v>4.5</v>
      </c>
      <c r="H63" s="46" t="n">
        <f aca="false">SUMIFS('Additions (monthly)'!$E$2:$E$106,'Additions (monthly)'!$D$2:$D$106,H$2,'Additions (monthly)'!$B$2:$B$106,"&lt;="&amp;$B63)</f>
        <v>5.2</v>
      </c>
      <c r="I63" s="46" t="n">
        <f aca="false">SUMIFS('Additions (monthly)'!$E$2:$E$106,'Additions (monthly)'!$D$2:$D$106,I$2,'Additions (monthly)'!$B$2:$B$106,"&lt;="&amp;$B63)</f>
        <v>0</v>
      </c>
      <c r="J63" s="46" t="n">
        <f aca="false">SUMIFS('Additions (monthly)'!$E$2:$E$106,'Additions (monthly)'!$D$2:$D$106,J$2,'Additions (monthly)'!$B$2:$B$106,"&lt;="&amp;$B63)</f>
        <v>3.7</v>
      </c>
      <c r="K63" s="46" t="n">
        <f aca="false">SUMIFS('Additions (monthly)'!$E$2:$E$106,'Additions (monthly)'!$D$2:$D$106,K$2,'Additions (monthly)'!$B$2:$B$106,"&lt;="&amp;$B63)</f>
        <v>0</v>
      </c>
      <c r="L63" s="46" t="n">
        <f aca="false">SUMIFS('Additions (monthly)'!$E$2:$E$106,'Additions (monthly)'!$D$2:$D$106,L$2,'Additions (monthly)'!$B$2:$B$106,"&lt;="&amp;$B63)</f>
        <v>0</v>
      </c>
      <c r="M63" s="46" t="n">
        <f aca="false">SUMIFS('Additions (monthly)'!$E$2:$E$106,'Additions (monthly)'!$D$2:$D$106,M$2,'Additions (monthly)'!$B$2:$B$106,"&lt;="&amp;$B63)</f>
        <v>0</v>
      </c>
      <c r="N63" s="46" t="n">
        <f aca="false">SUMIFS('Additions (monthly)'!$E$2:$E$106,'Additions (monthly)'!$D$2:$D$106,N$2,'Additions (monthly)'!$B$2:$B$106,"&lt;="&amp;$B63)</f>
        <v>14.2</v>
      </c>
      <c r="O63" s="46" t="n">
        <f aca="false">SUMIFS('Additions (monthly)'!$E$2:$E$106,'Additions (monthly)'!$D$2:$D$106,O$2,'Additions (monthly)'!$B$2:$B$106,"&lt;="&amp;$B63)</f>
        <v>4.9</v>
      </c>
      <c r="P63" s="46" t="n">
        <f aca="false">SUMIFS('Additions (monthly)'!$E$2:$E$106,'Additions (monthly)'!$D$2:$D$106,P$2,'Additions (monthly)'!$B$2:$B$106,"&lt;="&amp;$B63)</f>
        <v>0</v>
      </c>
      <c r="Q63" s="46" t="n">
        <f aca="false">SUMIFS('Additions (monthly)'!$E$2:$E$106,'Additions (monthly)'!$D$2:$D$106,Q$2,'Additions (monthly)'!$B$2:$B$106,"&lt;="&amp;$B63)</f>
        <v>8.5</v>
      </c>
      <c r="R63" s="46" t="n">
        <f aca="false">SUMIFS('Additions (monthly)'!$E$2:$E$106,'Additions (monthly)'!$D$2:$D$106,R$2,'Additions (monthly)'!$B$2:$B$106,"&lt;="&amp;$B63)</f>
        <v>0</v>
      </c>
      <c r="S63" s="46" t="n">
        <f aca="false">SUMIFS('Additions (monthly)'!$E$2:$E$106,'Additions (monthly)'!$D$2:$D$106,S$2,'Additions (monthly)'!$B$2:$B$106,"&lt;="&amp;$B63)</f>
        <v>7.2</v>
      </c>
      <c r="T63" s="46" t="n">
        <f aca="false">SUMIFS('Additions (monthly)'!$E$2:$E$106,'Additions (monthly)'!$D$2:$D$106,T$2,'Additions (monthly)'!$B$2:$B$106,"&lt;="&amp;$B63)</f>
        <v>0</v>
      </c>
      <c r="U63" s="46" t="n">
        <f aca="false">SUMIFS('Additions (monthly)'!$E$2:$E$106,'Additions (monthly)'!$D$2:$D$106,U$2,'Additions (monthly)'!$B$2:$B$106,"&lt;="&amp;$B63)</f>
        <v>0</v>
      </c>
      <c r="V63" s="46" t="n">
        <f aca="false">SUMIFS('Additions (monthly)'!$E$2:$E$106,'Additions (monthly)'!$D$2:$D$106,V$2,'Additions (monthly)'!$B$2:$B$106,"&lt;="&amp;$B63)</f>
        <v>3.87</v>
      </c>
      <c r="W63" s="46" t="n">
        <f aca="false">SUMIFS('Additions (monthly)'!$E$2:$E$106,'Additions (monthly)'!$D$2:$D$106,W$2,'Additions (monthly)'!$B$2:$B$106,"&lt;="&amp;$B63)</f>
        <v>0</v>
      </c>
      <c r="X63" s="46" t="n">
        <f aca="false">SUMIFS('Additions (monthly)'!$E$2:$E$106,'Additions (monthly)'!$D$2:$D$106,X$2,'Additions (monthly)'!$B$2:$B$106,"&lt;="&amp;$B63)</f>
        <v>0</v>
      </c>
      <c r="Y63" s="46" t="n">
        <f aca="false">SUMIFS('Additions (monthly)'!$E$2:$E$106,'Additions (monthly)'!$D$2:$D$106,Y$2,'Additions (monthly)'!$B$2:$B$106,"&lt;="&amp;$B63)</f>
        <v>5</v>
      </c>
      <c r="Z63" s="46" t="n">
        <f aca="false">SUMIFS('Additions (monthly)'!$E$2:$E$106,'Additions (monthly)'!$D$2:$D$106,Z$2,'Additions (monthly)'!$B$2:$B$106,"&lt;="&amp;$B63)</f>
        <v>7.2</v>
      </c>
      <c r="AA63" s="46" t="n">
        <f aca="false">SUMIFS('Additions (monthly)'!$E$2:$E$106,'Additions (monthly)'!$D$2:$D$106,AA$2,'Additions (monthly)'!$B$2:$B$106,"&lt;="&amp;$B63)</f>
        <v>3.7</v>
      </c>
      <c r="AB63" s="46" t="n">
        <f aca="false">SUMIFS('Additions (monthly)'!$E$2:$E$106,'Additions (monthly)'!$D$2:$D$106,AB$2,'Additions (monthly)'!$B$2:$B$106,"&lt;="&amp;$B63)</f>
        <v>16.95</v>
      </c>
      <c r="AC63" s="46" t="n">
        <f aca="false">SUMIFS('Additions (monthly)'!$E$2:$E$106,'Additions (monthly)'!$D$2:$D$106,AC$2,'Additions (monthly)'!$B$2:$B$106,"&lt;="&amp;$B63)</f>
        <v>0</v>
      </c>
      <c r="AD63" s="46" t="n">
        <f aca="false">SUMIFS('Additions (monthly)'!$E$2:$E$106,'Additions (monthly)'!$D$2:$D$106,AD$2,'Additions (monthly)'!$B$2:$B$106,"&lt;="&amp;$B63)</f>
        <v>7.6</v>
      </c>
      <c r="AE63" s="46" t="n">
        <f aca="false">SUMIFS('Additions (monthly)'!$E$2:$E$106,'Additions (monthly)'!$D$2:$D$106,AE$2,'Additions (monthly)'!$B$2:$B$106,"&lt;="&amp;$B63)</f>
        <v>25.7</v>
      </c>
      <c r="AF63" s="46" t="n">
        <f aca="false">SUMIFS('Additions (monthly)'!$E$2:$E$106,'Additions (monthly)'!$D$2:$D$106,AF$2,'Additions (monthly)'!$B$2:$B$106,"&lt;="&amp;$B63)</f>
        <v>0</v>
      </c>
      <c r="AG63" s="46" t="n">
        <f aca="false">SUMIFS('Additions (monthly)'!$E$2:$E$106,'Additions (monthly)'!$D$2:$D$106,AG$2,'Additions (monthly)'!$B$2:$B$106,"&lt;="&amp;$B63)</f>
        <v>0</v>
      </c>
      <c r="AH63" s="46" t="n">
        <f aca="false">SUMIFS('Additions (monthly)'!$E$2:$E$106,'Additions (monthly)'!$D$2:$D$106,AH$2,'Additions (monthly)'!$B$2:$B$106,"&lt;="&amp;$B63)</f>
        <v>0</v>
      </c>
      <c r="AI63" s="46" t="n">
        <f aca="false">SUMIFS('Additions (monthly)'!$E$2:$E$106,'Additions (monthly)'!$D$2:$D$106,AI$2,'Additions (monthly)'!$B$2:$B$106,"&lt;="&amp;$B63)</f>
        <v>0</v>
      </c>
      <c r="AJ63" s="46" t="n">
        <f aca="false">SUMIFS('Additions (monthly)'!$E$2:$E$106,'Additions (monthly)'!$D$2:$D$106,AJ$2,'Additions (monthly)'!$B$2:$B$106,"&lt;="&amp;$B63)</f>
        <v>0</v>
      </c>
      <c r="AK63" s="46" t="n">
        <f aca="false">SUMIFS('Additions (monthly)'!$E$2:$E$106,'Additions (monthly)'!$D$2:$D$106,AK$2,'Additions (monthly)'!$B$2:$B$106,"&lt;="&amp;$B63)</f>
        <v>0</v>
      </c>
      <c r="AL63" s="46" t="n">
        <f aca="false">SUMIFS('Additions (monthly)'!$E$2:$E$106,'Additions (monthly)'!$D$2:$D$106,AL$2,'Additions (monthly)'!$B$2:$B$106,"&lt;="&amp;$B63)</f>
        <v>22.2</v>
      </c>
      <c r="AM63" s="46" t="n">
        <f aca="false">SUMIFS('Additions (monthly)'!$E$2:$E$106,'Additions (monthly)'!$D$2:$D$106,AM$2,'Additions (monthly)'!$B$2:$B$106,"&lt;="&amp;$B63)</f>
        <v>0.3</v>
      </c>
      <c r="AN63" s="46" t="n">
        <f aca="false">SUMIFS('Additions (monthly)'!$E$2:$E$106,'Additions (monthly)'!$D$2:$D$106,AN$2,'Additions (monthly)'!$B$2:$B$106,"&lt;="&amp;$B63)</f>
        <v>4.3</v>
      </c>
      <c r="AO63" s="46" t="n">
        <f aca="false">SUMIFS('Additions (monthly)'!$E$2:$E$106,'Additions (monthly)'!$D$2:$D$106,AO$2,'Additions (monthly)'!$B$2:$B$106,"&lt;="&amp;$B63)</f>
        <v>10.4</v>
      </c>
      <c r="AP63" s="46" t="n">
        <f aca="false">SUMIFS('Additions (monthly)'!$E$2:$E$106,'Additions (monthly)'!$D$2:$D$106,AP$2,'Additions (monthly)'!$B$2:$B$106,"&lt;="&amp;$B63)</f>
        <v>6.9</v>
      </c>
      <c r="AQ63" s="46" t="n">
        <f aca="false">SUMIFS('Additions (monthly)'!$E$2:$E$106,'Additions (monthly)'!$D$2:$D$106,AQ$2,'Additions (monthly)'!$B$2:$B$106,"&lt;="&amp;$B63)</f>
        <v>4.45</v>
      </c>
      <c r="AR63" s="46" t="n">
        <f aca="false">SUMIFS('Additions (monthly)'!$E$2:$E$106,'Additions (monthly)'!$D$2:$D$106,AR$2,'Additions (monthly)'!$B$2:$B$106,"&lt;="&amp;$B63)</f>
        <v>77.1</v>
      </c>
      <c r="AS63" s="46" t="n">
        <f aca="false">SUMIFS('Additions (monthly)'!$E$2:$E$106,'Additions (monthly)'!$D$2:$D$106,AS$2,'Additions (monthly)'!$B$2:$B$106,"&lt;="&amp;$B63)</f>
        <v>0</v>
      </c>
      <c r="AT63" s="46" t="n">
        <f aca="false">SUMIFS('Additions (monthly)'!$E$2:$E$106,'Additions (monthly)'!$D$2:$D$106,AT$2,'Additions (monthly)'!$B$2:$B$106,"&lt;="&amp;$B63)</f>
        <v>0</v>
      </c>
      <c r="AU63" s="46" t="n">
        <f aca="false">SUMIFS('Additions (monthly)'!$E$2:$E$106,'Additions (monthly)'!$D$2:$D$106,AU$2,'Additions (monthly)'!$B$2:$B$106,"&lt;="&amp;$B63)</f>
        <v>9.6</v>
      </c>
      <c r="AV63" s="46" t="n">
        <f aca="false">SUMIFS('Additions (monthly)'!$E$2:$E$106,'Additions (monthly)'!$D$2:$D$106,AV$2,'Additions (monthly)'!$B$2:$B$106,"&lt;="&amp;$B63)</f>
        <v>0</v>
      </c>
      <c r="AW63" s="46" t="n">
        <f aca="false">SUMIFS('Additions (monthly)'!$E$2:$E$106,'Additions (monthly)'!$D$2:$D$106,AW$2,'Additions (monthly)'!$B$2:$B$106,"&lt;="&amp;$B63)</f>
        <v>0</v>
      </c>
      <c r="AX63" s="46" t="n">
        <f aca="false">SUMIFS('Additions (monthly)'!$E$2:$E$106,'Additions (monthly)'!$D$2:$D$106,AX$2,'Additions (monthly)'!$B$2:$B$106,"&lt;="&amp;$B63)</f>
        <v>11.8</v>
      </c>
      <c r="AY63" s="46" t="n">
        <f aca="false">SUMIFS('Additions (monthly)'!$E$2:$E$106,'Additions (monthly)'!$D$2:$D$106,AY$2,'Additions (monthly)'!$B$2:$B$106,"&lt;="&amp;$B63)</f>
        <v>5.3</v>
      </c>
      <c r="AZ63" s="46" t="n">
        <f aca="false">SUMIFS('Additions (monthly)'!$E$2:$E$106,'Additions (monthly)'!$D$2:$D$106,AZ$2,'Additions (monthly)'!$B$2:$B$106,"&lt;="&amp;$B63)</f>
        <v>0</v>
      </c>
      <c r="BA63" s="46" t="n">
        <f aca="false">SUMIFS('Additions (monthly)'!$E$2:$E$106,'Additions (monthly)'!$D$2:$D$106,BA$2,'Additions (monthly)'!$B$2:$B$106,"&lt;="&amp;$B63)</f>
        <v>0</v>
      </c>
      <c r="BB63" s="46" t="n">
        <f aca="false">SUMIFS('Additions (monthly)'!$E$2:$E$106,'Additions (monthly)'!$D$2:$D$106,BB$2,'Additions (monthly)'!$B$2:$B$106,"&lt;="&amp;$B63)</f>
        <v>0</v>
      </c>
      <c r="BC63" s="46" t="n">
        <f aca="false">SUMIFS('Additions (monthly)'!$E$2:$E$106,'Additions (monthly)'!$D$2:$D$106,BC$2,'Additions (monthly)'!$B$2:$B$106,"&lt;="&amp;$B63)</f>
        <v>0</v>
      </c>
      <c r="BD63" s="46" t="n">
        <f aca="false">SUMIFS('Additions (monthly)'!$E$2:$E$106,'Additions (monthly)'!$D$2:$D$106,BD$2,'Additions (monthly)'!$B$2:$B$106,"&lt;="&amp;$B63)</f>
        <v>0</v>
      </c>
      <c r="BE63" s="46" t="n">
        <f aca="false">SUMIFS('Additions (monthly)'!$E$2:$E$106,'Additions (monthly)'!$D$2:$D$106,BE$2,'Additions (monthly)'!$B$2:$B$106,"&lt;="&amp;$B63)</f>
        <v>0</v>
      </c>
      <c r="BF63" s="46" t="n">
        <f aca="false">SUMIFS('Additions (monthly)'!$E$2:$E$106,'Additions (monthly)'!$D$2:$D$106,BF$2,'Additions (monthly)'!$B$2:$B$106,"&lt;="&amp;$B63)</f>
        <v>0</v>
      </c>
      <c r="BG63" s="46" t="n">
        <f aca="false">SUMIFS('Additions (monthly)'!$E$2:$E$106,'Additions (monthly)'!$D$2:$D$106,BG$2,'Additions (monthly)'!$B$2:$B$106,"&lt;="&amp;$B63)</f>
        <v>0</v>
      </c>
      <c r="BH63" s="46" t="n">
        <f aca="false">SUMIFS('Additions (monthly)'!$E$2:$E$106,'Additions (monthly)'!$D$2:$D$106,BH$2,'Additions (monthly)'!$B$2:$B$106,"&lt;="&amp;$B63)</f>
        <v>0</v>
      </c>
      <c r="BI63" s="46" t="n">
        <f aca="false">SUMIFS('Additions (monthly)'!$E$2:$E$106,'Additions (monthly)'!$D$2:$D$106,BI$2,'Additions (monthly)'!$B$2:$B$106,"&lt;="&amp;$B63)</f>
        <v>6.7</v>
      </c>
    </row>
    <row r="64" customFormat="false" ht="15" hidden="false" customHeight="false" outlineLevel="0" collapsed="false">
      <c r="A64" s="44" t="n">
        <v>42036</v>
      </c>
      <c r="B64" s="45" t="n">
        <v>201502</v>
      </c>
      <c r="C64" s="42" t="n">
        <f aca="false">SUMIFS('Additions (monthly)'!$E$2:$E$106,'Additions (monthly)'!$B$2:$B$106,"&lt;="&amp;$B64)</f>
        <v>298.27</v>
      </c>
      <c r="D64" s="46" t="n">
        <f aca="false">SUMIFS('Additions (monthly)'!$E$2:$E$106,'Additions (monthly)'!$D$2:$D$106,D$2,'Additions (monthly)'!$B$2:$B$106,"&lt;="&amp;$B64)</f>
        <v>7.9</v>
      </c>
      <c r="E64" s="46" t="n">
        <f aca="false">SUMIFS('Additions (monthly)'!$E$2:$E$106,'Additions (monthly)'!$D$2:$D$106,E$2,'Additions (monthly)'!$B$2:$B$106,"&lt;="&amp;$B64)</f>
        <v>8.4</v>
      </c>
      <c r="F64" s="46" t="n">
        <f aca="false">SUMIFS('Additions (monthly)'!$E$2:$E$106,'Additions (monthly)'!$D$2:$D$106,F$2,'Additions (monthly)'!$B$2:$B$106,"&lt;="&amp;$B64)</f>
        <v>4.7</v>
      </c>
      <c r="G64" s="46" t="n">
        <f aca="false">SUMIFS('Additions (monthly)'!$E$2:$E$106,'Additions (monthly)'!$D$2:$D$106,G$2,'Additions (monthly)'!$B$2:$B$106,"&lt;="&amp;$B64)</f>
        <v>4.5</v>
      </c>
      <c r="H64" s="46" t="n">
        <f aca="false">SUMIFS('Additions (monthly)'!$E$2:$E$106,'Additions (monthly)'!$D$2:$D$106,H$2,'Additions (monthly)'!$B$2:$B$106,"&lt;="&amp;$B64)</f>
        <v>5.2</v>
      </c>
      <c r="I64" s="46" t="n">
        <f aca="false">SUMIFS('Additions (monthly)'!$E$2:$E$106,'Additions (monthly)'!$D$2:$D$106,I$2,'Additions (monthly)'!$B$2:$B$106,"&lt;="&amp;$B64)</f>
        <v>0</v>
      </c>
      <c r="J64" s="46" t="n">
        <f aca="false">SUMIFS('Additions (monthly)'!$E$2:$E$106,'Additions (monthly)'!$D$2:$D$106,J$2,'Additions (monthly)'!$B$2:$B$106,"&lt;="&amp;$B64)</f>
        <v>3.7</v>
      </c>
      <c r="K64" s="46" t="n">
        <f aca="false">SUMIFS('Additions (monthly)'!$E$2:$E$106,'Additions (monthly)'!$D$2:$D$106,K$2,'Additions (monthly)'!$B$2:$B$106,"&lt;="&amp;$B64)</f>
        <v>0</v>
      </c>
      <c r="L64" s="46" t="n">
        <f aca="false">SUMIFS('Additions (monthly)'!$E$2:$E$106,'Additions (monthly)'!$D$2:$D$106,L$2,'Additions (monthly)'!$B$2:$B$106,"&lt;="&amp;$B64)</f>
        <v>0</v>
      </c>
      <c r="M64" s="46" t="n">
        <f aca="false">SUMIFS('Additions (monthly)'!$E$2:$E$106,'Additions (monthly)'!$D$2:$D$106,M$2,'Additions (monthly)'!$B$2:$B$106,"&lt;="&amp;$B64)</f>
        <v>0</v>
      </c>
      <c r="N64" s="46" t="n">
        <f aca="false">SUMIFS('Additions (monthly)'!$E$2:$E$106,'Additions (monthly)'!$D$2:$D$106,N$2,'Additions (monthly)'!$B$2:$B$106,"&lt;="&amp;$B64)</f>
        <v>14.2</v>
      </c>
      <c r="O64" s="46" t="n">
        <f aca="false">SUMIFS('Additions (monthly)'!$E$2:$E$106,'Additions (monthly)'!$D$2:$D$106,O$2,'Additions (monthly)'!$B$2:$B$106,"&lt;="&amp;$B64)</f>
        <v>4.9</v>
      </c>
      <c r="P64" s="46" t="n">
        <f aca="false">SUMIFS('Additions (monthly)'!$E$2:$E$106,'Additions (monthly)'!$D$2:$D$106,P$2,'Additions (monthly)'!$B$2:$B$106,"&lt;="&amp;$B64)</f>
        <v>0</v>
      </c>
      <c r="Q64" s="46" t="n">
        <f aca="false">SUMIFS('Additions (monthly)'!$E$2:$E$106,'Additions (monthly)'!$D$2:$D$106,Q$2,'Additions (monthly)'!$B$2:$B$106,"&lt;="&amp;$B64)</f>
        <v>8.5</v>
      </c>
      <c r="R64" s="46" t="n">
        <f aca="false">SUMIFS('Additions (monthly)'!$E$2:$E$106,'Additions (monthly)'!$D$2:$D$106,R$2,'Additions (monthly)'!$B$2:$B$106,"&lt;="&amp;$B64)</f>
        <v>0</v>
      </c>
      <c r="S64" s="46" t="n">
        <f aca="false">SUMIFS('Additions (monthly)'!$E$2:$E$106,'Additions (monthly)'!$D$2:$D$106,S$2,'Additions (monthly)'!$B$2:$B$106,"&lt;="&amp;$B64)</f>
        <v>7.2</v>
      </c>
      <c r="T64" s="46" t="n">
        <f aca="false">SUMIFS('Additions (monthly)'!$E$2:$E$106,'Additions (monthly)'!$D$2:$D$106,T$2,'Additions (monthly)'!$B$2:$B$106,"&lt;="&amp;$B64)</f>
        <v>0</v>
      </c>
      <c r="U64" s="46" t="n">
        <f aca="false">SUMIFS('Additions (monthly)'!$E$2:$E$106,'Additions (monthly)'!$D$2:$D$106,U$2,'Additions (monthly)'!$B$2:$B$106,"&lt;="&amp;$B64)</f>
        <v>0</v>
      </c>
      <c r="V64" s="46" t="n">
        <f aca="false">SUMIFS('Additions (monthly)'!$E$2:$E$106,'Additions (monthly)'!$D$2:$D$106,V$2,'Additions (monthly)'!$B$2:$B$106,"&lt;="&amp;$B64)</f>
        <v>3.87</v>
      </c>
      <c r="W64" s="46" t="n">
        <f aca="false">SUMIFS('Additions (monthly)'!$E$2:$E$106,'Additions (monthly)'!$D$2:$D$106,W$2,'Additions (monthly)'!$B$2:$B$106,"&lt;="&amp;$B64)</f>
        <v>0</v>
      </c>
      <c r="X64" s="46" t="n">
        <f aca="false">SUMIFS('Additions (monthly)'!$E$2:$E$106,'Additions (monthly)'!$D$2:$D$106,X$2,'Additions (monthly)'!$B$2:$B$106,"&lt;="&amp;$B64)</f>
        <v>0</v>
      </c>
      <c r="Y64" s="46" t="n">
        <f aca="false">SUMIFS('Additions (monthly)'!$E$2:$E$106,'Additions (monthly)'!$D$2:$D$106,Y$2,'Additions (monthly)'!$B$2:$B$106,"&lt;="&amp;$B64)</f>
        <v>5</v>
      </c>
      <c r="Z64" s="46" t="n">
        <f aca="false">SUMIFS('Additions (monthly)'!$E$2:$E$106,'Additions (monthly)'!$D$2:$D$106,Z$2,'Additions (monthly)'!$B$2:$B$106,"&lt;="&amp;$B64)</f>
        <v>7.2</v>
      </c>
      <c r="AA64" s="46" t="n">
        <f aca="false">SUMIFS('Additions (monthly)'!$E$2:$E$106,'Additions (monthly)'!$D$2:$D$106,AA$2,'Additions (monthly)'!$B$2:$B$106,"&lt;="&amp;$B64)</f>
        <v>3.7</v>
      </c>
      <c r="AB64" s="46" t="n">
        <f aca="false">SUMIFS('Additions (monthly)'!$E$2:$E$106,'Additions (monthly)'!$D$2:$D$106,AB$2,'Additions (monthly)'!$B$2:$B$106,"&lt;="&amp;$B64)</f>
        <v>16.95</v>
      </c>
      <c r="AC64" s="46" t="n">
        <f aca="false">SUMIFS('Additions (monthly)'!$E$2:$E$106,'Additions (monthly)'!$D$2:$D$106,AC$2,'Additions (monthly)'!$B$2:$B$106,"&lt;="&amp;$B64)</f>
        <v>0</v>
      </c>
      <c r="AD64" s="46" t="n">
        <f aca="false">SUMIFS('Additions (monthly)'!$E$2:$E$106,'Additions (monthly)'!$D$2:$D$106,AD$2,'Additions (monthly)'!$B$2:$B$106,"&lt;="&amp;$B64)</f>
        <v>7.6</v>
      </c>
      <c r="AE64" s="46" t="n">
        <f aca="false">SUMIFS('Additions (monthly)'!$E$2:$E$106,'Additions (monthly)'!$D$2:$D$106,AE$2,'Additions (monthly)'!$B$2:$B$106,"&lt;="&amp;$B64)</f>
        <v>25.7</v>
      </c>
      <c r="AF64" s="46" t="n">
        <f aca="false">SUMIFS('Additions (monthly)'!$E$2:$E$106,'Additions (monthly)'!$D$2:$D$106,AF$2,'Additions (monthly)'!$B$2:$B$106,"&lt;="&amp;$B64)</f>
        <v>0</v>
      </c>
      <c r="AG64" s="46" t="n">
        <f aca="false">SUMIFS('Additions (monthly)'!$E$2:$E$106,'Additions (monthly)'!$D$2:$D$106,AG$2,'Additions (monthly)'!$B$2:$B$106,"&lt;="&amp;$B64)</f>
        <v>0</v>
      </c>
      <c r="AH64" s="46" t="n">
        <f aca="false">SUMIFS('Additions (monthly)'!$E$2:$E$106,'Additions (monthly)'!$D$2:$D$106,AH$2,'Additions (monthly)'!$B$2:$B$106,"&lt;="&amp;$B64)</f>
        <v>0</v>
      </c>
      <c r="AI64" s="46" t="n">
        <f aca="false">SUMIFS('Additions (monthly)'!$E$2:$E$106,'Additions (monthly)'!$D$2:$D$106,AI$2,'Additions (monthly)'!$B$2:$B$106,"&lt;="&amp;$B64)</f>
        <v>0</v>
      </c>
      <c r="AJ64" s="46" t="n">
        <f aca="false">SUMIFS('Additions (monthly)'!$E$2:$E$106,'Additions (monthly)'!$D$2:$D$106,AJ$2,'Additions (monthly)'!$B$2:$B$106,"&lt;="&amp;$B64)</f>
        <v>0</v>
      </c>
      <c r="AK64" s="46" t="n">
        <f aca="false">SUMIFS('Additions (monthly)'!$E$2:$E$106,'Additions (monthly)'!$D$2:$D$106,AK$2,'Additions (monthly)'!$B$2:$B$106,"&lt;="&amp;$B64)</f>
        <v>0</v>
      </c>
      <c r="AL64" s="46" t="n">
        <f aca="false">SUMIFS('Additions (monthly)'!$E$2:$E$106,'Additions (monthly)'!$D$2:$D$106,AL$2,'Additions (monthly)'!$B$2:$B$106,"&lt;="&amp;$B64)</f>
        <v>22.2</v>
      </c>
      <c r="AM64" s="46" t="n">
        <f aca="false">SUMIFS('Additions (monthly)'!$E$2:$E$106,'Additions (monthly)'!$D$2:$D$106,AM$2,'Additions (monthly)'!$B$2:$B$106,"&lt;="&amp;$B64)</f>
        <v>0.3</v>
      </c>
      <c r="AN64" s="46" t="n">
        <f aca="false">SUMIFS('Additions (monthly)'!$E$2:$E$106,'Additions (monthly)'!$D$2:$D$106,AN$2,'Additions (monthly)'!$B$2:$B$106,"&lt;="&amp;$B64)</f>
        <v>4.3</v>
      </c>
      <c r="AO64" s="46" t="n">
        <f aca="false">SUMIFS('Additions (monthly)'!$E$2:$E$106,'Additions (monthly)'!$D$2:$D$106,AO$2,'Additions (monthly)'!$B$2:$B$106,"&lt;="&amp;$B64)</f>
        <v>10.4</v>
      </c>
      <c r="AP64" s="46" t="n">
        <f aca="false">SUMIFS('Additions (monthly)'!$E$2:$E$106,'Additions (monthly)'!$D$2:$D$106,AP$2,'Additions (monthly)'!$B$2:$B$106,"&lt;="&amp;$B64)</f>
        <v>6.9</v>
      </c>
      <c r="AQ64" s="46" t="n">
        <f aca="false">SUMIFS('Additions (monthly)'!$E$2:$E$106,'Additions (monthly)'!$D$2:$D$106,AQ$2,'Additions (monthly)'!$B$2:$B$106,"&lt;="&amp;$B64)</f>
        <v>4.45</v>
      </c>
      <c r="AR64" s="46" t="n">
        <f aca="false">SUMIFS('Additions (monthly)'!$E$2:$E$106,'Additions (monthly)'!$D$2:$D$106,AR$2,'Additions (monthly)'!$B$2:$B$106,"&lt;="&amp;$B64)</f>
        <v>77.1</v>
      </c>
      <c r="AS64" s="46" t="n">
        <f aca="false">SUMIFS('Additions (monthly)'!$E$2:$E$106,'Additions (monthly)'!$D$2:$D$106,AS$2,'Additions (monthly)'!$B$2:$B$106,"&lt;="&amp;$B64)</f>
        <v>0</v>
      </c>
      <c r="AT64" s="46" t="n">
        <f aca="false">SUMIFS('Additions (monthly)'!$E$2:$E$106,'Additions (monthly)'!$D$2:$D$106,AT$2,'Additions (monthly)'!$B$2:$B$106,"&lt;="&amp;$B64)</f>
        <v>0</v>
      </c>
      <c r="AU64" s="46" t="n">
        <f aca="false">SUMIFS('Additions (monthly)'!$E$2:$E$106,'Additions (monthly)'!$D$2:$D$106,AU$2,'Additions (monthly)'!$B$2:$B$106,"&lt;="&amp;$B64)</f>
        <v>9.6</v>
      </c>
      <c r="AV64" s="46" t="n">
        <f aca="false">SUMIFS('Additions (monthly)'!$E$2:$E$106,'Additions (monthly)'!$D$2:$D$106,AV$2,'Additions (monthly)'!$B$2:$B$106,"&lt;="&amp;$B64)</f>
        <v>0</v>
      </c>
      <c r="AW64" s="46" t="n">
        <f aca="false">SUMIFS('Additions (monthly)'!$E$2:$E$106,'Additions (monthly)'!$D$2:$D$106,AW$2,'Additions (monthly)'!$B$2:$B$106,"&lt;="&amp;$B64)</f>
        <v>0</v>
      </c>
      <c r="AX64" s="46" t="n">
        <f aca="false">SUMIFS('Additions (monthly)'!$E$2:$E$106,'Additions (monthly)'!$D$2:$D$106,AX$2,'Additions (monthly)'!$B$2:$B$106,"&lt;="&amp;$B64)</f>
        <v>11.8</v>
      </c>
      <c r="AY64" s="46" t="n">
        <f aca="false">SUMIFS('Additions (monthly)'!$E$2:$E$106,'Additions (monthly)'!$D$2:$D$106,AY$2,'Additions (monthly)'!$B$2:$B$106,"&lt;="&amp;$B64)</f>
        <v>5.3</v>
      </c>
      <c r="AZ64" s="46" t="n">
        <f aca="false">SUMIFS('Additions (monthly)'!$E$2:$E$106,'Additions (monthly)'!$D$2:$D$106,AZ$2,'Additions (monthly)'!$B$2:$B$106,"&lt;="&amp;$B64)</f>
        <v>0</v>
      </c>
      <c r="BA64" s="46" t="n">
        <f aca="false">SUMIFS('Additions (monthly)'!$E$2:$E$106,'Additions (monthly)'!$D$2:$D$106,BA$2,'Additions (monthly)'!$B$2:$B$106,"&lt;="&amp;$B64)</f>
        <v>0</v>
      </c>
      <c r="BB64" s="46" t="n">
        <f aca="false">SUMIFS('Additions (monthly)'!$E$2:$E$106,'Additions (monthly)'!$D$2:$D$106,BB$2,'Additions (monthly)'!$B$2:$B$106,"&lt;="&amp;$B64)</f>
        <v>0</v>
      </c>
      <c r="BC64" s="46" t="n">
        <f aca="false">SUMIFS('Additions (monthly)'!$E$2:$E$106,'Additions (monthly)'!$D$2:$D$106,BC$2,'Additions (monthly)'!$B$2:$B$106,"&lt;="&amp;$B64)</f>
        <v>0</v>
      </c>
      <c r="BD64" s="46" t="n">
        <f aca="false">SUMIFS('Additions (monthly)'!$E$2:$E$106,'Additions (monthly)'!$D$2:$D$106,BD$2,'Additions (monthly)'!$B$2:$B$106,"&lt;="&amp;$B64)</f>
        <v>0</v>
      </c>
      <c r="BE64" s="46" t="n">
        <f aca="false">SUMIFS('Additions (monthly)'!$E$2:$E$106,'Additions (monthly)'!$D$2:$D$106,BE$2,'Additions (monthly)'!$B$2:$B$106,"&lt;="&amp;$B64)</f>
        <v>0</v>
      </c>
      <c r="BF64" s="46" t="n">
        <f aca="false">SUMIFS('Additions (monthly)'!$E$2:$E$106,'Additions (monthly)'!$D$2:$D$106,BF$2,'Additions (monthly)'!$B$2:$B$106,"&lt;="&amp;$B64)</f>
        <v>0</v>
      </c>
      <c r="BG64" s="46" t="n">
        <f aca="false">SUMIFS('Additions (monthly)'!$E$2:$E$106,'Additions (monthly)'!$D$2:$D$106,BG$2,'Additions (monthly)'!$B$2:$B$106,"&lt;="&amp;$B64)</f>
        <v>0</v>
      </c>
      <c r="BH64" s="46" t="n">
        <f aca="false">SUMIFS('Additions (monthly)'!$E$2:$E$106,'Additions (monthly)'!$D$2:$D$106,BH$2,'Additions (monthly)'!$B$2:$B$106,"&lt;="&amp;$B64)</f>
        <v>0</v>
      </c>
      <c r="BI64" s="46" t="n">
        <f aca="false">SUMIFS('Additions (monthly)'!$E$2:$E$106,'Additions (monthly)'!$D$2:$D$106,BI$2,'Additions (monthly)'!$B$2:$B$106,"&lt;="&amp;$B64)</f>
        <v>6.7</v>
      </c>
    </row>
    <row r="65" customFormat="false" ht="15" hidden="false" customHeight="false" outlineLevel="0" collapsed="false">
      <c r="A65" s="44" t="n">
        <v>42064</v>
      </c>
      <c r="B65" s="45" t="n">
        <v>201503</v>
      </c>
      <c r="C65" s="42" t="n">
        <f aca="false">SUMIFS('Additions (monthly)'!$E$2:$E$106,'Additions (monthly)'!$B$2:$B$106,"&lt;="&amp;$B65)</f>
        <v>298.27</v>
      </c>
      <c r="D65" s="46" t="n">
        <f aca="false">SUMIFS('Additions (monthly)'!$E$2:$E$106,'Additions (monthly)'!$D$2:$D$106,D$2,'Additions (monthly)'!$B$2:$B$106,"&lt;="&amp;$B65)</f>
        <v>7.9</v>
      </c>
      <c r="E65" s="46" t="n">
        <f aca="false">SUMIFS('Additions (monthly)'!$E$2:$E$106,'Additions (monthly)'!$D$2:$D$106,E$2,'Additions (monthly)'!$B$2:$B$106,"&lt;="&amp;$B65)</f>
        <v>8.4</v>
      </c>
      <c r="F65" s="46" t="n">
        <f aca="false">SUMIFS('Additions (monthly)'!$E$2:$E$106,'Additions (monthly)'!$D$2:$D$106,F$2,'Additions (monthly)'!$B$2:$B$106,"&lt;="&amp;$B65)</f>
        <v>4.7</v>
      </c>
      <c r="G65" s="46" t="n">
        <f aca="false">SUMIFS('Additions (monthly)'!$E$2:$E$106,'Additions (monthly)'!$D$2:$D$106,G$2,'Additions (monthly)'!$B$2:$B$106,"&lt;="&amp;$B65)</f>
        <v>4.5</v>
      </c>
      <c r="H65" s="46" t="n">
        <f aca="false">SUMIFS('Additions (monthly)'!$E$2:$E$106,'Additions (monthly)'!$D$2:$D$106,H$2,'Additions (monthly)'!$B$2:$B$106,"&lt;="&amp;$B65)</f>
        <v>5.2</v>
      </c>
      <c r="I65" s="46" t="n">
        <f aca="false">SUMIFS('Additions (monthly)'!$E$2:$E$106,'Additions (monthly)'!$D$2:$D$106,I$2,'Additions (monthly)'!$B$2:$B$106,"&lt;="&amp;$B65)</f>
        <v>0</v>
      </c>
      <c r="J65" s="46" t="n">
        <f aca="false">SUMIFS('Additions (monthly)'!$E$2:$E$106,'Additions (monthly)'!$D$2:$D$106,J$2,'Additions (monthly)'!$B$2:$B$106,"&lt;="&amp;$B65)</f>
        <v>3.7</v>
      </c>
      <c r="K65" s="46" t="n">
        <f aca="false">SUMIFS('Additions (monthly)'!$E$2:$E$106,'Additions (monthly)'!$D$2:$D$106,K$2,'Additions (monthly)'!$B$2:$B$106,"&lt;="&amp;$B65)</f>
        <v>0</v>
      </c>
      <c r="L65" s="46" t="n">
        <f aca="false">SUMIFS('Additions (monthly)'!$E$2:$E$106,'Additions (monthly)'!$D$2:$D$106,L$2,'Additions (monthly)'!$B$2:$B$106,"&lt;="&amp;$B65)</f>
        <v>0</v>
      </c>
      <c r="M65" s="46" t="n">
        <f aca="false">SUMIFS('Additions (monthly)'!$E$2:$E$106,'Additions (monthly)'!$D$2:$D$106,M$2,'Additions (monthly)'!$B$2:$B$106,"&lt;="&amp;$B65)</f>
        <v>0</v>
      </c>
      <c r="N65" s="46" t="n">
        <f aca="false">SUMIFS('Additions (monthly)'!$E$2:$E$106,'Additions (monthly)'!$D$2:$D$106,N$2,'Additions (monthly)'!$B$2:$B$106,"&lt;="&amp;$B65)</f>
        <v>14.2</v>
      </c>
      <c r="O65" s="46" t="n">
        <f aca="false">SUMIFS('Additions (monthly)'!$E$2:$E$106,'Additions (monthly)'!$D$2:$D$106,O$2,'Additions (monthly)'!$B$2:$B$106,"&lt;="&amp;$B65)</f>
        <v>4.9</v>
      </c>
      <c r="P65" s="46" t="n">
        <f aca="false">SUMIFS('Additions (monthly)'!$E$2:$E$106,'Additions (monthly)'!$D$2:$D$106,P$2,'Additions (monthly)'!$B$2:$B$106,"&lt;="&amp;$B65)</f>
        <v>0</v>
      </c>
      <c r="Q65" s="46" t="n">
        <f aca="false">SUMIFS('Additions (monthly)'!$E$2:$E$106,'Additions (monthly)'!$D$2:$D$106,Q$2,'Additions (monthly)'!$B$2:$B$106,"&lt;="&amp;$B65)</f>
        <v>8.5</v>
      </c>
      <c r="R65" s="46" t="n">
        <f aca="false">SUMIFS('Additions (monthly)'!$E$2:$E$106,'Additions (monthly)'!$D$2:$D$106,R$2,'Additions (monthly)'!$B$2:$B$106,"&lt;="&amp;$B65)</f>
        <v>0</v>
      </c>
      <c r="S65" s="46" t="n">
        <f aca="false">SUMIFS('Additions (monthly)'!$E$2:$E$106,'Additions (monthly)'!$D$2:$D$106,S$2,'Additions (monthly)'!$B$2:$B$106,"&lt;="&amp;$B65)</f>
        <v>7.2</v>
      </c>
      <c r="T65" s="46" t="n">
        <f aca="false">SUMIFS('Additions (monthly)'!$E$2:$E$106,'Additions (monthly)'!$D$2:$D$106,T$2,'Additions (monthly)'!$B$2:$B$106,"&lt;="&amp;$B65)</f>
        <v>0</v>
      </c>
      <c r="U65" s="46" t="n">
        <f aca="false">SUMIFS('Additions (monthly)'!$E$2:$E$106,'Additions (monthly)'!$D$2:$D$106,U$2,'Additions (monthly)'!$B$2:$B$106,"&lt;="&amp;$B65)</f>
        <v>0</v>
      </c>
      <c r="V65" s="46" t="n">
        <f aca="false">SUMIFS('Additions (monthly)'!$E$2:$E$106,'Additions (monthly)'!$D$2:$D$106,V$2,'Additions (monthly)'!$B$2:$B$106,"&lt;="&amp;$B65)</f>
        <v>3.87</v>
      </c>
      <c r="W65" s="46" t="n">
        <f aca="false">SUMIFS('Additions (monthly)'!$E$2:$E$106,'Additions (monthly)'!$D$2:$D$106,W$2,'Additions (monthly)'!$B$2:$B$106,"&lt;="&amp;$B65)</f>
        <v>0</v>
      </c>
      <c r="X65" s="46" t="n">
        <f aca="false">SUMIFS('Additions (monthly)'!$E$2:$E$106,'Additions (monthly)'!$D$2:$D$106,X$2,'Additions (monthly)'!$B$2:$B$106,"&lt;="&amp;$B65)</f>
        <v>0</v>
      </c>
      <c r="Y65" s="46" t="n">
        <f aca="false">SUMIFS('Additions (monthly)'!$E$2:$E$106,'Additions (monthly)'!$D$2:$D$106,Y$2,'Additions (monthly)'!$B$2:$B$106,"&lt;="&amp;$B65)</f>
        <v>5</v>
      </c>
      <c r="Z65" s="46" t="n">
        <f aca="false">SUMIFS('Additions (monthly)'!$E$2:$E$106,'Additions (monthly)'!$D$2:$D$106,Z$2,'Additions (monthly)'!$B$2:$B$106,"&lt;="&amp;$B65)</f>
        <v>7.2</v>
      </c>
      <c r="AA65" s="46" t="n">
        <f aca="false">SUMIFS('Additions (monthly)'!$E$2:$E$106,'Additions (monthly)'!$D$2:$D$106,AA$2,'Additions (monthly)'!$B$2:$B$106,"&lt;="&amp;$B65)</f>
        <v>3.7</v>
      </c>
      <c r="AB65" s="46" t="n">
        <f aca="false">SUMIFS('Additions (monthly)'!$E$2:$E$106,'Additions (monthly)'!$D$2:$D$106,AB$2,'Additions (monthly)'!$B$2:$B$106,"&lt;="&amp;$B65)</f>
        <v>16.95</v>
      </c>
      <c r="AC65" s="46" t="n">
        <f aca="false">SUMIFS('Additions (monthly)'!$E$2:$E$106,'Additions (monthly)'!$D$2:$D$106,AC$2,'Additions (monthly)'!$B$2:$B$106,"&lt;="&amp;$B65)</f>
        <v>0</v>
      </c>
      <c r="AD65" s="46" t="n">
        <f aca="false">SUMIFS('Additions (monthly)'!$E$2:$E$106,'Additions (monthly)'!$D$2:$D$106,AD$2,'Additions (monthly)'!$B$2:$B$106,"&lt;="&amp;$B65)</f>
        <v>7.6</v>
      </c>
      <c r="AE65" s="46" t="n">
        <f aca="false">SUMIFS('Additions (monthly)'!$E$2:$E$106,'Additions (monthly)'!$D$2:$D$106,AE$2,'Additions (monthly)'!$B$2:$B$106,"&lt;="&amp;$B65)</f>
        <v>25.7</v>
      </c>
      <c r="AF65" s="46" t="n">
        <f aca="false">SUMIFS('Additions (monthly)'!$E$2:$E$106,'Additions (monthly)'!$D$2:$D$106,AF$2,'Additions (monthly)'!$B$2:$B$106,"&lt;="&amp;$B65)</f>
        <v>0</v>
      </c>
      <c r="AG65" s="46" t="n">
        <f aca="false">SUMIFS('Additions (monthly)'!$E$2:$E$106,'Additions (monthly)'!$D$2:$D$106,AG$2,'Additions (monthly)'!$B$2:$B$106,"&lt;="&amp;$B65)</f>
        <v>0</v>
      </c>
      <c r="AH65" s="46" t="n">
        <f aca="false">SUMIFS('Additions (monthly)'!$E$2:$E$106,'Additions (monthly)'!$D$2:$D$106,AH$2,'Additions (monthly)'!$B$2:$B$106,"&lt;="&amp;$B65)</f>
        <v>0</v>
      </c>
      <c r="AI65" s="46" t="n">
        <f aca="false">SUMIFS('Additions (monthly)'!$E$2:$E$106,'Additions (monthly)'!$D$2:$D$106,AI$2,'Additions (monthly)'!$B$2:$B$106,"&lt;="&amp;$B65)</f>
        <v>0</v>
      </c>
      <c r="AJ65" s="46" t="n">
        <f aca="false">SUMIFS('Additions (monthly)'!$E$2:$E$106,'Additions (monthly)'!$D$2:$D$106,AJ$2,'Additions (monthly)'!$B$2:$B$106,"&lt;="&amp;$B65)</f>
        <v>0</v>
      </c>
      <c r="AK65" s="46" t="n">
        <f aca="false">SUMIFS('Additions (monthly)'!$E$2:$E$106,'Additions (monthly)'!$D$2:$D$106,AK$2,'Additions (monthly)'!$B$2:$B$106,"&lt;="&amp;$B65)</f>
        <v>0</v>
      </c>
      <c r="AL65" s="46" t="n">
        <f aca="false">SUMIFS('Additions (monthly)'!$E$2:$E$106,'Additions (monthly)'!$D$2:$D$106,AL$2,'Additions (monthly)'!$B$2:$B$106,"&lt;="&amp;$B65)</f>
        <v>22.2</v>
      </c>
      <c r="AM65" s="46" t="n">
        <f aca="false">SUMIFS('Additions (monthly)'!$E$2:$E$106,'Additions (monthly)'!$D$2:$D$106,AM$2,'Additions (monthly)'!$B$2:$B$106,"&lt;="&amp;$B65)</f>
        <v>0.3</v>
      </c>
      <c r="AN65" s="46" t="n">
        <f aca="false">SUMIFS('Additions (monthly)'!$E$2:$E$106,'Additions (monthly)'!$D$2:$D$106,AN$2,'Additions (monthly)'!$B$2:$B$106,"&lt;="&amp;$B65)</f>
        <v>4.3</v>
      </c>
      <c r="AO65" s="46" t="n">
        <f aca="false">SUMIFS('Additions (monthly)'!$E$2:$E$106,'Additions (monthly)'!$D$2:$D$106,AO$2,'Additions (monthly)'!$B$2:$B$106,"&lt;="&amp;$B65)</f>
        <v>10.4</v>
      </c>
      <c r="AP65" s="46" t="n">
        <f aca="false">SUMIFS('Additions (monthly)'!$E$2:$E$106,'Additions (monthly)'!$D$2:$D$106,AP$2,'Additions (monthly)'!$B$2:$B$106,"&lt;="&amp;$B65)</f>
        <v>6.9</v>
      </c>
      <c r="AQ65" s="46" t="n">
        <f aca="false">SUMIFS('Additions (monthly)'!$E$2:$E$106,'Additions (monthly)'!$D$2:$D$106,AQ$2,'Additions (monthly)'!$B$2:$B$106,"&lt;="&amp;$B65)</f>
        <v>4.45</v>
      </c>
      <c r="AR65" s="46" t="n">
        <f aca="false">SUMIFS('Additions (monthly)'!$E$2:$E$106,'Additions (monthly)'!$D$2:$D$106,AR$2,'Additions (monthly)'!$B$2:$B$106,"&lt;="&amp;$B65)</f>
        <v>77.1</v>
      </c>
      <c r="AS65" s="46" t="n">
        <f aca="false">SUMIFS('Additions (monthly)'!$E$2:$E$106,'Additions (monthly)'!$D$2:$D$106,AS$2,'Additions (monthly)'!$B$2:$B$106,"&lt;="&amp;$B65)</f>
        <v>0</v>
      </c>
      <c r="AT65" s="46" t="n">
        <f aca="false">SUMIFS('Additions (monthly)'!$E$2:$E$106,'Additions (monthly)'!$D$2:$D$106,AT$2,'Additions (monthly)'!$B$2:$B$106,"&lt;="&amp;$B65)</f>
        <v>0</v>
      </c>
      <c r="AU65" s="46" t="n">
        <f aca="false">SUMIFS('Additions (monthly)'!$E$2:$E$106,'Additions (monthly)'!$D$2:$D$106,AU$2,'Additions (monthly)'!$B$2:$B$106,"&lt;="&amp;$B65)</f>
        <v>9.6</v>
      </c>
      <c r="AV65" s="46" t="n">
        <f aca="false">SUMIFS('Additions (monthly)'!$E$2:$E$106,'Additions (monthly)'!$D$2:$D$106,AV$2,'Additions (monthly)'!$B$2:$B$106,"&lt;="&amp;$B65)</f>
        <v>0</v>
      </c>
      <c r="AW65" s="46" t="n">
        <f aca="false">SUMIFS('Additions (monthly)'!$E$2:$E$106,'Additions (monthly)'!$D$2:$D$106,AW$2,'Additions (monthly)'!$B$2:$B$106,"&lt;="&amp;$B65)</f>
        <v>0</v>
      </c>
      <c r="AX65" s="46" t="n">
        <f aca="false">SUMIFS('Additions (monthly)'!$E$2:$E$106,'Additions (monthly)'!$D$2:$D$106,AX$2,'Additions (monthly)'!$B$2:$B$106,"&lt;="&amp;$B65)</f>
        <v>11.8</v>
      </c>
      <c r="AY65" s="46" t="n">
        <f aca="false">SUMIFS('Additions (monthly)'!$E$2:$E$106,'Additions (monthly)'!$D$2:$D$106,AY$2,'Additions (monthly)'!$B$2:$B$106,"&lt;="&amp;$B65)</f>
        <v>5.3</v>
      </c>
      <c r="AZ65" s="46" t="n">
        <f aca="false">SUMIFS('Additions (monthly)'!$E$2:$E$106,'Additions (monthly)'!$D$2:$D$106,AZ$2,'Additions (monthly)'!$B$2:$B$106,"&lt;="&amp;$B65)</f>
        <v>0</v>
      </c>
      <c r="BA65" s="46" t="n">
        <f aca="false">SUMIFS('Additions (monthly)'!$E$2:$E$106,'Additions (monthly)'!$D$2:$D$106,BA$2,'Additions (monthly)'!$B$2:$B$106,"&lt;="&amp;$B65)</f>
        <v>0</v>
      </c>
      <c r="BB65" s="46" t="n">
        <f aca="false">SUMIFS('Additions (monthly)'!$E$2:$E$106,'Additions (monthly)'!$D$2:$D$106,BB$2,'Additions (monthly)'!$B$2:$B$106,"&lt;="&amp;$B65)</f>
        <v>0</v>
      </c>
      <c r="BC65" s="46" t="n">
        <f aca="false">SUMIFS('Additions (monthly)'!$E$2:$E$106,'Additions (monthly)'!$D$2:$D$106,BC$2,'Additions (monthly)'!$B$2:$B$106,"&lt;="&amp;$B65)</f>
        <v>0</v>
      </c>
      <c r="BD65" s="46" t="n">
        <f aca="false">SUMIFS('Additions (monthly)'!$E$2:$E$106,'Additions (monthly)'!$D$2:$D$106,BD$2,'Additions (monthly)'!$B$2:$B$106,"&lt;="&amp;$B65)</f>
        <v>0</v>
      </c>
      <c r="BE65" s="46" t="n">
        <f aca="false">SUMIFS('Additions (monthly)'!$E$2:$E$106,'Additions (monthly)'!$D$2:$D$106,BE$2,'Additions (monthly)'!$B$2:$B$106,"&lt;="&amp;$B65)</f>
        <v>0</v>
      </c>
      <c r="BF65" s="46" t="n">
        <f aca="false">SUMIFS('Additions (monthly)'!$E$2:$E$106,'Additions (monthly)'!$D$2:$D$106,BF$2,'Additions (monthly)'!$B$2:$B$106,"&lt;="&amp;$B65)</f>
        <v>0</v>
      </c>
      <c r="BG65" s="46" t="n">
        <f aca="false">SUMIFS('Additions (monthly)'!$E$2:$E$106,'Additions (monthly)'!$D$2:$D$106,BG$2,'Additions (monthly)'!$B$2:$B$106,"&lt;="&amp;$B65)</f>
        <v>0</v>
      </c>
      <c r="BH65" s="46" t="n">
        <f aca="false">SUMIFS('Additions (monthly)'!$E$2:$E$106,'Additions (monthly)'!$D$2:$D$106,BH$2,'Additions (monthly)'!$B$2:$B$106,"&lt;="&amp;$B65)</f>
        <v>0</v>
      </c>
      <c r="BI65" s="46" t="n">
        <f aca="false">SUMIFS('Additions (monthly)'!$E$2:$E$106,'Additions (monthly)'!$D$2:$D$106,BI$2,'Additions (monthly)'!$B$2:$B$106,"&lt;="&amp;$B65)</f>
        <v>6.7</v>
      </c>
    </row>
    <row r="66" customFormat="false" ht="15" hidden="false" customHeight="false" outlineLevel="0" collapsed="false">
      <c r="A66" s="44" t="n">
        <v>42095</v>
      </c>
      <c r="B66" s="45" t="n">
        <v>201504</v>
      </c>
      <c r="C66" s="42" t="n">
        <f aca="false">SUMIFS('Additions (monthly)'!$E$2:$E$106,'Additions (monthly)'!$B$2:$B$106,"&lt;="&amp;$B66)</f>
        <v>298.27</v>
      </c>
      <c r="D66" s="46" t="n">
        <f aca="false">SUMIFS('Additions (monthly)'!$E$2:$E$106,'Additions (monthly)'!$D$2:$D$106,D$2,'Additions (monthly)'!$B$2:$B$106,"&lt;="&amp;$B66)</f>
        <v>7.9</v>
      </c>
      <c r="E66" s="46" t="n">
        <f aca="false">SUMIFS('Additions (monthly)'!$E$2:$E$106,'Additions (monthly)'!$D$2:$D$106,E$2,'Additions (monthly)'!$B$2:$B$106,"&lt;="&amp;$B66)</f>
        <v>8.4</v>
      </c>
      <c r="F66" s="46" t="n">
        <f aca="false">SUMIFS('Additions (monthly)'!$E$2:$E$106,'Additions (monthly)'!$D$2:$D$106,F$2,'Additions (monthly)'!$B$2:$B$106,"&lt;="&amp;$B66)</f>
        <v>4.7</v>
      </c>
      <c r="G66" s="46" t="n">
        <f aca="false">SUMIFS('Additions (monthly)'!$E$2:$E$106,'Additions (monthly)'!$D$2:$D$106,G$2,'Additions (monthly)'!$B$2:$B$106,"&lt;="&amp;$B66)</f>
        <v>4.5</v>
      </c>
      <c r="H66" s="46" t="n">
        <f aca="false">SUMIFS('Additions (monthly)'!$E$2:$E$106,'Additions (monthly)'!$D$2:$D$106,H$2,'Additions (monthly)'!$B$2:$B$106,"&lt;="&amp;$B66)</f>
        <v>5.2</v>
      </c>
      <c r="I66" s="46" t="n">
        <f aca="false">SUMIFS('Additions (monthly)'!$E$2:$E$106,'Additions (monthly)'!$D$2:$D$106,I$2,'Additions (monthly)'!$B$2:$B$106,"&lt;="&amp;$B66)</f>
        <v>0</v>
      </c>
      <c r="J66" s="46" t="n">
        <f aca="false">SUMIFS('Additions (monthly)'!$E$2:$E$106,'Additions (monthly)'!$D$2:$D$106,J$2,'Additions (monthly)'!$B$2:$B$106,"&lt;="&amp;$B66)</f>
        <v>3.7</v>
      </c>
      <c r="K66" s="46" t="n">
        <f aca="false">SUMIFS('Additions (monthly)'!$E$2:$E$106,'Additions (monthly)'!$D$2:$D$106,K$2,'Additions (monthly)'!$B$2:$B$106,"&lt;="&amp;$B66)</f>
        <v>0</v>
      </c>
      <c r="L66" s="46" t="n">
        <f aca="false">SUMIFS('Additions (monthly)'!$E$2:$E$106,'Additions (monthly)'!$D$2:$D$106,L$2,'Additions (monthly)'!$B$2:$B$106,"&lt;="&amp;$B66)</f>
        <v>0</v>
      </c>
      <c r="M66" s="46" t="n">
        <f aca="false">SUMIFS('Additions (monthly)'!$E$2:$E$106,'Additions (monthly)'!$D$2:$D$106,M$2,'Additions (monthly)'!$B$2:$B$106,"&lt;="&amp;$B66)</f>
        <v>0</v>
      </c>
      <c r="N66" s="46" t="n">
        <f aca="false">SUMIFS('Additions (monthly)'!$E$2:$E$106,'Additions (monthly)'!$D$2:$D$106,N$2,'Additions (monthly)'!$B$2:$B$106,"&lt;="&amp;$B66)</f>
        <v>14.2</v>
      </c>
      <c r="O66" s="46" t="n">
        <f aca="false">SUMIFS('Additions (monthly)'!$E$2:$E$106,'Additions (monthly)'!$D$2:$D$106,O$2,'Additions (monthly)'!$B$2:$B$106,"&lt;="&amp;$B66)</f>
        <v>4.9</v>
      </c>
      <c r="P66" s="46" t="n">
        <f aca="false">SUMIFS('Additions (monthly)'!$E$2:$E$106,'Additions (monthly)'!$D$2:$D$106,P$2,'Additions (monthly)'!$B$2:$B$106,"&lt;="&amp;$B66)</f>
        <v>0</v>
      </c>
      <c r="Q66" s="46" t="n">
        <f aca="false">SUMIFS('Additions (monthly)'!$E$2:$E$106,'Additions (monthly)'!$D$2:$D$106,Q$2,'Additions (monthly)'!$B$2:$B$106,"&lt;="&amp;$B66)</f>
        <v>8.5</v>
      </c>
      <c r="R66" s="46" t="n">
        <f aca="false">SUMIFS('Additions (monthly)'!$E$2:$E$106,'Additions (monthly)'!$D$2:$D$106,R$2,'Additions (monthly)'!$B$2:$B$106,"&lt;="&amp;$B66)</f>
        <v>0</v>
      </c>
      <c r="S66" s="46" t="n">
        <f aca="false">SUMIFS('Additions (monthly)'!$E$2:$E$106,'Additions (monthly)'!$D$2:$D$106,S$2,'Additions (monthly)'!$B$2:$B$106,"&lt;="&amp;$B66)</f>
        <v>7.2</v>
      </c>
      <c r="T66" s="46" t="n">
        <f aca="false">SUMIFS('Additions (monthly)'!$E$2:$E$106,'Additions (monthly)'!$D$2:$D$106,T$2,'Additions (monthly)'!$B$2:$B$106,"&lt;="&amp;$B66)</f>
        <v>0</v>
      </c>
      <c r="U66" s="46" t="n">
        <f aca="false">SUMIFS('Additions (monthly)'!$E$2:$E$106,'Additions (monthly)'!$D$2:$D$106,U$2,'Additions (monthly)'!$B$2:$B$106,"&lt;="&amp;$B66)</f>
        <v>0</v>
      </c>
      <c r="V66" s="46" t="n">
        <f aca="false">SUMIFS('Additions (monthly)'!$E$2:$E$106,'Additions (monthly)'!$D$2:$D$106,V$2,'Additions (monthly)'!$B$2:$B$106,"&lt;="&amp;$B66)</f>
        <v>3.87</v>
      </c>
      <c r="W66" s="46" t="n">
        <f aca="false">SUMIFS('Additions (monthly)'!$E$2:$E$106,'Additions (monthly)'!$D$2:$D$106,W$2,'Additions (monthly)'!$B$2:$B$106,"&lt;="&amp;$B66)</f>
        <v>0</v>
      </c>
      <c r="X66" s="46" t="n">
        <f aca="false">SUMIFS('Additions (monthly)'!$E$2:$E$106,'Additions (monthly)'!$D$2:$D$106,X$2,'Additions (monthly)'!$B$2:$B$106,"&lt;="&amp;$B66)</f>
        <v>0</v>
      </c>
      <c r="Y66" s="46" t="n">
        <f aca="false">SUMIFS('Additions (monthly)'!$E$2:$E$106,'Additions (monthly)'!$D$2:$D$106,Y$2,'Additions (monthly)'!$B$2:$B$106,"&lt;="&amp;$B66)</f>
        <v>5</v>
      </c>
      <c r="Z66" s="46" t="n">
        <f aca="false">SUMIFS('Additions (monthly)'!$E$2:$E$106,'Additions (monthly)'!$D$2:$D$106,Z$2,'Additions (monthly)'!$B$2:$B$106,"&lt;="&amp;$B66)</f>
        <v>7.2</v>
      </c>
      <c r="AA66" s="46" t="n">
        <f aca="false">SUMIFS('Additions (monthly)'!$E$2:$E$106,'Additions (monthly)'!$D$2:$D$106,AA$2,'Additions (monthly)'!$B$2:$B$106,"&lt;="&amp;$B66)</f>
        <v>3.7</v>
      </c>
      <c r="AB66" s="46" t="n">
        <f aca="false">SUMIFS('Additions (monthly)'!$E$2:$E$106,'Additions (monthly)'!$D$2:$D$106,AB$2,'Additions (monthly)'!$B$2:$B$106,"&lt;="&amp;$B66)</f>
        <v>16.95</v>
      </c>
      <c r="AC66" s="46" t="n">
        <f aca="false">SUMIFS('Additions (monthly)'!$E$2:$E$106,'Additions (monthly)'!$D$2:$D$106,AC$2,'Additions (monthly)'!$B$2:$B$106,"&lt;="&amp;$B66)</f>
        <v>0</v>
      </c>
      <c r="AD66" s="46" t="n">
        <f aca="false">SUMIFS('Additions (monthly)'!$E$2:$E$106,'Additions (monthly)'!$D$2:$D$106,AD$2,'Additions (monthly)'!$B$2:$B$106,"&lt;="&amp;$B66)</f>
        <v>7.6</v>
      </c>
      <c r="AE66" s="46" t="n">
        <f aca="false">SUMIFS('Additions (monthly)'!$E$2:$E$106,'Additions (monthly)'!$D$2:$D$106,AE$2,'Additions (monthly)'!$B$2:$B$106,"&lt;="&amp;$B66)</f>
        <v>25.7</v>
      </c>
      <c r="AF66" s="46" t="n">
        <f aca="false">SUMIFS('Additions (monthly)'!$E$2:$E$106,'Additions (monthly)'!$D$2:$D$106,AF$2,'Additions (monthly)'!$B$2:$B$106,"&lt;="&amp;$B66)</f>
        <v>0</v>
      </c>
      <c r="AG66" s="46" t="n">
        <f aca="false">SUMIFS('Additions (monthly)'!$E$2:$E$106,'Additions (monthly)'!$D$2:$D$106,AG$2,'Additions (monthly)'!$B$2:$B$106,"&lt;="&amp;$B66)</f>
        <v>0</v>
      </c>
      <c r="AH66" s="46" t="n">
        <f aca="false">SUMIFS('Additions (monthly)'!$E$2:$E$106,'Additions (monthly)'!$D$2:$D$106,AH$2,'Additions (monthly)'!$B$2:$B$106,"&lt;="&amp;$B66)</f>
        <v>0</v>
      </c>
      <c r="AI66" s="46" t="n">
        <f aca="false">SUMIFS('Additions (monthly)'!$E$2:$E$106,'Additions (monthly)'!$D$2:$D$106,AI$2,'Additions (monthly)'!$B$2:$B$106,"&lt;="&amp;$B66)</f>
        <v>0</v>
      </c>
      <c r="AJ66" s="46" t="n">
        <f aca="false">SUMIFS('Additions (monthly)'!$E$2:$E$106,'Additions (monthly)'!$D$2:$D$106,AJ$2,'Additions (monthly)'!$B$2:$B$106,"&lt;="&amp;$B66)</f>
        <v>0</v>
      </c>
      <c r="AK66" s="46" t="n">
        <f aca="false">SUMIFS('Additions (monthly)'!$E$2:$E$106,'Additions (monthly)'!$D$2:$D$106,AK$2,'Additions (monthly)'!$B$2:$B$106,"&lt;="&amp;$B66)</f>
        <v>0</v>
      </c>
      <c r="AL66" s="46" t="n">
        <f aca="false">SUMIFS('Additions (monthly)'!$E$2:$E$106,'Additions (monthly)'!$D$2:$D$106,AL$2,'Additions (monthly)'!$B$2:$B$106,"&lt;="&amp;$B66)</f>
        <v>22.2</v>
      </c>
      <c r="AM66" s="46" t="n">
        <f aca="false">SUMIFS('Additions (monthly)'!$E$2:$E$106,'Additions (monthly)'!$D$2:$D$106,AM$2,'Additions (monthly)'!$B$2:$B$106,"&lt;="&amp;$B66)</f>
        <v>0.3</v>
      </c>
      <c r="AN66" s="46" t="n">
        <f aca="false">SUMIFS('Additions (monthly)'!$E$2:$E$106,'Additions (monthly)'!$D$2:$D$106,AN$2,'Additions (monthly)'!$B$2:$B$106,"&lt;="&amp;$B66)</f>
        <v>4.3</v>
      </c>
      <c r="AO66" s="46" t="n">
        <f aca="false">SUMIFS('Additions (monthly)'!$E$2:$E$106,'Additions (monthly)'!$D$2:$D$106,AO$2,'Additions (monthly)'!$B$2:$B$106,"&lt;="&amp;$B66)</f>
        <v>10.4</v>
      </c>
      <c r="AP66" s="46" t="n">
        <f aca="false">SUMIFS('Additions (monthly)'!$E$2:$E$106,'Additions (monthly)'!$D$2:$D$106,AP$2,'Additions (monthly)'!$B$2:$B$106,"&lt;="&amp;$B66)</f>
        <v>6.9</v>
      </c>
      <c r="AQ66" s="46" t="n">
        <f aca="false">SUMIFS('Additions (monthly)'!$E$2:$E$106,'Additions (monthly)'!$D$2:$D$106,AQ$2,'Additions (monthly)'!$B$2:$B$106,"&lt;="&amp;$B66)</f>
        <v>4.45</v>
      </c>
      <c r="AR66" s="46" t="n">
        <f aca="false">SUMIFS('Additions (monthly)'!$E$2:$E$106,'Additions (monthly)'!$D$2:$D$106,AR$2,'Additions (monthly)'!$B$2:$B$106,"&lt;="&amp;$B66)</f>
        <v>77.1</v>
      </c>
      <c r="AS66" s="46" t="n">
        <f aca="false">SUMIFS('Additions (monthly)'!$E$2:$E$106,'Additions (monthly)'!$D$2:$D$106,AS$2,'Additions (monthly)'!$B$2:$B$106,"&lt;="&amp;$B66)</f>
        <v>0</v>
      </c>
      <c r="AT66" s="46" t="n">
        <f aca="false">SUMIFS('Additions (monthly)'!$E$2:$E$106,'Additions (monthly)'!$D$2:$D$106,AT$2,'Additions (monthly)'!$B$2:$B$106,"&lt;="&amp;$B66)</f>
        <v>0</v>
      </c>
      <c r="AU66" s="46" t="n">
        <f aca="false">SUMIFS('Additions (monthly)'!$E$2:$E$106,'Additions (monthly)'!$D$2:$D$106,AU$2,'Additions (monthly)'!$B$2:$B$106,"&lt;="&amp;$B66)</f>
        <v>9.6</v>
      </c>
      <c r="AV66" s="46" t="n">
        <f aca="false">SUMIFS('Additions (monthly)'!$E$2:$E$106,'Additions (monthly)'!$D$2:$D$106,AV$2,'Additions (monthly)'!$B$2:$B$106,"&lt;="&amp;$B66)</f>
        <v>0</v>
      </c>
      <c r="AW66" s="46" t="n">
        <f aca="false">SUMIFS('Additions (monthly)'!$E$2:$E$106,'Additions (monthly)'!$D$2:$D$106,AW$2,'Additions (monthly)'!$B$2:$B$106,"&lt;="&amp;$B66)</f>
        <v>0</v>
      </c>
      <c r="AX66" s="46" t="n">
        <f aca="false">SUMIFS('Additions (monthly)'!$E$2:$E$106,'Additions (monthly)'!$D$2:$D$106,AX$2,'Additions (monthly)'!$B$2:$B$106,"&lt;="&amp;$B66)</f>
        <v>11.8</v>
      </c>
      <c r="AY66" s="46" t="n">
        <f aca="false">SUMIFS('Additions (monthly)'!$E$2:$E$106,'Additions (monthly)'!$D$2:$D$106,AY$2,'Additions (monthly)'!$B$2:$B$106,"&lt;="&amp;$B66)</f>
        <v>5.3</v>
      </c>
      <c r="AZ66" s="46" t="n">
        <f aca="false">SUMIFS('Additions (monthly)'!$E$2:$E$106,'Additions (monthly)'!$D$2:$D$106,AZ$2,'Additions (monthly)'!$B$2:$B$106,"&lt;="&amp;$B66)</f>
        <v>0</v>
      </c>
      <c r="BA66" s="46" t="n">
        <f aca="false">SUMIFS('Additions (monthly)'!$E$2:$E$106,'Additions (monthly)'!$D$2:$D$106,BA$2,'Additions (monthly)'!$B$2:$B$106,"&lt;="&amp;$B66)</f>
        <v>0</v>
      </c>
      <c r="BB66" s="46" t="n">
        <f aca="false">SUMIFS('Additions (monthly)'!$E$2:$E$106,'Additions (monthly)'!$D$2:$D$106,BB$2,'Additions (monthly)'!$B$2:$B$106,"&lt;="&amp;$B66)</f>
        <v>0</v>
      </c>
      <c r="BC66" s="46" t="n">
        <f aca="false">SUMIFS('Additions (monthly)'!$E$2:$E$106,'Additions (monthly)'!$D$2:$D$106,BC$2,'Additions (monthly)'!$B$2:$B$106,"&lt;="&amp;$B66)</f>
        <v>0</v>
      </c>
      <c r="BD66" s="46" t="n">
        <f aca="false">SUMIFS('Additions (monthly)'!$E$2:$E$106,'Additions (monthly)'!$D$2:$D$106,BD$2,'Additions (monthly)'!$B$2:$B$106,"&lt;="&amp;$B66)</f>
        <v>0</v>
      </c>
      <c r="BE66" s="46" t="n">
        <f aca="false">SUMIFS('Additions (monthly)'!$E$2:$E$106,'Additions (monthly)'!$D$2:$D$106,BE$2,'Additions (monthly)'!$B$2:$B$106,"&lt;="&amp;$B66)</f>
        <v>0</v>
      </c>
      <c r="BF66" s="46" t="n">
        <f aca="false">SUMIFS('Additions (monthly)'!$E$2:$E$106,'Additions (monthly)'!$D$2:$D$106,BF$2,'Additions (monthly)'!$B$2:$B$106,"&lt;="&amp;$B66)</f>
        <v>0</v>
      </c>
      <c r="BG66" s="46" t="n">
        <f aca="false">SUMIFS('Additions (monthly)'!$E$2:$E$106,'Additions (monthly)'!$D$2:$D$106,BG$2,'Additions (monthly)'!$B$2:$B$106,"&lt;="&amp;$B66)</f>
        <v>0</v>
      </c>
      <c r="BH66" s="46" t="n">
        <f aca="false">SUMIFS('Additions (monthly)'!$E$2:$E$106,'Additions (monthly)'!$D$2:$D$106,BH$2,'Additions (monthly)'!$B$2:$B$106,"&lt;="&amp;$B66)</f>
        <v>0</v>
      </c>
      <c r="BI66" s="46" t="n">
        <f aca="false">SUMIFS('Additions (monthly)'!$E$2:$E$106,'Additions (monthly)'!$D$2:$D$106,BI$2,'Additions (monthly)'!$B$2:$B$106,"&lt;="&amp;$B66)</f>
        <v>6.7</v>
      </c>
    </row>
    <row r="67" customFormat="false" ht="15" hidden="false" customHeight="false" outlineLevel="0" collapsed="false">
      <c r="A67" s="44" t="n">
        <v>42125</v>
      </c>
      <c r="B67" s="45" t="n">
        <v>201505</v>
      </c>
      <c r="C67" s="42" t="n">
        <f aca="false">SUMIFS('Additions (monthly)'!$E$2:$E$106,'Additions (monthly)'!$B$2:$B$106,"&lt;="&amp;$B67)</f>
        <v>298.27</v>
      </c>
      <c r="D67" s="46" t="n">
        <f aca="false">SUMIFS('Additions (monthly)'!$E$2:$E$106,'Additions (monthly)'!$D$2:$D$106,D$2,'Additions (monthly)'!$B$2:$B$106,"&lt;="&amp;$B67)</f>
        <v>7.9</v>
      </c>
      <c r="E67" s="46" t="n">
        <f aca="false">SUMIFS('Additions (monthly)'!$E$2:$E$106,'Additions (monthly)'!$D$2:$D$106,E$2,'Additions (monthly)'!$B$2:$B$106,"&lt;="&amp;$B67)</f>
        <v>8.4</v>
      </c>
      <c r="F67" s="46" t="n">
        <f aca="false">SUMIFS('Additions (monthly)'!$E$2:$E$106,'Additions (monthly)'!$D$2:$D$106,F$2,'Additions (monthly)'!$B$2:$B$106,"&lt;="&amp;$B67)</f>
        <v>4.7</v>
      </c>
      <c r="G67" s="46" t="n">
        <f aca="false">SUMIFS('Additions (monthly)'!$E$2:$E$106,'Additions (monthly)'!$D$2:$D$106,G$2,'Additions (monthly)'!$B$2:$B$106,"&lt;="&amp;$B67)</f>
        <v>4.5</v>
      </c>
      <c r="H67" s="46" t="n">
        <f aca="false">SUMIFS('Additions (monthly)'!$E$2:$E$106,'Additions (monthly)'!$D$2:$D$106,H$2,'Additions (monthly)'!$B$2:$B$106,"&lt;="&amp;$B67)</f>
        <v>5.2</v>
      </c>
      <c r="I67" s="46" t="n">
        <f aca="false">SUMIFS('Additions (monthly)'!$E$2:$E$106,'Additions (monthly)'!$D$2:$D$106,I$2,'Additions (monthly)'!$B$2:$B$106,"&lt;="&amp;$B67)</f>
        <v>0</v>
      </c>
      <c r="J67" s="46" t="n">
        <f aca="false">SUMIFS('Additions (monthly)'!$E$2:$E$106,'Additions (monthly)'!$D$2:$D$106,J$2,'Additions (monthly)'!$B$2:$B$106,"&lt;="&amp;$B67)</f>
        <v>3.7</v>
      </c>
      <c r="K67" s="46" t="n">
        <f aca="false">SUMIFS('Additions (monthly)'!$E$2:$E$106,'Additions (monthly)'!$D$2:$D$106,K$2,'Additions (monthly)'!$B$2:$B$106,"&lt;="&amp;$B67)</f>
        <v>0</v>
      </c>
      <c r="L67" s="46" t="n">
        <f aca="false">SUMIFS('Additions (monthly)'!$E$2:$E$106,'Additions (monthly)'!$D$2:$D$106,L$2,'Additions (monthly)'!$B$2:$B$106,"&lt;="&amp;$B67)</f>
        <v>0</v>
      </c>
      <c r="M67" s="46" t="n">
        <f aca="false">SUMIFS('Additions (monthly)'!$E$2:$E$106,'Additions (monthly)'!$D$2:$D$106,M$2,'Additions (monthly)'!$B$2:$B$106,"&lt;="&amp;$B67)</f>
        <v>0</v>
      </c>
      <c r="N67" s="46" t="n">
        <f aca="false">SUMIFS('Additions (monthly)'!$E$2:$E$106,'Additions (monthly)'!$D$2:$D$106,N$2,'Additions (monthly)'!$B$2:$B$106,"&lt;="&amp;$B67)</f>
        <v>14.2</v>
      </c>
      <c r="O67" s="46" t="n">
        <f aca="false">SUMIFS('Additions (monthly)'!$E$2:$E$106,'Additions (monthly)'!$D$2:$D$106,O$2,'Additions (monthly)'!$B$2:$B$106,"&lt;="&amp;$B67)</f>
        <v>4.9</v>
      </c>
      <c r="P67" s="46" t="n">
        <f aca="false">SUMIFS('Additions (monthly)'!$E$2:$E$106,'Additions (monthly)'!$D$2:$D$106,P$2,'Additions (monthly)'!$B$2:$B$106,"&lt;="&amp;$B67)</f>
        <v>0</v>
      </c>
      <c r="Q67" s="46" t="n">
        <f aca="false">SUMIFS('Additions (monthly)'!$E$2:$E$106,'Additions (monthly)'!$D$2:$D$106,Q$2,'Additions (monthly)'!$B$2:$B$106,"&lt;="&amp;$B67)</f>
        <v>8.5</v>
      </c>
      <c r="R67" s="46" t="n">
        <f aca="false">SUMIFS('Additions (monthly)'!$E$2:$E$106,'Additions (monthly)'!$D$2:$D$106,R$2,'Additions (monthly)'!$B$2:$B$106,"&lt;="&amp;$B67)</f>
        <v>0</v>
      </c>
      <c r="S67" s="46" t="n">
        <f aca="false">SUMIFS('Additions (monthly)'!$E$2:$E$106,'Additions (monthly)'!$D$2:$D$106,S$2,'Additions (monthly)'!$B$2:$B$106,"&lt;="&amp;$B67)</f>
        <v>7.2</v>
      </c>
      <c r="T67" s="46" t="n">
        <f aca="false">SUMIFS('Additions (monthly)'!$E$2:$E$106,'Additions (monthly)'!$D$2:$D$106,T$2,'Additions (monthly)'!$B$2:$B$106,"&lt;="&amp;$B67)</f>
        <v>0</v>
      </c>
      <c r="U67" s="46" t="n">
        <f aca="false">SUMIFS('Additions (monthly)'!$E$2:$E$106,'Additions (monthly)'!$D$2:$D$106,U$2,'Additions (monthly)'!$B$2:$B$106,"&lt;="&amp;$B67)</f>
        <v>0</v>
      </c>
      <c r="V67" s="46" t="n">
        <f aca="false">SUMIFS('Additions (monthly)'!$E$2:$E$106,'Additions (monthly)'!$D$2:$D$106,V$2,'Additions (monthly)'!$B$2:$B$106,"&lt;="&amp;$B67)</f>
        <v>3.87</v>
      </c>
      <c r="W67" s="46" t="n">
        <f aca="false">SUMIFS('Additions (monthly)'!$E$2:$E$106,'Additions (monthly)'!$D$2:$D$106,W$2,'Additions (monthly)'!$B$2:$B$106,"&lt;="&amp;$B67)</f>
        <v>0</v>
      </c>
      <c r="X67" s="46" t="n">
        <f aca="false">SUMIFS('Additions (monthly)'!$E$2:$E$106,'Additions (monthly)'!$D$2:$D$106,X$2,'Additions (monthly)'!$B$2:$B$106,"&lt;="&amp;$B67)</f>
        <v>0</v>
      </c>
      <c r="Y67" s="46" t="n">
        <f aca="false">SUMIFS('Additions (monthly)'!$E$2:$E$106,'Additions (monthly)'!$D$2:$D$106,Y$2,'Additions (monthly)'!$B$2:$B$106,"&lt;="&amp;$B67)</f>
        <v>5</v>
      </c>
      <c r="Z67" s="46" t="n">
        <f aca="false">SUMIFS('Additions (monthly)'!$E$2:$E$106,'Additions (monthly)'!$D$2:$D$106,Z$2,'Additions (monthly)'!$B$2:$B$106,"&lt;="&amp;$B67)</f>
        <v>7.2</v>
      </c>
      <c r="AA67" s="46" t="n">
        <f aca="false">SUMIFS('Additions (monthly)'!$E$2:$E$106,'Additions (monthly)'!$D$2:$D$106,AA$2,'Additions (monthly)'!$B$2:$B$106,"&lt;="&amp;$B67)</f>
        <v>3.7</v>
      </c>
      <c r="AB67" s="46" t="n">
        <f aca="false">SUMIFS('Additions (monthly)'!$E$2:$E$106,'Additions (monthly)'!$D$2:$D$106,AB$2,'Additions (monthly)'!$B$2:$B$106,"&lt;="&amp;$B67)</f>
        <v>16.95</v>
      </c>
      <c r="AC67" s="46" t="n">
        <f aca="false">SUMIFS('Additions (monthly)'!$E$2:$E$106,'Additions (monthly)'!$D$2:$D$106,AC$2,'Additions (monthly)'!$B$2:$B$106,"&lt;="&amp;$B67)</f>
        <v>0</v>
      </c>
      <c r="AD67" s="46" t="n">
        <f aca="false">SUMIFS('Additions (monthly)'!$E$2:$E$106,'Additions (monthly)'!$D$2:$D$106,AD$2,'Additions (monthly)'!$B$2:$B$106,"&lt;="&amp;$B67)</f>
        <v>7.6</v>
      </c>
      <c r="AE67" s="46" t="n">
        <f aca="false">SUMIFS('Additions (monthly)'!$E$2:$E$106,'Additions (monthly)'!$D$2:$D$106,AE$2,'Additions (monthly)'!$B$2:$B$106,"&lt;="&amp;$B67)</f>
        <v>25.7</v>
      </c>
      <c r="AF67" s="46" t="n">
        <f aca="false">SUMIFS('Additions (monthly)'!$E$2:$E$106,'Additions (monthly)'!$D$2:$D$106,AF$2,'Additions (monthly)'!$B$2:$B$106,"&lt;="&amp;$B67)</f>
        <v>0</v>
      </c>
      <c r="AG67" s="46" t="n">
        <f aca="false">SUMIFS('Additions (monthly)'!$E$2:$E$106,'Additions (monthly)'!$D$2:$D$106,AG$2,'Additions (monthly)'!$B$2:$B$106,"&lt;="&amp;$B67)</f>
        <v>0</v>
      </c>
      <c r="AH67" s="46" t="n">
        <f aca="false">SUMIFS('Additions (monthly)'!$E$2:$E$106,'Additions (monthly)'!$D$2:$D$106,AH$2,'Additions (monthly)'!$B$2:$B$106,"&lt;="&amp;$B67)</f>
        <v>0</v>
      </c>
      <c r="AI67" s="46" t="n">
        <f aca="false">SUMIFS('Additions (monthly)'!$E$2:$E$106,'Additions (monthly)'!$D$2:$D$106,AI$2,'Additions (monthly)'!$B$2:$B$106,"&lt;="&amp;$B67)</f>
        <v>0</v>
      </c>
      <c r="AJ67" s="46" t="n">
        <f aca="false">SUMIFS('Additions (monthly)'!$E$2:$E$106,'Additions (monthly)'!$D$2:$D$106,AJ$2,'Additions (monthly)'!$B$2:$B$106,"&lt;="&amp;$B67)</f>
        <v>0</v>
      </c>
      <c r="AK67" s="46" t="n">
        <f aca="false">SUMIFS('Additions (monthly)'!$E$2:$E$106,'Additions (monthly)'!$D$2:$D$106,AK$2,'Additions (monthly)'!$B$2:$B$106,"&lt;="&amp;$B67)</f>
        <v>0</v>
      </c>
      <c r="AL67" s="46" t="n">
        <f aca="false">SUMIFS('Additions (monthly)'!$E$2:$E$106,'Additions (monthly)'!$D$2:$D$106,AL$2,'Additions (monthly)'!$B$2:$B$106,"&lt;="&amp;$B67)</f>
        <v>22.2</v>
      </c>
      <c r="AM67" s="46" t="n">
        <f aca="false">SUMIFS('Additions (monthly)'!$E$2:$E$106,'Additions (monthly)'!$D$2:$D$106,AM$2,'Additions (monthly)'!$B$2:$B$106,"&lt;="&amp;$B67)</f>
        <v>0.3</v>
      </c>
      <c r="AN67" s="46" t="n">
        <f aca="false">SUMIFS('Additions (monthly)'!$E$2:$E$106,'Additions (monthly)'!$D$2:$D$106,AN$2,'Additions (monthly)'!$B$2:$B$106,"&lt;="&amp;$B67)</f>
        <v>4.3</v>
      </c>
      <c r="AO67" s="46" t="n">
        <f aca="false">SUMIFS('Additions (monthly)'!$E$2:$E$106,'Additions (monthly)'!$D$2:$D$106,AO$2,'Additions (monthly)'!$B$2:$B$106,"&lt;="&amp;$B67)</f>
        <v>10.4</v>
      </c>
      <c r="AP67" s="46" t="n">
        <f aca="false">SUMIFS('Additions (monthly)'!$E$2:$E$106,'Additions (monthly)'!$D$2:$D$106,AP$2,'Additions (monthly)'!$B$2:$B$106,"&lt;="&amp;$B67)</f>
        <v>6.9</v>
      </c>
      <c r="AQ67" s="46" t="n">
        <f aca="false">SUMIFS('Additions (monthly)'!$E$2:$E$106,'Additions (monthly)'!$D$2:$D$106,AQ$2,'Additions (monthly)'!$B$2:$B$106,"&lt;="&amp;$B67)</f>
        <v>4.45</v>
      </c>
      <c r="AR67" s="46" t="n">
        <f aca="false">SUMIFS('Additions (monthly)'!$E$2:$E$106,'Additions (monthly)'!$D$2:$D$106,AR$2,'Additions (monthly)'!$B$2:$B$106,"&lt;="&amp;$B67)</f>
        <v>77.1</v>
      </c>
      <c r="AS67" s="46" t="n">
        <f aca="false">SUMIFS('Additions (monthly)'!$E$2:$E$106,'Additions (monthly)'!$D$2:$D$106,AS$2,'Additions (monthly)'!$B$2:$B$106,"&lt;="&amp;$B67)</f>
        <v>0</v>
      </c>
      <c r="AT67" s="46" t="n">
        <f aca="false">SUMIFS('Additions (monthly)'!$E$2:$E$106,'Additions (monthly)'!$D$2:$D$106,AT$2,'Additions (monthly)'!$B$2:$B$106,"&lt;="&amp;$B67)</f>
        <v>0</v>
      </c>
      <c r="AU67" s="46" t="n">
        <f aca="false">SUMIFS('Additions (monthly)'!$E$2:$E$106,'Additions (monthly)'!$D$2:$D$106,AU$2,'Additions (monthly)'!$B$2:$B$106,"&lt;="&amp;$B67)</f>
        <v>9.6</v>
      </c>
      <c r="AV67" s="46" t="n">
        <f aca="false">SUMIFS('Additions (monthly)'!$E$2:$E$106,'Additions (monthly)'!$D$2:$D$106,AV$2,'Additions (monthly)'!$B$2:$B$106,"&lt;="&amp;$B67)</f>
        <v>0</v>
      </c>
      <c r="AW67" s="46" t="n">
        <f aca="false">SUMIFS('Additions (monthly)'!$E$2:$E$106,'Additions (monthly)'!$D$2:$D$106,AW$2,'Additions (monthly)'!$B$2:$B$106,"&lt;="&amp;$B67)</f>
        <v>0</v>
      </c>
      <c r="AX67" s="46" t="n">
        <f aca="false">SUMIFS('Additions (monthly)'!$E$2:$E$106,'Additions (monthly)'!$D$2:$D$106,AX$2,'Additions (monthly)'!$B$2:$B$106,"&lt;="&amp;$B67)</f>
        <v>11.8</v>
      </c>
      <c r="AY67" s="46" t="n">
        <f aca="false">SUMIFS('Additions (monthly)'!$E$2:$E$106,'Additions (monthly)'!$D$2:$D$106,AY$2,'Additions (monthly)'!$B$2:$B$106,"&lt;="&amp;$B67)</f>
        <v>5.3</v>
      </c>
      <c r="AZ67" s="46" t="n">
        <f aca="false">SUMIFS('Additions (monthly)'!$E$2:$E$106,'Additions (monthly)'!$D$2:$D$106,AZ$2,'Additions (monthly)'!$B$2:$B$106,"&lt;="&amp;$B67)</f>
        <v>0</v>
      </c>
      <c r="BA67" s="46" t="n">
        <f aca="false">SUMIFS('Additions (monthly)'!$E$2:$E$106,'Additions (monthly)'!$D$2:$D$106,BA$2,'Additions (monthly)'!$B$2:$B$106,"&lt;="&amp;$B67)</f>
        <v>0</v>
      </c>
      <c r="BB67" s="46" t="n">
        <f aca="false">SUMIFS('Additions (monthly)'!$E$2:$E$106,'Additions (monthly)'!$D$2:$D$106,BB$2,'Additions (monthly)'!$B$2:$B$106,"&lt;="&amp;$B67)</f>
        <v>0</v>
      </c>
      <c r="BC67" s="46" t="n">
        <f aca="false">SUMIFS('Additions (monthly)'!$E$2:$E$106,'Additions (monthly)'!$D$2:$D$106,BC$2,'Additions (monthly)'!$B$2:$B$106,"&lt;="&amp;$B67)</f>
        <v>0</v>
      </c>
      <c r="BD67" s="46" t="n">
        <f aca="false">SUMIFS('Additions (monthly)'!$E$2:$E$106,'Additions (monthly)'!$D$2:$D$106,BD$2,'Additions (monthly)'!$B$2:$B$106,"&lt;="&amp;$B67)</f>
        <v>0</v>
      </c>
      <c r="BE67" s="46" t="n">
        <f aca="false">SUMIFS('Additions (monthly)'!$E$2:$E$106,'Additions (monthly)'!$D$2:$D$106,BE$2,'Additions (monthly)'!$B$2:$B$106,"&lt;="&amp;$B67)</f>
        <v>0</v>
      </c>
      <c r="BF67" s="46" t="n">
        <f aca="false">SUMIFS('Additions (monthly)'!$E$2:$E$106,'Additions (monthly)'!$D$2:$D$106,BF$2,'Additions (monthly)'!$B$2:$B$106,"&lt;="&amp;$B67)</f>
        <v>0</v>
      </c>
      <c r="BG67" s="46" t="n">
        <f aca="false">SUMIFS('Additions (monthly)'!$E$2:$E$106,'Additions (monthly)'!$D$2:$D$106,BG$2,'Additions (monthly)'!$B$2:$B$106,"&lt;="&amp;$B67)</f>
        <v>0</v>
      </c>
      <c r="BH67" s="46" t="n">
        <f aca="false">SUMIFS('Additions (monthly)'!$E$2:$E$106,'Additions (monthly)'!$D$2:$D$106,BH$2,'Additions (monthly)'!$B$2:$B$106,"&lt;="&amp;$B67)</f>
        <v>0</v>
      </c>
      <c r="BI67" s="46" t="n">
        <f aca="false">SUMIFS('Additions (monthly)'!$E$2:$E$106,'Additions (monthly)'!$D$2:$D$106,BI$2,'Additions (monthly)'!$B$2:$B$106,"&lt;="&amp;$B67)</f>
        <v>6.7</v>
      </c>
    </row>
    <row r="68" customFormat="false" ht="15" hidden="false" customHeight="false" outlineLevel="0" collapsed="false">
      <c r="A68" s="44" t="n">
        <v>42156</v>
      </c>
      <c r="B68" s="45" t="n">
        <v>201506</v>
      </c>
      <c r="C68" s="42" t="n">
        <f aca="false">SUMIFS('Additions (monthly)'!$E$2:$E$106,'Additions (monthly)'!$B$2:$B$106,"&lt;="&amp;$B68)</f>
        <v>300.27</v>
      </c>
      <c r="D68" s="46" t="n">
        <f aca="false">SUMIFS('Additions (monthly)'!$E$2:$E$106,'Additions (monthly)'!$D$2:$D$106,D$2,'Additions (monthly)'!$B$2:$B$106,"&lt;="&amp;$B68)</f>
        <v>7.9</v>
      </c>
      <c r="E68" s="46" t="n">
        <f aca="false">SUMIFS('Additions (monthly)'!$E$2:$E$106,'Additions (monthly)'!$D$2:$D$106,E$2,'Additions (monthly)'!$B$2:$B$106,"&lt;="&amp;$B68)</f>
        <v>8.4</v>
      </c>
      <c r="F68" s="46" t="n">
        <f aca="false">SUMIFS('Additions (monthly)'!$E$2:$E$106,'Additions (monthly)'!$D$2:$D$106,F$2,'Additions (monthly)'!$B$2:$B$106,"&lt;="&amp;$B68)</f>
        <v>4.7</v>
      </c>
      <c r="G68" s="46" t="n">
        <f aca="false">SUMIFS('Additions (monthly)'!$E$2:$E$106,'Additions (monthly)'!$D$2:$D$106,G$2,'Additions (monthly)'!$B$2:$B$106,"&lt;="&amp;$B68)</f>
        <v>4.5</v>
      </c>
      <c r="H68" s="46" t="n">
        <f aca="false">SUMIFS('Additions (monthly)'!$E$2:$E$106,'Additions (monthly)'!$D$2:$D$106,H$2,'Additions (monthly)'!$B$2:$B$106,"&lt;="&amp;$B68)</f>
        <v>5.2</v>
      </c>
      <c r="I68" s="46" t="n">
        <f aca="false">SUMIFS('Additions (monthly)'!$E$2:$E$106,'Additions (monthly)'!$D$2:$D$106,I$2,'Additions (monthly)'!$B$2:$B$106,"&lt;="&amp;$B68)</f>
        <v>0</v>
      </c>
      <c r="J68" s="46" t="n">
        <f aca="false">SUMIFS('Additions (monthly)'!$E$2:$E$106,'Additions (monthly)'!$D$2:$D$106,J$2,'Additions (monthly)'!$B$2:$B$106,"&lt;="&amp;$B68)</f>
        <v>3.7</v>
      </c>
      <c r="K68" s="46" t="n">
        <f aca="false">SUMIFS('Additions (monthly)'!$E$2:$E$106,'Additions (monthly)'!$D$2:$D$106,K$2,'Additions (monthly)'!$B$2:$B$106,"&lt;="&amp;$B68)</f>
        <v>0</v>
      </c>
      <c r="L68" s="46" t="n">
        <f aca="false">SUMIFS('Additions (monthly)'!$E$2:$E$106,'Additions (monthly)'!$D$2:$D$106,L$2,'Additions (monthly)'!$B$2:$B$106,"&lt;="&amp;$B68)</f>
        <v>0</v>
      </c>
      <c r="M68" s="46" t="n">
        <f aca="false">SUMIFS('Additions (monthly)'!$E$2:$E$106,'Additions (monthly)'!$D$2:$D$106,M$2,'Additions (monthly)'!$B$2:$B$106,"&lt;="&amp;$B68)</f>
        <v>0</v>
      </c>
      <c r="N68" s="46" t="n">
        <f aca="false">SUMIFS('Additions (monthly)'!$E$2:$E$106,'Additions (monthly)'!$D$2:$D$106,N$2,'Additions (monthly)'!$B$2:$B$106,"&lt;="&amp;$B68)</f>
        <v>14.2</v>
      </c>
      <c r="O68" s="46" t="n">
        <f aca="false">SUMIFS('Additions (monthly)'!$E$2:$E$106,'Additions (monthly)'!$D$2:$D$106,O$2,'Additions (monthly)'!$B$2:$B$106,"&lt;="&amp;$B68)</f>
        <v>4.9</v>
      </c>
      <c r="P68" s="46" t="n">
        <f aca="false">SUMIFS('Additions (monthly)'!$E$2:$E$106,'Additions (monthly)'!$D$2:$D$106,P$2,'Additions (monthly)'!$B$2:$B$106,"&lt;="&amp;$B68)</f>
        <v>0</v>
      </c>
      <c r="Q68" s="46" t="n">
        <f aca="false">SUMIFS('Additions (monthly)'!$E$2:$E$106,'Additions (monthly)'!$D$2:$D$106,Q$2,'Additions (monthly)'!$B$2:$B$106,"&lt;="&amp;$B68)</f>
        <v>8.5</v>
      </c>
      <c r="R68" s="46" t="n">
        <f aca="false">SUMIFS('Additions (monthly)'!$E$2:$E$106,'Additions (monthly)'!$D$2:$D$106,R$2,'Additions (monthly)'!$B$2:$B$106,"&lt;="&amp;$B68)</f>
        <v>0</v>
      </c>
      <c r="S68" s="46" t="n">
        <f aca="false">SUMIFS('Additions (monthly)'!$E$2:$E$106,'Additions (monthly)'!$D$2:$D$106,S$2,'Additions (monthly)'!$B$2:$B$106,"&lt;="&amp;$B68)</f>
        <v>7.2</v>
      </c>
      <c r="T68" s="46" t="n">
        <f aca="false">SUMIFS('Additions (monthly)'!$E$2:$E$106,'Additions (monthly)'!$D$2:$D$106,T$2,'Additions (monthly)'!$B$2:$B$106,"&lt;="&amp;$B68)</f>
        <v>0</v>
      </c>
      <c r="U68" s="46" t="n">
        <f aca="false">SUMIFS('Additions (monthly)'!$E$2:$E$106,'Additions (monthly)'!$D$2:$D$106,U$2,'Additions (monthly)'!$B$2:$B$106,"&lt;="&amp;$B68)</f>
        <v>0</v>
      </c>
      <c r="V68" s="46" t="n">
        <f aca="false">SUMIFS('Additions (monthly)'!$E$2:$E$106,'Additions (monthly)'!$D$2:$D$106,V$2,'Additions (monthly)'!$B$2:$B$106,"&lt;="&amp;$B68)</f>
        <v>3.87</v>
      </c>
      <c r="W68" s="46" t="n">
        <f aca="false">SUMIFS('Additions (monthly)'!$E$2:$E$106,'Additions (monthly)'!$D$2:$D$106,W$2,'Additions (monthly)'!$B$2:$B$106,"&lt;="&amp;$B68)</f>
        <v>0</v>
      </c>
      <c r="X68" s="46" t="n">
        <f aca="false">SUMIFS('Additions (monthly)'!$E$2:$E$106,'Additions (monthly)'!$D$2:$D$106,X$2,'Additions (monthly)'!$B$2:$B$106,"&lt;="&amp;$B68)</f>
        <v>0</v>
      </c>
      <c r="Y68" s="46" t="n">
        <f aca="false">SUMIFS('Additions (monthly)'!$E$2:$E$106,'Additions (monthly)'!$D$2:$D$106,Y$2,'Additions (monthly)'!$B$2:$B$106,"&lt;="&amp;$B68)</f>
        <v>5</v>
      </c>
      <c r="Z68" s="46" t="n">
        <f aca="false">SUMIFS('Additions (monthly)'!$E$2:$E$106,'Additions (monthly)'!$D$2:$D$106,Z$2,'Additions (monthly)'!$B$2:$B$106,"&lt;="&amp;$B68)</f>
        <v>7.2</v>
      </c>
      <c r="AA68" s="46" t="n">
        <f aca="false">SUMIFS('Additions (monthly)'!$E$2:$E$106,'Additions (monthly)'!$D$2:$D$106,AA$2,'Additions (monthly)'!$B$2:$B$106,"&lt;="&amp;$B68)</f>
        <v>3.7</v>
      </c>
      <c r="AB68" s="46" t="n">
        <f aca="false">SUMIFS('Additions (monthly)'!$E$2:$E$106,'Additions (monthly)'!$D$2:$D$106,AB$2,'Additions (monthly)'!$B$2:$B$106,"&lt;="&amp;$B68)</f>
        <v>16.95</v>
      </c>
      <c r="AC68" s="46" t="n">
        <f aca="false">SUMIFS('Additions (monthly)'!$E$2:$E$106,'Additions (monthly)'!$D$2:$D$106,AC$2,'Additions (monthly)'!$B$2:$B$106,"&lt;="&amp;$B68)</f>
        <v>2</v>
      </c>
      <c r="AD68" s="46" t="n">
        <f aca="false">SUMIFS('Additions (monthly)'!$E$2:$E$106,'Additions (monthly)'!$D$2:$D$106,AD$2,'Additions (monthly)'!$B$2:$B$106,"&lt;="&amp;$B68)</f>
        <v>7.6</v>
      </c>
      <c r="AE68" s="46" t="n">
        <f aca="false">SUMIFS('Additions (monthly)'!$E$2:$E$106,'Additions (monthly)'!$D$2:$D$106,AE$2,'Additions (monthly)'!$B$2:$B$106,"&lt;="&amp;$B68)</f>
        <v>25.7</v>
      </c>
      <c r="AF68" s="46" t="n">
        <f aca="false">SUMIFS('Additions (monthly)'!$E$2:$E$106,'Additions (monthly)'!$D$2:$D$106,AF$2,'Additions (monthly)'!$B$2:$B$106,"&lt;="&amp;$B68)</f>
        <v>0</v>
      </c>
      <c r="AG68" s="46" t="n">
        <f aca="false">SUMIFS('Additions (monthly)'!$E$2:$E$106,'Additions (monthly)'!$D$2:$D$106,AG$2,'Additions (monthly)'!$B$2:$B$106,"&lt;="&amp;$B68)</f>
        <v>0</v>
      </c>
      <c r="AH68" s="46" t="n">
        <f aca="false">SUMIFS('Additions (monthly)'!$E$2:$E$106,'Additions (monthly)'!$D$2:$D$106,AH$2,'Additions (monthly)'!$B$2:$B$106,"&lt;="&amp;$B68)</f>
        <v>0</v>
      </c>
      <c r="AI68" s="46" t="n">
        <f aca="false">SUMIFS('Additions (monthly)'!$E$2:$E$106,'Additions (monthly)'!$D$2:$D$106,AI$2,'Additions (monthly)'!$B$2:$B$106,"&lt;="&amp;$B68)</f>
        <v>0</v>
      </c>
      <c r="AJ68" s="46" t="n">
        <f aca="false">SUMIFS('Additions (monthly)'!$E$2:$E$106,'Additions (monthly)'!$D$2:$D$106,AJ$2,'Additions (monthly)'!$B$2:$B$106,"&lt;="&amp;$B68)</f>
        <v>0</v>
      </c>
      <c r="AK68" s="46" t="n">
        <f aca="false">SUMIFS('Additions (monthly)'!$E$2:$E$106,'Additions (monthly)'!$D$2:$D$106,AK$2,'Additions (monthly)'!$B$2:$B$106,"&lt;="&amp;$B68)</f>
        <v>0</v>
      </c>
      <c r="AL68" s="46" t="n">
        <f aca="false">SUMIFS('Additions (monthly)'!$E$2:$E$106,'Additions (monthly)'!$D$2:$D$106,AL$2,'Additions (monthly)'!$B$2:$B$106,"&lt;="&amp;$B68)</f>
        <v>22.2</v>
      </c>
      <c r="AM68" s="46" t="n">
        <f aca="false">SUMIFS('Additions (monthly)'!$E$2:$E$106,'Additions (monthly)'!$D$2:$D$106,AM$2,'Additions (monthly)'!$B$2:$B$106,"&lt;="&amp;$B68)</f>
        <v>0.3</v>
      </c>
      <c r="AN68" s="46" t="n">
        <f aca="false">SUMIFS('Additions (monthly)'!$E$2:$E$106,'Additions (monthly)'!$D$2:$D$106,AN$2,'Additions (monthly)'!$B$2:$B$106,"&lt;="&amp;$B68)</f>
        <v>4.3</v>
      </c>
      <c r="AO68" s="46" t="n">
        <f aca="false">SUMIFS('Additions (monthly)'!$E$2:$E$106,'Additions (monthly)'!$D$2:$D$106,AO$2,'Additions (monthly)'!$B$2:$B$106,"&lt;="&amp;$B68)</f>
        <v>10.4</v>
      </c>
      <c r="AP68" s="46" t="n">
        <f aca="false">SUMIFS('Additions (monthly)'!$E$2:$E$106,'Additions (monthly)'!$D$2:$D$106,AP$2,'Additions (monthly)'!$B$2:$B$106,"&lt;="&amp;$B68)</f>
        <v>6.9</v>
      </c>
      <c r="AQ68" s="46" t="n">
        <f aca="false">SUMIFS('Additions (monthly)'!$E$2:$E$106,'Additions (monthly)'!$D$2:$D$106,AQ$2,'Additions (monthly)'!$B$2:$B$106,"&lt;="&amp;$B68)</f>
        <v>4.45</v>
      </c>
      <c r="AR68" s="46" t="n">
        <f aca="false">SUMIFS('Additions (monthly)'!$E$2:$E$106,'Additions (monthly)'!$D$2:$D$106,AR$2,'Additions (monthly)'!$B$2:$B$106,"&lt;="&amp;$B68)</f>
        <v>77.1</v>
      </c>
      <c r="AS68" s="46" t="n">
        <f aca="false">SUMIFS('Additions (monthly)'!$E$2:$E$106,'Additions (monthly)'!$D$2:$D$106,AS$2,'Additions (monthly)'!$B$2:$B$106,"&lt;="&amp;$B68)</f>
        <v>0</v>
      </c>
      <c r="AT68" s="46" t="n">
        <f aca="false">SUMIFS('Additions (monthly)'!$E$2:$E$106,'Additions (monthly)'!$D$2:$D$106,AT$2,'Additions (monthly)'!$B$2:$B$106,"&lt;="&amp;$B68)</f>
        <v>0</v>
      </c>
      <c r="AU68" s="46" t="n">
        <f aca="false">SUMIFS('Additions (monthly)'!$E$2:$E$106,'Additions (monthly)'!$D$2:$D$106,AU$2,'Additions (monthly)'!$B$2:$B$106,"&lt;="&amp;$B68)</f>
        <v>9.6</v>
      </c>
      <c r="AV68" s="46" t="n">
        <f aca="false">SUMIFS('Additions (monthly)'!$E$2:$E$106,'Additions (monthly)'!$D$2:$D$106,AV$2,'Additions (monthly)'!$B$2:$B$106,"&lt;="&amp;$B68)</f>
        <v>0</v>
      </c>
      <c r="AW68" s="46" t="n">
        <f aca="false">SUMIFS('Additions (monthly)'!$E$2:$E$106,'Additions (monthly)'!$D$2:$D$106,AW$2,'Additions (monthly)'!$B$2:$B$106,"&lt;="&amp;$B68)</f>
        <v>0</v>
      </c>
      <c r="AX68" s="46" t="n">
        <f aca="false">SUMIFS('Additions (monthly)'!$E$2:$E$106,'Additions (monthly)'!$D$2:$D$106,AX$2,'Additions (monthly)'!$B$2:$B$106,"&lt;="&amp;$B68)</f>
        <v>11.8</v>
      </c>
      <c r="AY68" s="46" t="n">
        <f aca="false">SUMIFS('Additions (monthly)'!$E$2:$E$106,'Additions (monthly)'!$D$2:$D$106,AY$2,'Additions (monthly)'!$B$2:$B$106,"&lt;="&amp;$B68)</f>
        <v>5.3</v>
      </c>
      <c r="AZ68" s="46" t="n">
        <f aca="false">SUMIFS('Additions (monthly)'!$E$2:$E$106,'Additions (monthly)'!$D$2:$D$106,AZ$2,'Additions (monthly)'!$B$2:$B$106,"&lt;="&amp;$B68)</f>
        <v>0</v>
      </c>
      <c r="BA68" s="46" t="n">
        <f aca="false">SUMIFS('Additions (monthly)'!$E$2:$E$106,'Additions (monthly)'!$D$2:$D$106,BA$2,'Additions (monthly)'!$B$2:$B$106,"&lt;="&amp;$B68)</f>
        <v>0</v>
      </c>
      <c r="BB68" s="46" t="n">
        <f aca="false">SUMIFS('Additions (monthly)'!$E$2:$E$106,'Additions (monthly)'!$D$2:$D$106,BB$2,'Additions (monthly)'!$B$2:$B$106,"&lt;="&amp;$B68)</f>
        <v>0</v>
      </c>
      <c r="BC68" s="46" t="n">
        <f aca="false">SUMIFS('Additions (monthly)'!$E$2:$E$106,'Additions (monthly)'!$D$2:$D$106,BC$2,'Additions (monthly)'!$B$2:$B$106,"&lt;="&amp;$B68)</f>
        <v>0</v>
      </c>
      <c r="BD68" s="46" t="n">
        <f aca="false">SUMIFS('Additions (monthly)'!$E$2:$E$106,'Additions (monthly)'!$D$2:$D$106,BD$2,'Additions (monthly)'!$B$2:$B$106,"&lt;="&amp;$B68)</f>
        <v>0</v>
      </c>
      <c r="BE68" s="46" t="n">
        <f aca="false">SUMIFS('Additions (monthly)'!$E$2:$E$106,'Additions (monthly)'!$D$2:$D$106,BE$2,'Additions (monthly)'!$B$2:$B$106,"&lt;="&amp;$B68)</f>
        <v>0</v>
      </c>
      <c r="BF68" s="46" t="n">
        <f aca="false">SUMIFS('Additions (monthly)'!$E$2:$E$106,'Additions (monthly)'!$D$2:$D$106,BF$2,'Additions (monthly)'!$B$2:$B$106,"&lt;="&amp;$B68)</f>
        <v>0</v>
      </c>
      <c r="BG68" s="46" t="n">
        <f aca="false">SUMIFS('Additions (monthly)'!$E$2:$E$106,'Additions (monthly)'!$D$2:$D$106,BG$2,'Additions (monthly)'!$B$2:$B$106,"&lt;="&amp;$B68)</f>
        <v>0</v>
      </c>
      <c r="BH68" s="46" t="n">
        <f aca="false">SUMIFS('Additions (monthly)'!$E$2:$E$106,'Additions (monthly)'!$D$2:$D$106,BH$2,'Additions (monthly)'!$B$2:$B$106,"&lt;="&amp;$B68)</f>
        <v>0</v>
      </c>
      <c r="BI68" s="46" t="n">
        <f aca="false">SUMIFS('Additions (monthly)'!$E$2:$E$106,'Additions (monthly)'!$D$2:$D$106,BI$2,'Additions (monthly)'!$B$2:$B$106,"&lt;="&amp;$B68)</f>
        <v>6.7</v>
      </c>
    </row>
    <row r="69" customFormat="false" ht="15" hidden="false" customHeight="false" outlineLevel="0" collapsed="false">
      <c r="A69" s="44" t="n">
        <v>42186</v>
      </c>
      <c r="B69" s="45" t="n">
        <v>201507</v>
      </c>
      <c r="C69" s="42" t="n">
        <f aca="false">SUMIFS('Additions (monthly)'!$E$2:$E$106,'Additions (monthly)'!$B$2:$B$106,"&lt;="&amp;$B69)</f>
        <v>300.27</v>
      </c>
      <c r="D69" s="46" t="n">
        <f aca="false">SUMIFS('Additions (monthly)'!$E$2:$E$106,'Additions (monthly)'!$D$2:$D$106,D$2,'Additions (monthly)'!$B$2:$B$106,"&lt;="&amp;$B69)</f>
        <v>7.9</v>
      </c>
      <c r="E69" s="46" t="n">
        <f aca="false">SUMIFS('Additions (monthly)'!$E$2:$E$106,'Additions (monthly)'!$D$2:$D$106,E$2,'Additions (monthly)'!$B$2:$B$106,"&lt;="&amp;$B69)</f>
        <v>8.4</v>
      </c>
      <c r="F69" s="46" t="n">
        <f aca="false">SUMIFS('Additions (monthly)'!$E$2:$E$106,'Additions (monthly)'!$D$2:$D$106,F$2,'Additions (monthly)'!$B$2:$B$106,"&lt;="&amp;$B69)</f>
        <v>4.7</v>
      </c>
      <c r="G69" s="46" t="n">
        <f aca="false">SUMIFS('Additions (monthly)'!$E$2:$E$106,'Additions (monthly)'!$D$2:$D$106,G$2,'Additions (monthly)'!$B$2:$B$106,"&lt;="&amp;$B69)</f>
        <v>4.5</v>
      </c>
      <c r="H69" s="46" t="n">
        <f aca="false">SUMIFS('Additions (monthly)'!$E$2:$E$106,'Additions (monthly)'!$D$2:$D$106,H$2,'Additions (monthly)'!$B$2:$B$106,"&lt;="&amp;$B69)</f>
        <v>5.2</v>
      </c>
      <c r="I69" s="46" t="n">
        <f aca="false">SUMIFS('Additions (monthly)'!$E$2:$E$106,'Additions (monthly)'!$D$2:$D$106,I$2,'Additions (monthly)'!$B$2:$B$106,"&lt;="&amp;$B69)</f>
        <v>0</v>
      </c>
      <c r="J69" s="46" t="n">
        <f aca="false">SUMIFS('Additions (monthly)'!$E$2:$E$106,'Additions (monthly)'!$D$2:$D$106,J$2,'Additions (monthly)'!$B$2:$B$106,"&lt;="&amp;$B69)</f>
        <v>3.7</v>
      </c>
      <c r="K69" s="46" t="n">
        <f aca="false">SUMIFS('Additions (monthly)'!$E$2:$E$106,'Additions (monthly)'!$D$2:$D$106,K$2,'Additions (monthly)'!$B$2:$B$106,"&lt;="&amp;$B69)</f>
        <v>0</v>
      </c>
      <c r="L69" s="46" t="n">
        <f aca="false">SUMIFS('Additions (monthly)'!$E$2:$E$106,'Additions (monthly)'!$D$2:$D$106,L$2,'Additions (monthly)'!$B$2:$B$106,"&lt;="&amp;$B69)</f>
        <v>0</v>
      </c>
      <c r="M69" s="46" t="n">
        <f aca="false">SUMIFS('Additions (monthly)'!$E$2:$E$106,'Additions (monthly)'!$D$2:$D$106,M$2,'Additions (monthly)'!$B$2:$B$106,"&lt;="&amp;$B69)</f>
        <v>0</v>
      </c>
      <c r="N69" s="46" t="n">
        <f aca="false">SUMIFS('Additions (monthly)'!$E$2:$E$106,'Additions (monthly)'!$D$2:$D$106,N$2,'Additions (monthly)'!$B$2:$B$106,"&lt;="&amp;$B69)</f>
        <v>14.2</v>
      </c>
      <c r="O69" s="46" t="n">
        <f aca="false">SUMIFS('Additions (monthly)'!$E$2:$E$106,'Additions (monthly)'!$D$2:$D$106,O$2,'Additions (monthly)'!$B$2:$B$106,"&lt;="&amp;$B69)</f>
        <v>4.9</v>
      </c>
      <c r="P69" s="46" t="n">
        <f aca="false">SUMIFS('Additions (monthly)'!$E$2:$E$106,'Additions (monthly)'!$D$2:$D$106,P$2,'Additions (monthly)'!$B$2:$B$106,"&lt;="&amp;$B69)</f>
        <v>0</v>
      </c>
      <c r="Q69" s="46" t="n">
        <f aca="false">SUMIFS('Additions (monthly)'!$E$2:$E$106,'Additions (monthly)'!$D$2:$D$106,Q$2,'Additions (monthly)'!$B$2:$B$106,"&lt;="&amp;$B69)</f>
        <v>8.5</v>
      </c>
      <c r="R69" s="46" t="n">
        <f aca="false">SUMIFS('Additions (monthly)'!$E$2:$E$106,'Additions (monthly)'!$D$2:$D$106,R$2,'Additions (monthly)'!$B$2:$B$106,"&lt;="&amp;$B69)</f>
        <v>0</v>
      </c>
      <c r="S69" s="46" t="n">
        <f aca="false">SUMIFS('Additions (monthly)'!$E$2:$E$106,'Additions (monthly)'!$D$2:$D$106,S$2,'Additions (monthly)'!$B$2:$B$106,"&lt;="&amp;$B69)</f>
        <v>7.2</v>
      </c>
      <c r="T69" s="46" t="n">
        <f aca="false">SUMIFS('Additions (monthly)'!$E$2:$E$106,'Additions (monthly)'!$D$2:$D$106,T$2,'Additions (monthly)'!$B$2:$B$106,"&lt;="&amp;$B69)</f>
        <v>0</v>
      </c>
      <c r="U69" s="46" t="n">
        <f aca="false">SUMIFS('Additions (monthly)'!$E$2:$E$106,'Additions (monthly)'!$D$2:$D$106,U$2,'Additions (monthly)'!$B$2:$B$106,"&lt;="&amp;$B69)</f>
        <v>0</v>
      </c>
      <c r="V69" s="46" t="n">
        <f aca="false">SUMIFS('Additions (monthly)'!$E$2:$E$106,'Additions (monthly)'!$D$2:$D$106,V$2,'Additions (monthly)'!$B$2:$B$106,"&lt;="&amp;$B69)</f>
        <v>3.87</v>
      </c>
      <c r="W69" s="46" t="n">
        <f aca="false">SUMIFS('Additions (monthly)'!$E$2:$E$106,'Additions (monthly)'!$D$2:$D$106,W$2,'Additions (monthly)'!$B$2:$B$106,"&lt;="&amp;$B69)</f>
        <v>0</v>
      </c>
      <c r="X69" s="46" t="n">
        <f aca="false">SUMIFS('Additions (monthly)'!$E$2:$E$106,'Additions (monthly)'!$D$2:$D$106,X$2,'Additions (monthly)'!$B$2:$B$106,"&lt;="&amp;$B69)</f>
        <v>0</v>
      </c>
      <c r="Y69" s="46" t="n">
        <f aca="false">SUMIFS('Additions (monthly)'!$E$2:$E$106,'Additions (monthly)'!$D$2:$D$106,Y$2,'Additions (monthly)'!$B$2:$B$106,"&lt;="&amp;$B69)</f>
        <v>5</v>
      </c>
      <c r="Z69" s="46" t="n">
        <f aca="false">SUMIFS('Additions (monthly)'!$E$2:$E$106,'Additions (monthly)'!$D$2:$D$106,Z$2,'Additions (monthly)'!$B$2:$B$106,"&lt;="&amp;$B69)</f>
        <v>7.2</v>
      </c>
      <c r="AA69" s="46" t="n">
        <f aca="false">SUMIFS('Additions (monthly)'!$E$2:$E$106,'Additions (monthly)'!$D$2:$D$106,AA$2,'Additions (monthly)'!$B$2:$B$106,"&lt;="&amp;$B69)</f>
        <v>3.7</v>
      </c>
      <c r="AB69" s="46" t="n">
        <f aca="false">SUMIFS('Additions (monthly)'!$E$2:$E$106,'Additions (monthly)'!$D$2:$D$106,AB$2,'Additions (monthly)'!$B$2:$B$106,"&lt;="&amp;$B69)</f>
        <v>16.95</v>
      </c>
      <c r="AC69" s="46" t="n">
        <f aca="false">SUMIFS('Additions (monthly)'!$E$2:$E$106,'Additions (monthly)'!$D$2:$D$106,AC$2,'Additions (monthly)'!$B$2:$B$106,"&lt;="&amp;$B69)</f>
        <v>2</v>
      </c>
      <c r="AD69" s="46" t="n">
        <f aca="false">SUMIFS('Additions (monthly)'!$E$2:$E$106,'Additions (monthly)'!$D$2:$D$106,AD$2,'Additions (monthly)'!$B$2:$B$106,"&lt;="&amp;$B69)</f>
        <v>7.6</v>
      </c>
      <c r="AE69" s="46" t="n">
        <f aca="false">SUMIFS('Additions (monthly)'!$E$2:$E$106,'Additions (monthly)'!$D$2:$D$106,AE$2,'Additions (monthly)'!$B$2:$B$106,"&lt;="&amp;$B69)</f>
        <v>25.7</v>
      </c>
      <c r="AF69" s="46" t="n">
        <f aca="false">SUMIFS('Additions (monthly)'!$E$2:$E$106,'Additions (monthly)'!$D$2:$D$106,AF$2,'Additions (monthly)'!$B$2:$B$106,"&lt;="&amp;$B69)</f>
        <v>0</v>
      </c>
      <c r="AG69" s="46" t="n">
        <f aca="false">SUMIFS('Additions (monthly)'!$E$2:$E$106,'Additions (monthly)'!$D$2:$D$106,AG$2,'Additions (monthly)'!$B$2:$B$106,"&lt;="&amp;$B69)</f>
        <v>0</v>
      </c>
      <c r="AH69" s="46" t="n">
        <f aca="false">SUMIFS('Additions (monthly)'!$E$2:$E$106,'Additions (monthly)'!$D$2:$D$106,AH$2,'Additions (monthly)'!$B$2:$B$106,"&lt;="&amp;$B69)</f>
        <v>0</v>
      </c>
      <c r="AI69" s="46" t="n">
        <f aca="false">SUMIFS('Additions (monthly)'!$E$2:$E$106,'Additions (monthly)'!$D$2:$D$106,AI$2,'Additions (monthly)'!$B$2:$B$106,"&lt;="&amp;$B69)</f>
        <v>0</v>
      </c>
      <c r="AJ69" s="46" t="n">
        <f aca="false">SUMIFS('Additions (monthly)'!$E$2:$E$106,'Additions (monthly)'!$D$2:$D$106,AJ$2,'Additions (monthly)'!$B$2:$B$106,"&lt;="&amp;$B69)</f>
        <v>0</v>
      </c>
      <c r="AK69" s="46" t="n">
        <f aca="false">SUMIFS('Additions (monthly)'!$E$2:$E$106,'Additions (monthly)'!$D$2:$D$106,AK$2,'Additions (monthly)'!$B$2:$B$106,"&lt;="&amp;$B69)</f>
        <v>0</v>
      </c>
      <c r="AL69" s="46" t="n">
        <f aca="false">SUMIFS('Additions (monthly)'!$E$2:$E$106,'Additions (monthly)'!$D$2:$D$106,AL$2,'Additions (monthly)'!$B$2:$B$106,"&lt;="&amp;$B69)</f>
        <v>22.2</v>
      </c>
      <c r="AM69" s="46" t="n">
        <f aca="false">SUMIFS('Additions (monthly)'!$E$2:$E$106,'Additions (monthly)'!$D$2:$D$106,AM$2,'Additions (monthly)'!$B$2:$B$106,"&lt;="&amp;$B69)</f>
        <v>0.3</v>
      </c>
      <c r="AN69" s="46" t="n">
        <f aca="false">SUMIFS('Additions (monthly)'!$E$2:$E$106,'Additions (monthly)'!$D$2:$D$106,AN$2,'Additions (monthly)'!$B$2:$B$106,"&lt;="&amp;$B69)</f>
        <v>4.3</v>
      </c>
      <c r="AO69" s="46" t="n">
        <f aca="false">SUMIFS('Additions (monthly)'!$E$2:$E$106,'Additions (monthly)'!$D$2:$D$106,AO$2,'Additions (monthly)'!$B$2:$B$106,"&lt;="&amp;$B69)</f>
        <v>10.4</v>
      </c>
      <c r="AP69" s="46" t="n">
        <f aca="false">SUMIFS('Additions (monthly)'!$E$2:$E$106,'Additions (monthly)'!$D$2:$D$106,AP$2,'Additions (monthly)'!$B$2:$B$106,"&lt;="&amp;$B69)</f>
        <v>6.9</v>
      </c>
      <c r="AQ69" s="46" t="n">
        <f aca="false">SUMIFS('Additions (monthly)'!$E$2:$E$106,'Additions (monthly)'!$D$2:$D$106,AQ$2,'Additions (monthly)'!$B$2:$B$106,"&lt;="&amp;$B69)</f>
        <v>4.45</v>
      </c>
      <c r="AR69" s="46" t="n">
        <f aca="false">SUMIFS('Additions (monthly)'!$E$2:$E$106,'Additions (monthly)'!$D$2:$D$106,AR$2,'Additions (monthly)'!$B$2:$B$106,"&lt;="&amp;$B69)</f>
        <v>77.1</v>
      </c>
      <c r="AS69" s="46" t="n">
        <f aca="false">SUMIFS('Additions (monthly)'!$E$2:$E$106,'Additions (monthly)'!$D$2:$D$106,AS$2,'Additions (monthly)'!$B$2:$B$106,"&lt;="&amp;$B69)</f>
        <v>0</v>
      </c>
      <c r="AT69" s="46" t="n">
        <f aca="false">SUMIFS('Additions (monthly)'!$E$2:$E$106,'Additions (monthly)'!$D$2:$D$106,AT$2,'Additions (monthly)'!$B$2:$B$106,"&lt;="&amp;$B69)</f>
        <v>0</v>
      </c>
      <c r="AU69" s="46" t="n">
        <f aca="false">SUMIFS('Additions (monthly)'!$E$2:$E$106,'Additions (monthly)'!$D$2:$D$106,AU$2,'Additions (monthly)'!$B$2:$B$106,"&lt;="&amp;$B69)</f>
        <v>9.6</v>
      </c>
      <c r="AV69" s="46" t="n">
        <f aca="false">SUMIFS('Additions (monthly)'!$E$2:$E$106,'Additions (monthly)'!$D$2:$D$106,AV$2,'Additions (monthly)'!$B$2:$B$106,"&lt;="&amp;$B69)</f>
        <v>0</v>
      </c>
      <c r="AW69" s="46" t="n">
        <f aca="false">SUMIFS('Additions (monthly)'!$E$2:$E$106,'Additions (monthly)'!$D$2:$D$106,AW$2,'Additions (monthly)'!$B$2:$B$106,"&lt;="&amp;$B69)</f>
        <v>0</v>
      </c>
      <c r="AX69" s="46" t="n">
        <f aca="false">SUMIFS('Additions (monthly)'!$E$2:$E$106,'Additions (monthly)'!$D$2:$D$106,AX$2,'Additions (monthly)'!$B$2:$B$106,"&lt;="&amp;$B69)</f>
        <v>11.8</v>
      </c>
      <c r="AY69" s="46" t="n">
        <f aca="false">SUMIFS('Additions (monthly)'!$E$2:$E$106,'Additions (monthly)'!$D$2:$D$106,AY$2,'Additions (monthly)'!$B$2:$B$106,"&lt;="&amp;$B69)</f>
        <v>5.3</v>
      </c>
      <c r="AZ69" s="46" t="n">
        <f aca="false">SUMIFS('Additions (monthly)'!$E$2:$E$106,'Additions (monthly)'!$D$2:$D$106,AZ$2,'Additions (monthly)'!$B$2:$B$106,"&lt;="&amp;$B69)</f>
        <v>0</v>
      </c>
      <c r="BA69" s="46" t="n">
        <f aca="false">SUMIFS('Additions (monthly)'!$E$2:$E$106,'Additions (monthly)'!$D$2:$D$106,BA$2,'Additions (monthly)'!$B$2:$B$106,"&lt;="&amp;$B69)</f>
        <v>0</v>
      </c>
      <c r="BB69" s="46" t="n">
        <f aca="false">SUMIFS('Additions (monthly)'!$E$2:$E$106,'Additions (monthly)'!$D$2:$D$106,BB$2,'Additions (monthly)'!$B$2:$B$106,"&lt;="&amp;$B69)</f>
        <v>0</v>
      </c>
      <c r="BC69" s="46" t="n">
        <f aca="false">SUMIFS('Additions (monthly)'!$E$2:$E$106,'Additions (monthly)'!$D$2:$D$106,BC$2,'Additions (monthly)'!$B$2:$B$106,"&lt;="&amp;$B69)</f>
        <v>0</v>
      </c>
      <c r="BD69" s="46" t="n">
        <f aca="false">SUMIFS('Additions (monthly)'!$E$2:$E$106,'Additions (monthly)'!$D$2:$D$106,BD$2,'Additions (monthly)'!$B$2:$B$106,"&lt;="&amp;$B69)</f>
        <v>0</v>
      </c>
      <c r="BE69" s="46" t="n">
        <f aca="false">SUMIFS('Additions (monthly)'!$E$2:$E$106,'Additions (monthly)'!$D$2:$D$106,BE$2,'Additions (monthly)'!$B$2:$B$106,"&lt;="&amp;$B69)</f>
        <v>0</v>
      </c>
      <c r="BF69" s="46" t="n">
        <f aca="false">SUMIFS('Additions (monthly)'!$E$2:$E$106,'Additions (monthly)'!$D$2:$D$106,BF$2,'Additions (monthly)'!$B$2:$B$106,"&lt;="&amp;$B69)</f>
        <v>0</v>
      </c>
      <c r="BG69" s="46" t="n">
        <f aca="false">SUMIFS('Additions (monthly)'!$E$2:$E$106,'Additions (monthly)'!$D$2:$D$106,BG$2,'Additions (monthly)'!$B$2:$B$106,"&lt;="&amp;$B69)</f>
        <v>0</v>
      </c>
      <c r="BH69" s="46" t="n">
        <f aca="false">SUMIFS('Additions (monthly)'!$E$2:$E$106,'Additions (monthly)'!$D$2:$D$106,BH$2,'Additions (monthly)'!$B$2:$B$106,"&lt;="&amp;$B69)</f>
        <v>0</v>
      </c>
      <c r="BI69" s="46" t="n">
        <f aca="false">SUMIFS('Additions (monthly)'!$E$2:$E$106,'Additions (monthly)'!$D$2:$D$106,BI$2,'Additions (monthly)'!$B$2:$B$106,"&lt;="&amp;$B69)</f>
        <v>6.7</v>
      </c>
    </row>
    <row r="70" customFormat="false" ht="15" hidden="false" customHeight="false" outlineLevel="0" collapsed="false">
      <c r="A70" s="44" t="n">
        <v>42217</v>
      </c>
      <c r="B70" s="45" t="n">
        <v>201508</v>
      </c>
      <c r="C70" s="42" t="n">
        <f aca="false">SUMIFS('Additions (monthly)'!$E$2:$E$106,'Additions (monthly)'!$B$2:$B$106,"&lt;="&amp;$B70)</f>
        <v>300.27</v>
      </c>
      <c r="D70" s="46" t="n">
        <f aca="false">SUMIFS('Additions (monthly)'!$E$2:$E$106,'Additions (monthly)'!$D$2:$D$106,D$2,'Additions (monthly)'!$B$2:$B$106,"&lt;="&amp;$B70)</f>
        <v>7.9</v>
      </c>
      <c r="E70" s="46" t="n">
        <f aca="false">SUMIFS('Additions (monthly)'!$E$2:$E$106,'Additions (monthly)'!$D$2:$D$106,E$2,'Additions (monthly)'!$B$2:$B$106,"&lt;="&amp;$B70)</f>
        <v>8.4</v>
      </c>
      <c r="F70" s="46" t="n">
        <f aca="false">SUMIFS('Additions (monthly)'!$E$2:$E$106,'Additions (monthly)'!$D$2:$D$106,F$2,'Additions (monthly)'!$B$2:$B$106,"&lt;="&amp;$B70)</f>
        <v>4.7</v>
      </c>
      <c r="G70" s="46" t="n">
        <f aca="false">SUMIFS('Additions (monthly)'!$E$2:$E$106,'Additions (monthly)'!$D$2:$D$106,G$2,'Additions (monthly)'!$B$2:$B$106,"&lt;="&amp;$B70)</f>
        <v>4.5</v>
      </c>
      <c r="H70" s="46" t="n">
        <f aca="false">SUMIFS('Additions (monthly)'!$E$2:$E$106,'Additions (monthly)'!$D$2:$D$106,H$2,'Additions (monthly)'!$B$2:$B$106,"&lt;="&amp;$B70)</f>
        <v>5.2</v>
      </c>
      <c r="I70" s="46" t="n">
        <f aca="false">SUMIFS('Additions (monthly)'!$E$2:$E$106,'Additions (monthly)'!$D$2:$D$106,I$2,'Additions (monthly)'!$B$2:$B$106,"&lt;="&amp;$B70)</f>
        <v>0</v>
      </c>
      <c r="J70" s="46" t="n">
        <f aca="false">SUMIFS('Additions (monthly)'!$E$2:$E$106,'Additions (monthly)'!$D$2:$D$106,J$2,'Additions (monthly)'!$B$2:$B$106,"&lt;="&amp;$B70)</f>
        <v>3.7</v>
      </c>
      <c r="K70" s="46" t="n">
        <f aca="false">SUMIFS('Additions (monthly)'!$E$2:$E$106,'Additions (monthly)'!$D$2:$D$106,K$2,'Additions (monthly)'!$B$2:$B$106,"&lt;="&amp;$B70)</f>
        <v>0</v>
      </c>
      <c r="L70" s="46" t="n">
        <f aca="false">SUMIFS('Additions (monthly)'!$E$2:$E$106,'Additions (monthly)'!$D$2:$D$106,L$2,'Additions (monthly)'!$B$2:$B$106,"&lt;="&amp;$B70)</f>
        <v>0</v>
      </c>
      <c r="M70" s="46" t="n">
        <f aca="false">SUMIFS('Additions (monthly)'!$E$2:$E$106,'Additions (monthly)'!$D$2:$D$106,M$2,'Additions (monthly)'!$B$2:$B$106,"&lt;="&amp;$B70)</f>
        <v>0</v>
      </c>
      <c r="N70" s="46" t="n">
        <f aca="false">SUMIFS('Additions (monthly)'!$E$2:$E$106,'Additions (monthly)'!$D$2:$D$106,N$2,'Additions (monthly)'!$B$2:$B$106,"&lt;="&amp;$B70)</f>
        <v>14.2</v>
      </c>
      <c r="O70" s="46" t="n">
        <f aca="false">SUMIFS('Additions (monthly)'!$E$2:$E$106,'Additions (monthly)'!$D$2:$D$106,O$2,'Additions (monthly)'!$B$2:$B$106,"&lt;="&amp;$B70)</f>
        <v>4.9</v>
      </c>
      <c r="P70" s="46" t="n">
        <f aca="false">SUMIFS('Additions (monthly)'!$E$2:$E$106,'Additions (monthly)'!$D$2:$D$106,P$2,'Additions (monthly)'!$B$2:$B$106,"&lt;="&amp;$B70)</f>
        <v>0</v>
      </c>
      <c r="Q70" s="46" t="n">
        <f aca="false">SUMIFS('Additions (monthly)'!$E$2:$E$106,'Additions (monthly)'!$D$2:$D$106,Q$2,'Additions (monthly)'!$B$2:$B$106,"&lt;="&amp;$B70)</f>
        <v>8.5</v>
      </c>
      <c r="R70" s="46" t="n">
        <f aca="false">SUMIFS('Additions (monthly)'!$E$2:$E$106,'Additions (monthly)'!$D$2:$D$106,R$2,'Additions (monthly)'!$B$2:$B$106,"&lt;="&amp;$B70)</f>
        <v>0</v>
      </c>
      <c r="S70" s="46" t="n">
        <f aca="false">SUMIFS('Additions (monthly)'!$E$2:$E$106,'Additions (monthly)'!$D$2:$D$106,S$2,'Additions (monthly)'!$B$2:$B$106,"&lt;="&amp;$B70)</f>
        <v>7.2</v>
      </c>
      <c r="T70" s="46" t="n">
        <f aca="false">SUMIFS('Additions (monthly)'!$E$2:$E$106,'Additions (monthly)'!$D$2:$D$106,T$2,'Additions (monthly)'!$B$2:$B$106,"&lt;="&amp;$B70)</f>
        <v>0</v>
      </c>
      <c r="U70" s="46" t="n">
        <f aca="false">SUMIFS('Additions (monthly)'!$E$2:$E$106,'Additions (monthly)'!$D$2:$D$106,U$2,'Additions (monthly)'!$B$2:$B$106,"&lt;="&amp;$B70)</f>
        <v>0</v>
      </c>
      <c r="V70" s="46" t="n">
        <f aca="false">SUMIFS('Additions (monthly)'!$E$2:$E$106,'Additions (monthly)'!$D$2:$D$106,V$2,'Additions (monthly)'!$B$2:$B$106,"&lt;="&amp;$B70)</f>
        <v>3.87</v>
      </c>
      <c r="W70" s="46" t="n">
        <f aca="false">SUMIFS('Additions (monthly)'!$E$2:$E$106,'Additions (monthly)'!$D$2:$D$106,W$2,'Additions (monthly)'!$B$2:$B$106,"&lt;="&amp;$B70)</f>
        <v>0</v>
      </c>
      <c r="X70" s="46" t="n">
        <f aca="false">SUMIFS('Additions (monthly)'!$E$2:$E$106,'Additions (monthly)'!$D$2:$D$106,X$2,'Additions (monthly)'!$B$2:$B$106,"&lt;="&amp;$B70)</f>
        <v>0</v>
      </c>
      <c r="Y70" s="46" t="n">
        <f aca="false">SUMIFS('Additions (monthly)'!$E$2:$E$106,'Additions (monthly)'!$D$2:$D$106,Y$2,'Additions (monthly)'!$B$2:$B$106,"&lt;="&amp;$B70)</f>
        <v>5</v>
      </c>
      <c r="Z70" s="46" t="n">
        <f aca="false">SUMIFS('Additions (monthly)'!$E$2:$E$106,'Additions (monthly)'!$D$2:$D$106,Z$2,'Additions (monthly)'!$B$2:$B$106,"&lt;="&amp;$B70)</f>
        <v>7.2</v>
      </c>
      <c r="AA70" s="46" t="n">
        <f aca="false">SUMIFS('Additions (monthly)'!$E$2:$E$106,'Additions (monthly)'!$D$2:$D$106,AA$2,'Additions (monthly)'!$B$2:$B$106,"&lt;="&amp;$B70)</f>
        <v>3.7</v>
      </c>
      <c r="AB70" s="46" t="n">
        <f aca="false">SUMIFS('Additions (monthly)'!$E$2:$E$106,'Additions (monthly)'!$D$2:$D$106,AB$2,'Additions (monthly)'!$B$2:$B$106,"&lt;="&amp;$B70)</f>
        <v>16.95</v>
      </c>
      <c r="AC70" s="46" t="n">
        <f aca="false">SUMIFS('Additions (monthly)'!$E$2:$E$106,'Additions (monthly)'!$D$2:$D$106,AC$2,'Additions (monthly)'!$B$2:$B$106,"&lt;="&amp;$B70)</f>
        <v>2</v>
      </c>
      <c r="AD70" s="46" t="n">
        <f aca="false">SUMIFS('Additions (monthly)'!$E$2:$E$106,'Additions (monthly)'!$D$2:$D$106,AD$2,'Additions (monthly)'!$B$2:$B$106,"&lt;="&amp;$B70)</f>
        <v>7.6</v>
      </c>
      <c r="AE70" s="46" t="n">
        <f aca="false">SUMIFS('Additions (monthly)'!$E$2:$E$106,'Additions (monthly)'!$D$2:$D$106,AE$2,'Additions (monthly)'!$B$2:$B$106,"&lt;="&amp;$B70)</f>
        <v>25.7</v>
      </c>
      <c r="AF70" s="46" t="n">
        <f aca="false">SUMIFS('Additions (monthly)'!$E$2:$E$106,'Additions (monthly)'!$D$2:$D$106,AF$2,'Additions (monthly)'!$B$2:$B$106,"&lt;="&amp;$B70)</f>
        <v>0</v>
      </c>
      <c r="AG70" s="46" t="n">
        <f aca="false">SUMIFS('Additions (monthly)'!$E$2:$E$106,'Additions (monthly)'!$D$2:$D$106,AG$2,'Additions (monthly)'!$B$2:$B$106,"&lt;="&amp;$B70)</f>
        <v>0</v>
      </c>
      <c r="AH70" s="46" t="n">
        <f aca="false">SUMIFS('Additions (monthly)'!$E$2:$E$106,'Additions (monthly)'!$D$2:$D$106,AH$2,'Additions (monthly)'!$B$2:$B$106,"&lt;="&amp;$B70)</f>
        <v>0</v>
      </c>
      <c r="AI70" s="46" t="n">
        <f aca="false">SUMIFS('Additions (monthly)'!$E$2:$E$106,'Additions (monthly)'!$D$2:$D$106,AI$2,'Additions (monthly)'!$B$2:$B$106,"&lt;="&amp;$B70)</f>
        <v>0</v>
      </c>
      <c r="AJ70" s="46" t="n">
        <f aca="false">SUMIFS('Additions (monthly)'!$E$2:$E$106,'Additions (monthly)'!$D$2:$D$106,AJ$2,'Additions (monthly)'!$B$2:$B$106,"&lt;="&amp;$B70)</f>
        <v>0</v>
      </c>
      <c r="AK70" s="46" t="n">
        <f aca="false">SUMIFS('Additions (monthly)'!$E$2:$E$106,'Additions (monthly)'!$D$2:$D$106,AK$2,'Additions (monthly)'!$B$2:$B$106,"&lt;="&amp;$B70)</f>
        <v>0</v>
      </c>
      <c r="AL70" s="46" t="n">
        <f aca="false">SUMIFS('Additions (monthly)'!$E$2:$E$106,'Additions (monthly)'!$D$2:$D$106,AL$2,'Additions (monthly)'!$B$2:$B$106,"&lt;="&amp;$B70)</f>
        <v>22.2</v>
      </c>
      <c r="AM70" s="46" t="n">
        <f aca="false">SUMIFS('Additions (monthly)'!$E$2:$E$106,'Additions (monthly)'!$D$2:$D$106,AM$2,'Additions (monthly)'!$B$2:$B$106,"&lt;="&amp;$B70)</f>
        <v>0.3</v>
      </c>
      <c r="AN70" s="46" t="n">
        <f aca="false">SUMIFS('Additions (monthly)'!$E$2:$E$106,'Additions (monthly)'!$D$2:$D$106,AN$2,'Additions (monthly)'!$B$2:$B$106,"&lt;="&amp;$B70)</f>
        <v>4.3</v>
      </c>
      <c r="AO70" s="46" t="n">
        <f aca="false">SUMIFS('Additions (monthly)'!$E$2:$E$106,'Additions (monthly)'!$D$2:$D$106,AO$2,'Additions (monthly)'!$B$2:$B$106,"&lt;="&amp;$B70)</f>
        <v>10.4</v>
      </c>
      <c r="AP70" s="46" t="n">
        <f aca="false">SUMIFS('Additions (monthly)'!$E$2:$E$106,'Additions (monthly)'!$D$2:$D$106,AP$2,'Additions (monthly)'!$B$2:$B$106,"&lt;="&amp;$B70)</f>
        <v>6.9</v>
      </c>
      <c r="AQ70" s="46" t="n">
        <f aca="false">SUMIFS('Additions (monthly)'!$E$2:$E$106,'Additions (monthly)'!$D$2:$D$106,AQ$2,'Additions (monthly)'!$B$2:$B$106,"&lt;="&amp;$B70)</f>
        <v>4.45</v>
      </c>
      <c r="AR70" s="46" t="n">
        <f aca="false">SUMIFS('Additions (monthly)'!$E$2:$E$106,'Additions (monthly)'!$D$2:$D$106,AR$2,'Additions (monthly)'!$B$2:$B$106,"&lt;="&amp;$B70)</f>
        <v>77.1</v>
      </c>
      <c r="AS70" s="46" t="n">
        <f aca="false">SUMIFS('Additions (monthly)'!$E$2:$E$106,'Additions (monthly)'!$D$2:$D$106,AS$2,'Additions (monthly)'!$B$2:$B$106,"&lt;="&amp;$B70)</f>
        <v>0</v>
      </c>
      <c r="AT70" s="46" t="n">
        <f aca="false">SUMIFS('Additions (monthly)'!$E$2:$E$106,'Additions (monthly)'!$D$2:$D$106,AT$2,'Additions (monthly)'!$B$2:$B$106,"&lt;="&amp;$B70)</f>
        <v>0</v>
      </c>
      <c r="AU70" s="46" t="n">
        <f aca="false">SUMIFS('Additions (monthly)'!$E$2:$E$106,'Additions (monthly)'!$D$2:$D$106,AU$2,'Additions (monthly)'!$B$2:$B$106,"&lt;="&amp;$B70)</f>
        <v>9.6</v>
      </c>
      <c r="AV70" s="46" t="n">
        <f aca="false">SUMIFS('Additions (monthly)'!$E$2:$E$106,'Additions (monthly)'!$D$2:$D$106,AV$2,'Additions (monthly)'!$B$2:$B$106,"&lt;="&amp;$B70)</f>
        <v>0</v>
      </c>
      <c r="AW70" s="46" t="n">
        <f aca="false">SUMIFS('Additions (monthly)'!$E$2:$E$106,'Additions (monthly)'!$D$2:$D$106,AW$2,'Additions (monthly)'!$B$2:$B$106,"&lt;="&amp;$B70)</f>
        <v>0</v>
      </c>
      <c r="AX70" s="46" t="n">
        <f aca="false">SUMIFS('Additions (monthly)'!$E$2:$E$106,'Additions (monthly)'!$D$2:$D$106,AX$2,'Additions (monthly)'!$B$2:$B$106,"&lt;="&amp;$B70)</f>
        <v>11.8</v>
      </c>
      <c r="AY70" s="46" t="n">
        <f aca="false">SUMIFS('Additions (monthly)'!$E$2:$E$106,'Additions (monthly)'!$D$2:$D$106,AY$2,'Additions (monthly)'!$B$2:$B$106,"&lt;="&amp;$B70)</f>
        <v>5.3</v>
      </c>
      <c r="AZ70" s="46" t="n">
        <f aca="false">SUMIFS('Additions (monthly)'!$E$2:$E$106,'Additions (monthly)'!$D$2:$D$106,AZ$2,'Additions (monthly)'!$B$2:$B$106,"&lt;="&amp;$B70)</f>
        <v>0</v>
      </c>
      <c r="BA70" s="46" t="n">
        <f aca="false">SUMIFS('Additions (monthly)'!$E$2:$E$106,'Additions (monthly)'!$D$2:$D$106,BA$2,'Additions (monthly)'!$B$2:$B$106,"&lt;="&amp;$B70)</f>
        <v>0</v>
      </c>
      <c r="BB70" s="46" t="n">
        <f aca="false">SUMIFS('Additions (monthly)'!$E$2:$E$106,'Additions (monthly)'!$D$2:$D$106,BB$2,'Additions (monthly)'!$B$2:$B$106,"&lt;="&amp;$B70)</f>
        <v>0</v>
      </c>
      <c r="BC70" s="46" t="n">
        <f aca="false">SUMIFS('Additions (monthly)'!$E$2:$E$106,'Additions (monthly)'!$D$2:$D$106,BC$2,'Additions (monthly)'!$B$2:$B$106,"&lt;="&amp;$B70)</f>
        <v>0</v>
      </c>
      <c r="BD70" s="46" t="n">
        <f aca="false">SUMIFS('Additions (monthly)'!$E$2:$E$106,'Additions (monthly)'!$D$2:$D$106,BD$2,'Additions (monthly)'!$B$2:$B$106,"&lt;="&amp;$B70)</f>
        <v>0</v>
      </c>
      <c r="BE70" s="46" t="n">
        <f aca="false">SUMIFS('Additions (monthly)'!$E$2:$E$106,'Additions (monthly)'!$D$2:$D$106,BE$2,'Additions (monthly)'!$B$2:$B$106,"&lt;="&amp;$B70)</f>
        <v>0</v>
      </c>
      <c r="BF70" s="46" t="n">
        <f aca="false">SUMIFS('Additions (monthly)'!$E$2:$E$106,'Additions (monthly)'!$D$2:$D$106,BF$2,'Additions (monthly)'!$B$2:$B$106,"&lt;="&amp;$B70)</f>
        <v>0</v>
      </c>
      <c r="BG70" s="46" t="n">
        <f aca="false">SUMIFS('Additions (monthly)'!$E$2:$E$106,'Additions (monthly)'!$D$2:$D$106,BG$2,'Additions (monthly)'!$B$2:$B$106,"&lt;="&amp;$B70)</f>
        <v>0</v>
      </c>
      <c r="BH70" s="46" t="n">
        <f aca="false">SUMIFS('Additions (monthly)'!$E$2:$E$106,'Additions (monthly)'!$D$2:$D$106,BH$2,'Additions (monthly)'!$B$2:$B$106,"&lt;="&amp;$B70)</f>
        <v>0</v>
      </c>
      <c r="BI70" s="46" t="n">
        <f aca="false">SUMIFS('Additions (monthly)'!$E$2:$E$106,'Additions (monthly)'!$D$2:$D$106,BI$2,'Additions (monthly)'!$B$2:$B$106,"&lt;="&amp;$B70)</f>
        <v>6.7</v>
      </c>
    </row>
    <row r="71" customFormat="false" ht="15" hidden="false" customHeight="false" outlineLevel="0" collapsed="false">
      <c r="A71" s="44" t="n">
        <v>42248</v>
      </c>
      <c r="B71" s="45" t="n">
        <v>201509</v>
      </c>
      <c r="C71" s="42" t="n">
        <f aca="false">SUMIFS('Additions (monthly)'!$E$2:$E$106,'Additions (monthly)'!$B$2:$B$106,"&lt;="&amp;$B71)</f>
        <v>304.17</v>
      </c>
      <c r="D71" s="46" t="n">
        <f aca="false">SUMIFS('Additions (monthly)'!$E$2:$E$106,'Additions (monthly)'!$D$2:$D$106,D$2,'Additions (monthly)'!$B$2:$B$106,"&lt;="&amp;$B71)</f>
        <v>7.9</v>
      </c>
      <c r="E71" s="46" t="n">
        <f aca="false">SUMIFS('Additions (monthly)'!$E$2:$E$106,'Additions (monthly)'!$D$2:$D$106,E$2,'Additions (monthly)'!$B$2:$B$106,"&lt;="&amp;$B71)</f>
        <v>8.4</v>
      </c>
      <c r="F71" s="46" t="n">
        <f aca="false">SUMIFS('Additions (monthly)'!$E$2:$E$106,'Additions (monthly)'!$D$2:$D$106,F$2,'Additions (monthly)'!$B$2:$B$106,"&lt;="&amp;$B71)</f>
        <v>4.7</v>
      </c>
      <c r="G71" s="46" t="n">
        <f aca="false">SUMIFS('Additions (monthly)'!$E$2:$E$106,'Additions (monthly)'!$D$2:$D$106,G$2,'Additions (monthly)'!$B$2:$B$106,"&lt;="&amp;$B71)</f>
        <v>4.5</v>
      </c>
      <c r="H71" s="46" t="n">
        <f aca="false">SUMIFS('Additions (monthly)'!$E$2:$E$106,'Additions (monthly)'!$D$2:$D$106,H$2,'Additions (monthly)'!$B$2:$B$106,"&lt;="&amp;$B71)</f>
        <v>5.2</v>
      </c>
      <c r="I71" s="46" t="n">
        <f aca="false">SUMIFS('Additions (monthly)'!$E$2:$E$106,'Additions (monthly)'!$D$2:$D$106,I$2,'Additions (monthly)'!$B$2:$B$106,"&lt;="&amp;$B71)</f>
        <v>0</v>
      </c>
      <c r="J71" s="46" t="n">
        <f aca="false">SUMIFS('Additions (monthly)'!$E$2:$E$106,'Additions (monthly)'!$D$2:$D$106,J$2,'Additions (monthly)'!$B$2:$B$106,"&lt;="&amp;$B71)</f>
        <v>3.7</v>
      </c>
      <c r="K71" s="46" t="n">
        <f aca="false">SUMIFS('Additions (monthly)'!$E$2:$E$106,'Additions (monthly)'!$D$2:$D$106,K$2,'Additions (monthly)'!$B$2:$B$106,"&lt;="&amp;$B71)</f>
        <v>3.9</v>
      </c>
      <c r="L71" s="46" t="n">
        <f aca="false">SUMIFS('Additions (monthly)'!$E$2:$E$106,'Additions (monthly)'!$D$2:$D$106,L$2,'Additions (monthly)'!$B$2:$B$106,"&lt;="&amp;$B71)</f>
        <v>0</v>
      </c>
      <c r="M71" s="46" t="n">
        <f aca="false">SUMIFS('Additions (monthly)'!$E$2:$E$106,'Additions (monthly)'!$D$2:$D$106,M$2,'Additions (monthly)'!$B$2:$B$106,"&lt;="&amp;$B71)</f>
        <v>0</v>
      </c>
      <c r="N71" s="46" t="n">
        <f aca="false">SUMIFS('Additions (monthly)'!$E$2:$E$106,'Additions (monthly)'!$D$2:$D$106,N$2,'Additions (monthly)'!$B$2:$B$106,"&lt;="&amp;$B71)</f>
        <v>14.2</v>
      </c>
      <c r="O71" s="46" t="n">
        <f aca="false">SUMIFS('Additions (monthly)'!$E$2:$E$106,'Additions (monthly)'!$D$2:$D$106,O$2,'Additions (monthly)'!$B$2:$B$106,"&lt;="&amp;$B71)</f>
        <v>4.9</v>
      </c>
      <c r="P71" s="46" t="n">
        <f aca="false">SUMIFS('Additions (monthly)'!$E$2:$E$106,'Additions (monthly)'!$D$2:$D$106,P$2,'Additions (monthly)'!$B$2:$B$106,"&lt;="&amp;$B71)</f>
        <v>0</v>
      </c>
      <c r="Q71" s="46" t="n">
        <f aca="false">SUMIFS('Additions (monthly)'!$E$2:$E$106,'Additions (monthly)'!$D$2:$D$106,Q$2,'Additions (monthly)'!$B$2:$B$106,"&lt;="&amp;$B71)</f>
        <v>8.5</v>
      </c>
      <c r="R71" s="46" t="n">
        <f aca="false">SUMIFS('Additions (monthly)'!$E$2:$E$106,'Additions (monthly)'!$D$2:$D$106,R$2,'Additions (monthly)'!$B$2:$B$106,"&lt;="&amp;$B71)</f>
        <v>0</v>
      </c>
      <c r="S71" s="46" t="n">
        <f aca="false">SUMIFS('Additions (monthly)'!$E$2:$E$106,'Additions (monthly)'!$D$2:$D$106,S$2,'Additions (monthly)'!$B$2:$B$106,"&lt;="&amp;$B71)</f>
        <v>7.2</v>
      </c>
      <c r="T71" s="46" t="n">
        <f aca="false">SUMIFS('Additions (monthly)'!$E$2:$E$106,'Additions (monthly)'!$D$2:$D$106,T$2,'Additions (monthly)'!$B$2:$B$106,"&lt;="&amp;$B71)</f>
        <v>0</v>
      </c>
      <c r="U71" s="46" t="n">
        <f aca="false">SUMIFS('Additions (monthly)'!$E$2:$E$106,'Additions (monthly)'!$D$2:$D$106,U$2,'Additions (monthly)'!$B$2:$B$106,"&lt;="&amp;$B71)</f>
        <v>0</v>
      </c>
      <c r="V71" s="46" t="n">
        <f aca="false">SUMIFS('Additions (monthly)'!$E$2:$E$106,'Additions (monthly)'!$D$2:$D$106,V$2,'Additions (monthly)'!$B$2:$B$106,"&lt;="&amp;$B71)</f>
        <v>3.87</v>
      </c>
      <c r="W71" s="46" t="n">
        <f aca="false">SUMIFS('Additions (monthly)'!$E$2:$E$106,'Additions (monthly)'!$D$2:$D$106,W$2,'Additions (monthly)'!$B$2:$B$106,"&lt;="&amp;$B71)</f>
        <v>0</v>
      </c>
      <c r="X71" s="46" t="n">
        <f aca="false">SUMIFS('Additions (monthly)'!$E$2:$E$106,'Additions (monthly)'!$D$2:$D$106,X$2,'Additions (monthly)'!$B$2:$B$106,"&lt;="&amp;$B71)</f>
        <v>0</v>
      </c>
      <c r="Y71" s="46" t="n">
        <f aca="false">SUMIFS('Additions (monthly)'!$E$2:$E$106,'Additions (monthly)'!$D$2:$D$106,Y$2,'Additions (monthly)'!$B$2:$B$106,"&lt;="&amp;$B71)</f>
        <v>5</v>
      </c>
      <c r="Z71" s="46" t="n">
        <f aca="false">SUMIFS('Additions (monthly)'!$E$2:$E$106,'Additions (monthly)'!$D$2:$D$106,Z$2,'Additions (monthly)'!$B$2:$B$106,"&lt;="&amp;$B71)</f>
        <v>7.2</v>
      </c>
      <c r="AA71" s="46" t="n">
        <f aca="false">SUMIFS('Additions (monthly)'!$E$2:$E$106,'Additions (monthly)'!$D$2:$D$106,AA$2,'Additions (monthly)'!$B$2:$B$106,"&lt;="&amp;$B71)</f>
        <v>3.7</v>
      </c>
      <c r="AB71" s="46" t="n">
        <f aca="false">SUMIFS('Additions (monthly)'!$E$2:$E$106,'Additions (monthly)'!$D$2:$D$106,AB$2,'Additions (monthly)'!$B$2:$B$106,"&lt;="&amp;$B71)</f>
        <v>16.95</v>
      </c>
      <c r="AC71" s="46" t="n">
        <f aca="false">SUMIFS('Additions (monthly)'!$E$2:$E$106,'Additions (monthly)'!$D$2:$D$106,AC$2,'Additions (monthly)'!$B$2:$B$106,"&lt;="&amp;$B71)</f>
        <v>2</v>
      </c>
      <c r="AD71" s="46" t="n">
        <f aca="false">SUMIFS('Additions (monthly)'!$E$2:$E$106,'Additions (monthly)'!$D$2:$D$106,AD$2,'Additions (monthly)'!$B$2:$B$106,"&lt;="&amp;$B71)</f>
        <v>7.6</v>
      </c>
      <c r="AE71" s="46" t="n">
        <f aca="false">SUMIFS('Additions (monthly)'!$E$2:$E$106,'Additions (monthly)'!$D$2:$D$106,AE$2,'Additions (monthly)'!$B$2:$B$106,"&lt;="&amp;$B71)</f>
        <v>25.7</v>
      </c>
      <c r="AF71" s="46" t="n">
        <f aca="false">SUMIFS('Additions (monthly)'!$E$2:$E$106,'Additions (monthly)'!$D$2:$D$106,AF$2,'Additions (monthly)'!$B$2:$B$106,"&lt;="&amp;$B71)</f>
        <v>0</v>
      </c>
      <c r="AG71" s="46" t="n">
        <f aca="false">SUMIFS('Additions (monthly)'!$E$2:$E$106,'Additions (monthly)'!$D$2:$D$106,AG$2,'Additions (monthly)'!$B$2:$B$106,"&lt;="&amp;$B71)</f>
        <v>0</v>
      </c>
      <c r="AH71" s="46" t="n">
        <f aca="false">SUMIFS('Additions (monthly)'!$E$2:$E$106,'Additions (monthly)'!$D$2:$D$106,AH$2,'Additions (monthly)'!$B$2:$B$106,"&lt;="&amp;$B71)</f>
        <v>0</v>
      </c>
      <c r="AI71" s="46" t="n">
        <f aca="false">SUMIFS('Additions (monthly)'!$E$2:$E$106,'Additions (monthly)'!$D$2:$D$106,AI$2,'Additions (monthly)'!$B$2:$B$106,"&lt;="&amp;$B71)</f>
        <v>0</v>
      </c>
      <c r="AJ71" s="46" t="n">
        <f aca="false">SUMIFS('Additions (monthly)'!$E$2:$E$106,'Additions (monthly)'!$D$2:$D$106,AJ$2,'Additions (monthly)'!$B$2:$B$106,"&lt;="&amp;$B71)</f>
        <v>0</v>
      </c>
      <c r="AK71" s="46" t="n">
        <f aca="false">SUMIFS('Additions (monthly)'!$E$2:$E$106,'Additions (monthly)'!$D$2:$D$106,AK$2,'Additions (monthly)'!$B$2:$B$106,"&lt;="&amp;$B71)</f>
        <v>0</v>
      </c>
      <c r="AL71" s="46" t="n">
        <f aca="false">SUMIFS('Additions (monthly)'!$E$2:$E$106,'Additions (monthly)'!$D$2:$D$106,AL$2,'Additions (monthly)'!$B$2:$B$106,"&lt;="&amp;$B71)</f>
        <v>22.2</v>
      </c>
      <c r="AM71" s="46" t="n">
        <f aca="false">SUMIFS('Additions (monthly)'!$E$2:$E$106,'Additions (monthly)'!$D$2:$D$106,AM$2,'Additions (monthly)'!$B$2:$B$106,"&lt;="&amp;$B71)</f>
        <v>0.3</v>
      </c>
      <c r="AN71" s="46" t="n">
        <f aca="false">SUMIFS('Additions (monthly)'!$E$2:$E$106,'Additions (monthly)'!$D$2:$D$106,AN$2,'Additions (monthly)'!$B$2:$B$106,"&lt;="&amp;$B71)</f>
        <v>4.3</v>
      </c>
      <c r="AO71" s="46" t="n">
        <f aca="false">SUMIFS('Additions (monthly)'!$E$2:$E$106,'Additions (monthly)'!$D$2:$D$106,AO$2,'Additions (monthly)'!$B$2:$B$106,"&lt;="&amp;$B71)</f>
        <v>10.4</v>
      </c>
      <c r="AP71" s="46" t="n">
        <f aca="false">SUMIFS('Additions (monthly)'!$E$2:$E$106,'Additions (monthly)'!$D$2:$D$106,AP$2,'Additions (monthly)'!$B$2:$B$106,"&lt;="&amp;$B71)</f>
        <v>6.9</v>
      </c>
      <c r="AQ71" s="46" t="n">
        <f aca="false">SUMIFS('Additions (monthly)'!$E$2:$E$106,'Additions (monthly)'!$D$2:$D$106,AQ$2,'Additions (monthly)'!$B$2:$B$106,"&lt;="&amp;$B71)</f>
        <v>4.45</v>
      </c>
      <c r="AR71" s="46" t="n">
        <f aca="false">SUMIFS('Additions (monthly)'!$E$2:$E$106,'Additions (monthly)'!$D$2:$D$106,AR$2,'Additions (monthly)'!$B$2:$B$106,"&lt;="&amp;$B71)</f>
        <v>77.1</v>
      </c>
      <c r="AS71" s="46" t="n">
        <f aca="false">SUMIFS('Additions (monthly)'!$E$2:$E$106,'Additions (monthly)'!$D$2:$D$106,AS$2,'Additions (monthly)'!$B$2:$B$106,"&lt;="&amp;$B71)</f>
        <v>0</v>
      </c>
      <c r="AT71" s="46" t="n">
        <f aca="false">SUMIFS('Additions (monthly)'!$E$2:$E$106,'Additions (monthly)'!$D$2:$D$106,AT$2,'Additions (monthly)'!$B$2:$B$106,"&lt;="&amp;$B71)</f>
        <v>0</v>
      </c>
      <c r="AU71" s="46" t="n">
        <f aca="false">SUMIFS('Additions (monthly)'!$E$2:$E$106,'Additions (monthly)'!$D$2:$D$106,AU$2,'Additions (monthly)'!$B$2:$B$106,"&lt;="&amp;$B71)</f>
        <v>9.6</v>
      </c>
      <c r="AV71" s="46" t="n">
        <f aca="false">SUMIFS('Additions (monthly)'!$E$2:$E$106,'Additions (monthly)'!$D$2:$D$106,AV$2,'Additions (monthly)'!$B$2:$B$106,"&lt;="&amp;$B71)</f>
        <v>0</v>
      </c>
      <c r="AW71" s="46" t="n">
        <f aca="false">SUMIFS('Additions (monthly)'!$E$2:$E$106,'Additions (monthly)'!$D$2:$D$106,AW$2,'Additions (monthly)'!$B$2:$B$106,"&lt;="&amp;$B71)</f>
        <v>0</v>
      </c>
      <c r="AX71" s="46" t="n">
        <f aca="false">SUMIFS('Additions (monthly)'!$E$2:$E$106,'Additions (monthly)'!$D$2:$D$106,AX$2,'Additions (monthly)'!$B$2:$B$106,"&lt;="&amp;$B71)</f>
        <v>11.8</v>
      </c>
      <c r="AY71" s="46" t="n">
        <f aca="false">SUMIFS('Additions (monthly)'!$E$2:$E$106,'Additions (monthly)'!$D$2:$D$106,AY$2,'Additions (monthly)'!$B$2:$B$106,"&lt;="&amp;$B71)</f>
        <v>5.3</v>
      </c>
      <c r="AZ71" s="46" t="n">
        <f aca="false">SUMIFS('Additions (monthly)'!$E$2:$E$106,'Additions (monthly)'!$D$2:$D$106,AZ$2,'Additions (monthly)'!$B$2:$B$106,"&lt;="&amp;$B71)</f>
        <v>0</v>
      </c>
      <c r="BA71" s="46" t="n">
        <f aca="false">SUMIFS('Additions (monthly)'!$E$2:$E$106,'Additions (monthly)'!$D$2:$D$106,BA$2,'Additions (monthly)'!$B$2:$B$106,"&lt;="&amp;$B71)</f>
        <v>0</v>
      </c>
      <c r="BB71" s="46" t="n">
        <f aca="false">SUMIFS('Additions (monthly)'!$E$2:$E$106,'Additions (monthly)'!$D$2:$D$106,BB$2,'Additions (monthly)'!$B$2:$B$106,"&lt;="&amp;$B71)</f>
        <v>0</v>
      </c>
      <c r="BC71" s="46" t="n">
        <f aca="false">SUMIFS('Additions (monthly)'!$E$2:$E$106,'Additions (monthly)'!$D$2:$D$106,BC$2,'Additions (monthly)'!$B$2:$B$106,"&lt;="&amp;$B71)</f>
        <v>0</v>
      </c>
      <c r="BD71" s="46" t="n">
        <f aca="false">SUMIFS('Additions (monthly)'!$E$2:$E$106,'Additions (monthly)'!$D$2:$D$106,BD$2,'Additions (monthly)'!$B$2:$B$106,"&lt;="&amp;$B71)</f>
        <v>0</v>
      </c>
      <c r="BE71" s="46" t="n">
        <f aca="false">SUMIFS('Additions (monthly)'!$E$2:$E$106,'Additions (monthly)'!$D$2:$D$106,BE$2,'Additions (monthly)'!$B$2:$B$106,"&lt;="&amp;$B71)</f>
        <v>0</v>
      </c>
      <c r="BF71" s="46" t="n">
        <f aca="false">SUMIFS('Additions (monthly)'!$E$2:$E$106,'Additions (monthly)'!$D$2:$D$106,BF$2,'Additions (monthly)'!$B$2:$B$106,"&lt;="&amp;$B71)</f>
        <v>0</v>
      </c>
      <c r="BG71" s="46" t="n">
        <f aca="false">SUMIFS('Additions (monthly)'!$E$2:$E$106,'Additions (monthly)'!$D$2:$D$106,BG$2,'Additions (monthly)'!$B$2:$B$106,"&lt;="&amp;$B71)</f>
        <v>0</v>
      </c>
      <c r="BH71" s="46" t="n">
        <f aca="false">SUMIFS('Additions (monthly)'!$E$2:$E$106,'Additions (monthly)'!$D$2:$D$106,BH$2,'Additions (monthly)'!$B$2:$B$106,"&lt;="&amp;$B71)</f>
        <v>0</v>
      </c>
      <c r="BI71" s="46" t="n">
        <f aca="false">SUMIFS('Additions (monthly)'!$E$2:$E$106,'Additions (monthly)'!$D$2:$D$106,BI$2,'Additions (monthly)'!$B$2:$B$106,"&lt;="&amp;$B71)</f>
        <v>6.7</v>
      </c>
    </row>
    <row r="72" customFormat="false" ht="15" hidden="false" customHeight="false" outlineLevel="0" collapsed="false">
      <c r="A72" s="44" t="n">
        <v>42278</v>
      </c>
      <c r="B72" s="45" t="n">
        <v>201510</v>
      </c>
      <c r="C72" s="42" t="n">
        <f aca="false">SUMIFS('Additions (monthly)'!$E$2:$E$106,'Additions (monthly)'!$B$2:$B$106,"&lt;="&amp;$B72)</f>
        <v>304.17</v>
      </c>
      <c r="D72" s="46" t="n">
        <f aca="false">SUMIFS('Additions (monthly)'!$E$2:$E$106,'Additions (monthly)'!$D$2:$D$106,D$2,'Additions (monthly)'!$B$2:$B$106,"&lt;="&amp;$B72)</f>
        <v>7.9</v>
      </c>
      <c r="E72" s="46" t="n">
        <f aca="false">SUMIFS('Additions (monthly)'!$E$2:$E$106,'Additions (monthly)'!$D$2:$D$106,E$2,'Additions (monthly)'!$B$2:$B$106,"&lt;="&amp;$B72)</f>
        <v>8.4</v>
      </c>
      <c r="F72" s="46" t="n">
        <f aca="false">SUMIFS('Additions (monthly)'!$E$2:$E$106,'Additions (monthly)'!$D$2:$D$106,F$2,'Additions (monthly)'!$B$2:$B$106,"&lt;="&amp;$B72)</f>
        <v>4.7</v>
      </c>
      <c r="G72" s="46" t="n">
        <f aca="false">SUMIFS('Additions (monthly)'!$E$2:$E$106,'Additions (monthly)'!$D$2:$D$106,G$2,'Additions (monthly)'!$B$2:$B$106,"&lt;="&amp;$B72)</f>
        <v>4.5</v>
      </c>
      <c r="H72" s="46" t="n">
        <f aca="false">SUMIFS('Additions (monthly)'!$E$2:$E$106,'Additions (monthly)'!$D$2:$D$106,H$2,'Additions (monthly)'!$B$2:$B$106,"&lt;="&amp;$B72)</f>
        <v>5.2</v>
      </c>
      <c r="I72" s="46" t="n">
        <f aca="false">SUMIFS('Additions (monthly)'!$E$2:$E$106,'Additions (monthly)'!$D$2:$D$106,I$2,'Additions (monthly)'!$B$2:$B$106,"&lt;="&amp;$B72)</f>
        <v>0</v>
      </c>
      <c r="J72" s="46" t="n">
        <f aca="false">SUMIFS('Additions (monthly)'!$E$2:$E$106,'Additions (monthly)'!$D$2:$D$106,J$2,'Additions (monthly)'!$B$2:$B$106,"&lt;="&amp;$B72)</f>
        <v>3.7</v>
      </c>
      <c r="K72" s="46" t="n">
        <f aca="false">SUMIFS('Additions (monthly)'!$E$2:$E$106,'Additions (monthly)'!$D$2:$D$106,K$2,'Additions (monthly)'!$B$2:$B$106,"&lt;="&amp;$B72)</f>
        <v>3.9</v>
      </c>
      <c r="L72" s="46" t="n">
        <f aca="false">SUMIFS('Additions (monthly)'!$E$2:$E$106,'Additions (monthly)'!$D$2:$D$106,L$2,'Additions (monthly)'!$B$2:$B$106,"&lt;="&amp;$B72)</f>
        <v>0</v>
      </c>
      <c r="M72" s="46" t="n">
        <f aca="false">SUMIFS('Additions (monthly)'!$E$2:$E$106,'Additions (monthly)'!$D$2:$D$106,M$2,'Additions (monthly)'!$B$2:$B$106,"&lt;="&amp;$B72)</f>
        <v>0</v>
      </c>
      <c r="N72" s="46" t="n">
        <f aca="false">SUMIFS('Additions (monthly)'!$E$2:$E$106,'Additions (monthly)'!$D$2:$D$106,N$2,'Additions (monthly)'!$B$2:$B$106,"&lt;="&amp;$B72)</f>
        <v>14.2</v>
      </c>
      <c r="O72" s="46" t="n">
        <f aca="false">SUMIFS('Additions (monthly)'!$E$2:$E$106,'Additions (monthly)'!$D$2:$D$106,O$2,'Additions (monthly)'!$B$2:$B$106,"&lt;="&amp;$B72)</f>
        <v>4.9</v>
      </c>
      <c r="P72" s="46" t="n">
        <f aca="false">SUMIFS('Additions (monthly)'!$E$2:$E$106,'Additions (monthly)'!$D$2:$D$106,P$2,'Additions (monthly)'!$B$2:$B$106,"&lt;="&amp;$B72)</f>
        <v>0</v>
      </c>
      <c r="Q72" s="46" t="n">
        <f aca="false">SUMIFS('Additions (monthly)'!$E$2:$E$106,'Additions (monthly)'!$D$2:$D$106,Q$2,'Additions (monthly)'!$B$2:$B$106,"&lt;="&amp;$B72)</f>
        <v>8.5</v>
      </c>
      <c r="R72" s="46" t="n">
        <f aca="false">SUMIFS('Additions (monthly)'!$E$2:$E$106,'Additions (monthly)'!$D$2:$D$106,R$2,'Additions (monthly)'!$B$2:$B$106,"&lt;="&amp;$B72)</f>
        <v>0</v>
      </c>
      <c r="S72" s="46" t="n">
        <f aca="false">SUMIFS('Additions (monthly)'!$E$2:$E$106,'Additions (monthly)'!$D$2:$D$106,S$2,'Additions (monthly)'!$B$2:$B$106,"&lt;="&amp;$B72)</f>
        <v>7.2</v>
      </c>
      <c r="T72" s="46" t="n">
        <f aca="false">SUMIFS('Additions (monthly)'!$E$2:$E$106,'Additions (monthly)'!$D$2:$D$106,T$2,'Additions (monthly)'!$B$2:$B$106,"&lt;="&amp;$B72)</f>
        <v>0</v>
      </c>
      <c r="U72" s="46" t="n">
        <f aca="false">SUMIFS('Additions (monthly)'!$E$2:$E$106,'Additions (monthly)'!$D$2:$D$106,U$2,'Additions (monthly)'!$B$2:$B$106,"&lt;="&amp;$B72)</f>
        <v>0</v>
      </c>
      <c r="V72" s="46" t="n">
        <f aca="false">SUMIFS('Additions (monthly)'!$E$2:$E$106,'Additions (monthly)'!$D$2:$D$106,V$2,'Additions (monthly)'!$B$2:$B$106,"&lt;="&amp;$B72)</f>
        <v>3.87</v>
      </c>
      <c r="W72" s="46" t="n">
        <f aca="false">SUMIFS('Additions (monthly)'!$E$2:$E$106,'Additions (monthly)'!$D$2:$D$106,W$2,'Additions (monthly)'!$B$2:$B$106,"&lt;="&amp;$B72)</f>
        <v>0</v>
      </c>
      <c r="X72" s="46" t="n">
        <f aca="false">SUMIFS('Additions (monthly)'!$E$2:$E$106,'Additions (monthly)'!$D$2:$D$106,X$2,'Additions (monthly)'!$B$2:$B$106,"&lt;="&amp;$B72)</f>
        <v>0</v>
      </c>
      <c r="Y72" s="46" t="n">
        <f aca="false">SUMIFS('Additions (monthly)'!$E$2:$E$106,'Additions (monthly)'!$D$2:$D$106,Y$2,'Additions (monthly)'!$B$2:$B$106,"&lt;="&amp;$B72)</f>
        <v>5</v>
      </c>
      <c r="Z72" s="46" t="n">
        <f aca="false">SUMIFS('Additions (monthly)'!$E$2:$E$106,'Additions (monthly)'!$D$2:$D$106,Z$2,'Additions (monthly)'!$B$2:$B$106,"&lt;="&amp;$B72)</f>
        <v>7.2</v>
      </c>
      <c r="AA72" s="46" t="n">
        <f aca="false">SUMIFS('Additions (monthly)'!$E$2:$E$106,'Additions (monthly)'!$D$2:$D$106,AA$2,'Additions (monthly)'!$B$2:$B$106,"&lt;="&amp;$B72)</f>
        <v>3.7</v>
      </c>
      <c r="AB72" s="46" t="n">
        <f aca="false">SUMIFS('Additions (monthly)'!$E$2:$E$106,'Additions (monthly)'!$D$2:$D$106,AB$2,'Additions (monthly)'!$B$2:$B$106,"&lt;="&amp;$B72)</f>
        <v>16.95</v>
      </c>
      <c r="AC72" s="46" t="n">
        <f aca="false">SUMIFS('Additions (monthly)'!$E$2:$E$106,'Additions (monthly)'!$D$2:$D$106,AC$2,'Additions (monthly)'!$B$2:$B$106,"&lt;="&amp;$B72)</f>
        <v>2</v>
      </c>
      <c r="AD72" s="46" t="n">
        <f aca="false">SUMIFS('Additions (monthly)'!$E$2:$E$106,'Additions (monthly)'!$D$2:$D$106,AD$2,'Additions (monthly)'!$B$2:$B$106,"&lt;="&amp;$B72)</f>
        <v>7.6</v>
      </c>
      <c r="AE72" s="46" t="n">
        <f aca="false">SUMIFS('Additions (monthly)'!$E$2:$E$106,'Additions (monthly)'!$D$2:$D$106,AE$2,'Additions (monthly)'!$B$2:$B$106,"&lt;="&amp;$B72)</f>
        <v>25.7</v>
      </c>
      <c r="AF72" s="46" t="n">
        <f aca="false">SUMIFS('Additions (monthly)'!$E$2:$E$106,'Additions (monthly)'!$D$2:$D$106,AF$2,'Additions (monthly)'!$B$2:$B$106,"&lt;="&amp;$B72)</f>
        <v>0</v>
      </c>
      <c r="AG72" s="46" t="n">
        <f aca="false">SUMIFS('Additions (monthly)'!$E$2:$E$106,'Additions (monthly)'!$D$2:$D$106,AG$2,'Additions (monthly)'!$B$2:$B$106,"&lt;="&amp;$B72)</f>
        <v>0</v>
      </c>
      <c r="AH72" s="46" t="n">
        <f aca="false">SUMIFS('Additions (monthly)'!$E$2:$E$106,'Additions (monthly)'!$D$2:$D$106,AH$2,'Additions (monthly)'!$B$2:$B$106,"&lt;="&amp;$B72)</f>
        <v>0</v>
      </c>
      <c r="AI72" s="46" t="n">
        <f aca="false">SUMIFS('Additions (monthly)'!$E$2:$E$106,'Additions (monthly)'!$D$2:$D$106,AI$2,'Additions (monthly)'!$B$2:$B$106,"&lt;="&amp;$B72)</f>
        <v>0</v>
      </c>
      <c r="AJ72" s="46" t="n">
        <f aca="false">SUMIFS('Additions (monthly)'!$E$2:$E$106,'Additions (monthly)'!$D$2:$D$106,AJ$2,'Additions (monthly)'!$B$2:$B$106,"&lt;="&amp;$B72)</f>
        <v>0</v>
      </c>
      <c r="AK72" s="46" t="n">
        <f aca="false">SUMIFS('Additions (monthly)'!$E$2:$E$106,'Additions (monthly)'!$D$2:$D$106,AK$2,'Additions (monthly)'!$B$2:$B$106,"&lt;="&amp;$B72)</f>
        <v>0</v>
      </c>
      <c r="AL72" s="46" t="n">
        <f aca="false">SUMIFS('Additions (monthly)'!$E$2:$E$106,'Additions (monthly)'!$D$2:$D$106,AL$2,'Additions (monthly)'!$B$2:$B$106,"&lt;="&amp;$B72)</f>
        <v>22.2</v>
      </c>
      <c r="AM72" s="46" t="n">
        <f aca="false">SUMIFS('Additions (monthly)'!$E$2:$E$106,'Additions (monthly)'!$D$2:$D$106,AM$2,'Additions (monthly)'!$B$2:$B$106,"&lt;="&amp;$B72)</f>
        <v>0.3</v>
      </c>
      <c r="AN72" s="46" t="n">
        <f aca="false">SUMIFS('Additions (monthly)'!$E$2:$E$106,'Additions (monthly)'!$D$2:$D$106,AN$2,'Additions (monthly)'!$B$2:$B$106,"&lt;="&amp;$B72)</f>
        <v>4.3</v>
      </c>
      <c r="AO72" s="46" t="n">
        <f aca="false">SUMIFS('Additions (monthly)'!$E$2:$E$106,'Additions (monthly)'!$D$2:$D$106,AO$2,'Additions (monthly)'!$B$2:$B$106,"&lt;="&amp;$B72)</f>
        <v>10.4</v>
      </c>
      <c r="AP72" s="46" t="n">
        <f aca="false">SUMIFS('Additions (monthly)'!$E$2:$E$106,'Additions (monthly)'!$D$2:$D$106,AP$2,'Additions (monthly)'!$B$2:$B$106,"&lt;="&amp;$B72)</f>
        <v>6.9</v>
      </c>
      <c r="AQ72" s="46" t="n">
        <f aca="false">SUMIFS('Additions (monthly)'!$E$2:$E$106,'Additions (monthly)'!$D$2:$D$106,AQ$2,'Additions (monthly)'!$B$2:$B$106,"&lt;="&amp;$B72)</f>
        <v>4.45</v>
      </c>
      <c r="AR72" s="46" t="n">
        <f aca="false">SUMIFS('Additions (monthly)'!$E$2:$E$106,'Additions (monthly)'!$D$2:$D$106,AR$2,'Additions (monthly)'!$B$2:$B$106,"&lt;="&amp;$B72)</f>
        <v>77.1</v>
      </c>
      <c r="AS72" s="46" t="n">
        <f aca="false">SUMIFS('Additions (monthly)'!$E$2:$E$106,'Additions (monthly)'!$D$2:$D$106,AS$2,'Additions (monthly)'!$B$2:$B$106,"&lt;="&amp;$B72)</f>
        <v>0</v>
      </c>
      <c r="AT72" s="46" t="n">
        <f aca="false">SUMIFS('Additions (monthly)'!$E$2:$E$106,'Additions (monthly)'!$D$2:$D$106,AT$2,'Additions (monthly)'!$B$2:$B$106,"&lt;="&amp;$B72)</f>
        <v>0</v>
      </c>
      <c r="AU72" s="46" t="n">
        <f aca="false">SUMIFS('Additions (monthly)'!$E$2:$E$106,'Additions (monthly)'!$D$2:$D$106,AU$2,'Additions (monthly)'!$B$2:$B$106,"&lt;="&amp;$B72)</f>
        <v>9.6</v>
      </c>
      <c r="AV72" s="46" t="n">
        <f aca="false">SUMIFS('Additions (monthly)'!$E$2:$E$106,'Additions (monthly)'!$D$2:$D$106,AV$2,'Additions (monthly)'!$B$2:$B$106,"&lt;="&amp;$B72)</f>
        <v>0</v>
      </c>
      <c r="AW72" s="46" t="n">
        <f aca="false">SUMIFS('Additions (monthly)'!$E$2:$E$106,'Additions (monthly)'!$D$2:$D$106,AW$2,'Additions (monthly)'!$B$2:$B$106,"&lt;="&amp;$B72)</f>
        <v>0</v>
      </c>
      <c r="AX72" s="46" t="n">
        <f aca="false">SUMIFS('Additions (monthly)'!$E$2:$E$106,'Additions (monthly)'!$D$2:$D$106,AX$2,'Additions (monthly)'!$B$2:$B$106,"&lt;="&amp;$B72)</f>
        <v>11.8</v>
      </c>
      <c r="AY72" s="46" t="n">
        <f aca="false">SUMIFS('Additions (monthly)'!$E$2:$E$106,'Additions (monthly)'!$D$2:$D$106,AY$2,'Additions (monthly)'!$B$2:$B$106,"&lt;="&amp;$B72)</f>
        <v>5.3</v>
      </c>
      <c r="AZ72" s="46" t="n">
        <f aca="false">SUMIFS('Additions (monthly)'!$E$2:$E$106,'Additions (monthly)'!$D$2:$D$106,AZ$2,'Additions (monthly)'!$B$2:$B$106,"&lt;="&amp;$B72)</f>
        <v>0</v>
      </c>
      <c r="BA72" s="46" t="n">
        <f aca="false">SUMIFS('Additions (monthly)'!$E$2:$E$106,'Additions (monthly)'!$D$2:$D$106,BA$2,'Additions (monthly)'!$B$2:$B$106,"&lt;="&amp;$B72)</f>
        <v>0</v>
      </c>
      <c r="BB72" s="46" t="n">
        <f aca="false">SUMIFS('Additions (monthly)'!$E$2:$E$106,'Additions (monthly)'!$D$2:$D$106,BB$2,'Additions (monthly)'!$B$2:$B$106,"&lt;="&amp;$B72)</f>
        <v>0</v>
      </c>
      <c r="BC72" s="46" t="n">
        <f aca="false">SUMIFS('Additions (monthly)'!$E$2:$E$106,'Additions (monthly)'!$D$2:$D$106,BC$2,'Additions (monthly)'!$B$2:$B$106,"&lt;="&amp;$B72)</f>
        <v>0</v>
      </c>
      <c r="BD72" s="46" t="n">
        <f aca="false">SUMIFS('Additions (monthly)'!$E$2:$E$106,'Additions (monthly)'!$D$2:$D$106,BD$2,'Additions (monthly)'!$B$2:$B$106,"&lt;="&amp;$B72)</f>
        <v>0</v>
      </c>
      <c r="BE72" s="46" t="n">
        <f aca="false">SUMIFS('Additions (monthly)'!$E$2:$E$106,'Additions (monthly)'!$D$2:$D$106,BE$2,'Additions (monthly)'!$B$2:$B$106,"&lt;="&amp;$B72)</f>
        <v>0</v>
      </c>
      <c r="BF72" s="46" t="n">
        <f aca="false">SUMIFS('Additions (monthly)'!$E$2:$E$106,'Additions (monthly)'!$D$2:$D$106,BF$2,'Additions (monthly)'!$B$2:$B$106,"&lt;="&amp;$B72)</f>
        <v>0</v>
      </c>
      <c r="BG72" s="46" t="n">
        <f aca="false">SUMIFS('Additions (monthly)'!$E$2:$E$106,'Additions (monthly)'!$D$2:$D$106,BG$2,'Additions (monthly)'!$B$2:$B$106,"&lt;="&amp;$B72)</f>
        <v>0</v>
      </c>
      <c r="BH72" s="46" t="n">
        <f aca="false">SUMIFS('Additions (monthly)'!$E$2:$E$106,'Additions (monthly)'!$D$2:$D$106,BH$2,'Additions (monthly)'!$B$2:$B$106,"&lt;="&amp;$B72)</f>
        <v>0</v>
      </c>
      <c r="BI72" s="46" t="n">
        <f aca="false">SUMIFS('Additions (monthly)'!$E$2:$E$106,'Additions (monthly)'!$D$2:$D$106,BI$2,'Additions (monthly)'!$B$2:$B$106,"&lt;="&amp;$B72)</f>
        <v>6.7</v>
      </c>
    </row>
    <row r="73" customFormat="false" ht="15" hidden="false" customHeight="false" outlineLevel="0" collapsed="false">
      <c r="A73" s="44" t="n">
        <v>42309</v>
      </c>
      <c r="B73" s="45" t="n">
        <v>201511</v>
      </c>
      <c r="C73" s="42" t="n">
        <f aca="false">SUMIFS('Additions (monthly)'!$E$2:$E$106,'Additions (monthly)'!$B$2:$B$106,"&lt;="&amp;$B73)</f>
        <v>304.17</v>
      </c>
      <c r="D73" s="46" t="n">
        <f aca="false">SUMIFS('Additions (monthly)'!$E$2:$E$106,'Additions (monthly)'!$D$2:$D$106,D$2,'Additions (monthly)'!$B$2:$B$106,"&lt;="&amp;$B73)</f>
        <v>7.9</v>
      </c>
      <c r="E73" s="46" t="n">
        <f aca="false">SUMIFS('Additions (monthly)'!$E$2:$E$106,'Additions (monthly)'!$D$2:$D$106,E$2,'Additions (monthly)'!$B$2:$B$106,"&lt;="&amp;$B73)</f>
        <v>8.4</v>
      </c>
      <c r="F73" s="46" t="n">
        <f aca="false">SUMIFS('Additions (monthly)'!$E$2:$E$106,'Additions (monthly)'!$D$2:$D$106,F$2,'Additions (monthly)'!$B$2:$B$106,"&lt;="&amp;$B73)</f>
        <v>4.7</v>
      </c>
      <c r="G73" s="46" t="n">
        <f aca="false">SUMIFS('Additions (monthly)'!$E$2:$E$106,'Additions (monthly)'!$D$2:$D$106,G$2,'Additions (monthly)'!$B$2:$B$106,"&lt;="&amp;$B73)</f>
        <v>4.5</v>
      </c>
      <c r="H73" s="46" t="n">
        <f aca="false">SUMIFS('Additions (monthly)'!$E$2:$E$106,'Additions (monthly)'!$D$2:$D$106,H$2,'Additions (monthly)'!$B$2:$B$106,"&lt;="&amp;$B73)</f>
        <v>5.2</v>
      </c>
      <c r="I73" s="46" t="n">
        <f aca="false">SUMIFS('Additions (monthly)'!$E$2:$E$106,'Additions (monthly)'!$D$2:$D$106,I$2,'Additions (monthly)'!$B$2:$B$106,"&lt;="&amp;$B73)</f>
        <v>0</v>
      </c>
      <c r="J73" s="46" t="n">
        <f aca="false">SUMIFS('Additions (monthly)'!$E$2:$E$106,'Additions (monthly)'!$D$2:$D$106,J$2,'Additions (monthly)'!$B$2:$B$106,"&lt;="&amp;$B73)</f>
        <v>3.7</v>
      </c>
      <c r="K73" s="46" t="n">
        <f aca="false">SUMIFS('Additions (monthly)'!$E$2:$E$106,'Additions (monthly)'!$D$2:$D$106,K$2,'Additions (monthly)'!$B$2:$B$106,"&lt;="&amp;$B73)</f>
        <v>3.9</v>
      </c>
      <c r="L73" s="46" t="n">
        <f aca="false">SUMIFS('Additions (monthly)'!$E$2:$E$106,'Additions (monthly)'!$D$2:$D$106,L$2,'Additions (monthly)'!$B$2:$B$106,"&lt;="&amp;$B73)</f>
        <v>0</v>
      </c>
      <c r="M73" s="46" t="n">
        <f aca="false">SUMIFS('Additions (monthly)'!$E$2:$E$106,'Additions (monthly)'!$D$2:$D$106,M$2,'Additions (monthly)'!$B$2:$B$106,"&lt;="&amp;$B73)</f>
        <v>0</v>
      </c>
      <c r="N73" s="46" t="n">
        <f aca="false">SUMIFS('Additions (monthly)'!$E$2:$E$106,'Additions (monthly)'!$D$2:$D$106,N$2,'Additions (monthly)'!$B$2:$B$106,"&lt;="&amp;$B73)</f>
        <v>14.2</v>
      </c>
      <c r="O73" s="46" t="n">
        <f aca="false">SUMIFS('Additions (monthly)'!$E$2:$E$106,'Additions (monthly)'!$D$2:$D$106,O$2,'Additions (monthly)'!$B$2:$B$106,"&lt;="&amp;$B73)</f>
        <v>4.9</v>
      </c>
      <c r="P73" s="46" t="n">
        <f aca="false">SUMIFS('Additions (monthly)'!$E$2:$E$106,'Additions (monthly)'!$D$2:$D$106,P$2,'Additions (monthly)'!$B$2:$B$106,"&lt;="&amp;$B73)</f>
        <v>0</v>
      </c>
      <c r="Q73" s="46" t="n">
        <f aca="false">SUMIFS('Additions (monthly)'!$E$2:$E$106,'Additions (monthly)'!$D$2:$D$106,Q$2,'Additions (monthly)'!$B$2:$B$106,"&lt;="&amp;$B73)</f>
        <v>8.5</v>
      </c>
      <c r="R73" s="46" t="n">
        <f aca="false">SUMIFS('Additions (monthly)'!$E$2:$E$106,'Additions (monthly)'!$D$2:$D$106,R$2,'Additions (monthly)'!$B$2:$B$106,"&lt;="&amp;$B73)</f>
        <v>0</v>
      </c>
      <c r="S73" s="46" t="n">
        <f aca="false">SUMIFS('Additions (monthly)'!$E$2:$E$106,'Additions (monthly)'!$D$2:$D$106,S$2,'Additions (monthly)'!$B$2:$B$106,"&lt;="&amp;$B73)</f>
        <v>7.2</v>
      </c>
      <c r="T73" s="46" t="n">
        <f aca="false">SUMIFS('Additions (monthly)'!$E$2:$E$106,'Additions (monthly)'!$D$2:$D$106,T$2,'Additions (monthly)'!$B$2:$B$106,"&lt;="&amp;$B73)</f>
        <v>0</v>
      </c>
      <c r="U73" s="46" t="n">
        <f aca="false">SUMIFS('Additions (monthly)'!$E$2:$E$106,'Additions (monthly)'!$D$2:$D$106,U$2,'Additions (monthly)'!$B$2:$B$106,"&lt;="&amp;$B73)</f>
        <v>0</v>
      </c>
      <c r="V73" s="46" t="n">
        <f aca="false">SUMIFS('Additions (monthly)'!$E$2:$E$106,'Additions (monthly)'!$D$2:$D$106,V$2,'Additions (monthly)'!$B$2:$B$106,"&lt;="&amp;$B73)</f>
        <v>3.87</v>
      </c>
      <c r="W73" s="46" t="n">
        <f aca="false">SUMIFS('Additions (monthly)'!$E$2:$E$106,'Additions (monthly)'!$D$2:$D$106,W$2,'Additions (monthly)'!$B$2:$B$106,"&lt;="&amp;$B73)</f>
        <v>0</v>
      </c>
      <c r="X73" s="46" t="n">
        <f aca="false">SUMIFS('Additions (monthly)'!$E$2:$E$106,'Additions (monthly)'!$D$2:$D$106,X$2,'Additions (monthly)'!$B$2:$B$106,"&lt;="&amp;$B73)</f>
        <v>0</v>
      </c>
      <c r="Y73" s="46" t="n">
        <f aca="false">SUMIFS('Additions (monthly)'!$E$2:$E$106,'Additions (monthly)'!$D$2:$D$106,Y$2,'Additions (monthly)'!$B$2:$B$106,"&lt;="&amp;$B73)</f>
        <v>5</v>
      </c>
      <c r="Z73" s="46" t="n">
        <f aca="false">SUMIFS('Additions (monthly)'!$E$2:$E$106,'Additions (monthly)'!$D$2:$D$106,Z$2,'Additions (monthly)'!$B$2:$B$106,"&lt;="&amp;$B73)</f>
        <v>7.2</v>
      </c>
      <c r="AA73" s="46" t="n">
        <f aca="false">SUMIFS('Additions (monthly)'!$E$2:$E$106,'Additions (monthly)'!$D$2:$D$106,AA$2,'Additions (monthly)'!$B$2:$B$106,"&lt;="&amp;$B73)</f>
        <v>3.7</v>
      </c>
      <c r="AB73" s="46" t="n">
        <f aca="false">SUMIFS('Additions (monthly)'!$E$2:$E$106,'Additions (monthly)'!$D$2:$D$106,AB$2,'Additions (monthly)'!$B$2:$B$106,"&lt;="&amp;$B73)</f>
        <v>16.95</v>
      </c>
      <c r="AC73" s="46" t="n">
        <f aca="false">SUMIFS('Additions (monthly)'!$E$2:$E$106,'Additions (monthly)'!$D$2:$D$106,AC$2,'Additions (monthly)'!$B$2:$B$106,"&lt;="&amp;$B73)</f>
        <v>2</v>
      </c>
      <c r="AD73" s="46" t="n">
        <f aca="false">SUMIFS('Additions (monthly)'!$E$2:$E$106,'Additions (monthly)'!$D$2:$D$106,AD$2,'Additions (monthly)'!$B$2:$B$106,"&lt;="&amp;$B73)</f>
        <v>7.6</v>
      </c>
      <c r="AE73" s="46" t="n">
        <f aca="false">SUMIFS('Additions (monthly)'!$E$2:$E$106,'Additions (monthly)'!$D$2:$D$106,AE$2,'Additions (monthly)'!$B$2:$B$106,"&lt;="&amp;$B73)</f>
        <v>25.7</v>
      </c>
      <c r="AF73" s="46" t="n">
        <f aca="false">SUMIFS('Additions (monthly)'!$E$2:$E$106,'Additions (monthly)'!$D$2:$D$106,AF$2,'Additions (monthly)'!$B$2:$B$106,"&lt;="&amp;$B73)</f>
        <v>0</v>
      </c>
      <c r="AG73" s="46" t="n">
        <f aca="false">SUMIFS('Additions (monthly)'!$E$2:$E$106,'Additions (monthly)'!$D$2:$D$106,AG$2,'Additions (monthly)'!$B$2:$B$106,"&lt;="&amp;$B73)</f>
        <v>0</v>
      </c>
      <c r="AH73" s="46" t="n">
        <f aca="false">SUMIFS('Additions (monthly)'!$E$2:$E$106,'Additions (monthly)'!$D$2:$D$106,AH$2,'Additions (monthly)'!$B$2:$B$106,"&lt;="&amp;$B73)</f>
        <v>0</v>
      </c>
      <c r="AI73" s="46" t="n">
        <f aca="false">SUMIFS('Additions (monthly)'!$E$2:$E$106,'Additions (monthly)'!$D$2:$D$106,AI$2,'Additions (monthly)'!$B$2:$B$106,"&lt;="&amp;$B73)</f>
        <v>0</v>
      </c>
      <c r="AJ73" s="46" t="n">
        <f aca="false">SUMIFS('Additions (monthly)'!$E$2:$E$106,'Additions (monthly)'!$D$2:$D$106,AJ$2,'Additions (monthly)'!$B$2:$B$106,"&lt;="&amp;$B73)</f>
        <v>0</v>
      </c>
      <c r="AK73" s="46" t="n">
        <f aca="false">SUMIFS('Additions (monthly)'!$E$2:$E$106,'Additions (monthly)'!$D$2:$D$106,AK$2,'Additions (monthly)'!$B$2:$B$106,"&lt;="&amp;$B73)</f>
        <v>0</v>
      </c>
      <c r="AL73" s="46" t="n">
        <f aca="false">SUMIFS('Additions (monthly)'!$E$2:$E$106,'Additions (monthly)'!$D$2:$D$106,AL$2,'Additions (monthly)'!$B$2:$B$106,"&lt;="&amp;$B73)</f>
        <v>22.2</v>
      </c>
      <c r="AM73" s="46" t="n">
        <f aca="false">SUMIFS('Additions (monthly)'!$E$2:$E$106,'Additions (monthly)'!$D$2:$D$106,AM$2,'Additions (monthly)'!$B$2:$B$106,"&lt;="&amp;$B73)</f>
        <v>0.3</v>
      </c>
      <c r="AN73" s="46" t="n">
        <f aca="false">SUMIFS('Additions (monthly)'!$E$2:$E$106,'Additions (monthly)'!$D$2:$D$106,AN$2,'Additions (monthly)'!$B$2:$B$106,"&lt;="&amp;$B73)</f>
        <v>4.3</v>
      </c>
      <c r="AO73" s="46" t="n">
        <f aca="false">SUMIFS('Additions (monthly)'!$E$2:$E$106,'Additions (monthly)'!$D$2:$D$106,AO$2,'Additions (monthly)'!$B$2:$B$106,"&lt;="&amp;$B73)</f>
        <v>10.4</v>
      </c>
      <c r="AP73" s="46" t="n">
        <f aca="false">SUMIFS('Additions (monthly)'!$E$2:$E$106,'Additions (monthly)'!$D$2:$D$106,AP$2,'Additions (monthly)'!$B$2:$B$106,"&lt;="&amp;$B73)</f>
        <v>6.9</v>
      </c>
      <c r="AQ73" s="46" t="n">
        <f aca="false">SUMIFS('Additions (monthly)'!$E$2:$E$106,'Additions (monthly)'!$D$2:$D$106,AQ$2,'Additions (monthly)'!$B$2:$B$106,"&lt;="&amp;$B73)</f>
        <v>4.45</v>
      </c>
      <c r="AR73" s="46" t="n">
        <f aca="false">SUMIFS('Additions (monthly)'!$E$2:$E$106,'Additions (monthly)'!$D$2:$D$106,AR$2,'Additions (monthly)'!$B$2:$B$106,"&lt;="&amp;$B73)</f>
        <v>77.1</v>
      </c>
      <c r="AS73" s="46" t="n">
        <f aca="false">SUMIFS('Additions (monthly)'!$E$2:$E$106,'Additions (monthly)'!$D$2:$D$106,AS$2,'Additions (monthly)'!$B$2:$B$106,"&lt;="&amp;$B73)</f>
        <v>0</v>
      </c>
      <c r="AT73" s="46" t="n">
        <f aca="false">SUMIFS('Additions (monthly)'!$E$2:$E$106,'Additions (monthly)'!$D$2:$D$106,AT$2,'Additions (monthly)'!$B$2:$B$106,"&lt;="&amp;$B73)</f>
        <v>0</v>
      </c>
      <c r="AU73" s="46" t="n">
        <f aca="false">SUMIFS('Additions (monthly)'!$E$2:$E$106,'Additions (monthly)'!$D$2:$D$106,AU$2,'Additions (monthly)'!$B$2:$B$106,"&lt;="&amp;$B73)</f>
        <v>9.6</v>
      </c>
      <c r="AV73" s="46" t="n">
        <f aca="false">SUMIFS('Additions (monthly)'!$E$2:$E$106,'Additions (monthly)'!$D$2:$D$106,AV$2,'Additions (monthly)'!$B$2:$B$106,"&lt;="&amp;$B73)</f>
        <v>0</v>
      </c>
      <c r="AW73" s="46" t="n">
        <f aca="false">SUMIFS('Additions (monthly)'!$E$2:$E$106,'Additions (monthly)'!$D$2:$D$106,AW$2,'Additions (monthly)'!$B$2:$B$106,"&lt;="&amp;$B73)</f>
        <v>0</v>
      </c>
      <c r="AX73" s="46" t="n">
        <f aca="false">SUMIFS('Additions (monthly)'!$E$2:$E$106,'Additions (monthly)'!$D$2:$D$106,AX$2,'Additions (monthly)'!$B$2:$B$106,"&lt;="&amp;$B73)</f>
        <v>11.8</v>
      </c>
      <c r="AY73" s="46" t="n">
        <f aca="false">SUMIFS('Additions (monthly)'!$E$2:$E$106,'Additions (monthly)'!$D$2:$D$106,AY$2,'Additions (monthly)'!$B$2:$B$106,"&lt;="&amp;$B73)</f>
        <v>5.3</v>
      </c>
      <c r="AZ73" s="46" t="n">
        <f aca="false">SUMIFS('Additions (monthly)'!$E$2:$E$106,'Additions (monthly)'!$D$2:$D$106,AZ$2,'Additions (monthly)'!$B$2:$B$106,"&lt;="&amp;$B73)</f>
        <v>0</v>
      </c>
      <c r="BA73" s="46" t="n">
        <f aca="false">SUMIFS('Additions (monthly)'!$E$2:$E$106,'Additions (monthly)'!$D$2:$D$106,BA$2,'Additions (monthly)'!$B$2:$B$106,"&lt;="&amp;$B73)</f>
        <v>0</v>
      </c>
      <c r="BB73" s="46" t="n">
        <f aca="false">SUMIFS('Additions (monthly)'!$E$2:$E$106,'Additions (monthly)'!$D$2:$D$106,BB$2,'Additions (monthly)'!$B$2:$B$106,"&lt;="&amp;$B73)</f>
        <v>0</v>
      </c>
      <c r="BC73" s="46" t="n">
        <f aca="false">SUMIFS('Additions (monthly)'!$E$2:$E$106,'Additions (monthly)'!$D$2:$D$106,BC$2,'Additions (monthly)'!$B$2:$B$106,"&lt;="&amp;$B73)</f>
        <v>0</v>
      </c>
      <c r="BD73" s="46" t="n">
        <f aca="false">SUMIFS('Additions (monthly)'!$E$2:$E$106,'Additions (monthly)'!$D$2:$D$106,BD$2,'Additions (monthly)'!$B$2:$B$106,"&lt;="&amp;$B73)</f>
        <v>0</v>
      </c>
      <c r="BE73" s="46" t="n">
        <f aca="false">SUMIFS('Additions (monthly)'!$E$2:$E$106,'Additions (monthly)'!$D$2:$D$106,BE$2,'Additions (monthly)'!$B$2:$B$106,"&lt;="&amp;$B73)</f>
        <v>0</v>
      </c>
      <c r="BF73" s="46" t="n">
        <f aca="false">SUMIFS('Additions (monthly)'!$E$2:$E$106,'Additions (monthly)'!$D$2:$D$106,BF$2,'Additions (monthly)'!$B$2:$B$106,"&lt;="&amp;$B73)</f>
        <v>0</v>
      </c>
      <c r="BG73" s="46" t="n">
        <f aca="false">SUMIFS('Additions (monthly)'!$E$2:$E$106,'Additions (monthly)'!$D$2:$D$106,BG$2,'Additions (monthly)'!$B$2:$B$106,"&lt;="&amp;$B73)</f>
        <v>0</v>
      </c>
      <c r="BH73" s="46" t="n">
        <f aca="false">SUMIFS('Additions (monthly)'!$E$2:$E$106,'Additions (monthly)'!$D$2:$D$106,BH$2,'Additions (monthly)'!$B$2:$B$106,"&lt;="&amp;$B73)</f>
        <v>0</v>
      </c>
      <c r="BI73" s="46" t="n">
        <f aca="false">SUMIFS('Additions (monthly)'!$E$2:$E$106,'Additions (monthly)'!$D$2:$D$106,BI$2,'Additions (monthly)'!$B$2:$B$106,"&lt;="&amp;$B73)</f>
        <v>6.7</v>
      </c>
    </row>
    <row r="74" customFormat="false" ht="15" hidden="false" customHeight="false" outlineLevel="0" collapsed="false">
      <c r="A74" s="44" t="n">
        <v>42339</v>
      </c>
      <c r="B74" s="45" t="n">
        <v>201512</v>
      </c>
      <c r="C74" s="42" t="n">
        <f aca="false">SUMIFS('Additions (monthly)'!$E$2:$E$106,'Additions (monthly)'!$B$2:$B$106,"&lt;="&amp;$B74)</f>
        <v>313.17</v>
      </c>
      <c r="D74" s="46" t="n">
        <f aca="false">SUMIFS('Additions (monthly)'!$E$2:$E$106,'Additions (monthly)'!$D$2:$D$106,D$2,'Additions (monthly)'!$B$2:$B$106,"&lt;="&amp;$B74)</f>
        <v>7.9</v>
      </c>
      <c r="E74" s="46" t="n">
        <f aca="false">SUMIFS('Additions (monthly)'!$E$2:$E$106,'Additions (monthly)'!$D$2:$D$106,E$2,'Additions (monthly)'!$B$2:$B$106,"&lt;="&amp;$B74)</f>
        <v>8.4</v>
      </c>
      <c r="F74" s="46" t="n">
        <f aca="false">SUMIFS('Additions (monthly)'!$E$2:$E$106,'Additions (monthly)'!$D$2:$D$106,F$2,'Additions (monthly)'!$B$2:$B$106,"&lt;="&amp;$B74)</f>
        <v>4.7</v>
      </c>
      <c r="G74" s="46" t="n">
        <f aca="false">SUMIFS('Additions (monthly)'!$E$2:$E$106,'Additions (monthly)'!$D$2:$D$106,G$2,'Additions (monthly)'!$B$2:$B$106,"&lt;="&amp;$B74)</f>
        <v>4.5</v>
      </c>
      <c r="H74" s="46" t="n">
        <f aca="false">SUMIFS('Additions (monthly)'!$E$2:$E$106,'Additions (monthly)'!$D$2:$D$106,H$2,'Additions (monthly)'!$B$2:$B$106,"&lt;="&amp;$B74)</f>
        <v>5.2</v>
      </c>
      <c r="I74" s="46" t="n">
        <f aca="false">SUMIFS('Additions (monthly)'!$E$2:$E$106,'Additions (monthly)'!$D$2:$D$106,I$2,'Additions (monthly)'!$B$2:$B$106,"&lt;="&amp;$B74)</f>
        <v>9</v>
      </c>
      <c r="J74" s="46" t="n">
        <f aca="false">SUMIFS('Additions (monthly)'!$E$2:$E$106,'Additions (monthly)'!$D$2:$D$106,J$2,'Additions (monthly)'!$B$2:$B$106,"&lt;="&amp;$B74)</f>
        <v>3.7</v>
      </c>
      <c r="K74" s="46" t="n">
        <f aca="false">SUMIFS('Additions (monthly)'!$E$2:$E$106,'Additions (monthly)'!$D$2:$D$106,K$2,'Additions (monthly)'!$B$2:$B$106,"&lt;="&amp;$B74)</f>
        <v>3.9</v>
      </c>
      <c r="L74" s="46" t="n">
        <f aca="false">SUMIFS('Additions (monthly)'!$E$2:$E$106,'Additions (monthly)'!$D$2:$D$106,L$2,'Additions (monthly)'!$B$2:$B$106,"&lt;="&amp;$B74)</f>
        <v>0</v>
      </c>
      <c r="M74" s="46" t="n">
        <f aca="false">SUMIFS('Additions (monthly)'!$E$2:$E$106,'Additions (monthly)'!$D$2:$D$106,M$2,'Additions (monthly)'!$B$2:$B$106,"&lt;="&amp;$B74)</f>
        <v>0</v>
      </c>
      <c r="N74" s="46" t="n">
        <f aca="false">SUMIFS('Additions (monthly)'!$E$2:$E$106,'Additions (monthly)'!$D$2:$D$106,N$2,'Additions (monthly)'!$B$2:$B$106,"&lt;="&amp;$B74)</f>
        <v>14.2</v>
      </c>
      <c r="O74" s="46" t="n">
        <f aca="false">SUMIFS('Additions (monthly)'!$E$2:$E$106,'Additions (monthly)'!$D$2:$D$106,O$2,'Additions (monthly)'!$B$2:$B$106,"&lt;="&amp;$B74)</f>
        <v>4.9</v>
      </c>
      <c r="P74" s="46" t="n">
        <f aca="false">SUMIFS('Additions (monthly)'!$E$2:$E$106,'Additions (monthly)'!$D$2:$D$106,P$2,'Additions (monthly)'!$B$2:$B$106,"&lt;="&amp;$B74)</f>
        <v>0</v>
      </c>
      <c r="Q74" s="46" t="n">
        <f aca="false">SUMIFS('Additions (monthly)'!$E$2:$E$106,'Additions (monthly)'!$D$2:$D$106,Q$2,'Additions (monthly)'!$B$2:$B$106,"&lt;="&amp;$B74)</f>
        <v>8.5</v>
      </c>
      <c r="R74" s="46" t="n">
        <f aca="false">SUMIFS('Additions (monthly)'!$E$2:$E$106,'Additions (monthly)'!$D$2:$D$106,R$2,'Additions (monthly)'!$B$2:$B$106,"&lt;="&amp;$B74)</f>
        <v>0</v>
      </c>
      <c r="S74" s="46" t="n">
        <f aca="false">SUMIFS('Additions (monthly)'!$E$2:$E$106,'Additions (monthly)'!$D$2:$D$106,S$2,'Additions (monthly)'!$B$2:$B$106,"&lt;="&amp;$B74)</f>
        <v>7.2</v>
      </c>
      <c r="T74" s="46" t="n">
        <f aca="false">SUMIFS('Additions (monthly)'!$E$2:$E$106,'Additions (monthly)'!$D$2:$D$106,T$2,'Additions (monthly)'!$B$2:$B$106,"&lt;="&amp;$B74)</f>
        <v>0</v>
      </c>
      <c r="U74" s="46" t="n">
        <f aca="false">SUMIFS('Additions (monthly)'!$E$2:$E$106,'Additions (monthly)'!$D$2:$D$106,U$2,'Additions (monthly)'!$B$2:$B$106,"&lt;="&amp;$B74)</f>
        <v>0</v>
      </c>
      <c r="V74" s="46" t="n">
        <f aca="false">SUMIFS('Additions (monthly)'!$E$2:$E$106,'Additions (monthly)'!$D$2:$D$106,V$2,'Additions (monthly)'!$B$2:$B$106,"&lt;="&amp;$B74)</f>
        <v>3.87</v>
      </c>
      <c r="W74" s="46" t="n">
        <f aca="false">SUMIFS('Additions (monthly)'!$E$2:$E$106,'Additions (monthly)'!$D$2:$D$106,W$2,'Additions (monthly)'!$B$2:$B$106,"&lt;="&amp;$B74)</f>
        <v>0</v>
      </c>
      <c r="X74" s="46" t="n">
        <f aca="false">SUMIFS('Additions (monthly)'!$E$2:$E$106,'Additions (monthly)'!$D$2:$D$106,X$2,'Additions (monthly)'!$B$2:$B$106,"&lt;="&amp;$B74)</f>
        <v>0</v>
      </c>
      <c r="Y74" s="46" t="n">
        <f aca="false">SUMIFS('Additions (monthly)'!$E$2:$E$106,'Additions (monthly)'!$D$2:$D$106,Y$2,'Additions (monthly)'!$B$2:$B$106,"&lt;="&amp;$B74)</f>
        <v>5</v>
      </c>
      <c r="Z74" s="46" t="n">
        <f aca="false">SUMIFS('Additions (monthly)'!$E$2:$E$106,'Additions (monthly)'!$D$2:$D$106,Z$2,'Additions (monthly)'!$B$2:$B$106,"&lt;="&amp;$B74)</f>
        <v>7.2</v>
      </c>
      <c r="AA74" s="46" t="n">
        <f aca="false">SUMIFS('Additions (monthly)'!$E$2:$E$106,'Additions (monthly)'!$D$2:$D$106,AA$2,'Additions (monthly)'!$B$2:$B$106,"&lt;="&amp;$B74)</f>
        <v>3.7</v>
      </c>
      <c r="AB74" s="46" t="n">
        <f aca="false">SUMIFS('Additions (monthly)'!$E$2:$E$106,'Additions (monthly)'!$D$2:$D$106,AB$2,'Additions (monthly)'!$B$2:$B$106,"&lt;="&amp;$B74)</f>
        <v>16.95</v>
      </c>
      <c r="AC74" s="46" t="n">
        <f aca="false">SUMIFS('Additions (monthly)'!$E$2:$E$106,'Additions (monthly)'!$D$2:$D$106,AC$2,'Additions (monthly)'!$B$2:$B$106,"&lt;="&amp;$B74)</f>
        <v>2</v>
      </c>
      <c r="AD74" s="46" t="n">
        <f aca="false">SUMIFS('Additions (monthly)'!$E$2:$E$106,'Additions (monthly)'!$D$2:$D$106,AD$2,'Additions (monthly)'!$B$2:$B$106,"&lt;="&amp;$B74)</f>
        <v>7.6</v>
      </c>
      <c r="AE74" s="46" t="n">
        <f aca="false">SUMIFS('Additions (monthly)'!$E$2:$E$106,'Additions (monthly)'!$D$2:$D$106,AE$2,'Additions (monthly)'!$B$2:$B$106,"&lt;="&amp;$B74)</f>
        <v>25.7</v>
      </c>
      <c r="AF74" s="46" t="n">
        <f aca="false">SUMIFS('Additions (monthly)'!$E$2:$E$106,'Additions (monthly)'!$D$2:$D$106,AF$2,'Additions (monthly)'!$B$2:$B$106,"&lt;="&amp;$B74)</f>
        <v>0</v>
      </c>
      <c r="AG74" s="46" t="n">
        <f aca="false">SUMIFS('Additions (monthly)'!$E$2:$E$106,'Additions (monthly)'!$D$2:$D$106,AG$2,'Additions (monthly)'!$B$2:$B$106,"&lt;="&amp;$B74)</f>
        <v>0</v>
      </c>
      <c r="AH74" s="46" t="n">
        <f aca="false">SUMIFS('Additions (monthly)'!$E$2:$E$106,'Additions (monthly)'!$D$2:$D$106,AH$2,'Additions (monthly)'!$B$2:$B$106,"&lt;="&amp;$B74)</f>
        <v>0</v>
      </c>
      <c r="AI74" s="46" t="n">
        <f aca="false">SUMIFS('Additions (monthly)'!$E$2:$E$106,'Additions (monthly)'!$D$2:$D$106,AI$2,'Additions (monthly)'!$B$2:$B$106,"&lt;="&amp;$B74)</f>
        <v>0</v>
      </c>
      <c r="AJ74" s="46" t="n">
        <f aca="false">SUMIFS('Additions (monthly)'!$E$2:$E$106,'Additions (monthly)'!$D$2:$D$106,AJ$2,'Additions (monthly)'!$B$2:$B$106,"&lt;="&amp;$B74)</f>
        <v>0</v>
      </c>
      <c r="AK74" s="46" t="n">
        <f aca="false">SUMIFS('Additions (monthly)'!$E$2:$E$106,'Additions (monthly)'!$D$2:$D$106,AK$2,'Additions (monthly)'!$B$2:$B$106,"&lt;="&amp;$B74)</f>
        <v>0</v>
      </c>
      <c r="AL74" s="46" t="n">
        <f aca="false">SUMIFS('Additions (monthly)'!$E$2:$E$106,'Additions (monthly)'!$D$2:$D$106,AL$2,'Additions (monthly)'!$B$2:$B$106,"&lt;="&amp;$B74)</f>
        <v>22.2</v>
      </c>
      <c r="AM74" s="46" t="n">
        <f aca="false">SUMIFS('Additions (monthly)'!$E$2:$E$106,'Additions (monthly)'!$D$2:$D$106,AM$2,'Additions (monthly)'!$B$2:$B$106,"&lt;="&amp;$B74)</f>
        <v>0.3</v>
      </c>
      <c r="AN74" s="46" t="n">
        <f aca="false">SUMIFS('Additions (monthly)'!$E$2:$E$106,'Additions (monthly)'!$D$2:$D$106,AN$2,'Additions (monthly)'!$B$2:$B$106,"&lt;="&amp;$B74)</f>
        <v>4.3</v>
      </c>
      <c r="AO74" s="46" t="n">
        <f aca="false">SUMIFS('Additions (monthly)'!$E$2:$E$106,'Additions (monthly)'!$D$2:$D$106,AO$2,'Additions (monthly)'!$B$2:$B$106,"&lt;="&amp;$B74)</f>
        <v>10.4</v>
      </c>
      <c r="AP74" s="46" t="n">
        <f aca="false">SUMIFS('Additions (monthly)'!$E$2:$E$106,'Additions (monthly)'!$D$2:$D$106,AP$2,'Additions (monthly)'!$B$2:$B$106,"&lt;="&amp;$B74)</f>
        <v>6.9</v>
      </c>
      <c r="AQ74" s="46" t="n">
        <f aca="false">SUMIFS('Additions (monthly)'!$E$2:$E$106,'Additions (monthly)'!$D$2:$D$106,AQ$2,'Additions (monthly)'!$B$2:$B$106,"&lt;="&amp;$B74)</f>
        <v>4.45</v>
      </c>
      <c r="AR74" s="46" t="n">
        <f aca="false">SUMIFS('Additions (monthly)'!$E$2:$E$106,'Additions (monthly)'!$D$2:$D$106,AR$2,'Additions (monthly)'!$B$2:$B$106,"&lt;="&amp;$B74)</f>
        <v>77.1</v>
      </c>
      <c r="AS74" s="46" t="n">
        <f aca="false">SUMIFS('Additions (monthly)'!$E$2:$E$106,'Additions (monthly)'!$D$2:$D$106,AS$2,'Additions (monthly)'!$B$2:$B$106,"&lt;="&amp;$B74)</f>
        <v>0</v>
      </c>
      <c r="AT74" s="46" t="n">
        <f aca="false">SUMIFS('Additions (monthly)'!$E$2:$E$106,'Additions (monthly)'!$D$2:$D$106,AT$2,'Additions (monthly)'!$B$2:$B$106,"&lt;="&amp;$B74)</f>
        <v>0</v>
      </c>
      <c r="AU74" s="46" t="n">
        <f aca="false">SUMIFS('Additions (monthly)'!$E$2:$E$106,'Additions (monthly)'!$D$2:$D$106,AU$2,'Additions (monthly)'!$B$2:$B$106,"&lt;="&amp;$B74)</f>
        <v>9.6</v>
      </c>
      <c r="AV74" s="46" t="n">
        <f aca="false">SUMIFS('Additions (monthly)'!$E$2:$E$106,'Additions (monthly)'!$D$2:$D$106,AV$2,'Additions (monthly)'!$B$2:$B$106,"&lt;="&amp;$B74)</f>
        <v>0</v>
      </c>
      <c r="AW74" s="46" t="n">
        <f aca="false">SUMIFS('Additions (monthly)'!$E$2:$E$106,'Additions (monthly)'!$D$2:$D$106,AW$2,'Additions (monthly)'!$B$2:$B$106,"&lt;="&amp;$B74)</f>
        <v>0</v>
      </c>
      <c r="AX74" s="46" t="n">
        <f aca="false">SUMIFS('Additions (monthly)'!$E$2:$E$106,'Additions (monthly)'!$D$2:$D$106,AX$2,'Additions (monthly)'!$B$2:$B$106,"&lt;="&amp;$B74)</f>
        <v>11.8</v>
      </c>
      <c r="AY74" s="46" t="n">
        <f aca="false">SUMIFS('Additions (monthly)'!$E$2:$E$106,'Additions (monthly)'!$D$2:$D$106,AY$2,'Additions (monthly)'!$B$2:$B$106,"&lt;="&amp;$B74)</f>
        <v>5.3</v>
      </c>
      <c r="AZ74" s="46" t="n">
        <f aca="false">SUMIFS('Additions (monthly)'!$E$2:$E$106,'Additions (monthly)'!$D$2:$D$106,AZ$2,'Additions (monthly)'!$B$2:$B$106,"&lt;="&amp;$B74)</f>
        <v>0</v>
      </c>
      <c r="BA74" s="46" t="n">
        <f aca="false">SUMIFS('Additions (monthly)'!$E$2:$E$106,'Additions (monthly)'!$D$2:$D$106,BA$2,'Additions (monthly)'!$B$2:$B$106,"&lt;="&amp;$B74)</f>
        <v>0</v>
      </c>
      <c r="BB74" s="46" t="n">
        <f aca="false">SUMIFS('Additions (monthly)'!$E$2:$E$106,'Additions (monthly)'!$D$2:$D$106,BB$2,'Additions (monthly)'!$B$2:$B$106,"&lt;="&amp;$B74)</f>
        <v>0</v>
      </c>
      <c r="BC74" s="46" t="n">
        <f aca="false">SUMIFS('Additions (monthly)'!$E$2:$E$106,'Additions (monthly)'!$D$2:$D$106,BC$2,'Additions (monthly)'!$B$2:$B$106,"&lt;="&amp;$B74)</f>
        <v>0</v>
      </c>
      <c r="BD74" s="46" t="n">
        <f aca="false">SUMIFS('Additions (monthly)'!$E$2:$E$106,'Additions (monthly)'!$D$2:$D$106,BD$2,'Additions (monthly)'!$B$2:$B$106,"&lt;="&amp;$B74)</f>
        <v>0</v>
      </c>
      <c r="BE74" s="46" t="n">
        <f aca="false">SUMIFS('Additions (monthly)'!$E$2:$E$106,'Additions (monthly)'!$D$2:$D$106,BE$2,'Additions (monthly)'!$B$2:$B$106,"&lt;="&amp;$B74)</f>
        <v>0</v>
      </c>
      <c r="BF74" s="46" t="n">
        <f aca="false">SUMIFS('Additions (monthly)'!$E$2:$E$106,'Additions (monthly)'!$D$2:$D$106,BF$2,'Additions (monthly)'!$B$2:$B$106,"&lt;="&amp;$B74)</f>
        <v>0</v>
      </c>
      <c r="BG74" s="46" t="n">
        <f aca="false">SUMIFS('Additions (monthly)'!$E$2:$E$106,'Additions (monthly)'!$D$2:$D$106,BG$2,'Additions (monthly)'!$B$2:$B$106,"&lt;="&amp;$B74)</f>
        <v>0</v>
      </c>
      <c r="BH74" s="46" t="n">
        <f aca="false">SUMIFS('Additions (monthly)'!$E$2:$E$106,'Additions (monthly)'!$D$2:$D$106,BH$2,'Additions (monthly)'!$B$2:$B$106,"&lt;="&amp;$B74)</f>
        <v>0</v>
      </c>
      <c r="BI74" s="46" t="n">
        <f aca="false">SUMIFS('Additions (monthly)'!$E$2:$E$106,'Additions (monthly)'!$D$2:$D$106,BI$2,'Additions (monthly)'!$B$2:$B$106,"&lt;="&amp;$B74)</f>
        <v>6.7</v>
      </c>
    </row>
    <row r="75" customFormat="false" ht="15" hidden="false" customHeight="false" outlineLevel="0" collapsed="false">
      <c r="A75" s="23" t="n">
        <v>42370</v>
      </c>
      <c r="B75" s="24" t="n">
        <v>201601</v>
      </c>
      <c r="C75" s="42" t="n">
        <f aca="false">SUMIFS('Additions (monthly)'!$E$2:$E$106,'Additions (monthly)'!$B$2:$B$106,"&lt;="&amp;$B75)</f>
        <v>323.17</v>
      </c>
      <c r="D75" s="43" t="n">
        <f aca="false">SUMIFS('Additions (monthly)'!$E$2:$E$106,'Additions (monthly)'!$D$2:$D$106,D$2,'Additions (monthly)'!$B$2:$B$106,"&lt;="&amp;$B75)</f>
        <v>7.9</v>
      </c>
      <c r="E75" s="43" t="n">
        <f aca="false">SUMIFS('Additions (monthly)'!$E$2:$E$106,'Additions (monthly)'!$D$2:$D$106,E$2,'Additions (monthly)'!$B$2:$B$106,"&lt;="&amp;$B75)</f>
        <v>8.4</v>
      </c>
      <c r="F75" s="43" t="n">
        <f aca="false">SUMIFS('Additions (monthly)'!$E$2:$E$106,'Additions (monthly)'!$D$2:$D$106,F$2,'Additions (monthly)'!$B$2:$B$106,"&lt;="&amp;$B75)</f>
        <v>4.7</v>
      </c>
      <c r="G75" s="43" t="n">
        <f aca="false">SUMIFS('Additions (monthly)'!$E$2:$E$106,'Additions (monthly)'!$D$2:$D$106,G$2,'Additions (monthly)'!$B$2:$B$106,"&lt;="&amp;$B75)</f>
        <v>4.5</v>
      </c>
      <c r="H75" s="43" t="n">
        <f aca="false">SUMIFS('Additions (monthly)'!$E$2:$E$106,'Additions (monthly)'!$D$2:$D$106,H$2,'Additions (monthly)'!$B$2:$B$106,"&lt;="&amp;$B75)</f>
        <v>5.2</v>
      </c>
      <c r="I75" s="43" t="n">
        <f aca="false">SUMIFS('Additions (monthly)'!$E$2:$E$106,'Additions (monthly)'!$D$2:$D$106,I$2,'Additions (monthly)'!$B$2:$B$106,"&lt;="&amp;$B75)</f>
        <v>9</v>
      </c>
      <c r="J75" s="43" t="n">
        <f aca="false">SUMIFS('Additions (monthly)'!$E$2:$E$106,'Additions (monthly)'!$D$2:$D$106,J$2,'Additions (monthly)'!$B$2:$B$106,"&lt;="&amp;$B75)</f>
        <v>3.7</v>
      </c>
      <c r="K75" s="43" t="n">
        <f aca="false">SUMIFS('Additions (monthly)'!$E$2:$E$106,'Additions (monthly)'!$D$2:$D$106,K$2,'Additions (monthly)'!$B$2:$B$106,"&lt;="&amp;$B75)</f>
        <v>3.9</v>
      </c>
      <c r="L75" s="43" t="n">
        <f aca="false">SUMIFS('Additions (monthly)'!$E$2:$E$106,'Additions (monthly)'!$D$2:$D$106,L$2,'Additions (monthly)'!$B$2:$B$106,"&lt;="&amp;$B75)</f>
        <v>0</v>
      </c>
      <c r="M75" s="43" t="n">
        <f aca="false">SUMIFS('Additions (monthly)'!$E$2:$E$106,'Additions (monthly)'!$D$2:$D$106,M$2,'Additions (monthly)'!$B$2:$B$106,"&lt;="&amp;$B75)</f>
        <v>0</v>
      </c>
      <c r="N75" s="43" t="n">
        <f aca="false">SUMIFS('Additions (monthly)'!$E$2:$E$106,'Additions (monthly)'!$D$2:$D$106,N$2,'Additions (monthly)'!$B$2:$B$106,"&lt;="&amp;$B75)</f>
        <v>14.2</v>
      </c>
      <c r="O75" s="43" t="n">
        <f aca="false">SUMIFS('Additions (monthly)'!$E$2:$E$106,'Additions (monthly)'!$D$2:$D$106,O$2,'Additions (monthly)'!$B$2:$B$106,"&lt;="&amp;$B75)</f>
        <v>4.9</v>
      </c>
      <c r="P75" s="43" t="n">
        <f aca="false">SUMIFS('Additions (monthly)'!$E$2:$E$106,'Additions (monthly)'!$D$2:$D$106,P$2,'Additions (monthly)'!$B$2:$B$106,"&lt;="&amp;$B75)</f>
        <v>0</v>
      </c>
      <c r="Q75" s="43" t="n">
        <f aca="false">SUMIFS('Additions (monthly)'!$E$2:$E$106,'Additions (monthly)'!$D$2:$D$106,Q$2,'Additions (monthly)'!$B$2:$B$106,"&lt;="&amp;$B75)</f>
        <v>8.5</v>
      </c>
      <c r="R75" s="43" t="n">
        <f aca="false">SUMIFS('Additions (monthly)'!$E$2:$E$106,'Additions (monthly)'!$D$2:$D$106,R$2,'Additions (monthly)'!$B$2:$B$106,"&lt;="&amp;$B75)</f>
        <v>0</v>
      </c>
      <c r="S75" s="43" t="n">
        <f aca="false">SUMIFS('Additions (monthly)'!$E$2:$E$106,'Additions (monthly)'!$D$2:$D$106,S$2,'Additions (monthly)'!$B$2:$B$106,"&lt;="&amp;$B75)</f>
        <v>7.2</v>
      </c>
      <c r="T75" s="43" t="n">
        <f aca="false">SUMIFS('Additions (monthly)'!$E$2:$E$106,'Additions (monthly)'!$D$2:$D$106,T$2,'Additions (monthly)'!$B$2:$B$106,"&lt;="&amp;$B75)</f>
        <v>0</v>
      </c>
      <c r="U75" s="43" t="n">
        <f aca="false">SUMIFS('Additions (monthly)'!$E$2:$E$106,'Additions (monthly)'!$D$2:$D$106,U$2,'Additions (monthly)'!$B$2:$B$106,"&lt;="&amp;$B75)</f>
        <v>0</v>
      </c>
      <c r="V75" s="43" t="n">
        <f aca="false">SUMIFS('Additions (monthly)'!$E$2:$E$106,'Additions (monthly)'!$D$2:$D$106,V$2,'Additions (monthly)'!$B$2:$B$106,"&lt;="&amp;$B75)</f>
        <v>3.87</v>
      </c>
      <c r="W75" s="43" t="n">
        <f aca="false">SUMIFS('Additions (monthly)'!$E$2:$E$106,'Additions (monthly)'!$D$2:$D$106,W$2,'Additions (monthly)'!$B$2:$B$106,"&lt;="&amp;$B75)</f>
        <v>0</v>
      </c>
      <c r="X75" s="43" t="n">
        <f aca="false">SUMIFS('Additions (monthly)'!$E$2:$E$106,'Additions (monthly)'!$D$2:$D$106,X$2,'Additions (monthly)'!$B$2:$B$106,"&lt;="&amp;$B75)</f>
        <v>0</v>
      </c>
      <c r="Y75" s="43" t="n">
        <f aca="false">SUMIFS('Additions (monthly)'!$E$2:$E$106,'Additions (monthly)'!$D$2:$D$106,Y$2,'Additions (monthly)'!$B$2:$B$106,"&lt;="&amp;$B75)</f>
        <v>5</v>
      </c>
      <c r="Z75" s="43" t="n">
        <f aca="false">SUMIFS('Additions (monthly)'!$E$2:$E$106,'Additions (monthly)'!$D$2:$D$106,Z$2,'Additions (monthly)'!$B$2:$B$106,"&lt;="&amp;$B75)</f>
        <v>7.2</v>
      </c>
      <c r="AA75" s="43" t="n">
        <f aca="false">SUMIFS('Additions (monthly)'!$E$2:$E$106,'Additions (monthly)'!$D$2:$D$106,AA$2,'Additions (monthly)'!$B$2:$B$106,"&lt;="&amp;$B75)</f>
        <v>3.7</v>
      </c>
      <c r="AB75" s="43" t="n">
        <f aca="false">SUMIFS('Additions (monthly)'!$E$2:$E$106,'Additions (monthly)'!$D$2:$D$106,AB$2,'Additions (monthly)'!$B$2:$B$106,"&lt;="&amp;$B75)</f>
        <v>16.95</v>
      </c>
      <c r="AC75" s="43" t="n">
        <f aca="false">SUMIFS('Additions (monthly)'!$E$2:$E$106,'Additions (monthly)'!$D$2:$D$106,AC$2,'Additions (monthly)'!$B$2:$B$106,"&lt;="&amp;$B75)</f>
        <v>2</v>
      </c>
      <c r="AD75" s="43" t="n">
        <f aca="false">SUMIFS('Additions (monthly)'!$E$2:$E$106,'Additions (monthly)'!$D$2:$D$106,AD$2,'Additions (monthly)'!$B$2:$B$106,"&lt;="&amp;$B75)</f>
        <v>7.6</v>
      </c>
      <c r="AE75" s="43" t="n">
        <f aca="false">SUMIFS('Additions (monthly)'!$E$2:$E$106,'Additions (monthly)'!$D$2:$D$106,AE$2,'Additions (monthly)'!$B$2:$B$106,"&lt;="&amp;$B75)</f>
        <v>25.7</v>
      </c>
      <c r="AF75" s="43" t="n">
        <f aca="false">SUMIFS('Additions (monthly)'!$E$2:$E$106,'Additions (monthly)'!$D$2:$D$106,AF$2,'Additions (monthly)'!$B$2:$B$106,"&lt;="&amp;$B75)</f>
        <v>0</v>
      </c>
      <c r="AG75" s="43" t="n">
        <f aca="false">SUMIFS('Additions (monthly)'!$E$2:$E$106,'Additions (monthly)'!$D$2:$D$106,AG$2,'Additions (monthly)'!$B$2:$B$106,"&lt;="&amp;$B75)</f>
        <v>0</v>
      </c>
      <c r="AH75" s="43" t="n">
        <f aca="false">SUMIFS('Additions (monthly)'!$E$2:$E$106,'Additions (monthly)'!$D$2:$D$106,AH$2,'Additions (monthly)'!$B$2:$B$106,"&lt;="&amp;$B75)</f>
        <v>0</v>
      </c>
      <c r="AI75" s="43" t="n">
        <f aca="false">SUMIFS('Additions (monthly)'!$E$2:$E$106,'Additions (monthly)'!$D$2:$D$106,AI$2,'Additions (monthly)'!$B$2:$B$106,"&lt;="&amp;$B75)</f>
        <v>0</v>
      </c>
      <c r="AJ75" s="43" t="n">
        <f aca="false">SUMIFS('Additions (monthly)'!$E$2:$E$106,'Additions (monthly)'!$D$2:$D$106,AJ$2,'Additions (monthly)'!$B$2:$B$106,"&lt;="&amp;$B75)</f>
        <v>0</v>
      </c>
      <c r="AK75" s="43" t="n">
        <f aca="false">SUMIFS('Additions (monthly)'!$E$2:$E$106,'Additions (monthly)'!$D$2:$D$106,AK$2,'Additions (monthly)'!$B$2:$B$106,"&lt;="&amp;$B75)</f>
        <v>0</v>
      </c>
      <c r="AL75" s="43" t="n">
        <f aca="false">SUMIFS('Additions (monthly)'!$E$2:$E$106,'Additions (monthly)'!$D$2:$D$106,AL$2,'Additions (monthly)'!$B$2:$B$106,"&lt;="&amp;$B75)</f>
        <v>22.2</v>
      </c>
      <c r="AM75" s="43" t="n">
        <f aca="false">SUMIFS('Additions (monthly)'!$E$2:$E$106,'Additions (monthly)'!$D$2:$D$106,AM$2,'Additions (monthly)'!$B$2:$B$106,"&lt;="&amp;$B75)</f>
        <v>0.3</v>
      </c>
      <c r="AN75" s="43" t="n">
        <f aca="false">SUMIFS('Additions (monthly)'!$E$2:$E$106,'Additions (monthly)'!$D$2:$D$106,AN$2,'Additions (monthly)'!$B$2:$B$106,"&lt;="&amp;$B75)</f>
        <v>4.3</v>
      </c>
      <c r="AO75" s="43" t="n">
        <f aca="false">SUMIFS('Additions (monthly)'!$E$2:$E$106,'Additions (monthly)'!$D$2:$D$106,AO$2,'Additions (monthly)'!$B$2:$B$106,"&lt;="&amp;$B75)</f>
        <v>10.4</v>
      </c>
      <c r="AP75" s="43" t="n">
        <f aca="false">SUMIFS('Additions (monthly)'!$E$2:$E$106,'Additions (monthly)'!$D$2:$D$106,AP$2,'Additions (monthly)'!$B$2:$B$106,"&lt;="&amp;$B75)</f>
        <v>6.9</v>
      </c>
      <c r="AQ75" s="43" t="n">
        <f aca="false">SUMIFS('Additions (monthly)'!$E$2:$E$106,'Additions (monthly)'!$D$2:$D$106,AQ$2,'Additions (monthly)'!$B$2:$B$106,"&lt;="&amp;$B75)</f>
        <v>4.45</v>
      </c>
      <c r="AR75" s="43" t="n">
        <f aca="false">SUMIFS('Additions (monthly)'!$E$2:$E$106,'Additions (monthly)'!$D$2:$D$106,AR$2,'Additions (monthly)'!$B$2:$B$106,"&lt;="&amp;$B75)</f>
        <v>77.1</v>
      </c>
      <c r="AS75" s="43" t="n">
        <f aca="false">SUMIFS('Additions (monthly)'!$E$2:$E$106,'Additions (monthly)'!$D$2:$D$106,AS$2,'Additions (monthly)'!$B$2:$B$106,"&lt;="&amp;$B75)</f>
        <v>0</v>
      </c>
      <c r="AT75" s="43" t="n">
        <f aca="false">SUMIFS('Additions (monthly)'!$E$2:$E$106,'Additions (monthly)'!$D$2:$D$106,AT$2,'Additions (monthly)'!$B$2:$B$106,"&lt;="&amp;$B75)</f>
        <v>0</v>
      </c>
      <c r="AU75" s="43" t="n">
        <f aca="false">SUMIFS('Additions (monthly)'!$E$2:$E$106,'Additions (monthly)'!$D$2:$D$106,AU$2,'Additions (monthly)'!$B$2:$B$106,"&lt;="&amp;$B75)</f>
        <v>9.6</v>
      </c>
      <c r="AV75" s="43" t="n">
        <f aca="false">SUMIFS('Additions (monthly)'!$E$2:$E$106,'Additions (monthly)'!$D$2:$D$106,AV$2,'Additions (monthly)'!$B$2:$B$106,"&lt;="&amp;$B75)</f>
        <v>0</v>
      </c>
      <c r="AW75" s="43" t="n">
        <f aca="false">SUMIFS('Additions (monthly)'!$E$2:$E$106,'Additions (monthly)'!$D$2:$D$106,AW$2,'Additions (monthly)'!$B$2:$B$106,"&lt;="&amp;$B75)</f>
        <v>0</v>
      </c>
      <c r="AX75" s="43" t="n">
        <f aca="false">SUMIFS('Additions (monthly)'!$E$2:$E$106,'Additions (monthly)'!$D$2:$D$106,AX$2,'Additions (monthly)'!$B$2:$B$106,"&lt;="&amp;$B75)</f>
        <v>11.8</v>
      </c>
      <c r="AY75" s="43" t="n">
        <f aca="false">SUMIFS('Additions (monthly)'!$E$2:$E$106,'Additions (monthly)'!$D$2:$D$106,AY$2,'Additions (monthly)'!$B$2:$B$106,"&lt;="&amp;$B75)</f>
        <v>5.3</v>
      </c>
      <c r="AZ75" s="43" t="n">
        <f aca="false">SUMIFS('Additions (monthly)'!$E$2:$E$106,'Additions (monthly)'!$D$2:$D$106,AZ$2,'Additions (monthly)'!$B$2:$B$106,"&lt;="&amp;$B75)</f>
        <v>0</v>
      </c>
      <c r="BA75" s="43" t="n">
        <f aca="false">SUMIFS('Additions (monthly)'!$E$2:$E$106,'Additions (monthly)'!$D$2:$D$106,BA$2,'Additions (monthly)'!$B$2:$B$106,"&lt;="&amp;$B75)</f>
        <v>0</v>
      </c>
      <c r="BB75" s="43" t="n">
        <f aca="false">SUMIFS('Additions (monthly)'!$E$2:$E$106,'Additions (monthly)'!$D$2:$D$106,BB$2,'Additions (monthly)'!$B$2:$B$106,"&lt;="&amp;$B75)</f>
        <v>0</v>
      </c>
      <c r="BC75" s="43" t="n">
        <f aca="false">SUMIFS('Additions (monthly)'!$E$2:$E$106,'Additions (monthly)'!$D$2:$D$106,BC$2,'Additions (monthly)'!$B$2:$B$106,"&lt;="&amp;$B75)</f>
        <v>0</v>
      </c>
      <c r="BD75" s="43" t="n">
        <f aca="false">SUMIFS('Additions (monthly)'!$E$2:$E$106,'Additions (monthly)'!$D$2:$D$106,BD$2,'Additions (monthly)'!$B$2:$B$106,"&lt;="&amp;$B75)</f>
        <v>0</v>
      </c>
      <c r="BE75" s="43" t="n">
        <f aca="false">SUMIFS('Additions (monthly)'!$E$2:$E$106,'Additions (monthly)'!$D$2:$D$106,BE$2,'Additions (monthly)'!$B$2:$B$106,"&lt;="&amp;$B75)</f>
        <v>0</v>
      </c>
      <c r="BF75" s="43" t="n">
        <f aca="false">SUMIFS('Additions (monthly)'!$E$2:$E$106,'Additions (monthly)'!$D$2:$D$106,BF$2,'Additions (monthly)'!$B$2:$B$106,"&lt;="&amp;$B75)</f>
        <v>0</v>
      </c>
      <c r="BG75" s="43" t="n">
        <f aca="false">SUMIFS('Additions (monthly)'!$E$2:$E$106,'Additions (monthly)'!$D$2:$D$106,BG$2,'Additions (monthly)'!$B$2:$B$106,"&lt;="&amp;$B75)</f>
        <v>0</v>
      </c>
      <c r="BH75" s="43" t="n">
        <f aca="false">SUMIFS('Additions (monthly)'!$E$2:$E$106,'Additions (monthly)'!$D$2:$D$106,BH$2,'Additions (monthly)'!$B$2:$B$106,"&lt;="&amp;$B75)</f>
        <v>10</v>
      </c>
      <c r="BI75" s="43" t="n">
        <f aca="false">SUMIFS('Additions (monthly)'!$E$2:$E$106,'Additions (monthly)'!$D$2:$D$106,BI$2,'Additions (monthly)'!$B$2:$B$106,"&lt;="&amp;$B75)</f>
        <v>6.7</v>
      </c>
    </row>
    <row r="76" customFormat="false" ht="15" hidden="false" customHeight="false" outlineLevel="0" collapsed="false">
      <c r="A76" s="23" t="n">
        <v>42401</v>
      </c>
      <c r="B76" s="24" t="n">
        <v>201602</v>
      </c>
      <c r="C76" s="42" t="n">
        <f aca="false">SUMIFS('Additions (monthly)'!$E$2:$E$106,'Additions (monthly)'!$B$2:$B$106,"&lt;="&amp;$B76)</f>
        <v>323.17</v>
      </c>
      <c r="D76" s="43" t="n">
        <f aca="false">SUMIFS('Additions (monthly)'!$E$2:$E$106,'Additions (monthly)'!$D$2:$D$106,D$2,'Additions (monthly)'!$B$2:$B$106,"&lt;="&amp;$B76)</f>
        <v>7.9</v>
      </c>
      <c r="E76" s="43" t="n">
        <f aca="false">SUMIFS('Additions (monthly)'!$E$2:$E$106,'Additions (monthly)'!$D$2:$D$106,E$2,'Additions (monthly)'!$B$2:$B$106,"&lt;="&amp;$B76)</f>
        <v>8.4</v>
      </c>
      <c r="F76" s="43" t="n">
        <f aca="false">SUMIFS('Additions (monthly)'!$E$2:$E$106,'Additions (monthly)'!$D$2:$D$106,F$2,'Additions (monthly)'!$B$2:$B$106,"&lt;="&amp;$B76)</f>
        <v>4.7</v>
      </c>
      <c r="G76" s="43" t="n">
        <f aca="false">SUMIFS('Additions (monthly)'!$E$2:$E$106,'Additions (monthly)'!$D$2:$D$106,G$2,'Additions (monthly)'!$B$2:$B$106,"&lt;="&amp;$B76)</f>
        <v>4.5</v>
      </c>
      <c r="H76" s="43" t="n">
        <f aca="false">SUMIFS('Additions (monthly)'!$E$2:$E$106,'Additions (monthly)'!$D$2:$D$106,H$2,'Additions (monthly)'!$B$2:$B$106,"&lt;="&amp;$B76)</f>
        <v>5.2</v>
      </c>
      <c r="I76" s="43" t="n">
        <f aca="false">SUMIFS('Additions (monthly)'!$E$2:$E$106,'Additions (monthly)'!$D$2:$D$106,I$2,'Additions (monthly)'!$B$2:$B$106,"&lt;="&amp;$B76)</f>
        <v>9</v>
      </c>
      <c r="J76" s="43" t="n">
        <f aca="false">SUMIFS('Additions (monthly)'!$E$2:$E$106,'Additions (monthly)'!$D$2:$D$106,J$2,'Additions (monthly)'!$B$2:$B$106,"&lt;="&amp;$B76)</f>
        <v>3.7</v>
      </c>
      <c r="K76" s="43" t="n">
        <f aca="false">SUMIFS('Additions (monthly)'!$E$2:$E$106,'Additions (monthly)'!$D$2:$D$106,K$2,'Additions (monthly)'!$B$2:$B$106,"&lt;="&amp;$B76)</f>
        <v>3.9</v>
      </c>
      <c r="L76" s="43" t="n">
        <f aca="false">SUMIFS('Additions (monthly)'!$E$2:$E$106,'Additions (monthly)'!$D$2:$D$106,L$2,'Additions (monthly)'!$B$2:$B$106,"&lt;="&amp;$B76)</f>
        <v>0</v>
      </c>
      <c r="M76" s="43" t="n">
        <f aca="false">SUMIFS('Additions (monthly)'!$E$2:$E$106,'Additions (monthly)'!$D$2:$D$106,M$2,'Additions (monthly)'!$B$2:$B$106,"&lt;="&amp;$B76)</f>
        <v>0</v>
      </c>
      <c r="N76" s="43" t="n">
        <f aca="false">SUMIFS('Additions (monthly)'!$E$2:$E$106,'Additions (monthly)'!$D$2:$D$106,N$2,'Additions (monthly)'!$B$2:$B$106,"&lt;="&amp;$B76)</f>
        <v>14.2</v>
      </c>
      <c r="O76" s="43" t="n">
        <f aca="false">SUMIFS('Additions (monthly)'!$E$2:$E$106,'Additions (monthly)'!$D$2:$D$106,O$2,'Additions (monthly)'!$B$2:$B$106,"&lt;="&amp;$B76)</f>
        <v>4.9</v>
      </c>
      <c r="P76" s="43" t="n">
        <f aca="false">SUMIFS('Additions (monthly)'!$E$2:$E$106,'Additions (monthly)'!$D$2:$D$106,P$2,'Additions (monthly)'!$B$2:$B$106,"&lt;="&amp;$B76)</f>
        <v>0</v>
      </c>
      <c r="Q76" s="43" t="n">
        <f aca="false">SUMIFS('Additions (monthly)'!$E$2:$E$106,'Additions (monthly)'!$D$2:$D$106,Q$2,'Additions (monthly)'!$B$2:$B$106,"&lt;="&amp;$B76)</f>
        <v>8.5</v>
      </c>
      <c r="R76" s="43" t="n">
        <f aca="false">SUMIFS('Additions (monthly)'!$E$2:$E$106,'Additions (monthly)'!$D$2:$D$106,R$2,'Additions (monthly)'!$B$2:$B$106,"&lt;="&amp;$B76)</f>
        <v>0</v>
      </c>
      <c r="S76" s="43" t="n">
        <f aca="false">SUMIFS('Additions (monthly)'!$E$2:$E$106,'Additions (monthly)'!$D$2:$D$106,S$2,'Additions (monthly)'!$B$2:$B$106,"&lt;="&amp;$B76)</f>
        <v>7.2</v>
      </c>
      <c r="T76" s="43" t="n">
        <f aca="false">SUMIFS('Additions (monthly)'!$E$2:$E$106,'Additions (monthly)'!$D$2:$D$106,T$2,'Additions (monthly)'!$B$2:$B$106,"&lt;="&amp;$B76)</f>
        <v>0</v>
      </c>
      <c r="U76" s="43" t="n">
        <f aca="false">SUMIFS('Additions (monthly)'!$E$2:$E$106,'Additions (monthly)'!$D$2:$D$106,U$2,'Additions (monthly)'!$B$2:$B$106,"&lt;="&amp;$B76)</f>
        <v>0</v>
      </c>
      <c r="V76" s="43" t="n">
        <f aca="false">SUMIFS('Additions (monthly)'!$E$2:$E$106,'Additions (monthly)'!$D$2:$D$106,V$2,'Additions (monthly)'!$B$2:$B$106,"&lt;="&amp;$B76)</f>
        <v>3.87</v>
      </c>
      <c r="W76" s="43" t="n">
        <f aca="false">SUMIFS('Additions (monthly)'!$E$2:$E$106,'Additions (monthly)'!$D$2:$D$106,W$2,'Additions (monthly)'!$B$2:$B$106,"&lt;="&amp;$B76)</f>
        <v>0</v>
      </c>
      <c r="X76" s="43" t="n">
        <f aca="false">SUMIFS('Additions (monthly)'!$E$2:$E$106,'Additions (monthly)'!$D$2:$D$106,X$2,'Additions (monthly)'!$B$2:$B$106,"&lt;="&amp;$B76)</f>
        <v>0</v>
      </c>
      <c r="Y76" s="43" t="n">
        <f aca="false">SUMIFS('Additions (monthly)'!$E$2:$E$106,'Additions (monthly)'!$D$2:$D$106,Y$2,'Additions (monthly)'!$B$2:$B$106,"&lt;="&amp;$B76)</f>
        <v>5</v>
      </c>
      <c r="Z76" s="43" t="n">
        <f aca="false">SUMIFS('Additions (monthly)'!$E$2:$E$106,'Additions (monthly)'!$D$2:$D$106,Z$2,'Additions (monthly)'!$B$2:$B$106,"&lt;="&amp;$B76)</f>
        <v>7.2</v>
      </c>
      <c r="AA76" s="43" t="n">
        <f aca="false">SUMIFS('Additions (monthly)'!$E$2:$E$106,'Additions (monthly)'!$D$2:$D$106,AA$2,'Additions (monthly)'!$B$2:$B$106,"&lt;="&amp;$B76)</f>
        <v>3.7</v>
      </c>
      <c r="AB76" s="43" t="n">
        <f aca="false">SUMIFS('Additions (monthly)'!$E$2:$E$106,'Additions (monthly)'!$D$2:$D$106,AB$2,'Additions (monthly)'!$B$2:$B$106,"&lt;="&amp;$B76)</f>
        <v>16.95</v>
      </c>
      <c r="AC76" s="43" t="n">
        <f aca="false">SUMIFS('Additions (monthly)'!$E$2:$E$106,'Additions (monthly)'!$D$2:$D$106,AC$2,'Additions (monthly)'!$B$2:$B$106,"&lt;="&amp;$B76)</f>
        <v>2</v>
      </c>
      <c r="AD76" s="43" t="n">
        <f aca="false">SUMIFS('Additions (monthly)'!$E$2:$E$106,'Additions (monthly)'!$D$2:$D$106,AD$2,'Additions (monthly)'!$B$2:$B$106,"&lt;="&amp;$B76)</f>
        <v>7.6</v>
      </c>
      <c r="AE76" s="43" t="n">
        <f aca="false">SUMIFS('Additions (monthly)'!$E$2:$E$106,'Additions (monthly)'!$D$2:$D$106,AE$2,'Additions (monthly)'!$B$2:$B$106,"&lt;="&amp;$B76)</f>
        <v>25.7</v>
      </c>
      <c r="AF76" s="43" t="n">
        <f aca="false">SUMIFS('Additions (monthly)'!$E$2:$E$106,'Additions (monthly)'!$D$2:$D$106,AF$2,'Additions (monthly)'!$B$2:$B$106,"&lt;="&amp;$B76)</f>
        <v>0</v>
      </c>
      <c r="AG76" s="43" t="n">
        <f aca="false">SUMIFS('Additions (monthly)'!$E$2:$E$106,'Additions (monthly)'!$D$2:$D$106,AG$2,'Additions (monthly)'!$B$2:$B$106,"&lt;="&amp;$B76)</f>
        <v>0</v>
      </c>
      <c r="AH76" s="43" t="n">
        <f aca="false">SUMIFS('Additions (monthly)'!$E$2:$E$106,'Additions (monthly)'!$D$2:$D$106,AH$2,'Additions (monthly)'!$B$2:$B$106,"&lt;="&amp;$B76)</f>
        <v>0</v>
      </c>
      <c r="AI76" s="43" t="n">
        <f aca="false">SUMIFS('Additions (monthly)'!$E$2:$E$106,'Additions (monthly)'!$D$2:$D$106,AI$2,'Additions (monthly)'!$B$2:$B$106,"&lt;="&amp;$B76)</f>
        <v>0</v>
      </c>
      <c r="AJ76" s="43" t="n">
        <f aca="false">SUMIFS('Additions (monthly)'!$E$2:$E$106,'Additions (monthly)'!$D$2:$D$106,AJ$2,'Additions (monthly)'!$B$2:$B$106,"&lt;="&amp;$B76)</f>
        <v>0</v>
      </c>
      <c r="AK76" s="43" t="n">
        <f aca="false">SUMIFS('Additions (monthly)'!$E$2:$E$106,'Additions (monthly)'!$D$2:$D$106,AK$2,'Additions (monthly)'!$B$2:$B$106,"&lt;="&amp;$B76)</f>
        <v>0</v>
      </c>
      <c r="AL76" s="43" t="n">
        <f aca="false">SUMIFS('Additions (monthly)'!$E$2:$E$106,'Additions (monthly)'!$D$2:$D$106,AL$2,'Additions (monthly)'!$B$2:$B$106,"&lt;="&amp;$B76)</f>
        <v>22.2</v>
      </c>
      <c r="AM76" s="43" t="n">
        <f aca="false">SUMIFS('Additions (monthly)'!$E$2:$E$106,'Additions (monthly)'!$D$2:$D$106,AM$2,'Additions (monthly)'!$B$2:$B$106,"&lt;="&amp;$B76)</f>
        <v>0.3</v>
      </c>
      <c r="AN76" s="43" t="n">
        <f aca="false">SUMIFS('Additions (monthly)'!$E$2:$E$106,'Additions (monthly)'!$D$2:$D$106,AN$2,'Additions (monthly)'!$B$2:$B$106,"&lt;="&amp;$B76)</f>
        <v>4.3</v>
      </c>
      <c r="AO76" s="43" t="n">
        <f aca="false">SUMIFS('Additions (monthly)'!$E$2:$E$106,'Additions (monthly)'!$D$2:$D$106,AO$2,'Additions (monthly)'!$B$2:$B$106,"&lt;="&amp;$B76)</f>
        <v>10.4</v>
      </c>
      <c r="AP76" s="43" t="n">
        <f aca="false">SUMIFS('Additions (monthly)'!$E$2:$E$106,'Additions (monthly)'!$D$2:$D$106,AP$2,'Additions (monthly)'!$B$2:$B$106,"&lt;="&amp;$B76)</f>
        <v>6.9</v>
      </c>
      <c r="AQ76" s="43" t="n">
        <f aca="false">SUMIFS('Additions (monthly)'!$E$2:$E$106,'Additions (monthly)'!$D$2:$D$106,AQ$2,'Additions (monthly)'!$B$2:$B$106,"&lt;="&amp;$B76)</f>
        <v>4.45</v>
      </c>
      <c r="AR76" s="43" t="n">
        <f aca="false">SUMIFS('Additions (monthly)'!$E$2:$E$106,'Additions (monthly)'!$D$2:$D$106,AR$2,'Additions (monthly)'!$B$2:$B$106,"&lt;="&amp;$B76)</f>
        <v>77.1</v>
      </c>
      <c r="AS76" s="43" t="n">
        <f aca="false">SUMIFS('Additions (monthly)'!$E$2:$E$106,'Additions (monthly)'!$D$2:$D$106,AS$2,'Additions (monthly)'!$B$2:$B$106,"&lt;="&amp;$B76)</f>
        <v>0</v>
      </c>
      <c r="AT76" s="43" t="n">
        <f aca="false">SUMIFS('Additions (monthly)'!$E$2:$E$106,'Additions (monthly)'!$D$2:$D$106,AT$2,'Additions (monthly)'!$B$2:$B$106,"&lt;="&amp;$B76)</f>
        <v>0</v>
      </c>
      <c r="AU76" s="43" t="n">
        <f aca="false">SUMIFS('Additions (monthly)'!$E$2:$E$106,'Additions (monthly)'!$D$2:$D$106,AU$2,'Additions (monthly)'!$B$2:$B$106,"&lt;="&amp;$B76)</f>
        <v>9.6</v>
      </c>
      <c r="AV76" s="43" t="n">
        <f aca="false">SUMIFS('Additions (monthly)'!$E$2:$E$106,'Additions (monthly)'!$D$2:$D$106,AV$2,'Additions (monthly)'!$B$2:$B$106,"&lt;="&amp;$B76)</f>
        <v>0</v>
      </c>
      <c r="AW76" s="43" t="n">
        <f aca="false">SUMIFS('Additions (monthly)'!$E$2:$E$106,'Additions (monthly)'!$D$2:$D$106,AW$2,'Additions (monthly)'!$B$2:$B$106,"&lt;="&amp;$B76)</f>
        <v>0</v>
      </c>
      <c r="AX76" s="43" t="n">
        <f aca="false">SUMIFS('Additions (monthly)'!$E$2:$E$106,'Additions (monthly)'!$D$2:$D$106,AX$2,'Additions (monthly)'!$B$2:$B$106,"&lt;="&amp;$B76)</f>
        <v>11.8</v>
      </c>
      <c r="AY76" s="43" t="n">
        <f aca="false">SUMIFS('Additions (monthly)'!$E$2:$E$106,'Additions (monthly)'!$D$2:$D$106,AY$2,'Additions (monthly)'!$B$2:$B$106,"&lt;="&amp;$B76)</f>
        <v>5.3</v>
      </c>
      <c r="AZ76" s="43" t="n">
        <f aca="false">SUMIFS('Additions (monthly)'!$E$2:$E$106,'Additions (monthly)'!$D$2:$D$106,AZ$2,'Additions (monthly)'!$B$2:$B$106,"&lt;="&amp;$B76)</f>
        <v>0</v>
      </c>
      <c r="BA76" s="43" t="n">
        <f aca="false">SUMIFS('Additions (monthly)'!$E$2:$E$106,'Additions (monthly)'!$D$2:$D$106,BA$2,'Additions (monthly)'!$B$2:$B$106,"&lt;="&amp;$B76)</f>
        <v>0</v>
      </c>
      <c r="BB76" s="43" t="n">
        <f aca="false">SUMIFS('Additions (monthly)'!$E$2:$E$106,'Additions (monthly)'!$D$2:$D$106,BB$2,'Additions (monthly)'!$B$2:$B$106,"&lt;="&amp;$B76)</f>
        <v>0</v>
      </c>
      <c r="BC76" s="43" t="n">
        <f aca="false">SUMIFS('Additions (monthly)'!$E$2:$E$106,'Additions (monthly)'!$D$2:$D$106,BC$2,'Additions (monthly)'!$B$2:$B$106,"&lt;="&amp;$B76)</f>
        <v>0</v>
      </c>
      <c r="BD76" s="43" t="n">
        <f aca="false">SUMIFS('Additions (monthly)'!$E$2:$E$106,'Additions (monthly)'!$D$2:$D$106,BD$2,'Additions (monthly)'!$B$2:$B$106,"&lt;="&amp;$B76)</f>
        <v>0</v>
      </c>
      <c r="BE76" s="43" t="n">
        <f aca="false">SUMIFS('Additions (monthly)'!$E$2:$E$106,'Additions (monthly)'!$D$2:$D$106,BE$2,'Additions (monthly)'!$B$2:$B$106,"&lt;="&amp;$B76)</f>
        <v>0</v>
      </c>
      <c r="BF76" s="43" t="n">
        <f aca="false">SUMIFS('Additions (monthly)'!$E$2:$E$106,'Additions (monthly)'!$D$2:$D$106,BF$2,'Additions (monthly)'!$B$2:$B$106,"&lt;="&amp;$B76)</f>
        <v>0</v>
      </c>
      <c r="BG76" s="43" t="n">
        <f aca="false">SUMIFS('Additions (monthly)'!$E$2:$E$106,'Additions (monthly)'!$D$2:$D$106,BG$2,'Additions (monthly)'!$B$2:$B$106,"&lt;="&amp;$B76)</f>
        <v>0</v>
      </c>
      <c r="BH76" s="43" t="n">
        <f aca="false">SUMIFS('Additions (monthly)'!$E$2:$E$106,'Additions (monthly)'!$D$2:$D$106,BH$2,'Additions (monthly)'!$B$2:$B$106,"&lt;="&amp;$B76)</f>
        <v>10</v>
      </c>
      <c r="BI76" s="43" t="n">
        <f aca="false">SUMIFS('Additions (monthly)'!$E$2:$E$106,'Additions (monthly)'!$D$2:$D$106,BI$2,'Additions (monthly)'!$B$2:$B$106,"&lt;="&amp;$B76)</f>
        <v>6.7</v>
      </c>
    </row>
    <row r="77" customFormat="false" ht="15" hidden="false" customHeight="false" outlineLevel="0" collapsed="false">
      <c r="A77" s="23" t="n">
        <v>42430</v>
      </c>
      <c r="B77" s="24" t="n">
        <v>201603</v>
      </c>
      <c r="C77" s="42" t="n">
        <f aca="false">SUMIFS('Additions (monthly)'!$E$2:$E$106,'Additions (monthly)'!$B$2:$B$106,"&lt;="&amp;$B77)</f>
        <v>338.77</v>
      </c>
      <c r="D77" s="43" t="n">
        <f aca="false">SUMIFS('Additions (monthly)'!$E$2:$E$106,'Additions (monthly)'!$D$2:$D$106,D$2,'Additions (monthly)'!$B$2:$B$106,"&lt;="&amp;$B77)</f>
        <v>7.9</v>
      </c>
      <c r="E77" s="43" t="n">
        <f aca="false">SUMIFS('Additions (monthly)'!$E$2:$E$106,'Additions (monthly)'!$D$2:$D$106,E$2,'Additions (monthly)'!$B$2:$B$106,"&lt;="&amp;$B77)</f>
        <v>8.4</v>
      </c>
      <c r="F77" s="43" t="n">
        <f aca="false">SUMIFS('Additions (monthly)'!$E$2:$E$106,'Additions (monthly)'!$D$2:$D$106,F$2,'Additions (monthly)'!$B$2:$B$106,"&lt;="&amp;$B77)</f>
        <v>4.7</v>
      </c>
      <c r="G77" s="43" t="n">
        <f aca="false">SUMIFS('Additions (monthly)'!$E$2:$E$106,'Additions (monthly)'!$D$2:$D$106,G$2,'Additions (monthly)'!$B$2:$B$106,"&lt;="&amp;$B77)</f>
        <v>4.5</v>
      </c>
      <c r="H77" s="43" t="n">
        <f aca="false">SUMIFS('Additions (monthly)'!$E$2:$E$106,'Additions (monthly)'!$D$2:$D$106,H$2,'Additions (monthly)'!$B$2:$B$106,"&lt;="&amp;$B77)</f>
        <v>5.2</v>
      </c>
      <c r="I77" s="43" t="n">
        <f aca="false">SUMIFS('Additions (monthly)'!$E$2:$E$106,'Additions (monthly)'!$D$2:$D$106,I$2,'Additions (monthly)'!$B$2:$B$106,"&lt;="&amp;$B77)</f>
        <v>9</v>
      </c>
      <c r="J77" s="43" t="n">
        <f aca="false">SUMIFS('Additions (monthly)'!$E$2:$E$106,'Additions (monthly)'!$D$2:$D$106,J$2,'Additions (monthly)'!$B$2:$B$106,"&lt;="&amp;$B77)</f>
        <v>3.7</v>
      </c>
      <c r="K77" s="43" t="n">
        <f aca="false">SUMIFS('Additions (monthly)'!$E$2:$E$106,'Additions (monthly)'!$D$2:$D$106,K$2,'Additions (monthly)'!$B$2:$B$106,"&lt;="&amp;$B77)</f>
        <v>3.9</v>
      </c>
      <c r="L77" s="43" t="n">
        <f aca="false">SUMIFS('Additions (monthly)'!$E$2:$E$106,'Additions (monthly)'!$D$2:$D$106,L$2,'Additions (monthly)'!$B$2:$B$106,"&lt;="&amp;$B77)</f>
        <v>15.6</v>
      </c>
      <c r="M77" s="43" t="n">
        <f aca="false">SUMIFS('Additions (monthly)'!$E$2:$E$106,'Additions (monthly)'!$D$2:$D$106,M$2,'Additions (monthly)'!$B$2:$B$106,"&lt;="&amp;$B77)</f>
        <v>0</v>
      </c>
      <c r="N77" s="43" t="n">
        <f aca="false">SUMIFS('Additions (monthly)'!$E$2:$E$106,'Additions (monthly)'!$D$2:$D$106,N$2,'Additions (monthly)'!$B$2:$B$106,"&lt;="&amp;$B77)</f>
        <v>14.2</v>
      </c>
      <c r="O77" s="43" t="n">
        <f aca="false">SUMIFS('Additions (monthly)'!$E$2:$E$106,'Additions (monthly)'!$D$2:$D$106,O$2,'Additions (monthly)'!$B$2:$B$106,"&lt;="&amp;$B77)</f>
        <v>4.9</v>
      </c>
      <c r="P77" s="43" t="n">
        <f aca="false">SUMIFS('Additions (monthly)'!$E$2:$E$106,'Additions (monthly)'!$D$2:$D$106,P$2,'Additions (monthly)'!$B$2:$B$106,"&lt;="&amp;$B77)</f>
        <v>0</v>
      </c>
      <c r="Q77" s="43" t="n">
        <f aca="false">SUMIFS('Additions (monthly)'!$E$2:$E$106,'Additions (monthly)'!$D$2:$D$106,Q$2,'Additions (monthly)'!$B$2:$B$106,"&lt;="&amp;$B77)</f>
        <v>8.5</v>
      </c>
      <c r="R77" s="43" t="n">
        <f aca="false">SUMIFS('Additions (monthly)'!$E$2:$E$106,'Additions (monthly)'!$D$2:$D$106,R$2,'Additions (monthly)'!$B$2:$B$106,"&lt;="&amp;$B77)</f>
        <v>0</v>
      </c>
      <c r="S77" s="43" t="n">
        <f aca="false">SUMIFS('Additions (monthly)'!$E$2:$E$106,'Additions (monthly)'!$D$2:$D$106,S$2,'Additions (monthly)'!$B$2:$B$106,"&lt;="&amp;$B77)</f>
        <v>7.2</v>
      </c>
      <c r="T77" s="43" t="n">
        <f aca="false">SUMIFS('Additions (monthly)'!$E$2:$E$106,'Additions (monthly)'!$D$2:$D$106,T$2,'Additions (monthly)'!$B$2:$B$106,"&lt;="&amp;$B77)</f>
        <v>0</v>
      </c>
      <c r="U77" s="43" t="n">
        <f aca="false">SUMIFS('Additions (monthly)'!$E$2:$E$106,'Additions (monthly)'!$D$2:$D$106,U$2,'Additions (monthly)'!$B$2:$B$106,"&lt;="&amp;$B77)</f>
        <v>0</v>
      </c>
      <c r="V77" s="43" t="n">
        <f aca="false">SUMIFS('Additions (monthly)'!$E$2:$E$106,'Additions (monthly)'!$D$2:$D$106,V$2,'Additions (monthly)'!$B$2:$B$106,"&lt;="&amp;$B77)</f>
        <v>3.87</v>
      </c>
      <c r="W77" s="43" t="n">
        <f aca="false">SUMIFS('Additions (monthly)'!$E$2:$E$106,'Additions (monthly)'!$D$2:$D$106,W$2,'Additions (monthly)'!$B$2:$B$106,"&lt;="&amp;$B77)</f>
        <v>0</v>
      </c>
      <c r="X77" s="43" t="n">
        <f aca="false">SUMIFS('Additions (monthly)'!$E$2:$E$106,'Additions (monthly)'!$D$2:$D$106,X$2,'Additions (monthly)'!$B$2:$B$106,"&lt;="&amp;$B77)</f>
        <v>0</v>
      </c>
      <c r="Y77" s="43" t="n">
        <f aca="false">SUMIFS('Additions (monthly)'!$E$2:$E$106,'Additions (monthly)'!$D$2:$D$106,Y$2,'Additions (monthly)'!$B$2:$B$106,"&lt;="&amp;$B77)</f>
        <v>5</v>
      </c>
      <c r="Z77" s="43" t="n">
        <f aca="false">SUMIFS('Additions (monthly)'!$E$2:$E$106,'Additions (monthly)'!$D$2:$D$106,Z$2,'Additions (monthly)'!$B$2:$B$106,"&lt;="&amp;$B77)</f>
        <v>7.2</v>
      </c>
      <c r="AA77" s="43" t="n">
        <f aca="false">SUMIFS('Additions (monthly)'!$E$2:$E$106,'Additions (monthly)'!$D$2:$D$106,AA$2,'Additions (monthly)'!$B$2:$B$106,"&lt;="&amp;$B77)</f>
        <v>3.7</v>
      </c>
      <c r="AB77" s="43" t="n">
        <f aca="false">SUMIFS('Additions (monthly)'!$E$2:$E$106,'Additions (monthly)'!$D$2:$D$106,AB$2,'Additions (monthly)'!$B$2:$B$106,"&lt;="&amp;$B77)</f>
        <v>16.95</v>
      </c>
      <c r="AC77" s="43" t="n">
        <f aca="false">SUMIFS('Additions (monthly)'!$E$2:$E$106,'Additions (monthly)'!$D$2:$D$106,AC$2,'Additions (monthly)'!$B$2:$B$106,"&lt;="&amp;$B77)</f>
        <v>2</v>
      </c>
      <c r="AD77" s="43" t="n">
        <f aca="false">SUMIFS('Additions (monthly)'!$E$2:$E$106,'Additions (monthly)'!$D$2:$D$106,AD$2,'Additions (monthly)'!$B$2:$B$106,"&lt;="&amp;$B77)</f>
        <v>7.6</v>
      </c>
      <c r="AE77" s="43" t="n">
        <f aca="false">SUMIFS('Additions (monthly)'!$E$2:$E$106,'Additions (monthly)'!$D$2:$D$106,AE$2,'Additions (monthly)'!$B$2:$B$106,"&lt;="&amp;$B77)</f>
        <v>25.7</v>
      </c>
      <c r="AF77" s="43" t="n">
        <f aca="false">SUMIFS('Additions (monthly)'!$E$2:$E$106,'Additions (monthly)'!$D$2:$D$106,AF$2,'Additions (monthly)'!$B$2:$B$106,"&lt;="&amp;$B77)</f>
        <v>0</v>
      </c>
      <c r="AG77" s="43" t="n">
        <f aca="false">SUMIFS('Additions (monthly)'!$E$2:$E$106,'Additions (monthly)'!$D$2:$D$106,AG$2,'Additions (monthly)'!$B$2:$B$106,"&lt;="&amp;$B77)</f>
        <v>0</v>
      </c>
      <c r="AH77" s="43" t="n">
        <f aca="false">SUMIFS('Additions (monthly)'!$E$2:$E$106,'Additions (monthly)'!$D$2:$D$106,AH$2,'Additions (monthly)'!$B$2:$B$106,"&lt;="&amp;$B77)</f>
        <v>0</v>
      </c>
      <c r="AI77" s="43" t="n">
        <f aca="false">SUMIFS('Additions (monthly)'!$E$2:$E$106,'Additions (monthly)'!$D$2:$D$106,AI$2,'Additions (monthly)'!$B$2:$B$106,"&lt;="&amp;$B77)</f>
        <v>0</v>
      </c>
      <c r="AJ77" s="43" t="n">
        <f aca="false">SUMIFS('Additions (monthly)'!$E$2:$E$106,'Additions (monthly)'!$D$2:$D$106,AJ$2,'Additions (monthly)'!$B$2:$B$106,"&lt;="&amp;$B77)</f>
        <v>0</v>
      </c>
      <c r="AK77" s="43" t="n">
        <f aca="false">SUMIFS('Additions (monthly)'!$E$2:$E$106,'Additions (monthly)'!$D$2:$D$106,AK$2,'Additions (monthly)'!$B$2:$B$106,"&lt;="&amp;$B77)</f>
        <v>0</v>
      </c>
      <c r="AL77" s="43" t="n">
        <f aca="false">SUMIFS('Additions (monthly)'!$E$2:$E$106,'Additions (monthly)'!$D$2:$D$106,AL$2,'Additions (monthly)'!$B$2:$B$106,"&lt;="&amp;$B77)</f>
        <v>22.2</v>
      </c>
      <c r="AM77" s="43" t="n">
        <f aca="false">SUMIFS('Additions (monthly)'!$E$2:$E$106,'Additions (monthly)'!$D$2:$D$106,AM$2,'Additions (monthly)'!$B$2:$B$106,"&lt;="&amp;$B77)</f>
        <v>0.3</v>
      </c>
      <c r="AN77" s="43" t="n">
        <f aca="false">SUMIFS('Additions (monthly)'!$E$2:$E$106,'Additions (monthly)'!$D$2:$D$106,AN$2,'Additions (monthly)'!$B$2:$B$106,"&lt;="&amp;$B77)</f>
        <v>4.3</v>
      </c>
      <c r="AO77" s="43" t="n">
        <f aca="false">SUMIFS('Additions (monthly)'!$E$2:$E$106,'Additions (monthly)'!$D$2:$D$106,AO$2,'Additions (monthly)'!$B$2:$B$106,"&lt;="&amp;$B77)</f>
        <v>10.4</v>
      </c>
      <c r="AP77" s="43" t="n">
        <f aca="false">SUMIFS('Additions (monthly)'!$E$2:$E$106,'Additions (monthly)'!$D$2:$D$106,AP$2,'Additions (monthly)'!$B$2:$B$106,"&lt;="&amp;$B77)</f>
        <v>6.9</v>
      </c>
      <c r="AQ77" s="43" t="n">
        <f aca="false">SUMIFS('Additions (monthly)'!$E$2:$E$106,'Additions (monthly)'!$D$2:$D$106,AQ$2,'Additions (monthly)'!$B$2:$B$106,"&lt;="&amp;$B77)</f>
        <v>4.45</v>
      </c>
      <c r="AR77" s="43" t="n">
        <f aca="false">SUMIFS('Additions (monthly)'!$E$2:$E$106,'Additions (monthly)'!$D$2:$D$106,AR$2,'Additions (monthly)'!$B$2:$B$106,"&lt;="&amp;$B77)</f>
        <v>77.1</v>
      </c>
      <c r="AS77" s="43" t="n">
        <f aca="false">SUMIFS('Additions (monthly)'!$E$2:$E$106,'Additions (monthly)'!$D$2:$D$106,AS$2,'Additions (monthly)'!$B$2:$B$106,"&lt;="&amp;$B77)</f>
        <v>0</v>
      </c>
      <c r="AT77" s="43" t="n">
        <f aca="false">SUMIFS('Additions (monthly)'!$E$2:$E$106,'Additions (monthly)'!$D$2:$D$106,AT$2,'Additions (monthly)'!$B$2:$B$106,"&lt;="&amp;$B77)</f>
        <v>0</v>
      </c>
      <c r="AU77" s="43" t="n">
        <f aca="false">SUMIFS('Additions (monthly)'!$E$2:$E$106,'Additions (monthly)'!$D$2:$D$106,AU$2,'Additions (monthly)'!$B$2:$B$106,"&lt;="&amp;$B77)</f>
        <v>9.6</v>
      </c>
      <c r="AV77" s="43" t="n">
        <f aca="false">SUMIFS('Additions (monthly)'!$E$2:$E$106,'Additions (monthly)'!$D$2:$D$106,AV$2,'Additions (monthly)'!$B$2:$B$106,"&lt;="&amp;$B77)</f>
        <v>0</v>
      </c>
      <c r="AW77" s="43" t="n">
        <f aca="false">SUMIFS('Additions (monthly)'!$E$2:$E$106,'Additions (monthly)'!$D$2:$D$106,AW$2,'Additions (monthly)'!$B$2:$B$106,"&lt;="&amp;$B77)</f>
        <v>0</v>
      </c>
      <c r="AX77" s="43" t="n">
        <f aca="false">SUMIFS('Additions (monthly)'!$E$2:$E$106,'Additions (monthly)'!$D$2:$D$106,AX$2,'Additions (monthly)'!$B$2:$B$106,"&lt;="&amp;$B77)</f>
        <v>11.8</v>
      </c>
      <c r="AY77" s="43" t="n">
        <f aca="false">SUMIFS('Additions (monthly)'!$E$2:$E$106,'Additions (monthly)'!$D$2:$D$106,AY$2,'Additions (monthly)'!$B$2:$B$106,"&lt;="&amp;$B77)</f>
        <v>5.3</v>
      </c>
      <c r="AZ77" s="43" t="n">
        <f aca="false">SUMIFS('Additions (monthly)'!$E$2:$E$106,'Additions (monthly)'!$D$2:$D$106,AZ$2,'Additions (monthly)'!$B$2:$B$106,"&lt;="&amp;$B77)</f>
        <v>0</v>
      </c>
      <c r="BA77" s="43" t="n">
        <f aca="false">SUMIFS('Additions (monthly)'!$E$2:$E$106,'Additions (monthly)'!$D$2:$D$106,BA$2,'Additions (monthly)'!$B$2:$B$106,"&lt;="&amp;$B77)</f>
        <v>0</v>
      </c>
      <c r="BB77" s="43" t="n">
        <f aca="false">SUMIFS('Additions (monthly)'!$E$2:$E$106,'Additions (monthly)'!$D$2:$D$106,BB$2,'Additions (monthly)'!$B$2:$B$106,"&lt;="&amp;$B77)</f>
        <v>0</v>
      </c>
      <c r="BC77" s="43" t="n">
        <f aca="false">SUMIFS('Additions (monthly)'!$E$2:$E$106,'Additions (monthly)'!$D$2:$D$106,BC$2,'Additions (monthly)'!$B$2:$B$106,"&lt;="&amp;$B77)</f>
        <v>0</v>
      </c>
      <c r="BD77" s="43" t="n">
        <f aca="false">SUMIFS('Additions (monthly)'!$E$2:$E$106,'Additions (monthly)'!$D$2:$D$106,BD$2,'Additions (monthly)'!$B$2:$B$106,"&lt;="&amp;$B77)</f>
        <v>0</v>
      </c>
      <c r="BE77" s="43" t="n">
        <f aca="false">SUMIFS('Additions (monthly)'!$E$2:$E$106,'Additions (monthly)'!$D$2:$D$106,BE$2,'Additions (monthly)'!$B$2:$B$106,"&lt;="&amp;$B77)</f>
        <v>0</v>
      </c>
      <c r="BF77" s="43" t="n">
        <f aca="false">SUMIFS('Additions (monthly)'!$E$2:$E$106,'Additions (monthly)'!$D$2:$D$106,BF$2,'Additions (monthly)'!$B$2:$B$106,"&lt;="&amp;$B77)</f>
        <v>0</v>
      </c>
      <c r="BG77" s="43" t="n">
        <f aca="false">SUMIFS('Additions (monthly)'!$E$2:$E$106,'Additions (monthly)'!$D$2:$D$106,BG$2,'Additions (monthly)'!$B$2:$B$106,"&lt;="&amp;$B77)</f>
        <v>0</v>
      </c>
      <c r="BH77" s="43" t="n">
        <f aca="false">SUMIFS('Additions (monthly)'!$E$2:$E$106,'Additions (monthly)'!$D$2:$D$106,BH$2,'Additions (monthly)'!$B$2:$B$106,"&lt;="&amp;$B77)</f>
        <v>10</v>
      </c>
      <c r="BI77" s="43" t="n">
        <f aca="false">SUMIFS('Additions (monthly)'!$E$2:$E$106,'Additions (monthly)'!$D$2:$D$106,BI$2,'Additions (monthly)'!$B$2:$B$106,"&lt;="&amp;$B77)</f>
        <v>6.7</v>
      </c>
    </row>
    <row r="78" customFormat="false" ht="15" hidden="false" customHeight="false" outlineLevel="0" collapsed="false">
      <c r="A78" s="23" t="n">
        <v>42461</v>
      </c>
      <c r="B78" s="24" t="n">
        <v>201604</v>
      </c>
      <c r="C78" s="42" t="n">
        <f aca="false">SUMIFS('Additions (monthly)'!$E$2:$E$106,'Additions (monthly)'!$B$2:$B$106,"&lt;="&amp;$B78)</f>
        <v>338.77</v>
      </c>
      <c r="D78" s="43" t="n">
        <f aca="false">SUMIFS('Additions (monthly)'!$E$2:$E$106,'Additions (monthly)'!$D$2:$D$106,D$2,'Additions (monthly)'!$B$2:$B$106,"&lt;="&amp;$B78)</f>
        <v>7.9</v>
      </c>
      <c r="E78" s="43" t="n">
        <f aca="false">SUMIFS('Additions (monthly)'!$E$2:$E$106,'Additions (monthly)'!$D$2:$D$106,E$2,'Additions (monthly)'!$B$2:$B$106,"&lt;="&amp;$B78)</f>
        <v>8.4</v>
      </c>
      <c r="F78" s="43" t="n">
        <f aca="false">SUMIFS('Additions (monthly)'!$E$2:$E$106,'Additions (monthly)'!$D$2:$D$106,F$2,'Additions (monthly)'!$B$2:$B$106,"&lt;="&amp;$B78)</f>
        <v>4.7</v>
      </c>
      <c r="G78" s="43" t="n">
        <f aca="false">SUMIFS('Additions (monthly)'!$E$2:$E$106,'Additions (monthly)'!$D$2:$D$106,G$2,'Additions (monthly)'!$B$2:$B$106,"&lt;="&amp;$B78)</f>
        <v>4.5</v>
      </c>
      <c r="H78" s="43" t="n">
        <f aca="false">SUMIFS('Additions (monthly)'!$E$2:$E$106,'Additions (monthly)'!$D$2:$D$106,H$2,'Additions (monthly)'!$B$2:$B$106,"&lt;="&amp;$B78)</f>
        <v>5.2</v>
      </c>
      <c r="I78" s="43" t="n">
        <f aca="false">SUMIFS('Additions (monthly)'!$E$2:$E$106,'Additions (monthly)'!$D$2:$D$106,I$2,'Additions (monthly)'!$B$2:$B$106,"&lt;="&amp;$B78)</f>
        <v>9</v>
      </c>
      <c r="J78" s="43" t="n">
        <f aca="false">SUMIFS('Additions (monthly)'!$E$2:$E$106,'Additions (monthly)'!$D$2:$D$106,J$2,'Additions (monthly)'!$B$2:$B$106,"&lt;="&amp;$B78)</f>
        <v>3.7</v>
      </c>
      <c r="K78" s="43" t="n">
        <f aca="false">SUMIFS('Additions (monthly)'!$E$2:$E$106,'Additions (monthly)'!$D$2:$D$106,K$2,'Additions (monthly)'!$B$2:$B$106,"&lt;="&amp;$B78)</f>
        <v>3.9</v>
      </c>
      <c r="L78" s="43" t="n">
        <f aca="false">SUMIFS('Additions (monthly)'!$E$2:$E$106,'Additions (monthly)'!$D$2:$D$106,L$2,'Additions (monthly)'!$B$2:$B$106,"&lt;="&amp;$B78)</f>
        <v>15.6</v>
      </c>
      <c r="M78" s="43" t="n">
        <f aca="false">SUMIFS('Additions (monthly)'!$E$2:$E$106,'Additions (monthly)'!$D$2:$D$106,M$2,'Additions (monthly)'!$B$2:$B$106,"&lt;="&amp;$B78)</f>
        <v>0</v>
      </c>
      <c r="N78" s="43" t="n">
        <f aca="false">SUMIFS('Additions (monthly)'!$E$2:$E$106,'Additions (monthly)'!$D$2:$D$106,N$2,'Additions (monthly)'!$B$2:$B$106,"&lt;="&amp;$B78)</f>
        <v>14.2</v>
      </c>
      <c r="O78" s="43" t="n">
        <f aca="false">SUMIFS('Additions (monthly)'!$E$2:$E$106,'Additions (monthly)'!$D$2:$D$106,O$2,'Additions (monthly)'!$B$2:$B$106,"&lt;="&amp;$B78)</f>
        <v>4.9</v>
      </c>
      <c r="P78" s="43" t="n">
        <f aca="false">SUMIFS('Additions (monthly)'!$E$2:$E$106,'Additions (monthly)'!$D$2:$D$106,P$2,'Additions (monthly)'!$B$2:$B$106,"&lt;="&amp;$B78)</f>
        <v>0</v>
      </c>
      <c r="Q78" s="43" t="n">
        <f aca="false">SUMIFS('Additions (monthly)'!$E$2:$E$106,'Additions (monthly)'!$D$2:$D$106,Q$2,'Additions (monthly)'!$B$2:$B$106,"&lt;="&amp;$B78)</f>
        <v>8.5</v>
      </c>
      <c r="R78" s="43" t="n">
        <f aca="false">SUMIFS('Additions (monthly)'!$E$2:$E$106,'Additions (monthly)'!$D$2:$D$106,R$2,'Additions (monthly)'!$B$2:$B$106,"&lt;="&amp;$B78)</f>
        <v>0</v>
      </c>
      <c r="S78" s="43" t="n">
        <f aca="false">SUMIFS('Additions (monthly)'!$E$2:$E$106,'Additions (monthly)'!$D$2:$D$106,S$2,'Additions (monthly)'!$B$2:$B$106,"&lt;="&amp;$B78)</f>
        <v>7.2</v>
      </c>
      <c r="T78" s="43" t="n">
        <f aca="false">SUMIFS('Additions (monthly)'!$E$2:$E$106,'Additions (monthly)'!$D$2:$D$106,T$2,'Additions (monthly)'!$B$2:$B$106,"&lt;="&amp;$B78)</f>
        <v>0</v>
      </c>
      <c r="U78" s="43" t="n">
        <f aca="false">SUMIFS('Additions (monthly)'!$E$2:$E$106,'Additions (monthly)'!$D$2:$D$106,U$2,'Additions (monthly)'!$B$2:$B$106,"&lt;="&amp;$B78)</f>
        <v>0</v>
      </c>
      <c r="V78" s="43" t="n">
        <f aca="false">SUMIFS('Additions (monthly)'!$E$2:$E$106,'Additions (monthly)'!$D$2:$D$106,V$2,'Additions (monthly)'!$B$2:$B$106,"&lt;="&amp;$B78)</f>
        <v>3.87</v>
      </c>
      <c r="W78" s="43" t="n">
        <f aca="false">SUMIFS('Additions (monthly)'!$E$2:$E$106,'Additions (monthly)'!$D$2:$D$106,W$2,'Additions (monthly)'!$B$2:$B$106,"&lt;="&amp;$B78)</f>
        <v>0</v>
      </c>
      <c r="X78" s="43" t="n">
        <f aca="false">SUMIFS('Additions (monthly)'!$E$2:$E$106,'Additions (monthly)'!$D$2:$D$106,X$2,'Additions (monthly)'!$B$2:$B$106,"&lt;="&amp;$B78)</f>
        <v>0</v>
      </c>
      <c r="Y78" s="43" t="n">
        <f aca="false">SUMIFS('Additions (monthly)'!$E$2:$E$106,'Additions (monthly)'!$D$2:$D$106,Y$2,'Additions (monthly)'!$B$2:$B$106,"&lt;="&amp;$B78)</f>
        <v>5</v>
      </c>
      <c r="Z78" s="43" t="n">
        <f aca="false">SUMIFS('Additions (monthly)'!$E$2:$E$106,'Additions (monthly)'!$D$2:$D$106,Z$2,'Additions (monthly)'!$B$2:$B$106,"&lt;="&amp;$B78)</f>
        <v>7.2</v>
      </c>
      <c r="AA78" s="43" t="n">
        <f aca="false">SUMIFS('Additions (monthly)'!$E$2:$E$106,'Additions (monthly)'!$D$2:$D$106,AA$2,'Additions (monthly)'!$B$2:$B$106,"&lt;="&amp;$B78)</f>
        <v>3.7</v>
      </c>
      <c r="AB78" s="43" t="n">
        <f aca="false">SUMIFS('Additions (monthly)'!$E$2:$E$106,'Additions (monthly)'!$D$2:$D$106,AB$2,'Additions (monthly)'!$B$2:$B$106,"&lt;="&amp;$B78)</f>
        <v>16.95</v>
      </c>
      <c r="AC78" s="43" t="n">
        <f aca="false">SUMIFS('Additions (monthly)'!$E$2:$E$106,'Additions (monthly)'!$D$2:$D$106,AC$2,'Additions (monthly)'!$B$2:$B$106,"&lt;="&amp;$B78)</f>
        <v>2</v>
      </c>
      <c r="AD78" s="43" t="n">
        <f aca="false">SUMIFS('Additions (monthly)'!$E$2:$E$106,'Additions (monthly)'!$D$2:$D$106,AD$2,'Additions (monthly)'!$B$2:$B$106,"&lt;="&amp;$B78)</f>
        <v>7.6</v>
      </c>
      <c r="AE78" s="43" t="n">
        <f aca="false">SUMIFS('Additions (monthly)'!$E$2:$E$106,'Additions (monthly)'!$D$2:$D$106,AE$2,'Additions (monthly)'!$B$2:$B$106,"&lt;="&amp;$B78)</f>
        <v>25.7</v>
      </c>
      <c r="AF78" s="43" t="n">
        <f aca="false">SUMIFS('Additions (monthly)'!$E$2:$E$106,'Additions (monthly)'!$D$2:$D$106,AF$2,'Additions (monthly)'!$B$2:$B$106,"&lt;="&amp;$B78)</f>
        <v>0</v>
      </c>
      <c r="AG78" s="43" t="n">
        <f aca="false">SUMIFS('Additions (monthly)'!$E$2:$E$106,'Additions (monthly)'!$D$2:$D$106,AG$2,'Additions (monthly)'!$B$2:$B$106,"&lt;="&amp;$B78)</f>
        <v>0</v>
      </c>
      <c r="AH78" s="43" t="n">
        <f aca="false">SUMIFS('Additions (monthly)'!$E$2:$E$106,'Additions (monthly)'!$D$2:$D$106,AH$2,'Additions (monthly)'!$B$2:$B$106,"&lt;="&amp;$B78)</f>
        <v>0</v>
      </c>
      <c r="AI78" s="43" t="n">
        <f aca="false">SUMIFS('Additions (monthly)'!$E$2:$E$106,'Additions (monthly)'!$D$2:$D$106,AI$2,'Additions (monthly)'!$B$2:$B$106,"&lt;="&amp;$B78)</f>
        <v>0</v>
      </c>
      <c r="AJ78" s="43" t="n">
        <f aca="false">SUMIFS('Additions (monthly)'!$E$2:$E$106,'Additions (monthly)'!$D$2:$D$106,AJ$2,'Additions (monthly)'!$B$2:$B$106,"&lt;="&amp;$B78)</f>
        <v>0</v>
      </c>
      <c r="AK78" s="43" t="n">
        <f aca="false">SUMIFS('Additions (monthly)'!$E$2:$E$106,'Additions (monthly)'!$D$2:$D$106,AK$2,'Additions (monthly)'!$B$2:$B$106,"&lt;="&amp;$B78)</f>
        <v>0</v>
      </c>
      <c r="AL78" s="43" t="n">
        <f aca="false">SUMIFS('Additions (monthly)'!$E$2:$E$106,'Additions (monthly)'!$D$2:$D$106,AL$2,'Additions (monthly)'!$B$2:$B$106,"&lt;="&amp;$B78)</f>
        <v>22.2</v>
      </c>
      <c r="AM78" s="43" t="n">
        <f aca="false">SUMIFS('Additions (monthly)'!$E$2:$E$106,'Additions (monthly)'!$D$2:$D$106,AM$2,'Additions (monthly)'!$B$2:$B$106,"&lt;="&amp;$B78)</f>
        <v>0.3</v>
      </c>
      <c r="AN78" s="43" t="n">
        <f aca="false">SUMIFS('Additions (monthly)'!$E$2:$E$106,'Additions (monthly)'!$D$2:$D$106,AN$2,'Additions (monthly)'!$B$2:$B$106,"&lt;="&amp;$B78)</f>
        <v>4.3</v>
      </c>
      <c r="AO78" s="43" t="n">
        <f aca="false">SUMIFS('Additions (monthly)'!$E$2:$E$106,'Additions (monthly)'!$D$2:$D$106,AO$2,'Additions (monthly)'!$B$2:$B$106,"&lt;="&amp;$B78)</f>
        <v>10.4</v>
      </c>
      <c r="AP78" s="43" t="n">
        <f aca="false">SUMIFS('Additions (monthly)'!$E$2:$E$106,'Additions (monthly)'!$D$2:$D$106,AP$2,'Additions (monthly)'!$B$2:$B$106,"&lt;="&amp;$B78)</f>
        <v>6.9</v>
      </c>
      <c r="AQ78" s="43" t="n">
        <f aca="false">SUMIFS('Additions (monthly)'!$E$2:$E$106,'Additions (monthly)'!$D$2:$D$106,AQ$2,'Additions (monthly)'!$B$2:$B$106,"&lt;="&amp;$B78)</f>
        <v>4.45</v>
      </c>
      <c r="AR78" s="43" t="n">
        <f aca="false">SUMIFS('Additions (monthly)'!$E$2:$E$106,'Additions (monthly)'!$D$2:$D$106,AR$2,'Additions (monthly)'!$B$2:$B$106,"&lt;="&amp;$B78)</f>
        <v>77.1</v>
      </c>
      <c r="AS78" s="43" t="n">
        <f aca="false">SUMIFS('Additions (monthly)'!$E$2:$E$106,'Additions (monthly)'!$D$2:$D$106,AS$2,'Additions (monthly)'!$B$2:$B$106,"&lt;="&amp;$B78)</f>
        <v>0</v>
      </c>
      <c r="AT78" s="43" t="n">
        <f aca="false">SUMIFS('Additions (monthly)'!$E$2:$E$106,'Additions (monthly)'!$D$2:$D$106,AT$2,'Additions (monthly)'!$B$2:$B$106,"&lt;="&amp;$B78)</f>
        <v>0</v>
      </c>
      <c r="AU78" s="43" t="n">
        <f aca="false">SUMIFS('Additions (monthly)'!$E$2:$E$106,'Additions (monthly)'!$D$2:$D$106,AU$2,'Additions (monthly)'!$B$2:$B$106,"&lt;="&amp;$B78)</f>
        <v>9.6</v>
      </c>
      <c r="AV78" s="43" t="n">
        <f aca="false">SUMIFS('Additions (monthly)'!$E$2:$E$106,'Additions (monthly)'!$D$2:$D$106,AV$2,'Additions (monthly)'!$B$2:$B$106,"&lt;="&amp;$B78)</f>
        <v>0</v>
      </c>
      <c r="AW78" s="43" t="n">
        <f aca="false">SUMIFS('Additions (monthly)'!$E$2:$E$106,'Additions (monthly)'!$D$2:$D$106,AW$2,'Additions (monthly)'!$B$2:$B$106,"&lt;="&amp;$B78)</f>
        <v>0</v>
      </c>
      <c r="AX78" s="43" t="n">
        <f aca="false">SUMIFS('Additions (monthly)'!$E$2:$E$106,'Additions (monthly)'!$D$2:$D$106,AX$2,'Additions (monthly)'!$B$2:$B$106,"&lt;="&amp;$B78)</f>
        <v>11.8</v>
      </c>
      <c r="AY78" s="43" t="n">
        <f aca="false">SUMIFS('Additions (monthly)'!$E$2:$E$106,'Additions (monthly)'!$D$2:$D$106,AY$2,'Additions (monthly)'!$B$2:$B$106,"&lt;="&amp;$B78)</f>
        <v>5.3</v>
      </c>
      <c r="AZ78" s="43" t="n">
        <f aca="false">SUMIFS('Additions (monthly)'!$E$2:$E$106,'Additions (monthly)'!$D$2:$D$106,AZ$2,'Additions (monthly)'!$B$2:$B$106,"&lt;="&amp;$B78)</f>
        <v>0</v>
      </c>
      <c r="BA78" s="43" t="n">
        <f aca="false">SUMIFS('Additions (monthly)'!$E$2:$E$106,'Additions (monthly)'!$D$2:$D$106,BA$2,'Additions (monthly)'!$B$2:$B$106,"&lt;="&amp;$B78)</f>
        <v>0</v>
      </c>
      <c r="BB78" s="43" t="n">
        <f aca="false">SUMIFS('Additions (monthly)'!$E$2:$E$106,'Additions (monthly)'!$D$2:$D$106,BB$2,'Additions (monthly)'!$B$2:$B$106,"&lt;="&amp;$B78)</f>
        <v>0</v>
      </c>
      <c r="BC78" s="43" t="n">
        <f aca="false">SUMIFS('Additions (monthly)'!$E$2:$E$106,'Additions (monthly)'!$D$2:$D$106,BC$2,'Additions (monthly)'!$B$2:$B$106,"&lt;="&amp;$B78)</f>
        <v>0</v>
      </c>
      <c r="BD78" s="43" t="n">
        <f aca="false">SUMIFS('Additions (monthly)'!$E$2:$E$106,'Additions (monthly)'!$D$2:$D$106,BD$2,'Additions (monthly)'!$B$2:$B$106,"&lt;="&amp;$B78)</f>
        <v>0</v>
      </c>
      <c r="BE78" s="43" t="n">
        <f aca="false">SUMIFS('Additions (monthly)'!$E$2:$E$106,'Additions (monthly)'!$D$2:$D$106,BE$2,'Additions (monthly)'!$B$2:$B$106,"&lt;="&amp;$B78)</f>
        <v>0</v>
      </c>
      <c r="BF78" s="43" t="n">
        <f aca="false">SUMIFS('Additions (monthly)'!$E$2:$E$106,'Additions (monthly)'!$D$2:$D$106,BF$2,'Additions (monthly)'!$B$2:$B$106,"&lt;="&amp;$B78)</f>
        <v>0</v>
      </c>
      <c r="BG78" s="43" t="n">
        <f aca="false">SUMIFS('Additions (monthly)'!$E$2:$E$106,'Additions (monthly)'!$D$2:$D$106,BG$2,'Additions (monthly)'!$B$2:$B$106,"&lt;="&amp;$B78)</f>
        <v>0</v>
      </c>
      <c r="BH78" s="43" t="n">
        <f aca="false">SUMIFS('Additions (monthly)'!$E$2:$E$106,'Additions (monthly)'!$D$2:$D$106,BH$2,'Additions (monthly)'!$B$2:$B$106,"&lt;="&amp;$B78)</f>
        <v>10</v>
      </c>
      <c r="BI78" s="43" t="n">
        <f aca="false">SUMIFS('Additions (monthly)'!$E$2:$E$106,'Additions (monthly)'!$D$2:$D$106,BI$2,'Additions (monthly)'!$B$2:$B$106,"&lt;="&amp;$B78)</f>
        <v>6.7</v>
      </c>
    </row>
    <row r="79" customFormat="false" ht="15" hidden="false" customHeight="false" outlineLevel="0" collapsed="false">
      <c r="A79" s="23" t="n">
        <v>42491</v>
      </c>
      <c r="B79" s="24" t="n">
        <v>201605</v>
      </c>
      <c r="C79" s="42" t="n">
        <f aca="false">SUMIFS('Additions (monthly)'!$E$2:$E$106,'Additions (monthly)'!$B$2:$B$106,"&lt;="&amp;$B79)</f>
        <v>342.67</v>
      </c>
      <c r="D79" s="43" t="n">
        <f aca="false">SUMIFS('Additions (monthly)'!$E$2:$E$106,'Additions (monthly)'!$D$2:$D$106,D$2,'Additions (monthly)'!$B$2:$B$106,"&lt;="&amp;$B79)</f>
        <v>7.9</v>
      </c>
      <c r="E79" s="43" t="n">
        <f aca="false">SUMIFS('Additions (monthly)'!$E$2:$E$106,'Additions (monthly)'!$D$2:$D$106,E$2,'Additions (monthly)'!$B$2:$B$106,"&lt;="&amp;$B79)</f>
        <v>8.4</v>
      </c>
      <c r="F79" s="43" t="n">
        <f aca="false">SUMIFS('Additions (monthly)'!$E$2:$E$106,'Additions (monthly)'!$D$2:$D$106,F$2,'Additions (monthly)'!$B$2:$B$106,"&lt;="&amp;$B79)</f>
        <v>4.7</v>
      </c>
      <c r="G79" s="43" t="n">
        <f aca="false">SUMIFS('Additions (monthly)'!$E$2:$E$106,'Additions (monthly)'!$D$2:$D$106,G$2,'Additions (monthly)'!$B$2:$B$106,"&lt;="&amp;$B79)</f>
        <v>4.5</v>
      </c>
      <c r="H79" s="43" t="n">
        <f aca="false">SUMIFS('Additions (monthly)'!$E$2:$E$106,'Additions (monthly)'!$D$2:$D$106,H$2,'Additions (monthly)'!$B$2:$B$106,"&lt;="&amp;$B79)</f>
        <v>5.2</v>
      </c>
      <c r="I79" s="43" t="n">
        <f aca="false">SUMIFS('Additions (monthly)'!$E$2:$E$106,'Additions (monthly)'!$D$2:$D$106,I$2,'Additions (monthly)'!$B$2:$B$106,"&lt;="&amp;$B79)</f>
        <v>9</v>
      </c>
      <c r="J79" s="43" t="n">
        <f aca="false">SUMIFS('Additions (monthly)'!$E$2:$E$106,'Additions (monthly)'!$D$2:$D$106,J$2,'Additions (monthly)'!$B$2:$B$106,"&lt;="&amp;$B79)</f>
        <v>3.7</v>
      </c>
      <c r="K79" s="43" t="n">
        <f aca="false">SUMIFS('Additions (monthly)'!$E$2:$E$106,'Additions (monthly)'!$D$2:$D$106,K$2,'Additions (monthly)'!$B$2:$B$106,"&lt;="&amp;$B79)</f>
        <v>7.8</v>
      </c>
      <c r="L79" s="43" t="n">
        <f aca="false">SUMIFS('Additions (monthly)'!$E$2:$E$106,'Additions (monthly)'!$D$2:$D$106,L$2,'Additions (monthly)'!$B$2:$B$106,"&lt;="&amp;$B79)</f>
        <v>15.6</v>
      </c>
      <c r="M79" s="43" t="n">
        <f aca="false">SUMIFS('Additions (monthly)'!$E$2:$E$106,'Additions (monthly)'!$D$2:$D$106,M$2,'Additions (monthly)'!$B$2:$B$106,"&lt;="&amp;$B79)</f>
        <v>0</v>
      </c>
      <c r="N79" s="43" t="n">
        <f aca="false">SUMIFS('Additions (monthly)'!$E$2:$E$106,'Additions (monthly)'!$D$2:$D$106,N$2,'Additions (monthly)'!$B$2:$B$106,"&lt;="&amp;$B79)</f>
        <v>14.2</v>
      </c>
      <c r="O79" s="43" t="n">
        <f aca="false">SUMIFS('Additions (monthly)'!$E$2:$E$106,'Additions (monthly)'!$D$2:$D$106,O$2,'Additions (monthly)'!$B$2:$B$106,"&lt;="&amp;$B79)</f>
        <v>4.9</v>
      </c>
      <c r="P79" s="43" t="n">
        <f aca="false">SUMIFS('Additions (monthly)'!$E$2:$E$106,'Additions (monthly)'!$D$2:$D$106,P$2,'Additions (monthly)'!$B$2:$B$106,"&lt;="&amp;$B79)</f>
        <v>0</v>
      </c>
      <c r="Q79" s="43" t="n">
        <f aca="false">SUMIFS('Additions (monthly)'!$E$2:$E$106,'Additions (monthly)'!$D$2:$D$106,Q$2,'Additions (monthly)'!$B$2:$B$106,"&lt;="&amp;$B79)</f>
        <v>8.5</v>
      </c>
      <c r="R79" s="43" t="n">
        <f aca="false">SUMIFS('Additions (monthly)'!$E$2:$E$106,'Additions (monthly)'!$D$2:$D$106,R$2,'Additions (monthly)'!$B$2:$B$106,"&lt;="&amp;$B79)</f>
        <v>0</v>
      </c>
      <c r="S79" s="43" t="n">
        <f aca="false">SUMIFS('Additions (monthly)'!$E$2:$E$106,'Additions (monthly)'!$D$2:$D$106,S$2,'Additions (monthly)'!$B$2:$B$106,"&lt;="&amp;$B79)</f>
        <v>7.2</v>
      </c>
      <c r="T79" s="43" t="n">
        <f aca="false">SUMIFS('Additions (monthly)'!$E$2:$E$106,'Additions (monthly)'!$D$2:$D$106,T$2,'Additions (monthly)'!$B$2:$B$106,"&lt;="&amp;$B79)</f>
        <v>0</v>
      </c>
      <c r="U79" s="43" t="n">
        <f aca="false">SUMIFS('Additions (monthly)'!$E$2:$E$106,'Additions (monthly)'!$D$2:$D$106,U$2,'Additions (monthly)'!$B$2:$B$106,"&lt;="&amp;$B79)</f>
        <v>0</v>
      </c>
      <c r="V79" s="43" t="n">
        <f aca="false">SUMIFS('Additions (monthly)'!$E$2:$E$106,'Additions (monthly)'!$D$2:$D$106,V$2,'Additions (monthly)'!$B$2:$B$106,"&lt;="&amp;$B79)</f>
        <v>3.87</v>
      </c>
      <c r="W79" s="43" t="n">
        <f aca="false">SUMIFS('Additions (monthly)'!$E$2:$E$106,'Additions (monthly)'!$D$2:$D$106,W$2,'Additions (monthly)'!$B$2:$B$106,"&lt;="&amp;$B79)</f>
        <v>0</v>
      </c>
      <c r="X79" s="43" t="n">
        <f aca="false">SUMIFS('Additions (monthly)'!$E$2:$E$106,'Additions (monthly)'!$D$2:$D$106,X$2,'Additions (monthly)'!$B$2:$B$106,"&lt;="&amp;$B79)</f>
        <v>0</v>
      </c>
      <c r="Y79" s="43" t="n">
        <f aca="false">SUMIFS('Additions (monthly)'!$E$2:$E$106,'Additions (monthly)'!$D$2:$D$106,Y$2,'Additions (monthly)'!$B$2:$B$106,"&lt;="&amp;$B79)</f>
        <v>5</v>
      </c>
      <c r="Z79" s="43" t="n">
        <f aca="false">SUMIFS('Additions (monthly)'!$E$2:$E$106,'Additions (monthly)'!$D$2:$D$106,Z$2,'Additions (monthly)'!$B$2:$B$106,"&lt;="&amp;$B79)</f>
        <v>7.2</v>
      </c>
      <c r="AA79" s="43" t="n">
        <f aca="false">SUMIFS('Additions (monthly)'!$E$2:$E$106,'Additions (monthly)'!$D$2:$D$106,AA$2,'Additions (monthly)'!$B$2:$B$106,"&lt;="&amp;$B79)</f>
        <v>3.7</v>
      </c>
      <c r="AB79" s="43" t="n">
        <f aca="false">SUMIFS('Additions (monthly)'!$E$2:$E$106,'Additions (monthly)'!$D$2:$D$106,AB$2,'Additions (monthly)'!$B$2:$B$106,"&lt;="&amp;$B79)</f>
        <v>16.95</v>
      </c>
      <c r="AC79" s="43" t="n">
        <f aca="false">SUMIFS('Additions (monthly)'!$E$2:$E$106,'Additions (monthly)'!$D$2:$D$106,AC$2,'Additions (monthly)'!$B$2:$B$106,"&lt;="&amp;$B79)</f>
        <v>2</v>
      </c>
      <c r="AD79" s="43" t="n">
        <f aca="false">SUMIFS('Additions (monthly)'!$E$2:$E$106,'Additions (monthly)'!$D$2:$D$106,AD$2,'Additions (monthly)'!$B$2:$B$106,"&lt;="&amp;$B79)</f>
        <v>7.6</v>
      </c>
      <c r="AE79" s="43" t="n">
        <f aca="false">SUMIFS('Additions (monthly)'!$E$2:$E$106,'Additions (monthly)'!$D$2:$D$106,AE$2,'Additions (monthly)'!$B$2:$B$106,"&lt;="&amp;$B79)</f>
        <v>25.7</v>
      </c>
      <c r="AF79" s="43" t="n">
        <f aca="false">SUMIFS('Additions (monthly)'!$E$2:$E$106,'Additions (monthly)'!$D$2:$D$106,AF$2,'Additions (monthly)'!$B$2:$B$106,"&lt;="&amp;$B79)</f>
        <v>0</v>
      </c>
      <c r="AG79" s="43" t="n">
        <f aca="false">SUMIFS('Additions (monthly)'!$E$2:$E$106,'Additions (monthly)'!$D$2:$D$106,AG$2,'Additions (monthly)'!$B$2:$B$106,"&lt;="&amp;$B79)</f>
        <v>0</v>
      </c>
      <c r="AH79" s="43" t="n">
        <f aca="false">SUMIFS('Additions (monthly)'!$E$2:$E$106,'Additions (monthly)'!$D$2:$D$106,AH$2,'Additions (monthly)'!$B$2:$B$106,"&lt;="&amp;$B79)</f>
        <v>0</v>
      </c>
      <c r="AI79" s="43" t="n">
        <f aca="false">SUMIFS('Additions (monthly)'!$E$2:$E$106,'Additions (monthly)'!$D$2:$D$106,AI$2,'Additions (monthly)'!$B$2:$B$106,"&lt;="&amp;$B79)</f>
        <v>0</v>
      </c>
      <c r="AJ79" s="43" t="n">
        <f aca="false">SUMIFS('Additions (monthly)'!$E$2:$E$106,'Additions (monthly)'!$D$2:$D$106,AJ$2,'Additions (monthly)'!$B$2:$B$106,"&lt;="&amp;$B79)</f>
        <v>0</v>
      </c>
      <c r="AK79" s="43" t="n">
        <f aca="false">SUMIFS('Additions (monthly)'!$E$2:$E$106,'Additions (monthly)'!$D$2:$D$106,AK$2,'Additions (monthly)'!$B$2:$B$106,"&lt;="&amp;$B79)</f>
        <v>0</v>
      </c>
      <c r="AL79" s="43" t="n">
        <f aca="false">SUMIFS('Additions (monthly)'!$E$2:$E$106,'Additions (monthly)'!$D$2:$D$106,AL$2,'Additions (monthly)'!$B$2:$B$106,"&lt;="&amp;$B79)</f>
        <v>22.2</v>
      </c>
      <c r="AM79" s="43" t="n">
        <f aca="false">SUMIFS('Additions (monthly)'!$E$2:$E$106,'Additions (monthly)'!$D$2:$D$106,AM$2,'Additions (monthly)'!$B$2:$B$106,"&lt;="&amp;$B79)</f>
        <v>0.3</v>
      </c>
      <c r="AN79" s="43" t="n">
        <f aca="false">SUMIFS('Additions (monthly)'!$E$2:$E$106,'Additions (monthly)'!$D$2:$D$106,AN$2,'Additions (monthly)'!$B$2:$B$106,"&lt;="&amp;$B79)</f>
        <v>4.3</v>
      </c>
      <c r="AO79" s="43" t="n">
        <f aca="false">SUMIFS('Additions (monthly)'!$E$2:$E$106,'Additions (monthly)'!$D$2:$D$106,AO$2,'Additions (monthly)'!$B$2:$B$106,"&lt;="&amp;$B79)</f>
        <v>10.4</v>
      </c>
      <c r="AP79" s="43" t="n">
        <f aca="false">SUMIFS('Additions (monthly)'!$E$2:$E$106,'Additions (monthly)'!$D$2:$D$106,AP$2,'Additions (monthly)'!$B$2:$B$106,"&lt;="&amp;$B79)</f>
        <v>6.9</v>
      </c>
      <c r="AQ79" s="43" t="n">
        <f aca="false">SUMIFS('Additions (monthly)'!$E$2:$E$106,'Additions (monthly)'!$D$2:$D$106,AQ$2,'Additions (monthly)'!$B$2:$B$106,"&lt;="&amp;$B79)</f>
        <v>4.45</v>
      </c>
      <c r="AR79" s="43" t="n">
        <f aca="false">SUMIFS('Additions (monthly)'!$E$2:$E$106,'Additions (monthly)'!$D$2:$D$106,AR$2,'Additions (monthly)'!$B$2:$B$106,"&lt;="&amp;$B79)</f>
        <v>77.1</v>
      </c>
      <c r="AS79" s="43" t="n">
        <f aca="false">SUMIFS('Additions (monthly)'!$E$2:$E$106,'Additions (monthly)'!$D$2:$D$106,AS$2,'Additions (monthly)'!$B$2:$B$106,"&lt;="&amp;$B79)</f>
        <v>0</v>
      </c>
      <c r="AT79" s="43" t="n">
        <f aca="false">SUMIFS('Additions (monthly)'!$E$2:$E$106,'Additions (monthly)'!$D$2:$D$106,AT$2,'Additions (monthly)'!$B$2:$B$106,"&lt;="&amp;$B79)</f>
        <v>0</v>
      </c>
      <c r="AU79" s="43" t="n">
        <f aca="false">SUMIFS('Additions (monthly)'!$E$2:$E$106,'Additions (monthly)'!$D$2:$D$106,AU$2,'Additions (monthly)'!$B$2:$B$106,"&lt;="&amp;$B79)</f>
        <v>9.6</v>
      </c>
      <c r="AV79" s="43" t="n">
        <f aca="false">SUMIFS('Additions (monthly)'!$E$2:$E$106,'Additions (monthly)'!$D$2:$D$106,AV$2,'Additions (monthly)'!$B$2:$B$106,"&lt;="&amp;$B79)</f>
        <v>0</v>
      </c>
      <c r="AW79" s="43" t="n">
        <f aca="false">SUMIFS('Additions (monthly)'!$E$2:$E$106,'Additions (monthly)'!$D$2:$D$106,AW$2,'Additions (monthly)'!$B$2:$B$106,"&lt;="&amp;$B79)</f>
        <v>0</v>
      </c>
      <c r="AX79" s="43" t="n">
        <f aca="false">SUMIFS('Additions (monthly)'!$E$2:$E$106,'Additions (monthly)'!$D$2:$D$106,AX$2,'Additions (monthly)'!$B$2:$B$106,"&lt;="&amp;$B79)</f>
        <v>11.8</v>
      </c>
      <c r="AY79" s="43" t="n">
        <f aca="false">SUMIFS('Additions (monthly)'!$E$2:$E$106,'Additions (monthly)'!$D$2:$D$106,AY$2,'Additions (monthly)'!$B$2:$B$106,"&lt;="&amp;$B79)</f>
        <v>5.3</v>
      </c>
      <c r="AZ79" s="43" t="n">
        <f aca="false">SUMIFS('Additions (monthly)'!$E$2:$E$106,'Additions (monthly)'!$D$2:$D$106,AZ$2,'Additions (monthly)'!$B$2:$B$106,"&lt;="&amp;$B79)</f>
        <v>0</v>
      </c>
      <c r="BA79" s="43" t="n">
        <f aca="false">SUMIFS('Additions (monthly)'!$E$2:$E$106,'Additions (monthly)'!$D$2:$D$106,BA$2,'Additions (monthly)'!$B$2:$B$106,"&lt;="&amp;$B79)</f>
        <v>0</v>
      </c>
      <c r="BB79" s="43" t="n">
        <f aca="false">SUMIFS('Additions (monthly)'!$E$2:$E$106,'Additions (monthly)'!$D$2:$D$106,BB$2,'Additions (monthly)'!$B$2:$B$106,"&lt;="&amp;$B79)</f>
        <v>0</v>
      </c>
      <c r="BC79" s="43" t="n">
        <f aca="false">SUMIFS('Additions (monthly)'!$E$2:$E$106,'Additions (monthly)'!$D$2:$D$106,BC$2,'Additions (monthly)'!$B$2:$B$106,"&lt;="&amp;$B79)</f>
        <v>0</v>
      </c>
      <c r="BD79" s="43" t="n">
        <f aca="false">SUMIFS('Additions (monthly)'!$E$2:$E$106,'Additions (monthly)'!$D$2:$D$106,BD$2,'Additions (monthly)'!$B$2:$B$106,"&lt;="&amp;$B79)</f>
        <v>0</v>
      </c>
      <c r="BE79" s="43" t="n">
        <f aca="false">SUMIFS('Additions (monthly)'!$E$2:$E$106,'Additions (monthly)'!$D$2:$D$106,BE$2,'Additions (monthly)'!$B$2:$B$106,"&lt;="&amp;$B79)</f>
        <v>0</v>
      </c>
      <c r="BF79" s="43" t="n">
        <f aca="false">SUMIFS('Additions (monthly)'!$E$2:$E$106,'Additions (monthly)'!$D$2:$D$106,BF$2,'Additions (monthly)'!$B$2:$B$106,"&lt;="&amp;$B79)</f>
        <v>0</v>
      </c>
      <c r="BG79" s="43" t="n">
        <f aca="false">SUMIFS('Additions (monthly)'!$E$2:$E$106,'Additions (monthly)'!$D$2:$D$106,BG$2,'Additions (monthly)'!$B$2:$B$106,"&lt;="&amp;$B79)</f>
        <v>0</v>
      </c>
      <c r="BH79" s="43" t="n">
        <f aca="false">SUMIFS('Additions (monthly)'!$E$2:$E$106,'Additions (monthly)'!$D$2:$D$106,BH$2,'Additions (monthly)'!$B$2:$B$106,"&lt;="&amp;$B79)</f>
        <v>10</v>
      </c>
      <c r="BI79" s="43" t="n">
        <f aca="false">SUMIFS('Additions (monthly)'!$E$2:$E$106,'Additions (monthly)'!$D$2:$D$106,BI$2,'Additions (monthly)'!$B$2:$B$106,"&lt;="&amp;$B79)</f>
        <v>6.7</v>
      </c>
    </row>
    <row r="80" customFormat="false" ht="15" hidden="false" customHeight="false" outlineLevel="0" collapsed="false">
      <c r="A80" s="23" t="n">
        <v>42522</v>
      </c>
      <c r="B80" s="24" t="n">
        <v>201606</v>
      </c>
      <c r="C80" s="42" t="n">
        <f aca="false">SUMIFS('Additions (monthly)'!$E$2:$E$106,'Additions (monthly)'!$B$2:$B$106,"&lt;="&amp;$B80)</f>
        <v>342.67</v>
      </c>
      <c r="D80" s="43" t="n">
        <f aca="false">SUMIFS('Additions (monthly)'!$E$2:$E$106,'Additions (monthly)'!$D$2:$D$106,D$2,'Additions (monthly)'!$B$2:$B$106,"&lt;="&amp;$B80)</f>
        <v>7.9</v>
      </c>
      <c r="E80" s="43" t="n">
        <f aca="false">SUMIFS('Additions (monthly)'!$E$2:$E$106,'Additions (monthly)'!$D$2:$D$106,E$2,'Additions (monthly)'!$B$2:$B$106,"&lt;="&amp;$B80)</f>
        <v>8.4</v>
      </c>
      <c r="F80" s="43" t="n">
        <f aca="false">SUMIFS('Additions (monthly)'!$E$2:$E$106,'Additions (monthly)'!$D$2:$D$106,F$2,'Additions (monthly)'!$B$2:$B$106,"&lt;="&amp;$B80)</f>
        <v>4.7</v>
      </c>
      <c r="G80" s="43" t="n">
        <f aca="false">SUMIFS('Additions (monthly)'!$E$2:$E$106,'Additions (monthly)'!$D$2:$D$106,G$2,'Additions (monthly)'!$B$2:$B$106,"&lt;="&amp;$B80)</f>
        <v>4.5</v>
      </c>
      <c r="H80" s="43" t="n">
        <f aca="false">SUMIFS('Additions (monthly)'!$E$2:$E$106,'Additions (monthly)'!$D$2:$D$106,H$2,'Additions (monthly)'!$B$2:$B$106,"&lt;="&amp;$B80)</f>
        <v>5.2</v>
      </c>
      <c r="I80" s="43" t="n">
        <f aca="false">SUMIFS('Additions (monthly)'!$E$2:$E$106,'Additions (monthly)'!$D$2:$D$106,I$2,'Additions (monthly)'!$B$2:$B$106,"&lt;="&amp;$B80)</f>
        <v>9</v>
      </c>
      <c r="J80" s="43" t="n">
        <f aca="false">SUMIFS('Additions (monthly)'!$E$2:$E$106,'Additions (monthly)'!$D$2:$D$106,J$2,'Additions (monthly)'!$B$2:$B$106,"&lt;="&amp;$B80)</f>
        <v>3.7</v>
      </c>
      <c r="K80" s="43" t="n">
        <f aca="false">SUMIFS('Additions (monthly)'!$E$2:$E$106,'Additions (monthly)'!$D$2:$D$106,K$2,'Additions (monthly)'!$B$2:$B$106,"&lt;="&amp;$B80)</f>
        <v>7.8</v>
      </c>
      <c r="L80" s="43" t="n">
        <f aca="false">SUMIFS('Additions (monthly)'!$E$2:$E$106,'Additions (monthly)'!$D$2:$D$106,L$2,'Additions (monthly)'!$B$2:$B$106,"&lt;="&amp;$B80)</f>
        <v>15.6</v>
      </c>
      <c r="M80" s="43" t="n">
        <f aca="false">SUMIFS('Additions (monthly)'!$E$2:$E$106,'Additions (monthly)'!$D$2:$D$106,M$2,'Additions (monthly)'!$B$2:$B$106,"&lt;="&amp;$B80)</f>
        <v>0</v>
      </c>
      <c r="N80" s="43" t="n">
        <f aca="false">SUMIFS('Additions (monthly)'!$E$2:$E$106,'Additions (monthly)'!$D$2:$D$106,N$2,'Additions (monthly)'!$B$2:$B$106,"&lt;="&amp;$B80)</f>
        <v>14.2</v>
      </c>
      <c r="O80" s="43" t="n">
        <f aca="false">SUMIFS('Additions (monthly)'!$E$2:$E$106,'Additions (monthly)'!$D$2:$D$106,O$2,'Additions (monthly)'!$B$2:$B$106,"&lt;="&amp;$B80)</f>
        <v>4.9</v>
      </c>
      <c r="P80" s="43" t="n">
        <f aca="false">SUMIFS('Additions (monthly)'!$E$2:$E$106,'Additions (monthly)'!$D$2:$D$106,P$2,'Additions (monthly)'!$B$2:$B$106,"&lt;="&amp;$B80)</f>
        <v>0</v>
      </c>
      <c r="Q80" s="43" t="n">
        <f aca="false">SUMIFS('Additions (monthly)'!$E$2:$E$106,'Additions (monthly)'!$D$2:$D$106,Q$2,'Additions (monthly)'!$B$2:$B$106,"&lt;="&amp;$B80)</f>
        <v>8.5</v>
      </c>
      <c r="R80" s="43" t="n">
        <f aca="false">SUMIFS('Additions (monthly)'!$E$2:$E$106,'Additions (monthly)'!$D$2:$D$106,R$2,'Additions (monthly)'!$B$2:$B$106,"&lt;="&amp;$B80)</f>
        <v>0</v>
      </c>
      <c r="S80" s="43" t="n">
        <f aca="false">SUMIFS('Additions (monthly)'!$E$2:$E$106,'Additions (monthly)'!$D$2:$D$106,S$2,'Additions (monthly)'!$B$2:$B$106,"&lt;="&amp;$B80)</f>
        <v>7.2</v>
      </c>
      <c r="T80" s="43" t="n">
        <f aca="false">SUMIFS('Additions (monthly)'!$E$2:$E$106,'Additions (monthly)'!$D$2:$D$106,T$2,'Additions (monthly)'!$B$2:$B$106,"&lt;="&amp;$B80)</f>
        <v>0</v>
      </c>
      <c r="U80" s="43" t="n">
        <f aca="false">SUMIFS('Additions (monthly)'!$E$2:$E$106,'Additions (monthly)'!$D$2:$D$106,U$2,'Additions (monthly)'!$B$2:$B$106,"&lt;="&amp;$B80)</f>
        <v>0</v>
      </c>
      <c r="V80" s="43" t="n">
        <f aca="false">SUMIFS('Additions (monthly)'!$E$2:$E$106,'Additions (monthly)'!$D$2:$D$106,V$2,'Additions (monthly)'!$B$2:$B$106,"&lt;="&amp;$B80)</f>
        <v>3.87</v>
      </c>
      <c r="W80" s="43" t="n">
        <f aca="false">SUMIFS('Additions (monthly)'!$E$2:$E$106,'Additions (monthly)'!$D$2:$D$106,W$2,'Additions (monthly)'!$B$2:$B$106,"&lt;="&amp;$B80)</f>
        <v>0</v>
      </c>
      <c r="X80" s="43" t="n">
        <f aca="false">SUMIFS('Additions (monthly)'!$E$2:$E$106,'Additions (monthly)'!$D$2:$D$106,X$2,'Additions (monthly)'!$B$2:$B$106,"&lt;="&amp;$B80)</f>
        <v>0</v>
      </c>
      <c r="Y80" s="43" t="n">
        <f aca="false">SUMIFS('Additions (monthly)'!$E$2:$E$106,'Additions (monthly)'!$D$2:$D$106,Y$2,'Additions (monthly)'!$B$2:$B$106,"&lt;="&amp;$B80)</f>
        <v>5</v>
      </c>
      <c r="Z80" s="43" t="n">
        <f aca="false">SUMIFS('Additions (monthly)'!$E$2:$E$106,'Additions (monthly)'!$D$2:$D$106,Z$2,'Additions (monthly)'!$B$2:$B$106,"&lt;="&amp;$B80)</f>
        <v>7.2</v>
      </c>
      <c r="AA80" s="43" t="n">
        <f aca="false">SUMIFS('Additions (monthly)'!$E$2:$E$106,'Additions (monthly)'!$D$2:$D$106,AA$2,'Additions (monthly)'!$B$2:$B$106,"&lt;="&amp;$B80)</f>
        <v>3.7</v>
      </c>
      <c r="AB80" s="43" t="n">
        <f aca="false">SUMIFS('Additions (monthly)'!$E$2:$E$106,'Additions (monthly)'!$D$2:$D$106,AB$2,'Additions (monthly)'!$B$2:$B$106,"&lt;="&amp;$B80)</f>
        <v>16.95</v>
      </c>
      <c r="AC80" s="43" t="n">
        <f aca="false">SUMIFS('Additions (monthly)'!$E$2:$E$106,'Additions (monthly)'!$D$2:$D$106,AC$2,'Additions (monthly)'!$B$2:$B$106,"&lt;="&amp;$B80)</f>
        <v>2</v>
      </c>
      <c r="AD80" s="43" t="n">
        <f aca="false">SUMIFS('Additions (monthly)'!$E$2:$E$106,'Additions (monthly)'!$D$2:$D$106,AD$2,'Additions (monthly)'!$B$2:$B$106,"&lt;="&amp;$B80)</f>
        <v>7.6</v>
      </c>
      <c r="AE80" s="43" t="n">
        <f aca="false">SUMIFS('Additions (monthly)'!$E$2:$E$106,'Additions (monthly)'!$D$2:$D$106,AE$2,'Additions (monthly)'!$B$2:$B$106,"&lt;="&amp;$B80)</f>
        <v>25.7</v>
      </c>
      <c r="AF80" s="43" t="n">
        <f aca="false">SUMIFS('Additions (monthly)'!$E$2:$E$106,'Additions (monthly)'!$D$2:$D$106,AF$2,'Additions (monthly)'!$B$2:$B$106,"&lt;="&amp;$B80)</f>
        <v>0</v>
      </c>
      <c r="AG80" s="43" t="n">
        <f aca="false">SUMIFS('Additions (monthly)'!$E$2:$E$106,'Additions (monthly)'!$D$2:$D$106,AG$2,'Additions (monthly)'!$B$2:$B$106,"&lt;="&amp;$B80)</f>
        <v>0</v>
      </c>
      <c r="AH80" s="43" t="n">
        <f aca="false">SUMIFS('Additions (monthly)'!$E$2:$E$106,'Additions (monthly)'!$D$2:$D$106,AH$2,'Additions (monthly)'!$B$2:$B$106,"&lt;="&amp;$B80)</f>
        <v>0</v>
      </c>
      <c r="AI80" s="43" t="n">
        <f aca="false">SUMIFS('Additions (monthly)'!$E$2:$E$106,'Additions (monthly)'!$D$2:$D$106,AI$2,'Additions (monthly)'!$B$2:$B$106,"&lt;="&amp;$B80)</f>
        <v>0</v>
      </c>
      <c r="AJ80" s="43" t="n">
        <f aca="false">SUMIFS('Additions (monthly)'!$E$2:$E$106,'Additions (monthly)'!$D$2:$D$106,AJ$2,'Additions (monthly)'!$B$2:$B$106,"&lt;="&amp;$B80)</f>
        <v>0</v>
      </c>
      <c r="AK80" s="43" t="n">
        <f aca="false">SUMIFS('Additions (monthly)'!$E$2:$E$106,'Additions (monthly)'!$D$2:$D$106,AK$2,'Additions (monthly)'!$B$2:$B$106,"&lt;="&amp;$B80)</f>
        <v>0</v>
      </c>
      <c r="AL80" s="43" t="n">
        <f aca="false">SUMIFS('Additions (monthly)'!$E$2:$E$106,'Additions (monthly)'!$D$2:$D$106,AL$2,'Additions (monthly)'!$B$2:$B$106,"&lt;="&amp;$B80)</f>
        <v>22.2</v>
      </c>
      <c r="AM80" s="43" t="n">
        <f aca="false">SUMIFS('Additions (monthly)'!$E$2:$E$106,'Additions (monthly)'!$D$2:$D$106,AM$2,'Additions (monthly)'!$B$2:$B$106,"&lt;="&amp;$B80)</f>
        <v>0.3</v>
      </c>
      <c r="AN80" s="43" t="n">
        <f aca="false">SUMIFS('Additions (monthly)'!$E$2:$E$106,'Additions (monthly)'!$D$2:$D$106,AN$2,'Additions (monthly)'!$B$2:$B$106,"&lt;="&amp;$B80)</f>
        <v>4.3</v>
      </c>
      <c r="AO80" s="43" t="n">
        <f aca="false">SUMIFS('Additions (monthly)'!$E$2:$E$106,'Additions (monthly)'!$D$2:$D$106,AO$2,'Additions (monthly)'!$B$2:$B$106,"&lt;="&amp;$B80)</f>
        <v>10.4</v>
      </c>
      <c r="AP80" s="43" t="n">
        <f aca="false">SUMIFS('Additions (monthly)'!$E$2:$E$106,'Additions (monthly)'!$D$2:$D$106,AP$2,'Additions (monthly)'!$B$2:$B$106,"&lt;="&amp;$B80)</f>
        <v>6.9</v>
      </c>
      <c r="AQ80" s="43" t="n">
        <f aca="false">SUMIFS('Additions (monthly)'!$E$2:$E$106,'Additions (monthly)'!$D$2:$D$106,AQ$2,'Additions (monthly)'!$B$2:$B$106,"&lt;="&amp;$B80)</f>
        <v>4.45</v>
      </c>
      <c r="AR80" s="43" t="n">
        <f aca="false">SUMIFS('Additions (monthly)'!$E$2:$E$106,'Additions (monthly)'!$D$2:$D$106,AR$2,'Additions (monthly)'!$B$2:$B$106,"&lt;="&amp;$B80)</f>
        <v>77.1</v>
      </c>
      <c r="AS80" s="43" t="n">
        <f aca="false">SUMIFS('Additions (monthly)'!$E$2:$E$106,'Additions (monthly)'!$D$2:$D$106,AS$2,'Additions (monthly)'!$B$2:$B$106,"&lt;="&amp;$B80)</f>
        <v>0</v>
      </c>
      <c r="AT80" s="43" t="n">
        <f aca="false">SUMIFS('Additions (monthly)'!$E$2:$E$106,'Additions (monthly)'!$D$2:$D$106,AT$2,'Additions (monthly)'!$B$2:$B$106,"&lt;="&amp;$B80)</f>
        <v>0</v>
      </c>
      <c r="AU80" s="43" t="n">
        <f aca="false">SUMIFS('Additions (monthly)'!$E$2:$E$106,'Additions (monthly)'!$D$2:$D$106,AU$2,'Additions (monthly)'!$B$2:$B$106,"&lt;="&amp;$B80)</f>
        <v>9.6</v>
      </c>
      <c r="AV80" s="43" t="n">
        <f aca="false">SUMIFS('Additions (monthly)'!$E$2:$E$106,'Additions (monthly)'!$D$2:$D$106,AV$2,'Additions (monthly)'!$B$2:$B$106,"&lt;="&amp;$B80)</f>
        <v>0</v>
      </c>
      <c r="AW80" s="43" t="n">
        <f aca="false">SUMIFS('Additions (monthly)'!$E$2:$E$106,'Additions (monthly)'!$D$2:$D$106,AW$2,'Additions (monthly)'!$B$2:$B$106,"&lt;="&amp;$B80)</f>
        <v>0</v>
      </c>
      <c r="AX80" s="43" t="n">
        <f aca="false">SUMIFS('Additions (monthly)'!$E$2:$E$106,'Additions (monthly)'!$D$2:$D$106,AX$2,'Additions (monthly)'!$B$2:$B$106,"&lt;="&amp;$B80)</f>
        <v>11.8</v>
      </c>
      <c r="AY80" s="43" t="n">
        <f aca="false">SUMIFS('Additions (monthly)'!$E$2:$E$106,'Additions (monthly)'!$D$2:$D$106,AY$2,'Additions (monthly)'!$B$2:$B$106,"&lt;="&amp;$B80)</f>
        <v>5.3</v>
      </c>
      <c r="AZ80" s="43" t="n">
        <f aca="false">SUMIFS('Additions (monthly)'!$E$2:$E$106,'Additions (monthly)'!$D$2:$D$106,AZ$2,'Additions (monthly)'!$B$2:$B$106,"&lt;="&amp;$B80)</f>
        <v>0</v>
      </c>
      <c r="BA80" s="43" t="n">
        <f aca="false">SUMIFS('Additions (monthly)'!$E$2:$E$106,'Additions (monthly)'!$D$2:$D$106,BA$2,'Additions (monthly)'!$B$2:$B$106,"&lt;="&amp;$B80)</f>
        <v>0</v>
      </c>
      <c r="BB80" s="43" t="n">
        <f aca="false">SUMIFS('Additions (monthly)'!$E$2:$E$106,'Additions (monthly)'!$D$2:$D$106,BB$2,'Additions (monthly)'!$B$2:$B$106,"&lt;="&amp;$B80)</f>
        <v>0</v>
      </c>
      <c r="BC80" s="43" t="n">
        <f aca="false">SUMIFS('Additions (monthly)'!$E$2:$E$106,'Additions (monthly)'!$D$2:$D$106,BC$2,'Additions (monthly)'!$B$2:$B$106,"&lt;="&amp;$B80)</f>
        <v>0</v>
      </c>
      <c r="BD80" s="43" t="n">
        <f aca="false">SUMIFS('Additions (monthly)'!$E$2:$E$106,'Additions (monthly)'!$D$2:$D$106,BD$2,'Additions (monthly)'!$B$2:$B$106,"&lt;="&amp;$B80)</f>
        <v>0</v>
      </c>
      <c r="BE80" s="43" t="n">
        <f aca="false">SUMIFS('Additions (monthly)'!$E$2:$E$106,'Additions (monthly)'!$D$2:$D$106,BE$2,'Additions (monthly)'!$B$2:$B$106,"&lt;="&amp;$B80)</f>
        <v>0</v>
      </c>
      <c r="BF80" s="43" t="n">
        <f aca="false">SUMIFS('Additions (monthly)'!$E$2:$E$106,'Additions (monthly)'!$D$2:$D$106,BF$2,'Additions (monthly)'!$B$2:$B$106,"&lt;="&amp;$B80)</f>
        <v>0</v>
      </c>
      <c r="BG80" s="43" t="n">
        <f aca="false">SUMIFS('Additions (monthly)'!$E$2:$E$106,'Additions (monthly)'!$D$2:$D$106,BG$2,'Additions (monthly)'!$B$2:$B$106,"&lt;="&amp;$B80)</f>
        <v>0</v>
      </c>
      <c r="BH80" s="43" t="n">
        <f aca="false">SUMIFS('Additions (monthly)'!$E$2:$E$106,'Additions (monthly)'!$D$2:$D$106,BH$2,'Additions (monthly)'!$B$2:$B$106,"&lt;="&amp;$B80)</f>
        <v>10</v>
      </c>
      <c r="BI80" s="43" t="n">
        <f aca="false">SUMIFS('Additions (monthly)'!$E$2:$E$106,'Additions (monthly)'!$D$2:$D$106,BI$2,'Additions (monthly)'!$B$2:$B$106,"&lt;="&amp;$B80)</f>
        <v>6.7</v>
      </c>
    </row>
    <row r="81" customFormat="false" ht="15" hidden="false" customHeight="false" outlineLevel="0" collapsed="false">
      <c r="A81" s="23" t="n">
        <v>42552</v>
      </c>
      <c r="B81" s="24" t="n">
        <v>201607</v>
      </c>
      <c r="C81" s="42" t="n">
        <f aca="false">SUMIFS('Additions (monthly)'!$E$2:$E$106,'Additions (monthly)'!$B$2:$B$106,"&lt;="&amp;$B81)</f>
        <v>342.67</v>
      </c>
      <c r="D81" s="43" t="n">
        <f aca="false">SUMIFS('Additions (monthly)'!$E$2:$E$106,'Additions (monthly)'!$D$2:$D$106,D$2,'Additions (monthly)'!$B$2:$B$106,"&lt;="&amp;$B81)</f>
        <v>7.9</v>
      </c>
      <c r="E81" s="43" t="n">
        <f aca="false">SUMIFS('Additions (monthly)'!$E$2:$E$106,'Additions (monthly)'!$D$2:$D$106,E$2,'Additions (monthly)'!$B$2:$B$106,"&lt;="&amp;$B81)</f>
        <v>8.4</v>
      </c>
      <c r="F81" s="43" t="n">
        <f aca="false">SUMIFS('Additions (monthly)'!$E$2:$E$106,'Additions (monthly)'!$D$2:$D$106,F$2,'Additions (monthly)'!$B$2:$B$106,"&lt;="&amp;$B81)</f>
        <v>4.7</v>
      </c>
      <c r="G81" s="43" t="n">
        <f aca="false">SUMIFS('Additions (monthly)'!$E$2:$E$106,'Additions (monthly)'!$D$2:$D$106,G$2,'Additions (monthly)'!$B$2:$B$106,"&lt;="&amp;$B81)</f>
        <v>4.5</v>
      </c>
      <c r="H81" s="43" t="n">
        <f aca="false">SUMIFS('Additions (monthly)'!$E$2:$E$106,'Additions (monthly)'!$D$2:$D$106,H$2,'Additions (monthly)'!$B$2:$B$106,"&lt;="&amp;$B81)</f>
        <v>5.2</v>
      </c>
      <c r="I81" s="43" t="n">
        <f aca="false">SUMIFS('Additions (monthly)'!$E$2:$E$106,'Additions (monthly)'!$D$2:$D$106,I$2,'Additions (monthly)'!$B$2:$B$106,"&lt;="&amp;$B81)</f>
        <v>9</v>
      </c>
      <c r="J81" s="43" t="n">
        <f aca="false">SUMIFS('Additions (monthly)'!$E$2:$E$106,'Additions (monthly)'!$D$2:$D$106,J$2,'Additions (monthly)'!$B$2:$B$106,"&lt;="&amp;$B81)</f>
        <v>3.7</v>
      </c>
      <c r="K81" s="43" t="n">
        <f aca="false">SUMIFS('Additions (monthly)'!$E$2:$E$106,'Additions (monthly)'!$D$2:$D$106,K$2,'Additions (monthly)'!$B$2:$B$106,"&lt;="&amp;$B81)</f>
        <v>7.8</v>
      </c>
      <c r="L81" s="43" t="n">
        <f aca="false">SUMIFS('Additions (monthly)'!$E$2:$E$106,'Additions (monthly)'!$D$2:$D$106,L$2,'Additions (monthly)'!$B$2:$B$106,"&lt;="&amp;$B81)</f>
        <v>15.6</v>
      </c>
      <c r="M81" s="43" t="n">
        <f aca="false">SUMIFS('Additions (monthly)'!$E$2:$E$106,'Additions (monthly)'!$D$2:$D$106,M$2,'Additions (monthly)'!$B$2:$B$106,"&lt;="&amp;$B81)</f>
        <v>0</v>
      </c>
      <c r="N81" s="43" t="n">
        <f aca="false">SUMIFS('Additions (monthly)'!$E$2:$E$106,'Additions (monthly)'!$D$2:$D$106,N$2,'Additions (monthly)'!$B$2:$B$106,"&lt;="&amp;$B81)</f>
        <v>14.2</v>
      </c>
      <c r="O81" s="43" t="n">
        <f aca="false">SUMIFS('Additions (monthly)'!$E$2:$E$106,'Additions (monthly)'!$D$2:$D$106,O$2,'Additions (monthly)'!$B$2:$B$106,"&lt;="&amp;$B81)</f>
        <v>4.9</v>
      </c>
      <c r="P81" s="43" t="n">
        <f aca="false">SUMIFS('Additions (monthly)'!$E$2:$E$106,'Additions (monthly)'!$D$2:$D$106,P$2,'Additions (monthly)'!$B$2:$B$106,"&lt;="&amp;$B81)</f>
        <v>0</v>
      </c>
      <c r="Q81" s="43" t="n">
        <f aca="false">SUMIFS('Additions (monthly)'!$E$2:$E$106,'Additions (monthly)'!$D$2:$D$106,Q$2,'Additions (monthly)'!$B$2:$B$106,"&lt;="&amp;$B81)</f>
        <v>8.5</v>
      </c>
      <c r="R81" s="43" t="n">
        <f aca="false">SUMIFS('Additions (monthly)'!$E$2:$E$106,'Additions (monthly)'!$D$2:$D$106,R$2,'Additions (monthly)'!$B$2:$B$106,"&lt;="&amp;$B81)</f>
        <v>0</v>
      </c>
      <c r="S81" s="43" t="n">
        <f aca="false">SUMIFS('Additions (monthly)'!$E$2:$E$106,'Additions (monthly)'!$D$2:$D$106,S$2,'Additions (monthly)'!$B$2:$B$106,"&lt;="&amp;$B81)</f>
        <v>7.2</v>
      </c>
      <c r="T81" s="43" t="n">
        <f aca="false">SUMIFS('Additions (monthly)'!$E$2:$E$106,'Additions (monthly)'!$D$2:$D$106,T$2,'Additions (monthly)'!$B$2:$B$106,"&lt;="&amp;$B81)</f>
        <v>0</v>
      </c>
      <c r="U81" s="43" t="n">
        <f aca="false">SUMIFS('Additions (monthly)'!$E$2:$E$106,'Additions (monthly)'!$D$2:$D$106,U$2,'Additions (monthly)'!$B$2:$B$106,"&lt;="&amp;$B81)</f>
        <v>0</v>
      </c>
      <c r="V81" s="43" t="n">
        <f aca="false">SUMIFS('Additions (monthly)'!$E$2:$E$106,'Additions (monthly)'!$D$2:$D$106,V$2,'Additions (monthly)'!$B$2:$B$106,"&lt;="&amp;$B81)</f>
        <v>3.87</v>
      </c>
      <c r="W81" s="43" t="n">
        <f aca="false">SUMIFS('Additions (monthly)'!$E$2:$E$106,'Additions (monthly)'!$D$2:$D$106,W$2,'Additions (monthly)'!$B$2:$B$106,"&lt;="&amp;$B81)</f>
        <v>0</v>
      </c>
      <c r="X81" s="43" t="n">
        <f aca="false">SUMIFS('Additions (monthly)'!$E$2:$E$106,'Additions (monthly)'!$D$2:$D$106,X$2,'Additions (monthly)'!$B$2:$B$106,"&lt;="&amp;$B81)</f>
        <v>0</v>
      </c>
      <c r="Y81" s="43" t="n">
        <f aca="false">SUMIFS('Additions (monthly)'!$E$2:$E$106,'Additions (monthly)'!$D$2:$D$106,Y$2,'Additions (monthly)'!$B$2:$B$106,"&lt;="&amp;$B81)</f>
        <v>5</v>
      </c>
      <c r="Z81" s="43" t="n">
        <f aca="false">SUMIFS('Additions (monthly)'!$E$2:$E$106,'Additions (monthly)'!$D$2:$D$106,Z$2,'Additions (monthly)'!$B$2:$B$106,"&lt;="&amp;$B81)</f>
        <v>7.2</v>
      </c>
      <c r="AA81" s="43" t="n">
        <f aca="false">SUMIFS('Additions (monthly)'!$E$2:$E$106,'Additions (monthly)'!$D$2:$D$106,AA$2,'Additions (monthly)'!$B$2:$B$106,"&lt;="&amp;$B81)</f>
        <v>3.7</v>
      </c>
      <c r="AB81" s="43" t="n">
        <f aca="false">SUMIFS('Additions (monthly)'!$E$2:$E$106,'Additions (monthly)'!$D$2:$D$106,AB$2,'Additions (monthly)'!$B$2:$B$106,"&lt;="&amp;$B81)</f>
        <v>16.95</v>
      </c>
      <c r="AC81" s="43" t="n">
        <f aca="false">SUMIFS('Additions (monthly)'!$E$2:$E$106,'Additions (monthly)'!$D$2:$D$106,AC$2,'Additions (monthly)'!$B$2:$B$106,"&lt;="&amp;$B81)</f>
        <v>2</v>
      </c>
      <c r="AD81" s="43" t="n">
        <f aca="false">SUMIFS('Additions (monthly)'!$E$2:$E$106,'Additions (monthly)'!$D$2:$D$106,AD$2,'Additions (monthly)'!$B$2:$B$106,"&lt;="&amp;$B81)</f>
        <v>7.6</v>
      </c>
      <c r="AE81" s="43" t="n">
        <f aca="false">SUMIFS('Additions (monthly)'!$E$2:$E$106,'Additions (monthly)'!$D$2:$D$106,AE$2,'Additions (monthly)'!$B$2:$B$106,"&lt;="&amp;$B81)</f>
        <v>25.7</v>
      </c>
      <c r="AF81" s="43" t="n">
        <f aca="false">SUMIFS('Additions (monthly)'!$E$2:$E$106,'Additions (monthly)'!$D$2:$D$106,AF$2,'Additions (monthly)'!$B$2:$B$106,"&lt;="&amp;$B81)</f>
        <v>0</v>
      </c>
      <c r="AG81" s="43" t="n">
        <f aca="false">SUMIFS('Additions (monthly)'!$E$2:$E$106,'Additions (monthly)'!$D$2:$D$106,AG$2,'Additions (monthly)'!$B$2:$B$106,"&lt;="&amp;$B81)</f>
        <v>0</v>
      </c>
      <c r="AH81" s="43" t="n">
        <f aca="false">SUMIFS('Additions (monthly)'!$E$2:$E$106,'Additions (monthly)'!$D$2:$D$106,AH$2,'Additions (monthly)'!$B$2:$B$106,"&lt;="&amp;$B81)</f>
        <v>0</v>
      </c>
      <c r="AI81" s="43" t="n">
        <f aca="false">SUMIFS('Additions (monthly)'!$E$2:$E$106,'Additions (monthly)'!$D$2:$D$106,AI$2,'Additions (monthly)'!$B$2:$B$106,"&lt;="&amp;$B81)</f>
        <v>0</v>
      </c>
      <c r="AJ81" s="43" t="n">
        <f aca="false">SUMIFS('Additions (monthly)'!$E$2:$E$106,'Additions (monthly)'!$D$2:$D$106,AJ$2,'Additions (monthly)'!$B$2:$B$106,"&lt;="&amp;$B81)</f>
        <v>0</v>
      </c>
      <c r="AK81" s="43" t="n">
        <f aca="false">SUMIFS('Additions (monthly)'!$E$2:$E$106,'Additions (monthly)'!$D$2:$D$106,AK$2,'Additions (monthly)'!$B$2:$B$106,"&lt;="&amp;$B81)</f>
        <v>0</v>
      </c>
      <c r="AL81" s="43" t="n">
        <f aca="false">SUMIFS('Additions (monthly)'!$E$2:$E$106,'Additions (monthly)'!$D$2:$D$106,AL$2,'Additions (monthly)'!$B$2:$B$106,"&lt;="&amp;$B81)</f>
        <v>22.2</v>
      </c>
      <c r="AM81" s="43" t="n">
        <f aca="false">SUMIFS('Additions (monthly)'!$E$2:$E$106,'Additions (monthly)'!$D$2:$D$106,AM$2,'Additions (monthly)'!$B$2:$B$106,"&lt;="&amp;$B81)</f>
        <v>0.3</v>
      </c>
      <c r="AN81" s="43" t="n">
        <f aca="false">SUMIFS('Additions (monthly)'!$E$2:$E$106,'Additions (monthly)'!$D$2:$D$106,AN$2,'Additions (monthly)'!$B$2:$B$106,"&lt;="&amp;$B81)</f>
        <v>4.3</v>
      </c>
      <c r="AO81" s="43" t="n">
        <f aca="false">SUMIFS('Additions (monthly)'!$E$2:$E$106,'Additions (monthly)'!$D$2:$D$106,AO$2,'Additions (monthly)'!$B$2:$B$106,"&lt;="&amp;$B81)</f>
        <v>10.4</v>
      </c>
      <c r="AP81" s="43" t="n">
        <f aca="false">SUMIFS('Additions (monthly)'!$E$2:$E$106,'Additions (monthly)'!$D$2:$D$106,AP$2,'Additions (monthly)'!$B$2:$B$106,"&lt;="&amp;$B81)</f>
        <v>6.9</v>
      </c>
      <c r="AQ81" s="43" t="n">
        <f aca="false">SUMIFS('Additions (monthly)'!$E$2:$E$106,'Additions (monthly)'!$D$2:$D$106,AQ$2,'Additions (monthly)'!$B$2:$B$106,"&lt;="&amp;$B81)</f>
        <v>4.45</v>
      </c>
      <c r="AR81" s="43" t="n">
        <f aca="false">SUMIFS('Additions (monthly)'!$E$2:$E$106,'Additions (monthly)'!$D$2:$D$106,AR$2,'Additions (monthly)'!$B$2:$B$106,"&lt;="&amp;$B81)</f>
        <v>77.1</v>
      </c>
      <c r="AS81" s="43" t="n">
        <f aca="false">SUMIFS('Additions (monthly)'!$E$2:$E$106,'Additions (monthly)'!$D$2:$D$106,AS$2,'Additions (monthly)'!$B$2:$B$106,"&lt;="&amp;$B81)</f>
        <v>0</v>
      </c>
      <c r="AT81" s="43" t="n">
        <f aca="false">SUMIFS('Additions (monthly)'!$E$2:$E$106,'Additions (monthly)'!$D$2:$D$106,AT$2,'Additions (monthly)'!$B$2:$B$106,"&lt;="&amp;$B81)</f>
        <v>0</v>
      </c>
      <c r="AU81" s="43" t="n">
        <f aca="false">SUMIFS('Additions (monthly)'!$E$2:$E$106,'Additions (monthly)'!$D$2:$D$106,AU$2,'Additions (monthly)'!$B$2:$B$106,"&lt;="&amp;$B81)</f>
        <v>9.6</v>
      </c>
      <c r="AV81" s="43" t="n">
        <f aca="false">SUMIFS('Additions (monthly)'!$E$2:$E$106,'Additions (monthly)'!$D$2:$D$106,AV$2,'Additions (monthly)'!$B$2:$B$106,"&lt;="&amp;$B81)</f>
        <v>0</v>
      </c>
      <c r="AW81" s="43" t="n">
        <f aca="false">SUMIFS('Additions (monthly)'!$E$2:$E$106,'Additions (monthly)'!$D$2:$D$106,AW$2,'Additions (monthly)'!$B$2:$B$106,"&lt;="&amp;$B81)</f>
        <v>0</v>
      </c>
      <c r="AX81" s="43" t="n">
        <f aca="false">SUMIFS('Additions (monthly)'!$E$2:$E$106,'Additions (monthly)'!$D$2:$D$106,AX$2,'Additions (monthly)'!$B$2:$B$106,"&lt;="&amp;$B81)</f>
        <v>11.8</v>
      </c>
      <c r="AY81" s="43" t="n">
        <f aca="false">SUMIFS('Additions (monthly)'!$E$2:$E$106,'Additions (monthly)'!$D$2:$D$106,AY$2,'Additions (monthly)'!$B$2:$B$106,"&lt;="&amp;$B81)</f>
        <v>5.3</v>
      </c>
      <c r="AZ81" s="43" t="n">
        <f aca="false">SUMIFS('Additions (monthly)'!$E$2:$E$106,'Additions (monthly)'!$D$2:$D$106,AZ$2,'Additions (monthly)'!$B$2:$B$106,"&lt;="&amp;$B81)</f>
        <v>0</v>
      </c>
      <c r="BA81" s="43" t="n">
        <f aca="false">SUMIFS('Additions (monthly)'!$E$2:$E$106,'Additions (monthly)'!$D$2:$D$106,BA$2,'Additions (monthly)'!$B$2:$B$106,"&lt;="&amp;$B81)</f>
        <v>0</v>
      </c>
      <c r="BB81" s="43" t="n">
        <f aca="false">SUMIFS('Additions (monthly)'!$E$2:$E$106,'Additions (monthly)'!$D$2:$D$106,BB$2,'Additions (monthly)'!$B$2:$B$106,"&lt;="&amp;$B81)</f>
        <v>0</v>
      </c>
      <c r="BC81" s="43" t="n">
        <f aca="false">SUMIFS('Additions (monthly)'!$E$2:$E$106,'Additions (monthly)'!$D$2:$D$106,BC$2,'Additions (monthly)'!$B$2:$B$106,"&lt;="&amp;$B81)</f>
        <v>0</v>
      </c>
      <c r="BD81" s="43" t="n">
        <f aca="false">SUMIFS('Additions (monthly)'!$E$2:$E$106,'Additions (monthly)'!$D$2:$D$106,BD$2,'Additions (monthly)'!$B$2:$B$106,"&lt;="&amp;$B81)</f>
        <v>0</v>
      </c>
      <c r="BE81" s="43" t="n">
        <f aca="false">SUMIFS('Additions (monthly)'!$E$2:$E$106,'Additions (monthly)'!$D$2:$D$106,BE$2,'Additions (monthly)'!$B$2:$B$106,"&lt;="&amp;$B81)</f>
        <v>0</v>
      </c>
      <c r="BF81" s="43" t="n">
        <f aca="false">SUMIFS('Additions (monthly)'!$E$2:$E$106,'Additions (monthly)'!$D$2:$D$106,BF$2,'Additions (monthly)'!$B$2:$B$106,"&lt;="&amp;$B81)</f>
        <v>0</v>
      </c>
      <c r="BG81" s="43" t="n">
        <f aca="false">SUMIFS('Additions (monthly)'!$E$2:$E$106,'Additions (monthly)'!$D$2:$D$106,BG$2,'Additions (monthly)'!$B$2:$B$106,"&lt;="&amp;$B81)</f>
        <v>0</v>
      </c>
      <c r="BH81" s="43" t="n">
        <f aca="false">SUMIFS('Additions (monthly)'!$E$2:$E$106,'Additions (monthly)'!$D$2:$D$106,BH$2,'Additions (monthly)'!$B$2:$B$106,"&lt;="&amp;$B81)</f>
        <v>10</v>
      </c>
      <c r="BI81" s="43" t="n">
        <f aca="false">SUMIFS('Additions (monthly)'!$E$2:$E$106,'Additions (monthly)'!$D$2:$D$106,BI$2,'Additions (monthly)'!$B$2:$B$106,"&lt;="&amp;$B81)</f>
        <v>6.7</v>
      </c>
    </row>
    <row r="82" customFormat="false" ht="15" hidden="false" customHeight="false" outlineLevel="0" collapsed="false">
      <c r="A82" s="23" t="n">
        <v>42583</v>
      </c>
      <c r="B82" s="24" t="n">
        <v>201608</v>
      </c>
      <c r="C82" s="42" t="n">
        <f aca="false">SUMIFS('Additions (monthly)'!$E$2:$E$106,'Additions (monthly)'!$B$2:$B$106,"&lt;="&amp;$B82)</f>
        <v>342.67</v>
      </c>
      <c r="D82" s="43" t="n">
        <f aca="false">SUMIFS('Additions (monthly)'!$E$2:$E$106,'Additions (monthly)'!$D$2:$D$106,D$2,'Additions (monthly)'!$B$2:$B$106,"&lt;="&amp;$B82)</f>
        <v>7.9</v>
      </c>
      <c r="E82" s="43" t="n">
        <f aca="false">SUMIFS('Additions (monthly)'!$E$2:$E$106,'Additions (monthly)'!$D$2:$D$106,E$2,'Additions (monthly)'!$B$2:$B$106,"&lt;="&amp;$B82)</f>
        <v>8.4</v>
      </c>
      <c r="F82" s="43" t="n">
        <f aca="false">SUMIFS('Additions (monthly)'!$E$2:$E$106,'Additions (monthly)'!$D$2:$D$106,F$2,'Additions (monthly)'!$B$2:$B$106,"&lt;="&amp;$B82)</f>
        <v>4.7</v>
      </c>
      <c r="G82" s="43" t="n">
        <f aca="false">SUMIFS('Additions (monthly)'!$E$2:$E$106,'Additions (monthly)'!$D$2:$D$106,G$2,'Additions (monthly)'!$B$2:$B$106,"&lt;="&amp;$B82)</f>
        <v>4.5</v>
      </c>
      <c r="H82" s="43" t="n">
        <f aca="false">SUMIFS('Additions (monthly)'!$E$2:$E$106,'Additions (monthly)'!$D$2:$D$106,H$2,'Additions (monthly)'!$B$2:$B$106,"&lt;="&amp;$B82)</f>
        <v>5.2</v>
      </c>
      <c r="I82" s="43" t="n">
        <f aca="false">SUMIFS('Additions (monthly)'!$E$2:$E$106,'Additions (monthly)'!$D$2:$D$106,I$2,'Additions (monthly)'!$B$2:$B$106,"&lt;="&amp;$B82)</f>
        <v>9</v>
      </c>
      <c r="J82" s="43" t="n">
        <f aca="false">SUMIFS('Additions (monthly)'!$E$2:$E$106,'Additions (monthly)'!$D$2:$D$106,J$2,'Additions (monthly)'!$B$2:$B$106,"&lt;="&amp;$B82)</f>
        <v>3.7</v>
      </c>
      <c r="K82" s="43" t="n">
        <f aca="false">SUMIFS('Additions (monthly)'!$E$2:$E$106,'Additions (monthly)'!$D$2:$D$106,K$2,'Additions (monthly)'!$B$2:$B$106,"&lt;="&amp;$B82)</f>
        <v>7.8</v>
      </c>
      <c r="L82" s="43" t="n">
        <f aca="false">SUMIFS('Additions (monthly)'!$E$2:$E$106,'Additions (monthly)'!$D$2:$D$106,L$2,'Additions (monthly)'!$B$2:$B$106,"&lt;="&amp;$B82)</f>
        <v>15.6</v>
      </c>
      <c r="M82" s="43" t="n">
        <f aca="false">SUMIFS('Additions (monthly)'!$E$2:$E$106,'Additions (monthly)'!$D$2:$D$106,M$2,'Additions (monthly)'!$B$2:$B$106,"&lt;="&amp;$B82)</f>
        <v>0</v>
      </c>
      <c r="N82" s="43" t="n">
        <f aca="false">SUMIFS('Additions (monthly)'!$E$2:$E$106,'Additions (monthly)'!$D$2:$D$106,N$2,'Additions (monthly)'!$B$2:$B$106,"&lt;="&amp;$B82)</f>
        <v>14.2</v>
      </c>
      <c r="O82" s="43" t="n">
        <f aca="false">SUMIFS('Additions (monthly)'!$E$2:$E$106,'Additions (monthly)'!$D$2:$D$106,O$2,'Additions (monthly)'!$B$2:$B$106,"&lt;="&amp;$B82)</f>
        <v>4.9</v>
      </c>
      <c r="P82" s="43" t="n">
        <f aca="false">SUMIFS('Additions (monthly)'!$E$2:$E$106,'Additions (monthly)'!$D$2:$D$106,P$2,'Additions (monthly)'!$B$2:$B$106,"&lt;="&amp;$B82)</f>
        <v>0</v>
      </c>
      <c r="Q82" s="43" t="n">
        <f aca="false">SUMIFS('Additions (monthly)'!$E$2:$E$106,'Additions (monthly)'!$D$2:$D$106,Q$2,'Additions (monthly)'!$B$2:$B$106,"&lt;="&amp;$B82)</f>
        <v>8.5</v>
      </c>
      <c r="R82" s="43" t="n">
        <f aca="false">SUMIFS('Additions (monthly)'!$E$2:$E$106,'Additions (monthly)'!$D$2:$D$106,R$2,'Additions (monthly)'!$B$2:$B$106,"&lt;="&amp;$B82)</f>
        <v>0</v>
      </c>
      <c r="S82" s="43" t="n">
        <f aca="false">SUMIFS('Additions (monthly)'!$E$2:$E$106,'Additions (monthly)'!$D$2:$D$106,S$2,'Additions (monthly)'!$B$2:$B$106,"&lt;="&amp;$B82)</f>
        <v>7.2</v>
      </c>
      <c r="T82" s="43" t="n">
        <f aca="false">SUMIFS('Additions (monthly)'!$E$2:$E$106,'Additions (monthly)'!$D$2:$D$106,T$2,'Additions (monthly)'!$B$2:$B$106,"&lt;="&amp;$B82)</f>
        <v>0</v>
      </c>
      <c r="U82" s="43" t="n">
        <f aca="false">SUMIFS('Additions (monthly)'!$E$2:$E$106,'Additions (monthly)'!$D$2:$D$106,U$2,'Additions (monthly)'!$B$2:$B$106,"&lt;="&amp;$B82)</f>
        <v>0</v>
      </c>
      <c r="V82" s="43" t="n">
        <f aca="false">SUMIFS('Additions (monthly)'!$E$2:$E$106,'Additions (monthly)'!$D$2:$D$106,V$2,'Additions (monthly)'!$B$2:$B$106,"&lt;="&amp;$B82)</f>
        <v>3.87</v>
      </c>
      <c r="W82" s="43" t="n">
        <f aca="false">SUMIFS('Additions (monthly)'!$E$2:$E$106,'Additions (monthly)'!$D$2:$D$106,W$2,'Additions (monthly)'!$B$2:$B$106,"&lt;="&amp;$B82)</f>
        <v>0</v>
      </c>
      <c r="X82" s="43" t="n">
        <f aca="false">SUMIFS('Additions (monthly)'!$E$2:$E$106,'Additions (monthly)'!$D$2:$D$106,X$2,'Additions (monthly)'!$B$2:$B$106,"&lt;="&amp;$B82)</f>
        <v>0</v>
      </c>
      <c r="Y82" s="43" t="n">
        <f aca="false">SUMIFS('Additions (monthly)'!$E$2:$E$106,'Additions (monthly)'!$D$2:$D$106,Y$2,'Additions (monthly)'!$B$2:$B$106,"&lt;="&amp;$B82)</f>
        <v>5</v>
      </c>
      <c r="Z82" s="43" t="n">
        <f aca="false">SUMIFS('Additions (monthly)'!$E$2:$E$106,'Additions (monthly)'!$D$2:$D$106,Z$2,'Additions (monthly)'!$B$2:$B$106,"&lt;="&amp;$B82)</f>
        <v>7.2</v>
      </c>
      <c r="AA82" s="43" t="n">
        <f aca="false">SUMIFS('Additions (monthly)'!$E$2:$E$106,'Additions (monthly)'!$D$2:$D$106,AA$2,'Additions (monthly)'!$B$2:$B$106,"&lt;="&amp;$B82)</f>
        <v>3.7</v>
      </c>
      <c r="AB82" s="43" t="n">
        <f aca="false">SUMIFS('Additions (monthly)'!$E$2:$E$106,'Additions (monthly)'!$D$2:$D$106,AB$2,'Additions (monthly)'!$B$2:$B$106,"&lt;="&amp;$B82)</f>
        <v>16.95</v>
      </c>
      <c r="AC82" s="43" t="n">
        <f aca="false">SUMIFS('Additions (monthly)'!$E$2:$E$106,'Additions (monthly)'!$D$2:$D$106,AC$2,'Additions (monthly)'!$B$2:$B$106,"&lt;="&amp;$B82)</f>
        <v>2</v>
      </c>
      <c r="AD82" s="43" t="n">
        <f aca="false">SUMIFS('Additions (monthly)'!$E$2:$E$106,'Additions (monthly)'!$D$2:$D$106,AD$2,'Additions (monthly)'!$B$2:$B$106,"&lt;="&amp;$B82)</f>
        <v>7.6</v>
      </c>
      <c r="AE82" s="43" t="n">
        <f aca="false">SUMIFS('Additions (monthly)'!$E$2:$E$106,'Additions (monthly)'!$D$2:$D$106,AE$2,'Additions (monthly)'!$B$2:$B$106,"&lt;="&amp;$B82)</f>
        <v>25.7</v>
      </c>
      <c r="AF82" s="43" t="n">
        <f aca="false">SUMIFS('Additions (monthly)'!$E$2:$E$106,'Additions (monthly)'!$D$2:$D$106,AF$2,'Additions (monthly)'!$B$2:$B$106,"&lt;="&amp;$B82)</f>
        <v>0</v>
      </c>
      <c r="AG82" s="43" t="n">
        <f aca="false">SUMIFS('Additions (monthly)'!$E$2:$E$106,'Additions (monthly)'!$D$2:$D$106,AG$2,'Additions (monthly)'!$B$2:$B$106,"&lt;="&amp;$B82)</f>
        <v>0</v>
      </c>
      <c r="AH82" s="43" t="n">
        <f aca="false">SUMIFS('Additions (monthly)'!$E$2:$E$106,'Additions (monthly)'!$D$2:$D$106,AH$2,'Additions (monthly)'!$B$2:$B$106,"&lt;="&amp;$B82)</f>
        <v>0</v>
      </c>
      <c r="AI82" s="43" t="n">
        <f aca="false">SUMIFS('Additions (monthly)'!$E$2:$E$106,'Additions (monthly)'!$D$2:$D$106,AI$2,'Additions (monthly)'!$B$2:$B$106,"&lt;="&amp;$B82)</f>
        <v>0</v>
      </c>
      <c r="AJ82" s="43" t="n">
        <f aca="false">SUMIFS('Additions (monthly)'!$E$2:$E$106,'Additions (monthly)'!$D$2:$D$106,AJ$2,'Additions (monthly)'!$B$2:$B$106,"&lt;="&amp;$B82)</f>
        <v>0</v>
      </c>
      <c r="AK82" s="43" t="n">
        <f aca="false">SUMIFS('Additions (monthly)'!$E$2:$E$106,'Additions (monthly)'!$D$2:$D$106,AK$2,'Additions (monthly)'!$B$2:$B$106,"&lt;="&amp;$B82)</f>
        <v>0</v>
      </c>
      <c r="AL82" s="43" t="n">
        <f aca="false">SUMIFS('Additions (monthly)'!$E$2:$E$106,'Additions (monthly)'!$D$2:$D$106,AL$2,'Additions (monthly)'!$B$2:$B$106,"&lt;="&amp;$B82)</f>
        <v>22.2</v>
      </c>
      <c r="AM82" s="43" t="n">
        <f aca="false">SUMIFS('Additions (monthly)'!$E$2:$E$106,'Additions (monthly)'!$D$2:$D$106,AM$2,'Additions (monthly)'!$B$2:$B$106,"&lt;="&amp;$B82)</f>
        <v>0.3</v>
      </c>
      <c r="AN82" s="43" t="n">
        <f aca="false">SUMIFS('Additions (monthly)'!$E$2:$E$106,'Additions (monthly)'!$D$2:$D$106,AN$2,'Additions (monthly)'!$B$2:$B$106,"&lt;="&amp;$B82)</f>
        <v>4.3</v>
      </c>
      <c r="AO82" s="43" t="n">
        <f aca="false">SUMIFS('Additions (monthly)'!$E$2:$E$106,'Additions (monthly)'!$D$2:$D$106,AO$2,'Additions (monthly)'!$B$2:$B$106,"&lt;="&amp;$B82)</f>
        <v>10.4</v>
      </c>
      <c r="AP82" s="43" t="n">
        <f aca="false">SUMIFS('Additions (monthly)'!$E$2:$E$106,'Additions (monthly)'!$D$2:$D$106,AP$2,'Additions (monthly)'!$B$2:$B$106,"&lt;="&amp;$B82)</f>
        <v>6.9</v>
      </c>
      <c r="AQ82" s="43" t="n">
        <f aca="false">SUMIFS('Additions (monthly)'!$E$2:$E$106,'Additions (monthly)'!$D$2:$D$106,AQ$2,'Additions (monthly)'!$B$2:$B$106,"&lt;="&amp;$B82)</f>
        <v>4.45</v>
      </c>
      <c r="AR82" s="43" t="n">
        <f aca="false">SUMIFS('Additions (monthly)'!$E$2:$E$106,'Additions (monthly)'!$D$2:$D$106,AR$2,'Additions (monthly)'!$B$2:$B$106,"&lt;="&amp;$B82)</f>
        <v>77.1</v>
      </c>
      <c r="AS82" s="43" t="n">
        <f aca="false">SUMIFS('Additions (monthly)'!$E$2:$E$106,'Additions (monthly)'!$D$2:$D$106,AS$2,'Additions (monthly)'!$B$2:$B$106,"&lt;="&amp;$B82)</f>
        <v>0</v>
      </c>
      <c r="AT82" s="43" t="n">
        <f aca="false">SUMIFS('Additions (monthly)'!$E$2:$E$106,'Additions (monthly)'!$D$2:$D$106,AT$2,'Additions (monthly)'!$B$2:$B$106,"&lt;="&amp;$B82)</f>
        <v>0</v>
      </c>
      <c r="AU82" s="43" t="n">
        <f aca="false">SUMIFS('Additions (monthly)'!$E$2:$E$106,'Additions (monthly)'!$D$2:$D$106,AU$2,'Additions (monthly)'!$B$2:$B$106,"&lt;="&amp;$B82)</f>
        <v>9.6</v>
      </c>
      <c r="AV82" s="43" t="n">
        <f aca="false">SUMIFS('Additions (monthly)'!$E$2:$E$106,'Additions (monthly)'!$D$2:$D$106,AV$2,'Additions (monthly)'!$B$2:$B$106,"&lt;="&amp;$B82)</f>
        <v>0</v>
      </c>
      <c r="AW82" s="43" t="n">
        <f aca="false">SUMIFS('Additions (monthly)'!$E$2:$E$106,'Additions (monthly)'!$D$2:$D$106,AW$2,'Additions (monthly)'!$B$2:$B$106,"&lt;="&amp;$B82)</f>
        <v>0</v>
      </c>
      <c r="AX82" s="43" t="n">
        <f aca="false">SUMIFS('Additions (monthly)'!$E$2:$E$106,'Additions (monthly)'!$D$2:$D$106,AX$2,'Additions (monthly)'!$B$2:$B$106,"&lt;="&amp;$B82)</f>
        <v>11.8</v>
      </c>
      <c r="AY82" s="43" t="n">
        <f aca="false">SUMIFS('Additions (monthly)'!$E$2:$E$106,'Additions (monthly)'!$D$2:$D$106,AY$2,'Additions (monthly)'!$B$2:$B$106,"&lt;="&amp;$B82)</f>
        <v>5.3</v>
      </c>
      <c r="AZ82" s="43" t="n">
        <f aca="false">SUMIFS('Additions (monthly)'!$E$2:$E$106,'Additions (monthly)'!$D$2:$D$106,AZ$2,'Additions (monthly)'!$B$2:$B$106,"&lt;="&amp;$B82)</f>
        <v>0</v>
      </c>
      <c r="BA82" s="43" t="n">
        <f aca="false">SUMIFS('Additions (monthly)'!$E$2:$E$106,'Additions (monthly)'!$D$2:$D$106,BA$2,'Additions (monthly)'!$B$2:$B$106,"&lt;="&amp;$B82)</f>
        <v>0</v>
      </c>
      <c r="BB82" s="43" t="n">
        <f aca="false">SUMIFS('Additions (monthly)'!$E$2:$E$106,'Additions (monthly)'!$D$2:$D$106,BB$2,'Additions (monthly)'!$B$2:$B$106,"&lt;="&amp;$B82)</f>
        <v>0</v>
      </c>
      <c r="BC82" s="43" t="n">
        <f aca="false">SUMIFS('Additions (monthly)'!$E$2:$E$106,'Additions (monthly)'!$D$2:$D$106,BC$2,'Additions (monthly)'!$B$2:$B$106,"&lt;="&amp;$B82)</f>
        <v>0</v>
      </c>
      <c r="BD82" s="43" t="n">
        <f aca="false">SUMIFS('Additions (monthly)'!$E$2:$E$106,'Additions (monthly)'!$D$2:$D$106,BD$2,'Additions (monthly)'!$B$2:$B$106,"&lt;="&amp;$B82)</f>
        <v>0</v>
      </c>
      <c r="BE82" s="43" t="n">
        <f aca="false">SUMIFS('Additions (monthly)'!$E$2:$E$106,'Additions (monthly)'!$D$2:$D$106,BE$2,'Additions (monthly)'!$B$2:$B$106,"&lt;="&amp;$B82)</f>
        <v>0</v>
      </c>
      <c r="BF82" s="43" t="n">
        <f aca="false">SUMIFS('Additions (monthly)'!$E$2:$E$106,'Additions (monthly)'!$D$2:$D$106,BF$2,'Additions (monthly)'!$B$2:$B$106,"&lt;="&amp;$B82)</f>
        <v>0</v>
      </c>
      <c r="BG82" s="43" t="n">
        <f aca="false">SUMIFS('Additions (monthly)'!$E$2:$E$106,'Additions (monthly)'!$D$2:$D$106,BG$2,'Additions (monthly)'!$B$2:$B$106,"&lt;="&amp;$B82)</f>
        <v>0</v>
      </c>
      <c r="BH82" s="43" t="n">
        <f aca="false">SUMIFS('Additions (monthly)'!$E$2:$E$106,'Additions (monthly)'!$D$2:$D$106,BH$2,'Additions (monthly)'!$B$2:$B$106,"&lt;="&amp;$B82)</f>
        <v>10</v>
      </c>
      <c r="BI82" s="43" t="n">
        <f aca="false">SUMIFS('Additions (monthly)'!$E$2:$E$106,'Additions (monthly)'!$D$2:$D$106,BI$2,'Additions (monthly)'!$B$2:$B$106,"&lt;="&amp;$B82)</f>
        <v>6.7</v>
      </c>
    </row>
    <row r="83" customFormat="false" ht="15" hidden="false" customHeight="false" outlineLevel="0" collapsed="false">
      <c r="A83" s="23" t="n">
        <v>42614</v>
      </c>
      <c r="B83" s="24" t="n">
        <v>201609</v>
      </c>
      <c r="C83" s="42" t="n">
        <f aca="false">SUMIFS('Additions (monthly)'!$E$2:$E$106,'Additions (monthly)'!$B$2:$B$106,"&lt;="&amp;$B83)</f>
        <v>342.67</v>
      </c>
      <c r="D83" s="43" t="n">
        <f aca="false">SUMIFS('Additions (monthly)'!$E$2:$E$106,'Additions (monthly)'!$D$2:$D$106,D$2,'Additions (monthly)'!$B$2:$B$106,"&lt;="&amp;$B83)</f>
        <v>7.9</v>
      </c>
      <c r="E83" s="43" t="n">
        <f aca="false">SUMIFS('Additions (monthly)'!$E$2:$E$106,'Additions (monthly)'!$D$2:$D$106,E$2,'Additions (monthly)'!$B$2:$B$106,"&lt;="&amp;$B83)</f>
        <v>8.4</v>
      </c>
      <c r="F83" s="43" t="n">
        <f aca="false">SUMIFS('Additions (monthly)'!$E$2:$E$106,'Additions (monthly)'!$D$2:$D$106,F$2,'Additions (monthly)'!$B$2:$B$106,"&lt;="&amp;$B83)</f>
        <v>4.7</v>
      </c>
      <c r="G83" s="43" t="n">
        <f aca="false">SUMIFS('Additions (monthly)'!$E$2:$E$106,'Additions (monthly)'!$D$2:$D$106,G$2,'Additions (monthly)'!$B$2:$B$106,"&lt;="&amp;$B83)</f>
        <v>4.5</v>
      </c>
      <c r="H83" s="43" t="n">
        <f aca="false">SUMIFS('Additions (monthly)'!$E$2:$E$106,'Additions (monthly)'!$D$2:$D$106,H$2,'Additions (monthly)'!$B$2:$B$106,"&lt;="&amp;$B83)</f>
        <v>5.2</v>
      </c>
      <c r="I83" s="43" t="n">
        <f aca="false">SUMIFS('Additions (monthly)'!$E$2:$E$106,'Additions (monthly)'!$D$2:$D$106,I$2,'Additions (monthly)'!$B$2:$B$106,"&lt;="&amp;$B83)</f>
        <v>9</v>
      </c>
      <c r="J83" s="43" t="n">
        <f aca="false">SUMIFS('Additions (monthly)'!$E$2:$E$106,'Additions (monthly)'!$D$2:$D$106,J$2,'Additions (monthly)'!$B$2:$B$106,"&lt;="&amp;$B83)</f>
        <v>3.7</v>
      </c>
      <c r="K83" s="43" t="n">
        <f aca="false">SUMIFS('Additions (monthly)'!$E$2:$E$106,'Additions (monthly)'!$D$2:$D$106,K$2,'Additions (monthly)'!$B$2:$B$106,"&lt;="&amp;$B83)</f>
        <v>7.8</v>
      </c>
      <c r="L83" s="43" t="n">
        <f aca="false">SUMIFS('Additions (monthly)'!$E$2:$E$106,'Additions (monthly)'!$D$2:$D$106,L$2,'Additions (monthly)'!$B$2:$B$106,"&lt;="&amp;$B83)</f>
        <v>15.6</v>
      </c>
      <c r="M83" s="43" t="n">
        <f aca="false">SUMIFS('Additions (monthly)'!$E$2:$E$106,'Additions (monthly)'!$D$2:$D$106,M$2,'Additions (monthly)'!$B$2:$B$106,"&lt;="&amp;$B83)</f>
        <v>0</v>
      </c>
      <c r="N83" s="43" t="n">
        <f aca="false">SUMIFS('Additions (monthly)'!$E$2:$E$106,'Additions (monthly)'!$D$2:$D$106,N$2,'Additions (monthly)'!$B$2:$B$106,"&lt;="&amp;$B83)</f>
        <v>14.2</v>
      </c>
      <c r="O83" s="43" t="n">
        <f aca="false">SUMIFS('Additions (monthly)'!$E$2:$E$106,'Additions (monthly)'!$D$2:$D$106,O$2,'Additions (monthly)'!$B$2:$B$106,"&lt;="&amp;$B83)</f>
        <v>4.9</v>
      </c>
      <c r="P83" s="43" t="n">
        <f aca="false">SUMIFS('Additions (monthly)'!$E$2:$E$106,'Additions (monthly)'!$D$2:$D$106,P$2,'Additions (monthly)'!$B$2:$B$106,"&lt;="&amp;$B83)</f>
        <v>0</v>
      </c>
      <c r="Q83" s="43" t="n">
        <f aca="false">SUMIFS('Additions (monthly)'!$E$2:$E$106,'Additions (monthly)'!$D$2:$D$106,Q$2,'Additions (monthly)'!$B$2:$B$106,"&lt;="&amp;$B83)</f>
        <v>8.5</v>
      </c>
      <c r="R83" s="43" t="n">
        <f aca="false">SUMIFS('Additions (monthly)'!$E$2:$E$106,'Additions (monthly)'!$D$2:$D$106,R$2,'Additions (monthly)'!$B$2:$B$106,"&lt;="&amp;$B83)</f>
        <v>0</v>
      </c>
      <c r="S83" s="43" t="n">
        <f aca="false">SUMIFS('Additions (monthly)'!$E$2:$E$106,'Additions (monthly)'!$D$2:$D$106,S$2,'Additions (monthly)'!$B$2:$B$106,"&lt;="&amp;$B83)</f>
        <v>7.2</v>
      </c>
      <c r="T83" s="43" t="n">
        <f aca="false">SUMIFS('Additions (monthly)'!$E$2:$E$106,'Additions (monthly)'!$D$2:$D$106,T$2,'Additions (monthly)'!$B$2:$B$106,"&lt;="&amp;$B83)</f>
        <v>0</v>
      </c>
      <c r="U83" s="43" t="n">
        <f aca="false">SUMIFS('Additions (monthly)'!$E$2:$E$106,'Additions (monthly)'!$D$2:$D$106,U$2,'Additions (monthly)'!$B$2:$B$106,"&lt;="&amp;$B83)</f>
        <v>0</v>
      </c>
      <c r="V83" s="43" t="n">
        <f aca="false">SUMIFS('Additions (monthly)'!$E$2:$E$106,'Additions (monthly)'!$D$2:$D$106,V$2,'Additions (monthly)'!$B$2:$B$106,"&lt;="&amp;$B83)</f>
        <v>3.87</v>
      </c>
      <c r="W83" s="43" t="n">
        <f aca="false">SUMIFS('Additions (monthly)'!$E$2:$E$106,'Additions (monthly)'!$D$2:$D$106,W$2,'Additions (monthly)'!$B$2:$B$106,"&lt;="&amp;$B83)</f>
        <v>0</v>
      </c>
      <c r="X83" s="43" t="n">
        <f aca="false">SUMIFS('Additions (monthly)'!$E$2:$E$106,'Additions (monthly)'!$D$2:$D$106,X$2,'Additions (monthly)'!$B$2:$B$106,"&lt;="&amp;$B83)</f>
        <v>0</v>
      </c>
      <c r="Y83" s="43" t="n">
        <f aca="false">SUMIFS('Additions (monthly)'!$E$2:$E$106,'Additions (monthly)'!$D$2:$D$106,Y$2,'Additions (monthly)'!$B$2:$B$106,"&lt;="&amp;$B83)</f>
        <v>5</v>
      </c>
      <c r="Z83" s="43" t="n">
        <f aca="false">SUMIFS('Additions (monthly)'!$E$2:$E$106,'Additions (monthly)'!$D$2:$D$106,Z$2,'Additions (monthly)'!$B$2:$B$106,"&lt;="&amp;$B83)</f>
        <v>7.2</v>
      </c>
      <c r="AA83" s="43" t="n">
        <f aca="false">SUMIFS('Additions (monthly)'!$E$2:$E$106,'Additions (monthly)'!$D$2:$D$106,AA$2,'Additions (monthly)'!$B$2:$B$106,"&lt;="&amp;$B83)</f>
        <v>3.7</v>
      </c>
      <c r="AB83" s="43" t="n">
        <f aca="false">SUMIFS('Additions (monthly)'!$E$2:$E$106,'Additions (monthly)'!$D$2:$D$106,AB$2,'Additions (monthly)'!$B$2:$B$106,"&lt;="&amp;$B83)</f>
        <v>16.95</v>
      </c>
      <c r="AC83" s="43" t="n">
        <f aca="false">SUMIFS('Additions (monthly)'!$E$2:$E$106,'Additions (monthly)'!$D$2:$D$106,AC$2,'Additions (monthly)'!$B$2:$B$106,"&lt;="&amp;$B83)</f>
        <v>2</v>
      </c>
      <c r="AD83" s="43" t="n">
        <f aca="false">SUMIFS('Additions (monthly)'!$E$2:$E$106,'Additions (monthly)'!$D$2:$D$106,AD$2,'Additions (monthly)'!$B$2:$B$106,"&lt;="&amp;$B83)</f>
        <v>7.6</v>
      </c>
      <c r="AE83" s="43" t="n">
        <f aca="false">SUMIFS('Additions (monthly)'!$E$2:$E$106,'Additions (monthly)'!$D$2:$D$106,AE$2,'Additions (monthly)'!$B$2:$B$106,"&lt;="&amp;$B83)</f>
        <v>25.7</v>
      </c>
      <c r="AF83" s="43" t="n">
        <f aca="false">SUMIFS('Additions (monthly)'!$E$2:$E$106,'Additions (monthly)'!$D$2:$D$106,AF$2,'Additions (monthly)'!$B$2:$B$106,"&lt;="&amp;$B83)</f>
        <v>0</v>
      </c>
      <c r="AG83" s="43" t="n">
        <f aca="false">SUMIFS('Additions (monthly)'!$E$2:$E$106,'Additions (monthly)'!$D$2:$D$106,AG$2,'Additions (monthly)'!$B$2:$B$106,"&lt;="&amp;$B83)</f>
        <v>0</v>
      </c>
      <c r="AH83" s="43" t="n">
        <f aca="false">SUMIFS('Additions (monthly)'!$E$2:$E$106,'Additions (monthly)'!$D$2:$D$106,AH$2,'Additions (monthly)'!$B$2:$B$106,"&lt;="&amp;$B83)</f>
        <v>0</v>
      </c>
      <c r="AI83" s="43" t="n">
        <f aca="false">SUMIFS('Additions (monthly)'!$E$2:$E$106,'Additions (monthly)'!$D$2:$D$106,AI$2,'Additions (monthly)'!$B$2:$B$106,"&lt;="&amp;$B83)</f>
        <v>0</v>
      </c>
      <c r="AJ83" s="43" t="n">
        <f aca="false">SUMIFS('Additions (monthly)'!$E$2:$E$106,'Additions (monthly)'!$D$2:$D$106,AJ$2,'Additions (monthly)'!$B$2:$B$106,"&lt;="&amp;$B83)</f>
        <v>0</v>
      </c>
      <c r="AK83" s="43" t="n">
        <f aca="false">SUMIFS('Additions (monthly)'!$E$2:$E$106,'Additions (monthly)'!$D$2:$D$106,AK$2,'Additions (monthly)'!$B$2:$B$106,"&lt;="&amp;$B83)</f>
        <v>0</v>
      </c>
      <c r="AL83" s="43" t="n">
        <f aca="false">SUMIFS('Additions (monthly)'!$E$2:$E$106,'Additions (monthly)'!$D$2:$D$106,AL$2,'Additions (monthly)'!$B$2:$B$106,"&lt;="&amp;$B83)</f>
        <v>22.2</v>
      </c>
      <c r="AM83" s="43" t="n">
        <f aca="false">SUMIFS('Additions (monthly)'!$E$2:$E$106,'Additions (monthly)'!$D$2:$D$106,AM$2,'Additions (monthly)'!$B$2:$B$106,"&lt;="&amp;$B83)</f>
        <v>0.3</v>
      </c>
      <c r="AN83" s="43" t="n">
        <f aca="false">SUMIFS('Additions (monthly)'!$E$2:$E$106,'Additions (monthly)'!$D$2:$D$106,AN$2,'Additions (monthly)'!$B$2:$B$106,"&lt;="&amp;$B83)</f>
        <v>4.3</v>
      </c>
      <c r="AO83" s="43" t="n">
        <f aca="false">SUMIFS('Additions (monthly)'!$E$2:$E$106,'Additions (monthly)'!$D$2:$D$106,AO$2,'Additions (monthly)'!$B$2:$B$106,"&lt;="&amp;$B83)</f>
        <v>10.4</v>
      </c>
      <c r="AP83" s="43" t="n">
        <f aca="false">SUMIFS('Additions (monthly)'!$E$2:$E$106,'Additions (monthly)'!$D$2:$D$106,AP$2,'Additions (monthly)'!$B$2:$B$106,"&lt;="&amp;$B83)</f>
        <v>6.9</v>
      </c>
      <c r="AQ83" s="43" t="n">
        <f aca="false">SUMIFS('Additions (monthly)'!$E$2:$E$106,'Additions (monthly)'!$D$2:$D$106,AQ$2,'Additions (monthly)'!$B$2:$B$106,"&lt;="&amp;$B83)</f>
        <v>4.45</v>
      </c>
      <c r="AR83" s="43" t="n">
        <f aca="false">SUMIFS('Additions (monthly)'!$E$2:$E$106,'Additions (monthly)'!$D$2:$D$106,AR$2,'Additions (monthly)'!$B$2:$B$106,"&lt;="&amp;$B83)</f>
        <v>77.1</v>
      </c>
      <c r="AS83" s="43" t="n">
        <f aca="false">SUMIFS('Additions (monthly)'!$E$2:$E$106,'Additions (monthly)'!$D$2:$D$106,AS$2,'Additions (monthly)'!$B$2:$B$106,"&lt;="&amp;$B83)</f>
        <v>0</v>
      </c>
      <c r="AT83" s="43" t="n">
        <f aca="false">SUMIFS('Additions (monthly)'!$E$2:$E$106,'Additions (monthly)'!$D$2:$D$106,AT$2,'Additions (monthly)'!$B$2:$B$106,"&lt;="&amp;$B83)</f>
        <v>0</v>
      </c>
      <c r="AU83" s="43" t="n">
        <f aca="false">SUMIFS('Additions (monthly)'!$E$2:$E$106,'Additions (monthly)'!$D$2:$D$106,AU$2,'Additions (monthly)'!$B$2:$B$106,"&lt;="&amp;$B83)</f>
        <v>9.6</v>
      </c>
      <c r="AV83" s="43" t="n">
        <f aca="false">SUMIFS('Additions (monthly)'!$E$2:$E$106,'Additions (monthly)'!$D$2:$D$106,AV$2,'Additions (monthly)'!$B$2:$B$106,"&lt;="&amp;$B83)</f>
        <v>0</v>
      </c>
      <c r="AW83" s="43" t="n">
        <f aca="false">SUMIFS('Additions (monthly)'!$E$2:$E$106,'Additions (monthly)'!$D$2:$D$106,AW$2,'Additions (monthly)'!$B$2:$B$106,"&lt;="&amp;$B83)</f>
        <v>0</v>
      </c>
      <c r="AX83" s="43" t="n">
        <f aca="false">SUMIFS('Additions (monthly)'!$E$2:$E$106,'Additions (monthly)'!$D$2:$D$106,AX$2,'Additions (monthly)'!$B$2:$B$106,"&lt;="&amp;$B83)</f>
        <v>11.8</v>
      </c>
      <c r="AY83" s="43" t="n">
        <f aca="false">SUMIFS('Additions (monthly)'!$E$2:$E$106,'Additions (monthly)'!$D$2:$D$106,AY$2,'Additions (monthly)'!$B$2:$B$106,"&lt;="&amp;$B83)</f>
        <v>5.3</v>
      </c>
      <c r="AZ83" s="43" t="n">
        <f aca="false">SUMIFS('Additions (monthly)'!$E$2:$E$106,'Additions (monthly)'!$D$2:$D$106,AZ$2,'Additions (monthly)'!$B$2:$B$106,"&lt;="&amp;$B83)</f>
        <v>0</v>
      </c>
      <c r="BA83" s="43" t="n">
        <f aca="false">SUMIFS('Additions (monthly)'!$E$2:$E$106,'Additions (monthly)'!$D$2:$D$106,BA$2,'Additions (monthly)'!$B$2:$B$106,"&lt;="&amp;$B83)</f>
        <v>0</v>
      </c>
      <c r="BB83" s="43" t="n">
        <f aca="false">SUMIFS('Additions (monthly)'!$E$2:$E$106,'Additions (monthly)'!$D$2:$D$106,BB$2,'Additions (monthly)'!$B$2:$B$106,"&lt;="&amp;$B83)</f>
        <v>0</v>
      </c>
      <c r="BC83" s="43" t="n">
        <f aca="false">SUMIFS('Additions (monthly)'!$E$2:$E$106,'Additions (monthly)'!$D$2:$D$106,BC$2,'Additions (monthly)'!$B$2:$B$106,"&lt;="&amp;$B83)</f>
        <v>0</v>
      </c>
      <c r="BD83" s="43" t="n">
        <f aca="false">SUMIFS('Additions (monthly)'!$E$2:$E$106,'Additions (monthly)'!$D$2:$D$106,BD$2,'Additions (monthly)'!$B$2:$B$106,"&lt;="&amp;$B83)</f>
        <v>0</v>
      </c>
      <c r="BE83" s="43" t="n">
        <f aca="false">SUMIFS('Additions (monthly)'!$E$2:$E$106,'Additions (monthly)'!$D$2:$D$106,BE$2,'Additions (monthly)'!$B$2:$B$106,"&lt;="&amp;$B83)</f>
        <v>0</v>
      </c>
      <c r="BF83" s="43" t="n">
        <f aca="false">SUMIFS('Additions (monthly)'!$E$2:$E$106,'Additions (monthly)'!$D$2:$D$106,BF$2,'Additions (monthly)'!$B$2:$B$106,"&lt;="&amp;$B83)</f>
        <v>0</v>
      </c>
      <c r="BG83" s="43" t="n">
        <f aca="false">SUMIFS('Additions (monthly)'!$E$2:$E$106,'Additions (monthly)'!$D$2:$D$106,BG$2,'Additions (monthly)'!$B$2:$B$106,"&lt;="&amp;$B83)</f>
        <v>0</v>
      </c>
      <c r="BH83" s="43" t="n">
        <f aca="false">SUMIFS('Additions (monthly)'!$E$2:$E$106,'Additions (monthly)'!$D$2:$D$106,BH$2,'Additions (monthly)'!$B$2:$B$106,"&lt;="&amp;$B83)</f>
        <v>10</v>
      </c>
      <c r="BI83" s="43" t="n">
        <f aca="false">SUMIFS('Additions (monthly)'!$E$2:$E$106,'Additions (monthly)'!$D$2:$D$106,BI$2,'Additions (monthly)'!$B$2:$B$106,"&lt;="&amp;$B83)</f>
        <v>6.7</v>
      </c>
    </row>
    <row r="84" customFormat="false" ht="15" hidden="false" customHeight="false" outlineLevel="0" collapsed="false">
      <c r="A84" s="23" t="n">
        <v>42644</v>
      </c>
      <c r="B84" s="24" t="n">
        <v>201610</v>
      </c>
      <c r="C84" s="42" t="n">
        <f aca="false">SUMIFS('Additions (monthly)'!$E$2:$E$106,'Additions (monthly)'!$B$2:$B$106,"&lt;="&amp;$B84)</f>
        <v>342.67</v>
      </c>
      <c r="D84" s="43" t="n">
        <f aca="false">SUMIFS('Additions (monthly)'!$E$2:$E$106,'Additions (monthly)'!$D$2:$D$106,D$2,'Additions (monthly)'!$B$2:$B$106,"&lt;="&amp;$B84)</f>
        <v>7.9</v>
      </c>
      <c r="E84" s="43" t="n">
        <f aca="false">SUMIFS('Additions (monthly)'!$E$2:$E$106,'Additions (monthly)'!$D$2:$D$106,E$2,'Additions (monthly)'!$B$2:$B$106,"&lt;="&amp;$B84)</f>
        <v>8.4</v>
      </c>
      <c r="F84" s="43" t="n">
        <f aca="false">SUMIFS('Additions (monthly)'!$E$2:$E$106,'Additions (monthly)'!$D$2:$D$106,F$2,'Additions (monthly)'!$B$2:$B$106,"&lt;="&amp;$B84)</f>
        <v>4.7</v>
      </c>
      <c r="G84" s="43" t="n">
        <f aca="false">SUMIFS('Additions (monthly)'!$E$2:$E$106,'Additions (monthly)'!$D$2:$D$106,G$2,'Additions (monthly)'!$B$2:$B$106,"&lt;="&amp;$B84)</f>
        <v>4.5</v>
      </c>
      <c r="H84" s="43" t="n">
        <f aca="false">SUMIFS('Additions (monthly)'!$E$2:$E$106,'Additions (monthly)'!$D$2:$D$106,H$2,'Additions (monthly)'!$B$2:$B$106,"&lt;="&amp;$B84)</f>
        <v>5.2</v>
      </c>
      <c r="I84" s="43" t="n">
        <f aca="false">SUMIFS('Additions (monthly)'!$E$2:$E$106,'Additions (monthly)'!$D$2:$D$106,I$2,'Additions (monthly)'!$B$2:$B$106,"&lt;="&amp;$B84)</f>
        <v>9</v>
      </c>
      <c r="J84" s="43" t="n">
        <f aca="false">SUMIFS('Additions (monthly)'!$E$2:$E$106,'Additions (monthly)'!$D$2:$D$106,J$2,'Additions (monthly)'!$B$2:$B$106,"&lt;="&amp;$B84)</f>
        <v>3.7</v>
      </c>
      <c r="K84" s="43" t="n">
        <f aca="false">SUMIFS('Additions (monthly)'!$E$2:$E$106,'Additions (monthly)'!$D$2:$D$106,K$2,'Additions (monthly)'!$B$2:$B$106,"&lt;="&amp;$B84)</f>
        <v>7.8</v>
      </c>
      <c r="L84" s="43" t="n">
        <f aca="false">SUMIFS('Additions (monthly)'!$E$2:$E$106,'Additions (monthly)'!$D$2:$D$106,L$2,'Additions (monthly)'!$B$2:$B$106,"&lt;="&amp;$B84)</f>
        <v>15.6</v>
      </c>
      <c r="M84" s="43" t="n">
        <f aca="false">SUMIFS('Additions (monthly)'!$E$2:$E$106,'Additions (monthly)'!$D$2:$D$106,M$2,'Additions (monthly)'!$B$2:$B$106,"&lt;="&amp;$B84)</f>
        <v>0</v>
      </c>
      <c r="N84" s="43" t="n">
        <f aca="false">SUMIFS('Additions (monthly)'!$E$2:$E$106,'Additions (monthly)'!$D$2:$D$106,N$2,'Additions (monthly)'!$B$2:$B$106,"&lt;="&amp;$B84)</f>
        <v>14.2</v>
      </c>
      <c r="O84" s="43" t="n">
        <f aca="false">SUMIFS('Additions (monthly)'!$E$2:$E$106,'Additions (monthly)'!$D$2:$D$106,O$2,'Additions (monthly)'!$B$2:$B$106,"&lt;="&amp;$B84)</f>
        <v>4.9</v>
      </c>
      <c r="P84" s="43" t="n">
        <f aca="false">SUMIFS('Additions (monthly)'!$E$2:$E$106,'Additions (monthly)'!$D$2:$D$106,P$2,'Additions (monthly)'!$B$2:$B$106,"&lt;="&amp;$B84)</f>
        <v>0</v>
      </c>
      <c r="Q84" s="43" t="n">
        <f aca="false">SUMIFS('Additions (monthly)'!$E$2:$E$106,'Additions (monthly)'!$D$2:$D$106,Q$2,'Additions (monthly)'!$B$2:$B$106,"&lt;="&amp;$B84)</f>
        <v>8.5</v>
      </c>
      <c r="R84" s="43" t="n">
        <f aca="false">SUMIFS('Additions (monthly)'!$E$2:$E$106,'Additions (monthly)'!$D$2:$D$106,R$2,'Additions (monthly)'!$B$2:$B$106,"&lt;="&amp;$B84)</f>
        <v>0</v>
      </c>
      <c r="S84" s="43" t="n">
        <f aca="false">SUMIFS('Additions (monthly)'!$E$2:$E$106,'Additions (monthly)'!$D$2:$D$106,S$2,'Additions (monthly)'!$B$2:$B$106,"&lt;="&amp;$B84)</f>
        <v>7.2</v>
      </c>
      <c r="T84" s="43" t="n">
        <f aca="false">SUMIFS('Additions (monthly)'!$E$2:$E$106,'Additions (monthly)'!$D$2:$D$106,T$2,'Additions (monthly)'!$B$2:$B$106,"&lt;="&amp;$B84)</f>
        <v>0</v>
      </c>
      <c r="U84" s="43" t="n">
        <f aca="false">SUMIFS('Additions (monthly)'!$E$2:$E$106,'Additions (monthly)'!$D$2:$D$106,U$2,'Additions (monthly)'!$B$2:$B$106,"&lt;="&amp;$B84)</f>
        <v>0</v>
      </c>
      <c r="V84" s="43" t="n">
        <f aca="false">SUMIFS('Additions (monthly)'!$E$2:$E$106,'Additions (monthly)'!$D$2:$D$106,V$2,'Additions (monthly)'!$B$2:$B$106,"&lt;="&amp;$B84)</f>
        <v>3.87</v>
      </c>
      <c r="W84" s="43" t="n">
        <f aca="false">SUMIFS('Additions (monthly)'!$E$2:$E$106,'Additions (monthly)'!$D$2:$D$106,W$2,'Additions (monthly)'!$B$2:$B$106,"&lt;="&amp;$B84)</f>
        <v>0</v>
      </c>
      <c r="X84" s="43" t="n">
        <f aca="false">SUMIFS('Additions (monthly)'!$E$2:$E$106,'Additions (monthly)'!$D$2:$D$106,X$2,'Additions (monthly)'!$B$2:$B$106,"&lt;="&amp;$B84)</f>
        <v>0</v>
      </c>
      <c r="Y84" s="43" t="n">
        <f aca="false">SUMIFS('Additions (monthly)'!$E$2:$E$106,'Additions (monthly)'!$D$2:$D$106,Y$2,'Additions (monthly)'!$B$2:$B$106,"&lt;="&amp;$B84)</f>
        <v>5</v>
      </c>
      <c r="Z84" s="43" t="n">
        <f aca="false">SUMIFS('Additions (monthly)'!$E$2:$E$106,'Additions (monthly)'!$D$2:$D$106,Z$2,'Additions (monthly)'!$B$2:$B$106,"&lt;="&amp;$B84)</f>
        <v>7.2</v>
      </c>
      <c r="AA84" s="43" t="n">
        <f aca="false">SUMIFS('Additions (monthly)'!$E$2:$E$106,'Additions (monthly)'!$D$2:$D$106,AA$2,'Additions (monthly)'!$B$2:$B$106,"&lt;="&amp;$B84)</f>
        <v>3.7</v>
      </c>
      <c r="AB84" s="43" t="n">
        <f aca="false">SUMIFS('Additions (monthly)'!$E$2:$E$106,'Additions (monthly)'!$D$2:$D$106,AB$2,'Additions (monthly)'!$B$2:$B$106,"&lt;="&amp;$B84)</f>
        <v>16.95</v>
      </c>
      <c r="AC84" s="43" t="n">
        <f aca="false">SUMIFS('Additions (monthly)'!$E$2:$E$106,'Additions (monthly)'!$D$2:$D$106,AC$2,'Additions (monthly)'!$B$2:$B$106,"&lt;="&amp;$B84)</f>
        <v>2</v>
      </c>
      <c r="AD84" s="43" t="n">
        <f aca="false">SUMIFS('Additions (monthly)'!$E$2:$E$106,'Additions (monthly)'!$D$2:$D$106,AD$2,'Additions (monthly)'!$B$2:$B$106,"&lt;="&amp;$B84)</f>
        <v>7.6</v>
      </c>
      <c r="AE84" s="43" t="n">
        <f aca="false">SUMIFS('Additions (monthly)'!$E$2:$E$106,'Additions (monthly)'!$D$2:$D$106,AE$2,'Additions (monthly)'!$B$2:$B$106,"&lt;="&amp;$B84)</f>
        <v>25.7</v>
      </c>
      <c r="AF84" s="43" t="n">
        <f aca="false">SUMIFS('Additions (monthly)'!$E$2:$E$106,'Additions (monthly)'!$D$2:$D$106,AF$2,'Additions (monthly)'!$B$2:$B$106,"&lt;="&amp;$B84)</f>
        <v>0</v>
      </c>
      <c r="AG84" s="43" t="n">
        <f aca="false">SUMIFS('Additions (monthly)'!$E$2:$E$106,'Additions (monthly)'!$D$2:$D$106,AG$2,'Additions (monthly)'!$B$2:$B$106,"&lt;="&amp;$B84)</f>
        <v>0</v>
      </c>
      <c r="AH84" s="43" t="n">
        <f aca="false">SUMIFS('Additions (monthly)'!$E$2:$E$106,'Additions (monthly)'!$D$2:$D$106,AH$2,'Additions (monthly)'!$B$2:$B$106,"&lt;="&amp;$B84)</f>
        <v>0</v>
      </c>
      <c r="AI84" s="43" t="n">
        <f aca="false">SUMIFS('Additions (monthly)'!$E$2:$E$106,'Additions (monthly)'!$D$2:$D$106,AI$2,'Additions (monthly)'!$B$2:$B$106,"&lt;="&amp;$B84)</f>
        <v>0</v>
      </c>
      <c r="AJ84" s="43" t="n">
        <f aca="false">SUMIFS('Additions (monthly)'!$E$2:$E$106,'Additions (monthly)'!$D$2:$D$106,AJ$2,'Additions (monthly)'!$B$2:$B$106,"&lt;="&amp;$B84)</f>
        <v>0</v>
      </c>
      <c r="AK84" s="43" t="n">
        <f aca="false">SUMIFS('Additions (monthly)'!$E$2:$E$106,'Additions (monthly)'!$D$2:$D$106,AK$2,'Additions (monthly)'!$B$2:$B$106,"&lt;="&amp;$B84)</f>
        <v>0</v>
      </c>
      <c r="AL84" s="43" t="n">
        <f aca="false">SUMIFS('Additions (monthly)'!$E$2:$E$106,'Additions (monthly)'!$D$2:$D$106,AL$2,'Additions (monthly)'!$B$2:$B$106,"&lt;="&amp;$B84)</f>
        <v>22.2</v>
      </c>
      <c r="AM84" s="43" t="n">
        <f aca="false">SUMIFS('Additions (monthly)'!$E$2:$E$106,'Additions (monthly)'!$D$2:$D$106,AM$2,'Additions (monthly)'!$B$2:$B$106,"&lt;="&amp;$B84)</f>
        <v>0.3</v>
      </c>
      <c r="AN84" s="43" t="n">
        <f aca="false">SUMIFS('Additions (monthly)'!$E$2:$E$106,'Additions (monthly)'!$D$2:$D$106,AN$2,'Additions (monthly)'!$B$2:$B$106,"&lt;="&amp;$B84)</f>
        <v>4.3</v>
      </c>
      <c r="AO84" s="43" t="n">
        <f aca="false">SUMIFS('Additions (monthly)'!$E$2:$E$106,'Additions (monthly)'!$D$2:$D$106,AO$2,'Additions (monthly)'!$B$2:$B$106,"&lt;="&amp;$B84)</f>
        <v>10.4</v>
      </c>
      <c r="AP84" s="43" t="n">
        <f aca="false">SUMIFS('Additions (monthly)'!$E$2:$E$106,'Additions (monthly)'!$D$2:$D$106,AP$2,'Additions (monthly)'!$B$2:$B$106,"&lt;="&amp;$B84)</f>
        <v>6.9</v>
      </c>
      <c r="AQ84" s="43" t="n">
        <f aca="false">SUMIFS('Additions (monthly)'!$E$2:$E$106,'Additions (monthly)'!$D$2:$D$106,AQ$2,'Additions (monthly)'!$B$2:$B$106,"&lt;="&amp;$B84)</f>
        <v>4.45</v>
      </c>
      <c r="AR84" s="43" t="n">
        <f aca="false">SUMIFS('Additions (monthly)'!$E$2:$E$106,'Additions (monthly)'!$D$2:$D$106,AR$2,'Additions (monthly)'!$B$2:$B$106,"&lt;="&amp;$B84)</f>
        <v>77.1</v>
      </c>
      <c r="AS84" s="43" t="n">
        <f aca="false">SUMIFS('Additions (monthly)'!$E$2:$E$106,'Additions (monthly)'!$D$2:$D$106,AS$2,'Additions (monthly)'!$B$2:$B$106,"&lt;="&amp;$B84)</f>
        <v>0</v>
      </c>
      <c r="AT84" s="43" t="n">
        <f aca="false">SUMIFS('Additions (monthly)'!$E$2:$E$106,'Additions (monthly)'!$D$2:$D$106,AT$2,'Additions (monthly)'!$B$2:$B$106,"&lt;="&amp;$B84)</f>
        <v>0</v>
      </c>
      <c r="AU84" s="43" t="n">
        <f aca="false">SUMIFS('Additions (monthly)'!$E$2:$E$106,'Additions (monthly)'!$D$2:$D$106,AU$2,'Additions (monthly)'!$B$2:$B$106,"&lt;="&amp;$B84)</f>
        <v>9.6</v>
      </c>
      <c r="AV84" s="43" t="n">
        <f aca="false">SUMIFS('Additions (monthly)'!$E$2:$E$106,'Additions (monthly)'!$D$2:$D$106,AV$2,'Additions (monthly)'!$B$2:$B$106,"&lt;="&amp;$B84)</f>
        <v>0</v>
      </c>
      <c r="AW84" s="43" t="n">
        <f aca="false">SUMIFS('Additions (monthly)'!$E$2:$E$106,'Additions (monthly)'!$D$2:$D$106,AW$2,'Additions (monthly)'!$B$2:$B$106,"&lt;="&amp;$B84)</f>
        <v>0</v>
      </c>
      <c r="AX84" s="43" t="n">
        <f aca="false">SUMIFS('Additions (monthly)'!$E$2:$E$106,'Additions (monthly)'!$D$2:$D$106,AX$2,'Additions (monthly)'!$B$2:$B$106,"&lt;="&amp;$B84)</f>
        <v>11.8</v>
      </c>
      <c r="AY84" s="43" t="n">
        <f aca="false">SUMIFS('Additions (monthly)'!$E$2:$E$106,'Additions (monthly)'!$D$2:$D$106,AY$2,'Additions (monthly)'!$B$2:$B$106,"&lt;="&amp;$B84)</f>
        <v>5.3</v>
      </c>
      <c r="AZ84" s="43" t="n">
        <f aca="false">SUMIFS('Additions (monthly)'!$E$2:$E$106,'Additions (monthly)'!$D$2:$D$106,AZ$2,'Additions (monthly)'!$B$2:$B$106,"&lt;="&amp;$B84)</f>
        <v>0</v>
      </c>
      <c r="BA84" s="43" t="n">
        <f aca="false">SUMIFS('Additions (monthly)'!$E$2:$E$106,'Additions (monthly)'!$D$2:$D$106,BA$2,'Additions (monthly)'!$B$2:$B$106,"&lt;="&amp;$B84)</f>
        <v>0</v>
      </c>
      <c r="BB84" s="43" t="n">
        <f aca="false">SUMIFS('Additions (monthly)'!$E$2:$E$106,'Additions (monthly)'!$D$2:$D$106,BB$2,'Additions (monthly)'!$B$2:$B$106,"&lt;="&amp;$B84)</f>
        <v>0</v>
      </c>
      <c r="BC84" s="43" t="n">
        <f aca="false">SUMIFS('Additions (monthly)'!$E$2:$E$106,'Additions (monthly)'!$D$2:$D$106,BC$2,'Additions (monthly)'!$B$2:$B$106,"&lt;="&amp;$B84)</f>
        <v>0</v>
      </c>
      <c r="BD84" s="43" t="n">
        <f aca="false">SUMIFS('Additions (monthly)'!$E$2:$E$106,'Additions (monthly)'!$D$2:$D$106,BD$2,'Additions (monthly)'!$B$2:$B$106,"&lt;="&amp;$B84)</f>
        <v>0</v>
      </c>
      <c r="BE84" s="43" t="n">
        <f aca="false">SUMIFS('Additions (monthly)'!$E$2:$E$106,'Additions (monthly)'!$D$2:$D$106,BE$2,'Additions (monthly)'!$B$2:$B$106,"&lt;="&amp;$B84)</f>
        <v>0</v>
      </c>
      <c r="BF84" s="43" t="n">
        <f aca="false">SUMIFS('Additions (monthly)'!$E$2:$E$106,'Additions (monthly)'!$D$2:$D$106,BF$2,'Additions (monthly)'!$B$2:$B$106,"&lt;="&amp;$B84)</f>
        <v>0</v>
      </c>
      <c r="BG84" s="43" t="n">
        <f aca="false">SUMIFS('Additions (monthly)'!$E$2:$E$106,'Additions (monthly)'!$D$2:$D$106,BG$2,'Additions (monthly)'!$B$2:$B$106,"&lt;="&amp;$B84)</f>
        <v>0</v>
      </c>
      <c r="BH84" s="43" t="n">
        <f aca="false">SUMIFS('Additions (monthly)'!$E$2:$E$106,'Additions (monthly)'!$D$2:$D$106,BH$2,'Additions (monthly)'!$B$2:$B$106,"&lt;="&amp;$B84)</f>
        <v>10</v>
      </c>
      <c r="BI84" s="43" t="n">
        <f aca="false">SUMIFS('Additions (monthly)'!$E$2:$E$106,'Additions (monthly)'!$D$2:$D$106,BI$2,'Additions (monthly)'!$B$2:$B$106,"&lt;="&amp;$B84)</f>
        <v>6.7</v>
      </c>
    </row>
    <row r="85" customFormat="false" ht="15" hidden="false" customHeight="false" outlineLevel="0" collapsed="false">
      <c r="A85" s="23" t="n">
        <v>42675</v>
      </c>
      <c r="B85" s="24" t="n">
        <v>201611</v>
      </c>
      <c r="C85" s="42" t="n">
        <f aca="false">SUMIFS('Additions (monthly)'!$E$2:$E$106,'Additions (monthly)'!$B$2:$B$106,"&lt;="&amp;$B85)</f>
        <v>342.67</v>
      </c>
      <c r="D85" s="43" t="n">
        <f aca="false">SUMIFS('Additions (monthly)'!$E$2:$E$106,'Additions (monthly)'!$D$2:$D$106,D$2,'Additions (monthly)'!$B$2:$B$106,"&lt;="&amp;$B85)</f>
        <v>7.9</v>
      </c>
      <c r="E85" s="43" t="n">
        <f aca="false">SUMIFS('Additions (monthly)'!$E$2:$E$106,'Additions (monthly)'!$D$2:$D$106,E$2,'Additions (monthly)'!$B$2:$B$106,"&lt;="&amp;$B85)</f>
        <v>8.4</v>
      </c>
      <c r="F85" s="43" t="n">
        <f aca="false">SUMIFS('Additions (monthly)'!$E$2:$E$106,'Additions (monthly)'!$D$2:$D$106,F$2,'Additions (monthly)'!$B$2:$B$106,"&lt;="&amp;$B85)</f>
        <v>4.7</v>
      </c>
      <c r="G85" s="43" t="n">
        <f aca="false">SUMIFS('Additions (monthly)'!$E$2:$E$106,'Additions (monthly)'!$D$2:$D$106,G$2,'Additions (monthly)'!$B$2:$B$106,"&lt;="&amp;$B85)</f>
        <v>4.5</v>
      </c>
      <c r="H85" s="43" t="n">
        <f aca="false">SUMIFS('Additions (monthly)'!$E$2:$E$106,'Additions (monthly)'!$D$2:$D$106,H$2,'Additions (monthly)'!$B$2:$B$106,"&lt;="&amp;$B85)</f>
        <v>5.2</v>
      </c>
      <c r="I85" s="43" t="n">
        <f aca="false">SUMIFS('Additions (monthly)'!$E$2:$E$106,'Additions (monthly)'!$D$2:$D$106,I$2,'Additions (monthly)'!$B$2:$B$106,"&lt;="&amp;$B85)</f>
        <v>9</v>
      </c>
      <c r="J85" s="43" t="n">
        <f aca="false">SUMIFS('Additions (monthly)'!$E$2:$E$106,'Additions (monthly)'!$D$2:$D$106,J$2,'Additions (monthly)'!$B$2:$B$106,"&lt;="&amp;$B85)</f>
        <v>3.7</v>
      </c>
      <c r="K85" s="43" t="n">
        <f aca="false">SUMIFS('Additions (monthly)'!$E$2:$E$106,'Additions (monthly)'!$D$2:$D$106,K$2,'Additions (monthly)'!$B$2:$B$106,"&lt;="&amp;$B85)</f>
        <v>7.8</v>
      </c>
      <c r="L85" s="43" t="n">
        <f aca="false">SUMIFS('Additions (monthly)'!$E$2:$E$106,'Additions (monthly)'!$D$2:$D$106,L$2,'Additions (monthly)'!$B$2:$B$106,"&lt;="&amp;$B85)</f>
        <v>15.6</v>
      </c>
      <c r="M85" s="43" t="n">
        <f aca="false">SUMIFS('Additions (monthly)'!$E$2:$E$106,'Additions (monthly)'!$D$2:$D$106,M$2,'Additions (monthly)'!$B$2:$B$106,"&lt;="&amp;$B85)</f>
        <v>0</v>
      </c>
      <c r="N85" s="43" t="n">
        <f aca="false">SUMIFS('Additions (monthly)'!$E$2:$E$106,'Additions (monthly)'!$D$2:$D$106,N$2,'Additions (monthly)'!$B$2:$B$106,"&lt;="&amp;$B85)</f>
        <v>14.2</v>
      </c>
      <c r="O85" s="43" t="n">
        <f aca="false">SUMIFS('Additions (monthly)'!$E$2:$E$106,'Additions (monthly)'!$D$2:$D$106,O$2,'Additions (monthly)'!$B$2:$B$106,"&lt;="&amp;$B85)</f>
        <v>4.9</v>
      </c>
      <c r="P85" s="43" t="n">
        <f aca="false">SUMIFS('Additions (monthly)'!$E$2:$E$106,'Additions (monthly)'!$D$2:$D$106,P$2,'Additions (monthly)'!$B$2:$B$106,"&lt;="&amp;$B85)</f>
        <v>0</v>
      </c>
      <c r="Q85" s="43" t="n">
        <f aca="false">SUMIFS('Additions (monthly)'!$E$2:$E$106,'Additions (monthly)'!$D$2:$D$106,Q$2,'Additions (monthly)'!$B$2:$B$106,"&lt;="&amp;$B85)</f>
        <v>8.5</v>
      </c>
      <c r="R85" s="43" t="n">
        <f aca="false">SUMIFS('Additions (monthly)'!$E$2:$E$106,'Additions (monthly)'!$D$2:$D$106,R$2,'Additions (monthly)'!$B$2:$B$106,"&lt;="&amp;$B85)</f>
        <v>0</v>
      </c>
      <c r="S85" s="43" t="n">
        <f aca="false">SUMIFS('Additions (monthly)'!$E$2:$E$106,'Additions (monthly)'!$D$2:$D$106,S$2,'Additions (monthly)'!$B$2:$B$106,"&lt;="&amp;$B85)</f>
        <v>7.2</v>
      </c>
      <c r="T85" s="43" t="n">
        <f aca="false">SUMIFS('Additions (monthly)'!$E$2:$E$106,'Additions (monthly)'!$D$2:$D$106,T$2,'Additions (monthly)'!$B$2:$B$106,"&lt;="&amp;$B85)</f>
        <v>0</v>
      </c>
      <c r="U85" s="43" t="n">
        <f aca="false">SUMIFS('Additions (monthly)'!$E$2:$E$106,'Additions (monthly)'!$D$2:$D$106,U$2,'Additions (monthly)'!$B$2:$B$106,"&lt;="&amp;$B85)</f>
        <v>0</v>
      </c>
      <c r="V85" s="43" t="n">
        <f aca="false">SUMIFS('Additions (monthly)'!$E$2:$E$106,'Additions (monthly)'!$D$2:$D$106,V$2,'Additions (monthly)'!$B$2:$B$106,"&lt;="&amp;$B85)</f>
        <v>3.87</v>
      </c>
      <c r="W85" s="43" t="n">
        <f aca="false">SUMIFS('Additions (monthly)'!$E$2:$E$106,'Additions (monthly)'!$D$2:$D$106,W$2,'Additions (monthly)'!$B$2:$B$106,"&lt;="&amp;$B85)</f>
        <v>0</v>
      </c>
      <c r="X85" s="43" t="n">
        <f aca="false">SUMIFS('Additions (monthly)'!$E$2:$E$106,'Additions (monthly)'!$D$2:$D$106,X$2,'Additions (monthly)'!$B$2:$B$106,"&lt;="&amp;$B85)</f>
        <v>0</v>
      </c>
      <c r="Y85" s="43" t="n">
        <f aca="false">SUMIFS('Additions (monthly)'!$E$2:$E$106,'Additions (monthly)'!$D$2:$D$106,Y$2,'Additions (monthly)'!$B$2:$B$106,"&lt;="&amp;$B85)</f>
        <v>5</v>
      </c>
      <c r="Z85" s="43" t="n">
        <f aca="false">SUMIFS('Additions (monthly)'!$E$2:$E$106,'Additions (monthly)'!$D$2:$D$106,Z$2,'Additions (monthly)'!$B$2:$B$106,"&lt;="&amp;$B85)</f>
        <v>7.2</v>
      </c>
      <c r="AA85" s="43" t="n">
        <f aca="false">SUMIFS('Additions (monthly)'!$E$2:$E$106,'Additions (monthly)'!$D$2:$D$106,AA$2,'Additions (monthly)'!$B$2:$B$106,"&lt;="&amp;$B85)</f>
        <v>3.7</v>
      </c>
      <c r="AB85" s="43" t="n">
        <f aca="false">SUMIFS('Additions (monthly)'!$E$2:$E$106,'Additions (monthly)'!$D$2:$D$106,AB$2,'Additions (monthly)'!$B$2:$B$106,"&lt;="&amp;$B85)</f>
        <v>16.95</v>
      </c>
      <c r="AC85" s="43" t="n">
        <f aca="false">SUMIFS('Additions (monthly)'!$E$2:$E$106,'Additions (monthly)'!$D$2:$D$106,AC$2,'Additions (monthly)'!$B$2:$B$106,"&lt;="&amp;$B85)</f>
        <v>2</v>
      </c>
      <c r="AD85" s="43" t="n">
        <f aca="false">SUMIFS('Additions (monthly)'!$E$2:$E$106,'Additions (monthly)'!$D$2:$D$106,AD$2,'Additions (monthly)'!$B$2:$B$106,"&lt;="&amp;$B85)</f>
        <v>7.6</v>
      </c>
      <c r="AE85" s="43" t="n">
        <f aca="false">SUMIFS('Additions (monthly)'!$E$2:$E$106,'Additions (monthly)'!$D$2:$D$106,AE$2,'Additions (monthly)'!$B$2:$B$106,"&lt;="&amp;$B85)</f>
        <v>25.7</v>
      </c>
      <c r="AF85" s="43" t="n">
        <f aca="false">SUMIFS('Additions (monthly)'!$E$2:$E$106,'Additions (monthly)'!$D$2:$D$106,AF$2,'Additions (monthly)'!$B$2:$B$106,"&lt;="&amp;$B85)</f>
        <v>0</v>
      </c>
      <c r="AG85" s="43" t="n">
        <f aca="false">SUMIFS('Additions (monthly)'!$E$2:$E$106,'Additions (monthly)'!$D$2:$D$106,AG$2,'Additions (monthly)'!$B$2:$B$106,"&lt;="&amp;$B85)</f>
        <v>0</v>
      </c>
      <c r="AH85" s="43" t="n">
        <f aca="false">SUMIFS('Additions (monthly)'!$E$2:$E$106,'Additions (monthly)'!$D$2:$D$106,AH$2,'Additions (monthly)'!$B$2:$B$106,"&lt;="&amp;$B85)</f>
        <v>0</v>
      </c>
      <c r="AI85" s="43" t="n">
        <f aca="false">SUMIFS('Additions (monthly)'!$E$2:$E$106,'Additions (monthly)'!$D$2:$D$106,AI$2,'Additions (monthly)'!$B$2:$B$106,"&lt;="&amp;$B85)</f>
        <v>0</v>
      </c>
      <c r="AJ85" s="43" t="n">
        <f aca="false">SUMIFS('Additions (monthly)'!$E$2:$E$106,'Additions (monthly)'!$D$2:$D$106,AJ$2,'Additions (monthly)'!$B$2:$B$106,"&lt;="&amp;$B85)</f>
        <v>0</v>
      </c>
      <c r="AK85" s="43" t="n">
        <f aca="false">SUMIFS('Additions (monthly)'!$E$2:$E$106,'Additions (monthly)'!$D$2:$D$106,AK$2,'Additions (monthly)'!$B$2:$B$106,"&lt;="&amp;$B85)</f>
        <v>0</v>
      </c>
      <c r="AL85" s="43" t="n">
        <f aca="false">SUMIFS('Additions (monthly)'!$E$2:$E$106,'Additions (monthly)'!$D$2:$D$106,AL$2,'Additions (monthly)'!$B$2:$B$106,"&lt;="&amp;$B85)</f>
        <v>22.2</v>
      </c>
      <c r="AM85" s="43" t="n">
        <f aca="false">SUMIFS('Additions (monthly)'!$E$2:$E$106,'Additions (monthly)'!$D$2:$D$106,AM$2,'Additions (monthly)'!$B$2:$B$106,"&lt;="&amp;$B85)</f>
        <v>0.3</v>
      </c>
      <c r="AN85" s="43" t="n">
        <f aca="false">SUMIFS('Additions (monthly)'!$E$2:$E$106,'Additions (monthly)'!$D$2:$D$106,AN$2,'Additions (monthly)'!$B$2:$B$106,"&lt;="&amp;$B85)</f>
        <v>4.3</v>
      </c>
      <c r="AO85" s="43" t="n">
        <f aca="false">SUMIFS('Additions (monthly)'!$E$2:$E$106,'Additions (monthly)'!$D$2:$D$106,AO$2,'Additions (monthly)'!$B$2:$B$106,"&lt;="&amp;$B85)</f>
        <v>10.4</v>
      </c>
      <c r="AP85" s="43" t="n">
        <f aca="false">SUMIFS('Additions (monthly)'!$E$2:$E$106,'Additions (monthly)'!$D$2:$D$106,AP$2,'Additions (monthly)'!$B$2:$B$106,"&lt;="&amp;$B85)</f>
        <v>6.9</v>
      </c>
      <c r="AQ85" s="43" t="n">
        <f aca="false">SUMIFS('Additions (monthly)'!$E$2:$E$106,'Additions (monthly)'!$D$2:$D$106,AQ$2,'Additions (monthly)'!$B$2:$B$106,"&lt;="&amp;$B85)</f>
        <v>4.45</v>
      </c>
      <c r="AR85" s="43" t="n">
        <f aca="false">SUMIFS('Additions (monthly)'!$E$2:$E$106,'Additions (monthly)'!$D$2:$D$106,AR$2,'Additions (monthly)'!$B$2:$B$106,"&lt;="&amp;$B85)</f>
        <v>77.1</v>
      </c>
      <c r="AS85" s="43" t="n">
        <f aca="false">SUMIFS('Additions (monthly)'!$E$2:$E$106,'Additions (monthly)'!$D$2:$D$106,AS$2,'Additions (monthly)'!$B$2:$B$106,"&lt;="&amp;$B85)</f>
        <v>0</v>
      </c>
      <c r="AT85" s="43" t="n">
        <f aca="false">SUMIFS('Additions (monthly)'!$E$2:$E$106,'Additions (monthly)'!$D$2:$D$106,AT$2,'Additions (monthly)'!$B$2:$B$106,"&lt;="&amp;$B85)</f>
        <v>0</v>
      </c>
      <c r="AU85" s="43" t="n">
        <f aca="false">SUMIFS('Additions (monthly)'!$E$2:$E$106,'Additions (monthly)'!$D$2:$D$106,AU$2,'Additions (monthly)'!$B$2:$B$106,"&lt;="&amp;$B85)</f>
        <v>9.6</v>
      </c>
      <c r="AV85" s="43" t="n">
        <f aca="false">SUMIFS('Additions (monthly)'!$E$2:$E$106,'Additions (monthly)'!$D$2:$D$106,AV$2,'Additions (monthly)'!$B$2:$B$106,"&lt;="&amp;$B85)</f>
        <v>0</v>
      </c>
      <c r="AW85" s="43" t="n">
        <f aca="false">SUMIFS('Additions (monthly)'!$E$2:$E$106,'Additions (monthly)'!$D$2:$D$106,AW$2,'Additions (monthly)'!$B$2:$B$106,"&lt;="&amp;$B85)</f>
        <v>0</v>
      </c>
      <c r="AX85" s="43" t="n">
        <f aca="false">SUMIFS('Additions (monthly)'!$E$2:$E$106,'Additions (monthly)'!$D$2:$D$106,AX$2,'Additions (monthly)'!$B$2:$B$106,"&lt;="&amp;$B85)</f>
        <v>11.8</v>
      </c>
      <c r="AY85" s="43" t="n">
        <f aca="false">SUMIFS('Additions (monthly)'!$E$2:$E$106,'Additions (monthly)'!$D$2:$D$106,AY$2,'Additions (monthly)'!$B$2:$B$106,"&lt;="&amp;$B85)</f>
        <v>5.3</v>
      </c>
      <c r="AZ85" s="43" t="n">
        <f aca="false">SUMIFS('Additions (monthly)'!$E$2:$E$106,'Additions (monthly)'!$D$2:$D$106,AZ$2,'Additions (monthly)'!$B$2:$B$106,"&lt;="&amp;$B85)</f>
        <v>0</v>
      </c>
      <c r="BA85" s="43" t="n">
        <f aca="false">SUMIFS('Additions (monthly)'!$E$2:$E$106,'Additions (monthly)'!$D$2:$D$106,BA$2,'Additions (monthly)'!$B$2:$B$106,"&lt;="&amp;$B85)</f>
        <v>0</v>
      </c>
      <c r="BB85" s="43" t="n">
        <f aca="false">SUMIFS('Additions (monthly)'!$E$2:$E$106,'Additions (monthly)'!$D$2:$D$106,BB$2,'Additions (monthly)'!$B$2:$B$106,"&lt;="&amp;$B85)</f>
        <v>0</v>
      </c>
      <c r="BC85" s="43" t="n">
        <f aca="false">SUMIFS('Additions (monthly)'!$E$2:$E$106,'Additions (monthly)'!$D$2:$D$106,BC$2,'Additions (monthly)'!$B$2:$B$106,"&lt;="&amp;$B85)</f>
        <v>0</v>
      </c>
      <c r="BD85" s="43" t="n">
        <f aca="false">SUMIFS('Additions (monthly)'!$E$2:$E$106,'Additions (monthly)'!$D$2:$D$106,BD$2,'Additions (monthly)'!$B$2:$B$106,"&lt;="&amp;$B85)</f>
        <v>0</v>
      </c>
      <c r="BE85" s="43" t="n">
        <f aca="false">SUMIFS('Additions (monthly)'!$E$2:$E$106,'Additions (monthly)'!$D$2:$D$106,BE$2,'Additions (monthly)'!$B$2:$B$106,"&lt;="&amp;$B85)</f>
        <v>0</v>
      </c>
      <c r="BF85" s="43" t="n">
        <f aca="false">SUMIFS('Additions (monthly)'!$E$2:$E$106,'Additions (monthly)'!$D$2:$D$106,BF$2,'Additions (monthly)'!$B$2:$B$106,"&lt;="&amp;$B85)</f>
        <v>0</v>
      </c>
      <c r="BG85" s="43" t="n">
        <f aca="false">SUMIFS('Additions (monthly)'!$E$2:$E$106,'Additions (monthly)'!$D$2:$D$106,BG$2,'Additions (monthly)'!$B$2:$B$106,"&lt;="&amp;$B85)</f>
        <v>0</v>
      </c>
      <c r="BH85" s="43" t="n">
        <f aca="false">SUMIFS('Additions (monthly)'!$E$2:$E$106,'Additions (monthly)'!$D$2:$D$106,BH$2,'Additions (monthly)'!$B$2:$B$106,"&lt;="&amp;$B85)</f>
        <v>10</v>
      </c>
      <c r="BI85" s="43" t="n">
        <f aca="false">SUMIFS('Additions (monthly)'!$E$2:$E$106,'Additions (monthly)'!$D$2:$D$106,BI$2,'Additions (monthly)'!$B$2:$B$106,"&lt;="&amp;$B85)</f>
        <v>6.7</v>
      </c>
    </row>
    <row r="86" customFormat="false" ht="15" hidden="false" customHeight="false" outlineLevel="0" collapsed="false">
      <c r="A86" s="23" t="n">
        <v>42705</v>
      </c>
      <c r="B86" s="24" t="n">
        <v>201612</v>
      </c>
      <c r="C86" s="42" t="n">
        <f aca="false">SUMIFS('Additions (monthly)'!$E$2:$E$106,'Additions (monthly)'!$B$2:$B$106,"&lt;="&amp;$B86)</f>
        <v>343.87</v>
      </c>
      <c r="D86" s="43" t="n">
        <f aca="false">SUMIFS('Additions (monthly)'!$E$2:$E$106,'Additions (monthly)'!$D$2:$D$106,D$2,'Additions (monthly)'!$B$2:$B$106,"&lt;="&amp;$B86)</f>
        <v>7.9</v>
      </c>
      <c r="E86" s="43" t="n">
        <f aca="false">SUMIFS('Additions (monthly)'!$E$2:$E$106,'Additions (monthly)'!$D$2:$D$106,E$2,'Additions (monthly)'!$B$2:$B$106,"&lt;="&amp;$B86)</f>
        <v>8.4</v>
      </c>
      <c r="F86" s="43" t="n">
        <f aca="false">SUMIFS('Additions (monthly)'!$E$2:$E$106,'Additions (monthly)'!$D$2:$D$106,F$2,'Additions (monthly)'!$B$2:$B$106,"&lt;="&amp;$B86)</f>
        <v>4.7</v>
      </c>
      <c r="G86" s="43" t="n">
        <f aca="false">SUMIFS('Additions (monthly)'!$E$2:$E$106,'Additions (monthly)'!$D$2:$D$106,G$2,'Additions (monthly)'!$B$2:$B$106,"&lt;="&amp;$B86)</f>
        <v>4.5</v>
      </c>
      <c r="H86" s="43" t="n">
        <f aca="false">SUMIFS('Additions (monthly)'!$E$2:$E$106,'Additions (monthly)'!$D$2:$D$106,H$2,'Additions (monthly)'!$B$2:$B$106,"&lt;="&amp;$B86)</f>
        <v>5.2</v>
      </c>
      <c r="I86" s="43" t="n">
        <f aca="false">SUMIFS('Additions (monthly)'!$E$2:$E$106,'Additions (monthly)'!$D$2:$D$106,I$2,'Additions (monthly)'!$B$2:$B$106,"&lt;="&amp;$B86)</f>
        <v>9</v>
      </c>
      <c r="J86" s="43" t="n">
        <f aca="false">SUMIFS('Additions (monthly)'!$E$2:$E$106,'Additions (monthly)'!$D$2:$D$106,J$2,'Additions (monthly)'!$B$2:$B$106,"&lt;="&amp;$B86)</f>
        <v>3.7</v>
      </c>
      <c r="K86" s="43" t="n">
        <f aca="false">SUMIFS('Additions (monthly)'!$E$2:$E$106,'Additions (monthly)'!$D$2:$D$106,K$2,'Additions (monthly)'!$B$2:$B$106,"&lt;="&amp;$B86)</f>
        <v>7.8</v>
      </c>
      <c r="L86" s="43" t="n">
        <f aca="false">SUMIFS('Additions (monthly)'!$E$2:$E$106,'Additions (monthly)'!$D$2:$D$106,L$2,'Additions (monthly)'!$B$2:$B$106,"&lt;="&amp;$B86)</f>
        <v>15.6</v>
      </c>
      <c r="M86" s="43" t="n">
        <f aca="false">SUMIFS('Additions (monthly)'!$E$2:$E$106,'Additions (monthly)'!$D$2:$D$106,M$2,'Additions (monthly)'!$B$2:$B$106,"&lt;="&amp;$B86)</f>
        <v>0</v>
      </c>
      <c r="N86" s="43" t="n">
        <f aca="false">SUMIFS('Additions (monthly)'!$E$2:$E$106,'Additions (monthly)'!$D$2:$D$106,N$2,'Additions (monthly)'!$B$2:$B$106,"&lt;="&amp;$B86)</f>
        <v>14.2</v>
      </c>
      <c r="O86" s="43" t="n">
        <f aca="false">SUMIFS('Additions (monthly)'!$E$2:$E$106,'Additions (monthly)'!$D$2:$D$106,O$2,'Additions (monthly)'!$B$2:$B$106,"&lt;="&amp;$B86)</f>
        <v>4.9</v>
      </c>
      <c r="P86" s="43" t="n">
        <f aca="false">SUMIFS('Additions (monthly)'!$E$2:$E$106,'Additions (monthly)'!$D$2:$D$106,P$2,'Additions (monthly)'!$B$2:$B$106,"&lt;="&amp;$B86)</f>
        <v>0</v>
      </c>
      <c r="Q86" s="43" t="n">
        <f aca="false">SUMIFS('Additions (monthly)'!$E$2:$E$106,'Additions (monthly)'!$D$2:$D$106,Q$2,'Additions (monthly)'!$B$2:$B$106,"&lt;="&amp;$B86)</f>
        <v>8.5</v>
      </c>
      <c r="R86" s="43" t="n">
        <f aca="false">SUMIFS('Additions (monthly)'!$E$2:$E$106,'Additions (monthly)'!$D$2:$D$106,R$2,'Additions (monthly)'!$B$2:$B$106,"&lt;="&amp;$B86)</f>
        <v>0</v>
      </c>
      <c r="S86" s="43" t="n">
        <f aca="false">SUMIFS('Additions (monthly)'!$E$2:$E$106,'Additions (monthly)'!$D$2:$D$106,S$2,'Additions (monthly)'!$B$2:$B$106,"&lt;="&amp;$B86)</f>
        <v>7.2</v>
      </c>
      <c r="T86" s="43" t="n">
        <f aca="false">SUMIFS('Additions (monthly)'!$E$2:$E$106,'Additions (monthly)'!$D$2:$D$106,T$2,'Additions (monthly)'!$B$2:$B$106,"&lt;="&amp;$B86)</f>
        <v>0</v>
      </c>
      <c r="U86" s="43" t="n">
        <f aca="false">SUMIFS('Additions (monthly)'!$E$2:$E$106,'Additions (monthly)'!$D$2:$D$106,U$2,'Additions (monthly)'!$B$2:$B$106,"&lt;="&amp;$B86)</f>
        <v>0</v>
      </c>
      <c r="V86" s="43" t="n">
        <f aca="false">SUMIFS('Additions (monthly)'!$E$2:$E$106,'Additions (monthly)'!$D$2:$D$106,V$2,'Additions (monthly)'!$B$2:$B$106,"&lt;="&amp;$B86)</f>
        <v>3.87</v>
      </c>
      <c r="W86" s="43" t="n">
        <f aca="false">SUMIFS('Additions (monthly)'!$E$2:$E$106,'Additions (monthly)'!$D$2:$D$106,W$2,'Additions (monthly)'!$B$2:$B$106,"&lt;="&amp;$B86)</f>
        <v>0</v>
      </c>
      <c r="X86" s="43" t="n">
        <f aca="false">SUMIFS('Additions (monthly)'!$E$2:$E$106,'Additions (monthly)'!$D$2:$D$106,X$2,'Additions (monthly)'!$B$2:$B$106,"&lt;="&amp;$B86)</f>
        <v>0</v>
      </c>
      <c r="Y86" s="43" t="n">
        <f aca="false">SUMIFS('Additions (monthly)'!$E$2:$E$106,'Additions (monthly)'!$D$2:$D$106,Y$2,'Additions (monthly)'!$B$2:$B$106,"&lt;="&amp;$B86)</f>
        <v>5</v>
      </c>
      <c r="Z86" s="43" t="n">
        <f aca="false">SUMIFS('Additions (monthly)'!$E$2:$E$106,'Additions (monthly)'!$D$2:$D$106,Z$2,'Additions (monthly)'!$B$2:$B$106,"&lt;="&amp;$B86)</f>
        <v>7.2</v>
      </c>
      <c r="AA86" s="43" t="n">
        <f aca="false">SUMIFS('Additions (monthly)'!$E$2:$E$106,'Additions (monthly)'!$D$2:$D$106,AA$2,'Additions (monthly)'!$B$2:$B$106,"&lt;="&amp;$B86)</f>
        <v>3.7</v>
      </c>
      <c r="AB86" s="43" t="n">
        <f aca="false">SUMIFS('Additions (monthly)'!$E$2:$E$106,'Additions (monthly)'!$D$2:$D$106,AB$2,'Additions (monthly)'!$B$2:$B$106,"&lt;="&amp;$B86)</f>
        <v>16.95</v>
      </c>
      <c r="AC86" s="43" t="n">
        <f aca="false">SUMIFS('Additions (monthly)'!$E$2:$E$106,'Additions (monthly)'!$D$2:$D$106,AC$2,'Additions (monthly)'!$B$2:$B$106,"&lt;="&amp;$B86)</f>
        <v>2</v>
      </c>
      <c r="AD86" s="43" t="n">
        <f aca="false">SUMIFS('Additions (monthly)'!$E$2:$E$106,'Additions (monthly)'!$D$2:$D$106,AD$2,'Additions (monthly)'!$B$2:$B$106,"&lt;="&amp;$B86)</f>
        <v>7.6</v>
      </c>
      <c r="AE86" s="43" t="n">
        <f aca="false">SUMIFS('Additions (monthly)'!$E$2:$E$106,'Additions (monthly)'!$D$2:$D$106,AE$2,'Additions (monthly)'!$B$2:$B$106,"&lt;="&amp;$B86)</f>
        <v>25.7</v>
      </c>
      <c r="AF86" s="43" t="n">
        <f aca="false">SUMIFS('Additions (monthly)'!$E$2:$E$106,'Additions (monthly)'!$D$2:$D$106,AF$2,'Additions (monthly)'!$B$2:$B$106,"&lt;="&amp;$B86)</f>
        <v>1.2</v>
      </c>
      <c r="AG86" s="43" t="n">
        <f aca="false">SUMIFS('Additions (monthly)'!$E$2:$E$106,'Additions (monthly)'!$D$2:$D$106,AG$2,'Additions (monthly)'!$B$2:$B$106,"&lt;="&amp;$B86)</f>
        <v>0</v>
      </c>
      <c r="AH86" s="43" t="n">
        <f aca="false">SUMIFS('Additions (monthly)'!$E$2:$E$106,'Additions (monthly)'!$D$2:$D$106,AH$2,'Additions (monthly)'!$B$2:$B$106,"&lt;="&amp;$B86)</f>
        <v>0</v>
      </c>
      <c r="AI86" s="43" t="n">
        <f aca="false">SUMIFS('Additions (monthly)'!$E$2:$E$106,'Additions (monthly)'!$D$2:$D$106,AI$2,'Additions (monthly)'!$B$2:$B$106,"&lt;="&amp;$B86)</f>
        <v>0</v>
      </c>
      <c r="AJ86" s="43" t="n">
        <f aca="false">SUMIFS('Additions (monthly)'!$E$2:$E$106,'Additions (monthly)'!$D$2:$D$106,AJ$2,'Additions (monthly)'!$B$2:$B$106,"&lt;="&amp;$B86)</f>
        <v>0</v>
      </c>
      <c r="AK86" s="43" t="n">
        <f aca="false">SUMIFS('Additions (monthly)'!$E$2:$E$106,'Additions (monthly)'!$D$2:$D$106,AK$2,'Additions (monthly)'!$B$2:$B$106,"&lt;="&amp;$B86)</f>
        <v>0</v>
      </c>
      <c r="AL86" s="43" t="n">
        <f aca="false">SUMIFS('Additions (monthly)'!$E$2:$E$106,'Additions (monthly)'!$D$2:$D$106,AL$2,'Additions (monthly)'!$B$2:$B$106,"&lt;="&amp;$B86)</f>
        <v>22.2</v>
      </c>
      <c r="AM86" s="43" t="n">
        <f aca="false">SUMIFS('Additions (monthly)'!$E$2:$E$106,'Additions (monthly)'!$D$2:$D$106,AM$2,'Additions (monthly)'!$B$2:$B$106,"&lt;="&amp;$B86)</f>
        <v>0.3</v>
      </c>
      <c r="AN86" s="43" t="n">
        <f aca="false">SUMIFS('Additions (monthly)'!$E$2:$E$106,'Additions (monthly)'!$D$2:$D$106,AN$2,'Additions (monthly)'!$B$2:$B$106,"&lt;="&amp;$B86)</f>
        <v>4.3</v>
      </c>
      <c r="AO86" s="43" t="n">
        <f aca="false">SUMIFS('Additions (monthly)'!$E$2:$E$106,'Additions (monthly)'!$D$2:$D$106,AO$2,'Additions (monthly)'!$B$2:$B$106,"&lt;="&amp;$B86)</f>
        <v>10.4</v>
      </c>
      <c r="AP86" s="43" t="n">
        <f aca="false">SUMIFS('Additions (monthly)'!$E$2:$E$106,'Additions (monthly)'!$D$2:$D$106,AP$2,'Additions (monthly)'!$B$2:$B$106,"&lt;="&amp;$B86)</f>
        <v>6.9</v>
      </c>
      <c r="AQ86" s="43" t="n">
        <f aca="false">SUMIFS('Additions (monthly)'!$E$2:$E$106,'Additions (monthly)'!$D$2:$D$106,AQ$2,'Additions (monthly)'!$B$2:$B$106,"&lt;="&amp;$B86)</f>
        <v>4.45</v>
      </c>
      <c r="AR86" s="43" t="n">
        <f aca="false">SUMIFS('Additions (monthly)'!$E$2:$E$106,'Additions (monthly)'!$D$2:$D$106,AR$2,'Additions (monthly)'!$B$2:$B$106,"&lt;="&amp;$B86)</f>
        <v>77.1</v>
      </c>
      <c r="AS86" s="43" t="n">
        <f aca="false">SUMIFS('Additions (monthly)'!$E$2:$E$106,'Additions (monthly)'!$D$2:$D$106,AS$2,'Additions (monthly)'!$B$2:$B$106,"&lt;="&amp;$B86)</f>
        <v>0</v>
      </c>
      <c r="AT86" s="43" t="n">
        <f aca="false">SUMIFS('Additions (monthly)'!$E$2:$E$106,'Additions (monthly)'!$D$2:$D$106,AT$2,'Additions (monthly)'!$B$2:$B$106,"&lt;="&amp;$B86)</f>
        <v>0</v>
      </c>
      <c r="AU86" s="43" t="n">
        <f aca="false">SUMIFS('Additions (monthly)'!$E$2:$E$106,'Additions (monthly)'!$D$2:$D$106,AU$2,'Additions (monthly)'!$B$2:$B$106,"&lt;="&amp;$B86)</f>
        <v>9.6</v>
      </c>
      <c r="AV86" s="43" t="n">
        <f aca="false">SUMIFS('Additions (monthly)'!$E$2:$E$106,'Additions (monthly)'!$D$2:$D$106,AV$2,'Additions (monthly)'!$B$2:$B$106,"&lt;="&amp;$B86)</f>
        <v>0</v>
      </c>
      <c r="AW86" s="43" t="n">
        <f aca="false">SUMIFS('Additions (monthly)'!$E$2:$E$106,'Additions (monthly)'!$D$2:$D$106,AW$2,'Additions (monthly)'!$B$2:$B$106,"&lt;="&amp;$B86)</f>
        <v>0</v>
      </c>
      <c r="AX86" s="43" t="n">
        <f aca="false">SUMIFS('Additions (monthly)'!$E$2:$E$106,'Additions (monthly)'!$D$2:$D$106,AX$2,'Additions (monthly)'!$B$2:$B$106,"&lt;="&amp;$B86)</f>
        <v>11.8</v>
      </c>
      <c r="AY86" s="43" t="n">
        <f aca="false">SUMIFS('Additions (monthly)'!$E$2:$E$106,'Additions (monthly)'!$D$2:$D$106,AY$2,'Additions (monthly)'!$B$2:$B$106,"&lt;="&amp;$B86)</f>
        <v>5.3</v>
      </c>
      <c r="AZ86" s="43" t="n">
        <f aca="false">SUMIFS('Additions (monthly)'!$E$2:$E$106,'Additions (monthly)'!$D$2:$D$106,AZ$2,'Additions (monthly)'!$B$2:$B$106,"&lt;="&amp;$B86)</f>
        <v>0</v>
      </c>
      <c r="BA86" s="43" t="n">
        <f aca="false">SUMIFS('Additions (monthly)'!$E$2:$E$106,'Additions (monthly)'!$D$2:$D$106,BA$2,'Additions (monthly)'!$B$2:$B$106,"&lt;="&amp;$B86)</f>
        <v>0</v>
      </c>
      <c r="BB86" s="43" t="n">
        <f aca="false">SUMIFS('Additions (monthly)'!$E$2:$E$106,'Additions (monthly)'!$D$2:$D$106,BB$2,'Additions (monthly)'!$B$2:$B$106,"&lt;="&amp;$B86)</f>
        <v>0</v>
      </c>
      <c r="BC86" s="43" t="n">
        <f aca="false">SUMIFS('Additions (monthly)'!$E$2:$E$106,'Additions (monthly)'!$D$2:$D$106,BC$2,'Additions (monthly)'!$B$2:$B$106,"&lt;="&amp;$B86)</f>
        <v>0</v>
      </c>
      <c r="BD86" s="43" t="n">
        <f aca="false">SUMIFS('Additions (monthly)'!$E$2:$E$106,'Additions (monthly)'!$D$2:$D$106,BD$2,'Additions (monthly)'!$B$2:$B$106,"&lt;="&amp;$B86)</f>
        <v>0</v>
      </c>
      <c r="BE86" s="43" t="n">
        <f aca="false">SUMIFS('Additions (monthly)'!$E$2:$E$106,'Additions (monthly)'!$D$2:$D$106,BE$2,'Additions (monthly)'!$B$2:$B$106,"&lt;="&amp;$B86)</f>
        <v>0</v>
      </c>
      <c r="BF86" s="43" t="n">
        <f aca="false">SUMIFS('Additions (monthly)'!$E$2:$E$106,'Additions (monthly)'!$D$2:$D$106,BF$2,'Additions (monthly)'!$B$2:$B$106,"&lt;="&amp;$B86)</f>
        <v>0</v>
      </c>
      <c r="BG86" s="43" t="n">
        <f aca="false">SUMIFS('Additions (monthly)'!$E$2:$E$106,'Additions (monthly)'!$D$2:$D$106,BG$2,'Additions (monthly)'!$B$2:$B$106,"&lt;="&amp;$B86)</f>
        <v>0</v>
      </c>
      <c r="BH86" s="43" t="n">
        <f aca="false">SUMIFS('Additions (monthly)'!$E$2:$E$106,'Additions (monthly)'!$D$2:$D$106,BH$2,'Additions (monthly)'!$B$2:$B$106,"&lt;="&amp;$B86)</f>
        <v>10</v>
      </c>
      <c r="BI86" s="43" t="n">
        <f aca="false">SUMIFS('Additions (monthly)'!$E$2:$E$106,'Additions (monthly)'!$D$2:$D$106,BI$2,'Additions (monthly)'!$B$2:$B$106,"&lt;="&amp;$B86)</f>
        <v>6.7</v>
      </c>
    </row>
    <row r="87" customFormat="false" ht="15" hidden="false" customHeight="false" outlineLevel="0" collapsed="false">
      <c r="A87" s="44" t="n">
        <v>42736</v>
      </c>
      <c r="B87" s="45" t="n">
        <v>201701</v>
      </c>
      <c r="C87" s="42" t="n">
        <f aca="false">SUMIFS('Additions (monthly)'!$E$2:$E$106,'Additions (monthly)'!$B$2:$B$106,"&lt;="&amp;$B87)</f>
        <v>357.47</v>
      </c>
      <c r="D87" s="46" t="n">
        <f aca="false">SUMIFS('Additions (monthly)'!$E$2:$E$106,'Additions (monthly)'!$D$2:$D$106,D$2,'Additions (monthly)'!$B$2:$B$106,"&lt;="&amp;$B87)</f>
        <v>7.9</v>
      </c>
      <c r="E87" s="46" t="n">
        <f aca="false">SUMIFS('Additions (monthly)'!$E$2:$E$106,'Additions (monthly)'!$D$2:$D$106,E$2,'Additions (monthly)'!$B$2:$B$106,"&lt;="&amp;$B87)</f>
        <v>8.4</v>
      </c>
      <c r="F87" s="46" t="n">
        <f aca="false">SUMIFS('Additions (monthly)'!$E$2:$E$106,'Additions (monthly)'!$D$2:$D$106,F$2,'Additions (monthly)'!$B$2:$B$106,"&lt;="&amp;$B87)</f>
        <v>4.7</v>
      </c>
      <c r="G87" s="46" t="n">
        <f aca="false">SUMIFS('Additions (monthly)'!$E$2:$E$106,'Additions (monthly)'!$D$2:$D$106,G$2,'Additions (monthly)'!$B$2:$B$106,"&lt;="&amp;$B87)</f>
        <v>4.5</v>
      </c>
      <c r="H87" s="46" t="n">
        <f aca="false">SUMIFS('Additions (monthly)'!$E$2:$E$106,'Additions (monthly)'!$D$2:$D$106,H$2,'Additions (monthly)'!$B$2:$B$106,"&lt;="&amp;$B87)</f>
        <v>5.2</v>
      </c>
      <c r="I87" s="46" t="n">
        <f aca="false">SUMIFS('Additions (monthly)'!$E$2:$E$106,'Additions (monthly)'!$D$2:$D$106,I$2,'Additions (monthly)'!$B$2:$B$106,"&lt;="&amp;$B87)</f>
        <v>9</v>
      </c>
      <c r="J87" s="46" t="n">
        <f aca="false">SUMIFS('Additions (monthly)'!$E$2:$E$106,'Additions (monthly)'!$D$2:$D$106,J$2,'Additions (monthly)'!$B$2:$B$106,"&lt;="&amp;$B87)</f>
        <v>3.7</v>
      </c>
      <c r="K87" s="46" t="n">
        <f aca="false">SUMIFS('Additions (monthly)'!$E$2:$E$106,'Additions (monthly)'!$D$2:$D$106,K$2,'Additions (monthly)'!$B$2:$B$106,"&lt;="&amp;$B87)</f>
        <v>7.8</v>
      </c>
      <c r="L87" s="46" t="n">
        <f aca="false">SUMIFS('Additions (monthly)'!$E$2:$E$106,'Additions (monthly)'!$D$2:$D$106,L$2,'Additions (monthly)'!$B$2:$B$106,"&lt;="&amp;$B87)</f>
        <v>15.6</v>
      </c>
      <c r="M87" s="46" t="n">
        <f aca="false">SUMIFS('Additions (monthly)'!$E$2:$E$106,'Additions (monthly)'!$D$2:$D$106,M$2,'Additions (monthly)'!$B$2:$B$106,"&lt;="&amp;$B87)</f>
        <v>0</v>
      </c>
      <c r="N87" s="46" t="n">
        <f aca="false">SUMIFS('Additions (monthly)'!$E$2:$E$106,'Additions (monthly)'!$D$2:$D$106,N$2,'Additions (monthly)'!$B$2:$B$106,"&lt;="&amp;$B87)</f>
        <v>14.2</v>
      </c>
      <c r="O87" s="46" t="n">
        <f aca="false">SUMIFS('Additions (monthly)'!$E$2:$E$106,'Additions (monthly)'!$D$2:$D$106,O$2,'Additions (monthly)'!$B$2:$B$106,"&lt;="&amp;$B87)</f>
        <v>4.9</v>
      </c>
      <c r="P87" s="46" t="n">
        <f aca="false">SUMIFS('Additions (monthly)'!$E$2:$E$106,'Additions (monthly)'!$D$2:$D$106,P$2,'Additions (monthly)'!$B$2:$B$106,"&lt;="&amp;$B87)</f>
        <v>0</v>
      </c>
      <c r="Q87" s="46" t="n">
        <f aca="false">SUMIFS('Additions (monthly)'!$E$2:$E$106,'Additions (monthly)'!$D$2:$D$106,Q$2,'Additions (monthly)'!$B$2:$B$106,"&lt;="&amp;$B87)</f>
        <v>8.5</v>
      </c>
      <c r="R87" s="46" t="n">
        <f aca="false">SUMIFS('Additions (monthly)'!$E$2:$E$106,'Additions (monthly)'!$D$2:$D$106,R$2,'Additions (monthly)'!$B$2:$B$106,"&lt;="&amp;$B87)</f>
        <v>0</v>
      </c>
      <c r="S87" s="46" t="n">
        <f aca="false">SUMIFS('Additions (monthly)'!$E$2:$E$106,'Additions (monthly)'!$D$2:$D$106,S$2,'Additions (monthly)'!$B$2:$B$106,"&lt;="&amp;$B87)</f>
        <v>7.2</v>
      </c>
      <c r="T87" s="46" t="n">
        <f aca="false">SUMIFS('Additions (monthly)'!$E$2:$E$106,'Additions (monthly)'!$D$2:$D$106,T$2,'Additions (monthly)'!$B$2:$B$106,"&lt;="&amp;$B87)</f>
        <v>0</v>
      </c>
      <c r="U87" s="46" t="n">
        <f aca="false">SUMIFS('Additions (monthly)'!$E$2:$E$106,'Additions (monthly)'!$D$2:$D$106,U$2,'Additions (monthly)'!$B$2:$B$106,"&lt;="&amp;$B87)</f>
        <v>0</v>
      </c>
      <c r="V87" s="46" t="n">
        <f aca="false">SUMIFS('Additions (monthly)'!$E$2:$E$106,'Additions (monthly)'!$D$2:$D$106,V$2,'Additions (monthly)'!$B$2:$B$106,"&lt;="&amp;$B87)</f>
        <v>3.87</v>
      </c>
      <c r="W87" s="46" t="n">
        <f aca="false">SUMIFS('Additions (monthly)'!$E$2:$E$106,'Additions (monthly)'!$D$2:$D$106,W$2,'Additions (monthly)'!$B$2:$B$106,"&lt;="&amp;$B87)</f>
        <v>0</v>
      </c>
      <c r="X87" s="46" t="n">
        <f aca="false">SUMIFS('Additions (monthly)'!$E$2:$E$106,'Additions (monthly)'!$D$2:$D$106,X$2,'Additions (monthly)'!$B$2:$B$106,"&lt;="&amp;$B87)</f>
        <v>0</v>
      </c>
      <c r="Y87" s="46" t="n">
        <f aca="false">SUMIFS('Additions (monthly)'!$E$2:$E$106,'Additions (monthly)'!$D$2:$D$106,Y$2,'Additions (monthly)'!$B$2:$B$106,"&lt;="&amp;$B87)</f>
        <v>5</v>
      </c>
      <c r="Z87" s="46" t="n">
        <f aca="false">SUMIFS('Additions (monthly)'!$E$2:$E$106,'Additions (monthly)'!$D$2:$D$106,Z$2,'Additions (monthly)'!$B$2:$B$106,"&lt;="&amp;$B87)</f>
        <v>7.2</v>
      </c>
      <c r="AA87" s="46" t="n">
        <f aca="false">SUMIFS('Additions (monthly)'!$E$2:$E$106,'Additions (monthly)'!$D$2:$D$106,AA$2,'Additions (monthly)'!$B$2:$B$106,"&lt;="&amp;$B87)</f>
        <v>3.7</v>
      </c>
      <c r="AB87" s="46" t="n">
        <f aca="false">SUMIFS('Additions (monthly)'!$E$2:$E$106,'Additions (monthly)'!$D$2:$D$106,AB$2,'Additions (monthly)'!$B$2:$B$106,"&lt;="&amp;$B87)</f>
        <v>16.95</v>
      </c>
      <c r="AC87" s="46" t="n">
        <f aca="false">SUMIFS('Additions (monthly)'!$E$2:$E$106,'Additions (monthly)'!$D$2:$D$106,AC$2,'Additions (monthly)'!$B$2:$B$106,"&lt;="&amp;$B87)</f>
        <v>2</v>
      </c>
      <c r="AD87" s="46" t="n">
        <f aca="false">SUMIFS('Additions (monthly)'!$E$2:$E$106,'Additions (monthly)'!$D$2:$D$106,AD$2,'Additions (monthly)'!$B$2:$B$106,"&lt;="&amp;$B87)</f>
        <v>7.6</v>
      </c>
      <c r="AE87" s="46" t="n">
        <f aca="false">SUMIFS('Additions (monthly)'!$E$2:$E$106,'Additions (monthly)'!$D$2:$D$106,AE$2,'Additions (monthly)'!$B$2:$B$106,"&lt;="&amp;$B87)</f>
        <v>29.3</v>
      </c>
      <c r="AF87" s="46" t="n">
        <f aca="false">SUMIFS('Additions (monthly)'!$E$2:$E$106,'Additions (monthly)'!$D$2:$D$106,AF$2,'Additions (monthly)'!$B$2:$B$106,"&lt;="&amp;$B87)</f>
        <v>1.2</v>
      </c>
      <c r="AG87" s="46" t="n">
        <f aca="false">SUMIFS('Additions (monthly)'!$E$2:$E$106,'Additions (monthly)'!$D$2:$D$106,AG$2,'Additions (monthly)'!$B$2:$B$106,"&lt;="&amp;$B87)</f>
        <v>0</v>
      </c>
      <c r="AH87" s="46" t="n">
        <f aca="false">SUMIFS('Additions (monthly)'!$E$2:$E$106,'Additions (monthly)'!$D$2:$D$106,AH$2,'Additions (monthly)'!$B$2:$B$106,"&lt;="&amp;$B87)</f>
        <v>0</v>
      </c>
      <c r="AI87" s="46" t="n">
        <f aca="false">SUMIFS('Additions (monthly)'!$E$2:$E$106,'Additions (monthly)'!$D$2:$D$106,AI$2,'Additions (monthly)'!$B$2:$B$106,"&lt;="&amp;$B87)</f>
        <v>0</v>
      </c>
      <c r="AJ87" s="46" t="n">
        <f aca="false">SUMIFS('Additions (monthly)'!$E$2:$E$106,'Additions (monthly)'!$D$2:$D$106,AJ$2,'Additions (monthly)'!$B$2:$B$106,"&lt;="&amp;$B87)</f>
        <v>0</v>
      </c>
      <c r="AK87" s="46" t="n">
        <f aca="false">SUMIFS('Additions (monthly)'!$E$2:$E$106,'Additions (monthly)'!$D$2:$D$106,AK$2,'Additions (monthly)'!$B$2:$B$106,"&lt;="&amp;$B87)</f>
        <v>0</v>
      </c>
      <c r="AL87" s="46" t="n">
        <f aca="false">SUMIFS('Additions (monthly)'!$E$2:$E$106,'Additions (monthly)'!$D$2:$D$106,AL$2,'Additions (monthly)'!$B$2:$B$106,"&lt;="&amp;$B87)</f>
        <v>22.2</v>
      </c>
      <c r="AM87" s="46" t="n">
        <f aca="false">SUMIFS('Additions (monthly)'!$E$2:$E$106,'Additions (monthly)'!$D$2:$D$106,AM$2,'Additions (monthly)'!$B$2:$B$106,"&lt;="&amp;$B87)</f>
        <v>0.3</v>
      </c>
      <c r="AN87" s="46" t="n">
        <f aca="false">SUMIFS('Additions (monthly)'!$E$2:$E$106,'Additions (monthly)'!$D$2:$D$106,AN$2,'Additions (monthly)'!$B$2:$B$106,"&lt;="&amp;$B87)</f>
        <v>4.3</v>
      </c>
      <c r="AO87" s="46" t="n">
        <f aca="false">SUMIFS('Additions (monthly)'!$E$2:$E$106,'Additions (monthly)'!$D$2:$D$106,AO$2,'Additions (monthly)'!$B$2:$B$106,"&lt;="&amp;$B87)</f>
        <v>10.4</v>
      </c>
      <c r="AP87" s="46" t="n">
        <f aca="false">SUMIFS('Additions (monthly)'!$E$2:$E$106,'Additions (monthly)'!$D$2:$D$106,AP$2,'Additions (monthly)'!$B$2:$B$106,"&lt;="&amp;$B87)</f>
        <v>6.9</v>
      </c>
      <c r="AQ87" s="46" t="n">
        <f aca="false">SUMIFS('Additions (monthly)'!$E$2:$E$106,'Additions (monthly)'!$D$2:$D$106,AQ$2,'Additions (monthly)'!$B$2:$B$106,"&lt;="&amp;$B87)</f>
        <v>4.45</v>
      </c>
      <c r="AR87" s="46" t="n">
        <f aca="false">SUMIFS('Additions (monthly)'!$E$2:$E$106,'Additions (monthly)'!$D$2:$D$106,AR$2,'Additions (monthly)'!$B$2:$B$106,"&lt;="&amp;$B87)</f>
        <v>77.1</v>
      </c>
      <c r="AS87" s="46" t="n">
        <f aca="false">SUMIFS('Additions (monthly)'!$E$2:$E$106,'Additions (monthly)'!$D$2:$D$106,AS$2,'Additions (monthly)'!$B$2:$B$106,"&lt;="&amp;$B87)</f>
        <v>0</v>
      </c>
      <c r="AT87" s="46" t="n">
        <f aca="false">SUMIFS('Additions (monthly)'!$E$2:$E$106,'Additions (monthly)'!$D$2:$D$106,AT$2,'Additions (monthly)'!$B$2:$B$106,"&lt;="&amp;$B87)</f>
        <v>0</v>
      </c>
      <c r="AU87" s="46" t="n">
        <f aca="false">SUMIFS('Additions (monthly)'!$E$2:$E$106,'Additions (monthly)'!$D$2:$D$106,AU$2,'Additions (monthly)'!$B$2:$B$106,"&lt;="&amp;$B87)</f>
        <v>9.6</v>
      </c>
      <c r="AV87" s="46" t="n">
        <f aca="false">SUMIFS('Additions (monthly)'!$E$2:$E$106,'Additions (monthly)'!$D$2:$D$106,AV$2,'Additions (monthly)'!$B$2:$B$106,"&lt;="&amp;$B87)</f>
        <v>0</v>
      </c>
      <c r="AW87" s="46" t="n">
        <f aca="false">SUMIFS('Additions (monthly)'!$E$2:$E$106,'Additions (monthly)'!$D$2:$D$106,AW$2,'Additions (monthly)'!$B$2:$B$106,"&lt;="&amp;$B87)</f>
        <v>0</v>
      </c>
      <c r="AX87" s="46" t="n">
        <f aca="false">SUMIFS('Additions (monthly)'!$E$2:$E$106,'Additions (monthly)'!$D$2:$D$106,AX$2,'Additions (monthly)'!$B$2:$B$106,"&lt;="&amp;$B87)</f>
        <v>11.8</v>
      </c>
      <c r="AY87" s="46" t="n">
        <f aca="false">SUMIFS('Additions (monthly)'!$E$2:$E$106,'Additions (monthly)'!$D$2:$D$106,AY$2,'Additions (monthly)'!$B$2:$B$106,"&lt;="&amp;$B87)</f>
        <v>5.3</v>
      </c>
      <c r="AZ87" s="46" t="n">
        <f aca="false">SUMIFS('Additions (monthly)'!$E$2:$E$106,'Additions (monthly)'!$D$2:$D$106,AZ$2,'Additions (monthly)'!$B$2:$B$106,"&lt;="&amp;$B87)</f>
        <v>0</v>
      </c>
      <c r="BA87" s="46" t="n">
        <f aca="false">SUMIFS('Additions (monthly)'!$E$2:$E$106,'Additions (monthly)'!$D$2:$D$106,BA$2,'Additions (monthly)'!$B$2:$B$106,"&lt;="&amp;$B87)</f>
        <v>0</v>
      </c>
      <c r="BB87" s="46" t="n">
        <f aca="false">SUMIFS('Additions (monthly)'!$E$2:$E$106,'Additions (monthly)'!$D$2:$D$106,BB$2,'Additions (monthly)'!$B$2:$B$106,"&lt;="&amp;$B87)</f>
        <v>0</v>
      </c>
      <c r="BC87" s="46" t="n">
        <f aca="false">SUMIFS('Additions (monthly)'!$E$2:$E$106,'Additions (monthly)'!$D$2:$D$106,BC$2,'Additions (monthly)'!$B$2:$B$106,"&lt;="&amp;$B87)</f>
        <v>0</v>
      </c>
      <c r="BD87" s="46" t="n">
        <f aca="false">SUMIFS('Additions (monthly)'!$E$2:$E$106,'Additions (monthly)'!$D$2:$D$106,BD$2,'Additions (monthly)'!$B$2:$B$106,"&lt;="&amp;$B87)</f>
        <v>0</v>
      </c>
      <c r="BE87" s="46" t="n">
        <f aca="false">SUMIFS('Additions (monthly)'!$E$2:$E$106,'Additions (monthly)'!$D$2:$D$106,BE$2,'Additions (monthly)'!$B$2:$B$106,"&lt;="&amp;$B87)</f>
        <v>0</v>
      </c>
      <c r="BF87" s="46" t="n">
        <f aca="false">SUMIFS('Additions (monthly)'!$E$2:$E$106,'Additions (monthly)'!$D$2:$D$106,BF$2,'Additions (monthly)'!$B$2:$B$106,"&lt;="&amp;$B87)</f>
        <v>0</v>
      </c>
      <c r="BG87" s="46" t="n">
        <f aca="false">SUMIFS('Additions (monthly)'!$E$2:$E$106,'Additions (monthly)'!$D$2:$D$106,BG$2,'Additions (monthly)'!$B$2:$B$106,"&lt;="&amp;$B87)</f>
        <v>0</v>
      </c>
      <c r="BH87" s="46" t="n">
        <f aca="false">SUMIFS('Additions (monthly)'!$E$2:$E$106,'Additions (monthly)'!$D$2:$D$106,BH$2,'Additions (monthly)'!$B$2:$B$106,"&lt;="&amp;$B87)</f>
        <v>20</v>
      </c>
      <c r="BI87" s="46" t="n">
        <f aca="false">SUMIFS('Additions (monthly)'!$E$2:$E$106,'Additions (monthly)'!$D$2:$D$106,BI$2,'Additions (monthly)'!$B$2:$B$106,"&lt;="&amp;$B87)</f>
        <v>6.7</v>
      </c>
    </row>
    <row r="88" customFormat="false" ht="15" hidden="false" customHeight="false" outlineLevel="0" collapsed="false">
      <c r="A88" s="44" t="n">
        <v>42767</v>
      </c>
      <c r="B88" s="45" t="n">
        <v>201702</v>
      </c>
      <c r="C88" s="42" t="n">
        <f aca="false">SUMIFS('Additions (monthly)'!$E$2:$E$106,'Additions (monthly)'!$B$2:$B$106,"&lt;="&amp;$B88)</f>
        <v>357.47</v>
      </c>
      <c r="D88" s="46" t="n">
        <f aca="false">SUMIFS('Additions (monthly)'!$E$2:$E$106,'Additions (monthly)'!$D$2:$D$106,D$2,'Additions (monthly)'!$B$2:$B$106,"&lt;="&amp;$B88)</f>
        <v>7.9</v>
      </c>
      <c r="E88" s="46" t="n">
        <f aca="false">SUMIFS('Additions (monthly)'!$E$2:$E$106,'Additions (monthly)'!$D$2:$D$106,E$2,'Additions (monthly)'!$B$2:$B$106,"&lt;="&amp;$B88)</f>
        <v>8.4</v>
      </c>
      <c r="F88" s="46" t="n">
        <f aca="false">SUMIFS('Additions (monthly)'!$E$2:$E$106,'Additions (monthly)'!$D$2:$D$106,F$2,'Additions (monthly)'!$B$2:$B$106,"&lt;="&amp;$B88)</f>
        <v>4.7</v>
      </c>
      <c r="G88" s="46" t="n">
        <f aca="false">SUMIFS('Additions (monthly)'!$E$2:$E$106,'Additions (monthly)'!$D$2:$D$106,G$2,'Additions (monthly)'!$B$2:$B$106,"&lt;="&amp;$B88)</f>
        <v>4.5</v>
      </c>
      <c r="H88" s="46" t="n">
        <f aca="false">SUMIFS('Additions (monthly)'!$E$2:$E$106,'Additions (monthly)'!$D$2:$D$106,H$2,'Additions (monthly)'!$B$2:$B$106,"&lt;="&amp;$B88)</f>
        <v>5.2</v>
      </c>
      <c r="I88" s="46" t="n">
        <f aca="false">SUMIFS('Additions (monthly)'!$E$2:$E$106,'Additions (monthly)'!$D$2:$D$106,I$2,'Additions (monthly)'!$B$2:$B$106,"&lt;="&amp;$B88)</f>
        <v>9</v>
      </c>
      <c r="J88" s="46" t="n">
        <f aca="false">SUMIFS('Additions (monthly)'!$E$2:$E$106,'Additions (monthly)'!$D$2:$D$106,J$2,'Additions (monthly)'!$B$2:$B$106,"&lt;="&amp;$B88)</f>
        <v>3.7</v>
      </c>
      <c r="K88" s="46" t="n">
        <f aca="false">SUMIFS('Additions (monthly)'!$E$2:$E$106,'Additions (monthly)'!$D$2:$D$106,K$2,'Additions (monthly)'!$B$2:$B$106,"&lt;="&amp;$B88)</f>
        <v>7.8</v>
      </c>
      <c r="L88" s="46" t="n">
        <f aca="false">SUMIFS('Additions (monthly)'!$E$2:$E$106,'Additions (monthly)'!$D$2:$D$106,L$2,'Additions (monthly)'!$B$2:$B$106,"&lt;="&amp;$B88)</f>
        <v>15.6</v>
      </c>
      <c r="M88" s="46" t="n">
        <f aca="false">SUMIFS('Additions (monthly)'!$E$2:$E$106,'Additions (monthly)'!$D$2:$D$106,M$2,'Additions (monthly)'!$B$2:$B$106,"&lt;="&amp;$B88)</f>
        <v>0</v>
      </c>
      <c r="N88" s="46" t="n">
        <f aca="false">SUMIFS('Additions (monthly)'!$E$2:$E$106,'Additions (monthly)'!$D$2:$D$106,N$2,'Additions (monthly)'!$B$2:$B$106,"&lt;="&amp;$B88)</f>
        <v>14.2</v>
      </c>
      <c r="O88" s="46" t="n">
        <f aca="false">SUMIFS('Additions (monthly)'!$E$2:$E$106,'Additions (monthly)'!$D$2:$D$106,O$2,'Additions (monthly)'!$B$2:$B$106,"&lt;="&amp;$B88)</f>
        <v>4.9</v>
      </c>
      <c r="P88" s="46" t="n">
        <f aca="false">SUMIFS('Additions (monthly)'!$E$2:$E$106,'Additions (monthly)'!$D$2:$D$106,P$2,'Additions (monthly)'!$B$2:$B$106,"&lt;="&amp;$B88)</f>
        <v>0</v>
      </c>
      <c r="Q88" s="46" t="n">
        <f aca="false">SUMIFS('Additions (monthly)'!$E$2:$E$106,'Additions (monthly)'!$D$2:$D$106,Q$2,'Additions (monthly)'!$B$2:$B$106,"&lt;="&amp;$B88)</f>
        <v>8.5</v>
      </c>
      <c r="R88" s="46" t="n">
        <f aca="false">SUMIFS('Additions (monthly)'!$E$2:$E$106,'Additions (monthly)'!$D$2:$D$106,R$2,'Additions (monthly)'!$B$2:$B$106,"&lt;="&amp;$B88)</f>
        <v>0</v>
      </c>
      <c r="S88" s="46" t="n">
        <f aca="false">SUMIFS('Additions (monthly)'!$E$2:$E$106,'Additions (monthly)'!$D$2:$D$106,S$2,'Additions (monthly)'!$B$2:$B$106,"&lt;="&amp;$B88)</f>
        <v>7.2</v>
      </c>
      <c r="T88" s="46" t="n">
        <f aca="false">SUMIFS('Additions (monthly)'!$E$2:$E$106,'Additions (monthly)'!$D$2:$D$106,T$2,'Additions (monthly)'!$B$2:$B$106,"&lt;="&amp;$B88)</f>
        <v>0</v>
      </c>
      <c r="U88" s="46" t="n">
        <f aca="false">SUMIFS('Additions (monthly)'!$E$2:$E$106,'Additions (monthly)'!$D$2:$D$106,U$2,'Additions (monthly)'!$B$2:$B$106,"&lt;="&amp;$B88)</f>
        <v>0</v>
      </c>
      <c r="V88" s="46" t="n">
        <f aca="false">SUMIFS('Additions (monthly)'!$E$2:$E$106,'Additions (monthly)'!$D$2:$D$106,V$2,'Additions (monthly)'!$B$2:$B$106,"&lt;="&amp;$B88)</f>
        <v>3.87</v>
      </c>
      <c r="W88" s="46" t="n">
        <f aca="false">SUMIFS('Additions (monthly)'!$E$2:$E$106,'Additions (monthly)'!$D$2:$D$106,W$2,'Additions (monthly)'!$B$2:$B$106,"&lt;="&amp;$B88)</f>
        <v>0</v>
      </c>
      <c r="X88" s="46" t="n">
        <f aca="false">SUMIFS('Additions (monthly)'!$E$2:$E$106,'Additions (monthly)'!$D$2:$D$106,X$2,'Additions (monthly)'!$B$2:$B$106,"&lt;="&amp;$B88)</f>
        <v>0</v>
      </c>
      <c r="Y88" s="46" t="n">
        <f aca="false">SUMIFS('Additions (monthly)'!$E$2:$E$106,'Additions (monthly)'!$D$2:$D$106,Y$2,'Additions (monthly)'!$B$2:$B$106,"&lt;="&amp;$B88)</f>
        <v>5</v>
      </c>
      <c r="Z88" s="46" t="n">
        <f aca="false">SUMIFS('Additions (monthly)'!$E$2:$E$106,'Additions (monthly)'!$D$2:$D$106,Z$2,'Additions (monthly)'!$B$2:$B$106,"&lt;="&amp;$B88)</f>
        <v>7.2</v>
      </c>
      <c r="AA88" s="46" t="n">
        <f aca="false">SUMIFS('Additions (monthly)'!$E$2:$E$106,'Additions (monthly)'!$D$2:$D$106,AA$2,'Additions (monthly)'!$B$2:$B$106,"&lt;="&amp;$B88)</f>
        <v>3.7</v>
      </c>
      <c r="AB88" s="46" t="n">
        <f aca="false">SUMIFS('Additions (monthly)'!$E$2:$E$106,'Additions (monthly)'!$D$2:$D$106,AB$2,'Additions (monthly)'!$B$2:$B$106,"&lt;="&amp;$B88)</f>
        <v>16.95</v>
      </c>
      <c r="AC88" s="46" t="n">
        <f aca="false">SUMIFS('Additions (monthly)'!$E$2:$E$106,'Additions (monthly)'!$D$2:$D$106,AC$2,'Additions (monthly)'!$B$2:$B$106,"&lt;="&amp;$B88)</f>
        <v>2</v>
      </c>
      <c r="AD88" s="46" t="n">
        <f aca="false">SUMIFS('Additions (monthly)'!$E$2:$E$106,'Additions (monthly)'!$D$2:$D$106,AD$2,'Additions (monthly)'!$B$2:$B$106,"&lt;="&amp;$B88)</f>
        <v>7.6</v>
      </c>
      <c r="AE88" s="46" t="n">
        <f aca="false">SUMIFS('Additions (monthly)'!$E$2:$E$106,'Additions (monthly)'!$D$2:$D$106,AE$2,'Additions (monthly)'!$B$2:$B$106,"&lt;="&amp;$B88)</f>
        <v>29.3</v>
      </c>
      <c r="AF88" s="46" t="n">
        <f aca="false">SUMIFS('Additions (monthly)'!$E$2:$E$106,'Additions (monthly)'!$D$2:$D$106,AF$2,'Additions (monthly)'!$B$2:$B$106,"&lt;="&amp;$B88)</f>
        <v>1.2</v>
      </c>
      <c r="AG88" s="46" t="n">
        <f aca="false">SUMIFS('Additions (monthly)'!$E$2:$E$106,'Additions (monthly)'!$D$2:$D$106,AG$2,'Additions (monthly)'!$B$2:$B$106,"&lt;="&amp;$B88)</f>
        <v>0</v>
      </c>
      <c r="AH88" s="46" t="n">
        <f aca="false">SUMIFS('Additions (monthly)'!$E$2:$E$106,'Additions (monthly)'!$D$2:$D$106,AH$2,'Additions (monthly)'!$B$2:$B$106,"&lt;="&amp;$B88)</f>
        <v>0</v>
      </c>
      <c r="AI88" s="46" t="n">
        <f aca="false">SUMIFS('Additions (monthly)'!$E$2:$E$106,'Additions (monthly)'!$D$2:$D$106,AI$2,'Additions (monthly)'!$B$2:$B$106,"&lt;="&amp;$B88)</f>
        <v>0</v>
      </c>
      <c r="AJ88" s="46" t="n">
        <f aca="false">SUMIFS('Additions (monthly)'!$E$2:$E$106,'Additions (monthly)'!$D$2:$D$106,AJ$2,'Additions (monthly)'!$B$2:$B$106,"&lt;="&amp;$B88)</f>
        <v>0</v>
      </c>
      <c r="AK88" s="46" t="n">
        <f aca="false">SUMIFS('Additions (monthly)'!$E$2:$E$106,'Additions (monthly)'!$D$2:$D$106,AK$2,'Additions (monthly)'!$B$2:$B$106,"&lt;="&amp;$B88)</f>
        <v>0</v>
      </c>
      <c r="AL88" s="46" t="n">
        <f aca="false">SUMIFS('Additions (monthly)'!$E$2:$E$106,'Additions (monthly)'!$D$2:$D$106,AL$2,'Additions (monthly)'!$B$2:$B$106,"&lt;="&amp;$B88)</f>
        <v>22.2</v>
      </c>
      <c r="AM88" s="46" t="n">
        <f aca="false">SUMIFS('Additions (monthly)'!$E$2:$E$106,'Additions (monthly)'!$D$2:$D$106,AM$2,'Additions (monthly)'!$B$2:$B$106,"&lt;="&amp;$B88)</f>
        <v>0.3</v>
      </c>
      <c r="AN88" s="46" t="n">
        <f aca="false">SUMIFS('Additions (monthly)'!$E$2:$E$106,'Additions (monthly)'!$D$2:$D$106,AN$2,'Additions (monthly)'!$B$2:$B$106,"&lt;="&amp;$B88)</f>
        <v>4.3</v>
      </c>
      <c r="AO88" s="46" t="n">
        <f aca="false">SUMIFS('Additions (monthly)'!$E$2:$E$106,'Additions (monthly)'!$D$2:$D$106,AO$2,'Additions (monthly)'!$B$2:$B$106,"&lt;="&amp;$B88)</f>
        <v>10.4</v>
      </c>
      <c r="AP88" s="46" t="n">
        <f aca="false">SUMIFS('Additions (monthly)'!$E$2:$E$106,'Additions (monthly)'!$D$2:$D$106,AP$2,'Additions (monthly)'!$B$2:$B$106,"&lt;="&amp;$B88)</f>
        <v>6.9</v>
      </c>
      <c r="AQ88" s="46" t="n">
        <f aca="false">SUMIFS('Additions (monthly)'!$E$2:$E$106,'Additions (monthly)'!$D$2:$D$106,AQ$2,'Additions (monthly)'!$B$2:$B$106,"&lt;="&amp;$B88)</f>
        <v>4.45</v>
      </c>
      <c r="AR88" s="46" t="n">
        <f aca="false">SUMIFS('Additions (monthly)'!$E$2:$E$106,'Additions (monthly)'!$D$2:$D$106,AR$2,'Additions (monthly)'!$B$2:$B$106,"&lt;="&amp;$B88)</f>
        <v>77.1</v>
      </c>
      <c r="AS88" s="46" t="n">
        <f aca="false">SUMIFS('Additions (monthly)'!$E$2:$E$106,'Additions (monthly)'!$D$2:$D$106,AS$2,'Additions (monthly)'!$B$2:$B$106,"&lt;="&amp;$B88)</f>
        <v>0</v>
      </c>
      <c r="AT88" s="46" t="n">
        <f aca="false">SUMIFS('Additions (monthly)'!$E$2:$E$106,'Additions (monthly)'!$D$2:$D$106,AT$2,'Additions (monthly)'!$B$2:$B$106,"&lt;="&amp;$B88)</f>
        <v>0</v>
      </c>
      <c r="AU88" s="46" t="n">
        <f aca="false">SUMIFS('Additions (monthly)'!$E$2:$E$106,'Additions (monthly)'!$D$2:$D$106,AU$2,'Additions (monthly)'!$B$2:$B$106,"&lt;="&amp;$B88)</f>
        <v>9.6</v>
      </c>
      <c r="AV88" s="46" t="n">
        <f aca="false">SUMIFS('Additions (monthly)'!$E$2:$E$106,'Additions (monthly)'!$D$2:$D$106,AV$2,'Additions (monthly)'!$B$2:$B$106,"&lt;="&amp;$B88)</f>
        <v>0</v>
      </c>
      <c r="AW88" s="46" t="n">
        <f aca="false">SUMIFS('Additions (monthly)'!$E$2:$E$106,'Additions (monthly)'!$D$2:$D$106,AW$2,'Additions (monthly)'!$B$2:$B$106,"&lt;="&amp;$B88)</f>
        <v>0</v>
      </c>
      <c r="AX88" s="46" t="n">
        <f aca="false">SUMIFS('Additions (monthly)'!$E$2:$E$106,'Additions (monthly)'!$D$2:$D$106,AX$2,'Additions (monthly)'!$B$2:$B$106,"&lt;="&amp;$B88)</f>
        <v>11.8</v>
      </c>
      <c r="AY88" s="46" t="n">
        <f aca="false">SUMIFS('Additions (monthly)'!$E$2:$E$106,'Additions (monthly)'!$D$2:$D$106,AY$2,'Additions (monthly)'!$B$2:$B$106,"&lt;="&amp;$B88)</f>
        <v>5.3</v>
      </c>
      <c r="AZ88" s="46" t="n">
        <f aca="false">SUMIFS('Additions (monthly)'!$E$2:$E$106,'Additions (monthly)'!$D$2:$D$106,AZ$2,'Additions (monthly)'!$B$2:$B$106,"&lt;="&amp;$B88)</f>
        <v>0</v>
      </c>
      <c r="BA88" s="46" t="n">
        <f aca="false">SUMIFS('Additions (monthly)'!$E$2:$E$106,'Additions (monthly)'!$D$2:$D$106,BA$2,'Additions (monthly)'!$B$2:$B$106,"&lt;="&amp;$B88)</f>
        <v>0</v>
      </c>
      <c r="BB88" s="46" t="n">
        <f aca="false">SUMIFS('Additions (monthly)'!$E$2:$E$106,'Additions (monthly)'!$D$2:$D$106,BB$2,'Additions (monthly)'!$B$2:$B$106,"&lt;="&amp;$B88)</f>
        <v>0</v>
      </c>
      <c r="BC88" s="46" t="n">
        <f aca="false">SUMIFS('Additions (monthly)'!$E$2:$E$106,'Additions (monthly)'!$D$2:$D$106,BC$2,'Additions (monthly)'!$B$2:$B$106,"&lt;="&amp;$B88)</f>
        <v>0</v>
      </c>
      <c r="BD88" s="46" t="n">
        <f aca="false">SUMIFS('Additions (monthly)'!$E$2:$E$106,'Additions (monthly)'!$D$2:$D$106,BD$2,'Additions (monthly)'!$B$2:$B$106,"&lt;="&amp;$B88)</f>
        <v>0</v>
      </c>
      <c r="BE88" s="46" t="n">
        <f aca="false">SUMIFS('Additions (monthly)'!$E$2:$E$106,'Additions (monthly)'!$D$2:$D$106,BE$2,'Additions (monthly)'!$B$2:$B$106,"&lt;="&amp;$B88)</f>
        <v>0</v>
      </c>
      <c r="BF88" s="46" t="n">
        <f aca="false">SUMIFS('Additions (monthly)'!$E$2:$E$106,'Additions (monthly)'!$D$2:$D$106,BF$2,'Additions (monthly)'!$B$2:$B$106,"&lt;="&amp;$B88)</f>
        <v>0</v>
      </c>
      <c r="BG88" s="46" t="n">
        <f aca="false">SUMIFS('Additions (monthly)'!$E$2:$E$106,'Additions (monthly)'!$D$2:$D$106,BG$2,'Additions (monthly)'!$B$2:$B$106,"&lt;="&amp;$B88)</f>
        <v>0</v>
      </c>
      <c r="BH88" s="46" t="n">
        <f aca="false">SUMIFS('Additions (monthly)'!$E$2:$E$106,'Additions (monthly)'!$D$2:$D$106,BH$2,'Additions (monthly)'!$B$2:$B$106,"&lt;="&amp;$B88)</f>
        <v>20</v>
      </c>
      <c r="BI88" s="46" t="n">
        <f aca="false">SUMIFS('Additions (monthly)'!$E$2:$E$106,'Additions (monthly)'!$D$2:$D$106,BI$2,'Additions (monthly)'!$B$2:$B$106,"&lt;="&amp;$B88)</f>
        <v>6.7</v>
      </c>
    </row>
    <row r="89" customFormat="false" ht="15" hidden="false" customHeight="false" outlineLevel="0" collapsed="false">
      <c r="A89" s="44" t="n">
        <v>42795</v>
      </c>
      <c r="B89" s="45" t="n">
        <v>201703</v>
      </c>
      <c r="C89" s="42" t="n">
        <f aca="false">SUMIFS('Additions (monthly)'!$E$2:$E$106,'Additions (monthly)'!$B$2:$B$106,"&lt;="&amp;$B89)</f>
        <v>357.47</v>
      </c>
      <c r="D89" s="46" t="n">
        <f aca="false">SUMIFS('Additions (monthly)'!$E$2:$E$106,'Additions (monthly)'!$D$2:$D$106,D$2,'Additions (monthly)'!$B$2:$B$106,"&lt;="&amp;$B89)</f>
        <v>7.9</v>
      </c>
      <c r="E89" s="46" t="n">
        <f aca="false">SUMIFS('Additions (monthly)'!$E$2:$E$106,'Additions (monthly)'!$D$2:$D$106,E$2,'Additions (monthly)'!$B$2:$B$106,"&lt;="&amp;$B89)</f>
        <v>8.4</v>
      </c>
      <c r="F89" s="46" t="n">
        <f aca="false">SUMIFS('Additions (monthly)'!$E$2:$E$106,'Additions (monthly)'!$D$2:$D$106,F$2,'Additions (monthly)'!$B$2:$B$106,"&lt;="&amp;$B89)</f>
        <v>4.7</v>
      </c>
      <c r="G89" s="46" t="n">
        <f aca="false">SUMIFS('Additions (monthly)'!$E$2:$E$106,'Additions (monthly)'!$D$2:$D$106,G$2,'Additions (monthly)'!$B$2:$B$106,"&lt;="&amp;$B89)</f>
        <v>4.5</v>
      </c>
      <c r="H89" s="46" t="n">
        <f aca="false">SUMIFS('Additions (monthly)'!$E$2:$E$106,'Additions (monthly)'!$D$2:$D$106,H$2,'Additions (monthly)'!$B$2:$B$106,"&lt;="&amp;$B89)</f>
        <v>5.2</v>
      </c>
      <c r="I89" s="46" t="n">
        <f aca="false">SUMIFS('Additions (monthly)'!$E$2:$E$106,'Additions (monthly)'!$D$2:$D$106,I$2,'Additions (monthly)'!$B$2:$B$106,"&lt;="&amp;$B89)</f>
        <v>9</v>
      </c>
      <c r="J89" s="46" t="n">
        <f aca="false">SUMIFS('Additions (monthly)'!$E$2:$E$106,'Additions (monthly)'!$D$2:$D$106,J$2,'Additions (monthly)'!$B$2:$B$106,"&lt;="&amp;$B89)</f>
        <v>3.7</v>
      </c>
      <c r="K89" s="46" t="n">
        <f aca="false">SUMIFS('Additions (monthly)'!$E$2:$E$106,'Additions (monthly)'!$D$2:$D$106,K$2,'Additions (monthly)'!$B$2:$B$106,"&lt;="&amp;$B89)</f>
        <v>7.8</v>
      </c>
      <c r="L89" s="46" t="n">
        <f aca="false">SUMIFS('Additions (monthly)'!$E$2:$E$106,'Additions (monthly)'!$D$2:$D$106,L$2,'Additions (monthly)'!$B$2:$B$106,"&lt;="&amp;$B89)</f>
        <v>15.6</v>
      </c>
      <c r="M89" s="46" t="n">
        <f aca="false">SUMIFS('Additions (monthly)'!$E$2:$E$106,'Additions (monthly)'!$D$2:$D$106,M$2,'Additions (monthly)'!$B$2:$B$106,"&lt;="&amp;$B89)</f>
        <v>0</v>
      </c>
      <c r="N89" s="46" t="n">
        <f aca="false">SUMIFS('Additions (monthly)'!$E$2:$E$106,'Additions (monthly)'!$D$2:$D$106,N$2,'Additions (monthly)'!$B$2:$B$106,"&lt;="&amp;$B89)</f>
        <v>14.2</v>
      </c>
      <c r="O89" s="46" t="n">
        <f aca="false">SUMIFS('Additions (monthly)'!$E$2:$E$106,'Additions (monthly)'!$D$2:$D$106,O$2,'Additions (monthly)'!$B$2:$B$106,"&lt;="&amp;$B89)</f>
        <v>4.9</v>
      </c>
      <c r="P89" s="46" t="n">
        <f aca="false">SUMIFS('Additions (monthly)'!$E$2:$E$106,'Additions (monthly)'!$D$2:$D$106,P$2,'Additions (monthly)'!$B$2:$B$106,"&lt;="&amp;$B89)</f>
        <v>0</v>
      </c>
      <c r="Q89" s="46" t="n">
        <f aca="false">SUMIFS('Additions (monthly)'!$E$2:$E$106,'Additions (monthly)'!$D$2:$D$106,Q$2,'Additions (monthly)'!$B$2:$B$106,"&lt;="&amp;$B89)</f>
        <v>8.5</v>
      </c>
      <c r="R89" s="46" t="n">
        <f aca="false">SUMIFS('Additions (monthly)'!$E$2:$E$106,'Additions (monthly)'!$D$2:$D$106,R$2,'Additions (monthly)'!$B$2:$B$106,"&lt;="&amp;$B89)</f>
        <v>0</v>
      </c>
      <c r="S89" s="46" t="n">
        <f aca="false">SUMIFS('Additions (monthly)'!$E$2:$E$106,'Additions (monthly)'!$D$2:$D$106,S$2,'Additions (monthly)'!$B$2:$B$106,"&lt;="&amp;$B89)</f>
        <v>7.2</v>
      </c>
      <c r="T89" s="46" t="n">
        <f aca="false">SUMIFS('Additions (monthly)'!$E$2:$E$106,'Additions (monthly)'!$D$2:$D$106,T$2,'Additions (monthly)'!$B$2:$B$106,"&lt;="&amp;$B89)</f>
        <v>0</v>
      </c>
      <c r="U89" s="46" t="n">
        <f aca="false">SUMIFS('Additions (monthly)'!$E$2:$E$106,'Additions (monthly)'!$D$2:$D$106,U$2,'Additions (monthly)'!$B$2:$B$106,"&lt;="&amp;$B89)</f>
        <v>0</v>
      </c>
      <c r="V89" s="46" t="n">
        <f aca="false">SUMIFS('Additions (monthly)'!$E$2:$E$106,'Additions (monthly)'!$D$2:$D$106,V$2,'Additions (monthly)'!$B$2:$B$106,"&lt;="&amp;$B89)</f>
        <v>3.87</v>
      </c>
      <c r="W89" s="46" t="n">
        <f aca="false">SUMIFS('Additions (monthly)'!$E$2:$E$106,'Additions (monthly)'!$D$2:$D$106,W$2,'Additions (monthly)'!$B$2:$B$106,"&lt;="&amp;$B89)</f>
        <v>0</v>
      </c>
      <c r="X89" s="46" t="n">
        <f aca="false">SUMIFS('Additions (monthly)'!$E$2:$E$106,'Additions (monthly)'!$D$2:$D$106,X$2,'Additions (monthly)'!$B$2:$B$106,"&lt;="&amp;$B89)</f>
        <v>0</v>
      </c>
      <c r="Y89" s="46" t="n">
        <f aca="false">SUMIFS('Additions (monthly)'!$E$2:$E$106,'Additions (monthly)'!$D$2:$D$106,Y$2,'Additions (monthly)'!$B$2:$B$106,"&lt;="&amp;$B89)</f>
        <v>5</v>
      </c>
      <c r="Z89" s="46" t="n">
        <f aca="false">SUMIFS('Additions (monthly)'!$E$2:$E$106,'Additions (monthly)'!$D$2:$D$106,Z$2,'Additions (monthly)'!$B$2:$B$106,"&lt;="&amp;$B89)</f>
        <v>7.2</v>
      </c>
      <c r="AA89" s="46" t="n">
        <f aca="false">SUMIFS('Additions (monthly)'!$E$2:$E$106,'Additions (monthly)'!$D$2:$D$106,AA$2,'Additions (monthly)'!$B$2:$B$106,"&lt;="&amp;$B89)</f>
        <v>3.7</v>
      </c>
      <c r="AB89" s="46" t="n">
        <f aca="false">SUMIFS('Additions (monthly)'!$E$2:$E$106,'Additions (monthly)'!$D$2:$D$106,AB$2,'Additions (monthly)'!$B$2:$B$106,"&lt;="&amp;$B89)</f>
        <v>16.95</v>
      </c>
      <c r="AC89" s="46" t="n">
        <f aca="false">SUMIFS('Additions (monthly)'!$E$2:$E$106,'Additions (monthly)'!$D$2:$D$106,AC$2,'Additions (monthly)'!$B$2:$B$106,"&lt;="&amp;$B89)</f>
        <v>2</v>
      </c>
      <c r="AD89" s="46" t="n">
        <f aca="false">SUMIFS('Additions (monthly)'!$E$2:$E$106,'Additions (monthly)'!$D$2:$D$106,AD$2,'Additions (monthly)'!$B$2:$B$106,"&lt;="&amp;$B89)</f>
        <v>7.6</v>
      </c>
      <c r="AE89" s="46" t="n">
        <f aca="false">SUMIFS('Additions (monthly)'!$E$2:$E$106,'Additions (monthly)'!$D$2:$D$106,AE$2,'Additions (monthly)'!$B$2:$B$106,"&lt;="&amp;$B89)</f>
        <v>29.3</v>
      </c>
      <c r="AF89" s="46" t="n">
        <f aca="false">SUMIFS('Additions (monthly)'!$E$2:$E$106,'Additions (monthly)'!$D$2:$D$106,AF$2,'Additions (monthly)'!$B$2:$B$106,"&lt;="&amp;$B89)</f>
        <v>1.2</v>
      </c>
      <c r="AG89" s="46" t="n">
        <f aca="false">SUMIFS('Additions (monthly)'!$E$2:$E$106,'Additions (monthly)'!$D$2:$D$106,AG$2,'Additions (monthly)'!$B$2:$B$106,"&lt;="&amp;$B89)</f>
        <v>0</v>
      </c>
      <c r="AH89" s="46" t="n">
        <f aca="false">SUMIFS('Additions (monthly)'!$E$2:$E$106,'Additions (monthly)'!$D$2:$D$106,AH$2,'Additions (monthly)'!$B$2:$B$106,"&lt;="&amp;$B89)</f>
        <v>0</v>
      </c>
      <c r="AI89" s="46" t="n">
        <f aca="false">SUMIFS('Additions (monthly)'!$E$2:$E$106,'Additions (monthly)'!$D$2:$D$106,AI$2,'Additions (monthly)'!$B$2:$B$106,"&lt;="&amp;$B89)</f>
        <v>0</v>
      </c>
      <c r="AJ89" s="46" t="n">
        <f aca="false">SUMIFS('Additions (monthly)'!$E$2:$E$106,'Additions (monthly)'!$D$2:$D$106,AJ$2,'Additions (monthly)'!$B$2:$B$106,"&lt;="&amp;$B89)</f>
        <v>0</v>
      </c>
      <c r="AK89" s="46" t="n">
        <f aca="false">SUMIFS('Additions (monthly)'!$E$2:$E$106,'Additions (monthly)'!$D$2:$D$106,AK$2,'Additions (monthly)'!$B$2:$B$106,"&lt;="&amp;$B89)</f>
        <v>0</v>
      </c>
      <c r="AL89" s="46" t="n">
        <f aca="false">SUMIFS('Additions (monthly)'!$E$2:$E$106,'Additions (monthly)'!$D$2:$D$106,AL$2,'Additions (monthly)'!$B$2:$B$106,"&lt;="&amp;$B89)</f>
        <v>22.2</v>
      </c>
      <c r="AM89" s="46" t="n">
        <f aca="false">SUMIFS('Additions (monthly)'!$E$2:$E$106,'Additions (monthly)'!$D$2:$D$106,AM$2,'Additions (monthly)'!$B$2:$B$106,"&lt;="&amp;$B89)</f>
        <v>0.3</v>
      </c>
      <c r="AN89" s="46" t="n">
        <f aca="false">SUMIFS('Additions (monthly)'!$E$2:$E$106,'Additions (monthly)'!$D$2:$D$106,AN$2,'Additions (monthly)'!$B$2:$B$106,"&lt;="&amp;$B89)</f>
        <v>4.3</v>
      </c>
      <c r="AO89" s="46" t="n">
        <f aca="false">SUMIFS('Additions (monthly)'!$E$2:$E$106,'Additions (monthly)'!$D$2:$D$106,AO$2,'Additions (monthly)'!$B$2:$B$106,"&lt;="&amp;$B89)</f>
        <v>10.4</v>
      </c>
      <c r="AP89" s="46" t="n">
        <f aca="false">SUMIFS('Additions (monthly)'!$E$2:$E$106,'Additions (monthly)'!$D$2:$D$106,AP$2,'Additions (monthly)'!$B$2:$B$106,"&lt;="&amp;$B89)</f>
        <v>6.9</v>
      </c>
      <c r="AQ89" s="46" t="n">
        <f aca="false">SUMIFS('Additions (monthly)'!$E$2:$E$106,'Additions (monthly)'!$D$2:$D$106,AQ$2,'Additions (monthly)'!$B$2:$B$106,"&lt;="&amp;$B89)</f>
        <v>4.45</v>
      </c>
      <c r="AR89" s="46" t="n">
        <f aca="false">SUMIFS('Additions (monthly)'!$E$2:$E$106,'Additions (monthly)'!$D$2:$D$106,AR$2,'Additions (monthly)'!$B$2:$B$106,"&lt;="&amp;$B89)</f>
        <v>77.1</v>
      </c>
      <c r="AS89" s="46" t="n">
        <f aca="false">SUMIFS('Additions (monthly)'!$E$2:$E$106,'Additions (monthly)'!$D$2:$D$106,AS$2,'Additions (monthly)'!$B$2:$B$106,"&lt;="&amp;$B89)</f>
        <v>0</v>
      </c>
      <c r="AT89" s="46" t="n">
        <f aca="false">SUMIFS('Additions (monthly)'!$E$2:$E$106,'Additions (monthly)'!$D$2:$D$106,AT$2,'Additions (monthly)'!$B$2:$B$106,"&lt;="&amp;$B89)</f>
        <v>0</v>
      </c>
      <c r="AU89" s="46" t="n">
        <f aca="false">SUMIFS('Additions (monthly)'!$E$2:$E$106,'Additions (monthly)'!$D$2:$D$106,AU$2,'Additions (monthly)'!$B$2:$B$106,"&lt;="&amp;$B89)</f>
        <v>9.6</v>
      </c>
      <c r="AV89" s="46" t="n">
        <f aca="false">SUMIFS('Additions (monthly)'!$E$2:$E$106,'Additions (monthly)'!$D$2:$D$106,AV$2,'Additions (monthly)'!$B$2:$B$106,"&lt;="&amp;$B89)</f>
        <v>0</v>
      </c>
      <c r="AW89" s="46" t="n">
        <f aca="false">SUMIFS('Additions (monthly)'!$E$2:$E$106,'Additions (monthly)'!$D$2:$D$106,AW$2,'Additions (monthly)'!$B$2:$B$106,"&lt;="&amp;$B89)</f>
        <v>0</v>
      </c>
      <c r="AX89" s="46" t="n">
        <f aca="false">SUMIFS('Additions (monthly)'!$E$2:$E$106,'Additions (monthly)'!$D$2:$D$106,AX$2,'Additions (monthly)'!$B$2:$B$106,"&lt;="&amp;$B89)</f>
        <v>11.8</v>
      </c>
      <c r="AY89" s="46" t="n">
        <f aca="false">SUMIFS('Additions (monthly)'!$E$2:$E$106,'Additions (monthly)'!$D$2:$D$106,AY$2,'Additions (monthly)'!$B$2:$B$106,"&lt;="&amp;$B89)</f>
        <v>5.3</v>
      </c>
      <c r="AZ89" s="46" t="n">
        <f aca="false">SUMIFS('Additions (monthly)'!$E$2:$E$106,'Additions (monthly)'!$D$2:$D$106,AZ$2,'Additions (monthly)'!$B$2:$B$106,"&lt;="&amp;$B89)</f>
        <v>0</v>
      </c>
      <c r="BA89" s="46" t="n">
        <f aca="false">SUMIFS('Additions (monthly)'!$E$2:$E$106,'Additions (monthly)'!$D$2:$D$106,BA$2,'Additions (monthly)'!$B$2:$B$106,"&lt;="&amp;$B89)</f>
        <v>0</v>
      </c>
      <c r="BB89" s="46" t="n">
        <f aca="false">SUMIFS('Additions (monthly)'!$E$2:$E$106,'Additions (monthly)'!$D$2:$D$106,BB$2,'Additions (monthly)'!$B$2:$B$106,"&lt;="&amp;$B89)</f>
        <v>0</v>
      </c>
      <c r="BC89" s="46" t="n">
        <f aca="false">SUMIFS('Additions (monthly)'!$E$2:$E$106,'Additions (monthly)'!$D$2:$D$106,BC$2,'Additions (monthly)'!$B$2:$B$106,"&lt;="&amp;$B89)</f>
        <v>0</v>
      </c>
      <c r="BD89" s="46" t="n">
        <f aca="false">SUMIFS('Additions (monthly)'!$E$2:$E$106,'Additions (monthly)'!$D$2:$D$106,BD$2,'Additions (monthly)'!$B$2:$B$106,"&lt;="&amp;$B89)</f>
        <v>0</v>
      </c>
      <c r="BE89" s="46" t="n">
        <f aca="false">SUMIFS('Additions (monthly)'!$E$2:$E$106,'Additions (monthly)'!$D$2:$D$106,BE$2,'Additions (monthly)'!$B$2:$B$106,"&lt;="&amp;$B89)</f>
        <v>0</v>
      </c>
      <c r="BF89" s="46" t="n">
        <f aca="false">SUMIFS('Additions (monthly)'!$E$2:$E$106,'Additions (monthly)'!$D$2:$D$106,BF$2,'Additions (monthly)'!$B$2:$B$106,"&lt;="&amp;$B89)</f>
        <v>0</v>
      </c>
      <c r="BG89" s="46" t="n">
        <f aca="false">SUMIFS('Additions (monthly)'!$E$2:$E$106,'Additions (monthly)'!$D$2:$D$106,BG$2,'Additions (monthly)'!$B$2:$B$106,"&lt;="&amp;$B89)</f>
        <v>0</v>
      </c>
      <c r="BH89" s="46" t="n">
        <f aca="false">SUMIFS('Additions (monthly)'!$E$2:$E$106,'Additions (monthly)'!$D$2:$D$106,BH$2,'Additions (monthly)'!$B$2:$B$106,"&lt;="&amp;$B89)</f>
        <v>20</v>
      </c>
      <c r="BI89" s="46" t="n">
        <f aca="false">SUMIFS('Additions (monthly)'!$E$2:$E$106,'Additions (monthly)'!$D$2:$D$106,BI$2,'Additions (monthly)'!$B$2:$B$106,"&lt;="&amp;$B89)</f>
        <v>6.7</v>
      </c>
    </row>
    <row r="90" customFormat="false" ht="15" hidden="false" customHeight="false" outlineLevel="0" collapsed="false">
      <c r="A90" s="44" t="n">
        <v>42826</v>
      </c>
      <c r="B90" s="45" t="n">
        <v>201704</v>
      </c>
      <c r="C90" s="42" t="n">
        <f aca="false">SUMIFS('Additions (monthly)'!$E$2:$E$106,'Additions (monthly)'!$B$2:$B$106,"&lt;="&amp;$B90)</f>
        <v>357.47</v>
      </c>
      <c r="D90" s="46" t="n">
        <f aca="false">SUMIFS('Additions (monthly)'!$E$2:$E$106,'Additions (monthly)'!$D$2:$D$106,D$2,'Additions (monthly)'!$B$2:$B$106,"&lt;="&amp;$B90)</f>
        <v>7.9</v>
      </c>
      <c r="E90" s="46" t="n">
        <f aca="false">SUMIFS('Additions (monthly)'!$E$2:$E$106,'Additions (monthly)'!$D$2:$D$106,E$2,'Additions (monthly)'!$B$2:$B$106,"&lt;="&amp;$B90)</f>
        <v>8.4</v>
      </c>
      <c r="F90" s="46" t="n">
        <f aca="false">SUMIFS('Additions (monthly)'!$E$2:$E$106,'Additions (monthly)'!$D$2:$D$106,F$2,'Additions (monthly)'!$B$2:$B$106,"&lt;="&amp;$B90)</f>
        <v>4.7</v>
      </c>
      <c r="G90" s="46" t="n">
        <f aca="false">SUMIFS('Additions (monthly)'!$E$2:$E$106,'Additions (monthly)'!$D$2:$D$106,G$2,'Additions (monthly)'!$B$2:$B$106,"&lt;="&amp;$B90)</f>
        <v>4.5</v>
      </c>
      <c r="H90" s="46" t="n">
        <f aca="false">SUMIFS('Additions (monthly)'!$E$2:$E$106,'Additions (monthly)'!$D$2:$D$106,H$2,'Additions (monthly)'!$B$2:$B$106,"&lt;="&amp;$B90)</f>
        <v>5.2</v>
      </c>
      <c r="I90" s="46" t="n">
        <f aca="false">SUMIFS('Additions (monthly)'!$E$2:$E$106,'Additions (monthly)'!$D$2:$D$106,I$2,'Additions (monthly)'!$B$2:$B$106,"&lt;="&amp;$B90)</f>
        <v>9</v>
      </c>
      <c r="J90" s="46" t="n">
        <f aca="false">SUMIFS('Additions (monthly)'!$E$2:$E$106,'Additions (monthly)'!$D$2:$D$106,J$2,'Additions (monthly)'!$B$2:$B$106,"&lt;="&amp;$B90)</f>
        <v>3.7</v>
      </c>
      <c r="K90" s="46" t="n">
        <f aca="false">SUMIFS('Additions (monthly)'!$E$2:$E$106,'Additions (monthly)'!$D$2:$D$106,K$2,'Additions (monthly)'!$B$2:$B$106,"&lt;="&amp;$B90)</f>
        <v>7.8</v>
      </c>
      <c r="L90" s="46" t="n">
        <f aca="false">SUMIFS('Additions (monthly)'!$E$2:$E$106,'Additions (monthly)'!$D$2:$D$106,L$2,'Additions (monthly)'!$B$2:$B$106,"&lt;="&amp;$B90)</f>
        <v>15.6</v>
      </c>
      <c r="M90" s="46" t="n">
        <f aca="false">SUMIFS('Additions (monthly)'!$E$2:$E$106,'Additions (monthly)'!$D$2:$D$106,M$2,'Additions (monthly)'!$B$2:$B$106,"&lt;="&amp;$B90)</f>
        <v>0</v>
      </c>
      <c r="N90" s="46" t="n">
        <f aca="false">SUMIFS('Additions (monthly)'!$E$2:$E$106,'Additions (monthly)'!$D$2:$D$106,N$2,'Additions (monthly)'!$B$2:$B$106,"&lt;="&amp;$B90)</f>
        <v>14.2</v>
      </c>
      <c r="O90" s="46" t="n">
        <f aca="false">SUMIFS('Additions (monthly)'!$E$2:$E$106,'Additions (monthly)'!$D$2:$D$106,O$2,'Additions (monthly)'!$B$2:$B$106,"&lt;="&amp;$B90)</f>
        <v>4.9</v>
      </c>
      <c r="P90" s="46" t="n">
        <f aca="false">SUMIFS('Additions (monthly)'!$E$2:$E$106,'Additions (monthly)'!$D$2:$D$106,P$2,'Additions (monthly)'!$B$2:$B$106,"&lt;="&amp;$B90)</f>
        <v>0</v>
      </c>
      <c r="Q90" s="46" t="n">
        <f aca="false">SUMIFS('Additions (monthly)'!$E$2:$E$106,'Additions (monthly)'!$D$2:$D$106,Q$2,'Additions (monthly)'!$B$2:$B$106,"&lt;="&amp;$B90)</f>
        <v>8.5</v>
      </c>
      <c r="R90" s="46" t="n">
        <f aca="false">SUMIFS('Additions (monthly)'!$E$2:$E$106,'Additions (monthly)'!$D$2:$D$106,R$2,'Additions (monthly)'!$B$2:$B$106,"&lt;="&amp;$B90)</f>
        <v>0</v>
      </c>
      <c r="S90" s="46" t="n">
        <f aca="false">SUMIFS('Additions (monthly)'!$E$2:$E$106,'Additions (monthly)'!$D$2:$D$106,S$2,'Additions (monthly)'!$B$2:$B$106,"&lt;="&amp;$B90)</f>
        <v>7.2</v>
      </c>
      <c r="T90" s="46" t="n">
        <f aca="false">SUMIFS('Additions (monthly)'!$E$2:$E$106,'Additions (monthly)'!$D$2:$D$106,T$2,'Additions (monthly)'!$B$2:$B$106,"&lt;="&amp;$B90)</f>
        <v>0</v>
      </c>
      <c r="U90" s="46" t="n">
        <f aca="false">SUMIFS('Additions (monthly)'!$E$2:$E$106,'Additions (monthly)'!$D$2:$D$106,U$2,'Additions (monthly)'!$B$2:$B$106,"&lt;="&amp;$B90)</f>
        <v>0</v>
      </c>
      <c r="V90" s="46" t="n">
        <f aca="false">SUMIFS('Additions (monthly)'!$E$2:$E$106,'Additions (monthly)'!$D$2:$D$106,V$2,'Additions (monthly)'!$B$2:$B$106,"&lt;="&amp;$B90)</f>
        <v>3.87</v>
      </c>
      <c r="W90" s="46" t="n">
        <f aca="false">SUMIFS('Additions (monthly)'!$E$2:$E$106,'Additions (monthly)'!$D$2:$D$106,W$2,'Additions (monthly)'!$B$2:$B$106,"&lt;="&amp;$B90)</f>
        <v>0</v>
      </c>
      <c r="X90" s="46" t="n">
        <f aca="false">SUMIFS('Additions (monthly)'!$E$2:$E$106,'Additions (monthly)'!$D$2:$D$106,X$2,'Additions (monthly)'!$B$2:$B$106,"&lt;="&amp;$B90)</f>
        <v>0</v>
      </c>
      <c r="Y90" s="46" t="n">
        <f aca="false">SUMIFS('Additions (monthly)'!$E$2:$E$106,'Additions (monthly)'!$D$2:$D$106,Y$2,'Additions (monthly)'!$B$2:$B$106,"&lt;="&amp;$B90)</f>
        <v>5</v>
      </c>
      <c r="Z90" s="46" t="n">
        <f aca="false">SUMIFS('Additions (monthly)'!$E$2:$E$106,'Additions (monthly)'!$D$2:$D$106,Z$2,'Additions (monthly)'!$B$2:$B$106,"&lt;="&amp;$B90)</f>
        <v>7.2</v>
      </c>
      <c r="AA90" s="46" t="n">
        <f aca="false">SUMIFS('Additions (monthly)'!$E$2:$E$106,'Additions (monthly)'!$D$2:$D$106,AA$2,'Additions (monthly)'!$B$2:$B$106,"&lt;="&amp;$B90)</f>
        <v>3.7</v>
      </c>
      <c r="AB90" s="46" t="n">
        <f aca="false">SUMIFS('Additions (monthly)'!$E$2:$E$106,'Additions (monthly)'!$D$2:$D$106,AB$2,'Additions (monthly)'!$B$2:$B$106,"&lt;="&amp;$B90)</f>
        <v>16.95</v>
      </c>
      <c r="AC90" s="46" t="n">
        <f aca="false">SUMIFS('Additions (monthly)'!$E$2:$E$106,'Additions (monthly)'!$D$2:$D$106,AC$2,'Additions (monthly)'!$B$2:$B$106,"&lt;="&amp;$B90)</f>
        <v>2</v>
      </c>
      <c r="AD90" s="46" t="n">
        <f aca="false">SUMIFS('Additions (monthly)'!$E$2:$E$106,'Additions (monthly)'!$D$2:$D$106,AD$2,'Additions (monthly)'!$B$2:$B$106,"&lt;="&amp;$B90)</f>
        <v>7.6</v>
      </c>
      <c r="AE90" s="46" t="n">
        <f aca="false">SUMIFS('Additions (monthly)'!$E$2:$E$106,'Additions (monthly)'!$D$2:$D$106,AE$2,'Additions (monthly)'!$B$2:$B$106,"&lt;="&amp;$B90)</f>
        <v>29.3</v>
      </c>
      <c r="AF90" s="46" t="n">
        <f aca="false">SUMIFS('Additions (monthly)'!$E$2:$E$106,'Additions (monthly)'!$D$2:$D$106,AF$2,'Additions (monthly)'!$B$2:$B$106,"&lt;="&amp;$B90)</f>
        <v>1.2</v>
      </c>
      <c r="AG90" s="46" t="n">
        <f aca="false">SUMIFS('Additions (monthly)'!$E$2:$E$106,'Additions (monthly)'!$D$2:$D$106,AG$2,'Additions (monthly)'!$B$2:$B$106,"&lt;="&amp;$B90)</f>
        <v>0</v>
      </c>
      <c r="AH90" s="46" t="n">
        <f aca="false">SUMIFS('Additions (monthly)'!$E$2:$E$106,'Additions (monthly)'!$D$2:$D$106,AH$2,'Additions (monthly)'!$B$2:$B$106,"&lt;="&amp;$B90)</f>
        <v>0</v>
      </c>
      <c r="AI90" s="46" t="n">
        <f aca="false">SUMIFS('Additions (monthly)'!$E$2:$E$106,'Additions (monthly)'!$D$2:$D$106,AI$2,'Additions (monthly)'!$B$2:$B$106,"&lt;="&amp;$B90)</f>
        <v>0</v>
      </c>
      <c r="AJ90" s="46" t="n">
        <f aca="false">SUMIFS('Additions (monthly)'!$E$2:$E$106,'Additions (monthly)'!$D$2:$D$106,AJ$2,'Additions (monthly)'!$B$2:$B$106,"&lt;="&amp;$B90)</f>
        <v>0</v>
      </c>
      <c r="AK90" s="46" t="n">
        <f aca="false">SUMIFS('Additions (monthly)'!$E$2:$E$106,'Additions (monthly)'!$D$2:$D$106,AK$2,'Additions (monthly)'!$B$2:$B$106,"&lt;="&amp;$B90)</f>
        <v>0</v>
      </c>
      <c r="AL90" s="46" t="n">
        <f aca="false">SUMIFS('Additions (monthly)'!$E$2:$E$106,'Additions (monthly)'!$D$2:$D$106,AL$2,'Additions (monthly)'!$B$2:$B$106,"&lt;="&amp;$B90)</f>
        <v>22.2</v>
      </c>
      <c r="AM90" s="46" t="n">
        <f aca="false">SUMIFS('Additions (monthly)'!$E$2:$E$106,'Additions (monthly)'!$D$2:$D$106,AM$2,'Additions (monthly)'!$B$2:$B$106,"&lt;="&amp;$B90)</f>
        <v>0.3</v>
      </c>
      <c r="AN90" s="46" t="n">
        <f aca="false">SUMIFS('Additions (monthly)'!$E$2:$E$106,'Additions (monthly)'!$D$2:$D$106,AN$2,'Additions (monthly)'!$B$2:$B$106,"&lt;="&amp;$B90)</f>
        <v>4.3</v>
      </c>
      <c r="AO90" s="46" t="n">
        <f aca="false">SUMIFS('Additions (monthly)'!$E$2:$E$106,'Additions (monthly)'!$D$2:$D$106,AO$2,'Additions (monthly)'!$B$2:$B$106,"&lt;="&amp;$B90)</f>
        <v>10.4</v>
      </c>
      <c r="AP90" s="46" t="n">
        <f aca="false">SUMIFS('Additions (monthly)'!$E$2:$E$106,'Additions (monthly)'!$D$2:$D$106,AP$2,'Additions (monthly)'!$B$2:$B$106,"&lt;="&amp;$B90)</f>
        <v>6.9</v>
      </c>
      <c r="AQ90" s="46" t="n">
        <f aca="false">SUMIFS('Additions (monthly)'!$E$2:$E$106,'Additions (monthly)'!$D$2:$D$106,AQ$2,'Additions (monthly)'!$B$2:$B$106,"&lt;="&amp;$B90)</f>
        <v>4.45</v>
      </c>
      <c r="AR90" s="46" t="n">
        <f aca="false">SUMIFS('Additions (monthly)'!$E$2:$E$106,'Additions (monthly)'!$D$2:$D$106,AR$2,'Additions (monthly)'!$B$2:$B$106,"&lt;="&amp;$B90)</f>
        <v>77.1</v>
      </c>
      <c r="AS90" s="46" t="n">
        <f aca="false">SUMIFS('Additions (monthly)'!$E$2:$E$106,'Additions (monthly)'!$D$2:$D$106,AS$2,'Additions (monthly)'!$B$2:$B$106,"&lt;="&amp;$B90)</f>
        <v>0</v>
      </c>
      <c r="AT90" s="46" t="n">
        <f aca="false">SUMIFS('Additions (monthly)'!$E$2:$E$106,'Additions (monthly)'!$D$2:$D$106,AT$2,'Additions (monthly)'!$B$2:$B$106,"&lt;="&amp;$B90)</f>
        <v>0</v>
      </c>
      <c r="AU90" s="46" t="n">
        <f aca="false">SUMIFS('Additions (monthly)'!$E$2:$E$106,'Additions (monthly)'!$D$2:$D$106,AU$2,'Additions (monthly)'!$B$2:$B$106,"&lt;="&amp;$B90)</f>
        <v>9.6</v>
      </c>
      <c r="AV90" s="46" t="n">
        <f aca="false">SUMIFS('Additions (monthly)'!$E$2:$E$106,'Additions (monthly)'!$D$2:$D$106,AV$2,'Additions (monthly)'!$B$2:$B$106,"&lt;="&amp;$B90)</f>
        <v>0</v>
      </c>
      <c r="AW90" s="46" t="n">
        <f aca="false">SUMIFS('Additions (monthly)'!$E$2:$E$106,'Additions (monthly)'!$D$2:$D$106,AW$2,'Additions (monthly)'!$B$2:$B$106,"&lt;="&amp;$B90)</f>
        <v>0</v>
      </c>
      <c r="AX90" s="46" t="n">
        <f aca="false">SUMIFS('Additions (monthly)'!$E$2:$E$106,'Additions (monthly)'!$D$2:$D$106,AX$2,'Additions (monthly)'!$B$2:$B$106,"&lt;="&amp;$B90)</f>
        <v>11.8</v>
      </c>
      <c r="AY90" s="46" t="n">
        <f aca="false">SUMIFS('Additions (monthly)'!$E$2:$E$106,'Additions (monthly)'!$D$2:$D$106,AY$2,'Additions (monthly)'!$B$2:$B$106,"&lt;="&amp;$B90)</f>
        <v>5.3</v>
      </c>
      <c r="AZ90" s="46" t="n">
        <f aca="false">SUMIFS('Additions (monthly)'!$E$2:$E$106,'Additions (monthly)'!$D$2:$D$106,AZ$2,'Additions (monthly)'!$B$2:$B$106,"&lt;="&amp;$B90)</f>
        <v>0</v>
      </c>
      <c r="BA90" s="46" t="n">
        <f aca="false">SUMIFS('Additions (monthly)'!$E$2:$E$106,'Additions (monthly)'!$D$2:$D$106,BA$2,'Additions (monthly)'!$B$2:$B$106,"&lt;="&amp;$B90)</f>
        <v>0</v>
      </c>
      <c r="BB90" s="46" t="n">
        <f aca="false">SUMIFS('Additions (monthly)'!$E$2:$E$106,'Additions (monthly)'!$D$2:$D$106,BB$2,'Additions (monthly)'!$B$2:$B$106,"&lt;="&amp;$B90)</f>
        <v>0</v>
      </c>
      <c r="BC90" s="46" t="n">
        <f aca="false">SUMIFS('Additions (monthly)'!$E$2:$E$106,'Additions (monthly)'!$D$2:$D$106,BC$2,'Additions (monthly)'!$B$2:$B$106,"&lt;="&amp;$B90)</f>
        <v>0</v>
      </c>
      <c r="BD90" s="46" t="n">
        <f aca="false">SUMIFS('Additions (monthly)'!$E$2:$E$106,'Additions (monthly)'!$D$2:$D$106,BD$2,'Additions (monthly)'!$B$2:$B$106,"&lt;="&amp;$B90)</f>
        <v>0</v>
      </c>
      <c r="BE90" s="46" t="n">
        <f aca="false">SUMIFS('Additions (monthly)'!$E$2:$E$106,'Additions (monthly)'!$D$2:$D$106,BE$2,'Additions (monthly)'!$B$2:$B$106,"&lt;="&amp;$B90)</f>
        <v>0</v>
      </c>
      <c r="BF90" s="46" t="n">
        <f aca="false">SUMIFS('Additions (monthly)'!$E$2:$E$106,'Additions (monthly)'!$D$2:$D$106,BF$2,'Additions (monthly)'!$B$2:$B$106,"&lt;="&amp;$B90)</f>
        <v>0</v>
      </c>
      <c r="BG90" s="46" t="n">
        <f aca="false">SUMIFS('Additions (monthly)'!$E$2:$E$106,'Additions (monthly)'!$D$2:$D$106,BG$2,'Additions (monthly)'!$B$2:$B$106,"&lt;="&amp;$B90)</f>
        <v>0</v>
      </c>
      <c r="BH90" s="46" t="n">
        <f aca="false">SUMIFS('Additions (monthly)'!$E$2:$E$106,'Additions (monthly)'!$D$2:$D$106,BH$2,'Additions (monthly)'!$B$2:$B$106,"&lt;="&amp;$B90)</f>
        <v>20</v>
      </c>
      <c r="BI90" s="46" t="n">
        <f aca="false">SUMIFS('Additions (monthly)'!$E$2:$E$106,'Additions (monthly)'!$D$2:$D$106,BI$2,'Additions (monthly)'!$B$2:$B$106,"&lt;="&amp;$B90)</f>
        <v>6.7</v>
      </c>
    </row>
    <row r="91" customFormat="false" ht="15" hidden="false" customHeight="false" outlineLevel="0" collapsed="false">
      <c r="A91" s="44" t="n">
        <v>42856</v>
      </c>
      <c r="B91" s="45" t="n">
        <v>201705</v>
      </c>
      <c r="C91" s="42" t="n">
        <f aca="false">SUMIFS('Additions (monthly)'!$E$2:$E$106,'Additions (monthly)'!$B$2:$B$106,"&lt;="&amp;$B91)</f>
        <v>357.47</v>
      </c>
      <c r="D91" s="46" t="n">
        <f aca="false">SUMIFS('Additions (monthly)'!$E$2:$E$106,'Additions (monthly)'!$D$2:$D$106,D$2,'Additions (monthly)'!$B$2:$B$106,"&lt;="&amp;$B91)</f>
        <v>7.9</v>
      </c>
      <c r="E91" s="46" t="n">
        <f aca="false">SUMIFS('Additions (monthly)'!$E$2:$E$106,'Additions (monthly)'!$D$2:$D$106,E$2,'Additions (monthly)'!$B$2:$B$106,"&lt;="&amp;$B91)</f>
        <v>8.4</v>
      </c>
      <c r="F91" s="46" t="n">
        <f aca="false">SUMIFS('Additions (monthly)'!$E$2:$E$106,'Additions (monthly)'!$D$2:$D$106,F$2,'Additions (monthly)'!$B$2:$B$106,"&lt;="&amp;$B91)</f>
        <v>4.7</v>
      </c>
      <c r="G91" s="46" t="n">
        <f aca="false">SUMIFS('Additions (monthly)'!$E$2:$E$106,'Additions (monthly)'!$D$2:$D$106,G$2,'Additions (monthly)'!$B$2:$B$106,"&lt;="&amp;$B91)</f>
        <v>4.5</v>
      </c>
      <c r="H91" s="46" t="n">
        <f aca="false">SUMIFS('Additions (monthly)'!$E$2:$E$106,'Additions (monthly)'!$D$2:$D$106,H$2,'Additions (monthly)'!$B$2:$B$106,"&lt;="&amp;$B91)</f>
        <v>5.2</v>
      </c>
      <c r="I91" s="46" t="n">
        <f aca="false">SUMIFS('Additions (monthly)'!$E$2:$E$106,'Additions (monthly)'!$D$2:$D$106,I$2,'Additions (monthly)'!$B$2:$B$106,"&lt;="&amp;$B91)</f>
        <v>9</v>
      </c>
      <c r="J91" s="46" t="n">
        <f aca="false">SUMIFS('Additions (monthly)'!$E$2:$E$106,'Additions (monthly)'!$D$2:$D$106,J$2,'Additions (monthly)'!$B$2:$B$106,"&lt;="&amp;$B91)</f>
        <v>3.7</v>
      </c>
      <c r="K91" s="46" t="n">
        <f aca="false">SUMIFS('Additions (monthly)'!$E$2:$E$106,'Additions (monthly)'!$D$2:$D$106,K$2,'Additions (monthly)'!$B$2:$B$106,"&lt;="&amp;$B91)</f>
        <v>7.8</v>
      </c>
      <c r="L91" s="46" t="n">
        <f aca="false">SUMIFS('Additions (monthly)'!$E$2:$E$106,'Additions (monthly)'!$D$2:$D$106,L$2,'Additions (monthly)'!$B$2:$B$106,"&lt;="&amp;$B91)</f>
        <v>15.6</v>
      </c>
      <c r="M91" s="46" t="n">
        <f aca="false">SUMIFS('Additions (monthly)'!$E$2:$E$106,'Additions (monthly)'!$D$2:$D$106,M$2,'Additions (monthly)'!$B$2:$B$106,"&lt;="&amp;$B91)</f>
        <v>0</v>
      </c>
      <c r="N91" s="46" t="n">
        <f aca="false">SUMIFS('Additions (monthly)'!$E$2:$E$106,'Additions (monthly)'!$D$2:$D$106,N$2,'Additions (monthly)'!$B$2:$B$106,"&lt;="&amp;$B91)</f>
        <v>14.2</v>
      </c>
      <c r="O91" s="46" t="n">
        <f aca="false">SUMIFS('Additions (monthly)'!$E$2:$E$106,'Additions (monthly)'!$D$2:$D$106,O$2,'Additions (monthly)'!$B$2:$B$106,"&lt;="&amp;$B91)</f>
        <v>4.9</v>
      </c>
      <c r="P91" s="46" t="n">
        <f aca="false">SUMIFS('Additions (monthly)'!$E$2:$E$106,'Additions (monthly)'!$D$2:$D$106,P$2,'Additions (monthly)'!$B$2:$B$106,"&lt;="&amp;$B91)</f>
        <v>0</v>
      </c>
      <c r="Q91" s="46" t="n">
        <f aca="false">SUMIFS('Additions (monthly)'!$E$2:$E$106,'Additions (monthly)'!$D$2:$D$106,Q$2,'Additions (monthly)'!$B$2:$B$106,"&lt;="&amp;$B91)</f>
        <v>8.5</v>
      </c>
      <c r="R91" s="46" t="n">
        <f aca="false">SUMIFS('Additions (monthly)'!$E$2:$E$106,'Additions (monthly)'!$D$2:$D$106,R$2,'Additions (monthly)'!$B$2:$B$106,"&lt;="&amp;$B91)</f>
        <v>0</v>
      </c>
      <c r="S91" s="46" t="n">
        <f aca="false">SUMIFS('Additions (monthly)'!$E$2:$E$106,'Additions (monthly)'!$D$2:$D$106,S$2,'Additions (monthly)'!$B$2:$B$106,"&lt;="&amp;$B91)</f>
        <v>7.2</v>
      </c>
      <c r="T91" s="46" t="n">
        <f aca="false">SUMIFS('Additions (monthly)'!$E$2:$E$106,'Additions (monthly)'!$D$2:$D$106,T$2,'Additions (monthly)'!$B$2:$B$106,"&lt;="&amp;$B91)</f>
        <v>0</v>
      </c>
      <c r="U91" s="46" t="n">
        <f aca="false">SUMIFS('Additions (monthly)'!$E$2:$E$106,'Additions (monthly)'!$D$2:$D$106,U$2,'Additions (monthly)'!$B$2:$B$106,"&lt;="&amp;$B91)</f>
        <v>0</v>
      </c>
      <c r="V91" s="46" t="n">
        <f aca="false">SUMIFS('Additions (monthly)'!$E$2:$E$106,'Additions (monthly)'!$D$2:$D$106,V$2,'Additions (monthly)'!$B$2:$B$106,"&lt;="&amp;$B91)</f>
        <v>3.87</v>
      </c>
      <c r="W91" s="46" t="n">
        <f aca="false">SUMIFS('Additions (monthly)'!$E$2:$E$106,'Additions (monthly)'!$D$2:$D$106,W$2,'Additions (monthly)'!$B$2:$B$106,"&lt;="&amp;$B91)</f>
        <v>0</v>
      </c>
      <c r="X91" s="46" t="n">
        <f aca="false">SUMIFS('Additions (monthly)'!$E$2:$E$106,'Additions (monthly)'!$D$2:$D$106,X$2,'Additions (monthly)'!$B$2:$B$106,"&lt;="&amp;$B91)</f>
        <v>0</v>
      </c>
      <c r="Y91" s="46" t="n">
        <f aca="false">SUMIFS('Additions (monthly)'!$E$2:$E$106,'Additions (monthly)'!$D$2:$D$106,Y$2,'Additions (monthly)'!$B$2:$B$106,"&lt;="&amp;$B91)</f>
        <v>5</v>
      </c>
      <c r="Z91" s="46" t="n">
        <f aca="false">SUMIFS('Additions (monthly)'!$E$2:$E$106,'Additions (monthly)'!$D$2:$D$106,Z$2,'Additions (monthly)'!$B$2:$B$106,"&lt;="&amp;$B91)</f>
        <v>7.2</v>
      </c>
      <c r="AA91" s="46" t="n">
        <f aca="false">SUMIFS('Additions (monthly)'!$E$2:$E$106,'Additions (monthly)'!$D$2:$D$106,AA$2,'Additions (monthly)'!$B$2:$B$106,"&lt;="&amp;$B91)</f>
        <v>3.7</v>
      </c>
      <c r="AB91" s="46" t="n">
        <f aca="false">SUMIFS('Additions (monthly)'!$E$2:$E$106,'Additions (monthly)'!$D$2:$D$106,AB$2,'Additions (monthly)'!$B$2:$B$106,"&lt;="&amp;$B91)</f>
        <v>16.95</v>
      </c>
      <c r="AC91" s="46" t="n">
        <f aca="false">SUMIFS('Additions (monthly)'!$E$2:$E$106,'Additions (monthly)'!$D$2:$D$106,AC$2,'Additions (monthly)'!$B$2:$B$106,"&lt;="&amp;$B91)</f>
        <v>2</v>
      </c>
      <c r="AD91" s="46" t="n">
        <f aca="false">SUMIFS('Additions (monthly)'!$E$2:$E$106,'Additions (monthly)'!$D$2:$D$106,AD$2,'Additions (monthly)'!$B$2:$B$106,"&lt;="&amp;$B91)</f>
        <v>7.6</v>
      </c>
      <c r="AE91" s="46" t="n">
        <f aca="false">SUMIFS('Additions (monthly)'!$E$2:$E$106,'Additions (monthly)'!$D$2:$D$106,AE$2,'Additions (monthly)'!$B$2:$B$106,"&lt;="&amp;$B91)</f>
        <v>29.3</v>
      </c>
      <c r="AF91" s="46" t="n">
        <f aca="false">SUMIFS('Additions (monthly)'!$E$2:$E$106,'Additions (monthly)'!$D$2:$D$106,AF$2,'Additions (monthly)'!$B$2:$B$106,"&lt;="&amp;$B91)</f>
        <v>1.2</v>
      </c>
      <c r="AG91" s="46" t="n">
        <f aca="false">SUMIFS('Additions (monthly)'!$E$2:$E$106,'Additions (monthly)'!$D$2:$D$106,AG$2,'Additions (monthly)'!$B$2:$B$106,"&lt;="&amp;$B91)</f>
        <v>0</v>
      </c>
      <c r="AH91" s="46" t="n">
        <f aca="false">SUMIFS('Additions (monthly)'!$E$2:$E$106,'Additions (monthly)'!$D$2:$D$106,AH$2,'Additions (monthly)'!$B$2:$B$106,"&lt;="&amp;$B91)</f>
        <v>0</v>
      </c>
      <c r="AI91" s="46" t="n">
        <f aca="false">SUMIFS('Additions (monthly)'!$E$2:$E$106,'Additions (monthly)'!$D$2:$D$106,AI$2,'Additions (monthly)'!$B$2:$B$106,"&lt;="&amp;$B91)</f>
        <v>0</v>
      </c>
      <c r="AJ91" s="46" t="n">
        <f aca="false">SUMIFS('Additions (monthly)'!$E$2:$E$106,'Additions (monthly)'!$D$2:$D$106,AJ$2,'Additions (monthly)'!$B$2:$B$106,"&lt;="&amp;$B91)</f>
        <v>0</v>
      </c>
      <c r="AK91" s="46" t="n">
        <f aca="false">SUMIFS('Additions (monthly)'!$E$2:$E$106,'Additions (monthly)'!$D$2:$D$106,AK$2,'Additions (monthly)'!$B$2:$B$106,"&lt;="&amp;$B91)</f>
        <v>0</v>
      </c>
      <c r="AL91" s="46" t="n">
        <f aca="false">SUMIFS('Additions (monthly)'!$E$2:$E$106,'Additions (monthly)'!$D$2:$D$106,AL$2,'Additions (monthly)'!$B$2:$B$106,"&lt;="&amp;$B91)</f>
        <v>22.2</v>
      </c>
      <c r="AM91" s="46" t="n">
        <f aca="false">SUMIFS('Additions (monthly)'!$E$2:$E$106,'Additions (monthly)'!$D$2:$D$106,AM$2,'Additions (monthly)'!$B$2:$B$106,"&lt;="&amp;$B91)</f>
        <v>0.3</v>
      </c>
      <c r="AN91" s="46" t="n">
        <f aca="false">SUMIFS('Additions (monthly)'!$E$2:$E$106,'Additions (monthly)'!$D$2:$D$106,AN$2,'Additions (monthly)'!$B$2:$B$106,"&lt;="&amp;$B91)</f>
        <v>4.3</v>
      </c>
      <c r="AO91" s="46" t="n">
        <f aca="false">SUMIFS('Additions (monthly)'!$E$2:$E$106,'Additions (monthly)'!$D$2:$D$106,AO$2,'Additions (monthly)'!$B$2:$B$106,"&lt;="&amp;$B91)</f>
        <v>10.4</v>
      </c>
      <c r="AP91" s="46" t="n">
        <f aca="false">SUMIFS('Additions (monthly)'!$E$2:$E$106,'Additions (monthly)'!$D$2:$D$106,AP$2,'Additions (monthly)'!$B$2:$B$106,"&lt;="&amp;$B91)</f>
        <v>6.9</v>
      </c>
      <c r="AQ91" s="46" t="n">
        <f aca="false">SUMIFS('Additions (monthly)'!$E$2:$E$106,'Additions (monthly)'!$D$2:$D$106,AQ$2,'Additions (monthly)'!$B$2:$B$106,"&lt;="&amp;$B91)</f>
        <v>4.45</v>
      </c>
      <c r="AR91" s="46" t="n">
        <f aca="false">SUMIFS('Additions (monthly)'!$E$2:$E$106,'Additions (monthly)'!$D$2:$D$106,AR$2,'Additions (monthly)'!$B$2:$B$106,"&lt;="&amp;$B91)</f>
        <v>77.1</v>
      </c>
      <c r="AS91" s="46" t="n">
        <f aca="false">SUMIFS('Additions (monthly)'!$E$2:$E$106,'Additions (monthly)'!$D$2:$D$106,AS$2,'Additions (monthly)'!$B$2:$B$106,"&lt;="&amp;$B91)</f>
        <v>0</v>
      </c>
      <c r="AT91" s="46" t="n">
        <f aca="false">SUMIFS('Additions (monthly)'!$E$2:$E$106,'Additions (monthly)'!$D$2:$D$106,AT$2,'Additions (monthly)'!$B$2:$B$106,"&lt;="&amp;$B91)</f>
        <v>0</v>
      </c>
      <c r="AU91" s="46" t="n">
        <f aca="false">SUMIFS('Additions (monthly)'!$E$2:$E$106,'Additions (monthly)'!$D$2:$D$106,AU$2,'Additions (monthly)'!$B$2:$B$106,"&lt;="&amp;$B91)</f>
        <v>9.6</v>
      </c>
      <c r="AV91" s="46" t="n">
        <f aca="false">SUMIFS('Additions (monthly)'!$E$2:$E$106,'Additions (monthly)'!$D$2:$D$106,AV$2,'Additions (monthly)'!$B$2:$B$106,"&lt;="&amp;$B91)</f>
        <v>0</v>
      </c>
      <c r="AW91" s="46" t="n">
        <f aca="false">SUMIFS('Additions (monthly)'!$E$2:$E$106,'Additions (monthly)'!$D$2:$D$106,AW$2,'Additions (monthly)'!$B$2:$B$106,"&lt;="&amp;$B91)</f>
        <v>0</v>
      </c>
      <c r="AX91" s="46" t="n">
        <f aca="false">SUMIFS('Additions (monthly)'!$E$2:$E$106,'Additions (monthly)'!$D$2:$D$106,AX$2,'Additions (monthly)'!$B$2:$B$106,"&lt;="&amp;$B91)</f>
        <v>11.8</v>
      </c>
      <c r="AY91" s="46" t="n">
        <f aca="false">SUMIFS('Additions (monthly)'!$E$2:$E$106,'Additions (monthly)'!$D$2:$D$106,AY$2,'Additions (monthly)'!$B$2:$B$106,"&lt;="&amp;$B91)</f>
        <v>5.3</v>
      </c>
      <c r="AZ91" s="46" t="n">
        <f aca="false">SUMIFS('Additions (monthly)'!$E$2:$E$106,'Additions (monthly)'!$D$2:$D$106,AZ$2,'Additions (monthly)'!$B$2:$B$106,"&lt;="&amp;$B91)</f>
        <v>0</v>
      </c>
      <c r="BA91" s="46" t="n">
        <f aca="false">SUMIFS('Additions (monthly)'!$E$2:$E$106,'Additions (monthly)'!$D$2:$D$106,BA$2,'Additions (monthly)'!$B$2:$B$106,"&lt;="&amp;$B91)</f>
        <v>0</v>
      </c>
      <c r="BB91" s="46" t="n">
        <f aca="false">SUMIFS('Additions (monthly)'!$E$2:$E$106,'Additions (monthly)'!$D$2:$D$106,BB$2,'Additions (monthly)'!$B$2:$B$106,"&lt;="&amp;$B91)</f>
        <v>0</v>
      </c>
      <c r="BC91" s="46" t="n">
        <f aca="false">SUMIFS('Additions (monthly)'!$E$2:$E$106,'Additions (monthly)'!$D$2:$D$106,BC$2,'Additions (monthly)'!$B$2:$B$106,"&lt;="&amp;$B91)</f>
        <v>0</v>
      </c>
      <c r="BD91" s="46" t="n">
        <f aca="false">SUMIFS('Additions (monthly)'!$E$2:$E$106,'Additions (monthly)'!$D$2:$D$106,BD$2,'Additions (monthly)'!$B$2:$B$106,"&lt;="&amp;$B91)</f>
        <v>0</v>
      </c>
      <c r="BE91" s="46" t="n">
        <f aca="false">SUMIFS('Additions (monthly)'!$E$2:$E$106,'Additions (monthly)'!$D$2:$D$106,BE$2,'Additions (monthly)'!$B$2:$B$106,"&lt;="&amp;$B91)</f>
        <v>0</v>
      </c>
      <c r="BF91" s="46" t="n">
        <f aca="false">SUMIFS('Additions (monthly)'!$E$2:$E$106,'Additions (monthly)'!$D$2:$D$106,BF$2,'Additions (monthly)'!$B$2:$B$106,"&lt;="&amp;$B91)</f>
        <v>0</v>
      </c>
      <c r="BG91" s="46" t="n">
        <f aca="false">SUMIFS('Additions (monthly)'!$E$2:$E$106,'Additions (monthly)'!$D$2:$D$106,BG$2,'Additions (monthly)'!$B$2:$B$106,"&lt;="&amp;$B91)</f>
        <v>0</v>
      </c>
      <c r="BH91" s="46" t="n">
        <f aca="false">SUMIFS('Additions (monthly)'!$E$2:$E$106,'Additions (monthly)'!$D$2:$D$106,BH$2,'Additions (monthly)'!$B$2:$B$106,"&lt;="&amp;$B91)</f>
        <v>20</v>
      </c>
      <c r="BI91" s="46" t="n">
        <f aca="false">SUMIFS('Additions (monthly)'!$E$2:$E$106,'Additions (monthly)'!$D$2:$D$106,BI$2,'Additions (monthly)'!$B$2:$B$106,"&lt;="&amp;$B91)</f>
        <v>6.7</v>
      </c>
    </row>
    <row r="92" customFormat="false" ht="15" hidden="false" customHeight="false" outlineLevel="0" collapsed="false">
      <c r="A92" s="44" t="n">
        <v>42887</v>
      </c>
      <c r="B92" s="45" t="n">
        <v>201706</v>
      </c>
      <c r="C92" s="42" t="n">
        <f aca="false">SUMIFS('Additions (monthly)'!$E$2:$E$106,'Additions (monthly)'!$B$2:$B$106,"&lt;="&amp;$B92)</f>
        <v>357.47</v>
      </c>
      <c r="D92" s="46" t="n">
        <f aca="false">SUMIFS('Additions (monthly)'!$E$2:$E$106,'Additions (monthly)'!$D$2:$D$106,D$2,'Additions (monthly)'!$B$2:$B$106,"&lt;="&amp;$B92)</f>
        <v>7.9</v>
      </c>
      <c r="E92" s="46" t="n">
        <f aca="false">SUMIFS('Additions (monthly)'!$E$2:$E$106,'Additions (monthly)'!$D$2:$D$106,E$2,'Additions (monthly)'!$B$2:$B$106,"&lt;="&amp;$B92)</f>
        <v>8.4</v>
      </c>
      <c r="F92" s="46" t="n">
        <f aca="false">SUMIFS('Additions (monthly)'!$E$2:$E$106,'Additions (monthly)'!$D$2:$D$106,F$2,'Additions (monthly)'!$B$2:$B$106,"&lt;="&amp;$B92)</f>
        <v>4.7</v>
      </c>
      <c r="G92" s="46" t="n">
        <f aca="false">SUMIFS('Additions (monthly)'!$E$2:$E$106,'Additions (monthly)'!$D$2:$D$106,G$2,'Additions (monthly)'!$B$2:$B$106,"&lt;="&amp;$B92)</f>
        <v>4.5</v>
      </c>
      <c r="H92" s="46" t="n">
        <f aca="false">SUMIFS('Additions (monthly)'!$E$2:$E$106,'Additions (monthly)'!$D$2:$D$106,H$2,'Additions (monthly)'!$B$2:$B$106,"&lt;="&amp;$B92)</f>
        <v>5.2</v>
      </c>
      <c r="I92" s="46" t="n">
        <f aca="false">SUMIFS('Additions (monthly)'!$E$2:$E$106,'Additions (monthly)'!$D$2:$D$106,I$2,'Additions (monthly)'!$B$2:$B$106,"&lt;="&amp;$B92)</f>
        <v>9</v>
      </c>
      <c r="J92" s="46" t="n">
        <f aca="false">SUMIFS('Additions (monthly)'!$E$2:$E$106,'Additions (monthly)'!$D$2:$D$106,J$2,'Additions (monthly)'!$B$2:$B$106,"&lt;="&amp;$B92)</f>
        <v>3.7</v>
      </c>
      <c r="K92" s="46" t="n">
        <f aca="false">SUMIFS('Additions (monthly)'!$E$2:$E$106,'Additions (monthly)'!$D$2:$D$106,K$2,'Additions (monthly)'!$B$2:$B$106,"&lt;="&amp;$B92)</f>
        <v>7.8</v>
      </c>
      <c r="L92" s="46" t="n">
        <f aca="false">SUMIFS('Additions (monthly)'!$E$2:$E$106,'Additions (monthly)'!$D$2:$D$106,L$2,'Additions (monthly)'!$B$2:$B$106,"&lt;="&amp;$B92)</f>
        <v>15.6</v>
      </c>
      <c r="M92" s="46" t="n">
        <f aca="false">SUMIFS('Additions (monthly)'!$E$2:$E$106,'Additions (monthly)'!$D$2:$D$106,M$2,'Additions (monthly)'!$B$2:$B$106,"&lt;="&amp;$B92)</f>
        <v>0</v>
      </c>
      <c r="N92" s="46" t="n">
        <f aca="false">SUMIFS('Additions (monthly)'!$E$2:$E$106,'Additions (monthly)'!$D$2:$D$106,N$2,'Additions (monthly)'!$B$2:$B$106,"&lt;="&amp;$B92)</f>
        <v>14.2</v>
      </c>
      <c r="O92" s="46" t="n">
        <f aca="false">SUMIFS('Additions (monthly)'!$E$2:$E$106,'Additions (monthly)'!$D$2:$D$106,O$2,'Additions (monthly)'!$B$2:$B$106,"&lt;="&amp;$B92)</f>
        <v>4.9</v>
      </c>
      <c r="P92" s="46" t="n">
        <f aca="false">SUMIFS('Additions (monthly)'!$E$2:$E$106,'Additions (monthly)'!$D$2:$D$106,P$2,'Additions (monthly)'!$B$2:$B$106,"&lt;="&amp;$B92)</f>
        <v>0</v>
      </c>
      <c r="Q92" s="46" t="n">
        <f aca="false">SUMIFS('Additions (monthly)'!$E$2:$E$106,'Additions (monthly)'!$D$2:$D$106,Q$2,'Additions (monthly)'!$B$2:$B$106,"&lt;="&amp;$B92)</f>
        <v>8.5</v>
      </c>
      <c r="R92" s="46" t="n">
        <f aca="false">SUMIFS('Additions (monthly)'!$E$2:$E$106,'Additions (monthly)'!$D$2:$D$106,R$2,'Additions (monthly)'!$B$2:$B$106,"&lt;="&amp;$B92)</f>
        <v>0</v>
      </c>
      <c r="S92" s="46" t="n">
        <f aca="false">SUMIFS('Additions (monthly)'!$E$2:$E$106,'Additions (monthly)'!$D$2:$D$106,S$2,'Additions (monthly)'!$B$2:$B$106,"&lt;="&amp;$B92)</f>
        <v>7.2</v>
      </c>
      <c r="T92" s="46" t="n">
        <f aca="false">SUMIFS('Additions (monthly)'!$E$2:$E$106,'Additions (monthly)'!$D$2:$D$106,T$2,'Additions (monthly)'!$B$2:$B$106,"&lt;="&amp;$B92)</f>
        <v>0</v>
      </c>
      <c r="U92" s="46" t="n">
        <f aca="false">SUMIFS('Additions (monthly)'!$E$2:$E$106,'Additions (monthly)'!$D$2:$D$106,U$2,'Additions (monthly)'!$B$2:$B$106,"&lt;="&amp;$B92)</f>
        <v>0</v>
      </c>
      <c r="V92" s="46" t="n">
        <f aca="false">SUMIFS('Additions (monthly)'!$E$2:$E$106,'Additions (monthly)'!$D$2:$D$106,V$2,'Additions (monthly)'!$B$2:$B$106,"&lt;="&amp;$B92)</f>
        <v>3.87</v>
      </c>
      <c r="W92" s="46" t="n">
        <f aca="false">SUMIFS('Additions (monthly)'!$E$2:$E$106,'Additions (monthly)'!$D$2:$D$106,W$2,'Additions (monthly)'!$B$2:$B$106,"&lt;="&amp;$B92)</f>
        <v>0</v>
      </c>
      <c r="X92" s="46" t="n">
        <f aca="false">SUMIFS('Additions (monthly)'!$E$2:$E$106,'Additions (monthly)'!$D$2:$D$106,X$2,'Additions (monthly)'!$B$2:$B$106,"&lt;="&amp;$B92)</f>
        <v>0</v>
      </c>
      <c r="Y92" s="46" t="n">
        <f aca="false">SUMIFS('Additions (monthly)'!$E$2:$E$106,'Additions (monthly)'!$D$2:$D$106,Y$2,'Additions (monthly)'!$B$2:$B$106,"&lt;="&amp;$B92)</f>
        <v>5</v>
      </c>
      <c r="Z92" s="46" t="n">
        <f aca="false">SUMIFS('Additions (monthly)'!$E$2:$E$106,'Additions (monthly)'!$D$2:$D$106,Z$2,'Additions (monthly)'!$B$2:$B$106,"&lt;="&amp;$B92)</f>
        <v>7.2</v>
      </c>
      <c r="AA92" s="46" t="n">
        <f aca="false">SUMIFS('Additions (monthly)'!$E$2:$E$106,'Additions (monthly)'!$D$2:$D$106,AA$2,'Additions (monthly)'!$B$2:$B$106,"&lt;="&amp;$B92)</f>
        <v>3.7</v>
      </c>
      <c r="AB92" s="46" t="n">
        <f aca="false">SUMIFS('Additions (monthly)'!$E$2:$E$106,'Additions (monthly)'!$D$2:$D$106,AB$2,'Additions (monthly)'!$B$2:$B$106,"&lt;="&amp;$B92)</f>
        <v>16.95</v>
      </c>
      <c r="AC92" s="46" t="n">
        <f aca="false">SUMIFS('Additions (monthly)'!$E$2:$E$106,'Additions (monthly)'!$D$2:$D$106,AC$2,'Additions (monthly)'!$B$2:$B$106,"&lt;="&amp;$B92)</f>
        <v>2</v>
      </c>
      <c r="AD92" s="46" t="n">
        <f aca="false">SUMIFS('Additions (monthly)'!$E$2:$E$106,'Additions (monthly)'!$D$2:$D$106,AD$2,'Additions (monthly)'!$B$2:$B$106,"&lt;="&amp;$B92)</f>
        <v>7.6</v>
      </c>
      <c r="AE92" s="46" t="n">
        <f aca="false">SUMIFS('Additions (monthly)'!$E$2:$E$106,'Additions (monthly)'!$D$2:$D$106,AE$2,'Additions (monthly)'!$B$2:$B$106,"&lt;="&amp;$B92)</f>
        <v>29.3</v>
      </c>
      <c r="AF92" s="46" t="n">
        <f aca="false">SUMIFS('Additions (monthly)'!$E$2:$E$106,'Additions (monthly)'!$D$2:$D$106,AF$2,'Additions (monthly)'!$B$2:$B$106,"&lt;="&amp;$B92)</f>
        <v>1.2</v>
      </c>
      <c r="AG92" s="46" t="n">
        <f aca="false">SUMIFS('Additions (monthly)'!$E$2:$E$106,'Additions (monthly)'!$D$2:$D$106,AG$2,'Additions (monthly)'!$B$2:$B$106,"&lt;="&amp;$B92)</f>
        <v>0</v>
      </c>
      <c r="AH92" s="46" t="n">
        <f aca="false">SUMIFS('Additions (monthly)'!$E$2:$E$106,'Additions (monthly)'!$D$2:$D$106,AH$2,'Additions (monthly)'!$B$2:$B$106,"&lt;="&amp;$B92)</f>
        <v>0</v>
      </c>
      <c r="AI92" s="46" t="n">
        <f aca="false">SUMIFS('Additions (monthly)'!$E$2:$E$106,'Additions (monthly)'!$D$2:$D$106,AI$2,'Additions (monthly)'!$B$2:$B$106,"&lt;="&amp;$B92)</f>
        <v>0</v>
      </c>
      <c r="AJ92" s="46" t="n">
        <f aca="false">SUMIFS('Additions (monthly)'!$E$2:$E$106,'Additions (monthly)'!$D$2:$D$106,AJ$2,'Additions (monthly)'!$B$2:$B$106,"&lt;="&amp;$B92)</f>
        <v>0</v>
      </c>
      <c r="AK92" s="46" t="n">
        <f aca="false">SUMIFS('Additions (monthly)'!$E$2:$E$106,'Additions (monthly)'!$D$2:$D$106,AK$2,'Additions (monthly)'!$B$2:$B$106,"&lt;="&amp;$B92)</f>
        <v>0</v>
      </c>
      <c r="AL92" s="46" t="n">
        <f aca="false">SUMIFS('Additions (monthly)'!$E$2:$E$106,'Additions (monthly)'!$D$2:$D$106,AL$2,'Additions (monthly)'!$B$2:$B$106,"&lt;="&amp;$B92)</f>
        <v>22.2</v>
      </c>
      <c r="AM92" s="46" t="n">
        <f aca="false">SUMIFS('Additions (monthly)'!$E$2:$E$106,'Additions (monthly)'!$D$2:$D$106,AM$2,'Additions (monthly)'!$B$2:$B$106,"&lt;="&amp;$B92)</f>
        <v>0.3</v>
      </c>
      <c r="AN92" s="46" t="n">
        <f aca="false">SUMIFS('Additions (monthly)'!$E$2:$E$106,'Additions (monthly)'!$D$2:$D$106,AN$2,'Additions (monthly)'!$B$2:$B$106,"&lt;="&amp;$B92)</f>
        <v>4.3</v>
      </c>
      <c r="AO92" s="46" t="n">
        <f aca="false">SUMIFS('Additions (monthly)'!$E$2:$E$106,'Additions (monthly)'!$D$2:$D$106,AO$2,'Additions (monthly)'!$B$2:$B$106,"&lt;="&amp;$B92)</f>
        <v>10.4</v>
      </c>
      <c r="AP92" s="46" t="n">
        <f aca="false">SUMIFS('Additions (monthly)'!$E$2:$E$106,'Additions (monthly)'!$D$2:$D$106,AP$2,'Additions (monthly)'!$B$2:$B$106,"&lt;="&amp;$B92)</f>
        <v>6.9</v>
      </c>
      <c r="AQ92" s="46" t="n">
        <f aca="false">SUMIFS('Additions (monthly)'!$E$2:$E$106,'Additions (monthly)'!$D$2:$D$106,AQ$2,'Additions (monthly)'!$B$2:$B$106,"&lt;="&amp;$B92)</f>
        <v>4.45</v>
      </c>
      <c r="AR92" s="46" t="n">
        <f aca="false">SUMIFS('Additions (monthly)'!$E$2:$E$106,'Additions (monthly)'!$D$2:$D$106,AR$2,'Additions (monthly)'!$B$2:$B$106,"&lt;="&amp;$B92)</f>
        <v>77.1</v>
      </c>
      <c r="AS92" s="46" t="n">
        <f aca="false">SUMIFS('Additions (monthly)'!$E$2:$E$106,'Additions (monthly)'!$D$2:$D$106,AS$2,'Additions (monthly)'!$B$2:$B$106,"&lt;="&amp;$B92)</f>
        <v>0</v>
      </c>
      <c r="AT92" s="46" t="n">
        <f aca="false">SUMIFS('Additions (monthly)'!$E$2:$E$106,'Additions (monthly)'!$D$2:$D$106,AT$2,'Additions (monthly)'!$B$2:$B$106,"&lt;="&amp;$B92)</f>
        <v>0</v>
      </c>
      <c r="AU92" s="46" t="n">
        <f aca="false">SUMIFS('Additions (monthly)'!$E$2:$E$106,'Additions (monthly)'!$D$2:$D$106,AU$2,'Additions (monthly)'!$B$2:$B$106,"&lt;="&amp;$B92)</f>
        <v>9.6</v>
      </c>
      <c r="AV92" s="46" t="n">
        <f aca="false">SUMIFS('Additions (monthly)'!$E$2:$E$106,'Additions (monthly)'!$D$2:$D$106,AV$2,'Additions (monthly)'!$B$2:$B$106,"&lt;="&amp;$B92)</f>
        <v>0</v>
      </c>
      <c r="AW92" s="46" t="n">
        <f aca="false">SUMIFS('Additions (monthly)'!$E$2:$E$106,'Additions (monthly)'!$D$2:$D$106,AW$2,'Additions (monthly)'!$B$2:$B$106,"&lt;="&amp;$B92)</f>
        <v>0</v>
      </c>
      <c r="AX92" s="46" t="n">
        <f aca="false">SUMIFS('Additions (monthly)'!$E$2:$E$106,'Additions (monthly)'!$D$2:$D$106,AX$2,'Additions (monthly)'!$B$2:$B$106,"&lt;="&amp;$B92)</f>
        <v>11.8</v>
      </c>
      <c r="AY92" s="46" t="n">
        <f aca="false">SUMIFS('Additions (monthly)'!$E$2:$E$106,'Additions (monthly)'!$D$2:$D$106,AY$2,'Additions (monthly)'!$B$2:$B$106,"&lt;="&amp;$B92)</f>
        <v>5.3</v>
      </c>
      <c r="AZ92" s="46" t="n">
        <f aca="false">SUMIFS('Additions (monthly)'!$E$2:$E$106,'Additions (monthly)'!$D$2:$D$106,AZ$2,'Additions (monthly)'!$B$2:$B$106,"&lt;="&amp;$B92)</f>
        <v>0</v>
      </c>
      <c r="BA92" s="46" t="n">
        <f aca="false">SUMIFS('Additions (monthly)'!$E$2:$E$106,'Additions (monthly)'!$D$2:$D$106,BA$2,'Additions (monthly)'!$B$2:$B$106,"&lt;="&amp;$B92)</f>
        <v>0</v>
      </c>
      <c r="BB92" s="46" t="n">
        <f aca="false">SUMIFS('Additions (monthly)'!$E$2:$E$106,'Additions (monthly)'!$D$2:$D$106,BB$2,'Additions (monthly)'!$B$2:$B$106,"&lt;="&amp;$B92)</f>
        <v>0</v>
      </c>
      <c r="BC92" s="46" t="n">
        <f aca="false">SUMIFS('Additions (monthly)'!$E$2:$E$106,'Additions (monthly)'!$D$2:$D$106,BC$2,'Additions (monthly)'!$B$2:$B$106,"&lt;="&amp;$B92)</f>
        <v>0</v>
      </c>
      <c r="BD92" s="46" t="n">
        <f aca="false">SUMIFS('Additions (monthly)'!$E$2:$E$106,'Additions (monthly)'!$D$2:$D$106,BD$2,'Additions (monthly)'!$B$2:$B$106,"&lt;="&amp;$B92)</f>
        <v>0</v>
      </c>
      <c r="BE92" s="46" t="n">
        <f aca="false">SUMIFS('Additions (monthly)'!$E$2:$E$106,'Additions (monthly)'!$D$2:$D$106,BE$2,'Additions (monthly)'!$B$2:$B$106,"&lt;="&amp;$B92)</f>
        <v>0</v>
      </c>
      <c r="BF92" s="46" t="n">
        <f aca="false">SUMIFS('Additions (monthly)'!$E$2:$E$106,'Additions (monthly)'!$D$2:$D$106,BF$2,'Additions (monthly)'!$B$2:$B$106,"&lt;="&amp;$B92)</f>
        <v>0</v>
      </c>
      <c r="BG92" s="46" t="n">
        <f aca="false">SUMIFS('Additions (monthly)'!$E$2:$E$106,'Additions (monthly)'!$D$2:$D$106,BG$2,'Additions (monthly)'!$B$2:$B$106,"&lt;="&amp;$B92)</f>
        <v>0</v>
      </c>
      <c r="BH92" s="46" t="n">
        <f aca="false">SUMIFS('Additions (monthly)'!$E$2:$E$106,'Additions (monthly)'!$D$2:$D$106,BH$2,'Additions (monthly)'!$B$2:$B$106,"&lt;="&amp;$B92)</f>
        <v>20</v>
      </c>
      <c r="BI92" s="46" t="n">
        <f aca="false">SUMIFS('Additions (monthly)'!$E$2:$E$106,'Additions (monthly)'!$D$2:$D$106,BI$2,'Additions (monthly)'!$B$2:$B$106,"&lt;="&amp;$B92)</f>
        <v>6.7</v>
      </c>
    </row>
    <row r="93" customFormat="false" ht="15" hidden="false" customHeight="false" outlineLevel="0" collapsed="false">
      <c r="A93" s="44" t="n">
        <v>42917</v>
      </c>
      <c r="B93" s="45" t="n">
        <v>201707</v>
      </c>
      <c r="C93" s="42" t="n">
        <f aca="false">SUMIFS('Additions (monthly)'!$E$2:$E$106,'Additions (monthly)'!$B$2:$B$106,"&lt;="&amp;$B93)</f>
        <v>357.47</v>
      </c>
      <c r="D93" s="46" t="n">
        <f aca="false">SUMIFS('Additions (monthly)'!$E$2:$E$106,'Additions (monthly)'!$D$2:$D$106,D$2,'Additions (monthly)'!$B$2:$B$106,"&lt;="&amp;$B93)</f>
        <v>7.9</v>
      </c>
      <c r="E93" s="46" t="n">
        <f aca="false">SUMIFS('Additions (monthly)'!$E$2:$E$106,'Additions (monthly)'!$D$2:$D$106,E$2,'Additions (monthly)'!$B$2:$B$106,"&lt;="&amp;$B93)</f>
        <v>8.4</v>
      </c>
      <c r="F93" s="46" t="n">
        <f aca="false">SUMIFS('Additions (monthly)'!$E$2:$E$106,'Additions (monthly)'!$D$2:$D$106,F$2,'Additions (monthly)'!$B$2:$B$106,"&lt;="&amp;$B93)</f>
        <v>4.7</v>
      </c>
      <c r="G93" s="46" t="n">
        <f aca="false">SUMIFS('Additions (monthly)'!$E$2:$E$106,'Additions (monthly)'!$D$2:$D$106,G$2,'Additions (monthly)'!$B$2:$B$106,"&lt;="&amp;$B93)</f>
        <v>4.5</v>
      </c>
      <c r="H93" s="46" t="n">
        <f aca="false">SUMIFS('Additions (monthly)'!$E$2:$E$106,'Additions (monthly)'!$D$2:$D$106,H$2,'Additions (monthly)'!$B$2:$B$106,"&lt;="&amp;$B93)</f>
        <v>5.2</v>
      </c>
      <c r="I93" s="46" t="n">
        <f aca="false">SUMIFS('Additions (monthly)'!$E$2:$E$106,'Additions (monthly)'!$D$2:$D$106,I$2,'Additions (monthly)'!$B$2:$B$106,"&lt;="&amp;$B93)</f>
        <v>9</v>
      </c>
      <c r="J93" s="46" t="n">
        <f aca="false">SUMIFS('Additions (monthly)'!$E$2:$E$106,'Additions (monthly)'!$D$2:$D$106,J$2,'Additions (monthly)'!$B$2:$B$106,"&lt;="&amp;$B93)</f>
        <v>3.7</v>
      </c>
      <c r="K93" s="46" t="n">
        <f aca="false">SUMIFS('Additions (monthly)'!$E$2:$E$106,'Additions (monthly)'!$D$2:$D$106,K$2,'Additions (monthly)'!$B$2:$B$106,"&lt;="&amp;$B93)</f>
        <v>7.8</v>
      </c>
      <c r="L93" s="46" t="n">
        <f aca="false">SUMIFS('Additions (monthly)'!$E$2:$E$106,'Additions (monthly)'!$D$2:$D$106,L$2,'Additions (monthly)'!$B$2:$B$106,"&lt;="&amp;$B93)</f>
        <v>15.6</v>
      </c>
      <c r="M93" s="46" t="n">
        <f aca="false">SUMIFS('Additions (monthly)'!$E$2:$E$106,'Additions (monthly)'!$D$2:$D$106,M$2,'Additions (monthly)'!$B$2:$B$106,"&lt;="&amp;$B93)</f>
        <v>0</v>
      </c>
      <c r="N93" s="46" t="n">
        <f aca="false">SUMIFS('Additions (monthly)'!$E$2:$E$106,'Additions (monthly)'!$D$2:$D$106,N$2,'Additions (monthly)'!$B$2:$B$106,"&lt;="&amp;$B93)</f>
        <v>14.2</v>
      </c>
      <c r="O93" s="46" t="n">
        <f aca="false">SUMIFS('Additions (monthly)'!$E$2:$E$106,'Additions (monthly)'!$D$2:$D$106,O$2,'Additions (monthly)'!$B$2:$B$106,"&lt;="&amp;$B93)</f>
        <v>4.9</v>
      </c>
      <c r="P93" s="46" t="n">
        <f aca="false">SUMIFS('Additions (monthly)'!$E$2:$E$106,'Additions (monthly)'!$D$2:$D$106,P$2,'Additions (monthly)'!$B$2:$B$106,"&lt;="&amp;$B93)</f>
        <v>0</v>
      </c>
      <c r="Q93" s="46" t="n">
        <f aca="false">SUMIFS('Additions (monthly)'!$E$2:$E$106,'Additions (monthly)'!$D$2:$D$106,Q$2,'Additions (monthly)'!$B$2:$B$106,"&lt;="&amp;$B93)</f>
        <v>8.5</v>
      </c>
      <c r="R93" s="46" t="n">
        <f aca="false">SUMIFS('Additions (monthly)'!$E$2:$E$106,'Additions (monthly)'!$D$2:$D$106,R$2,'Additions (monthly)'!$B$2:$B$106,"&lt;="&amp;$B93)</f>
        <v>0</v>
      </c>
      <c r="S93" s="46" t="n">
        <f aca="false">SUMIFS('Additions (monthly)'!$E$2:$E$106,'Additions (monthly)'!$D$2:$D$106,S$2,'Additions (monthly)'!$B$2:$B$106,"&lt;="&amp;$B93)</f>
        <v>7.2</v>
      </c>
      <c r="T93" s="46" t="n">
        <f aca="false">SUMIFS('Additions (monthly)'!$E$2:$E$106,'Additions (monthly)'!$D$2:$D$106,T$2,'Additions (monthly)'!$B$2:$B$106,"&lt;="&amp;$B93)</f>
        <v>0</v>
      </c>
      <c r="U93" s="46" t="n">
        <f aca="false">SUMIFS('Additions (monthly)'!$E$2:$E$106,'Additions (monthly)'!$D$2:$D$106,U$2,'Additions (monthly)'!$B$2:$B$106,"&lt;="&amp;$B93)</f>
        <v>0</v>
      </c>
      <c r="V93" s="46" t="n">
        <f aca="false">SUMIFS('Additions (monthly)'!$E$2:$E$106,'Additions (monthly)'!$D$2:$D$106,V$2,'Additions (monthly)'!$B$2:$B$106,"&lt;="&amp;$B93)</f>
        <v>3.87</v>
      </c>
      <c r="W93" s="46" t="n">
        <f aca="false">SUMIFS('Additions (monthly)'!$E$2:$E$106,'Additions (monthly)'!$D$2:$D$106,W$2,'Additions (monthly)'!$B$2:$B$106,"&lt;="&amp;$B93)</f>
        <v>0</v>
      </c>
      <c r="X93" s="46" t="n">
        <f aca="false">SUMIFS('Additions (monthly)'!$E$2:$E$106,'Additions (monthly)'!$D$2:$D$106,X$2,'Additions (monthly)'!$B$2:$B$106,"&lt;="&amp;$B93)</f>
        <v>0</v>
      </c>
      <c r="Y93" s="46" t="n">
        <f aca="false">SUMIFS('Additions (monthly)'!$E$2:$E$106,'Additions (monthly)'!$D$2:$D$106,Y$2,'Additions (monthly)'!$B$2:$B$106,"&lt;="&amp;$B93)</f>
        <v>5</v>
      </c>
      <c r="Z93" s="46" t="n">
        <f aca="false">SUMIFS('Additions (monthly)'!$E$2:$E$106,'Additions (monthly)'!$D$2:$D$106,Z$2,'Additions (monthly)'!$B$2:$B$106,"&lt;="&amp;$B93)</f>
        <v>7.2</v>
      </c>
      <c r="AA93" s="46" t="n">
        <f aca="false">SUMIFS('Additions (monthly)'!$E$2:$E$106,'Additions (monthly)'!$D$2:$D$106,AA$2,'Additions (monthly)'!$B$2:$B$106,"&lt;="&amp;$B93)</f>
        <v>3.7</v>
      </c>
      <c r="AB93" s="46" t="n">
        <f aca="false">SUMIFS('Additions (monthly)'!$E$2:$E$106,'Additions (monthly)'!$D$2:$D$106,AB$2,'Additions (monthly)'!$B$2:$B$106,"&lt;="&amp;$B93)</f>
        <v>16.95</v>
      </c>
      <c r="AC93" s="46" t="n">
        <f aca="false">SUMIFS('Additions (monthly)'!$E$2:$E$106,'Additions (monthly)'!$D$2:$D$106,AC$2,'Additions (monthly)'!$B$2:$B$106,"&lt;="&amp;$B93)</f>
        <v>2</v>
      </c>
      <c r="AD93" s="46" t="n">
        <f aca="false">SUMIFS('Additions (monthly)'!$E$2:$E$106,'Additions (monthly)'!$D$2:$D$106,AD$2,'Additions (monthly)'!$B$2:$B$106,"&lt;="&amp;$B93)</f>
        <v>7.6</v>
      </c>
      <c r="AE93" s="46" t="n">
        <f aca="false">SUMIFS('Additions (monthly)'!$E$2:$E$106,'Additions (monthly)'!$D$2:$D$106,AE$2,'Additions (monthly)'!$B$2:$B$106,"&lt;="&amp;$B93)</f>
        <v>29.3</v>
      </c>
      <c r="AF93" s="46" t="n">
        <f aca="false">SUMIFS('Additions (monthly)'!$E$2:$E$106,'Additions (monthly)'!$D$2:$D$106,AF$2,'Additions (monthly)'!$B$2:$B$106,"&lt;="&amp;$B93)</f>
        <v>1.2</v>
      </c>
      <c r="AG93" s="46" t="n">
        <f aca="false">SUMIFS('Additions (monthly)'!$E$2:$E$106,'Additions (monthly)'!$D$2:$D$106,AG$2,'Additions (monthly)'!$B$2:$B$106,"&lt;="&amp;$B93)</f>
        <v>0</v>
      </c>
      <c r="AH93" s="46" t="n">
        <f aca="false">SUMIFS('Additions (monthly)'!$E$2:$E$106,'Additions (monthly)'!$D$2:$D$106,AH$2,'Additions (monthly)'!$B$2:$B$106,"&lt;="&amp;$B93)</f>
        <v>0</v>
      </c>
      <c r="AI93" s="46" t="n">
        <f aca="false">SUMIFS('Additions (monthly)'!$E$2:$E$106,'Additions (monthly)'!$D$2:$D$106,AI$2,'Additions (monthly)'!$B$2:$B$106,"&lt;="&amp;$B93)</f>
        <v>0</v>
      </c>
      <c r="AJ93" s="46" t="n">
        <f aca="false">SUMIFS('Additions (monthly)'!$E$2:$E$106,'Additions (monthly)'!$D$2:$D$106,AJ$2,'Additions (monthly)'!$B$2:$B$106,"&lt;="&amp;$B93)</f>
        <v>0</v>
      </c>
      <c r="AK93" s="46" t="n">
        <f aca="false">SUMIFS('Additions (monthly)'!$E$2:$E$106,'Additions (monthly)'!$D$2:$D$106,AK$2,'Additions (monthly)'!$B$2:$B$106,"&lt;="&amp;$B93)</f>
        <v>0</v>
      </c>
      <c r="AL93" s="46" t="n">
        <f aca="false">SUMIFS('Additions (monthly)'!$E$2:$E$106,'Additions (monthly)'!$D$2:$D$106,AL$2,'Additions (monthly)'!$B$2:$B$106,"&lt;="&amp;$B93)</f>
        <v>22.2</v>
      </c>
      <c r="AM93" s="46" t="n">
        <f aca="false">SUMIFS('Additions (monthly)'!$E$2:$E$106,'Additions (monthly)'!$D$2:$D$106,AM$2,'Additions (monthly)'!$B$2:$B$106,"&lt;="&amp;$B93)</f>
        <v>0.3</v>
      </c>
      <c r="AN93" s="46" t="n">
        <f aca="false">SUMIFS('Additions (monthly)'!$E$2:$E$106,'Additions (monthly)'!$D$2:$D$106,AN$2,'Additions (monthly)'!$B$2:$B$106,"&lt;="&amp;$B93)</f>
        <v>4.3</v>
      </c>
      <c r="AO93" s="46" t="n">
        <f aca="false">SUMIFS('Additions (monthly)'!$E$2:$E$106,'Additions (monthly)'!$D$2:$D$106,AO$2,'Additions (monthly)'!$B$2:$B$106,"&lt;="&amp;$B93)</f>
        <v>10.4</v>
      </c>
      <c r="AP93" s="46" t="n">
        <f aca="false">SUMIFS('Additions (monthly)'!$E$2:$E$106,'Additions (monthly)'!$D$2:$D$106,AP$2,'Additions (monthly)'!$B$2:$B$106,"&lt;="&amp;$B93)</f>
        <v>6.9</v>
      </c>
      <c r="AQ93" s="46" t="n">
        <f aca="false">SUMIFS('Additions (monthly)'!$E$2:$E$106,'Additions (monthly)'!$D$2:$D$106,AQ$2,'Additions (monthly)'!$B$2:$B$106,"&lt;="&amp;$B93)</f>
        <v>4.45</v>
      </c>
      <c r="AR93" s="46" t="n">
        <f aca="false">SUMIFS('Additions (monthly)'!$E$2:$E$106,'Additions (monthly)'!$D$2:$D$106,AR$2,'Additions (monthly)'!$B$2:$B$106,"&lt;="&amp;$B93)</f>
        <v>77.1</v>
      </c>
      <c r="AS93" s="46" t="n">
        <f aca="false">SUMIFS('Additions (monthly)'!$E$2:$E$106,'Additions (monthly)'!$D$2:$D$106,AS$2,'Additions (monthly)'!$B$2:$B$106,"&lt;="&amp;$B93)</f>
        <v>0</v>
      </c>
      <c r="AT93" s="46" t="n">
        <f aca="false">SUMIFS('Additions (monthly)'!$E$2:$E$106,'Additions (monthly)'!$D$2:$D$106,AT$2,'Additions (monthly)'!$B$2:$B$106,"&lt;="&amp;$B93)</f>
        <v>0</v>
      </c>
      <c r="AU93" s="46" t="n">
        <f aca="false">SUMIFS('Additions (monthly)'!$E$2:$E$106,'Additions (monthly)'!$D$2:$D$106,AU$2,'Additions (monthly)'!$B$2:$B$106,"&lt;="&amp;$B93)</f>
        <v>9.6</v>
      </c>
      <c r="AV93" s="46" t="n">
        <f aca="false">SUMIFS('Additions (monthly)'!$E$2:$E$106,'Additions (monthly)'!$D$2:$D$106,AV$2,'Additions (monthly)'!$B$2:$B$106,"&lt;="&amp;$B93)</f>
        <v>0</v>
      </c>
      <c r="AW93" s="46" t="n">
        <f aca="false">SUMIFS('Additions (monthly)'!$E$2:$E$106,'Additions (monthly)'!$D$2:$D$106,AW$2,'Additions (monthly)'!$B$2:$B$106,"&lt;="&amp;$B93)</f>
        <v>0</v>
      </c>
      <c r="AX93" s="46" t="n">
        <f aca="false">SUMIFS('Additions (monthly)'!$E$2:$E$106,'Additions (monthly)'!$D$2:$D$106,AX$2,'Additions (monthly)'!$B$2:$B$106,"&lt;="&amp;$B93)</f>
        <v>11.8</v>
      </c>
      <c r="AY93" s="46" t="n">
        <f aca="false">SUMIFS('Additions (monthly)'!$E$2:$E$106,'Additions (monthly)'!$D$2:$D$106,AY$2,'Additions (monthly)'!$B$2:$B$106,"&lt;="&amp;$B93)</f>
        <v>5.3</v>
      </c>
      <c r="AZ93" s="46" t="n">
        <f aca="false">SUMIFS('Additions (monthly)'!$E$2:$E$106,'Additions (monthly)'!$D$2:$D$106,AZ$2,'Additions (monthly)'!$B$2:$B$106,"&lt;="&amp;$B93)</f>
        <v>0</v>
      </c>
      <c r="BA93" s="46" t="n">
        <f aca="false">SUMIFS('Additions (monthly)'!$E$2:$E$106,'Additions (monthly)'!$D$2:$D$106,BA$2,'Additions (monthly)'!$B$2:$B$106,"&lt;="&amp;$B93)</f>
        <v>0</v>
      </c>
      <c r="BB93" s="46" t="n">
        <f aca="false">SUMIFS('Additions (monthly)'!$E$2:$E$106,'Additions (monthly)'!$D$2:$D$106,BB$2,'Additions (monthly)'!$B$2:$B$106,"&lt;="&amp;$B93)</f>
        <v>0</v>
      </c>
      <c r="BC93" s="46" t="n">
        <f aca="false">SUMIFS('Additions (monthly)'!$E$2:$E$106,'Additions (monthly)'!$D$2:$D$106,BC$2,'Additions (monthly)'!$B$2:$B$106,"&lt;="&amp;$B93)</f>
        <v>0</v>
      </c>
      <c r="BD93" s="46" t="n">
        <f aca="false">SUMIFS('Additions (monthly)'!$E$2:$E$106,'Additions (monthly)'!$D$2:$D$106,BD$2,'Additions (monthly)'!$B$2:$B$106,"&lt;="&amp;$B93)</f>
        <v>0</v>
      </c>
      <c r="BE93" s="46" t="n">
        <f aca="false">SUMIFS('Additions (monthly)'!$E$2:$E$106,'Additions (monthly)'!$D$2:$D$106,BE$2,'Additions (monthly)'!$B$2:$B$106,"&lt;="&amp;$B93)</f>
        <v>0</v>
      </c>
      <c r="BF93" s="46" t="n">
        <f aca="false">SUMIFS('Additions (monthly)'!$E$2:$E$106,'Additions (monthly)'!$D$2:$D$106,BF$2,'Additions (monthly)'!$B$2:$B$106,"&lt;="&amp;$B93)</f>
        <v>0</v>
      </c>
      <c r="BG93" s="46" t="n">
        <f aca="false">SUMIFS('Additions (monthly)'!$E$2:$E$106,'Additions (monthly)'!$D$2:$D$106,BG$2,'Additions (monthly)'!$B$2:$B$106,"&lt;="&amp;$B93)</f>
        <v>0</v>
      </c>
      <c r="BH93" s="46" t="n">
        <f aca="false">SUMIFS('Additions (monthly)'!$E$2:$E$106,'Additions (monthly)'!$D$2:$D$106,BH$2,'Additions (monthly)'!$B$2:$B$106,"&lt;="&amp;$B93)</f>
        <v>20</v>
      </c>
      <c r="BI93" s="46" t="n">
        <f aca="false">SUMIFS('Additions (monthly)'!$E$2:$E$106,'Additions (monthly)'!$D$2:$D$106,BI$2,'Additions (monthly)'!$B$2:$B$106,"&lt;="&amp;$B93)</f>
        <v>6.7</v>
      </c>
    </row>
    <row r="94" customFormat="false" ht="15" hidden="false" customHeight="false" outlineLevel="0" collapsed="false">
      <c r="A94" s="44" t="n">
        <v>42948</v>
      </c>
      <c r="B94" s="45" t="n">
        <v>201708</v>
      </c>
      <c r="C94" s="42" t="n">
        <f aca="false">SUMIFS('Additions (monthly)'!$E$2:$E$106,'Additions (monthly)'!$B$2:$B$106,"&lt;="&amp;$B94)</f>
        <v>357.47</v>
      </c>
      <c r="D94" s="46" t="n">
        <f aca="false">SUMIFS('Additions (monthly)'!$E$2:$E$106,'Additions (monthly)'!$D$2:$D$106,D$2,'Additions (monthly)'!$B$2:$B$106,"&lt;="&amp;$B94)</f>
        <v>7.9</v>
      </c>
      <c r="E94" s="46" t="n">
        <f aca="false">SUMIFS('Additions (monthly)'!$E$2:$E$106,'Additions (monthly)'!$D$2:$D$106,E$2,'Additions (monthly)'!$B$2:$B$106,"&lt;="&amp;$B94)</f>
        <v>8.4</v>
      </c>
      <c r="F94" s="46" t="n">
        <f aca="false">SUMIFS('Additions (monthly)'!$E$2:$E$106,'Additions (monthly)'!$D$2:$D$106,F$2,'Additions (monthly)'!$B$2:$B$106,"&lt;="&amp;$B94)</f>
        <v>4.7</v>
      </c>
      <c r="G94" s="46" t="n">
        <f aca="false">SUMIFS('Additions (monthly)'!$E$2:$E$106,'Additions (monthly)'!$D$2:$D$106,G$2,'Additions (monthly)'!$B$2:$B$106,"&lt;="&amp;$B94)</f>
        <v>4.5</v>
      </c>
      <c r="H94" s="46" t="n">
        <f aca="false">SUMIFS('Additions (monthly)'!$E$2:$E$106,'Additions (monthly)'!$D$2:$D$106,H$2,'Additions (monthly)'!$B$2:$B$106,"&lt;="&amp;$B94)</f>
        <v>5.2</v>
      </c>
      <c r="I94" s="46" t="n">
        <f aca="false">SUMIFS('Additions (monthly)'!$E$2:$E$106,'Additions (monthly)'!$D$2:$D$106,I$2,'Additions (monthly)'!$B$2:$B$106,"&lt;="&amp;$B94)</f>
        <v>9</v>
      </c>
      <c r="J94" s="46" t="n">
        <f aca="false">SUMIFS('Additions (monthly)'!$E$2:$E$106,'Additions (monthly)'!$D$2:$D$106,J$2,'Additions (monthly)'!$B$2:$B$106,"&lt;="&amp;$B94)</f>
        <v>3.7</v>
      </c>
      <c r="K94" s="46" t="n">
        <f aca="false">SUMIFS('Additions (monthly)'!$E$2:$E$106,'Additions (monthly)'!$D$2:$D$106,K$2,'Additions (monthly)'!$B$2:$B$106,"&lt;="&amp;$B94)</f>
        <v>7.8</v>
      </c>
      <c r="L94" s="46" t="n">
        <f aca="false">SUMIFS('Additions (monthly)'!$E$2:$E$106,'Additions (monthly)'!$D$2:$D$106,L$2,'Additions (monthly)'!$B$2:$B$106,"&lt;="&amp;$B94)</f>
        <v>15.6</v>
      </c>
      <c r="M94" s="46" t="n">
        <f aca="false">SUMIFS('Additions (monthly)'!$E$2:$E$106,'Additions (monthly)'!$D$2:$D$106,M$2,'Additions (monthly)'!$B$2:$B$106,"&lt;="&amp;$B94)</f>
        <v>0</v>
      </c>
      <c r="N94" s="46" t="n">
        <f aca="false">SUMIFS('Additions (monthly)'!$E$2:$E$106,'Additions (monthly)'!$D$2:$D$106,N$2,'Additions (monthly)'!$B$2:$B$106,"&lt;="&amp;$B94)</f>
        <v>14.2</v>
      </c>
      <c r="O94" s="46" t="n">
        <f aca="false">SUMIFS('Additions (monthly)'!$E$2:$E$106,'Additions (monthly)'!$D$2:$D$106,O$2,'Additions (monthly)'!$B$2:$B$106,"&lt;="&amp;$B94)</f>
        <v>4.9</v>
      </c>
      <c r="P94" s="46" t="n">
        <f aca="false">SUMIFS('Additions (monthly)'!$E$2:$E$106,'Additions (monthly)'!$D$2:$D$106,P$2,'Additions (monthly)'!$B$2:$B$106,"&lt;="&amp;$B94)</f>
        <v>0</v>
      </c>
      <c r="Q94" s="46" t="n">
        <f aca="false">SUMIFS('Additions (monthly)'!$E$2:$E$106,'Additions (monthly)'!$D$2:$D$106,Q$2,'Additions (monthly)'!$B$2:$B$106,"&lt;="&amp;$B94)</f>
        <v>8.5</v>
      </c>
      <c r="R94" s="46" t="n">
        <f aca="false">SUMIFS('Additions (monthly)'!$E$2:$E$106,'Additions (monthly)'!$D$2:$D$106,R$2,'Additions (monthly)'!$B$2:$B$106,"&lt;="&amp;$B94)</f>
        <v>0</v>
      </c>
      <c r="S94" s="46" t="n">
        <f aca="false">SUMIFS('Additions (monthly)'!$E$2:$E$106,'Additions (monthly)'!$D$2:$D$106,S$2,'Additions (monthly)'!$B$2:$B$106,"&lt;="&amp;$B94)</f>
        <v>7.2</v>
      </c>
      <c r="T94" s="46" t="n">
        <f aca="false">SUMIFS('Additions (monthly)'!$E$2:$E$106,'Additions (monthly)'!$D$2:$D$106,T$2,'Additions (monthly)'!$B$2:$B$106,"&lt;="&amp;$B94)</f>
        <v>0</v>
      </c>
      <c r="U94" s="46" t="n">
        <f aca="false">SUMIFS('Additions (monthly)'!$E$2:$E$106,'Additions (monthly)'!$D$2:$D$106,U$2,'Additions (monthly)'!$B$2:$B$106,"&lt;="&amp;$B94)</f>
        <v>0</v>
      </c>
      <c r="V94" s="46" t="n">
        <f aca="false">SUMIFS('Additions (monthly)'!$E$2:$E$106,'Additions (monthly)'!$D$2:$D$106,V$2,'Additions (monthly)'!$B$2:$B$106,"&lt;="&amp;$B94)</f>
        <v>3.87</v>
      </c>
      <c r="W94" s="46" t="n">
        <f aca="false">SUMIFS('Additions (monthly)'!$E$2:$E$106,'Additions (monthly)'!$D$2:$D$106,W$2,'Additions (monthly)'!$B$2:$B$106,"&lt;="&amp;$B94)</f>
        <v>0</v>
      </c>
      <c r="X94" s="46" t="n">
        <f aca="false">SUMIFS('Additions (monthly)'!$E$2:$E$106,'Additions (monthly)'!$D$2:$D$106,X$2,'Additions (monthly)'!$B$2:$B$106,"&lt;="&amp;$B94)</f>
        <v>0</v>
      </c>
      <c r="Y94" s="46" t="n">
        <f aca="false">SUMIFS('Additions (monthly)'!$E$2:$E$106,'Additions (monthly)'!$D$2:$D$106,Y$2,'Additions (monthly)'!$B$2:$B$106,"&lt;="&amp;$B94)</f>
        <v>5</v>
      </c>
      <c r="Z94" s="46" t="n">
        <f aca="false">SUMIFS('Additions (monthly)'!$E$2:$E$106,'Additions (monthly)'!$D$2:$D$106,Z$2,'Additions (monthly)'!$B$2:$B$106,"&lt;="&amp;$B94)</f>
        <v>7.2</v>
      </c>
      <c r="AA94" s="46" t="n">
        <f aca="false">SUMIFS('Additions (monthly)'!$E$2:$E$106,'Additions (monthly)'!$D$2:$D$106,AA$2,'Additions (monthly)'!$B$2:$B$106,"&lt;="&amp;$B94)</f>
        <v>3.7</v>
      </c>
      <c r="AB94" s="46" t="n">
        <f aca="false">SUMIFS('Additions (monthly)'!$E$2:$E$106,'Additions (monthly)'!$D$2:$D$106,AB$2,'Additions (monthly)'!$B$2:$B$106,"&lt;="&amp;$B94)</f>
        <v>16.95</v>
      </c>
      <c r="AC94" s="46" t="n">
        <f aca="false">SUMIFS('Additions (monthly)'!$E$2:$E$106,'Additions (monthly)'!$D$2:$D$106,AC$2,'Additions (monthly)'!$B$2:$B$106,"&lt;="&amp;$B94)</f>
        <v>2</v>
      </c>
      <c r="AD94" s="46" t="n">
        <f aca="false">SUMIFS('Additions (monthly)'!$E$2:$E$106,'Additions (monthly)'!$D$2:$D$106,AD$2,'Additions (monthly)'!$B$2:$B$106,"&lt;="&amp;$B94)</f>
        <v>7.6</v>
      </c>
      <c r="AE94" s="46" t="n">
        <f aca="false">SUMIFS('Additions (monthly)'!$E$2:$E$106,'Additions (monthly)'!$D$2:$D$106,AE$2,'Additions (monthly)'!$B$2:$B$106,"&lt;="&amp;$B94)</f>
        <v>29.3</v>
      </c>
      <c r="AF94" s="46" t="n">
        <f aca="false">SUMIFS('Additions (monthly)'!$E$2:$E$106,'Additions (monthly)'!$D$2:$D$106,AF$2,'Additions (monthly)'!$B$2:$B$106,"&lt;="&amp;$B94)</f>
        <v>1.2</v>
      </c>
      <c r="AG94" s="46" t="n">
        <f aca="false">SUMIFS('Additions (monthly)'!$E$2:$E$106,'Additions (monthly)'!$D$2:$D$106,AG$2,'Additions (monthly)'!$B$2:$B$106,"&lt;="&amp;$B94)</f>
        <v>0</v>
      </c>
      <c r="AH94" s="46" t="n">
        <f aca="false">SUMIFS('Additions (monthly)'!$E$2:$E$106,'Additions (monthly)'!$D$2:$D$106,AH$2,'Additions (monthly)'!$B$2:$B$106,"&lt;="&amp;$B94)</f>
        <v>0</v>
      </c>
      <c r="AI94" s="46" t="n">
        <f aca="false">SUMIFS('Additions (monthly)'!$E$2:$E$106,'Additions (monthly)'!$D$2:$D$106,AI$2,'Additions (monthly)'!$B$2:$B$106,"&lt;="&amp;$B94)</f>
        <v>0</v>
      </c>
      <c r="AJ94" s="46" t="n">
        <f aca="false">SUMIFS('Additions (monthly)'!$E$2:$E$106,'Additions (monthly)'!$D$2:$D$106,AJ$2,'Additions (monthly)'!$B$2:$B$106,"&lt;="&amp;$B94)</f>
        <v>0</v>
      </c>
      <c r="AK94" s="46" t="n">
        <f aca="false">SUMIFS('Additions (monthly)'!$E$2:$E$106,'Additions (monthly)'!$D$2:$D$106,AK$2,'Additions (monthly)'!$B$2:$B$106,"&lt;="&amp;$B94)</f>
        <v>0</v>
      </c>
      <c r="AL94" s="46" t="n">
        <f aca="false">SUMIFS('Additions (monthly)'!$E$2:$E$106,'Additions (monthly)'!$D$2:$D$106,AL$2,'Additions (monthly)'!$B$2:$B$106,"&lt;="&amp;$B94)</f>
        <v>22.2</v>
      </c>
      <c r="AM94" s="46" t="n">
        <f aca="false">SUMIFS('Additions (monthly)'!$E$2:$E$106,'Additions (monthly)'!$D$2:$D$106,AM$2,'Additions (monthly)'!$B$2:$B$106,"&lt;="&amp;$B94)</f>
        <v>0.3</v>
      </c>
      <c r="AN94" s="46" t="n">
        <f aca="false">SUMIFS('Additions (monthly)'!$E$2:$E$106,'Additions (monthly)'!$D$2:$D$106,AN$2,'Additions (monthly)'!$B$2:$B$106,"&lt;="&amp;$B94)</f>
        <v>4.3</v>
      </c>
      <c r="AO94" s="46" t="n">
        <f aca="false">SUMIFS('Additions (monthly)'!$E$2:$E$106,'Additions (monthly)'!$D$2:$D$106,AO$2,'Additions (monthly)'!$B$2:$B$106,"&lt;="&amp;$B94)</f>
        <v>10.4</v>
      </c>
      <c r="AP94" s="46" t="n">
        <f aca="false">SUMIFS('Additions (monthly)'!$E$2:$E$106,'Additions (monthly)'!$D$2:$D$106,AP$2,'Additions (monthly)'!$B$2:$B$106,"&lt;="&amp;$B94)</f>
        <v>6.9</v>
      </c>
      <c r="AQ94" s="46" t="n">
        <f aca="false">SUMIFS('Additions (monthly)'!$E$2:$E$106,'Additions (monthly)'!$D$2:$D$106,AQ$2,'Additions (monthly)'!$B$2:$B$106,"&lt;="&amp;$B94)</f>
        <v>4.45</v>
      </c>
      <c r="AR94" s="46" t="n">
        <f aca="false">SUMIFS('Additions (monthly)'!$E$2:$E$106,'Additions (monthly)'!$D$2:$D$106,AR$2,'Additions (monthly)'!$B$2:$B$106,"&lt;="&amp;$B94)</f>
        <v>77.1</v>
      </c>
      <c r="AS94" s="46" t="n">
        <f aca="false">SUMIFS('Additions (monthly)'!$E$2:$E$106,'Additions (monthly)'!$D$2:$D$106,AS$2,'Additions (monthly)'!$B$2:$B$106,"&lt;="&amp;$B94)</f>
        <v>0</v>
      </c>
      <c r="AT94" s="46" t="n">
        <f aca="false">SUMIFS('Additions (monthly)'!$E$2:$E$106,'Additions (monthly)'!$D$2:$D$106,AT$2,'Additions (monthly)'!$B$2:$B$106,"&lt;="&amp;$B94)</f>
        <v>0</v>
      </c>
      <c r="AU94" s="46" t="n">
        <f aca="false">SUMIFS('Additions (monthly)'!$E$2:$E$106,'Additions (monthly)'!$D$2:$D$106,AU$2,'Additions (monthly)'!$B$2:$B$106,"&lt;="&amp;$B94)</f>
        <v>9.6</v>
      </c>
      <c r="AV94" s="46" t="n">
        <f aca="false">SUMIFS('Additions (monthly)'!$E$2:$E$106,'Additions (monthly)'!$D$2:$D$106,AV$2,'Additions (monthly)'!$B$2:$B$106,"&lt;="&amp;$B94)</f>
        <v>0</v>
      </c>
      <c r="AW94" s="46" t="n">
        <f aca="false">SUMIFS('Additions (monthly)'!$E$2:$E$106,'Additions (monthly)'!$D$2:$D$106,AW$2,'Additions (monthly)'!$B$2:$B$106,"&lt;="&amp;$B94)</f>
        <v>0</v>
      </c>
      <c r="AX94" s="46" t="n">
        <f aca="false">SUMIFS('Additions (monthly)'!$E$2:$E$106,'Additions (monthly)'!$D$2:$D$106,AX$2,'Additions (monthly)'!$B$2:$B$106,"&lt;="&amp;$B94)</f>
        <v>11.8</v>
      </c>
      <c r="AY94" s="46" t="n">
        <f aca="false">SUMIFS('Additions (monthly)'!$E$2:$E$106,'Additions (monthly)'!$D$2:$D$106,AY$2,'Additions (monthly)'!$B$2:$B$106,"&lt;="&amp;$B94)</f>
        <v>5.3</v>
      </c>
      <c r="AZ94" s="46" t="n">
        <f aca="false">SUMIFS('Additions (monthly)'!$E$2:$E$106,'Additions (monthly)'!$D$2:$D$106,AZ$2,'Additions (monthly)'!$B$2:$B$106,"&lt;="&amp;$B94)</f>
        <v>0</v>
      </c>
      <c r="BA94" s="46" t="n">
        <f aca="false">SUMIFS('Additions (monthly)'!$E$2:$E$106,'Additions (monthly)'!$D$2:$D$106,BA$2,'Additions (monthly)'!$B$2:$B$106,"&lt;="&amp;$B94)</f>
        <v>0</v>
      </c>
      <c r="BB94" s="46" t="n">
        <f aca="false">SUMIFS('Additions (monthly)'!$E$2:$E$106,'Additions (monthly)'!$D$2:$D$106,BB$2,'Additions (monthly)'!$B$2:$B$106,"&lt;="&amp;$B94)</f>
        <v>0</v>
      </c>
      <c r="BC94" s="46" t="n">
        <f aca="false">SUMIFS('Additions (monthly)'!$E$2:$E$106,'Additions (monthly)'!$D$2:$D$106,BC$2,'Additions (monthly)'!$B$2:$B$106,"&lt;="&amp;$B94)</f>
        <v>0</v>
      </c>
      <c r="BD94" s="46" t="n">
        <f aca="false">SUMIFS('Additions (monthly)'!$E$2:$E$106,'Additions (monthly)'!$D$2:$D$106,BD$2,'Additions (monthly)'!$B$2:$B$106,"&lt;="&amp;$B94)</f>
        <v>0</v>
      </c>
      <c r="BE94" s="46" t="n">
        <f aca="false">SUMIFS('Additions (monthly)'!$E$2:$E$106,'Additions (monthly)'!$D$2:$D$106,BE$2,'Additions (monthly)'!$B$2:$B$106,"&lt;="&amp;$B94)</f>
        <v>0</v>
      </c>
      <c r="BF94" s="46" t="n">
        <f aca="false">SUMIFS('Additions (monthly)'!$E$2:$E$106,'Additions (monthly)'!$D$2:$D$106,BF$2,'Additions (monthly)'!$B$2:$B$106,"&lt;="&amp;$B94)</f>
        <v>0</v>
      </c>
      <c r="BG94" s="46" t="n">
        <f aca="false">SUMIFS('Additions (monthly)'!$E$2:$E$106,'Additions (monthly)'!$D$2:$D$106,BG$2,'Additions (monthly)'!$B$2:$B$106,"&lt;="&amp;$B94)</f>
        <v>0</v>
      </c>
      <c r="BH94" s="46" t="n">
        <f aca="false">SUMIFS('Additions (monthly)'!$E$2:$E$106,'Additions (monthly)'!$D$2:$D$106,BH$2,'Additions (monthly)'!$B$2:$B$106,"&lt;="&amp;$B94)</f>
        <v>20</v>
      </c>
      <c r="BI94" s="46" t="n">
        <f aca="false">SUMIFS('Additions (monthly)'!$E$2:$E$106,'Additions (monthly)'!$D$2:$D$106,BI$2,'Additions (monthly)'!$B$2:$B$106,"&lt;="&amp;$B94)</f>
        <v>6.7</v>
      </c>
    </row>
    <row r="95" customFormat="false" ht="15" hidden="false" customHeight="false" outlineLevel="0" collapsed="false">
      <c r="A95" s="44" t="n">
        <v>42979</v>
      </c>
      <c r="B95" s="45" t="n">
        <v>201709</v>
      </c>
      <c r="C95" s="42" t="n">
        <f aca="false">SUMIFS('Additions (monthly)'!$E$2:$E$106,'Additions (monthly)'!$B$2:$B$106,"&lt;="&amp;$B95)</f>
        <v>357.47</v>
      </c>
      <c r="D95" s="46" t="n">
        <f aca="false">SUMIFS('Additions (monthly)'!$E$2:$E$106,'Additions (monthly)'!$D$2:$D$106,D$2,'Additions (monthly)'!$B$2:$B$106,"&lt;="&amp;$B95)</f>
        <v>7.9</v>
      </c>
      <c r="E95" s="46" t="n">
        <f aca="false">SUMIFS('Additions (monthly)'!$E$2:$E$106,'Additions (monthly)'!$D$2:$D$106,E$2,'Additions (monthly)'!$B$2:$B$106,"&lt;="&amp;$B95)</f>
        <v>8.4</v>
      </c>
      <c r="F95" s="46" t="n">
        <f aca="false">SUMIFS('Additions (monthly)'!$E$2:$E$106,'Additions (monthly)'!$D$2:$D$106,F$2,'Additions (monthly)'!$B$2:$B$106,"&lt;="&amp;$B95)</f>
        <v>4.7</v>
      </c>
      <c r="G95" s="46" t="n">
        <f aca="false">SUMIFS('Additions (monthly)'!$E$2:$E$106,'Additions (monthly)'!$D$2:$D$106,G$2,'Additions (monthly)'!$B$2:$B$106,"&lt;="&amp;$B95)</f>
        <v>4.5</v>
      </c>
      <c r="H95" s="46" t="n">
        <f aca="false">SUMIFS('Additions (monthly)'!$E$2:$E$106,'Additions (monthly)'!$D$2:$D$106,H$2,'Additions (monthly)'!$B$2:$B$106,"&lt;="&amp;$B95)</f>
        <v>5.2</v>
      </c>
      <c r="I95" s="46" t="n">
        <f aca="false">SUMIFS('Additions (monthly)'!$E$2:$E$106,'Additions (monthly)'!$D$2:$D$106,I$2,'Additions (monthly)'!$B$2:$B$106,"&lt;="&amp;$B95)</f>
        <v>9</v>
      </c>
      <c r="J95" s="46" t="n">
        <f aca="false">SUMIFS('Additions (monthly)'!$E$2:$E$106,'Additions (monthly)'!$D$2:$D$106,J$2,'Additions (monthly)'!$B$2:$B$106,"&lt;="&amp;$B95)</f>
        <v>3.7</v>
      </c>
      <c r="K95" s="46" t="n">
        <f aca="false">SUMIFS('Additions (monthly)'!$E$2:$E$106,'Additions (monthly)'!$D$2:$D$106,K$2,'Additions (monthly)'!$B$2:$B$106,"&lt;="&amp;$B95)</f>
        <v>7.8</v>
      </c>
      <c r="L95" s="46" t="n">
        <f aca="false">SUMIFS('Additions (monthly)'!$E$2:$E$106,'Additions (monthly)'!$D$2:$D$106,L$2,'Additions (monthly)'!$B$2:$B$106,"&lt;="&amp;$B95)</f>
        <v>15.6</v>
      </c>
      <c r="M95" s="46" t="n">
        <f aca="false">SUMIFS('Additions (monthly)'!$E$2:$E$106,'Additions (monthly)'!$D$2:$D$106,M$2,'Additions (monthly)'!$B$2:$B$106,"&lt;="&amp;$B95)</f>
        <v>0</v>
      </c>
      <c r="N95" s="46" t="n">
        <f aca="false">SUMIFS('Additions (monthly)'!$E$2:$E$106,'Additions (monthly)'!$D$2:$D$106,N$2,'Additions (monthly)'!$B$2:$B$106,"&lt;="&amp;$B95)</f>
        <v>14.2</v>
      </c>
      <c r="O95" s="46" t="n">
        <f aca="false">SUMIFS('Additions (monthly)'!$E$2:$E$106,'Additions (monthly)'!$D$2:$D$106,O$2,'Additions (monthly)'!$B$2:$B$106,"&lt;="&amp;$B95)</f>
        <v>4.9</v>
      </c>
      <c r="P95" s="46" t="n">
        <f aca="false">SUMIFS('Additions (monthly)'!$E$2:$E$106,'Additions (monthly)'!$D$2:$D$106,P$2,'Additions (monthly)'!$B$2:$B$106,"&lt;="&amp;$B95)</f>
        <v>0</v>
      </c>
      <c r="Q95" s="46" t="n">
        <f aca="false">SUMIFS('Additions (monthly)'!$E$2:$E$106,'Additions (monthly)'!$D$2:$D$106,Q$2,'Additions (monthly)'!$B$2:$B$106,"&lt;="&amp;$B95)</f>
        <v>8.5</v>
      </c>
      <c r="R95" s="46" t="n">
        <f aca="false">SUMIFS('Additions (monthly)'!$E$2:$E$106,'Additions (monthly)'!$D$2:$D$106,R$2,'Additions (monthly)'!$B$2:$B$106,"&lt;="&amp;$B95)</f>
        <v>0</v>
      </c>
      <c r="S95" s="46" t="n">
        <f aca="false">SUMIFS('Additions (monthly)'!$E$2:$E$106,'Additions (monthly)'!$D$2:$D$106,S$2,'Additions (monthly)'!$B$2:$B$106,"&lt;="&amp;$B95)</f>
        <v>7.2</v>
      </c>
      <c r="T95" s="46" t="n">
        <f aca="false">SUMIFS('Additions (monthly)'!$E$2:$E$106,'Additions (monthly)'!$D$2:$D$106,T$2,'Additions (monthly)'!$B$2:$B$106,"&lt;="&amp;$B95)</f>
        <v>0</v>
      </c>
      <c r="U95" s="46" t="n">
        <f aca="false">SUMIFS('Additions (monthly)'!$E$2:$E$106,'Additions (monthly)'!$D$2:$D$106,U$2,'Additions (monthly)'!$B$2:$B$106,"&lt;="&amp;$B95)</f>
        <v>0</v>
      </c>
      <c r="V95" s="46" t="n">
        <f aca="false">SUMIFS('Additions (monthly)'!$E$2:$E$106,'Additions (monthly)'!$D$2:$D$106,V$2,'Additions (monthly)'!$B$2:$B$106,"&lt;="&amp;$B95)</f>
        <v>3.87</v>
      </c>
      <c r="W95" s="46" t="n">
        <f aca="false">SUMIFS('Additions (monthly)'!$E$2:$E$106,'Additions (monthly)'!$D$2:$D$106,W$2,'Additions (monthly)'!$B$2:$B$106,"&lt;="&amp;$B95)</f>
        <v>0</v>
      </c>
      <c r="X95" s="46" t="n">
        <f aca="false">SUMIFS('Additions (monthly)'!$E$2:$E$106,'Additions (monthly)'!$D$2:$D$106,X$2,'Additions (monthly)'!$B$2:$B$106,"&lt;="&amp;$B95)</f>
        <v>0</v>
      </c>
      <c r="Y95" s="46" t="n">
        <f aca="false">SUMIFS('Additions (monthly)'!$E$2:$E$106,'Additions (monthly)'!$D$2:$D$106,Y$2,'Additions (monthly)'!$B$2:$B$106,"&lt;="&amp;$B95)</f>
        <v>5</v>
      </c>
      <c r="Z95" s="46" t="n">
        <f aca="false">SUMIFS('Additions (monthly)'!$E$2:$E$106,'Additions (monthly)'!$D$2:$D$106,Z$2,'Additions (monthly)'!$B$2:$B$106,"&lt;="&amp;$B95)</f>
        <v>7.2</v>
      </c>
      <c r="AA95" s="46" t="n">
        <f aca="false">SUMIFS('Additions (monthly)'!$E$2:$E$106,'Additions (monthly)'!$D$2:$D$106,AA$2,'Additions (monthly)'!$B$2:$B$106,"&lt;="&amp;$B95)</f>
        <v>3.7</v>
      </c>
      <c r="AB95" s="46" t="n">
        <f aca="false">SUMIFS('Additions (monthly)'!$E$2:$E$106,'Additions (monthly)'!$D$2:$D$106,AB$2,'Additions (monthly)'!$B$2:$B$106,"&lt;="&amp;$B95)</f>
        <v>16.95</v>
      </c>
      <c r="AC95" s="46" t="n">
        <f aca="false">SUMIFS('Additions (monthly)'!$E$2:$E$106,'Additions (monthly)'!$D$2:$D$106,AC$2,'Additions (monthly)'!$B$2:$B$106,"&lt;="&amp;$B95)</f>
        <v>2</v>
      </c>
      <c r="AD95" s="46" t="n">
        <f aca="false">SUMIFS('Additions (monthly)'!$E$2:$E$106,'Additions (monthly)'!$D$2:$D$106,AD$2,'Additions (monthly)'!$B$2:$B$106,"&lt;="&amp;$B95)</f>
        <v>7.6</v>
      </c>
      <c r="AE95" s="46" t="n">
        <f aca="false">SUMIFS('Additions (monthly)'!$E$2:$E$106,'Additions (monthly)'!$D$2:$D$106,AE$2,'Additions (monthly)'!$B$2:$B$106,"&lt;="&amp;$B95)</f>
        <v>29.3</v>
      </c>
      <c r="AF95" s="46" t="n">
        <f aca="false">SUMIFS('Additions (monthly)'!$E$2:$E$106,'Additions (monthly)'!$D$2:$D$106,AF$2,'Additions (monthly)'!$B$2:$B$106,"&lt;="&amp;$B95)</f>
        <v>1.2</v>
      </c>
      <c r="AG95" s="46" t="n">
        <f aca="false">SUMIFS('Additions (monthly)'!$E$2:$E$106,'Additions (monthly)'!$D$2:$D$106,AG$2,'Additions (monthly)'!$B$2:$B$106,"&lt;="&amp;$B95)</f>
        <v>0</v>
      </c>
      <c r="AH95" s="46" t="n">
        <f aca="false">SUMIFS('Additions (monthly)'!$E$2:$E$106,'Additions (monthly)'!$D$2:$D$106,AH$2,'Additions (monthly)'!$B$2:$B$106,"&lt;="&amp;$B95)</f>
        <v>0</v>
      </c>
      <c r="AI95" s="46" t="n">
        <f aca="false">SUMIFS('Additions (monthly)'!$E$2:$E$106,'Additions (monthly)'!$D$2:$D$106,AI$2,'Additions (monthly)'!$B$2:$B$106,"&lt;="&amp;$B95)</f>
        <v>0</v>
      </c>
      <c r="AJ95" s="46" t="n">
        <f aca="false">SUMIFS('Additions (monthly)'!$E$2:$E$106,'Additions (monthly)'!$D$2:$D$106,AJ$2,'Additions (monthly)'!$B$2:$B$106,"&lt;="&amp;$B95)</f>
        <v>0</v>
      </c>
      <c r="AK95" s="46" t="n">
        <f aca="false">SUMIFS('Additions (monthly)'!$E$2:$E$106,'Additions (monthly)'!$D$2:$D$106,AK$2,'Additions (monthly)'!$B$2:$B$106,"&lt;="&amp;$B95)</f>
        <v>0</v>
      </c>
      <c r="AL95" s="46" t="n">
        <f aca="false">SUMIFS('Additions (monthly)'!$E$2:$E$106,'Additions (monthly)'!$D$2:$D$106,AL$2,'Additions (monthly)'!$B$2:$B$106,"&lt;="&amp;$B95)</f>
        <v>22.2</v>
      </c>
      <c r="AM95" s="46" t="n">
        <f aca="false">SUMIFS('Additions (monthly)'!$E$2:$E$106,'Additions (monthly)'!$D$2:$D$106,AM$2,'Additions (monthly)'!$B$2:$B$106,"&lt;="&amp;$B95)</f>
        <v>0.3</v>
      </c>
      <c r="AN95" s="46" t="n">
        <f aca="false">SUMIFS('Additions (monthly)'!$E$2:$E$106,'Additions (monthly)'!$D$2:$D$106,AN$2,'Additions (monthly)'!$B$2:$B$106,"&lt;="&amp;$B95)</f>
        <v>4.3</v>
      </c>
      <c r="AO95" s="46" t="n">
        <f aca="false">SUMIFS('Additions (monthly)'!$E$2:$E$106,'Additions (monthly)'!$D$2:$D$106,AO$2,'Additions (monthly)'!$B$2:$B$106,"&lt;="&amp;$B95)</f>
        <v>10.4</v>
      </c>
      <c r="AP95" s="46" t="n">
        <f aca="false">SUMIFS('Additions (monthly)'!$E$2:$E$106,'Additions (monthly)'!$D$2:$D$106,AP$2,'Additions (monthly)'!$B$2:$B$106,"&lt;="&amp;$B95)</f>
        <v>6.9</v>
      </c>
      <c r="AQ95" s="46" t="n">
        <f aca="false">SUMIFS('Additions (monthly)'!$E$2:$E$106,'Additions (monthly)'!$D$2:$D$106,AQ$2,'Additions (monthly)'!$B$2:$B$106,"&lt;="&amp;$B95)</f>
        <v>4.45</v>
      </c>
      <c r="AR95" s="46" t="n">
        <f aca="false">SUMIFS('Additions (monthly)'!$E$2:$E$106,'Additions (monthly)'!$D$2:$D$106,AR$2,'Additions (monthly)'!$B$2:$B$106,"&lt;="&amp;$B95)</f>
        <v>77.1</v>
      </c>
      <c r="AS95" s="46" t="n">
        <f aca="false">SUMIFS('Additions (monthly)'!$E$2:$E$106,'Additions (monthly)'!$D$2:$D$106,AS$2,'Additions (monthly)'!$B$2:$B$106,"&lt;="&amp;$B95)</f>
        <v>0</v>
      </c>
      <c r="AT95" s="46" t="n">
        <f aca="false">SUMIFS('Additions (monthly)'!$E$2:$E$106,'Additions (monthly)'!$D$2:$D$106,AT$2,'Additions (monthly)'!$B$2:$B$106,"&lt;="&amp;$B95)</f>
        <v>0</v>
      </c>
      <c r="AU95" s="46" t="n">
        <f aca="false">SUMIFS('Additions (monthly)'!$E$2:$E$106,'Additions (monthly)'!$D$2:$D$106,AU$2,'Additions (monthly)'!$B$2:$B$106,"&lt;="&amp;$B95)</f>
        <v>9.6</v>
      </c>
      <c r="AV95" s="46" t="n">
        <f aca="false">SUMIFS('Additions (monthly)'!$E$2:$E$106,'Additions (monthly)'!$D$2:$D$106,AV$2,'Additions (monthly)'!$B$2:$B$106,"&lt;="&amp;$B95)</f>
        <v>0</v>
      </c>
      <c r="AW95" s="46" t="n">
        <f aca="false">SUMIFS('Additions (monthly)'!$E$2:$E$106,'Additions (monthly)'!$D$2:$D$106,AW$2,'Additions (monthly)'!$B$2:$B$106,"&lt;="&amp;$B95)</f>
        <v>0</v>
      </c>
      <c r="AX95" s="46" t="n">
        <f aca="false">SUMIFS('Additions (monthly)'!$E$2:$E$106,'Additions (monthly)'!$D$2:$D$106,AX$2,'Additions (monthly)'!$B$2:$B$106,"&lt;="&amp;$B95)</f>
        <v>11.8</v>
      </c>
      <c r="AY95" s="46" t="n">
        <f aca="false">SUMIFS('Additions (monthly)'!$E$2:$E$106,'Additions (monthly)'!$D$2:$D$106,AY$2,'Additions (monthly)'!$B$2:$B$106,"&lt;="&amp;$B95)</f>
        <v>5.3</v>
      </c>
      <c r="AZ95" s="46" t="n">
        <f aca="false">SUMIFS('Additions (monthly)'!$E$2:$E$106,'Additions (monthly)'!$D$2:$D$106,AZ$2,'Additions (monthly)'!$B$2:$B$106,"&lt;="&amp;$B95)</f>
        <v>0</v>
      </c>
      <c r="BA95" s="46" t="n">
        <f aca="false">SUMIFS('Additions (monthly)'!$E$2:$E$106,'Additions (monthly)'!$D$2:$D$106,BA$2,'Additions (monthly)'!$B$2:$B$106,"&lt;="&amp;$B95)</f>
        <v>0</v>
      </c>
      <c r="BB95" s="46" t="n">
        <f aca="false">SUMIFS('Additions (monthly)'!$E$2:$E$106,'Additions (monthly)'!$D$2:$D$106,BB$2,'Additions (monthly)'!$B$2:$B$106,"&lt;="&amp;$B95)</f>
        <v>0</v>
      </c>
      <c r="BC95" s="46" t="n">
        <f aca="false">SUMIFS('Additions (monthly)'!$E$2:$E$106,'Additions (monthly)'!$D$2:$D$106,BC$2,'Additions (monthly)'!$B$2:$B$106,"&lt;="&amp;$B95)</f>
        <v>0</v>
      </c>
      <c r="BD95" s="46" t="n">
        <f aca="false">SUMIFS('Additions (monthly)'!$E$2:$E$106,'Additions (monthly)'!$D$2:$D$106,BD$2,'Additions (monthly)'!$B$2:$B$106,"&lt;="&amp;$B95)</f>
        <v>0</v>
      </c>
      <c r="BE95" s="46" t="n">
        <f aca="false">SUMIFS('Additions (monthly)'!$E$2:$E$106,'Additions (monthly)'!$D$2:$D$106,BE$2,'Additions (monthly)'!$B$2:$B$106,"&lt;="&amp;$B95)</f>
        <v>0</v>
      </c>
      <c r="BF95" s="46" t="n">
        <f aca="false">SUMIFS('Additions (monthly)'!$E$2:$E$106,'Additions (monthly)'!$D$2:$D$106,BF$2,'Additions (monthly)'!$B$2:$B$106,"&lt;="&amp;$B95)</f>
        <v>0</v>
      </c>
      <c r="BG95" s="46" t="n">
        <f aca="false">SUMIFS('Additions (monthly)'!$E$2:$E$106,'Additions (monthly)'!$D$2:$D$106,BG$2,'Additions (monthly)'!$B$2:$B$106,"&lt;="&amp;$B95)</f>
        <v>0</v>
      </c>
      <c r="BH95" s="46" t="n">
        <f aca="false">SUMIFS('Additions (monthly)'!$E$2:$E$106,'Additions (monthly)'!$D$2:$D$106,BH$2,'Additions (monthly)'!$B$2:$B$106,"&lt;="&amp;$B95)</f>
        <v>20</v>
      </c>
      <c r="BI95" s="46" t="n">
        <f aca="false">SUMIFS('Additions (monthly)'!$E$2:$E$106,'Additions (monthly)'!$D$2:$D$106,BI$2,'Additions (monthly)'!$B$2:$B$106,"&lt;="&amp;$B95)</f>
        <v>6.7</v>
      </c>
    </row>
    <row r="96" customFormat="false" ht="15" hidden="false" customHeight="false" outlineLevel="0" collapsed="false">
      <c r="A96" s="44" t="n">
        <v>43009</v>
      </c>
      <c r="B96" s="45" t="n">
        <v>201710</v>
      </c>
      <c r="C96" s="42" t="n">
        <f aca="false">SUMIFS('Additions (monthly)'!$E$2:$E$106,'Additions (monthly)'!$B$2:$B$106,"&lt;="&amp;$B96)</f>
        <v>366.37</v>
      </c>
      <c r="D96" s="46" t="n">
        <f aca="false">SUMIFS('Additions (monthly)'!$E$2:$E$106,'Additions (monthly)'!$D$2:$D$106,D$2,'Additions (monthly)'!$B$2:$B$106,"&lt;="&amp;$B96)</f>
        <v>7.9</v>
      </c>
      <c r="E96" s="46" t="n">
        <f aca="false">SUMIFS('Additions (monthly)'!$E$2:$E$106,'Additions (monthly)'!$D$2:$D$106,E$2,'Additions (monthly)'!$B$2:$B$106,"&lt;="&amp;$B96)</f>
        <v>8.4</v>
      </c>
      <c r="F96" s="46" t="n">
        <f aca="false">SUMIFS('Additions (monthly)'!$E$2:$E$106,'Additions (monthly)'!$D$2:$D$106,F$2,'Additions (monthly)'!$B$2:$B$106,"&lt;="&amp;$B96)</f>
        <v>4.7</v>
      </c>
      <c r="G96" s="46" t="n">
        <f aca="false">SUMIFS('Additions (monthly)'!$E$2:$E$106,'Additions (monthly)'!$D$2:$D$106,G$2,'Additions (monthly)'!$B$2:$B$106,"&lt;="&amp;$B96)</f>
        <v>4.5</v>
      </c>
      <c r="H96" s="46" t="n">
        <f aca="false">SUMIFS('Additions (monthly)'!$E$2:$E$106,'Additions (monthly)'!$D$2:$D$106,H$2,'Additions (monthly)'!$B$2:$B$106,"&lt;="&amp;$B96)</f>
        <v>5.2</v>
      </c>
      <c r="I96" s="46" t="n">
        <f aca="false">SUMIFS('Additions (monthly)'!$E$2:$E$106,'Additions (monthly)'!$D$2:$D$106,I$2,'Additions (monthly)'!$B$2:$B$106,"&lt;="&amp;$B96)</f>
        <v>9</v>
      </c>
      <c r="J96" s="46" t="n">
        <f aca="false">SUMIFS('Additions (monthly)'!$E$2:$E$106,'Additions (monthly)'!$D$2:$D$106,J$2,'Additions (monthly)'!$B$2:$B$106,"&lt;="&amp;$B96)</f>
        <v>3.7</v>
      </c>
      <c r="K96" s="46" t="n">
        <f aca="false">SUMIFS('Additions (monthly)'!$E$2:$E$106,'Additions (monthly)'!$D$2:$D$106,K$2,'Additions (monthly)'!$B$2:$B$106,"&lt;="&amp;$B96)</f>
        <v>7.8</v>
      </c>
      <c r="L96" s="46" t="n">
        <f aca="false">SUMIFS('Additions (monthly)'!$E$2:$E$106,'Additions (monthly)'!$D$2:$D$106,L$2,'Additions (monthly)'!$B$2:$B$106,"&lt;="&amp;$B96)</f>
        <v>15.6</v>
      </c>
      <c r="M96" s="46" t="n">
        <f aca="false">SUMIFS('Additions (monthly)'!$E$2:$E$106,'Additions (monthly)'!$D$2:$D$106,M$2,'Additions (monthly)'!$B$2:$B$106,"&lt;="&amp;$B96)</f>
        <v>0</v>
      </c>
      <c r="N96" s="46" t="n">
        <f aca="false">SUMIFS('Additions (monthly)'!$E$2:$E$106,'Additions (monthly)'!$D$2:$D$106,N$2,'Additions (monthly)'!$B$2:$B$106,"&lt;="&amp;$B96)</f>
        <v>14.2</v>
      </c>
      <c r="O96" s="46" t="n">
        <f aca="false">SUMIFS('Additions (monthly)'!$E$2:$E$106,'Additions (monthly)'!$D$2:$D$106,O$2,'Additions (monthly)'!$B$2:$B$106,"&lt;="&amp;$B96)</f>
        <v>4.9</v>
      </c>
      <c r="P96" s="46" t="n">
        <f aca="false">SUMIFS('Additions (monthly)'!$E$2:$E$106,'Additions (monthly)'!$D$2:$D$106,P$2,'Additions (monthly)'!$B$2:$B$106,"&lt;="&amp;$B96)</f>
        <v>0</v>
      </c>
      <c r="Q96" s="46" t="n">
        <f aca="false">SUMIFS('Additions (monthly)'!$E$2:$E$106,'Additions (monthly)'!$D$2:$D$106,Q$2,'Additions (monthly)'!$B$2:$B$106,"&lt;="&amp;$B96)</f>
        <v>8.5</v>
      </c>
      <c r="R96" s="46" t="n">
        <f aca="false">SUMIFS('Additions (monthly)'!$E$2:$E$106,'Additions (monthly)'!$D$2:$D$106,R$2,'Additions (monthly)'!$B$2:$B$106,"&lt;="&amp;$B96)</f>
        <v>8.9</v>
      </c>
      <c r="S96" s="46" t="n">
        <f aca="false">SUMIFS('Additions (monthly)'!$E$2:$E$106,'Additions (monthly)'!$D$2:$D$106,S$2,'Additions (monthly)'!$B$2:$B$106,"&lt;="&amp;$B96)</f>
        <v>7.2</v>
      </c>
      <c r="T96" s="46" t="n">
        <f aca="false">SUMIFS('Additions (monthly)'!$E$2:$E$106,'Additions (monthly)'!$D$2:$D$106,T$2,'Additions (monthly)'!$B$2:$B$106,"&lt;="&amp;$B96)</f>
        <v>0</v>
      </c>
      <c r="U96" s="46" t="n">
        <f aca="false">SUMIFS('Additions (monthly)'!$E$2:$E$106,'Additions (monthly)'!$D$2:$D$106,U$2,'Additions (monthly)'!$B$2:$B$106,"&lt;="&amp;$B96)</f>
        <v>0</v>
      </c>
      <c r="V96" s="46" t="n">
        <f aca="false">SUMIFS('Additions (monthly)'!$E$2:$E$106,'Additions (monthly)'!$D$2:$D$106,V$2,'Additions (monthly)'!$B$2:$B$106,"&lt;="&amp;$B96)</f>
        <v>3.87</v>
      </c>
      <c r="W96" s="46" t="n">
        <f aca="false">SUMIFS('Additions (monthly)'!$E$2:$E$106,'Additions (monthly)'!$D$2:$D$106,W$2,'Additions (monthly)'!$B$2:$B$106,"&lt;="&amp;$B96)</f>
        <v>0</v>
      </c>
      <c r="X96" s="46" t="n">
        <f aca="false">SUMIFS('Additions (monthly)'!$E$2:$E$106,'Additions (monthly)'!$D$2:$D$106,X$2,'Additions (monthly)'!$B$2:$B$106,"&lt;="&amp;$B96)</f>
        <v>0</v>
      </c>
      <c r="Y96" s="46" t="n">
        <f aca="false">SUMIFS('Additions (monthly)'!$E$2:$E$106,'Additions (monthly)'!$D$2:$D$106,Y$2,'Additions (monthly)'!$B$2:$B$106,"&lt;="&amp;$B96)</f>
        <v>5</v>
      </c>
      <c r="Z96" s="46" t="n">
        <f aca="false">SUMIFS('Additions (monthly)'!$E$2:$E$106,'Additions (monthly)'!$D$2:$D$106,Z$2,'Additions (monthly)'!$B$2:$B$106,"&lt;="&amp;$B96)</f>
        <v>7.2</v>
      </c>
      <c r="AA96" s="46" t="n">
        <f aca="false">SUMIFS('Additions (monthly)'!$E$2:$E$106,'Additions (monthly)'!$D$2:$D$106,AA$2,'Additions (monthly)'!$B$2:$B$106,"&lt;="&amp;$B96)</f>
        <v>3.7</v>
      </c>
      <c r="AB96" s="46" t="n">
        <f aca="false">SUMIFS('Additions (monthly)'!$E$2:$E$106,'Additions (monthly)'!$D$2:$D$106,AB$2,'Additions (monthly)'!$B$2:$B$106,"&lt;="&amp;$B96)</f>
        <v>16.95</v>
      </c>
      <c r="AC96" s="46" t="n">
        <f aca="false">SUMIFS('Additions (monthly)'!$E$2:$E$106,'Additions (monthly)'!$D$2:$D$106,AC$2,'Additions (monthly)'!$B$2:$B$106,"&lt;="&amp;$B96)</f>
        <v>2</v>
      </c>
      <c r="AD96" s="46" t="n">
        <f aca="false">SUMIFS('Additions (monthly)'!$E$2:$E$106,'Additions (monthly)'!$D$2:$D$106,AD$2,'Additions (monthly)'!$B$2:$B$106,"&lt;="&amp;$B96)</f>
        <v>7.6</v>
      </c>
      <c r="AE96" s="46" t="n">
        <f aca="false">SUMIFS('Additions (monthly)'!$E$2:$E$106,'Additions (monthly)'!$D$2:$D$106,AE$2,'Additions (monthly)'!$B$2:$B$106,"&lt;="&amp;$B96)</f>
        <v>29.3</v>
      </c>
      <c r="AF96" s="46" t="n">
        <f aca="false">SUMIFS('Additions (monthly)'!$E$2:$E$106,'Additions (monthly)'!$D$2:$D$106,AF$2,'Additions (monthly)'!$B$2:$B$106,"&lt;="&amp;$B96)</f>
        <v>1.2</v>
      </c>
      <c r="AG96" s="46" t="n">
        <f aca="false">SUMIFS('Additions (monthly)'!$E$2:$E$106,'Additions (monthly)'!$D$2:$D$106,AG$2,'Additions (monthly)'!$B$2:$B$106,"&lt;="&amp;$B96)</f>
        <v>0</v>
      </c>
      <c r="AH96" s="46" t="n">
        <f aca="false">SUMIFS('Additions (monthly)'!$E$2:$E$106,'Additions (monthly)'!$D$2:$D$106,AH$2,'Additions (monthly)'!$B$2:$B$106,"&lt;="&amp;$B96)</f>
        <v>0</v>
      </c>
      <c r="AI96" s="46" t="n">
        <f aca="false">SUMIFS('Additions (monthly)'!$E$2:$E$106,'Additions (monthly)'!$D$2:$D$106,AI$2,'Additions (monthly)'!$B$2:$B$106,"&lt;="&amp;$B96)</f>
        <v>0</v>
      </c>
      <c r="AJ96" s="46" t="n">
        <f aca="false">SUMIFS('Additions (monthly)'!$E$2:$E$106,'Additions (monthly)'!$D$2:$D$106,AJ$2,'Additions (monthly)'!$B$2:$B$106,"&lt;="&amp;$B96)</f>
        <v>0</v>
      </c>
      <c r="AK96" s="46" t="n">
        <f aca="false">SUMIFS('Additions (monthly)'!$E$2:$E$106,'Additions (monthly)'!$D$2:$D$106,AK$2,'Additions (monthly)'!$B$2:$B$106,"&lt;="&amp;$B96)</f>
        <v>0</v>
      </c>
      <c r="AL96" s="46" t="n">
        <f aca="false">SUMIFS('Additions (monthly)'!$E$2:$E$106,'Additions (monthly)'!$D$2:$D$106,AL$2,'Additions (monthly)'!$B$2:$B$106,"&lt;="&amp;$B96)</f>
        <v>22.2</v>
      </c>
      <c r="AM96" s="46" t="n">
        <f aca="false">SUMIFS('Additions (monthly)'!$E$2:$E$106,'Additions (monthly)'!$D$2:$D$106,AM$2,'Additions (monthly)'!$B$2:$B$106,"&lt;="&amp;$B96)</f>
        <v>0.3</v>
      </c>
      <c r="AN96" s="46" t="n">
        <f aca="false">SUMIFS('Additions (monthly)'!$E$2:$E$106,'Additions (monthly)'!$D$2:$D$106,AN$2,'Additions (monthly)'!$B$2:$B$106,"&lt;="&amp;$B96)</f>
        <v>4.3</v>
      </c>
      <c r="AO96" s="46" t="n">
        <f aca="false">SUMIFS('Additions (monthly)'!$E$2:$E$106,'Additions (monthly)'!$D$2:$D$106,AO$2,'Additions (monthly)'!$B$2:$B$106,"&lt;="&amp;$B96)</f>
        <v>10.4</v>
      </c>
      <c r="AP96" s="46" t="n">
        <f aca="false">SUMIFS('Additions (monthly)'!$E$2:$E$106,'Additions (monthly)'!$D$2:$D$106,AP$2,'Additions (monthly)'!$B$2:$B$106,"&lt;="&amp;$B96)</f>
        <v>6.9</v>
      </c>
      <c r="AQ96" s="46" t="n">
        <f aca="false">SUMIFS('Additions (monthly)'!$E$2:$E$106,'Additions (monthly)'!$D$2:$D$106,AQ$2,'Additions (monthly)'!$B$2:$B$106,"&lt;="&amp;$B96)</f>
        <v>4.45</v>
      </c>
      <c r="AR96" s="46" t="n">
        <f aca="false">SUMIFS('Additions (monthly)'!$E$2:$E$106,'Additions (monthly)'!$D$2:$D$106,AR$2,'Additions (monthly)'!$B$2:$B$106,"&lt;="&amp;$B96)</f>
        <v>77.1</v>
      </c>
      <c r="AS96" s="46" t="n">
        <f aca="false">SUMIFS('Additions (monthly)'!$E$2:$E$106,'Additions (monthly)'!$D$2:$D$106,AS$2,'Additions (monthly)'!$B$2:$B$106,"&lt;="&amp;$B96)</f>
        <v>0</v>
      </c>
      <c r="AT96" s="46" t="n">
        <f aca="false">SUMIFS('Additions (monthly)'!$E$2:$E$106,'Additions (monthly)'!$D$2:$D$106,AT$2,'Additions (monthly)'!$B$2:$B$106,"&lt;="&amp;$B96)</f>
        <v>0</v>
      </c>
      <c r="AU96" s="46" t="n">
        <f aca="false">SUMIFS('Additions (monthly)'!$E$2:$E$106,'Additions (monthly)'!$D$2:$D$106,AU$2,'Additions (monthly)'!$B$2:$B$106,"&lt;="&amp;$B96)</f>
        <v>9.6</v>
      </c>
      <c r="AV96" s="46" t="n">
        <f aca="false">SUMIFS('Additions (monthly)'!$E$2:$E$106,'Additions (monthly)'!$D$2:$D$106,AV$2,'Additions (monthly)'!$B$2:$B$106,"&lt;="&amp;$B96)</f>
        <v>0</v>
      </c>
      <c r="AW96" s="46" t="n">
        <f aca="false">SUMIFS('Additions (monthly)'!$E$2:$E$106,'Additions (monthly)'!$D$2:$D$106,AW$2,'Additions (monthly)'!$B$2:$B$106,"&lt;="&amp;$B96)</f>
        <v>0</v>
      </c>
      <c r="AX96" s="46" t="n">
        <f aca="false">SUMIFS('Additions (monthly)'!$E$2:$E$106,'Additions (monthly)'!$D$2:$D$106,AX$2,'Additions (monthly)'!$B$2:$B$106,"&lt;="&amp;$B96)</f>
        <v>11.8</v>
      </c>
      <c r="AY96" s="46" t="n">
        <f aca="false">SUMIFS('Additions (monthly)'!$E$2:$E$106,'Additions (monthly)'!$D$2:$D$106,AY$2,'Additions (monthly)'!$B$2:$B$106,"&lt;="&amp;$B96)</f>
        <v>5.3</v>
      </c>
      <c r="AZ96" s="46" t="n">
        <f aca="false">SUMIFS('Additions (monthly)'!$E$2:$E$106,'Additions (monthly)'!$D$2:$D$106,AZ$2,'Additions (monthly)'!$B$2:$B$106,"&lt;="&amp;$B96)</f>
        <v>0</v>
      </c>
      <c r="BA96" s="46" t="n">
        <f aca="false">SUMIFS('Additions (monthly)'!$E$2:$E$106,'Additions (monthly)'!$D$2:$D$106,BA$2,'Additions (monthly)'!$B$2:$B$106,"&lt;="&amp;$B96)</f>
        <v>0</v>
      </c>
      <c r="BB96" s="46" t="n">
        <f aca="false">SUMIFS('Additions (monthly)'!$E$2:$E$106,'Additions (monthly)'!$D$2:$D$106,BB$2,'Additions (monthly)'!$B$2:$B$106,"&lt;="&amp;$B96)</f>
        <v>0</v>
      </c>
      <c r="BC96" s="46" t="n">
        <f aca="false">SUMIFS('Additions (monthly)'!$E$2:$E$106,'Additions (monthly)'!$D$2:$D$106,BC$2,'Additions (monthly)'!$B$2:$B$106,"&lt;="&amp;$B96)</f>
        <v>0</v>
      </c>
      <c r="BD96" s="46" t="n">
        <f aca="false">SUMIFS('Additions (monthly)'!$E$2:$E$106,'Additions (monthly)'!$D$2:$D$106,BD$2,'Additions (monthly)'!$B$2:$B$106,"&lt;="&amp;$B96)</f>
        <v>0</v>
      </c>
      <c r="BE96" s="46" t="n">
        <f aca="false">SUMIFS('Additions (monthly)'!$E$2:$E$106,'Additions (monthly)'!$D$2:$D$106,BE$2,'Additions (monthly)'!$B$2:$B$106,"&lt;="&amp;$B96)</f>
        <v>0</v>
      </c>
      <c r="BF96" s="46" t="n">
        <f aca="false">SUMIFS('Additions (monthly)'!$E$2:$E$106,'Additions (monthly)'!$D$2:$D$106,BF$2,'Additions (monthly)'!$B$2:$B$106,"&lt;="&amp;$B96)</f>
        <v>0</v>
      </c>
      <c r="BG96" s="46" t="n">
        <f aca="false">SUMIFS('Additions (monthly)'!$E$2:$E$106,'Additions (monthly)'!$D$2:$D$106,BG$2,'Additions (monthly)'!$B$2:$B$106,"&lt;="&amp;$B96)</f>
        <v>0</v>
      </c>
      <c r="BH96" s="46" t="n">
        <f aca="false">SUMIFS('Additions (monthly)'!$E$2:$E$106,'Additions (monthly)'!$D$2:$D$106,BH$2,'Additions (monthly)'!$B$2:$B$106,"&lt;="&amp;$B96)</f>
        <v>20</v>
      </c>
      <c r="BI96" s="46" t="n">
        <f aca="false">SUMIFS('Additions (monthly)'!$E$2:$E$106,'Additions (monthly)'!$D$2:$D$106,BI$2,'Additions (monthly)'!$B$2:$B$106,"&lt;="&amp;$B96)</f>
        <v>6.7</v>
      </c>
    </row>
    <row r="97" customFormat="false" ht="15" hidden="false" customHeight="false" outlineLevel="0" collapsed="false">
      <c r="A97" s="44" t="n">
        <v>43040</v>
      </c>
      <c r="B97" s="45" t="n">
        <v>201711</v>
      </c>
      <c r="C97" s="42" t="n">
        <f aca="false">SUMIFS('Additions (monthly)'!$E$2:$E$106,'Additions (monthly)'!$B$2:$B$106,"&lt;="&amp;$B97)</f>
        <v>366.37</v>
      </c>
      <c r="D97" s="46" t="n">
        <f aca="false">SUMIFS('Additions (monthly)'!$E$2:$E$106,'Additions (monthly)'!$D$2:$D$106,D$2,'Additions (monthly)'!$B$2:$B$106,"&lt;="&amp;$B97)</f>
        <v>7.9</v>
      </c>
      <c r="E97" s="46" t="n">
        <f aca="false">SUMIFS('Additions (monthly)'!$E$2:$E$106,'Additions (monthly)'!$D$2:$D$106,E$2,'Additions (monthly)'!$B$2:$B$106,"&lt;="&amp;$B97)</f>
        <v>8.4</v>
      </c>
      <c r="F97" s="46" t="n">
        <f aca="false">SUMIFS('Additions (monthly)'!$E$2:$E$106,'Additions (monthly)'!$D$2:$D$106,F$2,'Additions (monthly)'!$B$2:$B$106,"&lt;="&amp;$B97)</f>
        <v>4.7</v>
      </c>
      <c r="G97" s="46" t="n">
        <f aca="false">SUMIFS('Additions (monthly)'!$E$2:$E$106,'Additions (monthly)'!$D$2:$D$106,G$2,'Additions (monthly)'!$B$2:$B$106,"&lt;="&amp;$B97)</f>
        <v>4.5</v>
      </c>
      <c r="H97" s="46" t="n">
        <f aca="false">SUMIFS('Additions (monthly)'!$E$2:$E$106,'Additions (monthly)'!$D$2:$D$106,H$2,'Additions (monthly)'!$B$2:$B$106,"&lt;="&amp;$B97)</f>
        <v>5.2</v>
      </c>
      <c r="I97" s="46" t="n">
        <f aca="false">SUMIFS('Additions (monthly)'!$E$2:$E$106,'Additions (monthly)'!$D$2:$D$106,I$2,'Additions (monthly)'!$B$2:$B$106,"&lt;="&amp;$B97)</f>
        <v>9</v>
      </c>
      <c r="J97" s="46" t="n">
        <f aca="false">SUMIFS('Additions (monthly)'!$E$2:$E$106,'Additions (monthly)'!$D$2:$D$106,J$2,'Additions (monthly)'!$B$2:$B$106,"&lt;="&amp;$B97)</f>
        <v>3.7</v>
      </c>
      <c r="K97" s="46" t="n">
        <f aca="false">SUMIFS('Additions (monthly)'!$E$2:$E$106,'Additions (monthly)'!$D$2:$D$106,K$2,'Additions (monthly)'!$B$2:$B$106,"&lt;="&amp;$B97)</f>
        <v>7.8</v>
      </c>
      <c r="L97" s="46" t="n">
        <f aca="false">SUMIFS('Additions (monthly)'!$E$2:$E$106,'Additions (monthly)'!$D$2:$D$106,L$2,'Additions (monthly)'!$B$2:$B$106,"&lt;="&amp;$B97)</f>
        <v>15.6</v>
      </c>
      <c r="M97" s="46" t="n">
        <f aca="false">SUMIFS('Additions (monthly)'!$E$2:$E$106,'Additions (monthly)'!$D$2:$D$106,M$2,'Additions (monthly)'!$B$2:$B$106,"&lt;="&amp;$B97)</f>
        <v>0</v>
      </c>
      <c r="N97" s="46" t="n">
        <f aca="false">SUMIFS('Additions (monthly)'!$E$2:$E$106,'Additions (monthly)'!$D$2:$D$106,N$2,'Additions (monthly)'!$B$2:$B$106,"&lt;="&amp;$B97)</f>
        <v>14.2</v>
      </c>
      <c r="O97" s="46" t="n">
        <f aca="false">SUMIFS('Additions (monthly)'!$E$2:$E$106,'Additions (monthly)'!$D$2:$D$106,O$2,'Additions (monthly)'!$B$2:$B$106,"&lt;="&amp;$B97)</f>
        <v>4.9</v>
      </c>
      <c r="P97" s="46" t="n">
        <f aca="false">SUMIFS('Additions (monthly)'!$E$2:$E$106,'Additions (monthly)'!$D$2:$D$106,P$2,'Additions (monthly)'!$B$2:$B$106,"&lt;="&amp;$B97)</f>
        <v>0</v>
      </c>
      <c r="Q97" s="46" t="n">
        <f aca="false">SUMIFS('Additions (monthly)'!$E$2:$E$106,'Additions (monthly)'!$D$2:$D$106,Q$2,'Additions (monthly)'!$B$2:$B$106,"&lt;="&amp;$B97)</f>
        <v>8.5</v>
      </c>
      <c r="R97" s="46" t="n">
        <f aca="false">SUMIFS('Additions (monthly)'!$E$2:$E$106,'Additions (monthly)'!$D$2:$D$106,R$2,'Additions (monthly)'!$B$2:$B$106,"&lt;="&amp;$B97)</f>
        <v>8.9</v>
      </c>
      <c r="S97" s="46" t="n">
        <f aca="false">SUMIFS('Additions (monthly)'!$E$2:$E$106,'Additions (monthly)'!$D$2:$D$106,S$2,'Additions (monthly)'!$B$2:$B$106,"&lt;="&amp;$B97)</f>
        <v>7.2</v>
      </c>
      <c r="T97" s="46" t="n">
        <f aca="false">SUMIFS('Additions (monthly)'!$E$2:$E$106,'Additions (monthly)'!$D$2:$D$106,T$2,'Additions (monthly)'!$B$2:$B$106,"&lt;="&amp;$B97)</f>
        <v>0</v>
      </c>
      <c r="U97" s="46" t="n">
        <f aca="false">SUMIFS('Additions (monthly)'!$E$2:$E$106,'Additions (monthly)'!$D$2:$D$106,U$2,'Additions (monthly)'!$B$2:$B$106,"&lt;="&amp;$B97)</f>
        <v>0</v>
      </c>
      <c r="V97" s="46" t="n">
        <f aca="false">SUMIFS('Additions (monthly)'!$E$2:$E$106,'Additions (monthly)'!$D$2:$D$106,V$2,'Additions (monthly)'!$B$2:$B$106,"&lt;="&amp;$B97)</f>
        <v>3.87</v>
      </c>
      <c r="W97" s="46" t="n">
        <f aca="false">SUMIFS('Additions (monthly)'!$E$2:$E$106,'Additions (monthly)'!$D$2:$D$106,W$2,'Additions (monthly)'!$B$2:$B$106,"&lt;="&amp;$B97)</f>
        <v>0</v>
      </c>
      <c r="X97" s="46" t="n">
        <f aca="false">SUMIFS('Additions (monthly)'!$E$2:$E$106,'Additions (monthly)'!$D$2:$D$106,X$2,'Additions (monthly)'!$B$2:$B$106,"&lt;="&amp;$B97)</f>
        <v>0</v>
      </c>
      <c r="Y97" s="46" t="n">
        <f aca="false">SUMIFS('Additions (monthly)'!$E$2:$E$106,'Additions (monthly)'!$D$2:$D$106,Y$2,'Additions (monthly)'!$B$2:$B$106,"&lt;="&amp;$B97)</f>
        <v>5</v>
      </c>
      <c r="Z97" s="46" t="n">
        <f aca="false">SUMIFS('Additions (monthly)'!$E$2:$E$106,'Additions (monthly)'!$D$2:$D$106,Z$2,'Additions (monthly)'!$B$2:$B$106,"&lt;="&amp;$B97)</f>
        <v>7.2</v>
      </c>
      <c r="AA97" s="46" t="n">
        <f aca="false">SUMIFS('Additions (monthly)'!$E$2:$E$106,'Additions (monthly)'!$D$2:$D$106,AA$2,'Additions (monthly)'!$B$2:$B$106,"&lt;="&amp;$B97)</f>
        <v>3.7</v>
      </c>
      <c r="AB97" s="46" t="n">
        <f aca="false">SUMIFS('Additions (monthly)'!$E$2:$E$106,'Additions (monthly)'!$D$2:$D$106,AB$2,'Additions (monthly)'!$B$2:$B$106,"&lt;="&amp;$B97)</f>
        <v>16.95</v>
      </c>
      <c r="AC97" s="46" t="n">
        <f aca="false">SUMIFS('Additions (monthly)'!$E$2:$E$106,'Additions (monthly)'!$D$2:$D$106,AC$2,'Additions (monthly)'!$B$2:$B$106,"&lt;="&amp;$B97)</f>
        <v>2</v>
      </c>
      <c r="AD97" s="46" t="n">
        <f aca="false">SUMIFS('Additions (monthly)'!$E$2:$E$106,'Additions (monthly)'!$D$2:$D$106,AD$2,'Additions (monthly)'!$B$2:$B$106,"&lt;="&amp;$B97)</f>
        <v>7.6</v>
      </c>
      <c r="AE97" s="46" t="n">
        <f aca="false">SUMIFS('Additions (monthly)'!$E$2:$E$106,'Additions (monthly)'!$D$2:$D$106,AE$2,'Additions (monthly)'!$B$2:$B$106,"&lt;="&amp;$B97)</f>
        <v>29.3</v>
      </c>
      <c r="AF97" s="46" t="n">
        <f aca="false">SUMIFS('Additions (monthly)'!$E$2:$E$106,'Additions (monthly)'!$D$2:$D$106,AF$2,'Additions (monthly)'!$B$2:$B$106,"&lt;="&amp;$B97)</f>
        <v>1.2</v>
      </c>
      <c r="AG97" s="46" t="n">
        <f aca="false">SUMIFS('Additions (monthly)'!$E$2:$E$106,'Additions (monthly)'!$D$2:$D$106,AG$2,'Additions (monthly)'!$B$2:$B$106,"&lt;="&amp;$B97)</f>
        <v>0</v>
      </c>
      <c r="AH97" s="46" t="n">
        <f aca="false">SUMIFS('Additions (monthly)'!$E$2:$E$106,'Additions (monthly)'!$D$2:$D$106,AH$2,'Additions (monthly)'!$B$2:$B$106,"&lt;="&amp;$B97)</f>
        <v>0</v>
      </c>
      <c r="AI97" s="46" t="n">
        <f aca="false">SUMIFS('Additions (monthly)'!$E$2:$E$106,'Additions (monthly)'!$D$2:$D$106,AI$2,'Additions (monthly)'!$B$2:$B$106,"&lt;="&amp;$B97)</f>
        <v>0</v>
      </c>
      <c r="AJ97" s="46" t="n">
        <f aca="false">SUMIFS('Additions (monthly)'!$E$2:$E$106,'Additions (monthly)'!$D$2:$D$106,AJ$2,'Additions (monthly)'!$B$2:$B$106,"&lt;="&amp;$B97)</f>
        <v>0</v>
      </c>
      <c r="AK97" s="46" t="n">
        <f aca="false">SUMIFS('Additions (monthly)'!$E$2:$E$106,'Additions (monthly)'!$D$2:$D$106,AK$2,'Additions (monthly)'!$B$2:$B$106,"&lt;="&amp;$B97)</f>
        <v>0</v>
      </c>
      <c r="AL97" s="46" t="n">
        <f aca="false">SUMIFS('Additions (monthly)'!$E$2:$E$106,'Additions (monthly)'!$D$2:$D$106,AL$2,'Additions (monthly)'!$B$2:$B$106,"&lt;="&amp;$B97)</f>
        <v>22.2</v>
      </c>
      <c r="AM97" s="46" t="n">
        <f aca="false">SUMIFS('Additions (monthly)'!$E$2:$E$106,'Additions (monthly)'!$D$2:$D$106,AM$2,'Additions (monthly)'!$B$2:$B$106,"&lt;="&amp;$B97)</f>
        <v>0.3</v>
      </c>
      <c r="AN97" s="46" t="n">
        <f aca="false">SUMIFS('Additions (monthly)'!$E$2:$E$106,'Additions (monthly)'!$D$2:$D$106,AN$2,'Additions (monthly)'!$B$2:$B$106,"&lt;="&amp;$B97)</f>
        <v>4.3</v>
      </c>
      <c r="AO97" s="46" t="n">
        <f aca="false">SUMIFS('Additions (monthly)'!$E$2:$E$106,'Additions (monthly)'!$D$2:$D$106,AO$2,'Additions (monthly)'!$B$2:$B$106,"&lt;="&amp;$B97)</f>
        <v>10.4</v>
      </c>
      <c r="AP97" s="46" t="n">
        <f aca="false">SUMIFS('Additions (monthly)'!$E$2:$E$106,'Additions (monthly)'!$D$2:$D$106,AP$2,'Additions (monthly)'!$B$2:$B$106,"&lt;="&amp;$B97)</f>
        <v>6.9</v>
      </c>
      <c r="AQ97" s="46" t="n">
        <f aca="false">SUMIFS('Additions (monthly)'!$E$2:$E$106,'Additions (monthly)'!$D$2:$D$106,AQ$2,'Additions (monthly)'!$B$2:$B$106,"&lt;="&amp;$B97)</f>
        <v>4.45</v>
      </c>
      <c r="AR97" s="46" t="n">
        <f aca="false">SUMIFS('Additions (monthly)'!$E$2:$E$106,'Additions (monthly)'!$D$2:$D$106,AR$2,'Additions (monthly)'!$B$2:$B$106,"&lt;="&amp;$B97)</f>
        <v>77.1</v>
      </c>
      <c r="AS97" s="46" t="n">
        <f aca="false">SUMIFS('Additions (monthly)'!$E$2:$E$106,'Additions (monthly)'!$D$2:$D$106,AS$2,'Additions (monthly)'!$B$2:$B$106,"&lt;="&amp;$B97)</f>
        <v>0</v>
      </c>
      <c r="AT97" s="46" t="n">
        <f aca="false">SUMIFS('Additions (monthly)'!$E$2:$E$106,'Additions (monthly)'!$D$2:$D$106,AT$2,'Additions (monthly)'!$B$2:$B$106,"&lt;="&amp;$B97)</f>
        <v>0</v>
      </c>
      <c r="AU97" s="46" t="n">
        <f aca="false">SUMIFS('Additions (monthly)'!$E$2:$E$106,'Additions (monthly)'!$D$2:$D$106,AU$2,'Additions (monthly)'!$B$2:$B$106,"&lt;="&amp;$B97)</f>
        <v>9.6</v>
      </c>
      <c r="AV97" s="46" t="n">
        <f aca="false">SUMIFS('Additions (monthly)'!$E$2:$E$106,'Additions (monthly)'!$D$2:$D$106,AV$2,'Additions (monthly)'!$B$2:$B$106,"&lt;="&amp;$B97)</f>
        <v>0</v>
      </c>
      <c r="AW97" s="46" t="n">
        <f aca="false">SUMIFS('Additions (monthly)'!$E$2:$E$106,'Additions (monthly)'!$D$2:$D$106,AW$2,'Additions (monthly)'!$B$2:$B$106,"&lt;="&amp;$B97)</f>
        <v>0</v>
      </c>
      <c r="AX97" s="46" t="n">
        <f aca="false">SUMIFS('Additions (monthly)'!$E$2:$E$106,'Additions (monthly)'!$D$2:$D$106,AX$2,'Additions (monthly)'!$B$2:$B$106,"&lt;="&amp;$B97)</f>
        <v>11.8</v>
      </c>
      <c r="AY97" s="46" t="n">
        <f aca="false">SUMIFS('Additions (monthly)'!$E$2:$E$106,'Additions (monthly)'!$D$2:$D$106,AY$2,'Additions (monthly)'!$B$2:$B$106,"&lt;="&amp;$B97)</f>
        <v>5.3</v>
      </c>
      <c r="AZ97" s="46" t="n">
        <f aca="false">SUMIFS('Additions (monthly)'!$E$2:$E$106,'Additions (monthly)'!$D$2:$D$106,AZ$2,'Additions (monthly)'!$B$2:$B$106,"&lt;="&amp;$B97)</f>
        <v>0</v>
      </c>
      <c r="BA97" s="46" t="n">
        <f aca="false">SUMIFS('Additions (monthly)'!$E$2:$E$106,'Additions (monthly)'!$D$2:$D$106,BA$2,'Additions (monthly)'!$B$2:$B$106,"&lt;="&amp;$B97)</f>
        <v>0</v>
      </c>
      <c r="BB97" s="46" t="n">
        <f aca="false">SUMIFS('Additions (monthly)'!$E$2:$E$106,'Additions (monthly)'!$D$2:$D$106,BB$2,'Additions (monthly)'!$B$2:$B$106,"&lt;="&amp;$B97)</f>
        <v>0</v>
      </c>
      <c r="BC97" s="46" t="n">
        <f aca="false">SUMIFS('Additions (monthly)'!$E$2:$E$106,'Additions (monthly)'!$D$2:$D$106,BC$2,'Additions (monthly)'!$B$2:$B$106,"&lt;="&amp;$B97)</f>
        <v>0</v>
      </c>
      <c r="BD97" s="46" t="n">
        <f aca="false">SUMIFS('Additions (monthly)'!$E$2:$E$106,'Additions (monthly)'!$D$2:$D$106,BD$2,'Additions (monthly)'!$B$2:$B$106,"&lt;="&amp;$B97)</f>
        <v>0</v>
      </c>
      <c r="BE97" s="46" t="n">
        <f aca="false">SUMIFS('Additions (monthly)'!$E$2:$E$106,'Additions (monthly)'!$D$2:$D$106,BE$2,'Additions (monthly)'!$B$2:$B$106,"&lt;="&amp;$B97)</f>
        <v>0</v>
      </c>
      <c r="BF97" s="46" t="n">
        <f aca="false">SUMIFS('Additions (monthly)'!$E$2:$E$106,'Additions (monthly)'!$D$2:$D$106,BF$2,'Additions (monthly)'!$B$2:$B$106,"&lt;="&amp;$B97)</f>
        <v>0</v>
      </c>
      <c r="BG97" s="46" t="n">
        <f aca="false">SUMIFS('Additions (monthly)'!$E$2:$E$106,'Additions (monthly)'!$D$2:$D$106,BG$2,'Additions (monthly)'!$B$2:$B$106,"&lt;="&amp;$B97)</f>
        <v>0</v>
      </c>
      <c r="BH97" s="46" t="n">
        <f aca="false">SUMIFS('Additions (monthly)'!$E$2:$E$106,'Additions (monthly)'!$D$2:$D$106,BH$2,'Additions (monthly)'!$B$2:$B$106,"&lt;="&amp;$B97)</f>
        <v>20</v>
      </c>
      <c r="BI97" s="46" t="n">
        <f aca="false">SUMIFS('Additions (monthly)'!$E$2:$E$106,'Additions (monthly)'!$D$2:$D$106,BI$2,'Additions (monthly)'!$B$2:$B$106,"&lt;="&amp;$B97)</f>
        <v>6.7</v>
      </c>
    </row>
    <row r="98" customFormat="false" ht="15" hidden="false" customHeight="false" outlineLevel="0" collapsed="false">
      <c r="A98" s="44" t="n">
        <v>43070</v>
      </c>
      <c r="B98" s="45" t="n">
        <v>201712</v>
      </c>
      <c r="C98" s="42" t="n">
        <f aca="false">SUMIFS('Additions (monthly)'!$E$2:$E$106,'Additions (monthly)'!$B$2:$B$106,"&lt;="&amp;$B98)</f>
        <v>371.87</v>
      </c>
      <c r="D98" s="46" t="n">
        <f aca="false">SUMIFS('Additions (monthly)'!$E$2:$E$106,'Additions (monthly)'!$D$2:$D$106,D$2,'Additions (monthly)'!$B$2:$B$106,"&lt;="&amp;$B98)</f>
        <v>7.9</v>
      </c>
      <c r="E98" s="46" t="n">
        <f aca="false">SUMIFS('Additions (monthly)'!$E$2:$E$106,'Additions (monthly)'!$D$2:$D$106,E$2,'Additions (monthly)'!$B$2:$B$106,"&lt;="&amp;$B98)</f>
        <v>8.4</v>
      </c>
      <c r="F98" s="46" t="n">
        <f aca="false">SUMIFS('Additions (monthly)'!$E$2:$E$106,'Additions (monthly)'!$D$2:$D$106,F$2,'Additions (monthly)'!$B$2:$B$106,"&lt;="&amp;$B98)</f>
        <v>4.7</v>
      </c>
      <c r="G98" s="46" t="n">
        <f aca="false">SUMIFS('Additions (monthly)'!$E$2:$E$106,'Additions (monthly)'!$D$2:$D$106,G$2,'Additions (monthly)'!$B$2:$B$106,"&lt;="&amp;$B98)</f>
        <v>4.5</v>
      </c>
      <c r="H98" s="46" t="n">
        <f aca="false">SUMIFS('Additions (monthly)'!$E$2:$E$106,'Additions (monthly)'!$D$2:$D$106,H$2,'Additions (monthly)'!$B$2:$B$106,"&lt;="&amp;$B98)</f>
        <v>5.2</v>
      </c>
      <c r="I98" s="46" t="n">
        <f aca="false">SUMIFS('Additions (monthly)'!$E$2:$E$106,'Additions (monthly)'!$D$2:$D$106,I$2,'Additions (monthly)'!$B$2:$B$106,"&lt;="&amp;$B98)</f>
        <v>9</v>
      </c>
      <c r="J98" s="46" t="n">
        <f aca="false">SUMIFS('Additions (monthly)'!$E$2:$E$106,'Additions (monthly)'!$D$2:$D$106,J$2,'Additions (monthly)'!$B$2:$B$106,"&lt;="&amp;$B98)</f>
        <v>3.7</v>
      </c>
      <c r="K98" s="46" t="n">
        <f aca="false">SUMIFS('Additions (monthly)'!$E$2:$E$106,'Additions (monthly)'!$D$2:$D$106,K$2,'Additions (monthly)'!$B$2:$B$106,"&lt;="&amp;$B98)</f>
        <v>7.8</v>
      </c>
      <c r="L98" s="46" t="n">
        <f aca="false">SUMIFS('Additions (monthly)'!$E$2:$E$106,'Additions (monthly)'!$D$2:$D$106,L$2,'Additions (monthly)'!$B$2:$B$106,"&lt;="&amp;$B98)</f>
        <v>15.6</v>
      </c>
      <c r="M98" s="46" t="n">
        <f aca="false">SUMIFS('Additions (monthly)'!$E$2:$E$106,'Additions (monthly)'!$D$2:$D$106,M$2,'Additions (monthly)'!$B$2:$B$106,"&lt;="&amp;$B98)</f>
        <v>0</v>
      </c>
      <c r="N98" s="46" t="n">
        <f aca="false">SUMIFS('Additions (monthly)'!$E$2:$E$106,'Additions (monthly)'!$D$2:$D$106,N$2,'Additions (monthly)'!$B$2:$B$106,"&lt;="&amp;$B98)</f>
        <v>14.2</v>
      </c>
      <c r="O98" s="46" t="n">
        <f aca="false">SUMIFS('Additions (monthly)'!$E$2:$E$106,'Additions (monthly)'!$D$2:$D$106,O$2,'Additions (monthly)'!$B$2:$B$106,"&lt;="&amp;$B98)</f>
        <v>4.9</v>
      </c>
      <c r="P98" s="46" t="n">
        <f aca="false">SUMIFS('Additions (monthly)'!$E$2:$E$106,'Additions (monthly)'!$D$2:$D$106,P$2,'Additions (monthly)'!$B$2:$B$106,"&lt;="&amp;$B98)</f>
        <v>0</v>
      </c>
      <c r="Q98" s="46" t="n">
        <f aca="false">SUMIFS('Additions (monthly)'!$E$2:$E$106,'Additions (monthly)'!$D$2:$D$106,Q$2,'Additions (monthly)'!$B$2:$B$106,"&lt;="&amp;$B98)</f>
        <v>8.5</v>
      </c>
      <c r="R98" s="46" t="n">
        <f aca="false">SUMIFS('Additions (monthly)'!$E$2:$E$106,'Additions (monthly)'!$D$2:$D$106,R$2,'Additions (monthly)'!$B$2:$B$106,"&lt;="&amp;$B98)</f>
        <v>8.9</v>
      </c>
      <c r="S98" s="46" t="n">
        <f aca="false">SUMIFS('Additions (monthly)'!$E$2:$E$106,'Additions (monthly)'!$D$2:$D$106,S$2,'Additions (monthly)'!$B$2:$B$106,"&lt;="&amp;$B98)</f>
        <v>7.2</v>
      </c>
      <c r="T98" s="46" t="n">
        <f aca="false">SUMIFS('Additions (monthly)'!$E$2:$E$106,'Additions (monthly)'!$D$2:$D$106,T$2,'Additions (monthly)'!$B$2:$B$106,"&lt;="&amp;$B98)</f>
        <v>0</v>
      </c>
      <c r="U98" s="46" t="n">
        <f aca="false">SUMIFS('Additions (monthly)'!$E$2:$E$106,'Additions (monthly)'!$D$2:$D$106,U$2,'Additions (monthly)'!$B$2:$B$106,"&lt;="&amp;$B98)</f>
        <v>0</v>
      </c>
      <c r="V98" s="46" t="n">
        <f aca="false">SUMIFS('Additions (monthly)'!$E$2:$E$106,'Additions (monthly)'!$D$2:$D$106,V$2,'Additions (monthly)'!$B$2:$B$106,"&lt;="&amp;$B98)</f>
        <v>3.87</v>
      </c>
      <c r="W98" s="46" t="n">
        <f aca="false">SUMIFS('Additions (monthly)'!$E$2:$E$106,'Additions (monthly)'!$D$2:$D$106,W$2,'Additions (monthly)'!$B$2:$B$106,"&lt;="&amp;$B98)</f>
        <v>0</v>
      </c>
      <c r="X98" s="46" t="n">
        <f aca="false">SUMIFS('Additions (monthly)'!$E$2:$E$106,'Additions (monthly)'!$D$2:$D$106,X$2,'Additions (monthly)'!$B$2:$B$106,"&lt;="&amp;$B98)</f>
        <v>0</v>
      </c>
      <c r="Y98" s="46" t="n">
        <f aca="false">SUMIFS('Additions (monthly)'!$E$2:$E$106,'Additions (monthly)'!$D$2:$D$106,Y$2,'Additions (monthly)'!$B$2:$B$106,"&lt;="&amp;$B98)</f>
        <v>5</v>
      </c>
      <c r="Z98" s="46" t="n">
        <f aca="false">SUMIFS('Additions (monthly)'!$E$2:$E$106,'Additions (monthly)'!$D$2:$D$106,Z$2,'Additions (monthly)'!$B$2:$B$106,"&lt;="&amp;$B98)</f>
        <v>7.2</v>
      </c>
      <c r="AA98" s="46" t="n">
        <f aca="false">SUMIFS('Additions (monthly)'!$E$2:$E$106,'Additions (monthly)'!$D$2:$D$106,AA$2,'Additions (monthly)'!$B$2:$B$106,"&lt;="&amp;$B98)</f>
        <v>3.7</v>
      </c>
      <c r="AB98" s="46" t="n">
        <f aca="false">SUMIFS('Additions (monthly)'!$E$2:$E$106,'Additions (monthly)'!$D$2:$D$106,AB$2,'Additions (monthly)'!$B$2:$B$106,"&lt;="&amp;$B98)</f>
        <v>16.95</v>
      </c>
      <c r="AC98" s="46" t="n">
        <f aca="false">SUMIFS('Additions (monthly)'!$E$2:$E$106,'Additions (monthly)'!$D$2:$D$106,AC$2,'Additions (monthly)'!$B$2:$B$106,"&lt;="&amp;$B98)</f>
        <v>2</v>
      </c>
      <c r="AD98" s="46" t="n">
        <f aca="false">SUMIFS('Additions (monthly)'!$E$2:$E$106,'Additions (monthly)'!$D$2:$D$106,AD$2,'Additions (monthly)'!$B$2:$B$106,"&lt;="&amp;$B98)</f>
        <v>7.6</v>
      </c>
      <c r="AE98" s="46" t="n">
        <f aca="false">SUMIFS('Additions (monthly)'!$E$2:$E$106,'Additions (monthly)'!$D$2:$D$106,AE$2,'Additions (monthly)'!$B$2:$B$106,"&lt;="&amp;$B98)</f>
        <v>29.3</v>
      </c>
      <c r="AF98" s="46" t="n">
        <f aca="false">SUMIFS('Additions (monthly)'!$E$2:$E$106,'Additions (monthly)'!$D$2:$D$106,AF$2,'Additions (monthly)'!$B$2:$B$106,"&lt;="&amp;$B98)</f>
        <v>1.2</v>
      </c>
      <c r="AG98" s="46" t="n">
        <f aca="false">SUMIFS('Additions (monthly)'!$E$2:$E$106,'Additions (monthly)'!$D$2:$D$106,AG$2,'Additions (monthly)'!$B$2:$B$106,"&lt;="&amp;$B98)</f>
        <v>0</v>
      </c>
      <c r="AH98" s="46" t="n">
        <f aca="false">SUMIFS('Additions (monthly)'!$E$2:$E$106,'Additions (monthly)'!$D$2:$D$106,AH$2,'Additions (monthly)'!$B$2:$B$106,"&lt;="&amp;$B98)</f>
        <v>0</v>
      </c>
      <c r="AI98" s="46" t="n">
        <f aca="false">SUMIFS('Additions (monthly)'!$E$2:$E$106,'Additions (monthly)'!$D$2:$D$106,AI$2,'Additions (monthly)'!$B$2:$B$106,"&lt;="&amp;$B98)</f>
        <v>0</v>
      </c>
      <c r="AJ98" s="46" t="n">
        <f aca="false">SUMIFS('Additions (monthly)'!$E$2:$E$106,'Additions (monthly)'!$D$2:$D$106,AJ$2,'Additions (monthly)'!$B$2:$B$106,"&lt;="&amp;$B98)</f>
        <v>0</v>
      </c>
      <c r="AK98" s="46" t="n">
        <f aca="false">SUMIFS('Additions (monthly)'!$E$2:$E$106,'Additions (monthly)'!$D$2:$D$106,AK$2,'Additions (monthly)'!$B$2:$B$106,"&lt;="&amp;$B98)</f>
        <v>0</v>
      </c>
      <c r="AL98" s="46" t="n">
        <f aca="false">SUMIFS('Additions (monthly)'!$E$2:$E$106,'Additions (monthly)'!$D$2:$D$106,AL$2,'Additions (monthly)'!$B$2:$B$106,"&lt;="&amp;$B98)</f>
        <v>22.2</v>
      </c>
      <c r="AM98" s="46" t="n">
        <f aca="false">SUMIFS('Additions (monthly)'!$E$2:$E$106,'Additions (monthly)'!$D$2:$D$106,AM$2,'Additions (monthly)'!$B$2:$B$106,"&lt;="&amp;$B98)</f>
        <v>0.3</v>
      </c>
      <c r="AN98" s="46" t="n">
        <f aca="false">SUMIFS('Additions (monthly)'!$E$2:$E$106,'Additions (monthly)'!$D$2:$D$106,AN$2,'Additions (monthly)'!$B$2:$B$106,"&lt;="&amp;$B98)</f>
        <v>4.3</v>
      </c>
      <c r="AO98" s="46" t="n">
        <f aca="false">SUMIFS('Additions (monthly)'!$E$2:$E$106,'Additions (monthly)'!$D$2:$D$106,AO$2,'Additions (monthly)'!$B$2:$B$106,"&lt;="&amp;$B98)</f>
        <v>10.4</v>
      </c>
      <c r="AP98" s="46" t="n">
        <f aca="false">SUMIFS('Additions (monthly)'!$E$2:$E$106,'Additions (monthly)'!$D$2:$D$106,AP$2,'Additions (monthly)'!$B$2:$B$106,"&lt;="&amp;$B98)</f>
        <v>6.9</v>
      </c>
      <c r="AQ98" s="46" t="n">
        <f aca="false">SUMIFS('Additions (monthly)'!$E$2:$E$106,'Additions (monthly)'!$D$2:$D$106,AQ$2,'Additions (monthly)'!$B$2:$B$106,"&lt;="&amp;$B98)</f>
        <v>4.45</v>
      </c>
      <c r="AR98" s="46" t="n">
        <f aca="false">SUMIFS('Additions (monthly)'!$E$2:$E$106,'Additions (monthly)'!$D$2:$D$106,AR$2,'Additions (monthly)'!$B$2:$B$106,"&lt;="&amp;$B98)</f>
        <v>77.1</v>
      </c>
      <c r="AS98" s="46" t="n">
        <f aca="false">SUMIFS('Additions (monthly)'!$E$2:$E$106,'Additions (monthly)'!$D$2:$D$106,AS$2,'Additions (monthly)'!$B$2:$B$106,"&lt;="&amp;$B98)</f>
        <v>0</v>
      </c>
      <c r="AT98" s="46" t="n">
        <f aca="false">SUMIFS('Additions (monthly)'!$E$2:$E$106,'Additions (monthly)'!$D$2:$D$106,AT$2,'Additions (monthly)'!$B$2:$B$106,"&lt;="&amp;$B98)</f>
        <v>0</v>
      </c>
      <c r="AU98" s="46" t="n">
        <f aca="false">SUMIFS('Additions (monthly)'!$E$2:$E$106,'Additions (monthly)'!$D$2:$D$106,AU$2,'Additions (monthly)'!$B$2:$B$106,"&lt;="&amp;$B98)</f>
        <v>9.6</v>
      </c>
      <c r="AV98" s="46" t="n">
        <f aca="false">SUMIFS('Additions (monthly)'!$E$2:$E$106,'Additions (monthly)'!$D$2:$D$106,AV$2,'Additions (monthly)'!$B$2:$B$106,"&lt;="&amp;$B98)</f>
        <v>0</v>
      </c>
      <c r="AW98" s="46" t="n">
        <f aca="false">SUMIFS('Additions (monthly)'!$E$2:$E$106,'Additions (monthly)'!$D$2:$D$106,AW$2,'Additions (monthly)'!$B$2:$B$106,"&lt;="&amp;$B98)</f>
        <v>5.5</v>
      </c>
      <c r="AX98" s="46" t="n">
        <f aca="false">SUMIFS('Additions (monthly)'!$E$2:$E$106,'Additions (monthly)'!$D$2:$D$106,AX$2,'Additions (monthly)'!$B$2:$B$106,"&lt;="&amp;$B98)</f>
        <v>11.8</v>
      </c>
      <c r="AY98" s="46" t="n">
        <f aca="false">SUMIFS('Additions (monthly)'!$E$2:$E$106,'Additions (monthly)'!$D$2:$D$106,AY$2,'Additions (monthly)'!$B$2:$B$106,"&lt;="&amp;$B98)</f>
        <v>5.3</v>
      </c>
      <c r="AZ98" s="46" t="n">
        <f aca="false">SUMIFS('Additions (monthly)'!$E$2:$E$106,'Additions (monthly)'!$D$2:$D$106,AZ$2,'Additions (monthly)'!$B$2:$B$106,"&lt;="&amp;$B98)</f>
        <v>0</v>
      </c>
      <c r="BA98" s="46" t="n">
        <f aca="false">SUMIFS('Additions (monthly)'!$E$2:$E$106,'Additions (monthly)'!$D$2:$D$106,BA$2,'Additions (monthly)'!$B$2:$B$106,"&lt;="&amp;$B98)</f>
        <v>0</v>
      </c>
      <c r="BB98" s="46" t="n">
        <f aca="false">SUMIFS('Additions (monthly)'!$E$2:$E$106,'Additions (monthly)'!$D$2:$D$106,BB$2,'Additions (monthly)'!$B$2:$B$106,"&lt;="&amp;$B98)</f>
        <v>0</v>
      </c>
      <c r="BC98" s="46" t="n">
        <f aca="false">SUMIFS('Additions (monthly)'!$E$2:$E$106,'Additions (monthly)'!$D$2:$D$106,BC$2,'Additions (monthly)'!$B$2:$B$106,"&lt;="&amp;$B98)</f>
        <v>0</v>
      </c>
      <c r="BD98" s="46" t="n">
        <f aca="false">SUMIFS('Additions (monthly)'!$E$2:$E$106,'Additions (monthly)'!$D$2:$D$106,BD$2,'Additions (monthly)'!$B$2:$B$106,"&lt;="&amp;$B98)</f>
        <v>0</v>
      </c>
      <c r="BE98" s="46" t="n">
        <f aca="false">SUMIFS('Additions (monthly)'!$E$2:$E$106,'Additions (monthly)'!$D$2:$D$106,BE$2,'Additions (monthly)'!$B$2:$B$106,"&lt;="&amp;$B98)</f>
        <v>0</v>
      </c>
      <c r="BF98" s="46" t="n">
        <f aca="false">SUMIFS('Additions (monthly)'!$E$2:$E$106,'Additions (monthly)'!$D$2:$D$106,BF$2,'Additions (monthly)'!$B$2:$B$106,"&lt;="&amp;$B98)</f>
        <v>0</v>
      </c>
      <c r="BG98" s="46" t="n">
        <f aca="false">SUMIFS('Additions (monthly)'!$E$2:$E$106,'Additions (monthly)'!$D$2:$D$106,BG$2,'Additions (monthly)'!$B$2:$B$106,"&lt;="&amp;$B98)</f>
        <v>0</v>
      </c>
      <c r="BH98" s="46" t="n">
        <f aca="false">SUMIFS('Additions (monthly)'!$E$2:$E$106,'Additions (monthly)'!$D$2:$D$106,BH$2,'Additions (monthly)'!$B$2:$B$106,"&lt;="&amp;$B98)</f>
        <v>20</v>
      </c>
      <c r="BI98" s="46" t="n">
        <f aca="false">SUMIFS('Additions (monthly)'!$E$2:$E$106,'Additions (monthly)'!$D$2:$D$106,BI$2,'Additions (monthly)'!$B$2:$B$106,"&lt;="&amp;$B98)</f>
        <v>6.7</v>
      </c>
    </row>
    <row r="99" customFormat="false" ht="15" hidden="false" customHeight="false" outlineLevel="0" collapsed="false">
      <c r="A99" s="23" t="n">
        <v>43101</v>
      </c>
      <c r="B99" s="24" t="n">
        <v>201801</v>
      </c>
      <c r="C99" s="42" t="n">
        <f aca="false">SUMIFS('Additions (monthly)'!$E$2:$E$106,'Additions (monthly)'!$B$2:$B$106,"&lt;="&amp;$B99)</f>
        <v>371.87</v>
      </c>
      <c r="D99" s="43" t="n">
        <f aca="false">SUMIFS('Additions (monthly)'!$E$2:$E$106,'Additions (monthly)'!$D$2:$D$106,D$2,'Additions (monthly)'!$B$2:$B$106,"&lt;="&amp;$B99)</f>
        <v>7.9</v>
      </c>
      <c r="E99" s="43" t="n">
        <f aca="false">SUMIFS('Additions (monthly)'!$E$2:$E$106,'Additions (monthly)'!$D$2:$D$106,E$2,'Additions (monthly)'!$B$2:$B$106,"&lt;="&amp;$B99)</f>
        <v>8.4</v>
      </c>
      <c r="F99" s="43" t="n">
        <f aca="false">SUMIFS('Additions (monthly)'!$E$2:$E$106,'Additions (monthly)'!$D$2:$D$106,F$2,'Additions (monthly)'!$B$2:$B$106,"&lt;="&amp;$B99)</f>
        <v>4.7</v>
      </c>
      <c r="G99" s="43" t="n">
        <f aca="false">SUMIFS('Additions (monthly)'!$E$2:$E$106,'Additions (monthly)'!$D$2:$D$106,G$2,'Additions (monthly)'!$B$2:$B$106,"&lt;="&amp;$B99)</f>
        <v>4.5</v>
      </c>
      <c r="H99" s="43" t="n">
        <f aca="false">SUMIFS('Additions (monthly)'!$E$2:$E$106,'Additions (monthly)'!$D$2:$D$106,H$2,'Additions (monthly)'!$B$2:$B$106,"&lt;="&amp;$B99)</f>
        <v>5.2</v>
      </c>
      <c r="I99" s="43" t="n">
        <f aca="false">SUMIFS('Additions (monthly)'!$E$2:$E$106,'Additions (monthly)'!$D$2:$D$106,I$2,'Additions (monthly)'!$B$2:$B$106,"&lt;="&amp;$B99)</f>
        <v>9</v>
      </c>
      <c r="J99" s="43" t="n">
        <f aca="false">SUMIFS('Additions (monthly)'!$E$2:$E$106,'Additions (monthly)'!$D$2:$D$106,J$2,'Additions (monthly)'!$B$2:$B$106,"&lt;="&amp;$B99)</f>
        <v>3.7</v>
      </c>
      <c r="K99" s="43" t="n">
        <f aca="false">SUMIFS('Additions (monthly)'!$E$2:$E$106,'Additions (monthly)'!$D$2:$D$106,K$2,'Additions (monthly)'!$B$2:$B$106,"&lt;="&amp;$B99)</f>
        <v>7.8</v>
      </c>
      <c r="L99" s="43" t="n">
        <f aca="false">SUMIFS('Additions (monthly)'!$E$2:$E$106,'Additions (monthly)'!$D$2:$D$106,L$2,'Additions (monthly)'!$B$2:$B$106,"&lt;="&amp;$B99)</f>
        <v>15.6</v>
      </c>
      <c r="M99" s="43" t="n">
        <f aca="false">SUMIFS('Additions (monthly)'!$E$2:$E$106,'Additions (monthly)'!$D$2:$D$106,M$2,'Additions (monthly)'!$B$2:$B$106,"&lt;="&amp;$B99)</f>
        <v>0</v>
      </c>
      <c r="N99" s="43" t="n">
        <f aca="false">SUMIFS('Additions (monthly)'!$E$2:$E$106,'Additions (monthly)'!$D$2:$D$106,N$2,'Additions (monthly)'!$B$2:$B$106,"&lt;="&amp;$B99)</f>
        <v>14.2</v>
      </c>
      <c r="O99" s="43" t="n">
        <f aca="false">SUMIFS('Additions (monthly)'!$E$2:$E$106,'Additions (monthly)'!$D$2:$D$106,O$2,'Additions (monthly)'!$B$2:$B$106,"&lt;="&amp;$B99)</f>
        <v>4.9</v>
      </c>
      <c r="P99" s="43" t="n">
        <f aca="false">SUMIFS('Additions (monthly)'!$E$2:$E$106,'Additions (monthly)'!$D$2:$D$106,P$2,'Additions (monthly)'!$B$2:$B$106,"&lt;="&amp;$B99)</f>
        <v>0</v>
      </c>
      <c r="Q99" s="43" t="n">
        <f aca="false">SUMIFS('Additions (monthly)'!$E$2:$E$106,'Additions (monthly)'!$D$2:$D$106,Q$2,'Additions (monthly)'!$B$2:$B$106,"&lt;="&amp;$B99)</f>
        <v>8.5</v>
      </c>
      <c r="R99" s="43" t="n">
        <f aca="false">SUMIFS('Additions (monthly)'!$E$2:$E$106,'Additions (monthly)'!$D$2:$D$106,R$2,'Additions (monthly)'!$B$2:$B$106,"&lt;="&amp;$B99)</f>
        <v>8.9</v>
      </c>
      <c r="S99" s="43" t="n">
        <f aca="false">SUMIFS('Additions (monthly)'!$E$2:$E$106,'Additions (monthly)'!$D$2:$D$106,S$2,'Additions (monthly)'!$B$2:$B$106,"&lt;="&amp;$B99)</f>
        <v>7.2</v>
      </c>
      <c r="T99" s="43" t="n">
        <f aca="false">SUMIFS('Additions (monthly)'!$E$2:$E$106,'Additions (monthly)'!$D$2:$D$106,T$2,'Additions (monthly)'!$B$2:$B$106,"&lt;="&amp;$B99)</f>
        <v>0</v>
      </c>
      <c r="U99" s="43" t="n">
        <f aca="false">SUMIFS('Additions (monthly)'!$E$2:$E$106,'Additions (monthly)'!$D$2:$D$106,U$2,'Additions (monthly)'!$B$2:$B$106,"&lt;="&amp;$B99)</f>
        <v>0</v>
      </c>
      <c r="V99" s="43" t="n">
        <f aca="false">SUMIFS('Additions (monthly)'!$E$2:$E$106,'Additions (monthly)'!$D$2:$D$106,V$2,'Additions (monthly)'!$B$2:$B$106,"&lt;="&amp;$B99)</f>
        <v>3.87</v>
      </c>
      <c r="W99" s="43" t="n">
        <f aca="false">SUMIFS('Additions (monthly)'!$E$2:$E$106,'Additions (monthly)'!$D$2:$D$106,W$2,'Additions (monthly)'!$B$2:$B$106,"&lt;="&amp;$B99)</f>
        <v>0</v>
      </c>
      <c r="X99" s="43" t="n">
        <f aca="false">SUMIFS('Additions (monthly)'!$E$2:$E$106,'Additions (monthly)'!$D$2:$D$106,X$2,'Additions (monthly)'!$B$2:$B$106,"&lt;="&amp;$B99)</f>
        <v>0</v>
      </c>
      <c r="Y99" s="43" t="n">
        <f aca="false">SUMIFS('Additions (monthly)'!$E$2:$E$106,'Additions (monthly)'!$D$2:$D$106,Y$2,'Additions (monthly)'!$B$2:$B$106,"&lt;="&amp;$B99)</f>
        <v>5</v>
      </c>
      <c r="Z99" s="43" t="n">
        <f aca="false">SUMIFS('Additions (monthly)'!$E$2:$E$106,'Additions (monthly)'!$D$2:$D$106,Z$2,'Additions (monthly)'!$B$2:$B$106,"&lt;="&amp;$B99)</f>
        <v>7.2</v>
      </c>
      <c r="AA99" s="43" t="n">
        <f aca="false">SUMIFS('Additions (monthly)'!$E$2:$E$106,'Additions (monthly)'!$D$2:$D$106,AA$2,'Additions (monthly)'!$B$2:$B$106,"&lt;="&amp;$B99)</f>
        <v>3.7</v>
      </c>
      <c r="AB99" s="43" t="n">
        <f aca="false">SUMIFS('Additions (monthly)'!$E$2:$E$106,'Additions (monthly)'!$D$2:$D$106,AB$2,'Additions (monthly)'!$B$2:$B$106,"&lt;="&amp;$B99)</f>
        <v>16.95</v>
      </c>
      <c r="AC99" s="43" t="n">
        <f aca="false">SUMIFS('Additions (monthly)'!$E$2:$E$106,'Additions (monthly)'!$D$2:$D$106,AC$2,'Additions (monthly)'!$B$2:$B$106,"&lt;="&amp;$B99)</f>
        <v>2</v>
      </c>
      <c r="AD99" s="43" t="n">
        <f aca="false">SUMIFS('Additions (monthly)'!$E$2:$E$106,'Additions (monthly)'!$D$2:$D$106,AD$2,'Additions (monthly)'!$B$2:$B$106,"&lt;="&amp;$B99)</f>
        <v>7.6</v>
      </c>
      <c r="AE99" s="43" t="n">
        <f aca="false">SUMIFS('Additions (monthly)'!$E$2:$E$106,'Additions (monthly)'!$D$2:$D$106,AE$2,'Additions (monthly)'!$B$2:$B$106,"&lt;="&amp;$B99)</f>
        <v>29.3</v>
      </c>
      <c r="AF99" s="43" t="n">
        <f aca="false">SUMIFS('Additions (monthly)'!$E$2:$E$106,'Additions (monthly)'!$D$2:$D$106,AF$2,'Additions (monthly)'!$B$2:$B$106,"&lt;="&amp;$B99)</f>
        <v>1.2</v>
      </c>
      <c r="AG99" s="43" t="n">
        <f aca="false">SUMIFS('Additions (monthly)'!$E$2:$E$106,'Additions (monthly)'!$D$2:$D$106,AG$2,'Additions (monthly)'!$B$2:$B$106,"&lt;="&amp;$B99)</f>
        <v>0</v>
      </c>
      <c r="AH99" s="43" t="n">
        <f aca="false">SUMIFS('Additions (monthly)'!$E$2:$E$106,'Additions (monthly)'!$D$2:$D$106,AH$2,'Additions (monthly)'!$B$2:$B$106,"&lt;="&amp;$B99)</f>
        <v>0</v>
      </c>
      <c r="AI99" s="43" t="n">
        <f aca="false">SUMIFS('Additions (monthly)'!$E$2:$E$106,'Additions (monthly)'!$D$2:$D$106,AI$2,'Additions (monthly)'!$B$2:$B$106,"&lt;="&amp;$B99)</f>
        <v>0</v>
      </c>
      <c r="AJ99" s="43" t="n">
        <f aca="false">SUMIFS('Additions (monthly)'!$E$2:$E$106,'Additions (monthly)'!$D$2:$D$106,AJ$2,'Additions (monthly)'!$B$2:$B$106,"&lt;="&amp;$B99)</f>
        <v>0</v>
      </c>
      <c r="AK99" s="43" t="n">
        <f aca="false">SUMIFS('Additions (monthly)'!$E$2:$E$106,'Additions (monthly)'!$D$2:$D$106,AK$2,'Additions (monthly)'!$B$2:$B$106,"&lt;="&amp;$B99)</f>
        <v>0</v>
      </c>
      <c r="AL99" s="43" t="n">
        <f aca="false">SUMIFS('Additions (monthly)'!$E$2:$E$106,'Additions (monthly)'!$D$2:$D$106,AL$2,'Additions (monthly)'!$B$2:$B$106,"&lt;="&amp;$B99)</f>
        <v>22.2</v>
      </c>
      <c r="AM99" s="43" t="n">
        <f aca="false">SUMIFS('Additions (monthly)'!$E$2:$E$106,'Additions (monthly)'!$D$2:$D$106,AM$2,'Additions (monthly)'!$B$2:$B$106,"&lt;="&amp;$B99)</f>
        <v>0.3</v>
      </c>
      <c r="AN99" s="43" t="n">
        <f aca="false">SUMIFS('Additions (monthly)'!$E$2:$E$106,'Additions (monthly)'!$D$2:$D$106,AN$2,'Additions (monthly)'!$B$2:$B$106,"&lt;="&amp;$B99)</f>
        <v>4.3</v>
      </c>
      <c r="AO99" s="43" t="n">
        <f aca="false">SUMIFS('Additions (monthly)'!$E$2:$E$106,'Additions (monthly)'!$D$2:$D$106,AO$2,'Additions (monthly)'!$B$2:$B$106,"&lt;="&amp;$B99)</f>
        <v>10.4</v>
      </c>
      <c r="AP99" s="43" t="n">
        <f aca="false">SUMIFS('Additions (monthly)'!$E$2:$E$106,'Additions (monthly)'!$D$2:$D$106,AP$2,'Additions (monthly)'!$B$2:$B$106,"&lt;="&amp;$B99)</f>
        <v>6.9</v>
      </c>
      <c r="AQ99" s="43" t="n">
        <f aca="false">SUMIFS('Additions (monthly)'!$E$2:$E$106,'Additions (monthly)'!$D$2:$D$106,AQ$2,'Additions (monthly)'!$B$2:$B$106,"&lt;="&amp;$B99)</f>
        <v>4.45</v>
      </c>
      <c r="AR99" s="43" t="n">
        <f aca="false">SUMIFS('Additions (monthly)'!$E$2:$E$106,'Additions (monthly)'!$D$2:$D$106,AR$2,'Additions (monthly)'!$B$2:$B$106,"&lt;="&amp;$B99)</f>
        <v>77.1</v>
      </c>
      <c r="AS99" s="43" t="n">
        <f aca="false">SUMIFS('Additions (monthly)'!$E$2:$E$106,'Additions (monthly)'!$D$2:$D$106,AS$2,'Additions (monthly)'!$B$2:$B$106,"&lt;="&amp;$B99)</f>
        <v>0</v>
      </c>
      <c r="AT99" s="43" t="n">
        <f aca="false">SUMIFS('Additions (monthly)'!$E$2:$E$106,'Additions (monthly)'!$D$2:$D$106,AT$2,'Additions (monthly)'!$B$2:$B$106,"&lt;="&amp;$B99)</f>
        <v>0</v>
      </c>
      <c r="AU99" s="43" t="n">
        <f aca="false">SUMIFS('Additions (monthly)'!$E$2:$E$106,'Additions (monthly)'!$D$2:$D$106,AU$2,'Additions (monthly)'!$B$2:$B$106,"&lt;="&amp;$B99)</f>
        <v>9.6</v>
      </c>
      <c r="AV99" s="43" t="n">
        <f aca="false">SUMIFS('Additions (monthly)'!$E$2:$E$106,'Additions (monthly)'!$D$2:$D$106,AV$2,'Additions (monthly)'!$B$2:$B$106,"&lt;="&amp;$B99)</f>
        <v>0</v>
      </c>
      <c r="AW99" s="43" t="n">
        <f aca="false">SUMIFS('Additions (monthly)'!$E$2:$E$106,'Additions (monthly)'!$D$2:$D$106,AW$2,'Additions (monthly)'!$B$2:$B$106,"&lt;="&amp;$B99)</f>
        <v>5.5</v>
      </c>
      <c r="AX99" s="43" t="n">
        <f aca="false">SUMIFS('Additions (monthly)'!$E$2:$E$106,'Additions (monthly)'!$D$2:$D$106,AX$2,'Additions (monthly)'!$B$2:$B$106,"&lt;="&amp;$B99)</f>
        <v>11.8</v>
      </c>
      <c r="AY99" s="43" t="n">
        <f aca="false">SUMIFS('Additions (monthly)'!$E$2:$E$106,'Additions (monthly)'!$D$2:$D$106,AY$2,'Additions (monthly)'!$B$2:$B$106,"&lt;="&amp;$B99)</f>
        <v>5.3</v>
      </c>
      <c r="AZ99" s="43" t="n">
        <f aca="false">SUMIFS('Additions (monthly)'!$E$2:$E$106,'Additions (monthly)'!$D$2:$D$106,AZ$2,'Additions (monthly)'!$B$2:$B$106,"&lt;="&amp;$B99)</f>
        <v>0</v>
      </c>
      <c r="BA99" s="43" t="n">
        <f aca="false">SUMIFS('Additions (monthly)'!$E$2:$E$106,'Additions (monthly)'!$D$2:$D$106,BA$2,'Additions (monthly)'!$B$2:$B$106,"&lt;="&amp;$B99)</f>
        <v>0</v>
      </c>
      <c r="BB99" s="43" t="n">
        <f aca="false">SUMIFS('Additions (monthly)'!$E$2:$E$106,'Additions (monthly)'!$D$2:$D$106,BB$2,'Additions (monthly)'!$B$2:$B$106,"&lt;="&amp;$B99)</f>
        <v>0</v>
      </c>
      <c r="BC99" s="43" t="n">
        <f aca="false">SUMIFS('Additions (monthly)'!$E$2:$E$106,'Additions (monthly)'!$D$2:$D$106,BC$2,'Additions (monthly)'!$B$2:$B$106,"&lt;="&amp;$B99)</f>
        <v>0</v>
      </c>
      <c r="BD99" s="43" t="n">
        <f aca="false">SUMIFS('Additions (monthly)'!$E$2:$E$106,'Additions (monthly)'!$D$2:$D$106,BD$2,'Additions (monthly)'!$B$2:$B$106,"&lt;="&amp;$B99)</f>
        <v>0</v>
      </c>
      <c r="BE99" s="43" t="n">
        <f aca="false">SUMIFS('Additions (monthly)'!$E$2:$E$106,'Additions (monthly)'!$D$2:$D$106,BE$2,'Additions (monthly)'!$B$2:$B$106,"&lt;="&amp;$B99)</f>
        <v>0</v>
      </c>
      <c r="BF99" s="43" t="n">
        <f aca="false">SUMIFS('Additions (monthly)'!$E$2:$E$106,'Additions (monthly)'!$D$2:$D$106,BF$2,'Additions (monthly)'!$B$2:$B$106,"&lt;="&amp;$B99)</f>
        <v>0</v>
      </c>
      <c r="BG99" s="43" t="n">
        <f aca="false">SUMIFS('Additions (monthly)'!$E$2:$E$106,'Additions (monthly)'!$D$2:$D$106,BG$2,'Additions (monthly)'!$B$2:$B$106,"&lt;="&amp;$B99)</f>
        <v>0</v>
      </c>
      <c r="BH99" s="43" t="n">
        <f aca="false">SUMIFS('Additions (monthly)'!$E$2:$E$106,'Additions (monthly)'!$D$2:$D$106,BH$2,'Additions (monthly)'!$B$2:$B$106,"&lt;="&amp;$B99)</f>
        <v>20</v>
      </c>
      <c r="BI99" s="43" t="n">
        <f aca="false">SUMIFS('Additions (monthly)'!$E$2:$E$106,'Additions (monthly)'!$D$2:$D$106,BI$2,'Additions (monthly)'!$B$2:$B$106,"&lt;="&amp;$B99)</f>
        <v>6.7</v>
      </c>
    </row>
    <row r="100" customFormat="false" ht="15" hidden="false" customHeight="false" outlineLevel="0" collapsed="false">
      <c r="A100" s="23" t="n">
        <v>43132</v>
      </c>
      <c r="B100" s="24" t="n">
        <v>201802</v>
      </c>
      <c r="C100" s="42" t="n">
        <f aca="false">SUMIFS('Additions (monthly)'!$E$2:$E$106,'Additions (monthly)'!$B$2:$B$106,"&lt;="&amp;$B100)</f>
        <v>371.87</v>
      </c>
      <c r="D100" s="43" t="n">
        <f aca="false">SUMIFS('Additions (monthly)'!$E$2:$E$106,'Additions (monthly)'!$D$2:$D$106,D$2,'Additions (monthly)'!$B$2:$B$106,"&lt;="&amp;$B100)</f>
        <v>7.9</v>
      </c>
      <c r="E100" s="43" t="n">
        <f aca="false">SUMIFS('Additions (monthly)'!$E$2:$E$106,'Additions (monthly)'!$D$2:$D$106,E$2,'Additions (monthly)'!$B$2:$B$106,"&lt;="&amp;$B100)</f>
        <v>8.4</v>
      </c>
      <c r="F100" s="43" t="n">
        <f aca="false">SUMIFS('Additions (monthly)'!$E$2:$E$106,'Additions (monthly)'!$D$2:$D$106,F$2,'Additions (monthly)'!$B$2:$B$106,"&lt;="&amp;$B100)</f>
        <v>4.7</v>
      </c>
      <c r="G100" s="43" t="n">
        <f aca="false">SUMIFS('Additions (monthly)'!$E$2:$E$106,'Additions (monthly)'!$D$2:$D$106,G$2,'Additions (monthly)'!$B$2:$B$106,"&lt;="&amp;$B100)</f>
        <v>4.5</v>
      </c>
      <c r="H100" s="43" t="n">
        <f aca="false">SUMIFS('Additions (monthly)'!$E$2:$E$106,'Additions (monthly)'!$D$2:$D$106,H$2,'Additions (monthly)'!$B$2:$B$106,"&lt;="&amp;$B100)</f>
        <v>5.2</v>
      </c>
      <c r="I100" s="43" t="n">
        <f aca="false">SUMIFS('Additions (monthly)'!$E$2:$E$106,'Additions (monthly)'!$D$2:$D$106,I$2,'Additions (monthly)'!$B$2:$B$106,"&lt;="&amp;$B100)</f>
        <v>9</v>
      </c>
      <c r="J100" s="43" t="n">
        <f aca="false">SUMIFS('Additions (monthly)'!$E$2:$E$106,'Additions (monthly)'!$D$2:$D$106,J$2,'Additions (monthly)'!$B$2:$B$106,"&lt;="&amp;$B100)</f>
        <v>3.7</v>
      </c>
      <c r="K100" s="43" t="n">
        <f aca="false">SUMIFS('Additions (monthly)'!$E$2:$E$106,'Additions (monthly)'!$D$2:$D$106,K$2,'Additions (monthly)'!$B$2:$B$106,"&lt;="&amp;$B100)</f>
        <v>7.8</v>
      </c>
      <c r="L100" s="43" t="n">
        <f aca="false">SUMIFS('Additions (monthly)'!$E$2:$E$106,'Additions (monthly)'!$D$2:$D$106,L$2,'Additions (monthly)'!$B$2:$B$106,"&lt;="&amp;$B100)</f>
        <v>15.6</v>
      </c>
      <c r="M100" s="43" t="n">
        <f aca="false">SUMIFS('Additions (monthly)'!$E$2:$E$106,'Additions (monthly)'!$D$2:$D$106,M$2,'Additions (monthly)'!$B$2:$B$106,"&lt;="&amp;$B100)</f>
        <v>0</v>
      </c>
      <c r="N100" s="43" t="n">
        <f aca="false">SUMIFS('Additions (monthly)'!$E$2:$E$106,'Additions (monthly)'!$D$2:$D$106,N$2,'Additions (monthly)'!$B$2:$B$106,"&lt;="&amp;$B100)</f>
        <v>14.2</v>
      </c>
      <c r="O100" s="43" t="n">
        <f aca="false">SUMIFS('Additions (monthly)'!$E$2:$E$106,'Additions (monthly)'!$D$2:$D$106,O$2,'Additions (monthly)'!$B$2:$B$106,"&lt;="&amp;$B100)</f>
        <v>4.9</v>
      </c>
      <c r="P100" s="43" t="n">
        <f aca="false">SUMIFS('Additions (monthly)'!$E$2:$E$106,'Additions (monthly)'!$D$2:$D$106,P$2,'Additions (monthly)'!$B$2:$B$106,"&lt;="&amp;$B100)</f>
        <v>0</v>
      </c>
      <c r="Q100" s="43" t="n">
        <f aca="false">SUMIFS('Additions (monthly)'!$E$2:$E$106,'Additions (monthly)'!$D$2:$D$106,Q$2,'Additions (monthly)'!$B$2:$B$106,"&lt;="&amp;$B100)</f>
        <v>8.5</v>
      </c>
      <c r="R100" s="43" t="n">
        <f aca="false">SUMIFS('Additions (monthly)'!$E$2:$E$106,'Additions (monthly)'!$D$2:$D$106,R$2,'Additions (monthly)'!$B$2:$B$106,"&lt;="&amp;$B100)</f>
        <v>8.9</v>
      </c>
      <c r="S100" s="43" t="n">
        <f aca="false">SUMIFS('Additions (monthly)'!$E$2:$E$106,'Additions (monthly)'!$D$2:$D$106,S$2,'Additions (monthly)'!$B$2:$B$106,"&lt;="&amp;$B100)</f>
        <v>7.2</v>
      </c>
      <c r="T100" s="43" t="n">
        <f aca="false">SUMIFS('Additions (monthly)'!$E$2:$E$106,'Additions (monthly)'!$D$2:$D$106,T$2,'Additions (monthly)'!$B$2:$B$106,"&lt;="&amp;$B100)</f>
        <v>0</v>
      </c>
      <c r="U100" s="43" t="n">
        <f aca="false">SUMIFS('Additions (monthly)'!$E$2:$E$106,'Additions (monthly)'!$D$2:$D$106,U$2,'Additions (monthly)'!$B$2:$B$106,"&lt;="&amp;$B100)</f>
        <v>0</v>
      </c>
      <c r="V100" s="43" t="n">
        <f aca="false">SUMIFS('Additions (monthly)'!$E$2:$E$106,'Additions (monthly)'!$D$2:$D$106,V$2,'Additions (monthly)'!$B$2:$B$106,"&lt;="&amp;$B100)</f>
        <v>3.87</v>
      </c>
      <c r="W100" s="43" t="n">
        <f aca="false">SUMIFS('Additions (monthly)'!$E$2:$E$106,'Additions (monthly)'!$D$2:$D$106,W$2,'Additions (monthly)'!$B$2:$B$106,"&lt;="&amp;$B100)</f>
        <v>0</v>
      </c>
      <c r="X100" s="43" t="n">
        <f aca="false">SUMIFS('Additions (monthly)'!$E$2:$E$106,'Additions (monthly)'!$D$2:$D$106,X$2,'Additions (monthly)'!$B$2:$B$106,"&lt;="&amp;$B100)</f>
        <v>0</v>
      </c>
      <c r="Y100" s="43" t="n">
        <f aca="false">SUMIFS('Additions (monthly)'!$E$2:$E$106,'Additions (monthly)'!$D$2:$D$106,Y$2,'Additions (monthly)'!$B$2:$B$106,"&lt;="&amp;$B100)</f>
        <v>5</v>
      </c>
      <c r="Z100" s="43" t="n">
        <f aca="false">SUMIFS('Additions (monthly)'!$E$2:$E$106,'Additions (monthly)'!$D$2:$D$106,Z$2,'Additions (monthly)'!$B$2:$B$106,"&lt;="&amp;$B100)</f>
        <v>7.2</v>
      </c>
      <c r="AA100" s="43" t="n">
        <f aca="false">SUMIFS('Additions (monthly)'!$E$2:$E$106,'Additions (monthly)'!$D$2:$D$106,AA$2,'Additions (monthly)'!$B$2:$B$106,"&lt;="&amp;$B100)</f>
        <v>3.7</v>
      </c>
      <c r="AB100" s="43" t="n">
        <f aca="false">SUMIFS('Additions (monthly)'!$E$2:$E$106,'Additions (monthly)'!$D$2:$D$106,AB$2,'Additions (monthly)'!$B$2:$B$106,"&lt;="&amp;$B100)</f>
        <v>16.95</v>
      </c>
      <c r="AC100" s="43" t="n">
        <f aca="false">SUMIFS('Additions (monthly)'!$E$2:$E$106,'Additions (monthly)'!$D$2:$D$106,AC$2,'Additions (monthly)'!$B$2:$B$106,"&lt;="&amp;$B100)</f>
        <v>2</v>
      </c>
      <c r="AD100" s="43" t="n">
        <f aca="false">SUMIFS('Additions (monthly)'!$E$2:$E$106,'Additions (monthly)'!$D$2:$D$106,AD$2,'Additions (monthly)'!$B$2:$B$106,"&lt;="&amp;$B100)</f>
        <v>7.6</v>
      </c>
      <c r="AE100" s="43" t="n">
        <f aca="false">SUMIFS('Additions (monthly)'!$E$2:$E$106,'Additions (monthly)'!$D$2:$D$106,AE$2,'Additions (monthly)'!$B$2:$B$106,"&lt;="&amp;$B100)</f>
        <v>29.3</v>
      </c>
      <c r="AF100" s="43" t="n">
        <f aca="false">SUMIFS('Additions (monthly)'!$E$2:$E$106,'Additions (monthly)'!$D$2:$D$106,AF$2,'Additions (monthly)'!$B$2:$B$106,"&lt;="&amp;$B100)</f>
        <v>1.2</v>
      </c>
      <c r="AG100" s="43" t="n">
        <f aca="false">SUMIFS('Additions (monthly)'!$E$2:$E$106,'Additions (monthly)'!$D$2:$D$106,AG$2,'Additions (monthly)'!$B$2:$B$106,"&lt;="&amp;$B100)</f>
        <v>0</v>
      </c>
      <c r="AH100" s="43" t="n">
        <f aca="false">SUMIFS('Additions (monthly)'!$E$2:$E$106,'Additions (monthly)'!$D$2:$D$106,AH$2,'Additions (monthly)'!$B$2:$B$106,"&lt;="&amp;$B100)</f>
        <v>0</v>
      </c>
      <c r="AI100" s="43" t="n">
        <f aca="false">SUMIFS('Additions (monthly)'!$E$2:$E$106,'Additions (monthly)'!$D$2:$D$106,AI$2,'Additions (monthly)'!$B$2:$B$106,"&lt;="&amp;$B100)</f>
        <v>0</v>
      </c>
      <c r="AJ100" s="43" t="n">
        <f aca="false">SUMIFS('Additions (monthly)'!$E$2:$E$106,'Additions (monthly)'!$D$2:$D$106,AJ$2,'Additions (monthly)'!$B$2:$B$106,"&lt;="&amp;$B100)</f>
        <v>0</v>
      </c>
      <c r="AK100" s="43" t="n">
        <f aca="false">SUMIFS('Additions (monthly)'!$E$2:$E$106,'Additions (monthly)'!$D$2:$D$106,AK$2,'Additions (monthly)'!$B$2:$B$106,"&lt;="&amp;$B100)</f>
        <v>0</v>
      </c>
      <c r="AL100" s="43" t="n">
        <f aca="false">SUMIFS('Additions (monthly)'!$E$2:$E$106,'Additions (monthly)'!$D$2:$D$106,AL$2,'Additions (monthly)'!$B$2:$B$106,"&lt;="&amp;$B100)</f>
        <v>22.2</v>
      </c>
      <c r="AM100" s="43" t="n">
        <f aca="false">SUMIFS('Additions (monthly)'!$E$2:$E$106,'Additions (monthly)'!$D$2:$D$106,AM$2,'Additions (monthly)'!$B$2:$B$106,"&lt;="&amp;$B100)</f>
        <v>0.3</v>
      </c>
      <c r="AN100" s="43" t="n">
        <f aca="false">SUMIFS('Additions (monthly)'!$E$2:$E$106,'Additions (monthly)'!$D$2:$D$106,AN$2,'Additions (monthly)'!$B$2:$B$106,"&lt;="&amp;$B100)</f>
        <v>4.3</v>
      </c>
      <c r="AO100" s="43" t="n">
        <f aca="false">SUMIFS('Additions (monthly)'!$E$2:$E$106,'Additions (monthly)'!$D$2:$D$106,AO$2,'Additions (monthly)'!$B$2:$B$106,"&lt;="&amp;$B100)</f>
        <v>10.4</v>
      </c>
      <c r="AP100" s="43" t="n">
        <f aca="false">SUMIFS('Additions (monthly)'!$E$2:$E$106,'Additions (monthly)'!$D$2:$D$106,AP$2,'Additions (monthly)'!$B$2:$B$106,"&lt;="&amp;$B100)</f>
        <v>6.9</v>
      </c>
      <c r="AQ100" s="43" t="n">
        <f aca="false">SUMIFS('Additions (monthly)'!$E$2:$E$106,'Additions (monthly)'!$D$2:$D$106,AQ$2,'Additions (monthly)'!$B$2:$B$106,"&lt;="&amp;$B100)</f>
        <v>4.45</v>
      </c>
      <c r="AR100" s="43" t="n">
        <f aca="false">SUMIFS('Additions (monthly)'!$E$2:$E$106,'Additions (monthly)'!$D$2:$D$106,AR$2,'Additions (monthly)'!$B$2:$B$106,"&lt;="&amp;$B100)</f>
        <v>77.1</v>
      </c>
      <c r="AS100" s="43" t="n">
        <f aca="false">SUMIFS('Additions (monthly)'!$E$2:$E$106,'Additions (monthly)'!$D$2:$D$106,AS$2,'Additions (monthly)'!$B$2:$B$106,"&lt;="&amp;$B100)</f>
        <v>0</v>
      </c>
      <c r="AT100" s="43" t="n">
        <f aca="false">SUMIFS('Additions (monthly)'!$E$2:$E$106,'Additions (monthly)'!$D$2:$D$106,AT$2,'Additions (monthly)'!$B$2:$B$106,"&lt;="&amp;$B100)</f>
        <v>0</v>
      </c>
      <c r="AU100" s="43" t="n">
        <f aca="false">SUMIFS('Additions (monthly)'!$E$2:$E$106,'Additions (monthly)'!$D$2:$D$106,AU$2,'Additions (monthly)'!$B$2:$B$106,"&lt;="&amp;$B100)</f>
        <v>9.6</v>
      </c>
      <c r="AV100" s="43" t="n">
        <f aca="false">SUMIFS('Additions (monthly)'!$E$2:$E$106,'Additions (monthly)'!$D$2:$D$106,AV$2,'Additions (monthly)'!$B$2:$B$106,"&lt;="&amp;$B100)</f>
        <v>0</v>
      </c>
      <c r="AW100" s="43" t="n">
        <f aca="false">SUMIFS('Additions (monthly)'!$E$2:$E$106,'Additions (monthly)'!$D$2:$D$106,AW$2,'Additions (monthly)'!$B$2:$B$106,"&lt;="&amp;$B100)</f>
        <v>5.5</v>
      </c>
      <c r="AX100" s="43" t="n">
        <f aca="false">SUMIFS('Additions (monthly)'!$E$2:$E$106,'Additions (monthly)'!$D$2:$D$106,AX$2,'Additions (monthly)'!$B$2:$B$106,"&lt;="&amp;$B100)</f>
        <v>11.8</v>
      </c>
      <c r="AY100" s="43" t="n">
        <f aca="false">SUMIFS('Additions (monthly)'!$E$2:$E$106,'Additions (monthly)'!$D$2:$D$106,AY$2,'Additions (monthly)'!$B$2:$B$106,"&lt;="&amp;$B100)</f>
        <v>5.3</v>
      </c>
      <c r="AZ100" s="43" t="n">
        <f aca="false">SUMIFS('Additions (monthly)'!$E$2:$E$106,'Additions (monthly)'!$D$2:$D$106,AZ$2,'Additions (monthly)'!$B$2:$B$106,"&lt;="&amp;$B100)</f>
        <v>0</v>
      </c>
      <c r="BA100" s="43" t="n">
        <f aca="false">SUMIFS('Additions (monthly)'!$E$2:$E$106,'Additions (monthly)'!$D$2:$D$106,BA$2,'Additions (monthly)'!$B$2:$B$106,"&lt;="&amp;$B100)</f>
        <v>0</v>
      </c>
      <c r="BB100" s="43" t="n">
        <f aca="false">SUMIFS('Additions (monthly)'!$E$2:$E$106,'Additions (monthly)'!$D$2:$D$106,BB$2,'Additions (monthly)'!$B$2:$B$106,"&lt;="&amp;$B100)</f>
        <v>0</v>
      </c>
      <c r="BC100" s="43" t="n">
        <f aca="false">SUMIFS('Additions (monthly)'!$E$2:$E$106,'Additions (monthly)'!$D$2:$D$106,BC$2,'Additions (monthly)'!$B$2:$B$106,"&lt;="&amp;$B100)</f>
        <v>0</v>
      </c>
      <c r="BD100" s="43" t="n">
        <f aca="false">SUMIFS('Additions (monthly)'!$E$2:$E$106,'Additions (monthly)'!$D$2:$D$106,BD$2,'Additions (monthly)'!$B$2:$B$106,"&lt;="&amp;$B100)</f>
        <v>0</v>
      </c>
      <c r="BE100" s="43" t="n">
        <f aca="false">SUMIFS('Additions (monthly)'!$E$2:$E$106,'Additions (monthly)'!$D$2:$D$106,BE$2,'Additions (monthly)'!$B$2:$B$106,"&lt;="&amp;$B100)</f>
        <v>0</v>
      </c>
      <c r="BF100" s="43" t="n">
        <f aca="false">SUMIFS('Additions (monthly)'!$E$2:$E$106,'Additions (monthly)'!$D$2:$D$106,BF$2,'Additions (monthly)'!$B$2:$B$106,"&lt;="&amp;$B100)</f>
        <v>0</v>
      </c>
      <c r="BG100" s="43" t="n">
        <f aca="false">SUMIFS('Additions (monthly)'!$E$2:$E$106,'Additions (monthly)'!$D$2:$D$106,BG$2,'Additions (monthly)'!$B$2:$B$106,"&lt;="&amp;$B100)</f>
        <v>0</v>
      </c>
      <c r="BH100" s="43" t="n">
        <f aca="false">SUMIFS('Additions (monthly)'!$E$2:$E$106,'Additions (monthly)'!$D$2:$D$106,BH$2,'Additions (monthly)'!$B$2:$B$106,"&lt;="&amp;$B100)</f>
        <v>20</v>
      </c>
      <c r="BI100" s="43" t="n">
        <f aca="false">SUMIFS('Additions (monthly)'!$E$2:$E$106,'Additions (monthly)'!$D$2:$D$106,BI$2,'Additions (monthly)'!$B$2:$B$106,"&lt;="&amp;$B100)</f>
        <v>6.7</v>
      </c>
    </row>
    <row r="101" customFormat="false" ht="15" hidden="false" customHeight="false" outlineLevel="0" collapsed="false">
      <c r="A101" s="23" t="n">
        <v>43160</v>
      </c>
      <c r="B101" s="24" t="n">
        <v>201803</v>
      </c>
      <c r="C101" s="42" t="n">
        <f aca="false">SUMIFS('Additions (monthly)'!$E$2:$E$106,'Additions (monthly)'!$B$2:$B$106,"&lt;="&amp;$B101)</f>
        <v>379.52</v>
      </c>
      <c r="D101" s="43" t="n">
        <f aca="false">SUMIFS('Additions (monthly)'!$E$2:$E$106,'Additions (monthly)'!$D$2:$D$106,D$2,'Additions (monthly)'!$B$2:$B$106,"&lt;="&amp;$B101)</f>
        <v>7.9</v>
      </c>
      <c r="E101" s="43" t="n">
        <f aca="false">SUMIFS('Additions (monthly)'!$E$2:$E$106,'Additions (monthly)'!$D$2:$D$106,E$2,'Additions (monthly)'!$B$2:$B$106,"&lt;="&amp;$B101)</f>
        <v>8.4</v>
      </c>
      <c r="F101" s="43" t="n">
        <f aca="false">SUMIFS('Additions (monthly)'!$E$2:$E$106,'Additions (monthly)'!$D$2:$D$106,F$2,'Additions (monthly)'!$B$2:$B$106,"&lt;="&amp;$B101)</f>
        <v>4.7</v>
      </c>
      <c r="G101" s="43" t="n">
        <f aca="false">SUMIFS('Additions (monthly)'!$E$2:$E$106,'Additions (monthly)'!$D$2:$D$106,G$2,'Additions (monthly)'!$B$2:$B$106,"&lt;="&amp;$B101)</f>
        <v>4.5</v>
      </c>
      <c r="H101" s="43" t="n">
        <f aca="false">SUMIFS('Additions (monthly)'!$E$2:$E$106,'Additions (monthly)'!$D$2:$D$106,H$2,'Additions (monthly)'!$B$2:$B$106,"&lt;="&amp;$B101)</f>
        <v>5.2</v>
      </c>
      <c r="I101" s="43" t="n">
        <f aca="false">SUMIFS('Additions (monthly)'!$E$2:$E$106,'Additions (monthly)'!$D$2:$D$106,I$2,'Additions (monthly)'!$B$2:$B$106,"&lt;="&amp;$B101)</f>
        <v>9</v>
      </c>
      <c r="J101" s="43" t="n">
        <f aca="false">SUMIFS('Additions (monthly)'!$E$2:$E$106,'Additions (monthly)'!$D$2:$D$106,J$2,'Additions (monthly)'!$B$2:$B$106,"&lt;="&amp;$B101)</f>
        <v>3.7</v>
      </c>
      <c r="K101" s="43" t="n">
        <f aca="false">SUMIFS('Additions (monthly)'!$E$2:$E$106,'Additions (monthly)'!$D$2:$D$106,K$2,'Additions (monthly)'!$B$2:$B$106,"&lt;="&amp;$B101)</f>
        <v>7.8</v>
      </c>
      <c r="L101" s="43" t="n">
        <f aca="false">SUMIFS('Additions (monthly)'!$E$2:$E$106,'Additions (monthly)'!$D$2:$D$106,L$2,'Additions (monthly)'!$B$2:$B$106,"&lt;="&amp;$B101)</f>
        <v>15.6</v>
      </c>
      <c r="M101" s="43" t="n">
        <f aca="false">SUMIFS('Additions (monthly)'!$E$2:$E$106,'Additions (monthly)'!$D$2:$D$106,M$2,'Additions (monthly)'!$B$2:$B$106,"&lt;="&amp;$B101)</f>
        <v>0</v>
      </c>
      <c r="N101" s="43" t="n">
        <f aca="false">SUMIFS('Additions (monthly)'!$E$2:$E$106,'Additions (monthly)'!$D$2:$D$106,N$2,'Additions (monthly)'!$B$2:$B$106,"&lt;="&amp;$B101)</f>
        <v>14.2</v>
      </c>
      <c r="O101" s="43" t="n">
        <f aca="false">SUMIFS('Additions (monthly)'!$E$2:$E$106,'Additions (monthly)'!$D$2:$D$106,O$2,'Additions (monthly)'!$B$2:$B$106,"&lt;="&amp;$B101)</f>
        <v>4.9</v>
      </c>
      <c r="P101" s="43" t="n">
        <f aca="false">SUMIFS('Additions (monthly)'!$E$2:$E$106,'Additions (monthly)'!$D$2:$D$106,P$2,'Additions (monthly)'!$B$2:$B$106,"&lt;="&amp;$B101)</f>
        <v>0</v>
      </c>
      <c r="Q101" s="43" t="n">
        <f aca="false">SUMIFS('Additions (monthly)'!$E$2:$E$106,'Additions (monthly)'!$D$2:$D$106,Q$2,'Additions (monthly)'!$B$2:$B$106,"&lt;="&amp;$B101)</f>
        <v>8.5</v>
      </c>
      <c r="R101" s="43" t="n">
        <f aca="false">SUMIFS('Additions (monthly)'!$E$2:$E$106,'Additions (monthly)'!$D$2:$D$106,R$2,'Additions (monthly)'!$B$2:$B$106,"&lt;="&amp;$B101)</f>
        <v>8.9</v>
      </c>
      <c r="S101" s="43" t="n">
        <f aca="false">SUMIFS('Additions (monthly)'!$E$2:$E$106,'Additions (monthly)'!$D$2:$D$106,S$2,'Additions (monthly)'!$B$2:$B$106,"&lt;="&amp;$B101)</f>
        <v>7.2</v>
      </c>
      <c r="T101" s="43" t="n">
        <f aca="false">SUMIFS('Additions (monthly)'!$E$2:$E$106,'Additions (monthly)'!$D$2:$D$106,T$2,'Additions (monthly)'!$B$2:$B$106,"&lt;="&amp;$B101)</f>
        <v>2.4</v>
      </c>
      <c r="U101" s="43" t="n">
        <f aca="false">SUMIFS('Additions (monthly)'!$E$2:$E$106,'Additions (monthly)'!$D$2:$D$106,U$2,'Additions (monthly)'!$B$2:$B$106,"&lt;="&amp;$B101)</f>
        <v>0</v>
      </c>
      <c r="V101" s="43" t="n">
        <f aca="false">SUMIFS('Additions (monthly)'!$E$2:$E$106,'Additions (monthly)'!$D$2:$D$106,V$2,'Additions (monthly)'!$B$2:$B$106,"&lt;="&amp;$B101)</f>
        <v>3.87</v>
      </c>
      <c r="W101" s="43" t="n">
        <f aca="false">SUMIFS('Additions (monthly)'!$E$2:$E$106,'Additions (monthly)'!$D$2:$D$106,W$2,'Additions (monthly)'!$B$2:$B$106,"&lt;="&amp;$B101)</f>
        <v>0</v>
      </c>
      <c r="X101" s="43" t="n">
        <f aca="false">SUMIFS('Additions (monthly)'!$E$2:$E$106,'Additions (monthly)'!$D$2:$D$106,X$2,'Additions (monthly)'!$B$2:$B$106,"&lt;="&amp;$B101)</f>
        <v>0</v>
      </c>
      <c r="Y101" s="43" t="n">
        <f aca="false">SUMIFS('Additions (monthly)'!$E$2:$E$106,'Additions (monthly)'!$D$2:$D$106,Y$2,'Additions (monthly)'!$B$2:$B$106,"&lt;="&amp;$B101)</f>
        <v>5</v>
      </c>
      <c r="Z101" s="43" t="n">
        <f aca="false">SUMIFS('Additions (monthly)'!$E$2:$E$106,'Additions (monthly)'!$D$2:$D$106,Z$2,'Additions (monthly)'!$B$2:$B$106,"&lt;="&amp;$B101)</f>
        <v>7.2</v>
      </c>
      <c r="AA101" s="43" t="n">
        <f aca="false">SUMIFS('Additions (monthly)'!$E$2:$E$106,'Additions (monthly)'!$D$2:$D$106,AA$2,'Additions (monthly)'!$B$2:$B$106,"&lt;="&amp;$B101)</f>
        <v>3.7</v>
      </c>
      <c r="AB101" s="43" t="n">
        <f aca="false">SUMIFS('Additions (monthly)'!$E$2:$E$106,'Additions (monthly)'!$D$2:$D$106,AB$2,'Additions (monthly)'!$B$2:$B$106,"&lt;="&amp;$B101)</f>
        <v>16.95</v>
      </c>
      <c r="AC101" s="43" t="n">
        <f aca="false">SUMIFS('Additions (monthly)'!$E$2:$E$106,'Additions (monthly)'!$D$2:$D$106,AC$2,'Additions (monthly)'!$B$2:$B$106,"&lt;="&amp;$B101)</f>
        <v>2</v>
      </c>
      <c r="AD101" s="43" t="n">
        <f aca="false">SUMIFS('Additions (monthly)'!$E$2:$E$106,'Additions (monthly)'!$D$2:$D$106,AD$2,'Additions (monthly)'!$B$2:$B$106,"&lt;="&amp;$B101)</f>
        <v>7.6</v>
      </c>
      <c r="AE101" s="43" t="n">
        <f aca="false">SUMIFS('Additions (monthly)'!$E$2:$E$106,'Additions (monthly)'!$D$2:$D$106,AE$2,'Additions (monthly)'!$B$2:$B$106,"&lt;="&amp;$B101)</f>
        <v>29.3</v>
      </c>
      <c r="AF101" s="43" t="n">
        <f aca="false">SUMIFS('Additions (monthly)'!$E$2:$E$106,'Additions (monthly)'!$D$2:$D$106,AF$2,'Additions (monthly)'!$B$2:$B$106,"&lt;="&amp;$B101)</f>
        <v>1.2</v>
      </c>
      <c r="AG101" s="43" t="n">
        <f aca="false">SUMIFS('Additions (monthly)'!$E$2:$E$106,'Additions (monthly)'!$D$2:$D$106,AG$2,'Additions (monthly)'!$B$2:$B$106,"&lt;="&amp;$B101)</f>
        <v>0</v>
      </c>
      <c r="AH101" s="43" t="n">
        <f aca="false">SUMIFS('Additions (monthly)'!$E$2:$E$106,'Additions (monthly)'!$D$2:$D$106,AH$2,'Additions (monthly)'!$B$2:$B$106,"&lt;="&amp;$B101)</f>
        <v>0</v>
      </c>
      <c r="AI101" s="43" t="n">
        <f aca="false">SUMIFS('Additions (monthly)'!$E$2:$E$106,'Additions (monthly)'!$D$2:$D$106,AI$2,'Additions (monthly)'!$B$2:$B$106,"&lt;="&amp;$B101)</f>
        <v>0</v>
      </c>
      <c r="AJ101" s="43" t="n">
        <f aca="false">SUMIFS('Additions (monthly)'!$E$2:$E$106,'Additions (monthly)'!$D$2:$D$106,AJ$2,'Additions (monthly)'!$B$2:$B$106,"&lt;="&amp;$B101)</f>
        <v>0</v>
      </c>
      <c r="AK101" s="43" t="n">
        <f aca="false">SUMIFS('Additions (monthly)'!$E$2:$E$106,'Additions (monthly)'!$D$2:$D$106,AK$2,'Additions (monthly)'!$B$2:$B$106,"&lt;="&amp;$B101)</f>
        <v>0</v>
      </c>
      <c r="AL101" s="43" t="n">
        <f aca="false">SUMIFS('Additions (monthly)'!$E$2:$E$106,'Additions (monthly)'!$D$2:$D$106,AL$2,'Additions (monthly)'!$B$2:$B$106,"&lt;="&amp;$B101)</f>
        <v>22.2</v>
      </c>
      <c r="AM101" s="43" t="n">
        <f aca="false">SUMIFS('Additions (monthly)'!$E$2:$E$106,'Additions (monthly)'!$D$2:$D$106,AM$2,'Additions (monthly)'!$B$2:$B$106,"&lt;="&amp;$B101)</f>
        <v>0.3</v>
      </c>
      <c r="AN101" s="43" t="n">
        <f aca="false">SUMIFS('Additions (monthly)'!$E$2:$E$106,'Additions (monthly)'!$D$2:$D$106,AN$2,'Additions (monthly)'!$B$2:$B$106,"&lt;="&amp;$B101)</f>
        <v>4.3</v>
      </c>
      <c r="AO101" s="43" t="n">
        <f aca="false">SUMIFS('Additions (monthly)'!$E$2:$E$106,'Additions (monthly)'!$D$2:$D$106,AO$2,'Additions (monthly)'!$B$2:$B$106,"&lt;="&amp;$B101)</f>
        <v>10.4</v>
      </c>
      <c r="AP101" s="43" t="n">
        <f aca="false">SUMIFS('Additions (monthly)'!$E$2:$E$106,'Additions (monthly)'!$D$2:$D$106,AP$2,'Additions (monthly)'!$B$2:$B$106,"&lt;="&amp;$B101)</f>
        <v>6.9</v>
      </c>
      <c r="AQ101" s="43" t="n">
        <f aca="false">SUMIFS('Additions (monthly)'!$E$2:$E$106,'Additions (monthly)'!$D$2:$D$106,AQ$2,'Additions (monthly)'!$B$2:$B$106,"&lt;="&amp;$B101)</f>
        <v>4.45</v>
      </c>
      <c r="AR101" s="43" t="n">
        <f aca="false">SUMIFS('Additions (monthly)'!$E$2:$E$106,'Additions (monthly)'!$D$2:$D$106,AR$2,'Additions (monthly)'!$B$2:$B$106,"&lt;="&amp;$B101)</f>
        <v>77.1</v>
      </c>
      <c r="AS101" s="43" t="n">
        <f aca="false">SUMIFS('Additions (monthly)'!$E$2:$E$106,'Additions (monthly)'!$D$2:$D$106,AS$2,'Additions (monthly)'!$B$2:$B$106,"&lt;="&amp;$B101)</f>
        <v>0</v>
      </c>
      <c r="AT101" s="43" t="n">
        <f aca="false">SUMIFS('Additions (monthly)'!$E$2:$E$106,'Additions (monthly)'!$D$2:$D$106,AT$2,'Additions (monthly)'!$B$2:$B$106,"&lt;="&amp;$B101)</f>
        <v>0</v>
      </c>
      <c r="AU101" s="43" t="n">
        <f aca="false">SUMIFS('Additions (monthly)'!$E$2:$E$106,'Additions (monthly)'!$D$2:$D$106,AU$2,'Additions (monthly)'!$B$2:$B$106,"&lt;="&amp;$B101)</f>
        <v>9.6</v>
      </c>
      <c r="AV101" s="43" t="n">
        <f aca="false">SUMIFS('Additions (monthly)'!$E$2:$E$106,'Additions (monthly)'!$D$2:$D$106,AV$2,'Additions (monthly)'!$B$2:$B$106,"&lt;="&amp;$B101)</f>
        <v>0</v>
      </c>
      <c r="AW101" s="43" t="n">
        <f aca="false">SUMIFS('Additions (monthly)'!$E$2:$E$106,'Additions (monthly)'!$D$2:$D$106,AW$2,'Additions (monthly)'!$B$2:$B$106,"&lt;="&amp;$B101)</f>
        <v>5.5</v>
      </c>
      <c r="AX101" s="43" t="n">
        <f aca="false">SUMIFS('Additions (monthly)'!$E$2:$E$106,'Additions (monthly)'!$D$2:$D$106,AX$2,'Additions (monthly)'!$B$2:$B$106,"&lt;="&amp;$B101)</f>
        <v>11.8</v>
      </c>
      <c r="AY101" s="43" t="n">
        <f aca="false">SUMIFS('Additions (monthly)'!$E$2:$E$106,'Additions (monthly)'!$D$2:$D$106,AY$2,'Additions (monthly)'!$B$2:$B$106,"&lt;="&amp;$B101)</f>
        <v>5.3</v>
      </c>
      <c r="AZ101" s="43" t="n">
        <f aca="false">SUMIFS('Additions (monthly)'!$E$2:$E$106,'Additions (monthly)'!$D$2:$D$106,AZ$2,'Additions (monthly)'!$B$2:$B$106,"&lt;="&amp;$B101)</f>
        <v>0</v>
      </c>
      <c r="BA101" s="43" t="n">
        <f aca="false">SUMIFS('Additions (monthly)'!$E$2:$E$106,'Additions (monthly)'!$D$2:$D$106,BA$2,'Additions (monthly)'!$B$2:$B$106,"&lt;="&amp;$B101)</f>
        <v>0</v>
      </c>
      <c r="BB101" s="43" t="n">
        <f aca="false">SUMIFS('Additions (monthly)'!$E$2:$E$106,'Additions (monthly)'!$D$2:$D$106,BB$2,'Additions (monthly)'!$B$2:$B$106,"&lt;="&amp;$B101)</f>
        <v>0</v>
      </c>
      <c r="BC101" s="43" t="n">
        <f aca="false">SUMIFS('Additions (monthly)'!$E$2:$E$106,'Additions (monthly)'!$D$2:$D$106,BC$2,'Additions (monthly)'!$B$2:$B$106,"&lt;="&amp;$B101)</f>
        <v>5.25</v>
      </c>
      <c r="BD101" s="43" t="n">
        <f aca="false">SUMIFS('Additions (monthly)'!$E$2:$E$106,'Additions (monthly)'!$D$2:$D$106,BD$2,'Additions (monthly)'!$B$2:$B$106,"&lt;="&amp;$B101)</f>
        <v>0</v>
      </c>
      <c r="BE101" s="43" t="n">
        <f aca="false">SUMIFS('Additions (monthly)'!$E$2:$E$106,'Additions (monthly)'!$D$2:$D$106,BE$2,'Additions (monthly)'!$B$2:$B$106,"&lt;="&amp;$B101)</f>
        <v>0</v>
      </c>
      <c r="BF101" s="43" t="n">
        <f aca="false">SUMIFS('Additions (monthly)'!$E$2:$E$106,'Additions (monthly)'!$D$2:$D$106,BF$2,'Additions (monthly)'!$B$2:$B$106,"&lt;="&amp;$B101)</f>
        <v>0</v>
      </c>
      <c r="BG101" s="43" t="n">
        <f aca="false">SUMIFS('Additions (monthly)'!$E$2:$E$106,'Additions (monthly)'!$D$2:$D$106,BG$2,'Additions (monthly)'!$B$2:$B$106,"&lt;="&amp;$B101)</f>
        <v>0</v>
      </c>
      <c r="BH101" s="43" t="n">
        <f aca="false">SUMIFS('Additions (monthly)'!$E$2:$E$106,'Additions (monthly)'!$D$2:$D$106,BH$2,'Additions (monthly)'!$B$2:$B$106,"&lt;="&amp;$B101)</f>
        <v>20</v>
      </c>
      <c r="BI101" s="43" t="n">
        <f aca="false">SUMIFS('Additions (monthly)'!$E$2:$E$106,'Additions (monthly)'!$D$2:$D$106,BI$2,'Additions (monthly)'!$B$2:$B$106,"&lt;="&amp;$B101)</f>
        <v>6.7</v>
      </c>
    </row>
    <row r="102" customFormat="false" ht="15" hidden="false" customHeight="false" outlineLevel="0" collapsed="false">
      <c r="A102" s="23" t="n">
        <v>43191</v>
      </c>
      <c r="B102" s="24" t="n">
        <v>201804</v>
      </c>
      <c r="C102" s="42" t="n">
        <f aca="false">SUMIFS('Additions (monthly)'!$E$2:$E$106,'Additions (monthly)'!$B$2:$B$106,"&lt;="&amp;$B102)</f>
        <v>379.52</v>
      </c>
      <c r="D102" s="43" t="n">
        <f aca="false">SUMIFS('Additions (monthly)'!$E$2:$E$106,'Additions (monthly)'!$D$2:$D$106,D$2,'Additions (monthly)'!$B$2:$B$106,"&lt;="&amp;$B102)</f>
        <v>7.9</v>
      </c>
      <c r="E102" s="43" t="n">
        <f aca="false">SUMIFS('Additions (monthly)'!$E$2:$E$106,'Additions (monthly)'!$D$2:$D$106,E$2,'Additions (monthly)'!$B$2:$B$106,"&lt;="&amp;$B102)</f>
        <v>8.4</v>
      </c>
      <c r="F102" s="43" t="n">
        <f aca="false">SUMIFS('Additions (monthly)'!$E$2:$E$106,'Additions (monthly)'!$D$2:$D$106,F$2,'Additions (monthly)'!$B$2:$B$106,"&lt;="&amp;$B102)</f>
        <v>4.7</v>
      </c>
      <c r="G102" s="43" t="n">
        <f aca="false">SUMIFS('Additions (monthly)'!$E$2:$E$106,'Additions (monthly)'!$D$2:$D$106,G$2,'Additions (monthly)'!$B$2:$B$106,"&lt;="&amp;$B102)</f>
        <v>4.5</v>
      </c>
      <c r="H102" s="43" t="n">
        <f aca="false">SUMIFS('Additions (monthly)'!$E$2:$E$106,'Additions (monthly)'!$D$2:$D$106,H$2,'Additions (monthly)'!$B$2:$B$106,"&lt;="&amp;$B102)</f>
        <v>5.2</v>
      </c>
      <c r="I102" s="43" t="n">
        <f aca="false">SUMIFS('Additions (monthly)'!$E$2:$E$106,'Additions (monthly)'!$D$2:$D$106,I$2,'Additions (monthly)'!$B$2:$B$106,"&lt;="&amp;$B102)</f>
        <v>9</v>
      </c>
      <c r="J102" s="43" t="n">
        <f aca="false">SUMIFS('Additions (monthly)'!$E$2:$E$106,'Additions (monthly)'!$D$2:$D$106,J$2,'Additions (monthly)'!$B$2:$B$106,"&lt;="&amp;$B102)</f>
        <v>3.7</v>
      </c>
      <c r="K102" s="43" t="n">
        <f aca="false">SUMIFS('Additions (monthly)'!$E$2:$E$106,'Additions (monthly)'!$D$2:$D$106,K$2,'Additions (monthly)'!$B$2:$B$106,"&lt;="&amp;$B102)</f>
        <v>7.8</v>
      </c>
      <c r="L102" s="43" t="n">
        <f aca="false">SUMIFS('Additions (monthly)'!$E$2:$E$106,'Additions (monthly)'!$D$2:$D$106,L$2,'Additions (monthly)'!$B$2:$B$106,"&lt;="&amp;$B102)</f>
        <v>15.6</v>
      </c>
      <c r="M102" s="43" t="n">
        <f aca="false">SUMIFS('Additions (monthly)'!$E$2:$E$106,'Additions (monthly)'!$D$2:$D$106,M$2,'Additions (monthly)'!$B$2:$B$106,"&lt;="&amp;$B102)</f>
        <v>0</v>
      </c>
      <c r="N102" s="43" t="n">
        <f aca="false">SUMIFS('Additions (monthly)'!$E$2:$E$106,'Additions (monthly)'!$D$2:$D$106,N$2,'Additions (monthly)'!$B$2:$B$106,"&lt;="&amp;$B102)</f>
        <v>14.2</v>
      </c>
      <c r="O102" s="43" t="n">
        <f aca="false">SUMIFS('Additions (monthly)'!$E$2:$E$106,'Additions (monthly)'!$D$2:$D$106,O$2,'Additions (monthly)'!$B$2:$B$106,"&lt;="&amp;$B102)</f>
        <v>4.9</v>
      </c>
      <c r="P102" s="43" t="n">
        <f aca="false">SUMIFS('Additions (monthly)'!$E$2:$E$106,'Additions (monthly)'!$D$2:$D$106,P$2,'Additions (monthly)'!$B$2:$B$106,"&lt;="&amp;$B102)</f>
        <v>0</v>
      </c>
      <c r="Q102" s="43" t="n">
        <f aca="false">SUMIFS('Additions (monthly)'!$E$2:$E$106,'Additions (monthly)'!$D$2:$D$106,Q$2,'Additions (monthly)'!$B$2:$B$106,"&lt;="&amp;$B102)</f>
        <v>8.5</v>
      </c>
      <c r="R102" s="43" t="n">
        <f aca="false">SUMIFS('Additions (monthly)'!$E$2:$E$106,'Additions (monthly)'!$D$2:$D$106,R$2,'Additions (monthly)'!$B$2:$B$106,"&lt;="&amp;$B102)</f>
        <v>8.9</v>
      </c>
      <c r="S102" s="43" t="n">
        <f aca="false">SUMIFS('Additions (monthly)'!$E$2:$E$106,'Additions (monthly)'!$D$2:$D$106,S$2,'Additions (monthly)'!$B$2:$B$106,"&lt;="&amp;$B102)</f>
        <v>7.2</v>
      </c>
      <c r="T102" s="43" t="n">
        <f aca="false">SUMIFS('Additions (monthly)'!$E$2:$E$106,'Additions (monthly)'!$D$2:$D$106,T$2,'Additions (monthly)'!$B$2:$B$106,"&lt;="&amp;$B102)</f>
        <v>2.4</v>
      </c>
      <c r="U102" s="43" t="n">
        <f aca="false">SUMIFS('Additions (monthly)'!$E$2:$E$106,'Additions (monthly)'!$D$2:$D$106,U$2,'Additions (monthly)'!$B$2:$B$106,"&lt;="&amp;$B102)</f>
        <v>0</v>
      </c>
      <c r="V102" s="43" t="n">
        <f aca="false">SUMIFS('Additions (monthly)'!$E$2:$E$106,'Additions (monthly)'!$D$2:$D$106,V$2,'Additions (monthly)'!$B$2:$B$106,"&lt;="&amp;$B102)</f>
        <v>3.87</v>
      </c>
      <c r="W102" s="43" t="n">
        <f aca="false">SUMIFS('Additions (monthly)'!$E$2:$E$106,'Additions (monthly)'!$D$2:$D$106,W$2,'Additions (monthly)'!$B$2:$B$106,"&lt;="&amp;$B102)</f>
        <v>0</v>
      </c>
      <c r="X102" s="43" t="n">
        <f aca="false">SUMIFS('Additions (monthly)'!$E$2:$E$106,'Additions (monthly)'!$D$2:$D$106,X$2,'Additions (monthly)'!$B$2:$B$106,"&lt;="&amp;$B102)</f>
        <v>0</v>
      </c>
      <c r="Y102" s="43" t="n">
        <f aca="false">SUMIFS('Additions (monthly)'!$E$2:$E$106,'Additions (monthly)'!$D$2:$D$106,Y$2,'Additions (monthly)'!$B$2:$B$106,"&lt;="&amp;$B102)</f>
        <v>5</v>
      </c>
      <c r="Z102" s="43" t="n">
        <f aca="false">SUMIFS('Additions (monthly)'!$E$2:$E$106,'Additions (monthly)'!$D$2:$D$106,Z$2,'Additions (monthly)'!$B$2:$B$106,"&lt;="&amp;$B102)</f>
        <v>7.2</v>
      </c>
      <c r="AA102" s="43" t="n">
        <f aca="false">SUMIFS('Additions (monthly)'!$E$2:$E$106,'Additions (monthly)'!$D$2:$D$106,AA$2,'Additions (monthly)'!$B$2:$B$106,"&lt;="&amp;$B102)</f>
        <v>3.7</v>
      </c>
      <c r="AB102" s="43" t="n">
        <f aca="false">SUMIFS('Additions (monthly)'!$E$2:$E$106,'Additions (monthly)'!$D$2:$D$106,AB$2,'Additions (monthly)'!$B$2:$B$106,"&lt;="&amp;$B102)</f>
        <v>16.95</v>
      </c>
      <c r="AC102" s="43" t="n">
        <f aca="false">SUMIFS('Additions (monthly)'!$E$2:$E$106,'Additions (monthly)'!$D$2:$D$106,AC$2,'Additions (monthly)'!$B$2:$B$106,"&lt;="&amp;$B102)</f>
        <v>2</v>
      </c>
      <c r="AD102" s="43" t="n">
        <f aca="false">SUMIFS('Additions (monthly)'!$E$2:$E$106,'Additions (monthly)'!$D$2:$D$106,AD$2,'Additions (monthly)'!$B$2:$B$106,"&lt;="&amp;$B102)</f>
        <v>7.6</v>
      </c>
      <c r="AE102" s="43" t="n">
        <f aca="false">SUMIFS('Additions (monthly)'!$E$2:$E$106,'Additions (monthly)'!$D$2:$D$106,AE$2,'Additions (monthly)'!$B$2:$B$106,"&lt;="&amp;$B102)</f>
        <v>29.3</v>
      </c>
      <c r="AF102" s="43" t="n">
        <f aca="false">SUMIFS('Additions (monthly)'!$E$2:$E$106,'Additions (monthly)'!$D$2:$D$106,AF$2,'Additions (monthly)'!$B$2:$B$106,"&lt;="&amp;$B102)</f>
        <v>1.2</v>
      </c>
      <c r="AG102" s="43" t="n">
        <f aca="false">SUMIFS('Additions (monthly)'!$E$2:$E$106,'Additions (monthly)'!$D$2:$D$106,AG$2,'Additions (monthly)'!$B$2:$B$106,"&lt;="&amp;$B102)</f>
        <v>0</v>
      </c>
      <c r="AH102" s="43" t="n">
        <f aca="false">SUMIFS('Additions (monthly)'!$E$2:$E$106,'Additions (monthly)'!$D$2:$D$106,AH$2,'Additions (monthly)'!$B$2:$B$106,"&lt;="&amp;$B102)</f>
        <v>0</v>
      </c>
      <c r="AI102" s="43" t="n">
        <f aca="false">SUMIFS('Additions (monthly)'!$E$2:$E$106,'Additions (monthly)'!$D$2:$D$106,AI$2,'Additions (monthly)'!$B$2:$B$106,"&lt;="&amp;$B102)</f>
        <v>0</v>
      </c>
      <c r="AJ102" s="43" t="n">
        <f aca="false">SUMIFS('Additions (monthly)'!$E$2:$E$106,'Additions (monthly)'!$D$2:$D$106,AJ$2,'Additions (monthly)'!$B$2:$B$106,"&lt;="&amp;$B102)</f>
        <v>0</v>
      </c>
      <c r="AK102" s="43" t="n">
        <f aca="false">SUMIFS('Additions (monthly)'!$E$2:$E$106,'Additions (monthly)'!$D$2:$D$106,AK$2,'Additions (monthly)'!$B$2:$B$106,"&lt;="&amp;$B102)</f>
        <v>0</v>
      </c>
      <c r="AL102" s="43" t="n">
        <f aca="false">SUMIFS('Additions (monthly)'!$E$2:$E$106,'Additions (monthly)'!$D$2:$D$106,AL$2,'Additions (monthly)'!$B$2:$B$106,"&lt;="&amp;$B102)</f>
        <v>22.2</v>
      </c>
      <c r="AM102" s="43" t="n">
        <f aca="false">SUMIFS('Additions (monthly)'!$E$2:$E$106,'Additions (monthly)'!$D$2:$D$106,AM$2,'Additions (monthly)'!$B$2:$B$106,"&lt;="&amp;$B102)</f>
        <v>0.3</v>
      </c>
      <c r="AN102" s="43" t="n">
        <f aca="false">SUMIFS('Additions (monthly)'!$E$2:$E$106,'Additions (monthly)'!$D$2:$D$106,AN$2,'Additions (monthly)'!$B$2:$B$106,"&lt;="&amp;$B102)</f>
        <v>4.3</v>
      </c>
      <c r="AO102" s="43" t="n">
        <f aca="false">SUMIFS('Additions (monthly)'!$E$2:$E$106,'Additions (monthly)'!$D$2:$D$106,AO$2,'Additions (monthly)'!$B$2:$B$106,"&lt;="&amp;$B102)</f>
        <v>10.4</v>
      </c>
      <c r="AP102" s="43" t="n">
        <f aca="false">SUMIFS('Additions (monthly)'!$E$2:$E$106,'Additions (monthly)'!$D$2:$D$106,AP$2,'Additions (monthly)'!$B$2:$B$106,"&lt;="&amp;$B102)</f>
        <v>6.9</v>
      </c>
      <c r="AQ102" s="43" t="n">
        <f aca="false">SUMIFS('Additions (monthly)'!$E$2:$E$106,'Additions (monthly)'!$D$2:$D$106,AQ$2,'Additions (monthly)'!$B$2:$B$106,"&lt;="&amp;$B102)</f>
        <v>4.45</v>
      </c>
      <c r="AR102" s="43" t="n">
        <f aca="false">SUMIFS('Additions (monthly)'!$E$2:$E$106,'Additions (monthly)'!$D$2:$D$106,AR$2,'Additions (monthly)'!$B$2:$B$106,"&lt;="&amp;$B102)</f>
        <v>77.1</v>
      </c>
      <c r="AS102" s="43" t="n">
        <f aca="false">SUMIFS('Additions (monthly)'!$E$2:$E$106,'Additions (monthly)'!$D$2:$D$106,AS$2,'Additions (monthly)'!$B$2:$B$106,"&lt;="&amp;$B102)</f>
        <v>0</v>
      </c>
      <c r="AT102" s="43" t="n">
        <f aca="false">SUMIFS('Additions (monthly)'!$E$2:$E$106,'Additions (monthly)'!$D$2:$D$106,AT$2,'Additions (monthly)'!$B$2:$B$106,"&lt;="&amp;$B102)</f>
        <v>0</v>
      </c>
      <c r="AU102" s="43" t="n">
        <f aca="false">SUMIFS('Additions (monthly)'!$E$2:$E$106,'Additions (monthly)'!$D$2:$D$106,AU$2,'Additions (monthly)'!$B$2:$B$106,"&lt;="&amp;$B102)</f>
        <v>9.6</v>
      </c>
      <c r="AV102" s="43" t="n">
        <f aca="false">SUMIFS('Additions (monthly)'!$E$2:$E$106,'Additions (monthly)'!$D$2:$D$106,AV$2,'Additions (monthly)'!$B$2:$B$106,"&lt;="&amp;$B102)</f>
        <v>0</v>
      </c>
      <c r="AW102" s="43" t="n">
        <f aca="false">SUMIFS('Additions (monthly)'!$E$2:$E$106,'Additions (monthly)'!$D$2:$D$106,AW$2,'Additions (monthly)'!$B$2:$B$106,"&lt;="&amp;$B102)</f>
        <v>5.5</v>
      </c>
      <c r="AX102" s="43" t="n">
        <f aca="false">SUMIFS('Additions (monthly)'!$E$2:$E$106,'Additions (monthly)'!$D$2:$D$106,AX$2,'Additions (monthly)'!$B$2:$B$106,"&lt;="&amp;$B102)</f>
        <v>11.8</v>
      </c>
      <c r="AY102" s="43" t="n">
        <f aca="false">SUMIFS('Additions (monthly)'!$E$2:$E$106,'Additions (monthly)'!$D$2:$D$106,AY$2,'Additions (monthly)'!$B$2:$B$106,"&lt;="&amp;$B102)</f>
        <v>5.3</v>
      </c>
      <c r="AZ102" s="43" t="n">
        <f aca="false">SUMIFS('Additions (monthly)'!$E$2:$E$106,'Additions (monthly)'!$D$2:$D$106,AZ$2,'Additions (monthly)'!$B$2:$B$106,"&lt;="&amp;$B102)</f>
        <v>0</v>
      </c>
      <c r="BA102" s="43" t="n">
        <f aca="false">SUMIFS('Additions (monthly)'!$E$2:$E$106,'Additions (monthly)'!$D$2:$D$106,BA$2,'Additions (monthly)'!$B$2:$B$106,"&lt;="&amp;$B102)</f>
        <v>0</v>
      </c>
      <c r="BB102" s="43" t="n">
        <f aca="false">SUMIFS('Additions (monthly)'!$E$2:$E$106,'Additions (monthly)'!$D$2:$D$106,BB$2,'Additions (monthly)'!$B$2:$B$106,"&lt;="&amp;$B102)</f>
        <v>0</v>
      </c>
      <c r="BC102" s="43" t="n">
        <f aca="false">SUMIFS('Additions (monthly)'!$E$2:$E$106,'Additions (monthly)'!$D$2:$D$106,BC$2,'Additions (monthly)'!$B$2:$B$106,"&lt;="&amp;$B102)</f>
        <v>5.25</v>
      </c>
      <c r="BD102" s="43" t="n">
        <f aca="false">SUMIFS('Additions (monthly)'!$E$2:$E$106,'Additions (monthly)'!$D$2:$D$106,BD$2,'Additions (monthly)'!$B$2:$B$106,"&lt;="&amp;$B102)</f>
        <v>0</v>
      </c>
      <c r="BE102" s="43" t="n">
        <f aca="false">SUMIFS('Additions (monthly)'!$E$2:$E$106,'Additions (monthly)'!$D$2:$D$106,BE$2,'Additions (monthly)'!$B$2:$B$106,"&lt;="&amp;$B102)</f>
        <v>0</v>
      </c>
      <c r="BF102" s="43" t="n">
        <f aca="false">SUMIFS('Additions (monthly)'!$E$2:$E$106,'Additions (monthly)'!$D$2:$D$106,BF$2,'Additions (monthly)'!$B$2:$B$106,"&lt;="&amp;$B102)</f>
        <v>0</v>
      </c>
      <c r="BG102" s="43" t="n">
        <f aca="false">SUMIFS('Additions (monthly)'!$E$2:$E$106,'Additions (monthly)'!$D$2:$D$106,BG$2,'Additions (monthly)'!$B$2:$B$106,"&lt;="&amp;$B102)</f>
        <v>0</v>
      </c>
      <c r="BH102" s="43" t="n">
        <f aca="false">SUMIFS('Additions (monthly)'!$E$2:$E$106,'Additions (monthly)'!$D$2:$D$106,BH$2,'Additions (monthly)'!$B$2:$B$106,"&lt;="&amp;$B102)</f>
        <v>20</v>
      </c>
      <c r="BI102" s="43" t="n">
        <f aca="false">SUMIFS('Additions (monthly)'!$E$2:$E$106,'Additions (monthly)'!$D$2:$D$106,BI$2,'Additions (monthly)'!$B$2:$B$106,"&lt;="&amp;$B102)</f>
        <v>6.7</v>
      </c>
    </row>
    <row r="103" customFormat="false" ht="15" hidden="false" customHeight="false" outlineLevel="0" collapsed="false">
      <c r="A103" s="23" t="n">
        <v>43221</v>
      </c>
      <c r="B103" s="24" t="n">
        <v>201805</v>
      </c>
      <c r="C103" s="42" t="n">
        <f aca="false">SUMIFS('Additions (monthly)'!$E$2:$E$106,'Additions (monthly)'!$B$2:$B$106,"&lt;="&amp;$B103)</f>
        <v>379.52</v>
      </c>
      <c r="D103" s="43" t="n">
        <f aca="false">SUMIFS('Additions (monthly)'!$E$2:$E$106,'Additions (monthly)'!$D$2:$D$106,D$2,'Additions (monthly)'!$B$2:$B$106,"&lt;="&amp;$B103)</f>
        <v>7.9</v>
      </c>
      <c r="E103" s="43" t="n">
        <f aca="false">SUMIFS('Additions (monthly)'!$E$2:$E$106,'Additions (monthly)'!$D$2:$D$106,E$2,'Additions (monthly)'!$B$2:$B$106,"&lt;="&amp;$B103)</f>
        <v>8.4</v>
      </c>
      <c r="F103" s="43" t="n">
        <f aca="false">SUMIFS('Additions (monthly)'!$E$2:$E$106,'Additions (monthly)'!$D$2:$D$106,F$2,'Additions (monthly)'!$B$2:$B$106,"&lt;="&amp;$B103)</f>
        <v>4.7</v>
      </c>
      <c r="G103" s="43" t="n">
        <f aca="false">SUMIFS('Additions (monthly)'!$E$2:$E$106,'Additions (monthly)'!$D$2:$D$106,G$2,'Additions (monthly)'!$B$2:$B$106,"&lt;="&amp;$B103)</f>
        <v>4.5</v>
      </c>
      <c r="H103" s="43" t="n">
        <f aca="false">SUMIFS('Additions (monthly)'!$E$2:$E$106,'Additions (monthly)'!$D$2:$D$106,H$2,'Additions (monthly)'!$B$2:$B$106,"&lt;="&amp;$B103)</f>
        <v>5.2</v>
      </c>
      <c r="I103" s="43" t="n">
        <f aca="false">SUMIFS('Additions (monthly)'!$E$2:$E$106,'Additions (monthly)'!$D$2:$D$106,I$2,'Additions (monthly)'!$B$2:$B$106,"&lt;="&amp;$B103)</f>
        <v>9</v>
      </c>
      <c r="J103" s="43" t="n">
        <f aca="false">SUMIFS('Additions (monthly)'!$E$2:$E$106,'Additions (monthly)'!$D$2:$D$106,J$2,'Additions (monthly)'!$B$2:$B$106,"&lt;="&amp;$B103)</f>
        <v>3.7</v>
      </c>
      <c r="K103" s="43" t="n">
        <f aca="false">SUMIFS('Additions (monthly)'!$E$2:$E$106,'Additions (monthly)'!$D$2:$D$106,K$2,'Additions (monthly)'!$B$2:$B$106,"&lt;="&amp;$B103)</f>
        <v>7.8</v>
      </c>
      <c r="L103" s="43" t="n">
        <f aca="false">SUMIFS('Additions (monthly)'!$E$2:$E$106,'Additions (monthly)'!$D$2:$D$106,L$2,'Additions (monthly)'!$B$2:$B$106,"&lt;="&amp;$B103)</f>
        <v>15.6</v>
      </c>
      <c r="M103" s="43" t="n">
        <f aca="false">SUMIFS('Additions (monthly)'!$E$2:$E$106,'Additions (monthly)'!$D$2:$D$106,M$2,'Additions (monthly)'!$B$2:$B$106,"&lt;="&amp;$B103)</f>
        <v>0</v>
      </c>
      <c r="N103" s="43" t="n">
        <f aca="false">SUMIFS('Additions (monthly)'!$E$2:$E$106,'Additions (monthly)'!$D$2:$D$106,N$2,'Additions (monthly)'!$B$2:$B$106,"&lt;="&amp;$B103)</f>
        <v>14.2</v>
      </c>
      <c r="O103" s="43" t="n">
        <f aca="false">SUMIFS('Additions (monthly)'!$E$2:$E$106,'Additions (monthly)'!$D$2:$D$106,O$2,'Additions (monthly)'!$B$2:$B$106,"&lt;="&amp;$B103)</f>
        <v>4.9</v>
      </c>
      <c r="P103" s="43" t="n">
        <f aca="false">SUMIFS('Additions (monthly)'!$E$2:$E$106,'Additions (monthly)'!$D$2:$D$106,P$2,'Additions (monthly)'!$B$2:$B$106,"&lt;="&amp;$B103)</f>
        <v>0</v>
      </c>
      <c r="Q103" s="43" t="n">
        <f aca="false">SUMIFS('Additions (monthly)'!$E$2:$E$106,'Additions (monthly)'!$D$2:$D$106,Q$2,'Additions (monthly)'!$B$2:$B$106,"&lt;="&amp;$B103)</f>
        <v>8.5</v>
      </c>
      <c r="R103" s="43" t="n">
        <f aca="false">SUMIFS('Additions (monthly)'!$E$2:$E$106,'Additions (monthly)'!$D$2:$D$106,R$2,'Additions (monthly)'!$B$2:$B$106,"&lt;="&amp;$B103)</f>
        <v>8.9</v>
      </c>
      <c r="S103" s="43" t="n">
        <f aca="false">SUMIFS('Additions (monthly)'!$E$2:$E$106,'Additions (monthly)'!$D$2:$D$106,S$2,'Additions (monthly)'!$B$2:$B$106,"&lt;="&amp;$B103)</f>
        <v>7.2</v>
      </c>
      <c r="T103" s="43" t="n">
        <f aca="false">SUMIFS('Additions (monthly)'!$E$2:$E$106,'Additions (monthly)'!$D$2:$D$106,T$2,'Additions (monthly)'!$B$2:$B$106,"&lt;="&amp;$B103)</f>
        <v>2.4</v>
      </c>
      <c r="U103" s="43" t="n">
        <f aca="false">SUMIFS('Additions (monthly)'!$E$2:$E$106,'Additions (monthly)'!$D$2:$D$106,U$2,'Additions (monthly)'!$B$2:$B$106,"&lt;="&amp;$B103)</f>
        <v>0</v>
      </c>
      <c r="V103" s="43" t="n">
        <f aca="false">SUMIFS('Additions (monthly)'!$E$2:$E$106,'Additions (monthly)'!$D$2:$D$106,V$2,'Additions (monthly)'!$B$2:$B$106,"&lt;="&amp;$B103)</f>
        <v>3.87</v>
      </c>
      <c r="W103" s="43" t="n">
        <f aca="false">SUMIFS('Additions (monthly)'!$E$2:$E$106,'Additions (monthly)'!$D$2:$D$106,W$2,'Additions (monthly)'!$B$2:$B$106,"&lt;="&amp;$B103)</f>
        <v>0</v>
      </c>
      <c r="X103" s="43" t="n">
        <f aca="false">SUMIFS('Additions (monthly)'!$E$2:$E$106,'Additions (monthly)'!$D$2:$D$106,X$2,'Additions (monthly)'!$B$2:$B$106,"&lt;="&amp;$B103)</f>
        <v>0</v>
      </c>
      <c r="Y103" s="43" t="n">
        <f aca="false">SUMIFS('Additions (monthly)'!$E$2:$E$106,'Additions (monthly)'!$D$2:$D$106,Y$2,'Additions (monthly)'!$B$2:$B$106,"&lt;="&amp;$B103)</f>
        <v>5</v>
      </c>
      <c r="Z103" s="43" t="n">
        <f aca="false">SUMIFS('Additions (monthly)'!$E$2:$E$106,'Additions (monthly)'!$D$2:$D$106,Z$2,'Additions (monthly)'!$B$2:$B$106,"&lt;="&amp;$B103)</f>
        <v>7.2</v>
      </c>
      <c r="AA103" s="43" t="n">
        <f aca="false">SUMIFS('Additions (monthly)'!$E$2:$E$106,'Additions (monthly)'!$D$2:$D$106,AA$2,'Additions (monthly)'!$B$2:$B$106,"&lt;="&amp;$B103)</f>
        <v>3.7</v>
      </c>
      <c r="AB103" s="43" t="n">
        <f aca="false">SUMIFS('Additions (monthly)'!$E$2:$E$106,'Additions (monthly)'!$D$2:$D$106,AB$2,'Additions (monthly)'!$B$2:$B$106,"&lt;="&amp;$B103)</f>
        <v>16.95</v>
      </c>
      <c r="AC103" s="43" t="n">
        <f aca="false">SUMIFS('Additions (monthly)'!$E$2:$E$106,'Additions (monthly)'!$D$2:$D$106,AC$2,'Additions (monthly)'!$B$2:$B$106,"&lt;="&amp;$B103)</f>
        <v>2</v>
      </c>
      <c r="AD103" s="43" t="n">
        <f aca="false">SUMIFS('Additions (monthly)'!$E$2:$E$106,'Additions (monthly)'!$D$2:$D$106,AD$2,'Additions (monthly)'!$B$2:$B$106,"&lt;="&amp;$B103)</f>
        <v>7.6</v>
      </c>
      <c r="AE103" s="43" t="n">
        <f aca="false">SUMIFS('Additions (monthly)'!$E$2:$E$106,'Additions (monthly)'!$D$2:$D$106,AE$2,'Additions (monthly)'!$B$2:$B$106,"&lt;="&amp;$B103)</f>
        <v>29.3</v>
      </c>
      <c r="AF103" s="43" t="n">
        <f aca="false">SUMIFS('Additions (monthly)'!$E$2:$E$106,'Additions (monthly)'!$D$2:$D$106,AF$2,'Additions (monthly)'!$B$2:$B$106,"&lt;="&amp;$B103)</f>
        <v>1.2</v>
      </c>
      <c r="AG103" s="43" t="n">
        <f aca="false">SUMIFS('Additions (monthly)'!$E$2:$E$106,'Additions (monthly)'!$D$2:$D$106,AG$2,'Additions (monthly)'!$B$2:$B$106,"&lt;="&amp;$B103)</f>
        <v>0</v>
      </c>
      <c r="AH103" s="43" t="n">
        <f aca="false">SUMIFS('Additions (monthly)'!$E$2:$E$106,'Additions (monthly)'!$D$2:$D$106,AH$2,'Additions (monthly)'!$B$2:$B$106,"&lt;="&amp;$B103)</f>
        <v>0</v>
      </c>
      <c r="AI103" s="43" t="n">
        <f aca="false">SUMIFS('Additions (monthly)'!$E$2:$E$106,'Additions (monthly)'!$D$2:$D$106,AI$2,'Additions (monthly)'!$B$2:$B$106,"&lt;="&amp;$B103)</f>
        <v>0</v>
      </c>
      <c r="AJ103" s="43" t="n">
        <f aca="false">SUMIFS('Additions (monthly)'!$E$2:$E$106,'Additions (monthly)'!$D$2:$D$106,AJ$2,'Additions (monthly)'!$B$2:$B$106,"&lt;="&amp;$B103)</f>
        <v>0</v>
      </c>
      <c r="AK103" s="43" t="n">
        <f aca="false">SUMIFS('Additions (monthly)'!$E$2:$E$106,'Additions (monthly)'!$D$2:$D$106,AK$2,'Additions (monthly)'!$B$2:$B$106,"&lt;="&amp;$B103)</f>
        <v>0</v>
      </c>
      <c r="AL103" s="43" t="n">
        <f aca="false">SUMIFS('Additions (monthly)'!$E$2:$E$106,'Additions (monthly)'!$D$2:$D$106,AL$2,'Additions (monthly)'!$B$2:$B$106,"&lt;="&amp;$B103)</f>
        <v>22.2</v>
      </c>
      <c r="AM103" s="43" t="n">
        <f aca="false">SUMIFS('Additions (monthly)'!$E$2:$E$106,'Additions (monthly)'!$D$2:$D$106,AM$2,'Additions (monthly)'!$B$2:$B$106,"&lt;="&amp;$B103)</f>
        <v>0.3</v>
      </c>
      <c r="AN103" s="43" t="n">
        <f aca="false">SUMIFS('Additions (monthly)'!$E$2:$E$106,'Additions (monthly)'!$D$2:$D$106,AN$2,'Additions (monthly)'!$B$2:$B$106,"&lt;="&amp;$B103)</f>
        <v>4.3</v>
      </c>
      <c r="AO103" s="43" t="n">
        <f aca="false">SUMIFS('Additions (monthly)'!$E$2:$E$106,'Additions (monthly)'!$D$2:$D$106,AO$2,'Additions (monthly)'!$B$2:$B$106,"&lt;="&amp;$B103)</f>
        <v>10.4</v>
      </c>
      <c r="AP103" s="43" t="n">
        <f aca="false">SUMIFS('Additions (monthly)'!$E$2:$E$106,'Additions (monthly)'!$D$2:$D$106,AP$2,'Additions (monthly)'!$B$2:$B$106,"&lt;="&amp;$B103)</f>
        <v>6.9</v>
      </c>
      <c r="AQ103" s="43" t="n">
        <f aca="false">SUMIFS('Additions (monthly)'!$E$2:$E$106,'Additions (monthly)'!$D$2:$D$106,AQ$2,'Additions (monthly)'!$B$2:$B$106,"&lt;="&amp;$B103)</f>
        <v>4.45</v>
      </c>
      <c r="AR103" s="43" t="n">
        <f aca="false">SUMIFS('Additions (monthly)'!$E$2:$E$106,'Additions (monthly)'!$D$2:$D$106,AR$2,'Additions (monthly)'!$B$2:$B$106,"&lt;="&amp;$B103)</f>
        <v>77.1</v>
      </c>
      <c r="AS103" s="43" t="n">
        <f aca="false">SUMIFS('Additions (monthly)'!$E$2:$E$106,'Additions (monthly)'!$D$2:$D$106,AS$2,'Additions (monthly)'!$B$2:$B$106,"&lt;="&amp;$B103)</f>
        <v>0</v>
      </c>
      <c r="AT103" s="43" t="n">
        <f aca="false">SUMIFS('Additions (monthly)'!$E$2:$E$106,'Additions (monthly)'!$D$2:$D$106,AT$2,'Additions (monthly)'!$B$2:$B$106,"&lt;="&amp;$B103)</f>
        <v>0</v>
      </c>
      <c r="AU103" s="43" t="n">
        <f aca="false">SUMIFS('Additions (monthly)'!$E$2:$E$106,'Additions (monthly)'!$D$2:$D$106,AU$2,'Additions (monthly)'!$B$2:$B$106,"&lt;="&amp;$B103)</f>
        <v>9.6</v>
      </c>
      <c r="AV103" s="43" t="n">
        <f aca="false">SUMIFS('Additions (monthly)'!$E$2:$E$106,'Additions (monthly)'!$D$2:$D$106,AV$2,'Additions (monthly)'!$B$2:$B$106,"&lt;="&amp;$B103)</f>
        <v>0</v>
      </c>
      <c r="AW103" s="43" t="n">
        <f aca="false">SUMIFS('Additions (monthly)'!$E$2:$E$106,'Additions (monthly)'!$D$2:$D$106,AW$2,'Additions (monthly)'!$B$2:$B$106,"&lt;="&amp;$B103)</f>
        <v>5.5</v>
      </c>
      <c r="AX103" s="43" t="n">
        <f aca="false">SUMIFS('Additions (monthly)'!$E$2:$E$106,'Additions (monthly)'!$D$2:$D$106,AX$2,'Additions (monthly)'!$B$2:$B$106,"&lt;="&amp;$B103)</f>
        <v>11.8</v>
      </c>
      <c r="AY103" s="43" t="n">
        <f aca="false">SUMIFS('Additions (monthly)'!$E$2:$E$106,'Additions (monthly)'!$D$2:$D$106,AY$2,'Additions (monthly)'!$B$2:$B$106,"&lt;="&amp;$B103)</f>
        <v>5.3</v>
      </c>
      <c r="AZ103" s="43" t="n">
        <f aca="false">SUMIFS('Additions (monthly)'!$E$2:$E$106,'Additions (monthly)'!$D$2:$D$106,AZ$2,'Additions (monthly)'!$B$2:$B$106,"&lt;="&amp;$B103)</f>
        <v>0</v>
      </c>
      <c r="BA103" s="43" t="n">
        <f aca="false">SUMIFS('Additions (monthly)'!$E$2:$E$106,'Additions (monthly)'!$D$2:$D$106,BA$2,'Additions (monthly)'!$B$2:$B$106,"&lt;="&amp;$B103)</f>
        <v>0</v>
      </c>
      <c r="BB103" s="43" t="n">
        <f aca="false">SUMIFS('Additions (monthly)'!$E$2:$E$106,'Additions (monthly)'!$D$2:$D$106,BB$2,'Additions (monthly)'!$B$2:$B$106,"&lt;="&amp;$B103)</f>
        <v>0</v>
      </c>
      <c r="BC103" s="43" t="n">
        <f aca="false">SUMIFS('Additions (monthly)'!$E$2:$E$106,'Additions (monthly)'!$D$2:$D$106,BC$2,'Additions (monthly)'!$B$2:$B$106,"&lt;="&amp;$B103)</f>
        <v>5.25</v>
      </c>
      <c r="BD103" s="43" t="n">
        <f aca="false">SUMIFS('Additions (monthly)'!$E$2:$E$106,'Additions (monthly)'!$D$2:$D$106,BD$2,'Additions (monthly)'!$B$2:$B$106,"&lt;="&amp;$B103)</f>
        <v>0</v>
      </c>
      <c r="BE103" s="43" t="n">
        <f aca="false">SUMIFS('Additions (monthly)'!$E$2:$E$106,'Additions (monthly)'!$D$2:$D$106,BE$2,'Additions (monthly)'!$B$2:$B$106,"&lt;="&amp;$B103)</f>
        <v>0</v>
      </c>
      <c r="BF103" s="43" t="n">
        <f aca="false">SUMIFS('Additions (monthly)'!$E$2:$E$106,'Additions (monthly)'!$D$2:$D$106,BF$2,'Additions (monthly)'!$B$2:$B$106,"&lt;="&amp;$B103)</f>
        <v>0</v>
      </c>
      <c r="BG103" s="43" t="n">
        <f aca="false">SUMIFS('Additions (monthly)'!$E$2:$E$106,'Additions (monthly)'!$D$2:$D$106,BG$2,'Additions (monthly)'!$B$2:$B$106,"&lt;="&amp;$B103)</f>
        <v>0</v>
      </c>
      <c r="BH103" s="43" t="n">
        <f aca="false">SUMIFS('Additions (monthly)'!$E$2:$E$106,'Additions (monthly)'!$D$2:$D$106,BH$2,'Additions (monthly)'!$B$2:$B$106,"&lt;="&amp;$B103)</f>
        <v>20</v>
      </c>
      <c r="BI103" s="43" t="n">
        <f aca="false">SUMIFS('Additions (monthly)'!$E$2:$E$106,'Additions (monthly)'!$D$2:$D$106,BI$2,'Additions (monthly)'!$B$2:$B$106,"&lt;="&amp;$B103)</f>
        <v>6.7</v>
      </c>
    </row>
    <row r="104" customFormat="false" ht="15" hidden="false" customHeight="false" outlineLevel="0" collapsed="false">
      <c r="A104" s="23" t="n">
        <v>43252</v>
      </c>
      <c r="B104" s="24" t="n">
        <v>201806</v>
      </c>
      <c r="C104" s="42" t="n">
        <f aca="false">SUMIFS('Additions (monthly)'!$E$2:$E$106,'Additions (monthly)'!$B$2:$B$106,"&lt;="&amp;$B104)</f>
        <v>379.52</v>
      </c>
      <c r="D104" s="43" t="n">
        <f aca="false">SUMIFS('Additions (monthly)'!$E$2:$E$106,'Additions (monthly)'!$D$2:$D$106,D$2,'Additions (monthly)'!$B$2:$B$106,"&lt;="&amp;$B104)</f>
        <v>7.9</v>
      </c>
      <c r="E104" s="43" t="n">
        <f aca="false">SUMIFS('Additions (monthly)'!$E$2:$E$106,'Additions (monthly)'!$D$2:$D$106,E$2,'Additions (monthly)'!$B$2:$B$106,"&lt;="&amp;$B104)</f>
        <v>8.4</v>
      </c>
      <c r="F104" s="43" t="n">
        <f aca="false">SUMIFS('Additions (monthly)'!$E$2:$E$106,'Additions (monthly)'!$D$2:$D$106,F$2,'Additions (monthly)'!$B$2:$B$106,"&lt;="&amp;$B104)</f>
        <v>4.7</v>
      </c>
      <c r="G104" s="43" t="n">
        <f aca="false">SUMIFS('Additions (monthly)'!$E$2:$E$106,'Additions (monthly)'!$D$2:$D$106,G$2,'Additions (monthly)'!$B$2:$B$106,"&lt;="&amp;$B104)</f>
        <v>4.5</v>
      </c>
      <c r="H104" s="43" t="n">
        <f aca="false">SUMIFS('Additions (monthly)'!$E$2:$E$106,'Additions (monthly)'!$D$2:$D$106,H$2,'Additions (monthly)'!$B$2:$B$106,"&lt;="&amp;$B104)</f>
        <v>5.2</v>
      </c>
      <c r="I104" s="43" t="n">
        <f aca="false">SUMIFS('Additions (monthly)'!$E$2:$E$106,'Additions (monthly)'!$D$2:$D$106,I$2,'Additions (monthly)'!$B$2:$B$106,"&lt;="&amp;$B104)</f>
        <v>9</v>
      </c>
      <c r="J104" s="43" t="n">
        <f aca="false">SUMIFS('Additions (monthly)'!$E$2:$E$106,'Additions (monthly)'!$D$2:$D$106,J$2,'Additions (monthly)'!$B$2:$B$106,"&lt;="&amp;$B104)</f>
        <v>3.7</v>
      </c>
      <c r="K104" s="43" t="n">
        <f aca="false">SUMIFS('Additions (monthly)'!$E$2:$E$106,'Additions (monthly)'!$D$2:$D$106,K$2,'Additions (monthly)'!$B$2:$B$106,"&lt;="&amp;$B104)</f>
        <v>7.8</v>
      </c>
      <c r="L104" s="43" t="n">
        <f aca="false">SUMIFS('Additions (monthly)'!$E$2:$E$106,'Additions (monthly)'!$D$2:$D$106,L$2,'Additions (monthly)'!$B$2:$B$106,"&lt;="&amp;$B104)</f>
        <v>15.6</v>
      </c>
      <c r="M104" s="43" t="n">
        <f aca="false">SUMIFS('Additions (monthly)'!$E$2:$E$106,'Additions (monthly)'!$D$2:$D$106,M$2,'Additions (monthly)'!$B$2:$B$106,"&lt;="&amp;$B104)</f>
        <v>0</v>
      </c>
      <c r="N104" s="43" t="n">
        <f aca="false">SUMIFS('Additions (monthly)'!$E$2:$E$106,'Additions (monthly)'!$D$2:$D$106,N$2,'Additions (monthly)'!$B$2:$B$106,"&lt;="&amp;$B104)</f>
        <v>14.2</v>
      </c>
      <c r="O104" s="43" t="n">
        <f aca="false">SUMIFS('Additions (monthly)'!$E$2:$E$106,'Additions (monthly)'!$D$2:$D$106,O$2,'Additions (monthly)'!$B$2:$B$106,"&lt;="&amp;$B104)</f>
        <v>4.9</v>
      </c>
      <c r="P104" s="43" t="n">
        <f aca="false">SUMIFS('Additions (monthly)'!$E$2:$E$106,'Additions (monthly)'!$D$2:$D$106,P$2,'Additions (monthly)'!$B$2:$B$106,"&lt;="&amp;$B104)</f>
        <v>0</v>
      </c>
      <c r="Q104" s="43" t="n">
        <f aca="false">SUMIFS('Additions (monthly)'!$E$2:$E$106,'Additions (monthly)'!$D$2:$D$106,Q$2,'Additions (monthly)'!$B$2:$B$106,"&lt;="&amp;$B104)</f>
        <v>8.5</v>
      </c>
      <c r="R104" s="43" t="n">
        <f aca="false">SUMIFS('Additions (monthly)'!$E$2:$E$106,'Additions (monthly)'!$D$2:$D$106,R$2,'Additions (monthly)'!$B$2:$B$106,"&lt;="&amp;$B104)</f>
        <v>8.9</v>
      </c>
      <c r="S104" s="43" t="n">
        <f aca="false">SUMIFS('Additions (monthly)'!$E$2:$E$106,'Additions (monthly)'!$D$2:$D$106,S$2,'Additions (monthly)'!$B$2:$B$106,"&lt;="&amp;$B104)</f>
        <v>7.2</v>
      </c>
      <c r="T104" s="43" t="n">
        <f aca="false">SUMIFS('Additions (monthly)'!$E$2:$E$106,'Additions (monthly)'!$D$2:$D$106,T$2,'Additions (monthly)'!$B$2:$B$106,"&lt;="&amp;$B104)</f>
        <v>2.4</v>
      </c>
      <c r="U104" s="43" t="n">
        <f aca="false">SUMIFS('Additions (monthly)'!$E$2:$E$106,'Additions (monthly)'!$D$2:$D$106,U$2,'Additions (monthly)'!$B$2:$B$106,"&lt;="&amp;$B104)</f>
        <v>0</v>
      </c>
      <c r="V104" s="43" t="n">
        <f aca="false">SUMIFS('Additions (monthly)'!$E$2:$E$106,'Additions (monthly)'!$D$2:$D$106,V$2,'Additions (monthly)'!$B$2:$B$106,"&lt;="&amp;$B104)</f>
        <v>3.87</v>
      </c>
      <c r="W104" s="43" t="n">
        <f aca="false">SUMIFS('Additions (monthly)'!$E$2:$E$106,'Additions (monthly)'!$D$2:$D$106,W$2,'Additions (monthly)'!$B$2:$B$106,"&lt;="&amp;$B104)</f>
        <v>0</v>
      </c>
      <c r="X104" s="43" t="n">
        <f aca="false">SUMIFS('Additions (monthly)'!$E$2:$E$106,'Additions (monthly)'!$D$2:$D$106,X$2,'Additions (monthly)'!$B$2:$B$106,"&lt;="&amp;$B104)</f>
        <v>0</v>
      </c>
      <c r="Y104" s="43" t="n">
        <f aca="false">SUMIFS('Additions (monthly)'!$E$2:$E$106,'Additions (monthly)'!$D$2:$D$106,Y$2,'Additions (monthly)'!$B$2:$B$106,"&lt;="&amp;$B104)</f>
        <v>5</v>
      </c>
      <c r="Z104" s="43" t="n">
        <f aca="false">SUMIFS('Additions (monthly)'!$E$2:$E$106,'Additions (monthly)'!$D$2:$D$106,Z$2,'Additions (monthly)'!$B$2:$B$106,"&lt;="&amp;$B104)</f>
        <v>7.2</v>
      </c>
      <c r="AA104" s="43" t="n">
        <f aca="false">SUMIFS('Additions (monthly)'!$E$2:$E$106,'Additions (monthly)'!$D$2:$D$106,AA$2,'Additions (monthly)'!$B$2:$B$106,"&lt;="&amp;$B104)</f>
        <v>3.7</v>
      </c>
      <c r="AB104" s="43" t="n">
        <f aca="false">SUMIFS('Additions (monthly)'!$E$2:$E$106,'Additions (monthly)'!$D$2:$D$106,AB$2,'Additions (monthly)'!$B$2:$B$106,"&lt;="&amp;$B104)</f>
        <v>16.95</v>
      </c>
      <c r="AC104" s="43" t="n">
        <f aca="false">SUMIFS('Additions (monthly)'!$E$2:$E$106,'Additions (monthly)'!$D$2:$D$106,AC$2,'Additions (monthly)'!$B$2:$B$106,"&lt;="&amp;$B104)</f>
        <v>2</v>
      </c>
      <c r="AD104" s="43" t="n">
        <f aca="false">SUMIFS('Additions (monthly)'!$E$2:$E$106,'Additions (monthly)'!$D$2:$D$106,AD$2,'Additions (monthly)'!$B$2:$B$106,"&lt;="&amp;$B104)</f>
        <v>7.6</v>
      </c>
      <c r="AE104" s="43" t="n">
        <f aca="false">SUMIFS('Additions (monthly)'!$E$2:$E$106,'Additions (monthly)'!$D$2:$D$106,AE$2,'Additions (monthly)'!$B$2:$B$106,"&lt;="&amp;$B104)</f>
        <v>29.3</v>
      </c>
      <c r="AF104" s="43" t="n">
        <f aca="false">SUMIFS('Additions (monthly)'!$E$2:$E$106,'Additions (monthly)'!$D$2:$D$106,AF$2,'Additions (monthly)'!$B$2:$B$106,"&lt;="&amp;$B104)</f>
        <v>1.2</v>
      </c>
      <c r="AG104" s="43" t="n">
        <f aca="false">SUMIFS('Additions (monthly)'!$E$2:$E$106,'Additions (monthly)'!$D$2:$D$106,AG$2,'Additions (monthly)'!$B$2:$B$106,"&lt;="&amp;$B104)</f>
        <v>0</v>
      </c>
      <c r="AH104" s="43" t="n">
        <f aca="false">SUMIFS('Additions (monthly)'!$E$2:$E$106,'Additions (monthly)'!$D$2:$D$106,AH$2,'Additions (monthly)'!$B$2:$B$106,"&lt;="&amp;$B104)</f>
        <v>0</v>
      </c>
      <c r="AI104" s="43" t="n">
        <f aca="false">SUMIFS('Additions (monthly)'!$E$2:$E$106,'Additions (monthly)'!$D$2:$D$106,AI$2,'Additions (monthly)'!$B$2:$B$106,"&lt;="&amp;$B104)</f>
        <v>0</v>
      </c>
      <c r="AJ104" s="43" t="n">
        <f aca="false">SUMIFS('Additions (monthly)'!$E$2:$E$106,'Additions (monthly)'!$D$2:$D$106,AJ$2,'Additions (monthly)'!$B$2:$B$106,"&lt;="&amp;$B104)</f>
        <v>0</v>
      </c>
      <c r="AK104" s="43" t="n">
        <f aca="false">SUMIFS('Additions (monthly)'!$E$2:$E$106,'Additions (monthly)'!$D$2:$D$106,AK$2,'Additions (monthly)'!$B$2:$B$106,"&lt;="&amp;$B104)</f>
        <v>0</v>
      </c>
      <c r="AL104" s="43" t="n">
        <f aca="false">SUMIFS('Additions (monthly)'!$E$2:$E$106,'Additions (monthly)'!$D$2:$D$106,AL$2,'Additions (monthly)'!$B$2:$B$106,"&lt;="&amp;$B104)</f>
        <v>22.2</v>
      </c>
      <c r="AM104" s="43" t="n">
        <f aca="false">SUMIFS('Additions (monthly)'!$E$2:$E$106,'Additions (monthly)'!$D$2:$D$106,AM$2,'Additions (monthly)'!$B$2:$B$106,"&lt;="&amp;$B104)</f>
        <v>0.3</v>
      </c>
      <c r="AN104" s="43" t="n">
        <f aca="false">SUMIFS('Additions (monthly)'!$E$2:$E$106,'Additions (monthly)'!$D$2:$D$106,AN$2,'Additions (monthly)'!$B$2:$B$106,"&lt;="&amp;$B104)</f>
        <v>4.3</v>
      </c>
      <c r="AO104" s="43" t="n">
        <f aca="false">SUMIFS('Additions (monthly)'!$E$2:$E$106,'Additions (monthly)'!$D$2:$D$106,AO$2,'Additions (monthly)'!$B$2:$B$106,"&lt;="&amp;$B104)</f>
        <v>10.4</v>
      </c>
      <c r="AP104" s="43" t="n">
        <f aca="false">SUMIFS('Additions (monthly)'!$E$2:$E$106,'Additions (monthly)'!$D$2:$D$106,AP$2,'Additions (monthly)'!$B$2:$B$106,"&lt;="&amp;$B104)</f>
        <v>6.9</v>
      </c>
      <c r="AQ104" s="43" t="n">
        <f aca="false">SUMIFS('Additions (monthly)'!$E$2:$E$106,'Additions (monthly)'!$D$2:$D$106,AQ$2,'Additions (monthly)'!$B$2:$B$106,"&lt;="&amp;$B104)</f>
        <v>4.45</v>
      </c>
      <c r="AR104" s="43" t="n">
        <f aca="false">SUMIFS('Additions (monthly)'!$E$2:$E$106,'Additions (monthly)'!$D$2:$D$106,AR$2,'Additions (monthly)'!$B$2:$B$106,"&lt;="&amp;$B104)</f>
        <v>77.1</v>
      </c>
      <c r="AS104" s="43" t="n">
        <f aca="false">SUMIFS('Additions (monthly)'!$E$2:$E$106,'Additions (monthly)'!$D$2:$D$106,AS$2,'Additions (monthly)'!$B$2:$B$106,"&lt;="&amp;$B104)</f>
        <v>0</v>
      </c>
      <c r="AT104" s="43" t="n">
        <f aca="false">SUMIFS('Additions (monthly)'!$E$2:$E$106,'Additions (monthly)'!$D$2:$D$106,AT$2,'Additions (monthly)'!$B$2:$B$106,"&lt;="&amp;$B104)</f>
        <v>0</v>
      </c>
      <c r="AU104" s="43" t="n">
        <f aca="false">SUMIFS('Additions (monthly)'!$E$2:$E$106,'Additions (monthly)'!$D$2:$D$106,AU$2,'Additions (monthly)'!$B$2:$B$106,"&lt;="&amp;$B104)</f>
        <v>9.6</v>
      </c>
      <c r="AV104" s="43" t="n">
        <f aca="false">SUMIFS('Additions (monthly)'!$E$2:$E$106,'Additions (monthly)'!$D$2:$D$106,AV$2,'Additions (monthly)'!$B$2:$B$106,"&lt;="&amp;$B104)</f>
        <v>0</v>
      </c>
      <c r="AW104" s="43" t="n">
        <f aca="false">SUMIFS('Additions (monthly)'!$E$2:$E$106,'Additions (monthly)'!$D$2:$D$106,AW$2,'Additions (monthly)'!$B$2:$B$106,"&lt;="&amp;$B104)</f>
        <v>5.5</v>
      </c>
      <c r="AX104" s="43" t="n">
        <f aca="false">SUMIFS('Additions (monthly)'!$E$2:$E$106,'Additions (monthly)'!$D$2:$D$106,AX$2,'Additions (monthly)'!$B$2:$B$106,"&lt;="&amp;$B104)</f>
        <v>11.8</v>
      </c>
      <c r="AY104" s="43" t="n">
        <f aca="false">SUMIFS('Additions (monthly)'!$E$2:$E$106,'Additions (monthly)'!$D$2:$D$106,AY$2,'Additions (monthly)'!$B$2:$B$106,"&lt;="&amp;$B104)</f>
        <v>5.3</v>
      </c>
      <c r="AZ104" s="43" t="n">
        <f aca="false">SUMIFS('Additions (monthly)'!$E$2:$E$106,'Additions (monthly)'!$D$2:$D$106,AZ$2,'Additions (monthly)'!$B$2:$B$106,"&lt;="&amp;$B104)</f>
        <v>0</v>
      </c>
      <c r="BA104" s="43" t="n">
        <f aca="false">SUMIFS('Additions (monthly)'!$E$2:$E$106,'Additions (monthly)'!$D$2:$D$106,BA$2,'Additions (monthly)'!$B$2:$B$106,"&lt;="&amp;$B104)</f>
        <v>0</v>
      </c>
      <c r="BB104" s="43" t="n">
        <f aca="false">SUMIFS('Additions (monthly)'!$E$2:$E$106,'Additions (monthly)'!$D$2:$D$106,BB$2,'Additions (monthly)'!$B$2:$B$106,"&lt;="&amp;$B104)</f>
        <v>0</v>
      </c>
      <c r="BC104" s="43" t="n">
        <f aca="false">SUMIFS('Additions (monthly)'!$E$2:$E$106,'Additions (monthly)'!$D$2:$D$106,BC$2,'Additions (monthly)'!$B$2:$B$106,"&lt;="&amp;$B104)</f>
        <v>5.25</v>
      </c>
      <c r="BD104" s="43" t="n">
        <f aca="false">SUMIFS('Additions (monthly)'!$E$2:$E$106,'Additions (monthly)'!$D$2:$D$106,BD$2,'Additions (monthly)'!$B$2:$B$106,"&lt;="&amp;$B104)</f>
        <v>0</v>
      </c>
      <c r="BE104" s="43" t="n">
        <f aca="false">SUMIFS('Additions (monthly)'!$E$2:$E$106,'Additions (monthly)'!$D$2:$D$106,BE$2,'Additions (monthly)'!$B$2:$B$106,"&lt;="&amp;$B104)</f>
        <v>0</v>
      </c>
      <c r="BF104" s="43" t="n">
        <f aca="false">SUMIFS('Additions (monthly)'!$E$2:$E$106,'Additions (monthly)'!$D$2:$D$106,BF$2,'Additions (monthly)'!$B$2:$B$106,"&lt;="&amp;$B104)</f>
        <v>0</v>
      </c>
      <c r="BG104" s="43" t="n">
        <f aca="false">SUMIFS('Additions (monthly)'!$E$2:$E$106,'Additions (monthly)'!$D$2:$D$106,BG$2,'Additions (monthly)'!$B$2:$B$106,"&lt;="&amp;$B104)</f>
        <v>0</v>
      </c>
      <c r="BH104" s="43" t="n">
        <f aca="false">SUMIFS('Additions (monthly)'!$E$2:$E$106,'Additions (monthly)'!$D$2:$D$106,BH$2,'Additions (monthly)'!$B$2:$B$106,"&lt;="&amp;$B104)</f>
        <v>20</v>
      </c>
      <c r="BI104" s="43" t="n">
        <f aca="false">SUMIFS('Additions (monthly)'!$E$2:$E$106,'Additions (monthly)'!$D$2:$D$106,BI$2,'Additions (monthly)'!$B$2:$B$106,"&lt;="&amp;$B104)</f>
        <v>6.7</v>
      </c>
    </row>
    <row r="105" customFormat="false" ht="15" hidden="false" customHeight="false" outlineLevel="0" collapsed="false">
      <c r="A105" s="23" t="n">
        <v>43282</v>
      </c>
      <c r="B105" s="24" t="n">
        <v>201807</v>
      </c>
      <c r="C105" s="42" t="n">
        <f aca="false">SUMIFS('Additions (monthly)'!$E$2:$E$106,'Additions (monthly)'!$B$2:$B$106,"&lt;="&amp;$B105)</f>
        <v>390.52</v>
      </c>
      <c r="D105" s="43" t="n">
        <f aca="false">SUMIFS('Additions (monthly)'!$E$2:$E$106,'Additions (monthly)'!$D$2:$D$106,D$2,'Additions (monthly)'!$B$2:$B$106,"&lt;="&amp;$B105)</f>
        <v>7.9</v>
      </c>
      <c r="E105" s="43" t="n">
        <f aca="false">SUMIFS('Additions (monthly)'!$E$2:$E$106,'Additions (monthly)'!$D$2:$D$106,E$2,'Additions (monthly)'!$B$2:$B$106,"&lt;="&amp;$B105)</f>
        <v>8.4</v>
      </c>
      <c r="F105" s="43" t="n">
        <f aca="false">SUMIFS('Additions (monthly)'!$E$2:$E$106,'Additions (monthly)'!$D$2:$D$106,F$2,'Additions (monthly)'!$B$2:$B$106,"&lt;="&amp;$B105)</f>
        <v>4.7</v>
      </c>
      <c r="G105" s="43" t="n">
        <f aca="false">SUMIFS('Additions (monthly)'!$E$2:$E$106,'Additions (monthly)'!$D$2:$D$106,G$2,'Additions (monthly)'!$B$2:$B$106,"&lt;="&amp;$B105)</f>
        <v>4.5</v>
      </c>
      <c r="H105" s="43" t="n">
        <f aca="false">SUMIFS('Additions (monthly)'!$E$2:$E$106,'Additions (monthly)'!$D$2:$D$106,H$2,'Additions (monthly)'!$B$2:$B$106,"&lt;="&amp;$B105)</f>
        <v>5.2</v>
      </c>
      <c r="I105" s="43" t="n">
        <f aca="false">SUMIFS('Additions (monthly)'!$E$2:$E$106,'Additions (monthly)'!$D$2:$D$106,I$2,'Additions (monthly)'!$B$2:$B$106,"&lt;="&amp;$B105)</f>
        <v>9</v>
      </c>
      <c r="J105" s="43" t="n">
        <f aca="false">SUMIFS('Additions (monthly)'!$E$2:$E$106,'Additions (monthly)'!$D$2:$D$106,J$2,'Additions (monthly)'!$B$2:$B$106,"&lt;="&amp;$B105)</f>
        <v>3.7</v>
      </c>
      <c r="K105" s="43" t="n">
        <f aca="false">SUMIFS('Additions (monthly)'!$E$2:$E$106,'Additions (monthly)'!$D$2:$D$106,K$2,'Additions (monthly)'!$B$2:$B$106,"&lt;="&amp;$B105)</f>
        <v>7.8</v>
      </c>
      <c r="L105" s="43" t="n">
        <f aca="false">SUMIFS('Additions (monthly)'!$E$2:$E$106,'Additions (monthly)'!$D$2:$D$106,L$2,'Additions (monthly)'!$B$2:$B$106,"&lt;="&amp;$B105)</f>
        <v>15.6</v>
      </c>
      <c r="M105" s="43" t="n">
        <f aca="false">SUMIFS('Additions (monthly)'!$E$2:$E$106,'Additions (monthly)'!$D$2:$D$106,M$2,'Additions (monthly)'!$B$2:$B$106,"&lt;="&amp;$B105)</f>
        <v>0</v>
      </c>
      <c r="N105" s="43" t="n">
        <f aca="false">SUMIFS('Additions (monthly)'!$E$2:$E$106,'Additions (monthly)'!$D$2:$D$106,N$2,'Additions (monthly)'!$B$2:$B$106,"&lt;="&amp;$B105)</f>
        <v>14.2</v>
      </c>
      <c r="O105" s="43" t="n">
        <f aca="false">SUMIFS('Additions (monthly)'!$E$2:$E$106,'Additions (monthly)'!$D$2:$D$106,O$2,'Additions (monthly)'!$B$2:$B$106,"&lt;="&amp;$B105)</f>
        <v>4.9</v>
      </c>
      <c r="P105" s="43" t="n">
        <f aca="false">SUMIFS('Additions (monthly)'!$E$2:$E$106,'Additions (monthly)'!$D$2:$D$106,P$2,'Additions (monthly)'!$B$2:$B$106,"&lt;="&amp;$B105)</f>
        <v>0</v>
      </c>
      <c r="Q105" s="43" t="n">
        <f aca="false">SUMIFS('Additions (monthly)'!$E$2:$E$106,'Additions (monthly)'!$D$2:$D$106,Q$2,'Additions (monthly)'!$B$2:$B$106,"&lt;="&amp;$B105)</f>
        <v>8.5</v>
      </c>
      <c r="R105" s="43" t="n">
        <f aca="false">SUMIFS('Additions (monthly)'!$E$2:$E$106,'Additions (monthly)'!$D$2:$D$106,R$2,'Additions (monthly)'!$B$2:$B$106,"&lt;="&amp;$B105)</f>
        <v>8.9</v>
      </c>
      <c r="S105" s="43" t="n">
        <f aca="false">SUMIFS('Additions (monthly)'!$E$2:$E$106,'Additions (monthly)'!$D$2:$D$106,S$2,'Additions (monthly)'!$B$2:$B$106,"&lt;="&amp;$B105)</f>
        <v>7.2</v>
      </c>
      <c r="T105" s="43" t="n">
        <f aca="false">SUMIFS('Additions (monthly)'!$E$2:$E$106,'Additions (monthly)'!$D$2:$D$106,T$2,'Additions (monthly)'!$B$2:$B$106,"&lt;="&amp;$B105)</f>
        <v>2.4</v>
      </c>
      <c r="U105" s="43" t="n">
        <f aca="false">SUMIFS('Additions (monthly)'!$E$2:$E$106,'Additions (monthly)'!$D$2:$D$106,U$2,'Additions (monthly)'!$B$2:$B$106,"&lt;="&amp;$B105)</f>
        <v>0</v>
      </c>
      <c r="V105" s="43" t="n">
        <f aca="false">SUMIFS('Additions (monthly)'!$E$2:$E$106,'Additions (monthly)'!$D$2:$D$106,V$2,'Additions (monthly)'!$B$2:$B$106,"&lt;="&amp;$B105)</f>
        <v>3.87</v>
      </c>
      <c r="W105" s="43" t="n">
        <f aca="false">SUMIFS('Additions (monthly)'!$E$2:$E$106,'Additions (monthly)'!$D$2:$D$106,W$2,'Additions (monthly)'!$B$2:$B$106,"&lt;="&amp;$B105)</f>
        <v>0</v>
      </c>
      <c r="X105" s="43" t="n">
        <f aca="false">SUMIFS('Additions (monthly)'!$E$2:$E$106,'Additions (monthly)'!$D$2:$D$106,X$2,'Additions (monthly)'!$B$2:$B$106,"&lt;="&amp;$B105)</f>
        <v>0</v>
      </c>
      <c r="Y105" s="43" t="n">
        <f aca="false">SUMIFS('Additions (monthly)'!$E$2:$E$106,'Additions (monthly)'!$D$2:$D$106,Y$2,'Additions (monthly)'!$B$2:$B$106,"&lt;="&amp;$B105)</f>
        <v>5</v>
      </c>
      <c r="Z105" s="43" t="n">
        <f aca="false">SUMIFS('Additions (monthly)'!$E$2:$E$106,'Additions (monthly)'!$D$2:$D$106,Z$2,'Additions (monthly)'!$B$2:$B$106,"&lt;="&amp;$B105)</f>
        <v>7.2</v>
      </c>
      <c r="AA105" s="43" t="n">
        <f aca="false">SUMIFS('Additions (monthly)'!$E$2:$E$106,'Additions (monthly)'!$D$2:$D$106,AA$2,'Additions (monthly)'!$B$2:$B$106,"&lt;="&amp;$B105)</f>
        <v>3.7</v>
      </c>
      <c r="AB105" s="43" t="n">
        <f aca="false">SUMIFS('Additions (monthly)'!$E$2:$E$106,'Additions (monthly)'!$D$2:$D$106,AB$2,'Additions (monthly)'!$B$2:$B$106,"&lt;="&amp;$B105)</f>
        <v>16.95</v>
      </c>
      <c r="AC105" s="43" t="n">
        <f aca="false">SUMIFS('Additions (monthly)'!$E$2:$E$106,'Additions (monthly)'!$D$2:$D$106,AC$2,'Additions (monthly)'!$B$2:$B$106,"&lt;="&amp;$B105)</f>
        <v>2</v>
      </c>
      <c r="AD105" s="43" t="n">
        <f aca="false">SUMIFS('Additions (monthly)'!$E$2:$E$106,'Additions (monthly)'!$D$2:$D$106,AD$2,'Additions (monthly)'!$B$2:$B$106,"&lt;="&amp;$B105)</f>
        <v>7.6</v>
      </c>
      <c r="AE105" s="43" t="n">
        <f aca="false">SUMIFS('Additions (monthly)'!$E$2:$E$106,'Additions (monthly)'!$D$2:$D$106,AE$2,'Additions (monthly)'!$B$2:$B$106,"&lt;="&amp;$B105)</f>
        <v>29.3</v>
      </c>
      <c r="AF105" s="43" t="n">
        <f aca="false">SUMIFS('Additions (monthly)'!$E$2:$E$106,'Additions (monthly)'!$D$2:$D$106,AF$2,'Additions (monthly)'!$B$2:$B$106,"&lt;="&amp;$B105)</f>
        <v>1.2</v>
      </c>
      <c r="AG105" s="43" t="n">
        <f aca="false">SUMIFS('Additions (monthly)'!$E$2:$E$106,'Additions (monthly)'!$D$2:$D$106,AG$2,'Additions (monthly)'!$B$2:$B$106,"&lt;="&amp;$B105)</f>
        <v>0</v>
      </c>
      <c r="AH105" s="43" t="n">
        <f aca="false">SUMIFS('Additions (monthly)'!$E$2:$E$106,'Additions (monthly)'!$D$2:$D$106,AH$2,'Additions (monthly)'!$B$2:$B$106,"&lt;="&amp;$B105)</f>
        <v>0</v>
      </c>
      <c r="AI105" s="43" t="n">
        <f aca="false">SUMIFS('Additions (monthly)'!$E$2:$E$106,'Additions (monthly)'!$D$2:$D$106,AI$2,'Additions (monthly)'!$B$2:$B$106,"&lt;="&amp;$B105)</f>
        <v>0</v>
      </c>
      <c r="AJ105" s="43" t="n">
        <f aca="false">SUMIFS('Additions (monthly)'!$E$2:$E$106,'Additions (monthly)'!$D$2:$D$106,AJ$2,'Additions (monthly)'!$B$2:$B$106,"&lt;="&amp;$B105)</f>
        <v>0</v>
      </c>
      <c r="AK105" s="43" t="n">
        <f aca="false">SUMIFS('Additions (monthly)'!$E$2:$E$106,'Additions (monthly)'!$D$2:$D$106,AK$2,'Additions (monthly)'!$B$2:$B$106,"&lt;="&amp;$B105)</f>
        <v>0</v>
      </c>
      <c r="AL105" s="43" t="n">
        <f aca="false">SUMIFS('Additions (monthly)'!$E$2:$E$106,'Additions (monthly)'!$D$2:$D$106,AL$2,'Additions (monthly)'!$B$2:$B$106,"&lt;="&amp;$B105)</f>
        <v>22.2</v>
      </c>
      <c r="AM105" s="43" t="n">
        <f aca="false">SUMIFS('Additions (monthly)'!$E$2:$E$106,'Additions (monthly)'!$D$2:$D$106,AM$2,'Additions (monthly)'!$B$2:$B$106,"&lt;="&amp;$B105)</f>
        <v>0.3</v>
      </c>
      <c r="AN105" s="43" t="n">
        <f aca="false">SUMIFS('Additions (monthly)'!$E$2:$E$106,'Additions (monthly)'!$D$2:$D$106,AN$2,'Additions (monthly)'!$B$2:$B$106,"&lt;="&amp;$B105)</f>
        <v>4.3</v>
      </c>
      <c r="AO105" s="43" t="n">
        <f aca="false">SUMIFS('Additions (monthly)'!$E$2:$E$106,'Additions (monthly)'!$D$2:$D$106,AO$2,'Additions (monthly)'!$B$2:$B$106,"&lt;="&amp;$B105)</f>
        <v>10.4</v>
      </c>
      <c r="AP105" s="43" t="n">
        <f aca="false">SUMIFS('Additions (monthly)'!$E$2:$E$106,'Additions (monthly)'!$D$2:$D$106,AP$2,'Additions (monthly)'!$B$2:$B$106,"&lt;="&amp;$B105)</f>
        <v>6.9</v>
      </c>
      <c r="AQ105" s="43" t="n">
        <f aca="false">SUMIFS('Additions (monthly)'!$E$2:$E$106,'Additions (monthly)'!$D$2:$D$106,AQ$2,'Additions (monthly)'!$B$2:$B$106,"&lt;="&amp;$B105)</f>
        <v>4.45</v>
      </c>
      <c r="AR105" s="43" t="n">
        <f aca="false">SUMIFS('Additions (monthly)'!$E$2:$E$106,'Additions (monthly)'!$D$2:$D$106,AR$2,'Additions (monthly)'!$B$2:$B$106,"&lt;="&amp;$B105)</f>
        <v>77.1</v>
      </c>
      <c r="AS105" s="43" t="n">
        <f aca="false">SUMIFS('Additions (monthly)'!$E$2:$E$106,'Additions (monthly)'!$D$2:$D$106,AS$2,'Additions (monthly)'!$B$2:$B$106,"&lt;="&amp;$B105)</f>
        <v>0</v>
      </c>
      <c r="AT105" s="43" t="n">
        <f aca="false">SUMIFS('Additions (monthly)'!$E$2:$E$106,'Additions (monthly)'!$D$2:$D$106,AT$2,'Additions (monthly)'!$B$2:$B$106,"&lt;="&amp;$B105)</f>
        <v>0</v>
      </c>
      <c r="AU105" s="43" t="n">
        <f aca="false">SUMIFS('Additions (monthly)'!$E$2:$E$106,'Additions (monthly)'!$D$2:$D$106,AU$2,'Additions (monthly)'!$B$2:$B$106,"&lt;="&amp;$B105)</f>
        <v>9.6</v>
      </c>
      <c r="AV105" s="43" t="n">
        <f aca="false">SUMIFS('Additions (monthly)'!$E$2:$E$106,'Additions (monthly)'!$D$2:$D$106,AV$2,'Additions (monthly)'!$B$2:$B$106,"&lt;="&amp;$B105)</f>
        <v>0</v>
      </c>
      <c r="AW105" s="43" t="n">
        <f aca="false">SUMIFS('Additions (monthly)'!$E$2:$E$106,'Additions (monthly)'!$D$2:$D$106,AW$2,'Additions (monthly)'!$B$2:$B$106,"&lt;="&amp;$B105)</f>
        <v>16.5</v>
      </c>
      <c r="AX105" s="43" t="n">
        <f aca="false">SUMIFS('Additions (monthly)'!$E$2:$E$106,'Additions (monthly)'!$D$2:$D$106,AX$2,'Additions (monthly)'!$B$2:$B$106,"&lt;="&amp;$B105)</f>
        <v>11.8</v>
      </c>
      <c r="AY105" s="43" t="n">
        <f aca="false">SUMIFS('Additions (monthly)'!$E$2:$E$106,'Additions (monthly)'!$D$2:$D$106,AY$2,'Additions (monthly)'!$B$2:$B$106,"&lt;="&amp;$B105)</f>
        <v>5.3</v>
      </c>
      <c r="AZ105" s="43" t="n">
        <f aca="false">SUMIFS('Additions (monthly)'!$E$2:$E$106,'Additions (monthly)'!$D$2:$D$106,AZ$2,'Additions (monthly)'!$B$2:$B$106,"&lt;="&amp;$B105)</f>
        <v>0</v>
      </c>
      <c r="BA105" s="43" t="n">
        <f aca="false">SUMIFS('Additions (monthly)'!$E$2:$E$106,'Additions (monthly)'!$D$2:$D$106,BA$2,'Additions (monthly)'!$B$2:$B$106,"&lt;="&amp;$B105)</f>
        <v>0</v>
      </c>
      <c r="BB105" s="43" t="n">
        <f aca="false">SUMIFS('Additions (monthly)'!$E$2:$E$106,'Additions (monthly)'!$D$2:$D$106,BB$2,'Additions (monthly)'!$B$2:$B$106,"&lt;="&amp;$B105)</f>
        <v>0</v>
      </c>
      <c r="BC105" s="43" t="n">
        <f aca="false">SUMIFS('Additions (monthly)'!$E$2:$E$106,'Additions (monthly)'!$D$2:$D$106,BC$2,'Additions (monthly)'!$B$2:$B$106,"&lt;="&amp;$B105)</f>
        <v>5.25</v>
      </c>
      <c r="BD105" s="43" t="n">
        <f aca="false">SUMIFS('Additions (monthly)'!$E$2:$E$106,'Additions (monthly)'!$D$2:$D$106,BD$2,'Additions (monthly)'!$B$2:$B$106,"&lt;="&amp;$B105)</f>
        <v>0</v>
      </c>
      <c r="BE105" s="43" t="n">
        <f aca="false">SUMIFS('Additions (monthly)'!$E$2:$E$106,'Additions (monthly)'!$D$2:$D$106,BE$2,'Additions (monthly)'!$B$2:$B$106,"&lt;="&amp;$B105)</f>
        <v>0</v>
      </c>
      <c r="BF105" s="43" t="n">
        <f aca="false">SUMIFS('Additions (monthly)'!$E$2:$E$106,'Additions (monthly)'!$D$2:$D$106,BF$2,'Additions (monthly)'!$B$2:$B$106,"&lt;="&amp;$B105)</f>
        <v>0</v>
      </c>
      <c r="BG105" s="43" t="n">
        <f aca="false">SUMIFS('Additions (monthly)'!$E$2:$E$106,'Additions (monthly)'!$D$2:$D$106,BG$2,'Additions (monthly)'!$B$2:$B$106,"&lt;="&amp;$B105)</f>
        <v>0</v>
      </c>
      <c r="BH105" s="43" t="n">
        <f aca="false">SUMIFS('Additions (monthly)'!$E$2:$E$106,'Additions (monthly)'!$D$2:$D$106,BH$2,'Additions (monthly)'!$B$2:$B$106,"&lt;="&amp;$B105)</f>
        <v>20</v>
      </c>
      <c r="BI105" s="43" t="n">
        <f aca="false">SUMIFS('Additions (monthly)'!$E$2:$E$106,'Additions (monthly)'!$D$2:$D$106,BI$2,'Additions (monthly)'!$B$2:$B$106,"&lt;="&amp;$B105)</f>
        <v>6.7</v>
      </c>
    </row>
    <row r="106" customFormat="false" ht="15" hidden="false" customHeight="false" outlineLevel="0" collapsed="false">
      <c r="A106" s="23" t="n">
        <v>43313</v>
      </c>
      <c r="B106" s="24" t="n">
        <v>201808</v>
      </c>
      <c r="C106" s="42" t="n">
        <f aca="false">SUMIFS('Additions (monthly)'!$E$2:$E$106,'Additions (monthly)'!$B$2:$B$106,"&lt;="&amp;$B106)</f>
        <v>390.52</v>
      </c>
      <c r="D106" s="43" t="n">
        <f aca="false">SUMIFS('Additions (monthly)'!$E$2:$E$106,'Additions (monthly)'!$D$2:$D$106,D$2,'Additions (monthly)'!$B$2:$B$106,"&lt;="&amp;$B106)</f>
        <v>7.9</v>
      </c>
      <c r="E106" s="43" t="n">
        <f aca="false">SUMIFS('Additions (monthly)'!$E$2:$E$106,'Additions (monthly)'!$D$2:$D$106,E$2,'Additions (monthly)'!$B$2:$B$106,"&lt;="&amp;$B106)</f>
        <v>8.4</v>
      </c>
      <c r="F106" s="43" t="n">
        <f aca="false">SUMIFS('Additions (monthly)'!$E$2:$E$106,'Additions (monthly)'!$D$2:$D$106,F$2,'Additions (monthly)'!$B$2:$B$106,"&lt;="&amp;$B106)</f>
        <v>4.7</v>
      </c>
      <c r="G106" s="43" t="n">
        <f aca="false">SUMIFS('Additions (monthly)'!$E$2:$E$106,'Additions (monthly)'!$D$2:$D$106,G$2,'Additions (monthly)'!$B$2:$B$106,"&lt;="&amp;$B106)</f>
        <v>4.5</v>
      </c>
      <c r="H106" s="43" t="n">
        <f aca="false">SUMIFS('Additions (monthly)'!$E$2:$E$106,'Additions (monthly)'!$D$2:$D$106,H$2,'Additions (monthly)'!$B$2:$B$106,"&lt;="&amp;$B106)</f>
        <v>5.2</v>
      </c>
      <c r="I106" s="43" t="n">
        <f aca="false">SUMIFS('Additions (monthly)'!$E$2:$E$106,'Additions (monthly)'!$D$2:$D$106,I$2,'Additions (monthly)'!$B$2:$B$106,"&lt;="&amp;$B106)</f>
        <v>9</v>
      </c>
      <c r="J106" s="43" t="n">
        <f aca="false">SUMIFS('Additions (monthly)'!$E$2:$E$106,'Additions (monthly)'!$D$2:$D$106,J$2,'Additions (monthly)'!$B$2:$B$106,"&lt;="&amp;$B106)</f>
        <v>3.7</v>
      </c>
      <c r="K106" s="43" t="n">
        <f aca="false">SUMIFS('Additions (monthly)'!$E$2:$E$106,'Additions (monthly)'!$D$2:$D$106,K$2,'Additions (monthly)'!$B$2:$B$106,"&lt;="&amp;$B106)</f>
        <v>7.8</v>
      </c>
      <c r="L106" s="43" t="n">
        <f aca="false">SUMIFS('Additions (monthly)'!$E$2:$E$106,'Additions (monthly)'!$D$2:$D$106,L$2,'Additions (monthly)'!$B$2:$B$106,"&lt;="&amp;$B106)</f>
        <v>15.6</v>
      </c>
      <c r="M106" s="43" t="n">
        <f aca="false">SUMIFS('Additions (monthly)'!$E$2:$E$106,'Additions (monthly)'!$D$2:$D$106,M$2,'Additions (monthly)'!$B$2:$B$106,"&lt;="&amp;$B106)</f>
        <v>0</v>
      </c>
      <c r="N106" s="43" t="n">
        <f aca="false">SUMIFS('Additions (monthly)'!$E$2:$E$106,'Additions (monthly)'!$D$2:$D$106,N$2,'Additions (monthly)'!$B$2:$B$106,"&lt;="&amp;$B106)</f>
        <v>14.2</v>
      </c>
      <c r="O106" s="43" t="n">
        <f aca="false">SUMIFS('Additions (monthly)'!$E$2:$E$106,'Additions (monthly)'!$D$2:$D$106,O$2,'Additions (monthly)'!$B$2:$B$106,"&lt;="&amp;$B106)</f>
        <v>4.9</v>
      </c>
      <c r="P106" s="43" t="n">
        <f aca="false">SUMIFS('Additions (monthly)'!$E$2:$E$106,'Additions (monthly)'!$D$2:$D$106,P$2,'Additions (monthly)'!$B$2:$B$106,"&lt;="&amp;$B106)</f>
        <v>0</v>
      </c>
      <c r="Q106" s="43" t="n">
        <f aca="false">SUMIFS('Additions (monthly)'!$E$2:$E$106,'Additions (monthly)'!$D$2:$D$106,Q$2,'Additions (monthly)'!$B$2:$B$106,"&lt;="&amp;$B106)</f>
        <v>8.5</v>
      </c>
      <c r="R106" s="43" t="n">
        <f aca="false">SUMIFS('Additions (monthly)'!$E$2:$E$106,'Additions (monthly)'!$D$2:$D$106,R$2,'Additions (monthly)'!$B$2:$B$106,"&lt;="&amp;$B106)</f>
        <v>8.9</v>
      </c>
      <c r="S106" s="43" t="n">
        <f aca="false">SUMIFS('Additions (monthly)'!$E$2:$E$106,'Additions (monthly)'!$D$2:$D$106,S$2,'Additions (monthly)'!$B$2:$B$106,"&lt;="&amp;$B106)</f>
        <v>7.2</v>
      </c>
      <c r="T106" s="43" t="n">
        <f aca="false">SUMIFS('Additions (monthly)'!$E$2:$E$106,'Additions (monthly)'!$D$2:$D$106,T$2,'Additions (monthly)'!$B$2:$B$106,"&lt;="&amp;$B106)</f>
        <v>2.4</v>
      </c>
      <c r="U106" s="43" t="n">
        <f aca="false">SUMIFS('Additions (monthly)'!$E$2:$E$106,'Additions (monthly)'!$D$2:$D$106,U$2,'Additions (monthly)'!$B$2:$B$106,"&lt;="&amp;$B106)</f>
        <v>0</v>
      </c>
      <c r="V106" s="43" t="n">
        <f aca="false">SUMIFS('Additions (monthly)'!$E$2:$E$106,'Additions (monthly)'!$D$2:$D$106,V$2,'Additions (monthly)'!$B$2:$B$106,"&lt;="&amp;$B106)</f>
        <v>3.87</v>
      </c>
      <c r="W106" s="43" t="n">
        <f aca="false">SUMIFS('Additions (monthly)'!$E$2:$E$106,'Additions (monthly)'!$D$2:$D$106,W$2,'Additions (monthly)'!$B$2:$B$106,"&lt;="&amp;$B106)</f>
        <v>0</v>
      </c>
      <c r="X106" s="43" t="n">
        <f aca="false">SUMIFS('Additions (monthly)'!$E$2:$E$106,'Additions (monthly)'!$D$2:$D$106,X$2,'Additions (monthly)'!$B$2:$B$106,"&lt;="&amp;$B106)</f>
        <v>0</v>
      </c>
      <c r="Y106" s="43" t="n">
        <f aca="false">SUMIFS('Additions (monthly)'!$E$2:$E$106,'Additions (monthly)'!$D$2:$D$106,Y$2,'Additions (monthly)'!$B$2:$B$106,"&lt;="&amp;$B106)</f>
        <v>5</v>
      </c>
      <c r="Z106" s="43" t="n">
        <f aca="false">SUMIFS('Additions (monthly)'!$E$2:$E$106,'Additions (monthly)'!$D$2:$D$106,Z$2,'Additions (monthly)'!$B$2:$B$106,"&lt;="&amp;$B106)</f>
        <v>7.2</v>
      </c>
      <c r="AA106" s="43" t="n">
        <f aca="false">SUMIFS('Additions (monthly)'!$E$2:$E$106,'Additions (monthly)'!$D$2:$D$106,AA$2,'Additions (monthly)'!$B$2:$B$106,"&lt;="&amp;$B106)</f>
        <v>3.7</v>
      </c>
      <c r="AB106" s="43" t="n">
        <f aca="false">SUMIFS('Additions (monthly)'!$E$2:$E$106,'Additions (monthly)'!$D$2:$D$106,AB$2,'Additions (monthly)'!$B$2:$B$106,"&lt;="&amp;$B106)</f>
        <v>16.95</v>
      </c>
      <c r="AC106" s="43" t="n">
        <f aca="false">SUMIFS('Additions (monthly)'!$E$2:$E$106,'Additions (monthly)'!$D$2:$D$106,AC$2,'Additions (monthly)'!$B$2:$B$106,"&lt;="&amp;$B106)</f>
        <v>2</v>
      </c>
      <c r="AD106" s="43" t="n">
        <f aca="false">SUMIFS('Additions (monthly)'!$E$2:$E$106,'Additions (monthly)'!$D$2:$D$106,AD$2,'Additions (monthly)'!$B$2:$B$106,"&lt;="&amp;$B106)</f>
        <v>7.6</v>
      </c>
      <c r="AE106" s="43" t="n">
        <f aca="false">SUMIFS('Additions (monthly)'!$E$2:$E$106,'Additions (monthly)'!$D$2:$D$106,AE$2,'Additions (monthly)'!$B$2:$B$106,"&lt;="&amp;$B106)</f>
        <v>29.3</v>
      </c>
      <c r="AF106" s="43" t="n">
        <f aca="false">SUMIFS('Additions (monthly)'!$E$2:$E$106,'Additions (monthly)'!$D$2:$D$106,AF$2,'Additions (monthly)'!$B$2:$B$106,"&lt;="&amp;$B106)</f>
        <v>1.2</v>
      </c>
      <c r="AG106" s="43" t="n">
        <f aca="false">SUMIFS('Additions (monthly)'!$E$2:$E$106,'Additions (monthly)'!$D$2:$D$106,AG$2,'Additions (monthly)'!$B$2:$B$106,"&lt;="&amp;$B106)</f>
        <v>0</v>
      </c>
      <c r="AH106" s="43" t="n">
        <f aca="false">SUMIFS('Additions (monthly)'!$E$2:$E$106,'Additions (monthly)'!$D$2:$D$106,AH$2,'Additions (monthly)'!$B$2:$B$106,"&lt;="&amp;$B106)</f>
        <v>0</v>
      </c>
      <c r="AI106" s="43" t="n">
        <f aca="false">SUMIFS('Additions (monthly)'!$E$2:$E$106,'Additions (monthly)'!$D$2:$D$106,AI$2,'Additions (monthly)'!$B$2:$B$106,"&lt;="&amp;$B106)</f>
        <v>0</v>
      </c>
      <c r="AJ106" s="43" t="n">
        <f aca="false">SUMIFS('Additions (monthly)'!$E$2:$E$106,'Additions (monthly)'!$D$2:$D$106,AJ$2,'Additions (monthly)'!$B$2:$B$106,"&lt;="&amp;$B106)</f>
        <v>0</v>
      </c>
      <c r="AK106" s="43" t="n">
        <f aca="false">SUMIFS('Additions (monthly)'!$E$2:$E$106,'Additions (monthly)'!$D$2:$D$106,AK$2,'Additions (monthly)'!$B$2:$B$106,"&lt;="&amp;$B106)</f>
        <v>0</v>
      </c>
      <c r="AL106" s="43" t="n">
        <f aca="false">SUMIFS('Additions (monthly)'!$E$2:$E$106,'Additions (monthly)'!$D$2:$D$106,AL$2,'Additions (monthly)'!$B$2:$B$106,"&lt;="&amp;$B106)</f>
        <v>22.2</v>
      </c>
      <c r="AM106" s="43" t="n">
        <f aca="false">SUMIFS('Additions (monthly)'!$E$2:$E$106,'Additions (monthly)'!$D$2:$D$106,AM$2,'Additions (monthly)'!$B$2:$B$106,"&lt;="&amp;$B106)</f>
        <v>0.3</v>
      </c>
      <c r="AN106" s="43" t="n">
        <f aca="false">SUMIFS('Additions (monthly)'!$E$2:$E$106,'Additions (monthly)'!$D$2:$D$106,AN$2,'Additions (monthly)'!$B$2:$B$106,"&lt;="&amp;$B106)</f>
        <v>4.3</v>
      </c>
      <c r="AO106" s="43" t="n">
        <f aca="false">SUMIFS('Additions (monthly)'!$E$2:$E$106,'Additions (monthly)'!$D$2:$D$106,AO$2,'Additions (monthly)'!$B$2:$B$106,"&lt;="&amp;$B106)</f>
        <v>10.4</v>
      </c>
      <c r="AP106" s="43" t="n">
        <f aca="false">SUMIFS('Additions (monthly)'!$E$2:$E$106,'Additions (monthly)'!$D$2:$D$106,AP$2,'Additions (monthly)'!$B$2:$B$106,"&lt;="&amp;$B106)</f>
        <v>6.9</v>
      </c>
      <c r="AQ106" s="43" t="n">
        <f aca="false">SUMIFS('Additions (monthly)'!$E$2:$E$106,'Additions (monthly)'!$D$2:$D$106,AQ$2,'Additions (monthly)'!$B$2:$B$106,"&lt;="&amp;$B106)</f>
        <v>4.45</v>
      </c>
      <c r="AR106" s="43" t="n">
        <f aca="false">SUMIFS('Additions (monthly)'!$E$2:$E$106,'Additions (monthly)'!$D$2:$D$106,AR$2,'Additions (monthly)'!$B$2:$B$106,"&lt;="&amp;$B106)</f>
        <v>77.1</v>
      </c>
      <c r="AS106" s="43" t="n">
        <f aca="false">SUMIFS('Additions (monthly)'!$E$2:$E$106,'Additions (monthly)'!$D$2:$D$106,AS$2,'Additions (monthly)'!$B$2:$B$106,"&lt;="&amp;$B106)</f>
        <v>0</v>
      </c>
      <c r="AT106" s="43" t="n">
        <f aca="false">SUMIFS('Additions (monthly)'!$E$2:$E$106,'Additions (monthly)'!$D$2:$D$106,AT$2,'Additions (monthly)'!$B$2:$B$106,"&lt;="&amp;$B106)</f>
        <v>0</v>
      </c>
      <c r="AU106" s="43" t="n">
        <f aca="false">SUMIFS('Additions (monthly)'!$E$2:$E$106,'Additions (monthly)'!$D$2:$D$106,AU$2,'Additions (monthly)'!$B$2:$B$106,"&lt;="&amp;$B106)</f>
        <v>9.6</v>
      </c>
      <c r="AV106" s="43" t="n">
        <f aca="false">SUMIFS('Additions (monthly)'!$E$2:$E$106,'Additions (monthly)'!$D$2:$D$106,AV$2,'Additions (monthly)'!$B$2:$B$106,"&lt;="&amp;$B106)</f>
        <v>0</v>
      </c>
      <c r="AW106" s="43" t="n">
        <f aca="false">SUMIFS('Additions (monthly)'!$E$2:$E$106,'Additions (monthly)'!$D$2:$D$106,AW$2,'Additions (monthly)'!$B$2:$B$106,"&lt;="&amp;$B106)</f>
        <v>16.5</v>
      </c>
      <c r="AX106" s="43" t="n">
        <f aca="false">SUMIFS('Additions (monthly)'!$E$2:$E$106,'Additions (monthly)'!$D$2:$D$106,AX$2,'Additions (monthly)'!$B$2:$B$106,"&lt;="&amp;$B106)</f>
        <v>11.8</v>
      </c>
      <c r="AY106" s="43" t="n">
        <f aca="false">SUMIFS('Additions (monthly)'!$E$2:$E$106,'Additions (monthly)'!$D$2:$D$106,AY$2,'Additions (monthly)'!$B$2:$B$106,"&lt;="&amp;$B106)</f>
        <v>5.3</v>
      </c>
      <c r="AZ106" s="43" t="n">
        <f aca="false">SUMIFS('Additions (monthly)'!$E$2:$E$106,'Additions (monthly)'!$D$2:$D$106,AZ$2,'Additions (monthly)'!$B$2:$B$106,"&lt;="&amp;$B106)</f>
        <v>0</v>
      </c>
      <c r="BA106" s="43" t="n">
        <f aca="false">SUMIFS('Additions (monthly)'!$E$2:$E$106,'Additions (monthly)'!$D$2:$D$106,BA$2,'Additions (monthly)'!$B$2:$B$106,"&lt;="&amp;$B106)</f>
        <v>0</v>
      </c>
      <c r="BB106" s="43" t="n">
        <f aca="false">SUMIFS('Additions (monthly)'!$E$2:$E$106,'Additions (monthly)'!$D$2:$D$106,BB$2,'Additions (monthly)'!$B$2:$B$106,"&lt;="&amp;$B106)</f>
        <v>0</v>
      </c>
      <c r="BC106" s="43" t="n">
        <f aca="false">SUMIFS('Additions (monthly)'!$E$2:$E$106,'Additions (monthly)'!$D$2:$D$106,BC$2,'Additions (monthly)'!$B$2:$B$106,"&lt;="&amp;$B106)</f>
        <v>5.25</v>
      </c>
      <c r="BD106" s="43" t="n">
        <f aca="false">SUMIFS('Additions (monthly)'!$E$2:$E$106,'Additions (monthly)'!$D$2:$D$106,BD$2,'Additions (monthly)'!$B$2:$B$106,"&lt;="&amp;$B106)</f>
        <v>0</v>
      </c>
      <c r="BE106" s="43" t="n">
        <f aca="false">SUMIFS('Additions (monthly)'!$E$2:$E$106,'Additions (monthly)'!$D$2:$D$106,BE$2,'Additions (monthly)'!$B$2:$B$106,"&lt;="&amp;$B106)</f>
        <v>0</v>
      </c>
      <c r="BF106" s="43" t="n">
        <f aca="false">SUMIFS('Additions (monthly)'!$E$2:$E$106,'Additions (monthly)'!$D$2:$D$106,BF$2,'Additions (monthly)'!$B$2:$B$106,"&lt;="&amp;$B106)</f>
        <v>0</v>
      </c>
      <c r="BG106" s="43" t="n">
        <f aca="false">SUMIFS('Additions (monthly)'!$E$2:$E$106,'Additions (monthly)'!$D$2:$D$106,BG$2,'Additions (monthly)'!$B$2:$B$106,"&lt;="&amp;$B106)</f>
        <v>0</v>
      </c>
      <c r="BH106" s="43" t="n">
        <f aca="false">SUMIFS('Additions (monthly)'!$E$2:$E$106,'Additions (monthly)'!$D$2:$D$106,BH$2,'Additions (monthly)'!$B$2:$B$106,"&lt;="&amp;$B106)</f>
        <v>20</v>
      </c>
      <c r="BI106" s="43" t="n">
        <f aca="false">SUMIFS('Additions (monthly)'!$E$2:$E$106,'Additions (monthly)'!$D$2:$D$106,BI$2,'Additions (monthly)'!$B$2:$B$106,"&lt;="&amp;$B106)</f>
        <v>6.7</v>
      </c>
    </row>
    <row r="107" customFormat="false" ht="15" hidden="false" customHeight="false" outlineLevel="0" collapsed="false">
      <c r="A107" s="23" t="n">
        <v>43344</v>
      </c>
      <c r="B107" s="24" t="n">
        <v>201809</v>
      </c>
      <c r="C107" s="42" t="n">
        <f aca="false">SUMIFS('Additions (monthly)'!$E$2:$E$106,'Additions (monthly)'!$B$2:$B$106,"&lt;="&amp;$B107)</f>
        <v>390.52</v>
      </c>
      <c r="D107" s="43" t="n">
        <f aca="false">SUMIFS('Additions (monthly)'!$E$2:$E$106,'Additions (monthly)'!$D$2:$D$106,D$2,'Additions (monthly)'!$B$2:$B$106,"&lt;="&amp;$B107)</f>
        <v>7.9</v>
      </c>
      <c r="E107" s="43" t="n">
        <f aca="false">SUMIFS('Additions (monthly)'!$E$2:$E$106,'Additions (monthly)'!$D$2:$D$106,E$2,'Additions (monthly)'!$B$2:$B$106,"&lt;="&amp;$B107)</f>
        <v>8.4</v>
      </c>
      <c r="F107" s="43" t="n">
        <f aca="false">SUMIFS('Additions (monthly)'!$E$2:$E$106,'Additions (monthly)'!$D$2:$D$106,F$2,'Additions (monthly)'!$B$2:$B$106,"&lt;="&amp;$B107)</f>
        <v>4.7</v>
      </c>
      <c r="G107" s="43" t="n">
        <f aca="false">SUMIFS('Additions (monthly)'!$E$2:$E$106,'Additions (monthly)'!$D$2:$D$106,G$2,'Additions (monthly)'!$B$2:$B$106,"&lt;="&amp;$B107)</f>
        <v>4.5</v>
      </c>
      <c r="H107" s="43" t="n">
        <f aca="false">SUMIFS('Additions (monthly)'!$E$2:$E$106,'Additions (monthly)'!$D$2:$D$106,H$2,'Additions (monthly)'!$B$2:$B$106,"&lt;="&amp;$B107)</f>
        <v>5.2</v>
      </c>
      <c r="I107" s="43" t="n">
        <f aca="false">SUMIFS('Additions (monthly)'!$E$2:$E$106,'Additions (monthly)'!$D$2:$D$106,I$2,'Additions (monthly)'!$B$2:$B$106,"&lt;="&amp;$B107)</f>
        <v>9</v>
      </c>
      <c r="J107" s="43" t="n">
        <f aca="false">SUMIFS('Additions (monthly)'!$E$2:$E$106,'Additions (monthly)'!$D$2:$D$106,J$2,'Additions (monthly)'!$B$2:$B$106,"&lt;="&amp;$B107)</f>
        <v>3.7</v>
      </c>
      <c r="K107" s="43" t="n">
        <f aca="false">SUMIFS('Additions (monthly)'!$E$2:$E$106,'Additions (monthly)'!$D$2:$D$106,K$2,'Additions (monthly)'!$B$2:$B$106,"&lt;="&amp;$B107)</f>
        <v>7.8</v>
      </c>
      <c r="L107" s="43" t="n">
        <f aca="false">SUMIFS('Additions (monthly)'!$E$2:$E$106,'Additions (monthly)'!$D$2:$D$106,L$2,'Additions (monthly)'!$B$2:$B$106,"&lt;="&amp;$B107)</f>
        <v>15.6</v>
      </c>
      <c r="M107" s="43" t="n">
        <f aca="false">SUMIFS('Additions (monthly)'!$E$2:$E$106,'Additions (monthly)'!$D$2:$D$106,M$2,'Additions (monthly)'!$B$2:$B$106,"&lt;="&amp;$B107)</f>
        <v>0</v>
      </c>
      <c r="N107" s="43" t="n">
        <f aca="false">SUMIFS('Additions (monthly)'!$E$2:$E$106,'Additions (monthly)'!$D$2:$D$106,N$2,'Additions (monthly)'!$B$2:$B$106,"&lt;="&amp;$B107)</f>
        <v>14.2</v>
      </c>
      <c r="O107" s="43" t="n">
        <f aca="false">SUMIFS('Additions (monthly)'!$E$2:$E$106,'Additions (monthly)'!$D$2:$D$106,O$2,'Additions (monthly)'!$B$2:$B$106,"&lt;="&amp;$B107)</f>
        <v>4.9</v>
      </c>
      <c r="P107" s="43" t="n">
        <f aca="false">SUMIFS('Additions (monthly)'!$E$2:$E$106,'Additions (monthly)'!$D$2:$D$106,P$2,'Additions (monthly)'!$B$2:$B$106,"&lt;="&amp;$B107)</f>
        <v>0</v>
      </c>
      <c r="Q107" s="43" t="n">
        <f aca="false">SUMIFS('Additions (monthly)'!$E$2:$E$106,'Additions (monthly)'!$D$2:$D$106,Q$2,'Additions (monthly)'!$B$2:$B$106,"&lt;="&amp;$B107)</f>
        <v>8.5</v>
      </c>
      <c r="R107" s="43" t="n">
        <f aca="false">SUMIFS('Additions (monthly)'!$E$2:$E$106,'Additions (monthly)'!$D$2:$D$106,R$2,'Additions (monthly)'!$B$2:$B$106,"&lt;="&amp;$B107)</f>
        <v>8.9</v>
      </c>
      <c r="S107" s="43" t="n">
        <f aca="false">SUMIFS('Additions (monthly)'!$E$2:$E$106,'Additions (monthly)'!$D$2:$D$106,S$2,'Additions (monthly)'!$B$2:$B$106,"&lt;="&amp;$B107)</f>
        <v>7.2</v>
      </c>
      <c r="T107" s="43" t="n">
        <f aca="false">SUMIFS('Additions (monthly)'!$E$2:$E$106,'Additions (monthly)'!$D$2:$D$106,T$2,'Additions (monthly)'!$B$2:$B$106,"&lt;="&amp;$B107)</f>
        <v>2.4</v>
      </c>
      <c r="U107" s="43" t="n">
        <f aca="false">SUMIFS('Additions (monthly)'!$E$2:$E$106,'Additions (monthly)'!$D$2:$D$106,U$2,'Additions (monthly)'!$B$2:$B$106,"&lt;="&amp;$B107)</f>
        <v>0</v>
      </c>
      <c r="V107" s="43" t="n">
        <f aca="false">SUMIFS('Additions (monthly)'!$E$2:$E$106,'Additions (monthly)'!$D$2:$D$106,V$2,'Additions (monthly)'!$B$2:$B$106,"&lt;="&amp;$B107)</f>
        <v>3.87</v>
      </c>
      <c r="W107" s="43" t="n">
        <f aca="false">SUMIFS('Additions (monthly)'!$E$2:$E$106,'Additions (monthly)'!$D$2:$D$106,W$2,'Additions (monthly)'!$B$2:$B$106,"&lt;="&amp;$B107)</f>
        <v>0</v>
      </c>
      <c r="X107" s="43" t="n">
        <f aca="false">SUMIFS('Additions (monthly)'!$E$2:$E$106,'Additions (monthly)'!$D$2:$D$106,X$2,'Additions (monthly)'!$B$2:$B$106,"&lt;="&amp;$B107)</f>
        <v>0</v>
      </c>
      <c r="Y107" s="43" t="n">
        <f aca="false">SUMIFS('Additions (monthly)'!$E$2:$E$106,'Additions (monthly)'!$D$2:$D$106,Y$2,'Additions (monthly)'!$B$2:$B$106,"&lt;="&amp;$B107)</f>
        <v>5</v>
      </c>
      <c r="Z107" s="43" t="n">
        <f aca="false">SUMIFS('Additions (monthly)'!$E$2:$E$106,'Additions (monthly)'!$D$2:$D$106,Z$2,'Additions (monthly)'!$B$2:$B$106,"&lt;="&amp;$B107)</f>
        <v>7.2</v>
      </c>
      <c r="AA107" s="43" t="n">
        <f aca="false">SUMIFS('Additions (monthly)'!$E$2:$E$106,'Additions (monthly)'!$D$2:$D$106,AA$2,'Additions (monthly)'!$B$2:$B$106,"&lt;="&amp;$B107)</f>
        <v>3.7</v>
      </c>
      <c r="AB107" s="43" t="n">
        <f aca="false">SUMIFS('Additions (monthly)'!$E$2:$E$106,'Additions (monthly)'!$D$2:$D$106,AB$2,'Additions (monthly)'!$B$2:$B$106,"&lt;="&amp;$B107)</f>
        <v>16.95</v>
      </c>
      <c r="AC107" s="43" t="n">
        <f aca="false">SUMIFS('Additions (monthly)'!$E$2:$E$106,'Additions (monthly)'!$D$2:$D$106,AC$2,'Additions (monthly)'!$B$2:$B$106,"&lt;="&amp;$B107)</f>
        <v>2</v>
      </c>
      <c r="AD107" s="43" t="n">
        <f aca="false">SUMIFS('Additions (monthly)'!$E$2:$E$106,'Additions (monthly)'!$D$2:$D$106,AD$2,'Additions (monthly)'!$B$2:$B$106,"&lt;="&amp;$B107)</f>
        <v>7.6</v>
      </c>
      <c r="AE107" s="43" t="n">
        <f aca="false">SUMIFS('Additions (monthly)'!$E$2:$E$106,'Additions (monthly)'!$D$2:$D$106,AE$2,'Additions (monthly)'!$B$2:$B$106,"&lt;="&amp;$B107)</f>
        <v>29.3</v>
      </c>
      <c r="AF107" s="43" t="n">
        <f aca="false">SUMIFS('Additions (monthly)'!$E$2:$E$106,'Additions (monthly)'!$D$2:$D$106,AF$2,'Additions (monthly)'!$B$2:$B$106,"&lt;="&amp;$B107)</f>
        <v>1.2</v>
      </c>
      <c r="AG107" s="43" t="n">
        <f aca="false">SUMIFS('Additions (monthly)'!$E$2:$E$106,'Additions (monthly)'!$D$2:$D$106,AG$2,'Additions (monthly)'!$B$2:$B$106,"&lt;="&amp;$B107)</f>
        <v>0</v>
      </c>
      <c r="AH107" s="43" t="n">
        <f aca="false">SUMIFS('Additions (monthly)'!$E$2:$E$106,'Additions (monthly)'!$D$2:$D$106,AH$2,'Additions (monthly)'!$B$2:$B$106,"&lt;="&amp;$B107)</f>
        <v>0</v>
      </c>
      <c r="AI107" s="43" t="n">
        <f aca="false">SUMIFS('Additions (monthly)'!$E$2:$E$106,'Additions (monthly)'!$D$2:$D$106,AI$2,'Additions (monthly)'!$B$2:$B$106,"&lt;="&amp;$B107)</f>
        <v>0</v>
      </c>
      <c r="AJ107" s="43" t="n">
        <f aca="false">SUMIFS('Additions (monthly)'!$E$2:$E$106,'Additions (monthly)'!$D$2:$D$106,AJ$2,'Additions (monthly)'!$B$2:$B$106,"&lt;="&amp;$B107)</f>
        <v>0</v>
      </c>
      <c r="AK107" s="43" t="n">
        <f aca="false">SUMIFS('Additions (monthly)'!$E$2:$E$106,'Additions (monthly)'!$D$2:$D$106,AK$2,'Additions (monthly)'!$B$2:$B$106,"&lt;="&amp;$B107)</f>
        <v>0</v>
      </c>
      <c r="AL107" s="43" t="n">
        <f aca="false">SUMIFS('Additions (monthly)'!$E$2:$E$106,'Additions (monthly)'!$D$2:$D$106,AL$2,'Additions (monthly)'!$B$2:$B$106,"&lt;="&amp;$B107)</f>
        <v>22.2</v>
      </c>
      <c r="AM107" s="43" t="n">
        <f aca="false">SUMIFS('Additions (monthly)'!$E$2:$E$106,'Additions (monthly)'!$D$2:$D$106,AM$2,'Additions (monthly)'!$B$2:$B$106,"&lt;="&amp;$B107)</f>
        <v>0.3</v>
      </c>
      <c r="AN107" s="43" t="n">
        <f aca="false">SUMIFS('Additions (monthly)'!$E$2:$E$106,'Additions (monthly)'!$D$2:$D$106,AN$2,'Additions (monthly)'!$B$2:$B$106,"&lt;="&amp;$B107)</f>
        <v>4.3</v>
      </c>
      <c r="AO107" s="43" t="n">
        <f aca="false">SUMIFS('Additions (monthly)'!$E$2:$E$106,'Additions (monthly)'!$D$2:$D$106,AO$2,'Additions (monthly)'!$B$2:$B$106,"&lt;="&amp;$B107)</f>
        <v>10.4</v>
      </c>
      <c r="AP107" s="43" t="n">
        <f aca="false">SUMIFS('Additions (monthly)'!$E$2:$E$106,'Additions (monthly)'!$D$2:$D$106,AP$2,'Additions (monthly)'!$B$2:$B$106,"&lt;="&amp;$B107)</f>
        <v>6.9</v>
      </c>
      <c r="AQ107" s="43" t="n">
        <f aca="false">SUMIFS('Additions (monthly)'!$E$2:$E$106,'Additions (monthly)'!$D$2:$D$106,AQ$2,'Additions (monthly)'!$B$2:$B$106,"&lt;="&amp;$B107)</f>
        <v>4.45</v>
      </c>
      <c r="AR107" s="43" t="n">
        <f aca="false">SUMIFS('Additions (monthly)'!$E$2:$E$106,'Additions (monthly)'!$D$2:$D$106,AR$2,'Additions (monthly)'!$B$2:$B$106,"&lt;="&amp;$B107)</f>
        <v>77.1</v>
      </c>
      <c r="AS107" s="43" t="n">
        <f aca="false">SUMIFS('Additions (monthly)'!$E$2:$E$106,'Additions (monthly)'!$D$2:$D$106,AS$2,'Additions (monthly)'!$B$2:$B$106,"&lt;="&amp;$B107)</f>
        <v>0</v>
      </c>
      <c r="AT107" s="43" t="n">
        <f aca="false">SUMIFS('Additions (monthly)'!$E$2:$E$106,'Additions (monthly)'!$D$2:$D$106,AT$2,'Additions (monthly)'!$B$2:$B$106,"&lt;="&amp;$B107)</f>
        <v>0</v>
      </c>
      <c r="AU107" s="43" t="n">
        <f aca="false">SUMIFS('Additions (monthly)'!$E$2:$E$106,'Additions (monthly)'!$D$2:$D$106,AU$2,'Additions (monthly)'!$B$2:$B$106,"&lt;="&amp;$B107)</f>
        <v>9.6</v>
      </c>
      <c r="AV107" s="43" t="n">
        <f aca="false">SUMIFS('Additions (monthly)'!$E$2:$E$106,'Additions (monthly)'!$D$2:$D$106,AV$2,'Additions (monthly)'!$B$2:$B$106,"&lt;="&amp;$B107)</f>
        <v>0</v>
      </c>
      <c r="AW107" s="43" t="n">
        <f aca="false">SUMIFS('Additions (monthly)'!$E$2:$E$106,'Additions (monthly)'!$D$2:$D$106,AW$2,'Additions (monthly)'!$B$2:$B$106,"&lt;="&amp;$B107)</f>
        <v>16.5</v>
      </c>
      <c r="AX107" s="43" t="n">
        <f aca="false">SUMIFS('Additions (monthly)'!$E$2:$E$106,'Additions (monthly)'!$D$2:$D$106,AX$2,'Additions (monthly)'!$B$2:$B$106,"&lt;="&amp;$B107)</f>
        <v>11.8</v>
      </c>
      <c r="AY107" s="43" t="n">
        <f aca="false">SUMIFS('Additions (monthly)'!$E$2:$E$106,'Additions (monthly)'!$D$2:$D$106,AY$2,'Additions (monthly)'!$B$2:$B$106,"&lt;="&amp;$B107)</f>
        <v>5.3</v>
      </c>
      <c r="AZ107" s="43" t="n">
        <f aca="false">SUMIFS('Additions (monthly)'!$E$2:$E$106,'Additions (monthly)'!$D$2:$D$106,AZ$2,'Additions (monthly)'!$B$2:$B$106,"&lt;="&amp;$B107)</f>
        <v>0</v>
      </c>
      <c r="BA107" s="43" t="n">
        <f aca="false">SUMIFS('Additions (monthly)'!$E$2:$E$106,'Additions (monthly)'!$D$2:$D$106,BA$2,'Additions (monthly)'!$B$2:$B$106,"&lt;="&amp;$B107)</f>
        <v>0</v>
      </c>
      <c r="BB107" s="43" t="n">
        <f aca="false">SUMIFS('Additions (monthly)'!$E$2:$E$106,'Additions (monthly)'!$D$2:$D$106,BB$2,'Additions (monthly)'!$B$2:$B$106,"&lt;="&amp;$B107)</f>
        <v>0</v>
      </c>
      <c r="BC107" s="43" t="n">
        <f aca="false">SUMIFS('Additions (monthly)'!$E$2:$E$106,'Additions (monthly)'!$D$2:$D$106,BC$2,'Additions (monthly)'!$B$2:$B$106,"&lt;="&amp;$B107)</f>
        <v>5.25</v>
      </c>
      <c r="BD107" s="43" t="n">
        <f aca="false">SUMIFS('Additions (monthly)'!$E$2:$E$106,'Additions (monthly)'!$D$2:$D$106,BD$2,'Additions (monthly)'!$B$2:$B$106,"&lt;="&amp;$B107)</f>
        <v>0</v>
      </c>
      <c r="BE107" s="43" t="n">
        <f aca="false">SUMIFS('Additions (monthly)'!$E$2:$E$106,'Additions (monthly)'!$D$2:$D$106,BE$2,'Additions (monthly)'!$B$2:$B$106,"&lt;="&amp;$B107)</f>
        <v>0</v>
      </c>
      <c r="BF107" s="43" t="n">
        <f aca="false">SUMIFS('Additions (monthly)'!$E$2:$E$106,'Additions (monthly)'!$D$2:$D$106,BF$2,'Additions (monthly)'!$B$2:$B$106,"&lt;="&amp;$B107)</f>
        <v>0</v>
      </c>
      <c r="BG107" s="43" t="n">
        <f aca="false">SUMIFS('Additions (monthly)'!$E$2:$E$106,'Additions (monthly)'!$D$2:$D$106,BG$2,'Additions (monthly)'!$B$2:$B$106,"&lt;="&amp;$B107)</f>
        <v>0</v>
      </c>
      <c r="BH107" s="43" t="n">
        <f aca="false">SUMIFS('Additions (monthly)'!$E$2:$E$106,'Additions (monthly)'!$D$2:$D$106,BH$2,'Additions (monthly)'!$B$2:$B$106,"&lt;="&amp;$B107)</f>
        <v>20</v>
      </c>
      <c r="BI107" s="43" t="n">
        <f aca="false">SUMIFS('Additions (monthly)'!$E$2:$E$106,'Additions (monthly)'!$D$2:$D$106,BI$2,'Additions (monthly)'!$B$2:$B$106,"&lt;="&amp;$B107)</f>
        <v>6.7</v>
      </c>
    </row>
    <row r="108" customFormat="false" ht="15" hidden="false" customHeight="false" outlineLevel="0" collapsed="false">
      <c r="A108" s="23" t="n">
        <v>43374</v>
      </c>
      <c r="B108" s="24" t="n">
        <v>201810</v>
      </c>
      <c r="C108" s="42" t="n">
        <f aca="false">SUMIFS('Additions (monthly)'!$E$2:$E$106,'Additions (monthly)'!$B$2:$B$106,"&lt;="&amp;$B108)</f>
        <v>399.42</v>
      </c>
      <c r="D108" s="43" t="n">
        <f aca="false">SUMIFS('Additions (monthly)'!$E$2:$E$106,'Additions (monthly)'!$D$2:$D$106,D$2,'Additions (monthly)'!$B$2:$B$106,"&lt;="&amp;$B108)</f>
        <v>7.9</v>
      </c>
      <c r="E108" s="43" t="n">
        <f aca="false">SUMIFS('Additions (monthly)'!$E$2:$E$106,'Additions (monthly)'!$D$2:$D$106,E$2,'Additions (monthly)'!$B$2:$B$106,"&lt;="&amp;$B108)</f>
        <v>8.4</v>
      </c>
      <c r="F108" s="43" t="n">
        <f aca="false">SUMIFS('Additions (monthly)'!$E$2:$E$106,'Additions (monthly)'!$D$2:$D$106,F$2,'Additions (monthly)'!$B$2:$B$106,"&lt;="&amp;$B108)</f>
        <v>4.7</v>
      </c>
      <c r="G108" s="43" t="n">
        <f aca="false">SUMIFS('Additions (monthly)'!$E$2:$E$106,'Additions (monthly)'!$D$2:$D$106,G$2,'Additions (monthly)'!$B$2:$B$106,"&lt;="&amp;$B108)</f>
        <v>4.5</v>
      </c>
      <c r="H108" s="43" t="n">
        <f aca="false">SUMIFS('Additions (monthly)'!$E$2:$E$106,'Additions (monthly)'!$D$2:$D$106,H$2,'Additions (monthly)'!$B$2:$B$106,"&lt;="&amp;$B108)</f>
        <v>5.2</v>
      </c>
      <c r="I108" s="43" t="n">
        <f aca="false">SUMIFS('Additions (monthly)'!$E$2:$E$106,'Additions (monthly)'!$D$2:$D$106,I$2,'Additions (monthly)'!$B$2:$B$106,"&lt;="&amp;$B108)</f>
        <v>9</v>
      </c>
      <c r="J108" s="43" t="n">
        <f aca="false">SUMIFS('Additions (monthly)'!$E$2:$E$106,'Additions (monthly)'!$D$2:$D$106,J$2,'Additions (monthly)'!$B$2:$B$106,"&lt;="&amp;$B108)</f>
        <v>3.7</v>
      </c>
      <c r="K108" s="43" t="n">
        <f aca="false">SUMIFS('Additions (monthly)'!$E$2:$E$106,'Additions (monthly)'!$D$2:$D$106,K$2,'Additions (monthly)'!$B$2:$B$106,"&lt;="&amp;$B108)</f>
        <v>7.8</v>
      </c>
      <c r="L108" s="43" t="n">
        <f aca="false">SUMIFS('Additions (monthly)'!$E$2:$E$106,'Additions (monthly)'!$D$2:$D$106,L$2,'Additions (monthly)'!$B$2:$B$106,"&lt;="&amp;$B108)</f>
        <v>15.6</v>
      </c>
      <c r="M108" s="43" t="n">
        <f aca="false">SUMIFS('Additions (monthly)'!$E$2:$E$106,'Additions (monthly)'!$D$2:$D$106,M$2,'Additions (monthly)'!$B$2:$B$106,"&lt;="&amp;$B108)</f>
        <v>8.9</v>
      </c>
      <c r="N108" s="43" t="n">
        <f aca="false">SUMIFS('Additions (monthly)'!$E$2:$E$106,'Additions (monthly)'!$D$2:$D$106,N$2,'Additions (monthly)'!$B$2:$B$106,"&lt;="&amp;$B108)</f>
        <v>14.2</v>
      </c>
      <c r="O108" s="43" t="n">
        <f aca="false">SUMIFS('Additions (monthly)'!$E$2:$E$106,'Additions (monthly)'!$D$2:$D$106,O$2,'Additions (monthly)'!$B$2:$B$106,"&lt;="&amp;$B108)</f>
        <v>4.9</v>
      </c>
      <c r="P108" s="43" t="n">
        <f aca="false">SUMIFS('Additions (monthly)'!$E$2:$E$106,'Additions (monthly)'!$D$2:$D$106,P$2,'Additions (monthly)'!$B$2:$B$106,"&lt;="&amp;$B108)</f>
        <v>0</v>
      </c>
      <c r="Q108" s="43" t="n">
        <f aca="false">SUMIFS('Additions (monthly)'!$E$2:$E$106,'Additions (monthly)'!$D$2:$D$106,Q$2,'Additions (monthly)'!$B$2:$B$106,"&lt;="&amp;$B108)</f>
        <v>8.5</v>
      </c>
      <c r="R108" s="43" t="n">
        <f aca="false">SUMIFS('Additions (monthly)'!$E$2:$E$106,'Additions (monthly)'!$D$2:$D$106,R$2,'Additions (monthly)'!$B$2:$B$106,"&lt;="&amp;$B108)</f>
        <v>8.9</v>
      </c>
      <c r="S108" s="43" t="n">
        <f aca="false">SUMIFS('Additions (monthly)'!$E$2:$E$106,'Additions (monthly)'!$D$2:$D$106,S$2,'Additions (monthly)'!$B$2:$B$106,"&lt;="&amp;$B108)</f>
        <v>7.2</v>
      </c>
      <c r="T108" s="43" t="n">
        <f aca="false">SUMIFS('Additions (monthly)'!$E$2:$E$106,'Additions (monthly)'!$D$2:$D$106,T$2,'Additions (monthly)'!$B$2:$B$106,"&lt;="&amp;$B108)</f>
        <v>2.4</v>
      </c>
      <c r="U108" s="43" t="n">
        <f aca="false">SUMIFS('Additions (monthly)'!$E$2:$E$106,'Additions (monthly)'!$D$2:$D$106,U$2,'Additions (monthly)'!$B$2:$B$106,"&lt;="&amp;$B108)</f>
        <v>0</v>
      </c>
      <c r="V108" s="43" t="n">
        <f aca="false">SUMIFS('Additions (monthly)'!$E$2:$E$106,'Additions (monthly)'!$D$2:$D$106,V$2,'Additions (monthly)'!$B$2:$B$106,"&lt;="&amp;$B108)</f>
        <v>3.87</v>
      </c>
      <c r="W108" s="43" t="n">
        <f aca="false">SUMIFS('Additions (monthly)'!$E$2:$E$106,'Additions (monthly)'!$D$2:$D$106,W$2,'Additions (monthly)'!$B$2:$B$106,"&lt;="&amp;$B108)</f>
        <v>0</v>
      </c>
      <c r="X108" s="43" t="n">
        <f aca="false">SUMIFS('Additions (monthly)'!$E$2:$E$106,'Additions (monthly)'!$D$2:$D$106,X$2,'Additions (monthly)'!$B$2:$B$106,"&lt;="&amp;$B108)</f>
        <v>0</v>
      </c>
      <c r="Y108" s="43" t="n">
        <f aca="false">SUMIFS('Additions (monthly)'!$E$2:$E$106,'Additions (monthly)'!$D$2:$D$106,Y$2,'Additions (monthly)'!$B$2:$B$106,"&lt;="&amp;$B108)</f>
        <v>5</v>
      </c>
      <c r="Z108" s="43" t="n">
        <f aca="false">SUMIFS('Additions (monthly)'!$E$2:$E$106,'Additions (monthly)'!$D$2:$D$106,Z$2,'Additions (monthly)'!$B$2:$B$106,"&lt;="&amp;$B108)</f>
        <v>7.2</v>
      </c>
      <c r="AA108" s="43" t="n">
        <f aca="false">SUMIFS('Additions (monthly)'!$E$2:$E$106,'Additions (monthly)'!$D$2:$D$106,AA$2,'Additions (monthly)'!$B$2:$B$106,"&lt;="&amp;$B108)</f>
        <v>3.7</v>
      </c>
      <c r="AB108" s="43" t="n">
        <f aca="false">SUMIFS('Additions (monthly)'!$E$2:$E$106,'Additions (monthly)'!$D$2:$D$106,AB$2,'Additions (monthly)'!$B$2:$B$106,"&lt;="&amp;$B108)</f>
        <v>16.95</v>
      </c>
      <c r="AC108" s="43" t="n">
        <f aca="false">SUMIFS('Additions (monthly)'!$E$2:$E$106,'Additions (monthly)'!$D$2:$D$106,AC$2,'Additions (monthly)'!$B$2:$B$106,"&lt;="&amp;$B108)</f>
        <v>2</v>
      </c>
      <c r="AD108" s="43" t="n">
        <f aca="false">SUMIFS('Additions (monthly)'!$E$2:$E$106,'Additions (monthly)'!$D$2:$D$106,AD$2,'Additions (monthly)'!$B$2:$B$106,"&lt;="&amp;$B108)</f>
        <v>7.6</v>
      </c>
      <c r="AE108" s="43" t="n">
        <f aca="false">SUMIFS('Additions (monthly)'!$E$2:$E$106,'Additions (monthly)'!$D$2:$D$106,AE$2,'Additions (monthly)'!$B$2:$B$106,"&lt;="&amp;$B108)</f>
        <v>29.3</v>
      </c>
      <c r="AF108" s="43" t="n">
        <f aca="false">SUMIFS('Additions (monthly)'!$E$2:$E$106,'Additions (monthly)'!$D$2:$D$106,AF$2,'Additions (monthly)'!$B$2:$B$106,"&lt;="&amp;$B108)</f>
        <v>1.2</v>
      </c>
      <c r="AG108" s="43" t="n">
        <f aca="false">SUMIFS('Additions (monthly)'!$E$2:$E$106,'Additions (monthly)'!$D$2:$D$106,AG$2,'Additions (monthly)'!$B$2:$B$106,"&lt;="&amp;$B108)</f>
        <v>0</v>
      </c>
      <c r="AH108" s="43" t="n">
        <f aca="false">SUMIFS('Additions (monthly)'!$E$2:$E$106,'Additions (monthly)'!$D$2:$D$106,AH$2,'Additions (monthly)'!$B$2:$B$106,"&lt;="&amp;$B108)</f>
        <v>0</v>
      </c>
      <c r="AI108" s="43" t="n">
        <f aca="false">SUMIFS('Additions (monthly)'!$E$2:$E$106,'Additions (monthly)'!$D$2:$D$106,AI$2,'Additions (monthly)'!$B$2:$B$106,"&lt;="&amp;$B108)</f>
        <v>0</v>
      </c>
      <c r="AJ108" s="43" t="n">
        <f aca="false">SUMIFS('Additions (monthly)'!$E$2:$E$106,'Additions (monthly)'!$D$2:$D$106,AJ$2,'Additions (monthly)'!$B$2:$B$106,"&lt;="&amp;$B108)</f>
        <v>0</v>
      </c>
      <c r="AK108" s="43" t="n">
        <f aca="false">SUMIFS('Additions (monthly)'!$E$2:$E$106,'Additions (monthly)'!$D$2:$D$106,AK$2,'Additions (monthly)'!$B$2:$B$106,"&lt;="&amp;$B108)</f>
        <v>0</v>
      </c>
      <c r="AL108" s="43" t="n">
        <f aca="false">SUMIFS('Additions (monthly)'!$E$2:$E$106,'Additions (monthly)'!$D$2:$D$106,AL$2,'Additions (monthly)'!$B$2:$B$106,"&lt;="&amp;$B108)</f>
        <v>22.2</v>
      </c>
      <c r="AM108" s="43" t="n">
        <f aca="false">SUMIFS('Additions (monthly)'!$E$2:$E$106,'Additions (monthly)'!$D$2:$D$106,AM$2,'Additions (monthly)'!$B$2:$B$106,"&lt;="&amp;$B108)</f>
        <v>0.3</v>
      </c>
      <c r="AN108" s="43" t="n">
        <f aca="false">SUMIFS('Additions (monthly)'!$E$2:$E$106,'Additions (monthly)'!$D$2:$D$106,AN$2,'Additions (monthly)'!$B$2:$B$106,"&lt;="&amp;$B108)</f>
        <v>4.3</v>
      </c>
      <c r="AO108" s="43" t="n">
        <f aca="false">SUMIFS('Additions (monthly)'!$E$2:$E$106,'Additions (monthly)'!$D$2:$D$106,AO$2,'Additions (monthly)'!$B$2:$B$106,"&lt;="&amp;$B108)</f>
        <v>10.4</v>
      </c>
      <c r="AP108" s="43" t="n">
        <f aca="false">SUMIFS('Additions (monthly)'!$E$2:$E$106,'Additions (monthly)'!$D$2:$D$106,AP$2,'Additions (monthly)'!$B$2:$B$106,"&lt;="&amp;$B108)</f>
        <v>6.9</v>
      </c>
      <c r="AQ108" s="43" t="n">
        <f aca="false">SUMIFS('Additions (monthly)'!$E$2:$E$106,'Additions (monthly)'!$D$2:$D$106,AQ$2,'Additions (monthly)'!$B$2:$B$106,"&lt;="&amp;$B108)</f>
        <v>4.45</v>
      </c>
      <c r="AR108" s="43" t="n">
        <f aca="false">SUMIFS('Additions (monthly)'!$E$2:$E$106,'Additions (monthly)'!$D$2:$D$106,AR$2,'Additions (monthly)'!$B$2:$B$106,"&lt;="&amp;$B108)</f>
        <v>77.1</v>
      </c>
      <c r="AS108" s="43" t="n">
        <f aca="false">SUMIFS('Additions (monthly)'!$E$2:$E$106,'Additions (monthly)'!$D$2:$D$106,AS$2,'Additions (monthly)'!$B$2:$B$106,"&lt;="&amp;$B108)</f>
        <v>0</v>
      </c>
      <c r="AT108" s="43" t="n">
        <f aca="false">SUMIFS('Additions (monthly)'!$E$2:$E$106,'Additions (monthly)'!$D$2:$D$106,AT$2,'Additions (monthly)'!$B$2:$B$106,"&lt;="&amp;$B108)</f>
        <v>0</v>
      </c>
      <c r="AU108" s="43" t="n">
        <f aca="false">SUMIFS('Additions (monthly)'!$E$2:$E$106,'Additions (monthly)'!$D$2:$D$106,AU$2,'Additions (monthly)'!$B$2:$B$106,"&lt;="&amp;$B108)</f>
        <v>9.6</v>
      </c>
      <c r="AV108" s="43" t="n">
        <f aca="false">SUMIFS('Additions (monthly)'!$E$2:$E$106,'Additions (monthly)'!$D$2:$D$106,AV$2,'Additions (monthly)'!$B$2:$B$106,"&lt;="&amp;$B108)</f>
        <v>0</v>
      </c>
      <c r="AW108" s="43" t="n">
        <f aca="false">SUMIFS('Additions (monthly)'!$E$2:$E$106,'Additions (monthly)'!$D$2:$D$106,AW$2,'Additions (monthly)'!$B$2:$B$106,"&lt;="&amp;$B108)</f>
        <v>16.5</v>
      </c>
      <c r="AX108" s="43" t="n">
        <f aca="false">SUMIFS('Additions (monthly)'!$E$2:$E$106,'Additions (monthly)'!$D$2:$D$106,AX$2,'Additions (monthly)'!$B$2:$B$106,"&lt;="&amp;$B108)</f>
        <v>11.8</v>
      </c>
      <c r="AY108" s="43" t="n">
        <f aca="false">SUMIFS('Additions (monthly)'!$E$2:$E$106,'Additions (monthly)'!$D$2:$D$106,AY$2,'Additions (monthly)'!$B$2:$B$106,"&lt;="&amp;$B108)</f>
        <v>5.3</v>
      </c>
      <c r="AZ108" s="43" t="n">
        <f aca="false">SUMIFS('Additions (monthly)'!$E$2:$E$106,'Additions (monthly)'!$D$2:$D$106,AZ$2,'Additions (monthly)'!$B$2:$B$106,"&lt;="&amp;$B108)</f>
        <v>0</v>
      </c>
      <c r="BA108" s="43" t="n">
        <f aca="false">SUMIFS('Additions (monthly)'!$E$2:$E$106,'Additions (monthly)'!$D$2:$D$106,BA$2,'Additions (monthly)'!$B$2:$B$106,"&lt;="&amp;$B108)</f>
        <v>0</v>
      </c>
      <c r="BB108" s="43" t="n">
        <f aca="false">SUMIFS('Additions (monthly)'!$E$2:$E$106,'Additions (monthly)'!$D$2:$D$106,BB$2,'Additions (monthly)'!$B$2:$B$106,"&lt;="&amp;$B108)</f>
        <v>0</v>
      </c>
      <c r="BC108" s="43" t="n">
        <f aca="false">SUMIFS('Additions (monthly)'!$E$2:$E$106,'Additions (monthly)'!$D$2:$D$106,BC$2,'Additions (monthly)'!$B$2:$B$106,"&lt;="&amp;$B108)</f>
        <v>5.25</v>
      </c>
      <c r="BD108" s="43" t="n">
        <f aca="false">SUMIFS('Additions (monthly)'!$E$2:$E$106,'Additions (monthly)'!$D$2:$D$106,BD$2,'Additions (monthly)'!$B$2:$B$106,"&lt;="&amp;$B108)</f>
        <v>0</v>
      </c>
      <c r="BE108" s="43" t="n">
        <f aca="false">SUMIFS('Additions (monthly)'!$E$2:$E$106,'Additions (monthly)'!$D$2:$D$106,BE$2,'Additions (monthly)'!$B$2:$B$106,"&lt;="&amp;$B108)</f>
        <v>0</v>
      </c>
      <c r="BF108" s="43" t="n">
        <f aca="false">SUMIFS('Additions (monthly)'!$E$2:$E$106,'Additions (monthly)'!$D$2:$D$106,BF$2,'Additions (monthly)'!$B$2:$B$106,"&lt;="&amp;$B108)</f>
        <v>0</v>
      </c>
      <c r="BG108" s="43" t="n">
        <f aca="false">SUMIFS('Additions (monthly)'!$E$2:$E$106,'Additions (monthly)'!$D$2:$D$106,BG$2,'Additions (monthly)'!$B$2:$B$106,"&lt;="&amp;$B108)</f>
        <v>0</v>
      </c>
      <c r="BH108" s="43" t="n">
        <f aca="false">SUMIFS('Additions (monthly)'!$E$2:$E$106,'Additions (monthly)'!$D$2:$D$106,BH$2,'Additions (monthly)'!$B$2:$B$106,"&lt;="&amp;$B108)</f>
        <v>20</v>
      </c>
      <c r="BI108" s="43" t="n">
        <f aca="false">SUMIFS('Additions (monthly)'!$E$2:$E$106,'Additions (monthly)'!$D$2:$D$106,BI$2,'Additions (monthly)'!$B$2:$B$106,"&lt;="&amp;$B108)</f>
        <v>6.7</v>
      </c>
    </row>
    <row r="109" customFormat="false" ht="15" hidden="false" customHeight="false" outlineLevel="0" collapsed="false">
      <c r="A109" s="23" t="n">
        <v>43405</v>
      </c>
      <c r="B109" s="24" t="n">
        <v>201811</v>
      </c>
      <c r="C109" s="42" t="n">
        <f aca="false">SUMIFS('Additions (monthly)'!$E$2:$E$106,'Additions (monthly)'!$B$2:$B$106,"&lt;="&amp;$B109)</f>
        <v>414.42</v>
      </c>
      <c r="D109" s="43" t="n">
        <f aca="false">SUMIFS('Additions (monthly)'!$E$2:$E$106,'Additions (monthly)'!$D$2:$D$106,D$2,'Additions (monthly)'!$B$2:$B$106,"&lt;="&amp;$B109)</f>
        <v>7.9</v>
      </c>
      <c r="E109" s="43" t="n">
        <f aca="false">SUMIFS('Additions (monthly)'!$E$2:$E$106,'Additions (monthly)'!$D$2:$D$106,E$2,'Additions (monthly)'!$B$2:$B$106,"&lt;="&amp;$B109)</f>
        <v>8.4</v>
      </c>
      <c r="F109" s="43" t="n">
        <f aca="false">SUMIFS('Additions (monthly)'!$E$2:$E$106,'Additions (monthly)'!$D$2:$D$106,F$2,'Additions (monthly)'!$B$2:$B$106,"&lt;="&amp;$B109)</f>
        <v>4.7</v>
      </c>
      <c r="G109" s="43" t="n">
        <f aca="false">SUMIFS('Additions (monthly)'!$E$2:$E$106,'Additions (monthly)'!$D$2:$D$106,G$2,'Additions (monthly)'!$B$2:$B$106,"&lt;="&amp;$B109)</f>
        <v>4.5</v>
      </c>
      <c r="H109" s="43" t="n">
        <f aca="false">SUMIFS('Additions (monthly)'!$E$2:$E$106,'Additions (monthly)'!$D$2:$D$106,H$2,'Additions (monthly)'!$B$2:$B$106,"&lt;="&amp;$B109)</f>
        <v>5.2</v>
      </c>
      <c r="I109" s="43" t="n">
        <f aca="false">SUMIFS('Additions (monthly)'!$E$2:$E$106,'Additions (monthly)'!$D$2:$D$106,I$2,'Additions (monthly)'!$B$2:$B$106,"&lt;="&amp;$B109)</f>
        <v>9</v>
      </c>
      <c r="J109" s="43" t="n">
        <f aca="false">SUMIFS('Additions (monthly)'!$E$2:$E$106,'Additions (monthly)'!$D$2:$D$106,J$2,'Additions (monthly)'!$B$2:$B$106,"&lt;="&amp;$B109)</f>
        <v>3.7</v>
      </c>
      <c r="K109" s="43" t="n">
        <f aca="false">SUMIFS('Additions (monthly)'!$E$2:$E$106,'Additions (monthly)'!$D$2:$D$106,K$2,'Additions (monthly)'!$B$2:$B$106,"&lt;="&amp;$B109)</f>
        <v>7.8</v>
      </c>
      <c r="L109" s="43" t="n">
        <f aca="false">SUMIFS('Additions (monthly)'!$E$2:$E$106,'Additions (monthly)'!$D$2:$D$106,L$2,'Additions (monthly)'!$B$2:$B$106,"&lt;="&amp;$B109)</f>
        <v>15.6</v>
      </c>
      <c r="M109" s="43" t="n">
        <f aca="false">SUMIFS('Additions (monthly)'!$E$2:$E$106,'Additions (monthly)'!$D$2:$D$106,M$2,'Additions (monthly)'!$B$2:$B$106,"&lt;="&amp;$B109)</f>
        <v>8.9</v>
      </c>
      <c r="N109" s="43" t="n">
        <f aca="false">SUMIFS('Additions (monthly)'!$E$2:$E$106,'Additions (monthly)'!$D$2:$D$106,N$2,'Additions (monthly)'!$B$2:$B$106,"&lt;="&amp;$B109)</f>
        <v>14.2</v>
      </c>
      <c r="O109" s="43" t="n">
        <f aca="false">SUMIFS('Additions (monthly)'!$E$2:$E$106,'Additions (monthly)'!$D$2:$D$106,O$2,'Additions (monthly)'!$B$2:$B$106,"&lt;="&amp;$B109)</f>
        <v>4.9</v>
      </c>
      <c r="P109" s="43" t="n">
        <f aca="false">SUMIFS('Additions (monthly)'!$E$2:$E$106,'Additions (monthly)'!$D$2:$D$106,P$2,'Additions (monthly)'!$B$2:$B$106,"&lt;="&amp;$B109)</f>
        <v>0</v>
      </c>
      <c r="Q109" s="43" t="n">
        <f aca="false">SUMIFS('Additions (monthly)'!$E$2:$E$106,'Additions (monthly)'!$D$2:$D$106,Q$2,'Additions (monthly)'!$B$2:$B$106,"&lt;="&amp;$B109)</f>
        <v>8.5</v>
      </c>
      <c r="R109" s="43" t="n">
        <f aca="false">SUMIFS('Additions (monthly)'!$E$2:$E$106,'Additions (monthly)'!$D$2:$D$106,R$2,'Additions (monthly)'!$B$2:$B$106,"&lt;="&amp;$B109)</f>
        <v>8.9</v>
      </c>
      <c r="S109" s="43" t="n">
        <f aca="false">SUMIFS('Additions (monthly)'!$E$2:$E$106,'Additions (monthly)'!$D$2:$D$106,S$2,'Additions (monthly)'!$B$2:$B$106,"&lt;="&amp;$B109)</f>
        <v>7.2</v>
      </c>
      <c r="T109" s="43" t="n">
        <f aca="false">SUMIFS('Additions (monthly)'!$E$2:$E$106,'Additions (monthly)'!$D$2:$D$106,T$2,'Additions (monthly)'!$B$2:$B$106,"&lt;="&amp;$B109)</f>
        <v>2.4</v>
      </c>
      <c r="U109" s="43" t="n">
        <f aca="false">SUMIFS('Additions (monthly)'!$E$2:$E$106,'Additions (monthly)'!$D$2:$D$106,U$2,'Additions (monthly)'!$B$2:$B$106,"&lt;="&amp;$B109)</f>
        <v>0</v>
      </c>
      <c r="V109" s="43" t="n">
        <f aca="false">SUMIFS('Additions (monthly)'!$E$2:$E$106,'Additions (monthly)'!$D$2:$D$106,V$2,'Additions (monthly)'!$B$2:$B$106,"&lt;="&amp;$B109)</f>
        <v>3.87</v>
      </c>
      <c r="W109" s="43" t="n">
        <f aca="false">SUMIFS('Additions (monthly)'!$E$2:$E$106,'Additions (monthly)'!$D$2:$D$106,W$2,'Additions (monthly)'!$B$2:$B$106,"&lt;="&amp;$B109)</f>
        <v>0</v>
      </c>
      <c r="X109" s="43" t="n">
        <f aca="false">SUMIFS('Additions (monthly)'!$E$2:$E$106,'Additions (monthly)'!$D$2:$D$106,X$2,'Additions (monthly)'!$B$2:$B$106,"&lt;="&amp;$B109)</f>
        <v>0</v>
      </c>
      <c r="Y109" s="43" t="n">
        <f aca="false">SUMIFS('Additions (monthly)'!$E$2:$E$106,'Additions (monthly)'!$D$2:$D$106,Y$2,'Additions (monthly)'!$B$2:$B$106,"&lt;="&amp;$B109)</f>
        <v>5</v>
      </c>
      <c r="Z109" s="43" t="n">
        <f aca="false">SUMIFS('Additions (monthly)'!$E$2:$E$106,'Additions (monthly)'!$D$2:$D$106,Z$2,'Additions (monthly)'!$B$2:$B$106,"&lt;="&amp;$B109)</f>
        <v>7.2</v>
      </c>
      <c r="AA109" s="43" t="n">
        <f aca="false">SUMIFS('Additions (monthly)'!$E$2:$E$106,'Additions (monthly)'!$D$2:$D$106,AA$2,'Additions (monthly)'!$B$2:$B$106,"&lt;="&amp;$B109)</f>
        <v>3.7</v>
      </c>
      <c r="AB109" s="43" t="n">
        <f aca="false">SUMIFS('Additions (monthly)'!$E$2:$E$106,'Additions (monthly)'!$D$2:$D$106,AB$2,'Additions (monthly)'!$B$2:$B$106,"&lt;="&amp;$B109)</f>
        <v>16.95</v>
      </c>
      <c r="AC109" s="43" t="n">
        <f aca="false">SUMIFS('Additions (monthly)'!$E$2:$E$106,'Additions (monthly)'!$D$2:$D$106,AC$2,'Additions (monthly)'!$B$2:$B$106,"&lt;="&amp;$B109)</f>
        <v>2</v>
      </c>
      <c r="AD109" s="43" t="n">
        <f aca="false">SUMIFS('Additions (monthly)'!$E$2:$E$106,'Additions (monthly)'!$D$2:$D$106,AD$2,'Additions (monthly)'!$B$2:$B$106,"&lt;="&amp;$B109)</f>
        <v>7.6</v>
      </c>
      <c r="AE109" s="43" t="n">
        <f aca="false">SUMIFS('Additions (monthly)'!$E$2:$E$106,'Additions (monthly)'!$D$2:$D$106,AE$2,'Additions (monthly)'!$B$2:$B$106,"&lt;="&amp;$B109)</f>
        <v>29.3</v>
      </c>
      <c r="AF109" s="43" t="n">
        <f aca="false">SUMIFS('Additions (monthly)'!$E$2:$E$106,'Additions (monthly)'!$D$2:$D$106,AF$2,'Additions (monthly)'!$B$2:$B$106,"&lt;="&amp;$B109)</f>
        <v>1.2</v>
      </c>
      <c r="AG109" s="43" t="n">
        <f aca="false">SUMIFS('Additions (monthly)'!$E$2:$E$106,'Additions (monthly)'!$D$2:$D$106,AG$2,'Additions (monthly)'!$B$2:$B$106,"&lt;="&amp;$B109)</f>
        <v>0</v>
      </c>
      <c r="AH109" s="43" t="n">
        <f aca="false">SUMIFS('Additions (monthly)'!$E$2:$E$106,'Additions (monthly)'!$D$2:$D$106,AH$2,'Additions (monthly)'!$B$2:$B$106,"&lt;="&amp;$B109)</f>
        <v>0</v>
      </c>
      <c r="AI109" s="43" t="n">
        <f aca="false">SUMIFS('Additions (monthly)'!$E$2:$E$106,'Additions (monthly)'!$D$2:$D$106,AI$2,'Additions (monthly)'!$B$2:$B$106,"&lt;="&amp;$B109)</f>
        <v>0</v>
      </c>
      <c r="AJ109" s="43" t="n">
        <f aca="false">SUMIFS('Additions (monthly)'!$E$2:$E$106,'Additions (monthly)'!$D$2:$D$106,AJ$2,'Additions (monthly)'!$B$2:$B$106,"&lt;="&amp;$B109)</f>
        <v>0</v>
      </c>
      <c r="AK109" s="43" t="n">
        <f aca="false">SUMIFS('Additions (monthly)'!$E$2:$E$106,'Additions (monthly)'!$D$2:$D$106,AK$2,'Additions (monthly)'!$B$2:$B$106,"&lt;="&amp;$B109)</f>
        <v>0</v>
      </c>
      <c r="AL109" s="43" t="n">
        <f aca="false">SUMIFS('Additions (monthly)'!$E$2:$E$106,'Additions (monthly)'!$D$2:$D$106,AL$2,'Additions (monthly)'!$B$2:$B$106,"&lt;="&amp;$B109)</f>
        <v>22.2</v>
      </c>
      <c r="AM109" s="43" t="n">
        <f aca="false">SUMIFS('Additions (monthly)'!$E$2:$E$106,'Additions (monthly)'!$D$2:$D$106,AM$2,'Additions (monthly)'!$B$2:$B$106,"&lt;="&amp;$B109)</f>
        <v>0.3</v>
      </c>
      <c r="AN109" s="43" t="n">
        <f aca="false">SUMIFS('Additions (monthly)'!$E$2:$E$106,'Additions (monthly)'!$D$2:$D$106,AN$2,'Additions (monthly)'!$B$2:$B$106,"&lt;="&amp;$B109)</f>
        <v>4.3</v>
      </c>
      <c r="AO109" s="43" t="n">
        <f aca="false">SUMIFS('Additions (monthly)'!$E$2:$E$106,'Additions (monthly)'!$D$2:$D$106,AO$2,'Additions (monthly)'!$B$2:$B$106,"&lt;="&amp;$B109)</f>
        <v>10.4</v>
      </c>
      <c r="AP109" s="43" t="n">
        <f aca="false">SUMIFS('Additions (monthly)'!$E$2:$E$106,'Additions (monthly)'!$D$2:$D$106,AP$2,'Additions (monthly)'!$B$2:$B$106,"&lt;="&amp;$B109)</f>
        <v>6.9</v>
      </c>
      <c r="AQ109" s="43" t="n">
        <f aca="false">SUMIFS('Additions (monthly)'!$E$2:$E$106,'Additions (monthly)'!$D$2:$D$106,AQ$2,'Additions (monthly)'!$B$2:$B$106,"&lt;="&amp;$B109)</f>
        <v>4.45</v>
      </c>
      <c r="AR109" s="43" t="n">
        <f aca="false">SUMIFS('Additions (monthly)'!$E$2:$E$106,'Additions (monthly)'!$D$2:$D$106,AR$2,'Additions (monthly)'!$B$2:$B$106,"&lt;="&amp;$B109)</f>
        <v>77.1</v>
      </c>
      <c r="AS109" s="43" t="n">
        <f aca="false">SUMIFS('Additions (monthly)'!$E$2:$E$106,'Additions (monthly)'!$D$2:$D$106,AS$2,'Additions (monthly)'!$B$2:$B$106,"&lt;="&amp;$B109)</f>
        <v>0</v>
      </c>
      <c r="AT109" s="43" t="n">
        <f aca="false">SUMIFS('Additions (monthly)'!$E$2:$E$106,'Additions (monthly)'!$D$2:$D$106,AT$2,'Additions (monthly)'!$B$2:$B$106,"&lt;="&amp;$B109)</f>
        <v>0</v>
      </c>
      <c r="AU109" s="43" t="n">
        <f aca="false">SUMIFS('Additions (monthly)'!$E$2:$E$106,'Additions (monthly)'!$D$2:$D$106,AU$2,'Additions (monthly)'!$B$2:$B$106,"&lt;="&amp;$B109)</f>
        <v>9.6</v>
      </c>
      <c r="AV109" s="43" t="n">
        <f aca="false">SUMIFS('Additions (monthly)'!$E$2:$E$106,'Additions (monthly)'!$D$2:$D$106,AV$2,'Additions (monthly)'!$B$2:$B$106,"&lt;="&amp;$B109)</f>
        <v>0</v>
      </c>
      <c r="AW109" s="43" t="n">
        <f aca="false">SUMIFS('Additions (monthly)'!$E$2:$E$106,'Additions (monthly)'!$D$2:$D$106,AW$2,'Additions (monthly)'!$B$2:$B$106,"&lt;="&amp;$B109)</f>
        <v>16.5</v>
      </c>
      <c r="AX109" s="43" t="n">
        <f aca="false">SUMIFS('Additions (monthly)'!$E$2:$E$106,'Additions (monthly)'!$D$2:$D$106,AX$2,'Additions (monthly)'!$B$2:$B$106,"&lt;="&amp;$B109)</f>
        <v>11.8</v>
      </c>
      <c r="AY109" s="43" t="n">
        <f aca="false">SUMIFS('Additions (monthly)'!$E$2:$E$106,'Additions (monthly)'!$D$2:$D$106,AY$2,'Additions (monthly)'!$B$2:$B$106,"&lt;="&amp;$B109)</f>
        <v>5.3</v>
      </c>
      <c r="AZ109" s="43" t="n">
        <f aca="false">SUMIFS('Additions (monthly)'!$E$2:$E$106,'Additions (monthly)'!$D$2:$D$106,AZ$2,'Additions (monthly)'!$B$2:$B$106,"&lt;="&amp;$B109)</f>
        <v>0</v>
      </c>
      <c r="BA109" s="43" t="n">
        <f aca="false">SUMIFS('Additions (monthly)'!$E$2:$E$106,'Additions (monthly)'!$D$2:$D$106,BA$2,'Additions (monthly)'!$B$2:$B$106,"&lt;="&amp;$B109)</f>
        <v>0</v>
      </c>
      <c r="BB109" s="43" t="n">
        <f aca="false">SUMIFS('Additions (monthly)'!$E$2:$E$106,'Additions (monthly)'!$D$2:$D$106,BB$2,'Additions (monthly)'!$B$2:$B$106,"&lt;="&amp;$B109)</f>
        <v>10</v>
      </c>
      <c r="BC109" s="43" t="n">
        <f aca="false">SUMIFS('Additions (monthly)'!$E$2:$E$106,'Additions (monthly)'!$D$2:$D$106,BC$2,'Additions (monthly)'!$B$2:$B$106,"&lt;="&amp;$B109)</f>
        <v>5.25</v>
      </c>
      <c r="BD109" s="43" t="n">
        <f aca="false">SUMIFS('Additions (monthly)'!$E$2:$E$106,'Additions (monthly)'!$D$2:$D$106,BD$2,'Additions (monthly)'!$B$2:$B$106,"&lt;="&amp;$B109)</f>
        <v>0</v>
      </c>
      <c r="BE109" s="43" t="n">
        <f aca="false">SUMIFS('Additions (monthly)'!$E$2:$E$106,'Additions (monthly)'!$D$2:$D$106,BE$2,'Additions (monthly)'!$B$2:$B$106,"&lt;="&amp;$B109)</f>
        <v>0</v>
      </c>
      <c r="BF109" s="43" t="n">
        <f aca="false">SUMIFS('Additions (monthly)'!$E$2:$E$106,'Additions (monthly)'!$D$2:$D$106,BF$2,'Additions (monthly)'!$B$2:$B$106,"&lt;="&amp;$B109)</f>
        <v>0</v>
      </c>
      <c r="BG109" s="43" t="n">
        <f aca="false">SUMIFS('Additions (monthly)'!$E$2:$E$106,'Additions (monthly)'!$D$2:$D$106,BG$2,'Additions (monthly)'!$B$2:$B$106,"&lt;="&amp;$B109)</f>
        <v>0</v>
      </c>
      <c r="BH109" s="43" t="n">
        <f aca="false">SUMIFS('Additions (monthly)'!$E$2:$E$106,'Additions (monthly)'!$D$2:$D$106,BH$2,'Additions (monthly)'!$B$2:$B$106,"&lt;="&amp;$B109)</f>
        <v>25</v>
      </c>
      <c r="BI109" s="43" t="n">
        <f aca="false">SUMIFS('Additions (monthly)'!$E$2:$E$106,'Additions (monthly)'!$D$2:$D$106,BI$2,'Additions (monthly)'!$B$2:$B$106,"&lt;="&amp;$B109)</f>
        <v>6.7</v>
      </c>
    </row>
    <row r="110" customFormat="false" ht="15" hidden="false" customHeight="false" outlineLevel="0" collapsed="false">
      <c r="A110" s="23" t="n">
        <v>43435</v>
      </c>
      <c r="B110" s="24" t="n">
        <v>201812</v>
      </c>
      <c r="C110" s="42" t="n">
        <f aca="false">SUMIFS('Additions (monthly)'!$E$2:$E$106,'Additions (monthly)'!$B$2:$B$106,"&lt;="&amp;$B110)</f>
        <v>414.42</v>
      </c>
      <c r="D110" s="43" t="n">
        <f aca="false">SUMIFS('Additions (monthly)'!$E$2:$E$106,'Additions (monthly)'!$D$2:$D$106,D$2,'Additions (monthly)'!$B$2:$B$106,"&lt;="&amp;$B110)</f>
        <v>7.9</v>
      </c>
      <c r="E110" s="43" t="n">
        <f aca="false">SUMIFS('Additions (monthly)'!$E$2:$E$106,'Additions (monthly)'!$D$2:$D$106,E$2,'Additions (monthly)'!$B$2:$B$106,"&lt;="&amp;$B110)</f>
        <v>8.4</v>
      </c>
      <c r="F110" s="43" t="n">
        <f aca="false">SUMIFS('Additions (monthly)'!$E$2:$E$106,'Additions (monthly)'!$D$2:$D$106,F$2,'Additions (monthly)'!$B$2:$B$106,"&lt;="&amp;$B110)</f>
        <v>4.7</v>
      </c>
      <c r="G110" s="43" t="n">
        <f aca="false">SUMIFS('Additions (monthly)'!$E$2:$E$106,'Additions (monthly)'!$D$2:$D$106,G$2,'Additions (monthly)'!$B$2:$B$106,"&lt;="&amp;$B110)</f>
        <v>4.5</v>
      </c>
      <c r="H110" s="43" t="n">
        <f aca="false">SUMIFS('Additions (monthly)'!$E$2:$E$106,'Additions (monthly)'!$D$2:$D$106,H$2,'Additions (monthly)'!$B$2:$B$106,"&lt;="&amp;$B110)</f>
        <v>5.2</v>
      </c>
      <c r="I110" s="43" t="n">
        <f aca="false">SUMIFS('Additions (monthly)'!$E$2:$E$106,'Additions (monthly)'!$D$2:$D$106,I$2,'Additions (monthly)'!$B$2:$B$106,"&lt;="&amp;$B110)</f>
        <v>9</v>
      </c>
      <c r="J110" s="43" t="n">
        <f aca="false">SUMIFS('Additions (monthly)'!$E$2:$E$106,'Additions (monthly)'!$D$2:$D$106,J$2,'Additions (monthly)'!$B$2:$B$106,"&lt;="&amp;$B110)</f>
        <v>3.7</v>
      </c>
      <c r="K110" s="43" t="n">
        <f aca="false">SUMIFS('Additions (monthly)'!$E$2:$E$106,'Additions (monthly)'!$D$2:$D$106,K$2,'Additions (monthly)'!$B$2:$B$106,"&lt;="&amp;$B110)</f>
        <v>7.8</v>
      </c>
      <c r="L110" s="43" t="n">
        <f aca="false">SUMIFS('Additions (monthly)'!$E$2:$E$106,'Additions (monthly)'!$D$2:$D$106,L$2,'Additions (monthly)'!$B$2:$B$106,"&lt;="&amp;$B110)</f>
        <v>15.6</v>
      </c>
      <c r="M110" s="43" t="n">
        <f aca="false">SUMIFS('Additions (monthly)'!$E$2:$E$106,'Additions (monthly)'!$D$2:$D$106,M$2,'Additions (monthly)'!$B$2:$B$106,"&lt;="&amp;$B110)</f>
        <v>8.9</v>
      </c>
      <c r="N110" s="43" t="n">
        <f aca="false">SUMIFS('Additions (monthly)'!$E$2:$E$106,'Additions (monthly)'!$D$2:$D$106,N$2,'Additions (monthly)'!$B$2:$B$106,"&lt;="&amp;$B110)</f>
        <v>14.2</v>
      </c>
      <c r="O110" s="43" t="n">
        <f aca="false">SUMIFS('Additions (monthly)'!$E$2:$E$106,'Additions (monthly)'!$D$2:$D$106,O$2,'Additions (monthly)'!$B$2:$B$106,"&lt;="&amp;$B110)</f>
        <v>4.9</v>
      </c>
      <c r="P110" s="43" t="n">
        <f aca="false">SUMIFS('Additions (monthly)'!$E$2:$E$106,'Additions (monthly)'!$D$2:$D$106,P$2,'Additions (monthly)'!$B$2:$B$106,"&lt;="&amp;$B110)</f>
        <v>0</v>
      </c>
      <c r="Q110" s="43" t="n">
        <f aca="false">SUMIFS('Additions (monthly)'!$E$2:$E$106,'Additions (monthly)'!$D$2:$D$106,Q$2,'Additions (monthly)'!$B$2:$B$106,"&lt;="&amp;$B110)</f>
        <v>8.5</v>
      </c>
      <c r="R110" s="43" t="n">
        <f aca="false">SUMIFS('Additions (monthly)'!$E$2:$E$106,'Additions (monthly)'!$D$2:$D$106,R$2,'Additions (monthly)'!$B$2:$B$106,"&lt;="&amp;$B110)</f>
        <v>8.9</v>
      </c>
      <c r="S110" s="43" t="n">
        <f aca="false">SUMIFS('Additions (monthly)'!$E$2:$E$106,'Additions (monthly)'!$D$2:$D$106,S$2,'Additions (monthly)'!$B$2:$B$106,"&lt;="&amp;$B110)</f>
        <v>7.2</v>
      </c>
      <c r="T110" s="43" t="n">
        <f aca="false">SUMIFS('Additions (monthly)'!$E$2:$E$106,'Additions (monthly)'!$D$2:$D$106,T$2,'Additions (monthly)'!$B$2:$B$106,"&lt;="&amp;$B110)</f>
        <v>2.4</v>
      </c>
      <c r="U110" s="43" t="n">
        <f aca="false">SUMIFS('Additions (monthly)'!$E$2:$E$106,'Additions (monthly)'!$D$2:$D$106,U$2,'Additions (monthly)'!$B$2:$B$106,"&lt;="&amp;$B110)</f>
        <v>0</v>
      </c>
      <c r="V110" s="43" t="n">
        <f aca="false">SUMIFS('Additions (monthly)'!$E$2:$E$106,'Additions (monthly)'!$D$2:$D$106,V$2,'Additions (monthly)'!$B$2:$B$106,"&lt;="&amp;$B110)</f>
        <v>3.87</v>
      </c>
      <c r="W110" s="43" t="n">
        <f aca="false">SUMIFS('Additions (monthly)'!$E$2:$E$106,'Additions (monthly)'!$D$2:$D$106,W$2,'Additions (monthly)'!$B$2:$B$106,"&lt;="&amp;$B110)</f>
        <v>0</v>
      </c>
      <c r="X110" s="43" t="n">
        <f aca="false">SUMIFS('Additions (monthly)'!$E$2:$E$106,'Additions (monthly)'!$D$2:$D$106,X$2,'Additions (monthly)'!$B$2:$B$106,"&lt;="&amp;$B110)</f>
        <v>0</v>
      </c>
      <c r="Y110" s="43" t="n">
        <f aca="false">SUMIFS('Additions (monthly)'!$E$2:$E$106,'Additions (monthly)'!$D$2:$D$106,Y$2,'Additions (monthly)'!$B$2:$B$106,"&lt;="&amp;$B110)</f>
        <v>5</v>
      </c>
      <c r="Z110" s="43" t="n">
        <f aca="false">SUMIFS('Additions (monthly)'!$E$2:$E$106,'Additions (monthly)'!$D$2:$D$106,Z$2,'Additions (monthly)'!$B$2:$B$106,"&lt;="&amp;$B110)</f>
        <v>7.2</v>
      </c>
      <c r="AA110" s="43" t="n">
        <f aca="false">SUMIFS('Additions (monthly)'!$E$2:$E$106,'Additions (monthly)'!$D$2:$D$106,AA$2,'Additions (monthly)'!$B$2:$B$106,"&lt;="&amp;$B110)</f>
        <v>3.7</v>
      </c>
      <c r="AB110" s="43" t="n">
        <f aca="false">SUMIFS('Additions (monthly)'!$E$2:$E$106,'Additions (monthly)'!$D$2:$D$106,AB$2,'Additions (monthly)'!$B$2:$B$106,"&lt;="&amp;$B110)</f>
        <v>16.95</v>
      </c>
      <c r="AC110" s="43" t="n">
        <f aca="false">SUMIFS('Additions (monthly)'!$E$2:$E$106,'Additions (monthly)'!$D$2:$D$106,AC$2,'Additions (monthly)'!$B$2:$B$106,"&lt;="&amp;$B110)</f>
        <v>2</v>
      </c>
      <c r="AD110" s="43" t="n">
        <f aca="false">SUMIFS('Additions (monthly)'!$E$2:$E$106,'Additions (monthly)'!$D$2:$D$106,AD$2,'Additions (monthly)'!$B$2:$B$106,"&lt;="&amp;$B110)</f>
        <v>7.6</v>
      </c>
      <c r="AE110" s="43" t="n">
        <f aca="false">SUMIFS('Additions (monthly)'!$E$2:$E$106,'Additions (monthly)'!$D$2:$D$106,AE$2,'Additions (monthly)'!$B$2:$B$106,"&lt;="&amp;$B110)</f>
        <v>29.3</v>
      </c>
      <c r="AF110" s="43" t="n">
        <f aca="false">SUMIFS('Additions (monthly)'!$E$2:$E$106,'Additions (monthly)'!$D$2:$D$106,AF$2,'Additions (monthly)'!$B$2:$B$106,"&lt;="&amp;$B110)</f>
        <v>1.2</v>
      </c>
      <c r="AG110" s="43" t="n">
        <f aca="false">SUMIFS('Additions (monthly)'!$E$2:$E$106,'Additions (monthly)'!$D$2:$D$106,AG$2,'Additions (monthly)'!$B$2:$B$106,"&lt;="&amp;$B110)</f>
        <v>0</v>
      </c>
      <c r="AH110" s="43" t="n">
        <f aca="false">SUMIFS('Additions (monthly)'!$E$2:$E$106,'Additions (monthly)'!$D$2:$D$106,AH$2,'Additions (monthly)'!$B$2:$B$106,"&lt;="&amp;$B110)</f>
        <v>0</v>
      </c>
      <c r="AI110" s="43" t="n">
        <f aca="false">SUMIFS('Additions (monthly)'!$E$2:$E$106,'Additions (monthly)'!$D$2:$D$106,AI$2,'Additions (monthly)'!$B$2:$B$106,"&lt;="&amp;$B110)</f>
        <v>0</v>
      </c>
      <c r="AJ110" s="43" t="n">
        <f aca="false">SUMIFS('Additions (monthly)'!$E$2:$E$106,'Additions (monthly)'!$D$2:$D$106,AJ$2,'Additions (monthly)'!$B$2:$B$106,"&lt;="&amp;$B110)</f>
        <v>0</v>
      </c>
      <c r="AK110" s="43" t="n">
        <f aca="false">SUMIFS('Additions (monthly)'!$E$2:$E$106,'Additions (monthly)'!$D$2:$D$106,AK$2,'Additions (monthly)'!$B$2:$B$106,"&lt;="&amp;$B110)</f>
        <v>0</v>
      </c>
      <c r="AL110" s="43" t="n">
        <f aca="false">SUMIFS('Additions (monthly)'!$E$2:$E$106,'Additions (monthly)'!$D$2:$D$106,AL$2,'Additions (monthly)'!$B$2:$B$106,"&lt;="&amp;$B110)</f>
        <v>22.2</v>
      </c>
      <c r="AM110" s="43" t="n">
        <f aca="false">SUMIFS('Additions (monthly)'!$E$2:$E$106,'Additions (monthly)'!$D$2:$D$106,AM$2,'Additions (monthly)'!$B$2:$B$106,"&lt;="&amp;$B110)</f>
        <v>0.3</v>
      </c>
      <c r="AN110" s="43" t="n">
        <f aca="false">SUMIFS('Additions (monthly)'!$E$2:$E$106,'Additions (monthly)'!$D$2:$D$106,AN$2,'Additions (monthly)'!$B$2:$B$106,"&lt;="&amp;$B110)</f>
        <v>4.3</v>
      </c>
      <c r="AO110" s="43" t="n">
        <f aca="false">SUMIFS('Additions (monthly)'!$E$2:$E$106,'Additions (monthly)'!$D$2:$D$106,AO$2,'Additions (monthly)'!$B$2:$B$106,"&lt;="&amp;$B110)</f>
        <v>10.4</v>
      </c>
      <c r="AP110" s="43" t="n">
        <f aca="false">SUMIFS('Additions (monthly)'!$E$2:$E$106,'Additions (monthly)'!$D$2:$D$106,AP$2,'Additions (monthly)'!$B$2:$B$106,"&lt;="&amp;$B110)</f>
        <v>6.9</v>
      </c>
      <c r="AQ110" s="43" t="n">
        <f aca="false">SUMIFS('Additions (monthly)'!$E$2:$E$106,'Additions (monthly)'!$D$2:$D$106,AQ$2,'Additions (monthly)'!$B$2:$B$106,"&lt;="&amp;$B110)</f>
        <v>4.45</v>
      </c>
      <c r="AR110" s="43" t="n">
        <f aca="false">SUMIFS('Additions (monthly)'!$E$2:$E$106,'Additions (monthly)'!$D$2:$D$106,AR$2,'Additions (monthly)'!$B$2:$B$106,"&lt;="&amp;$B110)</f>
        <v>77.1</v>
      </c>
      <c r="AS110" s="43" t="n">
        <f aca="false">SUMIFS('Additions (monthly)'!$E$2:$E$106,'Additions (monthly)'!$D$2:$D$106,AS$2,'Additions (monthly)'!$B$2:$B$106,"&lt;="&amp;$B110)</f>
        <v>0</v>
      </c>
      <c r="AT110" s="43" t="n">
        <f aca="false">SUMIFS('Additions (monthly)'!$E$2:$E$106,'Additions (monthly)'!$D$2:$D$106,AT$2,'Additions (monthly)'!$B$2:$B$106,"&lt;="&amp;$B110)</f>
        <v>0</v>
      </c>
      <c r="AU110" s="43" t="n">
        <f aca="false">SUMIFS('Additions (monthly)'!$E$2:$E$106,'Additions (monthly)'!$D$2:$D$106,AU$2,'Additions (monthly)'!$B$2:$B$106,"&lt;="&amp;$B110)</f>
        <v>9.6</v>
      </c>
      <c r="AV110" s="43" t="n">
        <f aca="false">SUMIFS('Additions (monthly)'!$E$2:$E$106,'Additions (monthly)'!$D$2:$D$106,AV$2,'Additions (monthly)'!$B$2:$B$106,"&lt;="&amp;$B110)</f>
        <v>0</v>
      </c>
      <c r="AW110" s="43" t="n">
        <f aca="false">SUMIFS('Additions (monthly)'!$E$2:$E$106,'Additions (monthly)'!$D$2:$D$106,AW$2,'Additions (monthly)'!$B$2:$B$106,"&lt;="&amp;$B110)</f>
        <v>16.5</v>
      </c>
      <c r="AX110" s="43" t="n">
        <f aca="false">SUMIFS('Additions (monthly)'!$E$2:$E$106,'Additions (monthly)'!$D$2:$D$106,AX$2,'Additions (monthly)'!$B$2:$B$106,"&lt;="&amp;$B110)</f>
        <v>11.8</v>
      </c>
      <c r="AY110" s="43" t="n">
        <f aca="false">SUMIFS('Additions (monthly)'!$E$2:$E$106,'Additions (monthly)'!$D$2:$D$106,AY$2,'Additions (monthly)'!$B$2:$B$106,"&lt;="&amp;$B110)</f>
        <v>5.3</v>
      </c>
      <c r="AZ110" s="43" t="n">
        <f aca="false">SUMIFS('Additions (monthly)'!$E$2:$E$106,'Additions (monthly)'!$D$2:$D$106,AZ$2,'Additions (monthly)'!$B$2:$B$106,"&lt;="&amp;$B110)</f>
        <v>0</v>
      </c>
      <c r="BA110" s="43" t="n">
        <f aca="false">SUMIFS('Additions (monthly)'!$E$2:$E$106,'Additions (monthly)'!$D$2:$D$106,BA$2,'Additions (monthly)'!$B$2:$B$106,"&lt;="&amp;$B110)</f>
        <v>0</v>
      </c>
      <c r="BB110" s="43" t="n">
        <f aca="false">SUMIFS('Additions (monthly)'!$E$2:$E$106,'Additions (monthly)'!$D$2:$D$106,BB$2,'Additions (monthly)'!$B$2:$B$106,"&lt;="&amp;$B110)</f>
        <v>10</v>
      </c>
      <c r="BC110" s="43" t="n">
        <f aca="false">SUMIFS('Additions (monthly)'!$E$2:$E$106,'Additions (monthly)'!$D$2:$D$106,BC$2,'Additions (monthly)'!$B$2:$B$106,"&lt;="&amp;$B110)</f>
        <v>5.25</v>
      </c>
      <c r="BD110" s="43" t="n">
        <f aca="false">SUMIFS('Additions (monthly)'!$E$2:$E$106,'Additions (monthly)'!$D$2:$D$106,BD$2,'Additions (monthly)'!$B$2:$B$106,"&lt;="&amp;$B110)</f>
        <v>0</v>
      </c>
      <c r="BE110" s="43" t="n">
        <f aca="false">SUMIFS('Additions (monthly)'!$E$2:$E$106,'Additions (monthly)'!$D$2:$D$106,BE$2,'Additions (monthly)'!$B$2:$B$106,"&lt;="&amp;$B110)</f>
        <v>0</v>
      </c>
      <c r="BF110" s="43" t="n">
        <f aca="false">SUMIFS('Additions (monthly)'!$E$2:$E$106,'Additions (monthly)'!$D$2:$D$106,BF$2,'Additions (monthly)'!$B$2:$B$106,"&lt;="&amp;$B110)</f>
        <v>0</v>
      </c>
      <c r="BG110" s="43" t="n">
        <f aca="false">SUMIFS('Additions (monthly)'!$E$2:$E$106,'Additions (monthly)'!$D$2:$D$106,BG$2,'Additions (monthly)'!$B$2:$B$106,"&lt;="&amp;$B110)</f>
        <v>0</v>
      </c>
      <c r="BH110" s="43" t="n">
        <f aca="false">SUMIFS('Additions (monthly)'!$E$2:$E$106,'Additions (monthly)'!$D$2:$D$106,BH$2,'Additions (monthly)'!$B$2:$B$106,"&lt;="&amp;$B110)</f>
        <v>25</v>
      </c>
      <c r="BI110" s="43" t="n">
        <f aca="false">SUMIFS('Additions (monthly)'!$E$2:$E$106,'Additions (monthly)'!$D$2:$D$106,BI$2,'Additions (monthly)'!$B$2:$B$106,"&lt;="&amp;$B110)</f>
        <v>6.7</v>
      </c>
    </row>
    <row r="111" customFormat="false" ht="15" hidden="false" customHeight="false" outlineLevel="0" collapsed="false">
      <c r="A111" s="44" t="n">
        <v>43466</v>
      </c>
      <c r="B111" s="45" t="n">
        <v>201901</v>
      </c>
      <c r="C111" s="42" t="n">
        <f aca="false">SUMIFS('Additions (monthly)'!$E$2:$E$106,'Additions (monthly)'!$B$2:$B$106,"&lt;="&amp;$B111)</f>
        <v>414.42</v>
      </c>
      <c r="D111" s="46" t="n">
        <f aca="false">SUMIFS('Additions (monthly)'!$E$2:$E$106,'Additions (monthly)'!$D$2:$D$106,D$2,'Additions (monthly)'!$B$2:$B$106,"&lt;="&amp;$B111)</f>
        <v>7.9</v>
      </c>
      <c r="E111" s="46" t="n">
        <f aca="false">SUMIFS('Additions (monthly)'!$E$2:$E$106,'Additions (monthly)'!$D$2:$D$106,E$2,'Additions (monthly)'!$B$2:$B$106,"&lt;="&amp;$B111)</f>
        <v>8.4</v>
      </c>
      <c r="F111" s="46" t="n">
        <f aca="false">SUMIFS('Additions (monthly)'!$E$2:$E$106,'Additions (monthly)'!$D$2:$D$106,F$2,'Additions (monthly)'!$B$2:$B$106,"&lt;="&amp;$B111)</f>
        <v>4.7</v>
      </c>
      <c r="G111" s="46" t="n">
        <f aca="false">SUMIFS('Additions (monthly)'!$E$2:$E$106,'Additions (monthly)'!$D$2:$D$106,G$2,'Additions (monthly)'!$B$2:$B$106,"&lt;="&amp;$B111)</f>
        <v>4.5</v>
      </c>
      <c r="H111" s="46" t="n">
        <f aca="false">SUMIFS('Additions (monthly)'!$E$2:$E$106,'Additions (monthly)'!$D$2:$D$106,H$2,'Additions (monthly)'!$B$2:$B$106,"&lt;="&amp;$B111)</f>
        <v>5.2</v>
      </c>
      <c r="I111" s="46" t="n">
        <f aca="false">SUMIFS('Additions (monthly)'!$E$2:$E$106,'Additions (monthly)'!$D$2:$D$106,I$2,'Additions (monthly)'!$B$2:$B$106,"&lt;="&amp;$B111)</f>
        <v>9</v>
      </c>
      <c r="J111" s="46" t="n">
        <f aca="false">SUMIFS('Additions (monthly)'!$E$2:$E$106,'Additions (monthly)'!$D$2:$D$106,J$2,'Additions (monthly)'!$B$2:$B$106,"&lt;="&amp;$B111)</f>
        <v>3.7</v>
      </c>
      <c r="K111" s="46" t="n">
        <f aca="false">SUMIFS('Additions (monthly)'!$E$2:$E$106,'Additions (monthly)'!$D$2:$D$106,K$2,'Additions (monthly)'!$B$2:$B$106,"&lt;="&amp;$B111)</f>
        <v>7.8</v>
      </c>
      <c r="L111" s="46" t="n">
        <f aca="false">SUMIFS('Additions (monthly)'!$E$2:$E$106,'Additions (monthly)'!$D$2:$D$106,L$2,'Additions (monthly)'!$B$2:$B$106,"&lt;="&amp;$B111)</f>
        <v>15.6</v>
      </c>
      <c r="M111" s="46" t="n">
        <f aca="false">SUMIFS('Additions (monthly)'!$E$2:$E$106,'Additions (monthly)'!$D$2:$D$106,M$2,'Additions (monthly)'!$B$2:$B$106,"&lt;="&amp;$B111)</f>
        <v>8.9</v>
      </c>
      <c r="N111" s="46" t="n">
        <f aca="false">SUMIFS('Additions (monthly)'!$E$2:$E$106,'Additions (monthly)'!$D$2:$D$106,N$2,'Additions (monthly)'!$B$2:$B$106,"&lt;="&amp;$B111)</f>
        <v>14.2</v>
      </c>
      <c r="O111" s="46" t="n">
        <f aca="false">SUMIFS('Additions (monthly)'!$E$2:$E$106,'Additions (monthly)'!$D$2:$D$106,O$2,'Additions (monthly)'!$B$2:$B$106,"&lt;="&amp;$B111)</f>
        <v>4.9</v>
      </c>
      <c r="P111" s="46" t="n">
        <f aca="false">SUMIFS('Additions (monthly)'!$E$2:$E$106,'Additions (monthly)'!$D$2:$D$106,P$2,'Additions (monthly)'!$B$2:$B$106,"&lt;="&amp;$B111)</f>
        <v>0</v>
      </c>
      <c r="Q111" s="46" t="n">
        <f aca="false">SUMIFS('Additions (monthly)'!$E$2:$E$106,'Additions (monthly)'!$D$2:$D$106,Q$2,'Additions (monthly)'!$B$2:$B$106,"&lt;="&amp;$B111)</f>
        <v>8.5</v>
      </c>
      <c r="R111" s="46" t="n">
        <f aca="false">SUMIFS('Additions (monthly)'!$E$2:$E$106,'Additions (monthly)'!$D$2:$D$106,R$2,'Additions (monthly)'!$B$2:$B$106,"&lt;="&amp;$B111)</f>
        <v>8.9</v>
      </c>
      <c r="S111" s="46" t="n">
        <f aca="false">SUMIFS('Additions (monthly)'!$E$2:$E$106,'Additions (monthly)'!$D$2:$D$106,S$2,'Additions (monthly)'!$B$2:$B$106,"&lt;="&amp;$B111)</f>
        <v>7.2</v>
      </c>
      <c r="T111" s="46" t="n">
        <f aca="false">SUMIFS('Additions (monthly)'!$E$2:$E$106,'Additions (monthly)'!$D$2:$D$106,T$2,'Additions (monthly)'!$B$2:$B$106,"&lt;="&amp;$B111)</f>
        <v>2.4</v>
      </c>
      <c r="U111" s="46" t="n">
        <f aca="false">SUMIFS('Additions (monthly)'!$E$2:$E$106,'Additions (monthly)'!$D$2:$D$106,U$2,'Additions (monthly)'!$B$2:$B$106,"&lt;="&amp;$B111)</f>
        <v>0</v>
      </c>
      <c r="V111" s="46" t="n">
        <f aca="false">SUMIFS('Additions (monthly)'!$E$2:$E$106,'Additions (monthly)'!$D$2:$D$106,V$2,'Additions (monthly)'!$B$2:$B$106,"&lt;="&amp;$B111)</f>
        <v>3.87</v>
      </c>
      <c r="W111" s="46" t="n">
        <f aca="false">SUMIFS('Additions (monthly)'!$E$2:$E$106,'Additions (monthly)'!$D$2:$D$106,W$2,'Additions (monthly)'!$B$2:$B$106,"&lt;="&amp;$B111)</f>
        <v>0</v>
      </c>
      <c r="X111" s="46" t="n">
        <f aca="false">SUMIFS('Additions (monthly)'!$E$2:$E$106,'Additions (monthly)'!$D$2:$D$106,X$2,'Additions (monthly)'!$B$2:$B$106,"&lt;="&amp;$B111)</f>
        <v>0</v>
      </c>
      <c r="Y111" s="46" t="n">
        <f aca="false">SUMIFS('Additions (monthly)'!$E$2:$E$106,'Additions (monthly)'!$D$2:$D$106,Y$2,'Additions (monthly)'!$B$2:$B$106,"&lt;="&amp;$B111)</f>
        <v>5</v>
      </c>
      <c r="Z111" s="46" t="n">
        <f aca="false">SUMIFS('Additions (monthly)'!$E$2:$E$106,'Additions (monthly)'!$D$2:$D$106,Z$2,'Additions (monthly)'!$B$2:$B$106,"&lt;="&amp;$B111)</f>
        <v>7.2</v>
      </c>
      <c r="AA111" s="46" t="n">
        <f aca="false">SUMIFS('Additions (monthly)'!$E$2:$E$106,'Additions (monthly)'!$D$2:$D$106,AA$2,'Additions (monthly)'!$B$2:$B$106,"&lt;="&amp;$B111)</f>
        <v>3.7</v>
      </c>
      <c r="AB111" s="46" t="n">
        <f aca="false">SUMIFS('Additions (monthly)'!$E$2:$E$106,'Additions (monthly)'!$D$2:$D$106,AB$2,'Additions (monthly)'!$B$2:$B$106,"&lt;="&amp;$B111)</f>
        <v>16.95</v>
      </c>
      <c r="AC111" s="46" t="n">
        <f aca="false">SUMIFS('Additions (monthly)'!$E$2:$E$106,'Additions (monthly)'!$D$2:$D$106,AC$2,'Additions (monthly)'!$B$2:$B$106,"&lt;="&amp;$B111)</f>
        <v>2</v>
      </c>
      <c r="AD111" s="46" t="n">
        <f aca="false">SUMIFS('Additions (monthly)'!$E$2:$E$106,'Additions (monthly)'!$D$2:$D$106,AD$2,'Additions (monthly)'!$B$2:$B$106,"&lt;="&amp;$B111)</f>
        <v>7.6</v>
      </c>
      <c r="AE111" s="46" t="n">
        <f aca="false">SUMIFS('Additions (monthly)'!$E$2:$E$106,'Additions (monthly)'!$D$2:$D$106,AE$2,'Additions (monthly)'!$B$2:$B$106,"&lt;="&amp;$B111)</f>
        <v>29.3</v>
      </c>
      <c r="AF111" s="46" t="n">
        <f aca="false">SUMIFS('Additions (monthly)'!$E$2:$E$106,'Additions (monthly)'!$D$2:$D$106,AF$2,'Additions (monthly)'!$B$2:$B$106,"&lt;="&amp;$B111)</f>
        <v>1.2</v>
      </c>
      <c r="AG111" s="46" t="n">
        <f aca="false">SUMIFS('Additions (monthly)'!$E$2:$E$106,'Additions (monthly)'!$D$2:$D$106,AG$2,'Additions (monthly)'!$B$2:$B$106,"&lt;="&amp;$B111)</f>
        <v>0</v>
      </c>
      <c r="AH111" s="46" t="n">
        <f aca="false">SUMIFS('Additions (monthly)'!$E$2:$E$106,'Additions (monthly)'!$D$2:$D$106,AH$2,'Additions (monthly)'!$B$2:$B$106,"&lt;="&amp;$B111)</f>
        <v>0</v>
      </c>
      <c r="AI111" s="46" t="n">
        <f aca="false">SUMIFS('Additions (monthly)'!$E$2:$E$106,'Additions (monthly)'!$D$2:$D$106,AI$2,'Additions (monthly)'!$B$2:$B$106,"&lt;="&amp;$B111)</f>
        <v>0</v>
      </c>
      <c r="AJ111" s="46" t="n">
        <f aca="false">SUMIFS('Additions (monthly)'!$E$2:$E$106,'Additions (monthly)'!$D$2:$D$106,AJ$2,'Additions (monthly)'!$B$2:$B$106,"&lt;="&amp;$B111)</f>
        <v>0</v>
      </c>
      <c r="AK111" s="46" t="n">
        <f aca="false">SUMIFS('Additions (monthly)'!$E$2:$E$106,'Additions (monthly)'!$D$2:$D$106,AK$2,'Additions (monthly)'!$B$2:$B$106,"&lt;="&amp;$B111)</f>
        <v>0</v>
      </c>
      <c r="AL111" s="46" t="n">
        <f aca="false">SUMIFS('Additions (monthly)'!$E$2:$E$106,'Additions (monthly)'!$D$2:$D$106,AL$2,'Additions (monthly)'!$B$2:$B$106,"&lt;="&amp;$B111)</f>
        <v>22.2</v>
      </c>
      <c r="AM111" s="46" t="n">
        <f aca="false">SUMIFS('Additions (monthly)'!$E$2:$E$106,'Additions (monthly)'!$D$2:$D$106,AM$2,'Additions (monthly)'!$B$2:$B$106,"&lt;="&amp;$B111)</f>
        <v>0.3</v>
      </c>
      <c r="AN111" s="46" t="n">
        <f aca="false">SUMIFS('Additions (monthly)'!$E$2:$E$106,'Additions (monthly)'!$D$2:$D$106,AN$2,'Additions (monthly)'!$B$2:$B$106,"&lt;="&amp;$B111)</f>
        <v>4.3</v>
      </c>
      <c r="AO111" s="46" t="n">
        <f aca="false">SUMIFS('Additions (monthly)'!$E$2:$E$106,'Additions (monthly)'!$D$2:$D$106,AO$2,'Additions (monthly)'!$B$2:$B$106,"&lt;="&amp;$B111)</f>
        <v>10.4</v>
      </c>
      <c r="AP111" s="46" t="n">
        <f aca="false">SUMIFS('Additions (monthly)'!$E$2:$E$106,'Additions (monthly)'!$D$2:$D$106,AP$2,'Additions (monthly)'!$B$2:$B$106,"&lt;="&amp;$B111)</f>
        <v>6.9</v>
      </c>
      <c r="AQ111" s="46" t="n">
        <f aca="false">SUMIFS('Additions (monthly)'!$E$2:$E$106,'Additions (monthly)'!$D$2:$D$106,AQ$2,'Additions (monthly)'!$B$2:$B$106,"&lt;="&amp;$B111)</f>
        <v>4.45</v>
      </c>
      <c r="AR111" s="46" t="n">
        <f aca="false">SUMIFS('Additions (monthly)'!$E$2:$E$106,'Additions (monthly)'!$D$2:$D$106,AR$2,'Additions (monthly)'!$B$2:$B$106,"&lt;="&amp;$B111)</f>
        <v>77.1</v>
      </c>
      <c r="AS111" s="46" t="n">
        <f aca="false">SUMIFS('Additions (monthly)'!$E$2:$E$106,'Additions (monthly)'!$D$2:$D$106,AS$2,'Additions (monthly)'!$B$2:$B$106,"&lt;="&amp;$B111)</f>
        <v>0</v>
      </c>
      <c r="AT111" s="46" t="n">
        <f aca="false">SUMIFS('Additions (monthly)'!$E$2:$E$106,'Additions (monthly)'!$D$2:$D$106,AT$2,'Additions (monthly)'!$B$2:$B$106,"&lt;="&amp;$B111)</f>
        <v>0</v>
      </c>
      <c r="AU111" s="46" t="n">
        <f aca="false">SUMIFS('Additions (monthly)'!$E$2:$E$106,'Additions (monthly)'!$D$2:$D$106,AU$2,'Additions (monthly)'!$B$2:$B$106,"&lt;="&amp;$B111)</f>
        <v>9.6</v>
      </c>
      <c r="AV111" s="46" t="n">
        <f aca="false">SUMIFS('Additions (monthly)'!$E$2:$E$106,'Additions (monthly)'!$D$2:$D$106,AV$2,'Additions (monthly)'!$B$2:$B$106,"&lt;="&amp;$B111)</f>
        <v>0</v>
      </c>
      <c r="AW111" s="46" t="n">
        <f aca="false">SUMIFS('Additions (monthly)'!$E$2:$E$106,'Additions (monthly)'!$D$2:$D$106,AW$2,'Additions (monthly)'!$B$2:$B$106,"&lt;="&amp;$B111)</f>
        <v>16.5</v>
      </c>
      <c r="AX111" s="46" t="n">
        <f aca="false">SUMIFS('Additions (monthly)'!$E$2:$E$106,'Additions (monthly)'!$D$2:$D$106,AX$2,'Additions (monthly)'!$B$2:$B$106,"&lt;="&amp;$B111)</f>
        <v>11.8</v>
      </c>
      <c r="AY111" s="46" t="n">
        <f aca="false">SUMIFS('Additions (monthly)'!$E$2:$E$106,'Additions (monthly)'!$D$2:$D$106,AY$2,'Additions (monthly)'!$B$2:$B$106,"&lt;="&amp;$B111)</f>
        <v>5.3</v>
      </c>
      <c r="AZ111" s="46" t="n">
        <f aca="false">SUMIFS('Additions (monthly)'!$E$2:$E$106,'Additions (monthly)'!$D$2:$D$106,AZ$2,'Additions (monthly)'!$B$2:$B$106,"&lt;="&amp;$B111)</f>
        <v>0</v>
      </c>
      <c r="BA111" s="46" t="n">
        <f aca="false">SUMIFS('Additions (monthly)'!$E$2:$E$106,'Additions (monthly)'!$D$2:$D$106,BA$2,'Additions (monthly)'!$B$2:$B$106,"&lt;="&amp;$B111)</f>
        <v>0</v>
      </c>
      <c r="BB111" s="46" t="n">
        <f aca="false">SUMIFS('Additions (monthly)'!$E$2:$E$106,'Additions (monthly)'!$D$2:$D$106,BB$2,'Additions (monthly)'!$B$2:$B$106,"&lt;="&amp;$B111)</f>
        <v>10</v>
      </c>
      <c r="BC111" s="46" t="n">
        <f aca="false">SUMIFS('Additions (monthly)'!$E$2:$E$106,'Additions (monthly)'!$D$2:$D$106,BC$2,'Additions (monthly)'!$B$2:$B$106,"&lt;="&amp;$B111)</f>
        <v>5.25</v>
      </c>
      <c r="BD111" s="46" t="n">
        <f aca="false">SUMIFS('Additions (monthly)'!$E$2:$E$106,'Additions (monthly)'!$D$2:$D$106,BD$2,'Additions (monthly)'!$B$2:$B$106,"&lt;="&amp;$B111)</f>
        <v>0</v>
      </c>
      <c r="BE111" s="46" t="n">
        <f aca="false">SUMIFS('Additions (monthly)'!$E$2:$E$106,'Additions (monthly)'!$D$2:$D$106,BE$2,'Additions (monthly)'!$B$2:$B$106,"&lt;="&amp;$B111)</f>
        <v>0</v>
      </c>
      <c r="BF111" s="46" t="n">
        <f aca="false">SUMIFS('Additions (monthly)'!$E$2:$E$106,'Additions (monthly)'!$D$2:$D$106,BF$2,'Additions (monthly)'!$B$2:$B$106,"&lt;="&amp;$B111)</f>
        <v>0</v>
      </c>
      <c r="BG111" s="46" t="n">
        <f aca="false">SUMIFS('Additions (monthly)'!$E$2:$E$106,'Additions (monthly)'!$D$2:$D$106,BG$2,'Additions (monthly)'!$B$2:$B$106,"&lt;="&amp;$B111)</f>
        <v>0</v>
      </c>
      <c r="BH111" s="46" t="n">
        <f aca="false">SUMIFS('Additions (monthly)'!$E$2:$E$106,'Additions (monthly)'!$D$2:$D$106,BH$2,'Additions (monthly)'!$B$2:$B$106,"&lt;="&amp;$B111)</f>
        <v>25</v>
      </c>
      <c r="BI111" s="46" t="n">
        <f aca="false">SUMIFS('Additions (monthly)'!$E$2:$E$106,'Additions (monthly)'!$D$2:$D$106,BI$2,'Additions (monthly)'!$B$2:$B$106,"&lt;="&amp;$B111)</f>
        <v>6.7</v>
      </c>
    </row>
    <row r="112" customFormat="false" ht="15" hidden="false" customHeight="false" outlineLevel="0" collapsed="false">
      <c r="A112" s="44" t="n">
        <v>43497</v>
      </c>
      <c r="B112" s="45" t="n">
        <v>201902</v>
      </c>
      <c r="C112" s="42" t="n">
        <f aca="false">SUMIFS('Additions (monthly)'!$E$2:$E$106,'Additions (monthly)'!$B$2:$B$106,"&lt;="&amp;$B112)</f>
        <v>414.42</v>
      </c>
      <c r="D112" s="46" t="n">
        <f aca="false">SUMIFS('Additions (monthly)'!$E$2:$E$106,'Additions (monthly)'!$D$2:$D$106,D$2,'Additions (monthly)'!$B$2:$B$106,"&lt;="&amp;$B112)</f>
        <v>7.9</v>
      </c>
      <c r="E112" s="46" t="n">
        <f aca="false">SUMIFS('Additions (monthly)'!$E$2:$E$106,'Additions (monthly)'!$D$2:$D$106,E$2,'Additions (monthly)'!$B$2:$B$106,"&lt;="&amp;$B112)</f>
        <v>8.4</v>
      </c>
      <c r="F112" s="46" t="n">
        <f aca="false">SUMIFS('Additions (monthly)'!$E$2:$E$106,'Additions (monthly)'!$D$2:$D$106,F$2,'Additions (monthly)'!$B$2:$B$106,"&lt;="&amp;$B112)</f>
        <v>4.7</v>
      </c>
      <c r="G112" s="46" t="n">
        <f aca="false">SUMIFS('Additions (monthly)'!$E$2:$E$106,'Additions (monthly)'!$D$2:$D$106,G$2,'Additions (monthly)'!$B$2:$B$106,"&lt;="&amp;$B112)</f>
        <v>4.5</v>
      </c>
      <c r="H112" s="46" t="n">
        <f aca="false">SUMIFS('Additions (monthly)'!$E$2:$E$106,'Additions (monthly)'!$D$2:$D$106,H$2,'Additions (monthly)'!$B$2:$B$106,"&lt;="&amp;$B112)</f>
        <v>5.2</v>
      </c>
      <c r="I112" s="46" t="n">
        <f aca="false">SUMIFS('Additions (monthly)'!$E$2:$E$106,'Additions (monthly)'!$D$2:$D$106,I$2,'Additions (monthly)'!$B$2:$B$106,"&lt;="&amp;$B112)</f>
        <v>9</v>
      </c>
      <c r="J112" s="46" t="n">
        <f aca="false">SUMIFS('Additions (monthly)'!$E$2:$E$106,'Additions (monthly)'!$D$2:$D$106,J$2,'Additions (monthly)'!$B$2:$B$106,"&lt;="&amp;$B112)</f>
        <v>3.7</v>
      </c>
      <c r="K112" s="46" t="n">
        <f aca="false">SUMIFS('Additions (monthly)'!$E$2:$E$106,'Additions (monthly)'!$D$2:$D$106,K$2,'Additions (monthly)'!$B$2:$B$106,"&lt;="&amp;$B112)</f>
        <v>7.8</v>
      </c>
      <c r="L112" s="46" t="n">
        <f aca="false">SUMIFS('Additions (monthly)'!$E$2:$E$106,'Additions (monthly)'!$D$2:$D$106,L$2,'Additions (monthly)'!$B$2:$B$106,"&lt;="&amp;$B112)</f>
        <v>15.6</v>
      </c>
      <c r="M112" s="46" t="n">
        <f aca="false">SUMIFS('Additions (monthly)'!$E$2:$E$106,'Additions (monthly)'!$D$2:$D$106,M$2,'Additions (monthly)'!$B$2:$B$106,"&lt;="&amp;$B112)</f>
        <v>8.9</v>
      </c>
      <c r="N112" s="46" t="n">
        <f aca="false">SUMIFS('Additions (monthly)'!$E$2:$E$106,'Additions (monthly)'!$D$2:$D$106,N$2,'Additions (monthly)'!$B$2:$B$106,"&lt;="&amp;$B112)</f>
        <v>14.2</v>
      </c>
      <c r="O112" s="46" t="n">
        <f aca="false">SUMIFS('Additions (monthly)'!$E$2:$E$106,'Additions (monthly)'!$D$2:$D$106,O$2,'Additions (monthly)'!$B$2:$B$106,"&lt;="&amp;$B112)</f>
        <v>4.9</v>
      </c>
      <c r="P112" s="46" t="n">
        <f aca="false">SUMIFS('Additions (monthly)'!$E$2:$E$106,'Additions (monthly)'!$D$2:$D$106,P$2,'Additions (monthly)'!$B$2:$B$106,"&lt;="&amp;$B112)</f>
        <v>0</v>
      </c>
      <c r="Q112" s="46" t="n">
        <f aca="false">SUMIFS('Additions (monthly)'!$E$2:$E$106,'Additions (monthly)'!$D$2:$D$106,Q$2,'Additions (monthly)'!$B$2:$B$106,"&lt;="&amp;$B112)</f>
        <v>8.5</v>
      </c>
      <c r="R112" s="46" t="n">
        <f aca="false">SUMIFS('Additions (monthly)'!$E$2:$E$106,'Additions (monthly)'!$D$2:$D$106,R$2,'Additions (monthly)'!$B$2:$B$106,"&lt;="&amp;$B112)</f>
        <v>8.9</v>
      </c>
      <c r="S112" s="46" t="n">
        <f aca="false">SUMIFS('Additions (monthly)'!$E$2:$E$106,'Additions (monthly)'!$D$2:$D$106,S$2,'Additions (monthly)'!$B$2:$B$106,"&lt;="&amp;$B112)</f>
        <v>7.2</v>
      </c>
      <c r="T112" s="46" t="n">
        <f aca="false">SUMIFS('Additions (monthly)'!$E$2:$E$106,'Additions (monthly)'!$D$2:$D$106,T$2,'Additions (monthly)'!$B$2:$B$106,"&lt;="&amp;$B112)</f>
        <v>2.4</v>
      </c>
      <c r="U112" s="46" t="n">
        <f aca="false">SUMIFS('Additions (monthly)'!$E$2:$E$106,'Additions (monthly)'!$D$2:$D$106,U$2,'Additions (monthly)'!$B$2:$B$106,"&lt;="&amp;$B112)</f>
        <v>0</v>
      </c>
      <c r="V112" s="46" t="n">
        <f aca="false">SUMIFS('Additions (monthly)'!$E$2:$E$106,'Additions (monthly)'!$D$2:$D$106,V$2,'Additions (monthly)'!$B$2:$B$106,"&lt;="&amp;$B112)</f>
        <v>3.87</v>
      </c>
      <c r="W112" s="46" t="n">
        <f aca="false">SUMIFS('Additions (monthly)'!$E$2:$E$106,'Additions (monthly)'!$D$2:$D$106,W$2,'Additions (monthly)'!$B$2:$B$106,"&lt;="&amp;$B112)</f>
        <v>0</v>
      </c>
      <c r="X112" s="46" t="n">
        <f aca="false">SUMIFS('Additions (monthly)'!$E$2:$E$106,'Additions (monthly)'!$D$2:$D$106,X$2,'Additions (monthly)'!$B$2:$B$106,"&lt;="&amp;$B112)</f>
        <v>0</v>
      </c>
      <c r="Y112" s="46" t="n">
        <f aca="false">SUMIFS('Additions (monthly)'!$E$2:$E$106,'Additions (monthly)'!$D$2:$D$106,Y$2,'Additions (monthly)'!$B$2:$B$106,"&lt;="&amp;$B112)</f>
        <v>5</v>
      </c>
      <c r="Z112" s="46" t="n">
        <f aca="false">SUMIFS('Additions (monthly)'!$E$2:$E$106,'Additions (monthly)'!$D$2:$D$106,Z$2,'Additions (monthly)'!$B$2:$B$106,"&lt;="&amp;$B112)</f>
        <v>7.2</v>
      </c>
      <c r="AA112" s="46" t="n">
        <f aca="false">SUMIFS('Additions (monthly)'!$E$2:$E$106,'Additions (monthly)'!$D$2:$D$106,AA$2,'Additions (monthly)'!$B$2:$B$106,"&lt;="&amp;$B112)</f>
        <v>3.7</v>
      </c>
      <c r="AB112" s="46" t="n">
        <f aca="false">SUMIFS('Additions (monthly)'!$E$2:$E$106,'Additions (monthly)'!$D$2:$D$106,AB$2,'Additions (monthly)'!$B$2:$B$106,"&lt;="&amp;$B112)</f>
        <v>16.95</v>
      </c>
      <c r="AC112" s="46" t="n">
        <f aca="false">SUMIFS('Additions (monthly)'!$E$2:$E$106,'Additions (monthly)'!$D$2:$D$106,AC$2,'Additions (monthly)'!$B$2:$B$106,"&lt;="&amp;$B112)</f>
        <v>2</v>
      </c>
      <c r="AD112" s="46" t="n">
        <f aca="false">SUMIFS('Additions (monthly)'!$E$2:$E$106,'Additions (monthly)'!$D$2:$D$106,AD$2,'Additions (monthly)'!$B$2:$B$106,"&lt;="&amp;$B112)</f>
        <v>7.6</v>
      </c>
      <c r="AE112" s="46" t="n">
        <f aca="false">SUMIFS('Additions (monthly)'!$E$2:$E$106,'Additions (monthly)'!$D$2:$D$106,AE$2,'Additions (monthly)'!$B$2:$B$106,"&lt;="&amp;$B112)</f>
        <v>29.3</v>
      </c>
      <c r="AF112" s="46" t="n">
        <f aca="false">SUMIFS('Additions (monthly)'!$E$2:$E$106,'Additions (monthly)'!$D$2:$D$106,AF$2,'Additions (monthly)'!$B$2:$B$106,"&lt;="&amp;$B112)</f>
        <v>1.2</v>
      </c>
      <c r="AG112" s="46" t="n">
        <f aca="false">SUMIFS('Additions (monthly)'!$E$2:$E$106,'Additions (monthly)'!$D$2:$D$106,AG$2,'Additions (monthly)'!$B$2:$B$106,"&lt;="&amp;$B112)</f>
        <v>0</v>
      </c>
      <c r="AH112" s="46" t="n">
        <f aca="false">SUMIFS('Additions (monthly)'!$E$2:$E$106,'Additions (monthly)'!$D$2:$D$106,AH$2,'Additions (monthly)'!$B$2:$B$106,"&lt;="&amp;$B112)</f>
        <v>0</v>
      </c>
      <c r="AI112" s="46" t="n">
        <f aca="false">SUMIFS('Additions (monthly)'!$E$2:$E$106,'Additions (monthly)'!$D$2:$D$106,AI$2,'Additions (monthly)'!$B$2:$B$106,"&lt;="&amp;$B112)</f>
        <v>0</v>
      </c>
      <c r="AJ112" s="46" t="n">
        <f aca="false">SUMIFS('Additions (monthly)'!$E$2:$E$106,'Additions (monthly)'!$D$2:$D$106,AJ$2,'Additions (monthly)'!$B$2:$B$106,"&lt;="&amp;$B112)</f>
        <v>0</v>
      </c>
      <c r="AK112" s="46" t="n">
        <f aca="false">SUMIFS('Additions (monthly)'!$E$2:$E$106,'Additions (monthly)'!$D$2:$D$106,AK$2,'Additions (monthly)'!$B$2:$B$106,"&lt;="&amp;$B112)</f>
        <v>0</v>
      </c>
      <c r="AL112" s="46" t="n">
        <f aca="false">SUMIFS('Additions (monthly)'!$E$2:$E$106,'Additions (monthly)'!$D$2:$D$106,AL$2,'Additions (monthly)'!$B$2:$B$106,"&lt;="&amp;$B112)</f>
        <v>22.2</v>
      </c>
      <c r="AM112" s="46" t="n">
        <f aca="false">SUMIFS('Additions (monthly)'!$E$2:$E$106,'Additions (monthly)'!$D$2:$D$106,AM$2,'Additions (monthly)'!$B$2:$B$106,"&lt;="&amp;$B112)</f>
        <v>0.3</v>
      </c>
      <c r="AN112" s="46" t="n">
        <f aca="false">SUMIFS('Additions (monthly)'!$E$2:$E$106,'Additions (monthly)'!$D$2:$D$106,AN$2,'Additions (monthly)'!$B$2:$B$106,"&lt;="&amp;$B112)</f>
        <v>4.3</v>
      </c>
      <c r="AO112" s="46" t="n">
        <f aca="false">SUMIFS('Additions (monthly)'!$E$2:$E$106,'Additions (monthly)'!$D$2:$D$106,AO$2,'Additions (monthly)'!$B$2:$B$106,"&lt;="&amp;$B112)</f>
        <v>10.4</v>
      </c>
      <c r="AP112" s="46" t="n">
        <f aca="false">SUMIFS('Additions (monthly)'!$E$2:$E$106,'Additions (monthly)'!$D$2:$D$106,AP$2,'Additions (monthly)'!$B$2:$B$106,"&lt;="&amp;$B112)</f>
        <v>6.9</v>
      </c>
      <c r="AQ112" s="46" t="n">
        <f aca="false">SUMIFS('Additions (monthly)'!$E$2:$E$106,'Additions (monthly)'!$D$2:$D$106,AQ$2,'Additions (monthly)'!$B$2:$B$106,"&lt;="&amp;$B112)</f>
        <v>4.45</v>
      </c>
      <c r="AR112" s="46" t="n">
        <f aca="false">SUMIFS('Additions (monthly)'!$E$2:$E$106,'Additions (monthly)'!$D$2:$D$106,AR$2,'Additions (monthly)'!$B$2:$B$106,"&lt;="&amp;$B112)</f>
        <v>77.1</v>
      </c>
      <c r="AS112" s="46" t="n">
        <f aca="false">SUMIFS('Additions (monthly)'!$E$2:$E$106,'Additions (monthly)'!$D$2:$D$106,AS$2,'Additions (monthly)'!$B$2:$B$106,"&lt;="&amp;$B112)</f>
        <v>0</v>
      </c>
      <c r="AT112" s="46" t="n">
        <f aca="false">SUMIFS('Additions (monthly)'!$E$2:$E$106,'Additions (monthly)'!$D$2:$D$106,AT$2,'Additions (monthly)'!$B$2:$B$106,"&lt;="&amp;$B112)</f>
        <v>0</v>
      </c>
      <c r="AU112" s="46" t="n">
        <f aca="false">SUMIFS('Additions (monthly)'!$E$2:$E$106,'Additions (monthly)'!$D$2:$D$106,AU$2,'Additions (monthly)'!$B$2:$B$106,"&lt;="&amp;$B112)</f>
        <v>9.6</v>
      </c>
      <c r="AV112" s="46" t="n">
        <f aca="false">SUMIFS('Additions (monthly)'!$E$2:$E$106,'Additions (monthly)'!$D$2:$D$106,AV$2,'Additions (monthly)'!$B$2:$B$106,"&lt;="&amp;$B112)</f>
        <v>0</v>
      </c>
      <c r="AW112" s="46" t="n">
        <f aca="false">SUMIFS('Additions (monthly)'!$E$2:$E$106,'Additions (monthly)'!$D$2:$D$106,AW$2,'Additions (monthly)'!$B$2:$B$106,"&lt;="&amp;$B112)</f>
        <v>16.5</v>
      </c>
      <c r="AX112" s="46" t="n">
        <f aca="false">SUMIFS('Additions (monthly)'!$E$2:$E$106,'Additions (monthly)'!$D$2:$D$106,AX$2,'Additions (monthly)'!$B$2:$B$106,"&lt;="&amp;$B112)</f>
        <v>11.8</v>
      </c>
      <c r="AY112" s="46" t="n">
        <f aca="false">SUMIFS('Additions (monthly)'!$E$2:$E$106,'Additions (monthly)'!$D$2:$D$106,AY$2,'Additions (monthly)'!$B$2:$B$106,"&lt;="&amp;$B112)</f>
        <v>5.3</v>
      </c>
      <c r="AZ112" s="46" t="n">
        <f aca="false">SUMIFS('Additions (monthly)'!$E$2:$E$106,'Additions (monthly)'!$D$2:$D$106,AZ$2,'Additions (monthly)'!$B$2:$B$106,"&lt;="&amp;$B112)</f>
        <v>0</v>
      </c>
      <c r="BA112" s="46" t="n">
        <f aca="false">SUMIFS('Additions (monthly)'!$E$2:$E$106,'Additions (monthly)'!$D$2:$D$106,BA$2,'Additions (monthly)'!$B$2:$B$106,"&lt;="&amp;$B112)</f>
        <v>0</v>
      </c>
      <c r="BB112" s="46" t="n">
        <f aca="false">SUMIFS('Additions (monthly)'!$E$2:$E$106,'Additions (monthly)'!$D$2:$D$106,BB$2,'Additions (monthly)'!$B$2:$B$106,"&lt;="&amp;$B112)</f>
        <v>10</v>
      </c>
      <c r="BC112" s="46" t="n">
        <f aca="false">SUMIFS('Additions (monthly)'!$E$2:$E$106,'Additions (monthly)'!$D$2:$D$106,BC$2,'Additions (monthly)'!$B$2:$B$106,"&lt;="&amp;$B112)</f>
        <v>5.25</v>
      </c>
      <c r="BD112" s="46" t="n">
        <f aca="false">SUMIFS('Additions (monthly)'!$E$2:$E$106,'Additions (monthly)'!$D$2:$D$106,BD$2,'Additions (monthly)'!$B$2:$B$106,"&lt;="&amp;$B112)</f>
        <v>0</v>
      </c>
      <c r="BE112" s="46" t="n">
        <f aca="false">SUMIFS('Additions (monthly)'!$E$2:$E$106,'Additions (monthly)'!$D$2:$D$106,BE$2,'Additions (monthly)'!$B$2:$B$106,"&lt;="&amp;$B112)</f>
        <v>0</v>
      </c>
      <c r="BF112" s="46" t="n">
        <f aca="false">SUMIFS('Additions (monthly)'!$E$2:$E$106,'Additions (monthly)'!$D$2:$D$106,BF$2,'Additions (monthly)'!$B$2:$B$106,"&lt;="&amp;$B112)</f>
        <v>0</v>
      </c>
      <c r="BG112" s="46" t="n">
        <f aca="false">SUMIFS('Additions (monthly)'!$E$2:$E$106,'Additions (monthly)'!$D$2:$D$106,BG$2,'Additions (monthly)'!$B$2:$B$106,"&lt;="&amp;$B112)</f>
        <v>0</v>
      </c>
      <c r="BH112" s="46" t="n">
        <f aca="false">SUMIFS('Additions (monthly)'!$E$2:$E$106,'Additions (monthly)'!$D$2:$D$106,BH$2,'Additions (monthly)'!$B$2:$B$106,"&lt;="&amp;$B112)</f>
        <v>25</v>
      </c>
      <c r="BI112" s="46" t="n">
        <f aca="false">SUMIFS('Additions (monthly)'!$E$2:$E$106,'Additions (monthly)'!$D$2:$D$106,BI$2,'Additions (monthly)'!$B$2:$B$106,"&lt;="&amp;$B112)</f>
        <v>6.7</v>
      </c>
    </row>
    <row r="113" customFormat="false" ht="15" hidden="false" customHeight="false" outlineLevel="0" collapsed="false">
      <c r="A113" s="44" t="n">
        <v>43525</v>
      </c>
      <c r="B113" s="45" t="n">
        <v>201903</v>
      </c>
      <c r="C113" s="42" t="n">
        <f aca="false">SUMIFS('Additions (monthly)'!$E$2:$E$106,'Additions (monthly)'!$B$2:$B$106,"&lt;="&amp;$B113)</f>
        <v>414.42</v>
      </c>
      <c r="D113" s="46" t="n">
        <f aca="false">SUMIFS('Additions (monthly)'!$E$2:$E$106,'Additions (monthly)'!$D$2:$D$106,D$2,'Additions (monthly)'!$B$2:$B$106,"&lt;="&amp;$B113)</f>
        <v>7.9</v>
      </c>
      <c r="E113" s="46" t="n">
        <f aca="false">SUMIFS('Additions (monthly)'!$E$2:$E$106,'Additions (monthly)'!$D$2:$D$106,E$2,'Additions (monthly)'!$B$2:$B$106,"&lt;="&amp;$B113)</f>
        <v>8.4</v>
      </c>
      <c r="F113" s="46" t="n">
        <f aca="false">SUMIFS('Additions (monthly)'!$E$2:$E$106,'Additions (monthly)'!$D$2:$D$106,F$2,'Additions (monthly)'!$B$2:$B$106,"&lt;="&amp;$B113)</f>
        <v>4.7</v>
      </c>
      <c r="G113" s="46" t="n">
        <f aca="false">SUMIFS('Additions (monthly)'!$E$2:$E$106,'Additions (monthly)'!$D$2:$D$106,G$2,'Additions (monthly)'!$B$2:$B$106,"&lt;="&amp;$B113)</f>
        <v>4.5</v>
      </c>
      <c r="H113" s="46" t="n">
        <f aca="false">SUMIFS('Additions (monthly)'!$E$2:$E$106,'Additions (monthly)'!$D$2:$D$106,H$2,'Additions (monthly)'!$B$2:$B$106,"&lt;="&amp;$B113)</f>
        <v>5.2</v>
      </c>
      <c r="I113" s="46" t="n">
        <f aca="false">SUMIFS('Additions (monthly)'!$E$2:$E$106,'Additions (monthly)'!$D$2:$D$106,I$2,'Additions (monthly)'!$B$2:$B$106,"&lt;="&amp;$B113)</f>
        <v>9</v>
      </c>
      <c r="J113" s="46" t="n">
        <f aca="false">SUMIFS('Additions (monthly)'!$E$2:$E$106,'Additions (monthly)'!$D$2:$D$106,J$2,'Additions (monthly)'!$B$2:$B$106,"&lt;="&amp;$B113)</f>
        <v>3.7</v>
      </c>
      <c r="K113" s="46" t="n">
        <f aca="false">SUMIFS('Additions (monthly)'!$E$2:$E$106,'Additions (monthly)'!$D$2:$D$106,K$2,'Additions (monthly)'!$B$2:$B$106,"&lt;="&amp;$B113)</f>
        <v>7.8</v>
      </c>
      <c r="L113" s="46" t="n">
        <f aca="false">SUMIFS('Additions (monthly)'!$E$2:$E$106,'Additions (monthly)'!$D$2:$D$106,L$2,'Additions (monthly)'!$B$2:$B$106,"&lt;="&amp;$B113)</f>
        <v>15.6</v>
      </c>
      <c r="M113" s="46" t="n">
        <f aca="false">SUMIFS('Additions (monthly)'!$E$2:$E$106,'Additions (monthly)'!$D$2:$D$106,M$2,'Additions (monthly)'!$B$2:$B$106,"&lt;="&amp;$B113)</f>
        <v>8.9</v>
      </c>
      <c r="N113" s="46" t="n">
        <f aca="false">SUMIFS('Additions (monthly)'!$E$2:$E$106,'Additions (monthly)'!$D$2:$D$106,N$2,'Additions (monthly)'!$B$2:$B$106,"&lt;="&amp;$B113)</f>
        <v>14.2</v>
      </c>
      <c r="O113" s="46" t="n">
        <f aca="false">SUMIFS('Additions (monthly)'!$E$2:$E$106,'Additions (monthly)'!$D$2:$D$106,O$2,'Additions (monthly)'!$B$2:$B$106,"&lt;="&amp;$B113)</f>
        <v>4.9</v>
      </c>
      <c r="P113" s="46" t="n">
        <f aca="false">SUMIFS('Additions (monthly)'!$E$2:$E$106,'Additions (monthly)'!$D$2:$D$106,P$2,'Additions (monthly)'!$B$2:$B$106,"&lt;="&amp;$B113)</f>
        <v>0</v>
      </c>
      <c r="Q113" s="46" t="n">
        <f aca="false">SUMIFS('Additions (monthly)'!$E$2:$E$106,'Additions (monthly)'!$D$2:$D$106,Q$2,'Additions (monthly)'!$B$2:$B$106,"&lt;="&amp;$B113)</f>
        <v>8.5</v>
      </c>
      <c r="R113" s="46" t="n">
        <f aca="false">SUMIFS('Additions (monthly)'!$E$2:$E$106,'Additions (monthly)'!$D$2:$D$106,R$2,'Additions (monthly)'!$B$2:$B$106,"&lt;="&amp;$B113)</f>
        <v>8.9</v>
      </c>
      <c r="S113" s="46" t="n">
        <f aca="false">SUMIFS('Additions (monthly)'!$E$2:$E$106,'Additions (monthly)'!$D$2:$D$106,S$2,'Additions (monthly)'!$B$2:$B$106,"&lt;="&amp;$B113)</f>
        <v>7.2</v>
      </c>
      <c r="T113" s="46" t="n">
        <f aca="false">SUMIFS('Additions (monthly)'!$E$2:$E$106,'Additions (monthly)'!$D$2:$D$106,T$2,'Additions (monthly)'!$B$2:$B$106,"&lt;="&amp;$B113)</f>
        <v>2.4</v>
      </c>
      <c r="U113" s="46" t="n">
        <f aca="false">SUMIFS('Additions (monthly)'!$E$2:$E$106,'Additions (monthly)'!$D$2:$D$106,U$2,'Additions (monthly)'!$B$2:$B$106,"&lt;="&amp;$B113)</f>
        <v>0</v>
      </c>
      <c r="V113" s="46" t="n">
        <f aca="false">SUMIFS('Additions (monthly)'!$E$2:$E$106,'Additions (monthly)'!$D$2:$D$106,V$2,'Additions (monthly)'!$B$2:$B$106,"&lt;="&amp;$B113)</f>
        <v>3.87</v>
      </c>
      <c r="W113" s="46" t="n">
        <f aca="false">SUMIFS('Additions (monthly)'!$E$2:$E$106,'Additions (monthly)'!$D$2:$D$106,W$2,'Additions (monthly)'!$B$2:$B$106,"&lt;="&amp;$B113)</f>
        <v>0</v>
      </c>
      <c r="X113" s="46" t="n">
        <f aca="false">SUMIFS('Additions (monthly)'!$E$2:$E$106,'Additions (monthly)'!$D$2:$D$106,X$2,'Additions (monthly)'!$B$2:$B$106,"&lt;="&amp;$B113)</f>
        <v>0</v>
      </c>
      <c r="Y113" s="46" t="n">
        <f aca="false">SUMIFS('Additions (monthly)'!$E$2:$E$106,'Additions (monthly)'!$D$2:$D$106,Y$2,'Additions (monthly)'!$B$2:$B$106,"&lt;="&amp;$B113)</f>
        <v>5</v>
      </c>
      <c r="Z113" s="46" t="n">
        <f aca="false">SUMIFS('Additions (monthly)'!$E$2:$E$106,'Additions (monthly)'!$D$2:$D$106,Z$2,'Additions (monthly)'!$B$2:$B$106,"&lt;="&amp;$B113)</f>
        <v>7.2</v>
      </c>
      <c r="AA113" s="46" t="n">
        <f aca="false">SUMIFS('Additions (monthly)'!$E$2:$E$106,'Additions (monthly)'!$D$2:$D$106,AA$2,'Additions (monthly)'!$B$2:$B$106,"&lt;="&amp;$B113)</f>
        <v>3.7</v>
      </c>
      <c r="AB113" s="46" t="n">
        <f aca="false">SUMIFS('Additions (monthly)'!$E$2:$E$106,'Additions (monthly)'!$D$2:$D$106,AB$2,'Additions (monthly)'!$B$2:$B$106,"&lt;="&amp;$B113)</f>
        <v>16.95</v>
      </c>
      <c r="AC113" s="46" t="n">
        <f aca="false">SUMIFS('Additions (monthly)'!$E$2:$E$106,'Additions (monthly)'!$D$2:$D$106,AC$2,'Additions (monthly)'!$B$2:$B$106,"&lt;="&amp;$B113)</f>
        <v>2</v>
      </c>
      <c r="AD113" s="46" t="n">
        <f aca="false">SUMIFS('Additions (monthly)'!$E$2:$E$106,'Additions (monthly)'!$D$2:$D$106,AD$2,'Additions (monthly)'!$B$2:$B$106,"&lt;="&amp;$B113)</f>
        <v>7.6</v>
      </c>
      <c r="AE113" s="46" t="n">
        <f aca="false">SUMIFS('Additions (monthly)'!$E$2:$E$106,'Additions (monthly)'!$D$2:$D$106,AE$2,'Additions (monthly)'!$B$2:$B$106,"&lt;="&amp;$B113)</f>
        <v>29.3</v>
      </c>
      <c r="AF113" s="46" t="n">
        <f aca="false">SUMIFS('Additions (monthly)'!$E$2:$E$106,'Additions (monthly)'!$D$2:$D$106,AF$2,'Additions (monthly)'!$B$2:$B$106,"&lt;="&amp;$B113)</f>
        <v>1.2</v>
      </c>
      <c r="AG113" s="46" t="n">
        <f aca="false">SUMIFS('Additions (monthly)'!$E$2:$E$106,'Additions (monthly)'!$D$2:$D$106,AG$2,'Additions (monthly)'!$B$2:$B$106,"&lt;="&amp;$B113)</f>
        <v>0</v>
      </c>
      <c r="AH113" s="46" t="n">
        <f aca="false">SUMIFS('Additions (monthly)'!$E$2:$E$106,'Additions (monthly)'!$D$2:$D$106,AH$2,'Additions (monthly)'!$B$2:$B$106,"&lt;="&amp;$B113)</f>
        <v>0</v>
      </c>
      <c r="AI113" s="46" t="n">
        <f aca="false">SUMIFS('Additions (monthly)'!$E$2:$E$106,'Additions (monthly)'!$D$2:$D$106,AI$2,'Additions (monthly)'!$B$2:$B$106,"&lt;="&amp;$B113)</f>
        <v>0</v>
      </c>
      <c r="AJ113" s="46" t="n">
        <f aca="false">SUMIFS('Additions (monthly)'!$E$2:$E$106,'Additions (monthly)'!$D$2:$D$106,AJ$2,'Additions (monthly)'!$B$2:$B$106,"&lt;="&amp;$B113)</f>
        <v>0</v>
      </c>
      <c r="AK113" s="46" t="n">
        <f aca="false">SUMIFS('Additions (monthly)'!$E$2:$E$106,'Additions (monthly)'!$D$2:$D$106,AK$2,'Additions (monthly)'!$B$2:$B$106,"&lt;="&amp;$B113)</f>
        <v>0</v>
      </c>
      <c r="AL113" s="46" t="n">
        <f aca="false">SUMIFS('Additions (monthly)'!$E$2:$E$106,'Additions (monthly)'!$D$2:$D$106,AL$2,'Additions (monthly)'!$B$2:$B$106,"&lt;="&amp;$B113)</f>
        <v>22.2</v>
      </c>
      <c r="AM113" s="46" t="n">
        <f aca="false">SUMIFS('Additions (monthly)'!$E$2:$E$106,'Additions (monthly)'!$D$2:$D$106,AM$2,'Additions (monthly)'!$B$2:$B$106,"&lt;="&amp;$B113)</f>
        <v>0.3</v>
      </c>
      <c r="AN113" s="46" t="n">
        <f aca="false">SUMIFS('Additions (monthly)'!$E$2:$E$106,'Additions (monthly)'!$D$2:$D$106,AN$2,'Additions (monthly)'!$B$2:$B$106,"&lt;="&amp;$B113)</f>
        <v>4.3</v>
      </c>
      <c r="AO113" s="46" t="n">
        <f aca="false">SUMIFS('Additions (monthly)'!$E$2:$E$106,'Additions (monthly)'!$D$2:$D$106,AO$2,'Additions (monthly)'!$B$2:$B$106,"&lt;="&amp;$B113)</f>
        <v>10.4</v>
      </c>
      <c r="AP113" s="46" t="n">
        <f aca="false">SUMIFS('Additions (monthly)'!$E$2:$E$106,'Additions (monthly)'!$D$2:$D$106,AP$2,'Additions (monthly)'!$B$2:$B$106,"&lt;="&amp;$B113)</f>
        <v>6.9</v>
      </c>
      <c r="AQ113" s="46" t="n">
        <f aca="false">SUMIFS('Additions (monthly)'!$E$2:$E$106,'Additions (monthly)'!$D$2:$D$106,AQ$2,'Additions (monthly)'!$B$2:$B$106,"&lt;="&amp;$B113)</f>
        <v>4.45</v>
      </c>
      <c r="AR113" s="46" t="n">
        <f aca="false">SUMIFS('Additions (monthly)'!$E$2:$E$106,'Additions (monthly)'!$D$2:$D$106,AR$2,'Additions (monthly)'!$B$2:$B$106,"&lt;="&amp;$B113)</f>
        <v>77.1</v>
      </c>
      <c r="AS113" s="46" t="n">
        <f aca="false">SUMIFS('Additions (monthly)'!$E$2:$E$106,'Additions (monthly)'!$D$2:$D$106,AS$2,'Additions (monthly)'!$B$2:$B$106,"&lt;="&amp;$B113)</f>
        <v>0</v>
      </c>
      <c r="AT113" s="46" t="n">
        <f aca="false">SUMIFS('Additions (monthly)'!$E$2:$E$106,'Additions (monthly)'!$D$2:$D$106,AT$2,'Additions (monthly)'!$B$2:$B$106,"&lt;="&amp;$B113)</f>
        <v>0</v>
      </c>
      <c r="AU113" s="46" t="n">
        <f aca="false">SUMIFS('Additions (monthly)'!$E$2:$E$106,'Additions (monthly)'!$D$2:$D$106,AU$2,'Additions (monthly)'!$B$2:$B$106,"&lt;="&amp;$B113)</f>
        <v>9.6</v>
      </c>
      <c r="AV113" s="46" t="n">
        <f aca="false">SUMIFS('Additions (monthly)'!$E$2:$E$106,'Additions (monthly)'!$D$2:$D$106,AV$2,'Additions (monthly)'!$B$2:$B$106,"&lt;="&amp;$B113)</f>
        <v>0</v>
      </c>
      <c r="AW113" s="46" t="n">
        <f aca="false">SUMIFS('Additions (monthly)'!$E$2:$E$106,'Additions (monthly)'!$D$2:$D$106,AW$2,'Additions (monthly)'!$B$2:$B$106,"&lt;="&amp;$B113)</f>
        <v>16.5</v>
      </c>
      <c r="AX113" s="46" t="n">
        <f aca="false">SUMIFS('Additions (monthly)'!$E$2:$E$106,'Additions (monthly)'!$D$2:$D$106,AX$2,'Additions (monthly)'!$B$2:$B$106,"&lt;="&amp;$B113)</f>
        <v>11.8</v>
      </c>
      <c r="AY113" s="46" t="n">
        <f aca="false">SUMIFS('Additions (monthly)'!$E$2:$E$106,'Additions (monthly)'!$D$2:$D$106,AY$2,'Additions (monthly)'!$B$2:$B$106,"&lt;="&amp;$B113)</f>
        <v>5.3</v>
      </c>
      <c r="AZ113" s="46" t="n">
        <f aca="false">SUMIFS('Additions (monthly)'!$E$2:$E$106,'Additions (monthly)'!$D$2:$D$106,AZ$2,'Additions (monthly)'!$B$2:$B$106,"&lt;="&amp;$B113)</f>
        <v>0</v>
      </c>
      <c r="BA113" s="46" t="n">
        <f aca="false">SUMIFS('Additions (monthly)'!$E$2:$E$106,'Additions (monthly)'!$D$2:$D$106,BA$2,'Additions (monthly)'!$B$2:$B$106,"&lt;="&amp;$B113)</f>
        <v>0</v>
      </c>
      <c r="BB113" s="46" t="n">
        <f aca="false">SUMIFS('Additions (monthly)'!$E$2:$E$106,'Additions (monthly)'!$D$2:$D$106,BB$2,'Additions (monthly)'!$B$2:$B$106,"&lt;="&amp;$B113)</f>
        <v>10</v>
      </c>
      <c r="BC113" s="46" t="n">
        <f aca="false">SUMIFS('Additions (monthly)'!$E$2:$E$106,'Additions (monthly)'!$D$2:$D$106,BC$2,'Additions (monthly)'!$B$2:$B$106,"&lt;="&amp;$B113)</f>
        <v>5.25</v>
      </c>
      <c r="BD113" s="46" t="n">
        <f aca="false">SUMIFS('Additions (monthly)'!$E$2:$E$106,'Additions (monthly)'!$D$2:$D$106,BD$2,'Additions (monthly)'!$B$2:$B$106,"&lt;="&amp;$B113)</f>
        <v>0</v>
      </c>
      <c r="BE113" s="46" t="n">
        <f aca="false">SUMIFS('Additions (monthly)'!$E$2:$E$106,'Additions (monthly)'!$D$2:$D$106,BE$2,'Additions (monthly)'!$B$2:$B$106,"&lt;="&amp;$B113)</f>
        <v>0</v>
      </c>
      <c r="BF113" s="46" t="n">
        <f aca="false">SUMIFS('Additions (monthly)'!$E$2:$E$106,'Additions (monthly)'!$D$2:$D$106,BF$2,'Additions (monthly)'!$B$2:$B$106,"&lt;="&amp;$B113)</f>
        <v>0</v>
      </c>
      <c r="BG113" s="46" t="n">
        <f aca="false">SUMIFS('Additions (monthly)'!$E$2:$E$106,'Additions (monthly)'!$D$2:$D$106,BG$2,'Additions (monthly)'!$B$2:$B$106,"&lt;="&amp;$B113)</f>
        <v>0</v>
      </c>
      <c r="BH113" s="46" t="n">
        <f aca="false">SUMIFS('Additions (monthly)'!$E$2:$E$106,'Additions (monthly)'!$D$2:$D$106,BH$2,'Additions (monthly)'!$B$2:$B$106,"&lt;="&amp;$B113)</f>
        <v>25</v>
      </c>
      <c r="BI113" s="46" t="n">
        <f aca="false">SUMIFS('Additions (monthly)'!$E$2:$E$106,'Additions (monthly)'!$D$2:$D$106,BI$2,'Additions (monthly)'!$B$2:$B$106,"&lt;="&amp;$B113)</f>
        <v>6.7</v>
      </c>
    </row>
    <row r="114" customFormat="false" ht="15" hidden="false" customHeight="false" outlineLevel="0" collapsed="false">
      <c r="A114" s="44" t="n">
        <v>43556</v>
      </c>
      <c r="B114" s="45" t="n">
        <v>201904</v>
      </c>
      <c r="C114" s="42" t="n">
        <f aca="false">SUMIFS('Additions (monthly)'!$E$2:$E$106,'Additions (monthly)'!$B$2:$B$106,"&lt;="&amp;$B114)</f>
        <v>415.08</v>
      </c>
      <c r="D114" s="46" t="n">
        <f aca="false">SUMIFS('Additions (monthly)'!$E$2:$E$106,'Additions (monthly)'!$D$2:$D$106,D$2,'Additions (monthly)'!$B$2:$B$106,"&lt;="&amp;$B114)</f>
        <v>7.9</v>
      </c>
      <c r="E114" s="46" t="n">
        <f aca="false">SUMIFS('Additions (monthly)'!$E$2:$E$106,'Additions (monthly)'!$D$2:$D$106,E$2,'Additions (monthly)'!$B$2:$B$106,"&lt;="&amp;$B114)</f>
        <v>8.4</v>
      </c>
      <c r="F114" s="46" t="n">
        <f aca="false">SUMIFS('Additions (monthly)'!$E$2:$E$106,'Additions (monthly)'!$D$2:$D$106,F$2,'Additions (monthly)'!$B$2:$B$106,"&lt;="&amp;$B114)</f>
        <v>4.7</v>
      </c>
      <c r="G114" s="46" t="n">
        <f aca="false">SUMIFS('Additions (monthly)'!$E$2:$E$106,'Additions (monthly)'!$D$2:$D$106,G$2,'Additions (monthly)'!$B$2:$B$106,"&lt;="&amp;$B114)</f>
        <v>4.5</v>
      </c>
      <c r="H114" s="46" t="n">
        <f aca="false">SUMIFS('Additions (monthly)'!$E$2:$E$106,'Additions (monthly)'!$D$2:$D$106,H$2,'Additions (monthly)'!$B$2:$B$106,"&lt;="&amp;$B114)</f>
        <v>5.2</v>
      </c>
      <c r="I114" s="46" t="n">
        <f aca="false">SUMIFS('Additions (monthly)'!$E$2:$E$106,'Additions (monthly)'!$D$2:$D$106,I$2,'Additions (monthly)'!$B$2:$B$106,"&lt;="&amp;$B114)</f>
        <v>9</v>
      </c>
      <c r="J114" s="46" t="n">
        <f aca="false">SUMIFS('Additions (monthly)'!$E$2:$E$106,'Additions (monthly)'!$D$2:$D$106,J$2,'Additions (monthly)'!$B$2:$B$106,"&lt;="&amp;$B114)</f>
        <v>3.7</v>
      </c>
      <c r="K114" s="46" t="n">
        <f aca="false">SUMIFS('Additions (monthly)'!$E$2:$E$106,'Additions (monthly)'!$D$2:$D$106,K$2,'Additions (monthly)'!$B$2:$B$106,"&lt;="&amp;$B114)</f>
        <v>7.8</v>
      </c>
      <c r="L114" s="46" t="n">
        <f aca="false">SUMIFS('Additions (monthly)'!$E$2:$E$106,'Additions (monthly)'!$D$2:$D$106,L$2,'Additions (monthly)'!$B$2:$B$106,"&lt;="&amp;$B114)</f>
        <v>15.6</v>
      </c>
      <c r="M114" s="46" t="n">
        <f aca="false">SUMIFS('Additions (monthly)'!$E$2:$E$106,'Additions (monthly)'!$D$2:$D$106,M$2,'Additions (monthly)'!$B$2:$B$106,"&lt;="&amp;$B114)</f>
        <v>8.9</v>
      </c>
      <c r="N114" s="46" t="n">
        <f aca="false">SUMIFS('Additions (monthly)'!$E$2:$E$106,'Additions (monthly)'!$D$2:$D$106,N$2,'Additions (monthly)'!$B$2:$B$106,"&lt;="&amp;$B114)</f>
        <v>14.2</v>
      </c>
      <c r="O114" s="46" t="n">
        <f aca="false">SUMIFS('Additions (monthly)'!$E$2:$E$106,'Additions (monthly)'!$D$2:$D$106,O$2,'Additions (monthly)'!$B$2:$B$106,"&lt;="&amp;$B114)</f>
        <v>4.9</v>
      </c>
      <c r="P114" s="46" t="n">
        <f aca="false">SUMIFS('Additions (monthly)'!$E$2:$E$106,'Additions (monthly)'!$D$2:$D$106,P$2,'Additions (monthly)'!$B$2:$B$106,"&lt;="&amp;$B114)</f>
        <v>0</v>
      </c>
      <c r="Q114" s="46" t="n">
        <f aca="false">SUMIFS('Additions (monthly)'!$E$2:$E$106,'Additions (monthly)'!$D$2:$D$106,Q$2,'Additions (monthly)'!$B$2:$B$106,"&lt;="&amp;$B114)</f>
        <v>8.5</v>
      </c>
      <c r="R114" s="46" t="n">
        <f aca="false">SUMIFS('Additions (monthly)'!$E$2:$E$106,'Additions (monthly)'!$D$2:$D$106,R$2,'Additions (monthly)'!$B$2:$B$106,"&lt;="&amp;$B114)</f>
        <v>8.9</v>
      </c>
      <c r="S114" s="46" t="n">
        <f aca="false">SUMIFS('Additions (monthly)'!$E$2:$E$106,'Additions (monthly)'!$D$2:$D$106,S$2,'Additions (monthly)'!$B$2:$B$106,"&lt;="&amp;$B114)</f>
        <v>7.2</v>
      </c>
      <c r="T114" s="46" t="n">
        <f aca="false">SUMIFS('Additions (monthly)'!$E$2:$E$106,'Additions (monthly)'!$D$2:$D$106,T$2,'Additions (monthly)'!$B$2:$B$106,"&lt;="&amp;$B114)</f>
        <v>2.4</v>
      </c>
      <c r="U114" s="46" t="n">
        <f aca="false">SUMIFS('Additions (monthly)'!$E$2:$E$106,'Additions (monthly)'!$D$2:$D$106,U$2,'Additions (monthly)'!$B$2:$B$106,"&lt;="&amp;$B114)</f>
        <v>0</v>
      </c>
      <c r="V114" s="46" t="n">
        <f aca="false">SUMIFS('Additions (monthly)'!$E$2:$E$106,'Additions (monthly)'!$D$2:$D$106,V$2,'Additions (monthly)'!$B$2:$B$106,"&lt;="&amp;$B114)</f>
        <v>3.87</v>
      </c>
      <c r="W114" s="46" t="n">
        <f aca="false">SUMIFS('Additions (monthly)'!$E$2:$E$106,'Additions (monthly)'!$D$2:$D$106,W$2,'Additions (monthly)'!$B$2:$B$106,"&lt;="&amp;$B114)</f>
        <v>0</v>
      </c>
      <c r="X114" s="46" t="n">
        <f aca="false">SUMIFS('Additions (monthly)'!$E$2:$E$106,'Additions (monthly)'!$D$2:$D$106,X$2,'Additions (monthly)'!$B$2:$B$106,"&lt;="&amp;$B114)</f>
        <v>0</v>
      </c>
      <c r="Y114" s="46" t="n">
        <f aca="false">SUMIFS('Additions (monthly)'!$E$2:$E$106,'Additions (monthly)'!$D$2:$D$106,Y$2,'Additions (monthly)'!$B$2:$B$106,"&lt;="&amp;$B114)</f>
        <v>5</v>
      </c>
      <c r="Z114" s="46" t="n">
        <f aca="false">SUMIFS('Additions (monthly)'!$E$2:$E$106,'Additions (monthly)'!$D$2:$D$106,Z$2,'Additions (monthly)'!$B$2:$B$106,"&lt;="&amp;$B114)</f>
        <v>7.2</v>
      </c>
      <c r="AA114" s="46" t="n">
        <f aca="false">SUMIFS('Additions (monthly)'!$E$2:$E$106,'Additions (monthly)'!$D$2:$D$106,AA$2,'Additions (monthly)'!$B$2:$B$106,"&lt;="&amp;$B114)</f>
        <v>3.7</v>
      </c>
      <c r="AB114" s="46" t="n">
        <f aca="false">SUMIFS('Additions (monthly)'!$E$2:$E$106,'Additions (monthly)'!$D$2:$D$106,AB$2,'Additions (monthly)'!$B$2:$B$106,"&lt;="&amp;$B114)</f>
        <v>16.95</v>
      </c>
      <c r="AC114" s="46" t="n">
        <f aca="false">SUMIFS('Additions (monthly)'!$E$2:$E$106,'Additions (monthly)'!$D$2:$D$106,AC$2,'Additions (monthly)'!$B$2:$B$106,"&lt;="&amp;$B114)</f>
        <v>2</v>
      </c>
      <c r="AD114" s="46" t="n">
        <f aca="false">SUMIFS('Additions (monthly)'!$E$2:$E$106,'Additions (monthly)'!$D$2:$D$106,AD$2,'Additions (monthly)'!$B$2:$B$106,"&lt;="&amp;$B114)</f>
        <v>7.6</v>
      </c>
      <c r="AE114" s="46" t="n">
        <f aca="false">SUMIFS('Additions (monthly)'!$E$2:$E$106,'Additions (monthly)'!$D$2:$D$106,AE$2,'Additions (monthly)'!$B$2:$B$106,"&lt;="&amp;$B114)</f>
        <v>29.3</v>
      </c>
      <c r="AF114" s="46" t="n">
        <f aca="false">SUMIFS('Additions (monthly)'!$E$2:$E$106,'Additions (monthly)'!$D$2:$D$106,AF$2,'Additions (monthly)'!$B$2:$B$106,"&lt;="&amp;$B114)</f>
        <v>1.2</v>
      </c>
      <c r="AG114" s="46" t="n">
        <f aca="false">SUMIFS('Additions (monthly)'!$E$2:$E$106,'Additions (monthly)'!$D$2:$D$106,AG$2,'Additions (monthly)'!$B$2:$B$106,"&lt;="&amp;$B114)</f>
        <v>0</v>
      </c>
      <c r="AH114" s="46" t="n">
        <f aca="false">SUMIFS('Additions (monthly)'!$E$2:$E$106,'Additions (monthly)'!$D$2:$D$106,AH$2,'Additions (monthly)'!$B$2:$B$106,"&lt;="&amp;$B114)</f>
        <v>0</v>
      </c>
      <c r="AI114" s="46" t="n">
        <f aca="false">SUMIFS('Additions (monthly)'!$E$2:$E$106,'Additions (monthly)'!$D$2:$D$106,AI$2,'Additions (monthly)'!$B$2:$B$106,"&lt;="&amp;$B114)</f>
        <v>0</v>
      </c>
      <c r="AJ114" s="46" t="n">
        <f aca="false">SUMIFS('Additions (monthly)'!$E$2:$E$106,'Additions (monthly)'!$D$2:$D$106,AJ$2,'Additions (monthly)'!$B$2:$B$106,"&lt;="&amp;$B114)</f>
        <v>0</v>
      </c>
      <c r="AK114" s="46" t="n">
        <f aca="false">SUMIFS('Additions (monthly)'!$E$2:$E$106,'Additions (monthly)'!$D$2:$D$106,AK$2,'Additions (monthly)'!$B$2:$B$106,"&lt;="&amp;$B114)</f>
        <v>0</v>
      </c>
      <c r="AL114" s="46" t="n">
        <f aca="false">SUMIFS('Additions (monthly)'!$E$2:$E$106,'Additions (monthly)'!$D$2:$D$106,AL$2,'Additions (monthly)'!$B$2:$B$106,"&lt;="&amp;$B114)</f>
        <v>22.2</v>
      </c>
      <c r="AM114" s="46" t="n">
        <f aca="false">SUMIFS('Additions (monthly)'!$E$2:$E$106,'Additions (monthly)'!$D$2:$D$106,AM$2,'Additions (monthly)'!$B$2:$B$106,"&lt;="&amp;$B114)</f>
        <v>0.3</v>
      </c>
      <c r="AN114" s="46" t="n">
        <f aca="false">SUMIFS('Additions (monthly)'!$E$2:$E$106,'Additions (monthly)'!$D$2:$D$106,AN$2,'Additions (monthly)'!$B$2:$B$106,"&lt;="&amp;$B114)</f>
        <v>4.3</v>
      </c>
      <c r="AO114" s="46" t="n">
        <f aca="false">SUMIFS('Additions (monthly)'!$E$2:$E$106,'Additions (monthly)'!$D$2:$D$106,AO$2,'Additions (monthly)'!$B$2:$B$106,"&lt;="&amp;$B114)</f>
        <v>10.4</v>
      </c>
      <c r="AP114" s="46" t="n">
        <f aca="false">SUMIFS('Additions (monthly)'!$E$2:$E$106,'Additions (monthly)'!$D$2:$D$106,AP$2,'Additions (monthly)'!$B$2:$B$106,"&lt;="&amp;$B114)</f>
        <v>6.9</v>
      </c>
      <c r="AQ114" s="46" t="n">
        <f aca="false">SUMIFS('Additions (monthly)'!$E$2:$E$106,'Additions (monthly)'!$D$2:$D$106,AQ$2,'Additions (monthly)'!$B$2:$B$106,"&lt;="&amp;$B114)</f>
        <v>4.45</v>
      </c>
      <c r="AR114" s="46" t="n">
        <f aca="false">SUMIFS('Additions (monthly)'!$E$2:$E$106,'Additions (monthly)'!$D$2:$D$106,AR$2,'Additions (monthly)'!$B$2:$B$106,"&lt;="&amp;$B114)</f>
        <v>77.1</v>
      </c>
      <c r="AS114" s="46" t="n">
        <f aca="false">SUMIFS('Additions (monthly)'!$E$2:$E$106,'Additions (monthly)'!$D$2:$D$106,AS$2,'Additions (monthly)'!$B$2:$B$106,"&lt;="&amp;$B114)</f>
        <v>0</v>
      </c>
      <c r="AT114" s="46" t="n">
        <f aca="false">SUMIFS('Additions (monthly)'!$E$2:$E$106,'Additions (monthly)'!$D$2:$D$106,AT$2,'Additions (monthly)'!$B$2:$B$106,"&lt;="&amp;$B114)</f>
        <v>0</v>
      </c>
      <c r="AU114" s="46" t="n">
        <f aca="false">SUMIFS('Additions (monthly)'!$E$2:$E$106,'Additions (monthly)'!$D$2:$D$106,AU$2,'Additions (monthly)'!$B$2:$B$106,"&lt;="&amp;$B114)</f>
        <v>9.6</v>
      </c>
      <c r="AV114" s="46" t="n">
        <f aca="false">SUMIFS('Additions (monthly)'!$E$2:$E$106,'Additions (monthly)'!$D$2:$D$106,AV$2,'Additions (monthly)'!$B$2:$B$106,"&lt;="&amp;$B114)</f>
        <v>0.66</v>
      </c>
      <c r="AW114" s="46" t="n">
        <f aca="false">SUMIFS('Additions (monthly)'!$E$2:$E$106,'Additions (monthly)'!$D$2:$D$106,AW$2,'Additions (monthly)'!$B$2:$B$106,"&lt;="&amp;$B114)</f>
        <v>16.5</v>
      </c>
      <c r="AX114" s="46" t="n">
        <f aca="false">SUMIFS('Additions (monthly)'!$E$2:$E$106,'Additions (monthly)'!$D$2:$D$106,AX$2,'Additions (monthly)'!$B$2:$B$106,"&lt;="&amp;$B114)</f>
        <v>11.8</v>
      </c>
      <c r="AY114" s="46" t="n">
        <f aca="false">SUMIFS('Additions (monthly)'!$E$2:$E$106,'Additions (monthly)'!$D$2:$D$106,AY$2,'Additions (monthly)'!$B$2:$B$106,"&lt;="&amp;$B114)</f>
        <v>5.3</v>
      </c>
      <c r="AZ114" s="46" t="n">
        <f aca="false">SUMIFS('Additions (monthly)'!$E$2:$E$106,'Additions (monthly)'!$D$2:$D$106,AZ$2,'Additions (monthly)'!$B$2:$B$106,"&lt;="&amp;$B114)</f>
        <v>0</v>
      </c>
      <c r="BA114" s="46" t="n">
        <f aca="false">SUMIFS('Additions (monthly)'!$E$2:$E$106,'Additions (monthly)'!$D$2:$D$106,BA$2,'Additions (monthly)'!$B$2:$B$106,"&lt;="&amp;$B114)</f>
        <v>0</v>
      </c>
      <c r="BB114" s="46" t="n">
        <f aca="false">SUMIFS('Additions (monthly)'!$E$2:$E$106,'Additions (monthly)'!$D$2:$D$106,BB$2,'Additions (monthly)'!$B$2:$B$106,"&lt;="&amp;$B114)</f>
        <v>10</v>
      </c>
      <c r="BC114" s="46" t="n">
        <f aca="false">SUMIFS('Additions (monthly)'!$E$2:$E$106,'Additions (monthly)'!$D$2:$D$106,BC$2,'Additions (monthly)'!$B$2:$B$106,"&lt;="&amp;$B114)</f>
        <v>5.25</v>
      </c>
      <c r="BD114" s="46" t="n">
        <f aca="false">SUMIFS('Additions (monthly)'!$E$2:$E$106,'Additions (monthly)'!$D$2:$D$106,BD$2,'Additions (monthly)'!$B$2:$B$106,"&lt;="&amp;$B114)</f>
        <v>0</v>
      </c>
      <c r="BE114" s="46" t="n">
        <f aca="false">SUMIFS('Additions (monthly)'!$E$2:$E$106,'Additions (monthly)'!$D$2:$D$106,BE$2,'Additions (monthly)'!$B$2:$B$106,"&lt;="&amp;$B114)</f>
        <v>0</v>
      </c>
      <c r="BF114" s="46" t="n">
        <f aca="false">SUMIFS('Additions (monthly)'!$E$2:$E$106,'Additions (monthly)'!$D$2:$D$106,BF$2,'Additions (monthly)'!$B$2:$B$106,"&lt;="&amp;$B114)</f>
        <v>0</v>
      </c>
      <c r="BG114" s="46" t="n">
        <f aca="false">SUMIFS('Additions (monthly)'!$E$2:$E$106,'Additions (monthly)'!$D$2:$D$106,BG$2,'Additions (monthly)'!$B$2:$B$106,"&lt;="&amp;$B114)</f>
        <v>0</v>
      </c>
      <c r="BH114" s="46" t="n">
        <f aca="false">SUMIFS('Additions (monthly)'!$E$2:$E$106,'Additions (monthly)'!$D$2:$D$106,BH$2,'Additions (monthly)'!$B$2:$B$106,"&lt;="&amp;$B114)</f>
        <v>25</v>
      </c>
      <c r="BI114" s="46" t="n">
        <f aca="false">SUMIFS('Additions (monthly)'!$E$2:$E$106,'Additions (monthly)'!$D$2:$D$106,BI$2,'Additions (monthly)'!$B$2:$B$106,"&lt;="&amp;$B114)</f>
        <v>6.7</v>
      </c>
    </row>
    <row r="115" customFormat="false" ht="15" hidden="false" customHeight="false" outlineLevel="0" collapsed="false">
      <c r="A115" s="44" t="n">
        <v>43586</v>
      </c>
      <c r="B115" s="45" t="n">
        <v>201905</v>
      </c>
      <c r="C115" s="42" t="n">
        <f aca="false">SUMIFS('Additions (monthly)'!$E$2:$E$106,'Additions (monthly)'!$B$2:$B$106,"&lt;="&amp;$B115)</f>
        <v>419.58</v>
      </c>
      <c r="D115" s="46" t="n">
        <f aca="false">SUMIFS('Additions (monthly)'!$E$2:$E$106,'Additions (monthly)'!$D$2:$D$106,D$2,'Additions (monthly)'!$B$2:$B$106,"&lt;="&amp;$B115)</f>
        <v>7.9</v>
      </c>
      <c r="E115" s="46" t="n">
        <f aca="false">SUMIFS('Additions (monthly)'!$E$2:$E$106,'Additions (monthly)'!$D$2:$D$106,E$2,'Additions (monthly)'!$B$2:$B$106,"&lt;="&amp;$B115)</f>
        <v>8.4</v>
      </c>
      <c r="F115" s="46" t="n">
        <f aca="false">SUMIFS('Additions (monthly)'!$E$2:$E$106,'Additions (monthly)'!$D$2:$D$106,F$2,'Additions (monthly)'!$B$2:$B$106,"&lt;="&amp;$B115)</f>
        <v>4.7</v>
      </c>
      <c r="G115" s="46" t="n">
        <f aca="false">SUMIFS('Additions (monthly)'!$E$2:$E$106,'Additions (monthly)'!$D$2:$D$106,G$2,'Additions (monthly)'!$B$2:$B$106,"&lt;="&amp;$B115)</f>
        <v>4.5</v>
      </c>
      <c r="H115" s="46" t="n">
        <f aca="false">SUMIFS('Additions (monthly)'!$E$2:$E$106,'Additions (monthly)'!$D$2:$D$106,H$2,'Additions (monthly)'!$B$2:$B$106,"&lt;="&amp;$B115)</f>
        <v>5.2</v>
      </c>
      <c r="I115" s="46" t="n">
        <f aca="false">SUMIFS('Additions (monthly)'!$E$2:$E$106,'Additions (monthly)'!$D$2:$D$106,I$2,'Additions (monthly)'!$B$2:$B$106,"&lt;="&amp;$B115)</f>
        <v>9</v>
      </c>
      <c r="J115" s="46" t="n">
        <f aca="false">SUMIFS('Additions (monthly)'!$E$2:$E$106,'Additions (monthly)'!$D$2:$D$106,J$2,'Additions (monthly)'!$B$2:$B$106,"&lt;="&amp;$B115)</f>
        <v>3.7</v>
      </c>
      <c r="K115" s="46" t="n">
        <f aca="false">SUMIFS('Additions (monthly)'!$E$2:$E$106,'Additions (monthly)'!$D$2:$D$106,K$2,'Additions (monthly)'!$B$2:$B$106,"&lt;="&amp;$B115)</f>
        <v>7.8</v>
      </c>
      <c r="L115" s="46" t="n">
        <f aca="false">SUMIFS('Additions (monthly)'!$E$2:$E$106,'Additions (monthly)'!$D$2:$D$106,L$2,'Additions (monthly)'!$B$2:$B$106,"&lt;="&amp;$B115)</f>
        <v>15.6</v>
      </c>
      <c r="M115" s="46" t="n">
        <f aca="false">SUMIFS('Additions (monthly)'!$E$2:$E$106,'Additions (monthly)'!$D$2:$D$106,M$2,'Additions (monthly)'!$B$2:$B$106,"&lt;="&amp;$B115)</f>
        <v>8.9</v>
      </c>
      <c r="N115" s="46" t="n">
        <f aca="false">SUMIFS('Additions (monthly)'!$E$2:$E$106,'Additions (monthly)'!$D$2:$D$106,N$2,'Additions (monthly)'!$B$2:$B$106,"&lt;="&amp;$B115)</f>
        <v>14.2</v>
      </c>
      <c r="O115" s="46" t="n">
        <f aca="false">SUMIFS('Additions (monthly)'!$E$2:$E$106,'Additions (monthly)'!$D$2:$D$106,O$2,'Additions (monthly)'!$B$2:$B$106,"&lt;="&amp;$B115)</f>
        <v>4.9</v>
      </c>
      <c r="P115" s="46" t="n">
        <f aca="false">SUMIFS('Additions (monthly)'!$E$2:$E$106,'Additions (monthly)'!$D$2:$D$106,P$2,'Additions (monthly)'!$B$2:$B$106,"&lt;="&amp;$B115)</f>
        <v>0</v>
      </c>
      <c r="Q115" s="46" t="n">
        <f aca="false">SUMIFS('Additions (monthly)'!$E$2:$E$106,'Additions (monthly)'!$D$2:$D$106,Q$2,'Additions (monthly)'!$B$2:$B$106,"&lt;="&amp;$B115)</f>
        <v>8.5</v>
      </c>
      <c r="R115" s="46" t="n">
        <f aca="false">SUMIFS('Additions (monthly)'!$E$2:$E$106,'Additions (monthly)'!$D$2:$D$106,R$2,'Additions (monthly)'!$B$2:$B$106,"&lt;="&amp;$B115)</f>
        <v>8.9</v>
      </c>
      <c r="S115" s="46" t="n">
        <f aca="false">SUMIFS('Additions (monthly)'!$E$2:$E$106,'Additions (monthly)'!$D$2:$D$106,S$2,'Additions (monthly)'!$B$2:$B$106,"&lt;="&amp;$B115)</f>
        <v>7.2</v>
      </c>
      <c r="T115" s="46" t="n">
        <f aca="false">SUMIFS('Additions (monthly)'!$E$2:$E$106,'Additions (monthly)'!$D$2:$D$106,T$2,'Additions (monthly)'!$B$2:$B$106,"&lt;="&amp;$B115)</f>
        <v>2.4</v>
      </c>
      <c r="U115" s="46" t="n">
        <f aca="false">SUMIFS('Additions (monthly)'!$E$2:$E$106,'Additions (monthly)'!$D$2:$D$106,U$2,'Additions (monthly)'!$B$2:$B$106,"&lt;="&amp;$B115)</f>
        <v>0</v>
      </c>
      <c r="V115" s="46" t="n">
        <f aca="false">SUMIFS('Additions (monthly)'!$E$2:$E$106,'Additions (monthly)'!$D$2:$D$106,V$2,'Additions (monthly)'!$B$2:$B$106,"&lt;="&amp;$B115)</f>
        <v>3.87</v>
      </c>
      <c r="W115" s="46" t="n">
        <f aca="false">SUMIFS('Additions (monthly)'!$E$2:$E$106,'Additions (monthly)'!$D$2:$D$106,W$2,'Additions (monthly)'!$B$2:$B$106,"&lt;="&amp;$B115)</f>
        <v>0</v>
      </c>
      <c r="X115" s="46" t="n">
        <f aca="false">SUMIFS('Additions (monthly)'!$E$2:$E$106,'Additions (monthly)'!$D$2:$D$106,X$2,'Additions (monthly)'!$B$2:$B$106,"&lt;="&amp;$B115)</f>
        <v>0</v>
      </c>
      <c r="Y115" s="46" t="n">
        <f aca="false">SUMIFS('Additions (monthly)'!$E$2:$E$106,'Additions (monthly)'!$D$2:$D$106,Y$2,'Additions (monthly)'!$B$2:$B$106,"&lt;="&amp;$B115)</f>
        <v>5</v>
      </c>
      <c r="Z115" s="46" t="n">
        <f aca="false">SUMIFS('Additions (monthly)'!$E$2:$E$106,'Additions (monthly)'!$D$2:$D$106,Z$2,'Additions (monthly)'!$B$2:$B$106,"&lt;="&amp;$B115)</f>
        <v>7.2</v>
      </c>
      <c r="AA115" s="46" t="n">
        <f aca="false">SUMIFS('Additions (monthly)'!$E$2:$E$106,'Additions (monthly)'!$D$2:$D$106,AA$2,'Additions (monthly)'!$B$2:$B$106,"&lt;="&amp;$B115)</f>
        <v>3.7</v>
      </c>
      <c r="AB115" s="46" t="n">
        <f aca="false">SUMIFS('Additions (monthly)'!$E$2:$E$106,'Additions (monthly)'!$D$2:$D$106,AB$2,'Additions (monthly)'!$B$2:$B$106,"&lt;="&amp;$B115)</f>
        <v>16.95</v>
      </c>
      <c r="AC115" s="46" t="n">
        <f aca="false">SUMIFS('Additions (monthly)'!$E$2:$E$106,'Additions (monthly)'!$D$2:$D$106,AC$2,'Additions (monthly)'!$B$2:$B$106,"&lt;="&amp;$B115)</f>
        <v>2</v>
      </c>
      <c r="AD115" s="46" t="n">
        <f aca="false">SUMIFS('Additions (monthly)'!$E$2:$E$106,'Additions (monthly)'!$D$2:$D$106,AD$2,'Additions (monthly)'!$B$2:$B$106,"&lt;="&amp;$B115)</f>
        <v>7.6</v>
      </c>
      <c r="AE115" s="46" t="n">
        <f aca="false">SUMIFS('Additions (monthly)'!$E$2:$E$106,'Additions (monthly)'!$D$2:$D$106,AE$2,'Additions (monthly)'!$B$2:$B$106,"&lt;="&amp;$B115)</f>
        <v>29.3</v>
      </c>
      <c r="AF115" s="46" t="n">
        <f aca="false">SUMIFS('Additions (monthly)'!$E$2:$E$106,'Additions (monthly)'!$D$2:$D$106,AF$2,'Additions (monthly)'!$B$2:$B$106,"&lt;="&amp;$B115)</f>
        <v>1.2</v>
      </c>
      <c r="AG115" s="46" t="n">
        <f aca="false">SUMIFS('Additions (monthly)'!$E$2:$E$106,'Additions (monthly)'!$D$2:$D$106,AG$2,'Additions (monthly)'!$B$2:$B$106,"&lt;="&amp;$B115)</f>
        <v>0</v>
      </c>
      <c r="AH115" s="46" t="n">
        <f aca="false">SUMIFS('Additions (monthly)'!$E$2:$E$106,'Additions (monthly)'!$D$2:$D$106,AH$2,'Additions (monthly)'!$B$2:$B$106,"&lt;="&amp;$B115)</f>
        <v>0</v>
      </c>
      <c r="AI115" s="46" t="n">
        <f aca="false">SUMIFS('Additions (monthly)'!$E$2:$E$106,'Additions (monthly)'!$D$2:$D$106,AI$2,'Additions (monthly)'!$B$2:$B$106,"&lt;="&amp;$B115)</f>
        <v>0</v>
      </c>
      <c r="AJ115" s="46" t="n">
        <f aca="false">SUMIFS('Additions (monthly)'!$E$2:$E$106,'Additions (monthly)'!$D$2:$D$106,AJ$2,'Additions (monthly)'!$B$2:$B$106,"&lt;="&amp;$B115)</f>
        <v>0</v>
      </c>
      <c r="AK115" s="46" t="n">
        <f aca="false">SUMIFS('Additions (monthly)'!$E$2:$E$106,'Additions (monthly)'!$D$2:$D$106,AK$2,'Additions (monthly)'!$B$2:$B$106,"&lt;="&amp;$B115)</f>
        <v>0</v>
      </c>
      <c r="AL115" s="46" t="n">
        <f aca="false">SUMIFS('Additions (monthly)'!$E$2:$E$106,'Additions (monthly)'!$D$2:$D$106,AL$2,'Additions (monthly)'!$B$2:$B$106,"&lt;="&amp;$B115)</f>
        <v>22.2</v>
      </c>
      <c r="AM115" s="46" t="n">
        <f aca="false">SUMIFS('Additions (monthly)'!$E$2:$E$106,'Additions (monthly)'!$D$2:$D$106,AM$2,'Additions (monthly)'!$B$2:$B$106,"&lt;="&amp;$B115)</f>
        <v>0.3</v>
      </c>
      <c r="AN115" s="46" t="n">
        <f aca="false">SUMIFS('Additions (monthly)'!$E$2:$E$106,'Additions (monthly)'!$D$2:$D$106,AN$2,'Additions (monthly)'!$B$2:$B$106,"&lt;="&amp;$B115)</f>
        <v>4.3</v>
      </c>
      <c r="AO115" s="46" t="n">
        <f aca="false">SUMIFS('Additions (monthly)'!$E$2:$E$106,'Additions (monthly)'!$D$2:$D$106,AO$2,'Additions (monthly)'!$B$2:$B$106,"&lt;="&amp;$B115)</f>
        <v>10.4</v>
      </c>
      <c r="AP115" s="46" t="n">
        <f aca="false">SUMIFS('Additions (monthly)'!$E$2:$E$106,'Additions (monthly)'!$D$2:$D$106,AP$2,'Additions (monthly)'!$B$2:$B$106,"&lt;="&amp;$B115)</f>
        <v>6.9</v>
      </c>
      <c r="AQ115" s="46" t="n">
        <f aca="false">SUMIFS('Additions (monthly)'!$E$2:$E$106,'Additions (monthly)'!$D$2:$D$106,AQ$2,'Additions (monthly)'!$B$2:$B$106,"&lt;="&amp;$B115)</f>
        <v>4.45</v>
      </c>
      <c r="AR115" s="46" t="n">
        <f aca="false">SUMIFS('Additions (monthly)'!$E$2:$E$106,'Additions (monthly)'!$D$2:$D$106,AR$2,'Additions (monthly)'!$B$2:$B$106,"&lt;="&amp;$B115)</f>
        <v>77.1</v>
      </c>
      <c r="AS115" s="46" t="n">
        <f aca="false">SUMIFS('Additions (monthly)'!$E$2:$E$106,'Additions (monthly)'!$D$2:$D$106,AS$2,'Additions (monthly)'!$B$2:$B$106,"&lt;="&amp;$B115)</f>
        <v>0</v>
      </c>
      <c r="AT115" s="46" t="n">
        <f aca="false">SUMIFS('Additions (monthly)'!$E$2:$E$106,'Additions (monthly)'!$D$2:$D$106,AT$2,'Additions (monthly)'!$B$2:$B$106,"&lt;="&amp;$B115)</f>
        <v>0</v>
      </c>
      <c r="AU115" s="46" t="n">
        <f aca="false">SUMIFS('Additions (monthly)'!$E$2:$E$106,'Additions (monthly)'!$D$2:$D$106,AU$2,'Additions (monthly)'!$B$2:$B$106,"&lt;="&amp;$B115)</f>
        <v>9.6</v>
      </c>
      <c r="AV115" s="46" t="n">
        <f aca="false">SUMIFS('Additions (monthly)'!$E$2:$E$106,'Additions (monthly)'!$D$2:$D$106,AV$2,'Additions (monthly)'!$B$2:$B$106,"&lt;="&amp;$B115)</f>
        <v>0.66</v>
      </c>
      <c r="AW115" s="46" t="n">
        <f aca="false">SUMIFS('Additions (monthly)'!$E$2:$E$106,'Additions (monthly)'!$D$2:$D$106,AW$2,'Additions (monthly)'!$B$2:$B$106,"&lt;="&amp;$B115)</f>
        <v>16.5</v>
      </c>
      <c r="AX115" s="46" t="n">
        <f aca="false">SUMIFS('Additions (monthly)'!$E$2:$E$106,'Additions (monthly)'!$D$2:$D$106,AX$2,'Additions (monthly)'!$B$2:$B$106,"&lt;="&amp;$B115)</f>
        <v>11.8</v>
      </c>
      <c r="AY115" s="46" t="n">
        <f aca="false">SUMIFS('Additions (monthly)'!$E$2:$E$106,'Additions (monthly)'!$D$2:$D$106,AY$2,'Additions (monthly)'!$B$2:$B$106,"&lt;="&amp;$B115)</f>
        <v>5.3</v>
      </c>
      <c r="AZ115" s="46" t="n">
        <f aca="false">SUMIFS('Additions (monthly)'!$E$2:$E$106,'Additions (monthly)'!$D$2:$D$106,AZ$2,'Additions (monthly)'!$B$2:$B$106,"&lt;="&amp;$B115)</f>
        <v>0</v>
      </c>
      <c r="BA115" s="46" t="n">
        <f aca="false">SUMIFS('Additions (monthly)'!$E$2:$E$106,'Additions (monthly)'!$D$2:$D$106,BA$2,'Additions (monthly)'!$B$2:$B$106,"&lt;="&amp;$B115)</f>
        <v>4.5</v>
      </c>
      <c r="BB115" s="46" t="n">
        <f aca="false">SUMIFS('Additions (monthly)'!$E$2:$E$106,'Additions (monthly)'!$D$2:$D$106,BB$2,'Additions (monthly)'!$B$2:$B$106,"&lt;="&amp;$B115)</f>
        <v>10</v>
      </c>
      <c r="BC115" s="46" t="n">
        <f aca="false">SUMIFS('Additions (monthly)'!$E$2:$E$106,'Additions (monthly)'!$D$2:$D$106,BC$2,'Additions (monthly)'!$B$2:$B$106,"&lt;="&amp;$B115)</f>
        <v>5.25</v>
      </c>
      <c r="BD115" s="46" t="n">
        <f aca="false">SUMIFS('Additions (monthly)'!$E$2:$E$106,'Additions (monthly)'!$D$2:$D$106,BD$2,'Additions (monthly)'!$B$2:$B$106,"&lt;="&amp;$B115)</f>
        <v>0</v>
      </c>
      <c r="BE115" s="46" t="n">
        <f aca="false">SUMIFS('Additions (monthly)'!$E$2:$E$106,'Additions (monthly)'!$D$2:$D$106,BE$2,'Additions (monthly)'!$B$2:$B$106,"&lt;="&amp;$B115)</f>
        <v>0</v>
      </c>
      <c r="BF115" s="46" t="n">
        <f aca="false">SUMIFS('Additions (monthly)'!$E$2:$E$106,'Additions (monthly)'!$D$2:$D$106,BF$2,'Additions (monthly)'!$B$2:$B$106,"&lt;="&amp;$B115)</f>
        <v>0</v>
      </c>
      <c r="BG115" s="46" t="n">
        <f aca="false">SUMIFS('Additions (monthly)'!$E$2:$E$106,'Additions (monthly)'!$D$2:$D$106,BG$2,'Additions (monthly)'!$B$2:$B$106,"&lt;="&amp;$B115)</f>
        <v>0</v>
      </c>
      <c r="BH115" s="46" t="n">
        <f aca="false">SUMIFS('Additions (monthly)'!$E$2:$E$106,'Additions (monthly)'!$D$2:$D$106,BH$2,'Additions (monthly)'!$B$2:$B$106,"&lt;="&amp;$B115)</f>
        <v>25</v>
      </c>
      <c r="BI115" s="46" t="n">
        <f aca="false">SUMIFS('Additions (monthly)'!$E$2:$E$106,'Additions (monthly)'!$D$2:$D$106,BI$2,'Additions (monthly)'!$B$2:$B$106,"&lt;="&amp;$B115)</f>
        <v>6.7</v>
      </c>
    </row>
    <row r="116" customFormat="false" ht="15" hidden="false" customHeight="false" outlineLevel="0" collapsed="false">
      <c r="A116" s="44" t="n">
        <v>43617</v>
      </c>
      <c r="B116" s="45" t="n">
        <v>201906</v>
      </c>
      <c r="C116" s="42" t="n">
        <f aca="false">SUMIFS('Additions (monthly)'!$E$2:$E$106,'Additions (monthly)'!$B$2:$B$106,"&lt;="&amp;$B116)</f>
        <v>423.18</v>
      </c>
      <c r="D116" s="46" t="n">
        <f aca="false">SUMIFS('Additions (monthly)'!$E$2:$E$106,'Additions (monthly)'!$D$2:$D$106,D$2,'Additions (monthly)'!$B$2:$B$106,"&lt;="&amp;$B116)</f>
        <v>7.9</v>
      </c>
      <c r="E116" s="46" t="n">
        <f aca="false">SUMIFS('Additions (monthly)'!$E$2:$E$106,'Additions (monthly)'!$D$2:$D$106,E$2,'Additions (monthly)'!$B$2:$B$106,"&lt;="&amp;$B116)</f>
        <v>8.4</v>
      </c>
      <c r="F116" s="46" t="n">
        <f aca="false">SUMIFS('Additions (monthly)'!$E$2:$E$106,'Additions (monthly)'!$D$2:$D$106,F$2,'Additions (monthly)'!$B$2:$B$106,"&lt;="&amp;$B116)</f>
        <v>4.7</v>
      </c>
      <c r="G116" s="46" t="n">
        <f aca="false">SUMIFS('Additions (monthly)'!$E$2:$E$106,'Additions (monthly)'!$D$2:$D$106,G$2,'Additions (monthly)'!$B$2:$B$106,"&lt;="&amp;$B116)</f>
        <v>4.5</v>
      </c>
      <c r="H116" s="46" t="n">
        <f aca="false">SUMIFS('Additions (monthly)'!$E$2:$E$106,'Additions (monthly)'!$D$2:$D$106,H$2,'Additions (monthly)'!$B$2:$B$106,"&lt;="&amp;$B116)</f>
        <v>5.2</v>
      </c>
      <c r="I116" s="46" t="n">
        <f aca="false">SUMIFS('Additions (monthly)'!$E$2:$E$106,'Additions (monthly)'!$D$2:$D$106,I$2,'Additions (monthly)'!$B$2:$B$106,"&lt;="&amp;$B116)</f>
        <v>9</v>
      </c>
      <c r="J116" s="46" t="n">
        <f aca="false">SUMIFS('Additions (monthly)'!$E$2:$E$106,'Additions (monthly)'!$D$2:$D$106,J$2,'Additions (monthly)'!$B$2:$B$106,"&lt;="&amp;$B116)</f>
        <v>3.7</v>
      </c>
      <c r="K116" s="46" t="n">
        <f aca="false">SUMIFS('Additions (monthly)'!$E$2:$E$106,'Additions (monthly)'!$D$2:$D$106,K$2,'Additions (monthly)'!$B$2:$B$106,"&lt;="&amp;$B116)</f>
        <v>7.8</v>
      </c>
      <c r="L116" s="46" t="n">
        <f aca="false">SUMIFS('Additions (monthly)'!$E$2:$E$106,'Additions (monthly)'!$D$2:$D$106,L$2,'Additions (monthly)'!$B$2:$B$106,"&lt;="&amp;$B116)</f>
        <v>15.6</v>
      </c>
      <c r="M116" s="46" t="n">
        <f aca="false">SUMIFS('Additions (monthly)'!$E$2:$E$106,'Additions (monthly)'!$D$2:$D$106,M$2,'Additions (monthly)'!$B$2:$B$106,"&lt;="&amp;$B116)</f>
        <v>8.9</v>
      </c>
      <c r="N116" s="46" t="n">
        <f aca="false">SUMIFS('Additions (monthly)'!$E$2:$E$106,'Additions (monthly)'!$D$2:$D$106,N$2,'Additions (monthly)'!$B$2:$B$106,"&lt;="&amp;$B116)</f>
        <v>14.2</v>
      </c>
      <c r="O116" s="46" t="n">
        <f aca="false">SUMIFS('Additions (monthly)'!$E$2:$E$106,'Additions (monthly)'!$D$2:$D$106,O$2,'Additions (monthly)'!$B$2:$B$106,"&lt;="&amp;$B116)</f>
        <v>4.9</v>
      </c>
      <c r="P116" s="46" t="n">
        <f aca="false">SUMIFS('Additions (monthly)'!$E$2:$E$106,'Additions (monthly)'!$D$2:$D$106,P$2,'Additions (monthly)'!$B$2:$B$106,"&lt;="&amp;$B116)</f>
        <v>3.6</v>
      </c>
      <c r="Q116" s="46" t="n">
        <f aca="false">SUMIFS('Additions (monthly)'!$E$2:$E$106,'Additions (monthly)'!$D$2:$D$106,Q$2,'Additions (monthly)'!$B$2:$B$106,"&lt;="&amp;$B116)</f>
        <v>8.5</v>
      </c>
      <c r="R116" s="46" t="n">
        <f aca="false">SUMIFS('Additions (monthly)'!$E$2:$E$106,'Additions (monthly)'!$D$2:$D$106,R$2,'Additions (monthly)'!$B$2:$B$106,"&lt;="&amp;$B116)</f>
        <v>8.9</v>
      </c>
      <c r="S116" s="46" t="n">
        <f aca="false">SUMIFS('Additions (monthly)'!$E$2:$E$106,'Additions (monthly)'!$D$2:$D$106,S$2,'Additions (monthly)'!$B$2:$B$106,"&lt;="&amp;$B116)</f>
        <v>7.2</v>
      </c>
      <c r="T116" s="46" t="n">
        <f aca="false">SUMIFS('Additions (monthly)'!$E$2:$E$106,'Additions (monthly)'!$D$2:$D$106,T$2,'Additions (monthly)'!$B$2:$B$106,"&lt;="&amp;$B116)</f>
        <v>2.4</v>
      </c>
      <c r="U116" s="46" t="n">
        <f aca="false">SUMIFS('Additions (monthly)'!$E$2:$E$106,'Additions (monthly)'!$D$2:$D$106,U$2,'Additions (monthly)'!$B$2:$B$106,"&lt;="&amp;$B116)</f>
        <v>0</v>
      </c>
      <c r="V116" s="46" t="n">
        <f aca="false">SUMIFS('Additions (monthly)'!$E$2:$E$106,'Additions (monthly)'!$D$2:$D$106,V$2,'Additions (monthly)'!$B$2:$B$106,"&lt;="&amp;$B116)</f>
        <v>3.87</v>
      </c>
      <c r="W116" s="46" t="n">
        <f aca="false">SUMIFS('Additions (monthly)'!$E$2:$E$106,'Additions (monthly)'!$D$2:$D$106,W$2,'Additions (monthly)'!$B$2:$B$106,"&lt;="&amp;$B116)</f>
        <v>0</v>
      </c>
      <c r="X116" s="46" t="n">
        <f aca="false">SUMIFS('Additions (monthly)'!$E$2:$E$106,'Additions (monthly)'!$D$2:$D$106,X$2,'Additions (monthly)'!$B$2:$B$106,"&lt;="&amp;$B116)</f>
        <v>0</v>
      </c>
      <c r="Y116" s="46" t="n">
        <f aca="false">SUMIFS('Additions (monthly)'!$E$2:$E$106,'Additions (monthly)'!$D$2:$D$106,Y$2,'Additions (monthly)'!$B$2:$B$106,"&lt;="&amp;$B116)</f>
        <v>5</v>
      </c>
      <c r="Z116" s="46" t="n">
        <f aca="false">SUMIFS('Additions (monthly)'!$E$2:$E$106,'Additions (monthly)'!$D$2:$D$106,Z$2,'Additions (monthly)'!$B$2:$B$106,"&lt;="&amp;$B116)</f>
        <v>7.2</v>
      </c>
      <c r="AA116" s="46" t="n">
        <f aca="false">SUMIFS('Additions (monthly)'!$E$2:$E$106,'Additions (monthly)'!$D$2:$D$106,AA$2,'Additions (monthly)'!$B$2:$B$106,"&lt;="&amp;$B116)</f>
        <v>3.7</v>
      </c>
      <c r="AB116" s="46" t="n">
        <f aca="false">SUMIFS('Additions (monthly)'!$E$2:$E$106,'Additions (monthly)'!$D$2:$D$106,AB$2,'Additions (monthly)'!$B$2:$B$106,"&lt;="&amp;$B116)</f>
        <v>16.95</v>
      </c>
      <c r="AC116" s="46" t="n">
        <f aca="false">SUMIFS('Additions (monthly)'!$E$2:$E$106,'Additions (monthly)'!$D$2:$D$106,AC$2,'Additions (monthly)'!$B$2:$B$106,"&lt;="&amp;$B116)</f>
        <v>2</v>
      </c>
      <c r="AD116" s="46" t="n">
        <f aca="false">SUMIFS('Additions (monthly)'!$E$2:$E$106,'Additions (monthly)'!$D$2:$D$106,AD$2,'Additions (monthly)'!$B$2:$B$106,"&lt;="&amp;$B116)</f>
        <v>7.6</v>
      </c>
      <c r="AE116" s="46" t="n">
        <f aca="false">SUMIFS('Additions (monthly)'!$E$2:$E$106,'Additions (monthly)'!$D$2:$D$106,AE$2,'Additions (monthly)'!$B$2:$B$106,"&lt;="&amp;$B116)</f>
        <v>29.3</v>
      </c>
      <c r="AF116" s="46" t="n">
        <f aca="false">SUMIFS('Additions (monthly)'!$E$2:$E$106,'Additions (monthly)'!$D$2:$D$106,AF$2,'Additions (monthly)'!$B$2:$B$106,"&lt;="&amp;$B116)</f>
        <v>1.2</v>
      </c>
      <c r="AG116" s="46" t="n">
        <f aca="false">SUMIFS('Additions (monthly)'!$E$2:$E$106,'Additions (monthly)'!$D$2:$D$106,AG$2,'Additions (monthly)'!$B$2:$B$106,"&lt;="&amp;$B116)</f>
        <v>0</v>
      </c>
      <c r="AH116" s="46" t="n">
        <f aca="false">SUMIFS('Additions (monthly)'!$E$2:$E$106,'Additions (monthly)'!$D$2:$D$106,AH$2,'Additions (monthly)'!$B$2:$B$106,"&lt;="&amp;$B116)</f>
        <v>0</v>
      </c>
      <c r="AI116" s="46" t="n">
        <f aca="false">SUMIFS('Additions (monthly)'!$E$2:$E$106,'Additions (monthly)'!$D$2:$D$106,AI$2,'Additions (monthly)'!$B$2:$B$106,"&lt;="&amp;$B116)</f>
        <v>0</v>
      </c>
      <c r="AJ116" s="46" t="n">
        <f aca="false">SUMIFS('Additions (monthly)'!$E$2:$E$106,'Additions (monthly)'!$D$2:$D$106,AJ$2,'Additions (monthly)'!$B$2:$B$106,"&lt;="&amp;$B116)</f>
        <v>0</v>
      </c>
      <c r="AK116" s="46" t="n">
        <f aca="false">SUMIFS('Additions (monthly)'!$E$2:$E$106,'Additions (monthly)'!$D$2:$D$106,AK$2,'Additions (monthly)'!$B$2:$B$106,"&lt;="&amp;$B116)</f>
        <v>0</v>
      </c>
      <c r="AL116" s="46" t="n">
        <f aca="false">SUMIFS('Additions (monthly)'!$E$2:$E$106,'Additions (monthly)'!$D$2:$D$106,AL$2,'Additions (monthly)'!$B$2:$B$106,"&lt;="&amp;$B116)</f>
        <v>22.2</v>
      </c>
      <c r="AM116" s="46" t="n">
        <f aca="false">SUMIFS('Additions (monthly)'!$E$2:$E$106,'Additions (monthly)'!$D$2:$D$106,AM$2,'Additions (monthly)'!$B$2:$B$106,"&lt;="&amp;$B116)</f>
        <v>0.3</v>
      </c>
      <c r="AN116" s="46" t="n">
        <f aca="false">SUMIFS('Additions (monthly)'!$E$2:$E$106,'Additions (monthly)'!$D$2:$D$106,AN$2,'Additions (monthly)'!$B$2:$B$106,"&lt;="&amp;$B116)</f>
        <v>4.3</v>
      </c>
      <c r="AO116" s="46" t="n">
        <f aca="false">SUMIFS('Additions (monthly)'!$E$2:$E$106,'Additions (monthly)'!$D$2:$D$106,AO$2,'Additions (monthly)'!$B$2:$B$106,"&lt;="&amp;$B116)</f>
        <v>10.4</v>
      </c>
      <c r="AP116" s="46" t="n">
        <f aca="false">SUMIFS('Additions (monthly)'!$E$2:$E$106,'Additions (monthly)'!$D$2:$D$106,AP$2,'Additions (monthly)'!$B$2:$B$106,"&lt;="&amp;$B116)</f>
        <v>6.9</v>
      </c>
      <c r="AQ116" s="46" t="n">
        <f aca="false">SUMIFS('Additions (monthly)'!$E$2:$E$106,'Additions (monthly)'!$D$2:$D$106,AQ$2,'Additions (monthly)'!$B$2:$B$106,"&lt;="&amp;$B116)</f>
        <v>4.45</v>
      </c>
      <c r="AR116" s="46" t="n">
        <f aca="false">SUMIFS('Additions (monthly)'!$E$2:$E$106,'Additions (monthly)'!$D$2:$D$106,AR$2,'Additions (monthly)'!$B$2:$B$106,"&lt;="&amp;$B116)</f>
        <v>77.1</v>
      </c>
      <c r="AS116" s="46" t="n">
        <f aca="false">SUMIFS('Additions (monthly)'!$E$2:$E$106,'Additions (monthly)'!$D$2:$D$106,AS$2,'Additions (monthly)'!$B$2:$B$106,"&lt;="&amp;$B116)</f>
        <v>0</v>
      </c>
      <c r="AT116" s="46" t="n">
        <f aca="false">SUMIFS('Additions (monthly)'!$E$2:$E$106,'Additions (monthly)'!$D$2:$D$106,AT$2,'Additions (monthly)'!$B$2:$B$106,"&lt;="&amp;$B116)</f>
        <v>0</v>
      </c>
      <c r="AU116" s="46" t="n">
        <f aca="false">SUMIFS('Additions (monthly)'!$E$2:$E$106,'Additions (monthly)'!$D$2:$D$106,AU$2,'Additions (monthly)'!$B$2:$B$106,"&lt;="&amp;$B116)</f>
        <v>9.6</v>
      </c>
      <c r="AV116" s="46" t="n">
        <f aca="false">SUMIFS('Additions (monthly)'!$E$2:$E$106,'Additions (monthly)'!$D$2:$D$106,AV$2,'Additions (monthly)'!$B$2:$B$106,"&lt;="&amp;$B116)</f>
        <v>0.66</v>
      </c>
      <c r="AW116" s="46" t="n">
        <f aca="false">SUMIFS('Additions (monthly)'!$E$2:$E$106,'Additions (monthly)'!$D$2:$D$106,AW$2,'Additions (monthly)'!$B$2:$B$106,"&lt;="&amp;$B116)</f>
        <v>16.5</v>
      </c>
      <c r="AX116" s="46" t="n">
        <f aca="false">SUMIFS('Additions (monthly)'!$E$2:$E$106,'Additions (monthly)'!$D$2:$D$106,AX$2,'Additions (monthly)'!$B$2:$B$106,"&lt;="&amp;$B116)</f>
        <v>11.8</v>
      </c>
      <c r="AY116" s="46" t="n">
        <f aca="false">SUMIFS('Additions (monthly)'!$E$2:$E$106,'Additions (monthly)'!$D$2:$D$106,AY$2,'Additions (monthly)'!$B$2:$B$106,"&lt;="&amp;$B116)</f>
        <v>5.3</v>
      </c>
      <c r="AZ116" s="46" t="n">
        <f aca="false">SUMIFS('Additions (monthly)'!$E$2:$E$106,'Additions (monthly)'!$D$2:$D$106,AZ$2,'Additions (monthly)'!$B$2:$B$106,"&lt;="&amp;$B116)</f>
        <v>0</v>
      </c>
      <c r="BA116" s="46" t="n">
        <f aca="false">SUMIFS('Additions (monthly)'!$E$2:$E$106,'Additions (monthly)'!$D$2:$D$106,BA$2,'Additions (monthly)'!$B$2:$B$106,"&lt;="&amp;$B116)</f>
        <v>4.5</v>
      </c>
      <c r="BB116" s="46" t="n">
        <f aca="false">SUMIFS('Additions (monthly)'!$E$2:$E$106,'Additions (monthly)'!$D$2:$D$106,BB$2,'Additions (monthly)'!$B$2:$B$106,"&lt;="&amp;$B116)</f>
        <v>10</v>
      </c>
      <c r="BC116" s="46" t="n">
        <f aca="false">SUMIFS('Additions (monthly)'!$E$2:$E$106,'Additions (monthly)'!$D$2:$D$106,BC$2,'Additions (monthly)'!$B$2:$B$106,"&lt;="&amp;$B116)</f>
        <v>5.25</v>
      </c>
      <c r="BD116" s="46" t="n">
        <f aca="false">SUMIFS('Additions (monthly)'!$E$2:$E$106,'Additions (monthly)'!$D$2:$D$106,BD$2,'Additions (monthly)'!$B$2:$B$106,"&lt;="&amp;$B116)</f>
        <v>0</v>
      </c>
      <c r="BE116" s="46" t="n">
        <f aca="false">SUMIFS('Additions (monthly)'!$E$2:$E$106,'Additions (monthly)'!$D$2:$D$106,BE$2,'Additions (monthly)'!$B$2:$B$106,"&lt;="&amp;$B116)</f>
        <v>0</v>
      </c>
      <c r="BF116" s="46" t="n">
        <f aca="false">SUMIFS('Additions (monthly)'!$E$2:$E$106,'Additions (monthly)'!$D$2:$D$106,BF$2,'Additions (monthly)'!$B$2:$B$106,"&lt;="&amp;$B116)</f>
        <v>0</v>
      </c>
      <c r="BG116" s="46" t="n">
        <f aca="false">SUMIFS('Additions (monthly)'!$E$2:$E$106,'Additions (monthly)'!$D$2:$D$106,BG$2,'Additions (monthly)'!$B$2:$B$106,"&lt;="&amp;$B116)</f>
        <v>0</v>
      </c>
      <c r="BH116" s="46" t="n">
        <f aca="false">SUMIFS('Additions (monthly)'!$E$2:$E$106,'Additions (monthly)'!$D$2:$D$106,BH$2,'Additions (monthly)'!$B$2:$B$106,"&lt;="&amp;$B116)</f>
        <v>25</v>
      </c>
      <c r="BI116" s="46" t="n">
        <f aca="false">SUMIFS('Additions (monthly)'!$E$2:$E$106,'Additions (monthly)'!$D$2:$D$106,BI$2,'Additions (monthly)'!$B$2:$B$106,"&lt;="&amp;$B116)</f>
        <v>6.7</v>
      </c>
    </row>
    <row r="117" customFormat="false" ht="15" hidden="false" customHeight="false" outlineLevel="0" collapsed="false">
      <c r="A117" s="44" t="n">
        <v>43647</v>
      </c>
      <c r="B117" s="45" t="n">
        <v>201907</v>
      </c>
      <c r="C117" s="42" t="n">
        <f aca="false">SUMIFS('Additions (monthly)'!$E$2:$E$106,'Additions (monthly)'!$B$2:$B$106,"&lt;="&amp;$B117)</f>
        <v>423.18</v>
      </c>
      <c r="D117" s="46" t="n">
        <f aca="false">SUMIFS('Additions (monthly)'!$E$2:$E$106,'Additions (monthly)'!$D$2:$D$106,D$2,'Additions (monthly)'!$B$2:$B$106,"&lt;="&amp;$B117)</f>
        <v>7.9</v>
      </c>
      <c r="E117" s="46" t="n">
        <f aca="false">SUMIFS('Additions (monthly)'!$E$2:$E$106,'Additions (monthly)'!$D$2:$D$106,E$2,'Additions (monthly)'!$B$2:$B$106,"&lt;="&amp;$B117)</f>
        <v>8.4</v>
      </c>
      <c r="F117" s="46" t="n">
        <f aca="false">SUMIFS('Additions (monthly)'!$E$2:$E$106,'Additions (monthly)'!$D$2:$D$106,F$2,'Additions (monthly)'!$B$2:$B$106,"&lt;="&amp;$B117)</f>
        <v>4.7</v>
      </c>
      <c r="G117" s="46" t="n">
        <f aca="false">SUMIFS('Additions (monthly)'!$E$2:$E$106,'Additions (monthly)'!$D$2:$D$106,G$2,'Additions (monthly)'!$B$2:$B$106,"&lt;="&amp;$B117)</f>
        <v>4.5</v>
      </c>
      <c r="H117" s="46" t="n">
        <f aca="false">SUMIFS('Additions (monthly)'!$E$2:$E$106,'Additions (monthly)'!$D$2:$D$106,H$2,'Additions (monthly)'!$B$2:$B$106,"&lt;="&amp;$B117)</f>
        <v>5.2</v>
      </c>
      <c r="I117" s="46" t="n">
        <f aca="false">SUMIFS('Additions (monthly)'!$E$2:$E$106,'Additions (monthly)'!$D$2:$D$106,I$2,'Additions (monthly)'!$B$2:$B$106,"&lt;="&amp;$B117)</f>
        <v>9</v>
      </c>
      <c r="J117" s="46" t="n">
        <f aca="false">SUMIFS('Additions (monthly)'!$E$2:$E$106,'Additions (monthly)'!$D$2:$D$106,J$2,'Additions (monthly)'!$B$2:$B$106,"&lt;="&amp;$B117)</f>
        <v>3.7</v>
      </c>
      <c r="K117" s="46" t="n">
        <f aca="false">SUMIFS('Additions (monthly)'!$E$2:$E$106,'Additions (monthly)'!$D$2:$D$106,K$2,'Additions (monthly)'!$B$2:$B$106,"&lt;="&amp;$B117)</f>
        <v>7.8</v>
      </c>
      <c r="L117" s="46" t="n">
        <f aca="false">SUMIFS('Additions (monthly)'!$E$2:$E$106,'Additions (monthly)'!$D$2:$D$106,L$2,'Additions (monthly)'!$B$2:$B$106,"&lt;="&amp;$B117)</f>
        <v>15.6</v>
      </c>
      <c r="M117" s="46" t="n">
        <f aca="false">SUMIFS('Additions (monthly)'!$E$2:$E$106,'Additions (monthly)'!$D$2:$D$106,M$2,'Additions (monthly)'!$B$2:$B$106,"&lt;="&amp;$B117)</f>
        <v>8.9</v>
      </c>
      <c r="N117" s="46" t="n">
        <f aca="false">SUMIFS('Additions (monthly)'!$E$2:$E$106,'Additions (monthly)'!$D$2:$D$106,N$2,'Additions (monthly)'!$B$2:$B$106,"&lt;="&amp;$B117)</f>
        <v>14.2</v>
      </c>
      <c r="O117" s="46" t="n">
        <f aca="false">SUMIFS('Additions (monthly)'!$E$2:$E$106,'Additions (monthly)'!$D$2:$D$106,O$2,'Additions (monthly)'!$B$2:$B$106,"&lt;="&amp;$B117)</f>
        <v>4.9</v>
      </c>
      <c r="P117" s="46" t="n">
        <f aca="false">SUMIFS('Additions (monthly)'!$E$2:$E$106,'Additions (monthly)'!$D$2:$D$106,P$2,'Additions (monthly)'!$B$2:$B$106,"&lt;="&amp;$B117)</f>
        <v>3.6</v>
      </c>
      <c r="Q117" s="46" t="n">
        <f aca="false">SUMIFS('Additions (monthly)'!$E$2:$E$106,'Additions (monthly)'!$D$2:$D$106,Q$2,'Additions (monthly)'!$B$2:$B$106,"&lt;="&amp;$B117)</f>
        <v>8.5</v>
      </c>
      <c r="R117" s="46" t="n">
        <f aca="false">SUMIFS('Additions (monthly)'!$E$2:$E$106,'Additions (monthly)'!$D$2:$D$106,R$2,'Additions (monthly)'!$B$2:$B$106,"&lt;="&amp;$B117)</f>
        <v>8.9</v>
      </c>
      <c r="S117" s="46" t="n">
        <f aca="false">SUMIFS('Additions (monthly)'!$E$2:$E$106,'Additions (monthly)'!$D$2:$D$106,S$2,'Additions (monthly)'!$B$2:$B$106,"&lt;="&amp;$B117)</f>
        <v>7.2</v>
      </c>
      <c r="T117" s="46" t="n">
        <f aca="false">SUMIFS('Additions (monthly)'!$E$2:$E$106,'Additions (monthly)'!$D$2:$D$106,T$2,'Additions (monthly)'!$B$2:$B$106,"&lt;="&amp;$B117)</f>
        <v>2.4</v>
      </c>
      <c r="U117" s="46" t="n">
        <f aca="false">SUMIFS('Additions (monthly)'!$E$2:$E$106,'Additions (monthly)'!$D$2:$D$106,U$2,'Additions (monthly)'!$B$2:$B$106,"&lt;="&amp;$B117)</f>
        <v>0</v>
      </c>
      <c r="V117" s="46" t="n">
        <f aca="false">SUMIFS('Additions (monthly)'!$E$2:$E$106,'Additions (monthly)'!$D$2:$D$106,V$2,'Additions (monthly)'!$B$2:$B$106,"&lt;="&amp;$B117)</f>
        <v>3.87</v>
      </c>
      <c r="W117" s="46" t="n">
        <f aca="false">SUMIFS('Additions (monthly)'!$E$2:$E$106,'Additions (monthly)'!$D$2:$D$106,W$2,'Additions (monthly)'!$B$2:$B$106,"&lt;="&amp;$B117)</f>
        <v>0</v>
      </c>
      <c r="X117" s="46" t="n">
        <f aca="false">SUMIFS('Additions (monthly)'!$E$2:$E$106,'Additions (monthly)'!$D$2:$D$106,X$2,'Additions (monthly)'!$B$2:$B$106,"&lt;="&amp;$B117)</f>
        <v>0</v>
      </c>
      <c r="Y117" s="46" t="n">
        <f aca="false">SUMIFS('Additions (monthly)'!$E$2:$E$106,'Additions (monthly)'!$D$2:$D$106,Y$2,'Additions (monthly)'!$B$2:$B$106,"&lt;="&amp;$B117)</f>
        <v>5</v>
      </c>
      <c r="Z117" s="46" t="n">
        <f aca="false">SUMIFS('Additions (monthly)'!$E$2:$E$106,'Additions (monthly)'!$D$2:$D$106,Z$2,'Additions (monthly)'!$B$2:$B$106,"&lt;="&amp;$B117)</f>
        <v>7.2</v>
      </c>
      <c r="AA117" s="46" t="n">
        <f aca="false">SUMIFS('Additions (monthly)'!$E$2:$E$106,'Additions (monthly)'!$D$2:$D$106,AA$2,'Additions (monthly)'!$B$2:$B$106,"&lt;="&amp;$B117)</f>
        <v>3.7</v>
      </c>
      <c r="AB117" s="46" t="n">
        <f aca="false">SUMIFS('Additions (monthly)'!$E$2:$E$106,'Additions (monthly)'!$D$2:$D$106,AB$2,'Additions (monthly)'!$B$2:$B$106,"&lt;="&amp;$B117)</f>
        <v>16.95</v>
      </c>
      <c r="AC117" s="46" t="n">
        <f aca="false">SUMIFS('Additions (monthly)'!$E$2:$E$106,'Additions (monthly)'!$D$2:$D$106,AC$2,'Additions (monthly)'!$B$2:$B$106,"&lt;="&amp;$B117)</f>
        <v>2</v>
      </c>
      <c r="AD117" s="46" t="n">
        <f aca="false">SUMIFS('Additions (monthly)'!$E$2:$E$106,'Additions (monthly)'!$D$2:$D$106,AD$2,'Additions (monthly)'!$B$2:$B$106,"&lt;="&amp;$B117)</f>
        <v>7.6</v>
      </c>
      <c r="AE117" s="46" t="n">
        <f aca="false">SUMIFS('Additions (monthly)'!$E$2:$E$106,'Additions (monthly)'!$D$2:$D$106,AE$2,'Additions (monthly)'!$B$2:$B$106,"&lt;="&amp;$B117)</f>
        <v>29.3</v>
      </c>
      <c r="AF117" s="46" t="n">
        <f aca="false">SUMIFS('Additions (monthly)'!$E$2:$E$106,'Additions (monthly)'!$D$2:$D$106,AF$2,'Additions (monthly)'!$B$2:$B$106,"&lt;="&amp;$B117)</f>
        <v>1.2</v>
      </c>
      <c r="AG117" s="46" t="n">
        <f aca="false">SUMIFS('Additions (monthly)'!$E$2:$E$106,'Additions (monthly)'!$D$2:$D$106,AG$2,'Additions (monthly)'!$B$2:$B$106,"&lt;="&amp;$B117)</f>
        <v>0</v>
      </c>
      <c r="AH117" s="46" t="n">
        <f aca="false">SUMIFS('Additions (monthly)'!$E$2:$E$106,'Additions (monthly)'!$D$2:$D$106,AH$2,'Additions (monthly)'!$B$2:$B$106,"&lt;="&amp;$B117)</f>
        <v>0</v>
      </c>
      <c r="AI117" s="46" t="n">
        <f aca="false">SUMIFS('Additions (monthly)'!$E$2:$E$106,'Additions (monthly)'!$D$2:$D$106,AI$2,'Additions (monthly)'!$B$2:$B$106,"&lt;="&amp;$B117)</f>
        <v>0</v>
      </c>
      <c r="AJ117" s="46" t="n">
        <f aca="false">SUMIFS('Additions (monthly)'!$E$2:$E$106,'Additions (monthly)'!$D$2:$D$106,AJ$2,'Additions (monthly)'!$B$2:$B$106,"&lt;="&amp;$B117)</f>
        <v>0</v>
      </c>
      <c r="AK117" s="46" t="n">
        <f aca="false">SUMIFS('Additions (monthly)'!$E$2:$E$106,'Additions (monthly)'!$D$2:$D$106,AK$2,'Additions (monthly)'!$B$2:$B$106,"&lt;="&amp;$B117)</f>
        <v>0</v>
      </c>
      <c r="AL117" s="46" t="n">
        <f aca="false">SUMIFS('Additions (monthly)'!$E$2:$E$106,'Additions (monthly)'!$D$2:$D$106,AL$2,'Additions (monthly)'!$B$2:$B$106,"&lt;="&amp;$B117)</f>
        <v>22.2</v>
      </c>
      <c r="AM117" s="46" t="n">
        <f aca="false">SUMIFS('Additions (monthly)'!$E$2:$E$106,'Additions (monthly)'!$D$2:$D$106,AM$2,'Additions (monthly)'!$B$2:$B$106,"&lt;="&amp;$B117)</f>
        <v>0.3</v>
      </c>
      <c r="AN117" s="46" t="n">
        <f aca="false">SUMIFS('Additions (monthly)'!$E$2:$E$106,'Additions (monthly)'!$D$2:$D$106,AN$2,'Additions (monthly)'!$B$2:$B$106,"&lt;="&amp;$B117)</f>
        <v>4.3</v>
      </c>
      <c r="AO117" s="46" t="n">
        <f aca="false">SUMIFS('Additions (monthly)'!$E$2:$E$106,'Additions (monthly)'!$D$2:$D$106,AO$2,'Additions (monthly)'!$B$2:$B$106,"&lt;="&amp;$B117)</f>
        <v>10.4</v>
      </c>
      <c r="AP117" s="46" t="n">
        <f aca="false">SUMIFS('Additions (monthly)'!$E$2:$E$106,'Additions (monthly)'!$D$2:$D$106,AP$2,'Additions (monthly)'!$B$2:$B$106,"&lt;="&amp;$B117)</f>
        <v>6.9</v>
      </c>
      <c r="AQ117" s="46" t="n">
        <f aca="false">SUMIFS('Additions (monthly)'!$E$2:$E$106,'Additions (monthly)'!$D$2:$D$106,AQ$2,'Additions (monthly)'!$B$2:$B$106,"&lt;="&amp;$B117)</f>
        <v>4.45</v>
      </c>
      <c r="AR117" s="46" t="n">
        <f aca="false">SUMIFS('Additions (monthly)'!$E$2:$E$106,'Additions (monthly)'!$D$2:$D$106,AR$2,'Additions (monthly)'!$B$2:$B$106,"&lt;="&amp;$B117)</f>
        <v>77.1</v>
      </c>
      <c r="AS117" s="46" t="n">
        <f aca="false">SUMIFS('Additions (monthly)'!$E$2:$E$106,'Additions (monthly)'!$D$2:$D$106,AS$2,'Additions (monthly)'!$B$2:$B$106,"&lt;="&amp;$B117)</f>
        <v>0</v>
      </c>
      <c r="AT117" s="46" t="n">
        <f aca="false">SUMIFS('Additions (monthly)'!$E$2:$E$106,'Additions (monthly)'!$D$2:$D$106,AT$2,'Additions (monthly)'!$B$2:$B$106,"&lt;="&amp;$B117)</f>
        <v>0</v>
      </c>
      <c r="AU117" s="46" t="n">
        <f aca="false">SUMIFS('Additions (monthly)'!$E$2:$E$106,'Additions (monthly)'!$D$2:$D$106,AU$2,'Additions (monthly)'!$B$2:$B$106,"&lt;="&amp;$B117)</f>
        <v>9.6</v>
      </c>
      <c r="AV117" s="46" t="n">
        <f aca="false">SUMIFS('Additions (monthly)'!$E$2:$E$106,'Additions (monthly)'!$D$2:$D$106,AV$2,'Additions (monthly)'!$B$2:$B$106,"&lt;="&amp;$B117)</f>
        <v>0.66</v>
      </c>
      <c r="AW117" s="46" t="n">
        <f aca="false">SUMIFS('Additions (monthly)'!$E$2:$E$106,'Additions (monthly)'!$D$2:$D$106,AW$2,'Additions (monthly)'!$B$2:$B$106,"&lt;="&amp;$B117)</f>
        <v>16.5</v>
      </c>
      <c r="AX117" s="46" t="n">
        <f aca="false">SUMIFS('Additions (monthly)'!$E$2:$E$106,'Additions (monthly)'!$D$2:$D$106,AX$2,'Additions (monthly)'!$B$2:$B$106,"&lt;="&amp;$B117)</f>
        <v>11.8</v>
      </c>
      <c r="AY117" s="46" t="n">
        <f aca="false">SUMIFS('Additions (monthly)'!$E$2:$E$106,'Additions (monthly)'!$D$2:$D$106,AY$2,'Additions (monthly)'!$B$2:$B$106,"&lt;="&amp;$B117)</f>
        <v>5.3</v>
      </c>
      <c r="AZ117" s="46" t="n">
        <f aca="false">SUMIFS('Additions (monthly)'!$E$2:$E$106,'Additions (monthly)'!$D$2:$D$106,AZ$2,'Additions (monthly)'!$B$2:$B$106,"&lt;="&amp;$B117)</f>
        <v>0</v>
      </c>
      <c r="BA117" s="46" t="n">
        <f aca="false">SUMIFS('Additions (monthly)'!$E$2:$E$106,'Additions (monthly)'!$D$2:$D$106,BA$2,'Additions (monthly)'!$B$2:$B$106,"&lt;="&amp;$B117)</f>
        <v>4.5</v>
      </c>
      <c r="BB117" s="46" t="n">
        <f aca="false">SUMIFS('Additions (monthly)'!$E$2:$E$106,'Additions (monthly)'!$D$2:$D$106,BB$2,'Additions (monthly)'!$B$2:$B$106,"&lt;="&amp;$B117)</f>
        <v>10</v>
      </c>
      <c r="BC117" s="46" t="n">
        <f aca="false">SUMIFS('Additions (monthly)'!$E$2:$E$106,'Additions (monthly)'!$D$2:$D$106,BC$2,'Additions (monthly)'!$B$2:$B$106,"&lt;="&amp;$B117)</f>
        <v>5.25</v>
      </c>
      <c r="BD117" s="46" t="n">
        <f aca="false">SUMIFS('Additions (monthly)'!$E$2:$E$106,'Additions (monthly)'!$D$2:$D$106,BD$2,'Additions (monthly)'!$B$2:$B$106,"&lt;="&amp;$B117)</f>
        <v>0</v>
      </c>
      <c r="BE117" s="46" t="n">
        <f aca="false">SUMIFS('Additions (monthly)'!$E$2:$E$106,'Additions (monthly)'!$D$2:$D$106,BE$2,'Additions (monthly)'!$B$2:$B$106,"&lt;="&amp;$B117)</f>
        <v>0</v>
      </c>
      <c r="BF117" s="46" t="n">
        <f aca="false">SUMIFS('Additions (monthly)'!$E$2:$E$106,'Additions (monthly)'!$D$2:$D$106,BF$2,'Additions (monthly)'!$B$2:$B$106,"&lt;="&amp;$B117)</f>
        <v>0</v>
      </c>
      <c r="BG117" s="46" t="n">
        <f aca="false">SUMIFS('Additions (monthly)'!$E$2:$E$106,'Additions (monthly)'!$D$2:$D$106,BG$2,'Additions (monthly)'!$B$2:$B$106,"&lt;="&amp;$B117)</f>
        <v>0</v>
      </c>
      <c r="BH117" s="46" t="n">
        <f aca="false">SUMIFS('Additions (monthly)'!$E$2:$E$106,'Additions (monthly)'!$D$2:$D$106,BH$2,'Additions (monthly)'!$B$2:$B$106,"&lt;="&amp;$B117)</f>
        <v>25</v>
      </c>
      <c r="BI117" s="46" t="n">
        <f aca="false">SUMIFS('Additions (monthly)'!$E$2:$E$106,'Additions (monthly)'!$D$2:$D$106,BI$2,'Additions (monthly)'!$B$2:$B$106,"&lt;="&amp;$B117)</f>
        <v>6.7</v>
      </c>
    </row>
    <row r="118" customFormat="false" ht="15" hidden="false" customHeight="false" outlineLevel="0" collapsed="false">
      <c r="A118" s="44" t="n">
        <v>43678</v>
      </c>
      <c r="B118" s="45" t="n">
        <v>201908</v>
      </c>
      <c r="C118" s="42" t="n">
        <f aca="false">SUMIFS('Additions (monthly)'!$E$2:$E$106,'Additions (monthly)'!$B$2:$B$106,"&lt;="&amp;$B118)</f>
        <v>428.28</v>
      </c>
      <c r="D118" s="46" t="n">
        <f aca="false">SUMIFS('Additions (monthly)'!$E$2:$E$106,'Additions (monthly)'!$D$2:$D$106,D$2,'Additions (monthly)'!$B$2:$B$106,"&lt;="&amp;$B118)</f>
        <v>7.9</v>
      </c>
      <c r="E118" s="46" t="n">
        <f aca="false">SUMIFS('Additions (monthly)'!$E$2:$E$106,'Additions (monthly)'!$D$2:$D$106,E$2,'Additions (monthly)'!$B$2:$B$106,"&lt;="&amp;$B118)</f>
        <v>8.4</v>
      </c>
      <c r="F118" s="46" t="n">
        <f aca="false">SUMIFS('Additions (monthly)'!$E$2:$E$106,'Additions (monthly)'!$D$2:$D$106,F$2,'Additions (monthly)'!$B$2:$B$106,"&lt;="&amp;$B118)</f>
        <v>4.7</v>
      </c>
      <c r="G118" s="46" t="n">
        <f aca="false">SUMIFS('Additions (monthly)'!$E$2:$E$106,'Additions (monthly)'!$D$2:$D$106,G$2,'Additions (monthly)'!$B$2:$B$106,"&lt;="&amp;$B118)</f>
        <v>4.5</v>
      </c>
      <c r="H118" s="46" t="n">
        <f aca="false">SUMIFS('Additions (monthly)'!$E$2:$E$106,'Additions (monthly)'!$D$2:$D$106,H$2,'Additions (monthly)'!$B$2:$B$106,"&lt;="&amp;$B118)</f>
        <v>5.2</v>
      </c>
      <c r="I118" s="46" t="n">
        <f aca="false">SUMIFS('Additions (monthly)'!$E$2:$E$106,'Additions (monthly)'!$D$2:$D$106,I$2,'Additions (monthly)'!$B$2:$B$106,"&lt;="&amp;$B118)</f>
        <v>9</v>
      </c>
      <c r="J118" s="46" t="n">
        <f aca="false">SUMIFS('Additions (monthly)'!$E$2:$E$106,'Additions (monthly)'!$D$2:$D$106,J$2,'Additions (monthly)'!$B$2:$B$106,"&lt;="&amp;$B118)</f>
        <v>3.7</v>
      </c>
      <c r="K118" s="46" t="n">
        <f aca="false">SUMIFS('Additions (monthly)'!$E$2:$E$106,'Additions (monthly)'!$D$2:$D$106,K$2,'Additions (monthly)'!$B$2:$B$106,"&lt;="&amp;$B118)</f>
        <v>7.8</v>
      </c>
      <c r="L118" s="46" t="n">
        <f aca="false">SUMIFS('Additions (monthly)'!$E$2:$E$106,'Additions (monthly)'!$D$2:$D$106,L$2,'Additions (monthly)'!$B$2:$B$106,"&lt;="&amp;$B118)</f>
        <v>15.6</v>
      </c>
      <c r="M118" s="46" t="n">
        <f aca="false">SUMIFS('Additions (monthly)'!$E$2:$E$106,'Additions (monthly)'!$D$2:$D$106,M$2,'Additions (monthly)'!$B$2:$B$106,"&lt;="&amp;$B118)</f>
        <v>8.9</v>
      </c>
      <c r="N118" s="46" t="n">
        <f aca="false">SUMIFS('Additions (monthly)'!$E$2:$E$106,'Additions (monthly)'!$D$2:$D$106,N$2,'Additions (monthly)'!$B$2:$B$106,"&lt;="&amp;$B118)</f>
        <v>14.2</v>
      </c>
      <c r="O118" s="46" t="n">
        <f aca="false">SUMIFS('Additions (monthly)'!$E$2:$E$106,'Additions (monthly)'!$D$2:$D$106,O$2,'Additions (monthly)'!$B$2:$B$106,"&lt;="&amp;$B118)</f>
        <v>4.9</v>
      </c>
      <c r="P118" s="46" t="n">
        <f aca="false">SUMIFS('Additions (monthly)'!$E$2:$E$106,'Additions (monthly)'!$D$2:$D$106,P$2,'Additions (monthly)'!$B$2:$B$106,"&lt;="&amp;$B118)</f>
        <v>3.6</v>
      </c>
      <c r="Q118" s="46" t="n">
        <f aca="false">SUMIFS('Additions (monthly)'!$E$2:$E$106,'Additions (monthly)'!$D$2:$D$106,Q$2,'Additions (monthly)'!$B$2:$B$106,"&lt;="&amp;$B118)</f>
        <v>8.5</v>
      </c>
      <c r="R118" s="46" t="n">
        <f aca="false">SUMIFS('Additions (monthly)'!$E$2:$E$106,'Additions (monthly)'!$D$2:$D$106,R$2,'Additions (monthly)'!$B$2:$B$106,"&lt;="&amp;$B118)</f>
        <v>8.9</v>
      </c>
      <c r="S118" s="46" t="n">
        <f aca="false">SUMIFS('Additions (monthly)'!$E$2:$E$106,'Additions (monthly)'!$D$2:$D$106,S$2,'Additions (monthly)'!$B$2:$B$106,"&lt;="&amp;$B118)</f>
        <v>7.2</v>
      </c>
      <c r="T118" s="46" t="n">
        <f aca="false">SUMIFS('Additions (monthly)'!$E$2:$E$106,'Additions (monthly)'!$D$2:$D$106,T$2,'Additions (monthly)'!$B$2:$B$106,"&lt;="&amp;$B118)</f>
        <v>2.4</v>
      </c>
      <c r="U118" s="46" t="n">
        <f aca="false">SUMIFS('Additions (monthly)'!$E$2:$E$106,'Additions (monthly)'!$D$2:$D$106,U$2,'Additions (monthly)'!$B$2:$B$106,"&lt;="&amp;$B118)</f>
        <v>0</v>
      </c>
      <c r="V118" s="46" t="n">
        <f aca="false">SUMIFS('Additions (monthly)'!$E$2:$E$106,'Additions (monthly)'!$D$2:$D$106,V$2,'Additions (monthly)'!$B$2:$B$106,"&lt;="&amp;$B118)</f>
        <v>3.87</v>
      </c>
      <c r="W118" s="46" t="n">
        <f aca="false">SUMIFS('Additions (monthly)'!$E$2:$E$106,'Additions (monthly)'!$D$2:$D$106,W$2,'Additions (monthly)'!$B$2:$B$106,"&lt;="&amp;$B118)</f>
        <v>0</v>
      </c>
      <c r="X118" s="46" t="n">
        <f aca="false">SUMIFS('Additions (monthly)'!$E$2:$E$106,'Additions (monthly)'!$D$2:$D$106,X$2,'Additions (monthly)'!$B$2:$B$106,"&lt;="&amp;$B118)</f>
        <v>0</v>
      </c>
      <c r="Y118" s="46" t="n">
        <f aca="false">SUMIFS('Additions (monthly)'!$E$2:$E$106,'Additions (monthly)'!$D$2:$D$106,Y$2,'Additions (monthly)'!$B$2:$B$106,"&lt;="&amp;$B118)</f>
        <v>5</v>
      </c>
      <c r="Z118" s="46" t="n">
        <f aca="false">SUMIFS('Additions (monthly)'!$E$2:$E$106,'Additions (monthly)'!$D$2:$D$106,Z$2,'Additions (monthly)'!$B$2:$B$106,"&lt;="&amp;$B118)</f>
        <v>7.2</v>
      </c>
      <c r="AA118" s="46" t="n">
        <f aca="false">SUMIFS('Additions (monthly)'!$E$2:$E$106,'Additions (monthly)'!$D$2:$D$106,AA$2,'Additions (monthly)'!$B$2:$B$106,"&lt;="&amp;$B118)</f>
        <v>3.7</v>
      </c>
      <c r="AB118" s="46" t="n">
        <f aca="false">SUMIFS('Additions (monthly)'!$E$2:$E$106,'Additions (monthly)'!$D$2:$D$106,AB$2,'Additions (monthly)'!$B$2:$B$106,"&lt;="&amp;$B118)</f>
        <v>16.95</v>
      </c>
      <c r="AC118" s="46" t="n">
        <f aca="false">SUMIFS('Additions (monthly)'!$E$2:$E$106,'Additions (monthly)'!$D$2:$D$106,AC$2,'Additions (monthly)'!$B$2:$B$106,"&lt;="&amp;$B118)</f>
        <v>2</v>
      </c>
      <c r="AD118" s="46" t="n">
        <f aca="false">SUMIFS('Additions (monthly)'!$E$2:$E$106,'Additions (monthly)'!$D$2:$D$106,AD$2,'Additions (monthly)'!$B$2:$B$106,"&lt;="&amp;$B118)</f>
        <v>7.6</v>
      </c>
      <c r="AE118" s="46" t="n">
        <f aca="false">SUMIFS('Additions (monthly)'!$E$2:$E$106,'Additions (monthly)'!$D$2:$D$106,AE$2,'Additions (monthly)'!$B$2:$B$106,"&lt;="&amp;$B118)</f>
        <v>29.3</v>
      </c>
      <c r="AF118" s="46" t="n">
        <f aca="false">SUMIFS('Additions (monthly)'!$E$2:$E$106,'Additions (monthly)'!$D$2:$D$106,AF$2,'Additions (monthly)'!$B$2:$B$106,"&lt;="&amp;$B118)</f>
        <v>1.2</v>
      </c>
      <c r="AG118" s="46" t="n">
        <f aca="false">SUMIFS('Additions (monthly)'!$E$2:$E$106,'Additions (monthly)'!$D$2:$D$106,AG$2,'Additions (monthly)'!$B$2:$B$106,"&lt;="&amp;$B118)</f>
        <v>0</v>
      </c>
      <c r="AH118" s="46" t="n">
        <f aca="false">SUMIFS('Additions (monthly)'!$E$2:$E$106,'Additions (monthly)'!$D$2:$D$106,AH$2,'Additions (monthly)'!$B$2:$B$106,"&lt;="&amp;$B118)</f>
        <v>0</v>
      </c>
      <c r="AI118" s="46" t="n">
        <f aca="false">SUMIFS('Additions (monthly)'!$E$2:$E$106,'Additions (monthly)'!$D$2:$D$106,AI$2,'Additions (monthly)'!$B$2:$B$106,"&lt;="&amp;$B118)</f>
        <v>0</v>
      </c>
      <c r="AJ118" s="46" t="n">
        <f aca="false">SUMIFS('Additions (monthly)'!$E$2:$E$106,'Additions (monthly)'!$D$2:$D$106,AJ$2,'Additions (monthly)'!$B$2:$B$106,"&lt;="&amp;$B118)</f>
        <v>0</v>
      </c>
      <c r="AK118" s="46" t="n">
        <f aca="false">SUMIFS('Additions (monthly)'!$E$2:$E$106,'Additions (monthly)'!$D$2:$D$106,AK$2,'Additions (monthly)'!$B$2:$B$106,"&lt;="&amp;$B118)</f>
        <v>0</v>
      </c>
      <c r="AL118" s="46" t="n">
        <f aca="false">SUMIFS('Additions (monthly)'!$E$2:$E$106,'Additions (monthly)'!$D$2:$D$106,AL$2,'Additions (monthly)'!$B$2:$B$106,"&lt;="&amp;$B118)</f>
        <v>22.2</v>
      </c>
      <c r="AM118" s="46" t="n">
        <f aca="false">SUMIFS('Additions (monthly)'!$E$2:$E$106,'Additions (monthly)'!$D$2:$D$106,AM$2,'Additions (monthly)'!$B$2:$B$106,"&lt;="&amp;$B118)</f>
        <v>0.3</v>
      </c>
      <c r="AN118" s="46" t="n">
        <f aca="false">SUMIFS('Additions (monthly)'!$E$2:$E$106,'Additions (monthly)'!$D$2:$D$106,AN$2,'Additions (monthly)'!$B$2:$B$106,"&lt;="&amp;$B118)</f>
        <v>4.3</v>
      </c>
      <c r="AO118" s="46" t="n">
        <f aca="false">SUMIFS('Additions (monthly)'!$E$2:$E$106,'Additions (monthly)'!$D$2:$D$106,AO$2,'Additions (monthly)'!$B$2:$B$106,"&lt;="&amp;$B118)</f>
        <v>10.4</v>
      </c>
      <c r="AP118" s="46" t="n">
        <f aca="false">SUMIFS('Additions (monthly)'!$E$2:$E$106,'Additions (monthly)'!$D$2:$D$106,AP$2,'Additions (monthly)'!$B$2:$B$106,"&lt;="&amp;$B118)</f>
        <v>6.9</v>
      </c>
      <c r="AQ118" s="46" t="n">
        <f aca="false">SUMIFS('Additions (monthly)'!$E$2:$E$106,'Additions (monthly)'!$D$2:$D$106,AQ$2,'Additions (monthly)'!$B$2:$B$106,"&lt;="&amp;$B118)</f>
        <v>4.45</v>
      </c>
      <c r="AR118" s="46" t="n">
        <f aca="false">SUMIFS('Additions (monthly)'!$E$2:$E$106,'Additions (monthly)'!$D$2:$D$106,AR$2,'Additions (monthly)'!$B$2:$B$106,"&lt;="&amp;$B118)</f>
        <v>77.1</v>
      </c>
      <c r="AS118" s="46" t="n">
        <f aca="false">SUMIFS('Additions (monthly)'!$E$2:$E$106,'Additions (monthly)'!$D$2:$D$106,AS$2,'Additions (monthly)'!$B$2:$B$106,"&lt;="&amp;$B118)</f>
        <v>0</v>
      </c>
      <c r="AT118" s="46" t="n">
        <f aca="false">SUMIFS('Additions (monthly)'!$E$2:$E$106,'Additions (monthly)'!$D$2:$D$106,AT$2,'Additions (monthly)'!$B$2:$B$106,"&lt;="&amp;$B118)</f>
        <v>0</v>
      </c>
      <c r="AU118" s="46" t="n">
        <f aca="false">SUMIFS('Additions (monthly)'!$E$2:$E$106,'Additions (monthly)'!$D$2:$D$106,AU$2,'Additions (monthly)'!$B$2:$B$106,"&lt;="&amp;$B118)</f>
        <v>9.6</v>
      </c>
      <c r="AV118" s="46" t="n">
        <f aca="false">SUMIFS('Additions (monthly)'!$E$2:$E$106,'Additions (monthly)'!$D$2:$D$106,AV$2,'Additions (monthly)'!$B$2:$B$106,"&lt;="&amp;$B118)</f>
        <v>0.66</v>
      </c>
      <c r="AW118" s="46" t="n">
        <f aca="false">SUMIFS('Additions (monthly)'!$E$2:$E$106,'Additions (monthly)'!$D$2:$D$106,AW$2,'Additions (monthly)'!$B$2:$B$106,"&lt;="&amp;$B118)</f>
        <v>16.5</v>
      </c>
      <c r="AX118" s="46" t="n">
        <f aca="false">SUMIFS('Additions (monthly)'!$E$2:$E$106,'Additions (monthly)'!$D$2:$D$106,AX$2,'Additions (monthly)'!$B$2:$B$106,"&lt;="&amp;$B118)</f>
        <v>11.8</v>
      </c>
      <c r="AY118" s="46" t="n">
        <f aca="false">SUMIFS('Additions (monthly)'!$E$2:$E$106,'Additions (monthly)'!$D$2:$D$106,AY$2,'Additions (monthly)'!$B$2:$B$106,"&lt;="&amp;$B118)</f>
        <v>5.3</v>
      </c>
      <c r="AZ118" s="46" t="n">
        <f aca="false">SUMIFS('Additions (monthly)'!$E$2:$E$106,'Additions (monthly)'!$D$2:$D$106,AZ$2,'Additions (monthly)'!$B$2:$B$106,"&lt;="&amp;$B118)</f>
        <v>0</v>
      </c>
      <c r="BA118" s="46" t="n">
        <f aca="false">SUMIFS('Additions (monthly)'!$E$2:$E$106,'Additions (monthly)'!$D$2:$D$106,BA$2,'Additions (monthly)'!$B$2:$B$106,"&lt;="&amp;$B118)</f>
        <v>4.5</v>
      </c>
      <c r="BB118" s="46" t="n">
        <f aca="false">SUMIFS('Additions (monthly)'!$E$2:$E$106,'Additions (monthly)'!$D$2:$D$106,BB$2,'Additions (monthly)'!$B$2:$B$106,"&lt;="&amp;$B118)</f>
        <v>10</v>
      </c>
      <c r="BC118" s="46" t="n">
        <f aca="false">SUMIFS('Additions (monthly)'!$E$2:$E$106,'Additions (monthly)'!$D$2:$D$106,BC$2,'Additions (monthly)'!$B$2:$B$106,"&lt;="&amp;$B118)</f>
        <v>5.25</v>
      </c>
      <c r="BD118" s="46" t="n">
        <f aca="false">SUMIFS('Additions (monthly)'!$E$2:$E$106,'Additions (monthly)'!$D$2:$D$106,BD$2,'Additions (monthly)'!$B$2:$B$106,"&lt;="&amp;$B118)</f>
        <v>0</v>
      </c>
      <c r="BE118" s="46" t="n">
        <f aca="false">SUMIFS('Additions (monthly)'!$E$2:$E$106,'Additions (monthly)'!$D$2:$D$106,BE$2,'Additions (monthly)'!$B$2:$B$106,"&lt;="&amp;$B118)</f>
        <v>5.1</v>
      </c>
      <c r="BF118" s="46" t="n">
        <f aca="false">SUMIFS('Additions (monthly)'!$E$2:$E$106,'Additions (monthly)'!$D$2:$D$106,BF$2,'Additions (monthly)'!$B$2:$B$106,"&lt;="&amp;$B118)</f>
        <v>0</v>
      </c>
      <c r="BG118" s="46" t="n">
        <f aca="false">SUMIFS('Additions (monthly)'!$E$2:$E$106,'Additions (monthly)'!$D$2:$D$106,BG$2,'Additions (monthly)'!$B$2:$B$106,"&lt;="&amp;$B118)</f>
        <v>0</v>
      </c>
      <c r="BH118" s="46" t="n">
        <f aca="false">SUMIFS('Additions (monthly)'!$E$2:$E$106,'Additions (monthly)'!$D$2:$D$106,BH$2,'Additions (monthly)'!$B$2:$B$106,"&lt;="&amp;$B118)</f>
        <v>25</v>
      </c>
      <c r="BI118" s="46" t="n">
        <f aca="false">SUMIFS('Additions (monthly)'!$E$2:$E$106,'Additions (monthly)'!$D$2:$D$106,BI$2,'Additions (monthly)'!$B$2:$B$106,"&lt;="&amp;$B118)</f>
        <v>6.7</v>
      </c>
    </row>
    <row r="119" customFormat="false" ht="15" hidden="false" customHeight="false" outlineLevel="0" collapsed="false">
      <c r="A119" s="44" t="n">
        <v>43709</v>
      </c>
      <c r="B119" s="45" t="n">
        <v>201909</v>
      </c>
      <c r="C119" s="42" t="n">
        <f aca="false">SUMIFS('Additions (monthly)'!$E$2:$E$106,'Additions (monthly)'!$B$2:$B$106,"&lt;="&amp;$B119)</f>
        <v>428.28</v>
      </c>
      <c r="D119" s="46" t="n">
        <f aca="false">SUMIFS('Additions (monthly)'!$E$2:$E$106,'Additions (monthly)'!$D$2:$D$106,D$2,'Additions (monthly)'!$B$2:$B$106,"&lt;="&amp;$B119)</f>
        <v>7.9</v>
      </c>
      <c r="E119" s="46" t="n">
        <f aca="false">SUMIFS('Additions (monthly)'!$E$2:$E$106,'Additions (monthly)'!$D$2:$D$106,E$2,'Additions (monthly)'!$B$2:$B$106,"&lt;="&amp;$B119)</f>
        <v>8.4</v>
      </c>
      <c r="F119" s="46" t="n">
        <f aca="false">SUMIFS('Additions (monthly)'!$E$2:$E$106,'Additions (monthly)'!$D$2:$D$106,F$2,'Additions (monthly)'!$B$2:$B$106,"&lt;="&amp;$B119)</f>
        <v>4.7</v>
      </c>
      <c r="G119" s="46" t="n">
        <f aca="false">SUMIFS('Additions (monthly)'!$E$2:$E$106,'Additions (monthly)'!$D$2:$D$106,G$2,'Additions (monthly)'!$B$2:$B$106,"&lt;="&amp;$B119)</f>
        <v>4.5</v>
      </c>
      <c r="H119" s="46" t="n">
        <f aca="false">SUMIFS('Additions (monthly)'!$E$2:$E$106,'Additions (monthly)'!$D$2:$D$106,H$2,'Additions (monthly)'!$B$2:$B$106,"&lt;="&amp;$B119)</f>
        <v>5.2</v>
      </c>
      <c r="I119" s="46" t="n">
        <f aca="false">SUMIFS('Additions (monthly)'!$E$2:$E$106,'Additions (monthly)'!$D$2:$D$106,I$2,'Additions (monthly)'!$B$2:$B$106,"&lt;="&amp;$B119)</f>
        <v>9</v>
      </c>
      <c r="J119" s="46" t="n">
        <f aca="false">SUMIFS('Additions (monthly)'!$E$2:$E$106,'Additions (monthly)'!$D$2:$D$106,J$2,'Additions (monthly)'!$B$2:$B$106,"&lt;="&amp;$B119)</f>
        <v>3.7</v>
      </c>
      <c r="K119" s="46" t="n">
        <f aca="false">SUMIFS('Additions (monthly)'!$E$2:$E$106,'Additions (monthly)'!$D$2:$D$106,K$2,'Additions (monthly)'!$B$2:$B$106,"&lt;="&amp;$B119)</f>
        <v>7.8</v>
      </c>
      <c r="L119" s="46" t="n">
        <f aca="false">SUMIFS('Additions (monthly)'!$E$2:$E$106,'Additions (monthly)'!$D$2:$D$106,L$2,'Additions (monthly)'!$B$2:$B$106,"&lt;="&amp;$B119)</f>
        <v>15.6</v>
      </c>
      <c r="M119" s="46" t="n">
        <f aca="false">SUMIFS('Additions (monthly)'!$E$2:$E$106,'Additions (monthly)'!$D$2:$D$106,M$2,'Additions (monthly)'!$B$2:$B$106,"&lt;="&amp;$B119)</f>
        <v>8.9</v>
      </c>
      <c r="N119" s="46" t="n">
        <f aca="false">SUMIFS('Additions (monthly)'!$E$2:$E$106,'Additions (monthly)'!$D$2:$D$106,N$2,'Additions (monthly)'!$B$2:$B$106,"&lt;="&amp;$B119)</f>
        <v>14.2</v>
      </c>
      <c r="O119" s="46" t="n">
        <f aca="false">SUMIFS('Additions (monthly)'!$E$2:$E$106,'Additions (monthly)'!$D$2:$D$106,O$2,'Additions (monthly)'!$B$2:$B$106,"&lt;="&amp;$B119)</f>
        <v>4.9</v>
      </c>
      <c r="P119" s="46" t="n">
        <f aca="false">SUMIFS('Additions (monthly)'!$E$2:$E$106,'Additions (monthly)'!$D$2:$D$106,P$2,'Additions (monthly)'!$B$2:$B$106,"&lt;="&amp;$B119)</f>
        <v>3.6</v>
      </c>
      <c r="Q119" s="46" t="n">
        <f aca="false">SUMIFS('Additions (monthly)'!$E$2:$E$106,'Additions (monthly)'!$D$2:$D$106,Q$2,'Additions (monthly)'!$B$2:$B$106,"&lt;="&amp;$B119)</f>
        <v>8.5</v>
      </c>
      <c r="R119" s="46" t="n">
        <f aca="false">SUMIFS('Additions (monthly)'!$E$2:$E$106,'Additions (monthly)'!$D$2:$D$106,R$2,'Additions (monthly)'!$B$2:$B$106,"&lt;="&amp;$B119)</f>
        <v>8.9</v>
      </c>
      <c r="S119" s="46" t="n">
        <f aca="false">SUMIFS('Additions (monthly)'!$E$2:$E$106,'Additions (monthly)'!$D$2:$D$106,S$2,'Additions (monthly)'!$B$2:$B$106,"&lt;="&amp;$B119)</f>
        <v>7.2</v>
      </c>
      <c r="T119" s="46" t="n">
        <f aca="false">SUMIFS('Additions (monthly)'!$E$2:$E$106,'Additions (monthly)'!$D$2:$D$106,T$2,'Additions (monthly)'!$B$2:$B$106,"&lt;="&amp;$B119)</f>
        <v>2.4</v>
      </c>
      <c r="U119" s="46" t="n">
        <f aca="false">SUMIFS('Additions (monthly)'!$E$2:$E$106,'Additions (monthly)'!$D$2:$D$106,U$2,'Additions (monthly)'!$B$2:$B$106,"&lt;="&amp;$B119)</f>
        <v>0</v>
      </c>
      <c r="V119" s="46" t="n">
        <f aca="false">SUMIFS('Additions (monthly)'!$E$2:$E$106,'Additions (monthly)'!$D$2:$D$106,V$2,'Additions (monthly)'!$B$2:$B$106,"&lt;="&amp;$B119)</f>
        <v>3.87</v>
      </c>
      <c r="W119" s="46" t="n">
        <f aca="false">SUMIFS('Additions (monthly)'!$E$2:$E$106,'Additions (monthly)'!$D$2:$D$106,W$2,'Additions (monthly)'!$B$2:$B$106,"&lt;="&amp;$B119)</f>
        <v>0</v>
      </c>
      <c r="X119" s="46" t="n">
        <f aca="false">SUMIFS('Additions (monthly)'!$E$2:$E$106,'Additions (monthly)'!$D$2:$D$106,X$2,'Additions (monthly)'!$B$2:$B$106,"&lt;="&amp;$B119)</f>
        <v>0</v>
      </c>
      <c r="Y119" s="46" t="n">
        <f aca="false">SUMIFS('Additions (monthly)'!$E$2:$E$106,'Additions (monthly)'!$D$2:$D$106,Y$2,'Additions (monthly)'!$B$2:$B$106,"&lt;="&amp;$B119)</f>
        <v>5</v>
      </c>
      <c r="Z119" s="46" t="n">
        <f aca="false">SUMIFS('Additions (monthly)'!$E$2:$E$106,'Additions (monthly)'!$D$2:$D$106,Z$2,'Additions (monthly)'!$B$2:$B$106,"&lt;="&amp;$B119)</f>
        <v>7.2</v>
      </c>
      <c r="AA119" s="46" t="n">
        <f aca="false">SUMIFS('Additions (monthly)'!$E$2:$E$106,'Additions (monthly)'!$D$2:$D$106,AA$2,'Additions (monthly)'!$B$2:$B$106,"&lt;="&amp;$B119)</f>
        <v>3.7</v>
      </c>
      <c r="AB119" s="46" t="n">
        <f aca="false">SUMIFS('Additions (monthly)'!$E$2:$E$106,'Additions (monthly)'!$D$2:$D$106,AB$2,'Additions (monthly)'!$B$2:$B$106,"&lt;="&amp;$B119)</f>
        <v>16.95</v>
      </c>
      <c r="AC119" s="46" t="n">
        <f aca="false">SUMIFS('Additions (monthly)'!$E$2:$E$106,'Additions (monthly)'!$D$2:$D$106,AC$2,'Additions (monthly)'!$B$2:$B$106,"&lt;="&amp;$B119)</f>
        <v>2</v>
      </c>
      <c r="AD119" s="46" t="n">
        <f aca="false">SUMIFS('Additions (monthly)'!$E$2:$E$106,'Additions (monthly)'!$D$2:$D$106,AD$2,'Additions (monthly)'!$B$2:$B$106,"&lt;="&amp;$B119)</f>
        <v>7.6</v>
      </c>
      <c r="AE119" s="46" t="n">
        <f aca="false">SUMIFS('Additions (monthly)'!$E$2:$E$106,'Additions (monthly)'!$D$2:$D$106,AE$2,'Additions (monthly)'!$B$2:$B$106,"&lt;="&amp;$B119)</f>
        <v>29.3</v>
      </c>
      <c r="AF119" s="46" t="n">
        <f aca="false">SUMIFS('Additions (monthly)'!$E$2:$E$106,'Additions (monthly)'!$D$2:$D$106,AF$2,'Additions (monthly)'!$B$2:$B$106,"&lt;="&amp;$B119)</f>
        <v>1.2</v>
      </c>
      <c r="AG119" s="46" t="n">
        <f aca="false">SUMIFS('Additions (monthly)'!$E$2:$E$106,'Additions (monthly)'!$D$2:$D$106,AG$2,'Additions (monthly)'!$B$2:$B$106,"&lt;="&amp;$B119)</f>
        <v>0</v>
      </c>
      <c r="AH119" s="46" t="n">
        <f aca="false">SUMIFS('Additions (monthly)'!$E$2:$E$106,'Additions (monthly)'!$D$2:$D$106,AH$2,'Additions (monthly)'!$B$2:$B$106,"&lt;="&amp;$B119)</f>
        <v>0</v>
      </c>
      <c r="AI119" s="46" t="n">
        <f aca="false">SUMIFS('Additions (monthly)'!$E$2:$E$106,'Additions (monthly)'!$D$2:$D$106,AI$2,'Additions (monthly)'!$B$2:$B$106,"&lt;="&amp;$B119)</f>
        <v>0</v>
      </c>
      <c r="AJ119" s="46" t="n">
        <f aca="false">SUMIFS('Additions (monthly)'!$E$2:$E$106,'Additions (monthly)'!$D$2:$D$106,AJ$2,'Additions (monthly)'!$B$2:$B$106,"&lt;="&amp;$B119)</f>
        <v>0</v>
      </c>
      <c r="AK119" s="46" t="n">
        <f aca="false">SUMIFS('Additions (monthly)'!$E$2:$E$106,'Additions (monthly)'!$D$2:$D$106,AK$2,'Additions (monthly)'!$B$2:$B$106,"&lt;="&amp;$B119)</f>
        <v>0</v>
      </c>
      <c r="AL119" s="46" t="n">
        <f aca="false">SUMIFS('Additions (monthly)'!$E$2:$E$106,'Additions (monthly)'!$D$2:$D$106,AL$2,'Additions (monthly)'!$B$2:$B$106,"&lt;="&amp;$B119)</f>
        <v>22.2</v>
      </c>
      <c r="AM119" s="46" t="n">
        <f aca="false">SUMIFS('Additions (monthly)'!$E$2:$E$106,'Additions (monthly)'!$D$2:$D$106,AM$2,'Additions (monthly)'!$B$2:$B$106,"&lt;="&amp;$B119)</f>
        <v>0.3</v>
      </c>
      <c r="AN119" s="46" t="n">
        <f aca="false">SUMIFS('Additions (monthly)'!$E$2:$E$106,'Additions (monthly)'!$D$2:$D$106,AN$2,'Additions (monthly)'!$B$2:$B$106,"&lt;="&amp;$B119)</f>
        <v>4.3</v>
      </c>
      <c r="AO119" s="46" t="n">
        <f aca="false">SUMIFS('Additions (monthly)'!$E$2:$E$106,'Additions (monthly)'!$D$2:$D$106,AO$2,'Additions (monthly)'!$B$2:$B$106,"&lt;="&amp;$B119)</f>
        <v>10.4</v>
      </c>
      <c r="AP119" s="46" t="n">
        <f aca="false">SUMIFS('Additions (monthly)'!$E$2:$E$106,'Additions (monthly)'!$D$2:$D$106,AP$2,'Additions (monthly)'!$B$2:$B$106,"&lt;="&amp;$B119)</f>
        <v>6.9</v>
      </c>
      <c r="AQ119" s="46" t="n">
        <f aca="false">SUMIFS('Additions (monthly)'!$E$2:$E$106,'Additions (monthly)'!$D$2:$D$106,AQ$2,'Additions (monthly)'!$B$2:$B$106,"&lt;="&amp;$B119)</f>
        <v>4.45</v>
      </c>
      <c r="AR119" s="46" t="n">
        <f aca="false">SUMIFS('Additions (monthly)'!$E$2:$E$106,'Additions (monthly)'!$D$2:$D$106,AR$2,'Additions (monthly)'!$B$2:$B$106,"&lt;="&amp;$B119)</f>
        <v>77.1</v>
      </c>
      <c r="AS119" s="46" t="n">
        <f aca="false">SUMIFS('Additions (monthly)'!$E$2:$E$106,'Additions (monthly)'!$D$2:$D$106,AS$2,'Additions (monthly)'!$B$2:$B$106,"&lt;="&amp;$B119)</f>
        <v>0</v>
      </c>
      <c r="AT119" s="46" t="n">
        <f aca="false">SUMIFS('Additions (monthly)'!$E$2:$E$106,'Additions (monthly)'!$D$2:$D$106,AT$2,'Additions (monthly)'!$B$2:$B$106,"&lt;="&amp;$B119)</f>
        <v>0</v>
      </c>
      <c r="AU119" s="46" t="n">
        <f aca="false">SUMIFS('Additions (monthly)'!$E$2:$E$106,'Additions (monthly)'!$D$2:$D$106,AU$2,'Additions (monthly)'!$B$2:$B$106,"&lt;="&amp;$B119)</f>
        <v>9.6</v>
      </c>
      <c r="AV119" s="46" t="n">
        <f aca="false">SUMIFS('Additions (monthly)'!$E$2:$E$106,'Additions (monthly)'!$D$2:$D$106,AV$2,'Additions (monthly)'!$B$2:$B$106,"&lt;="&amp;$B119)</f>
        <v>0.66</v>
      </c>
      <c r="AW119" s="46" t="n">
        <f aca="false">SUMIFS('Additions (monthly)'!$E$2:$E$106,'Additions (monthly)'!$D$2:$D$106,AW$2,'Additions (monthly)'!$B$2:$B$106,"&lt;="&amp;$B119)</f>
        <v>16.5</v>
      </c>
      <c r="AX119" s="46" t="n">
        <f aca="false">SUMIFS('Additions (monthly)'!$E$2:$E$106,'Additions (monthly)'!$D$2:$D$106,AX$2,'Additions (monthly)'!$B$2:$B$106,"&lt;="&amp;$B119)</f>
        <v>11.8</v>
      </c>
      <c r="AY119" s="46" t="n">
        <f aca="false">SUMIFS('Additions (monthly)'!$E$2:$E$106,'Additions (monthly)'!$D$2:$D$106,AY$2,'Additions (monthly)'!$B$2:$B$106,"&lt;="&amp;$B119)</f>
        <v>5.3</v>
      </c>
      <c r="AZ119" s="46" t="n">
        <f aca="false">SUMIFS('Additions (monthly)'!$E$2:$E$106,'Additions (monthly)'!$D$2:$D$106,AZ$2,'Additions (monthly)'!$B$2:$B$106,"&lt;="&amp;$B119)</f>
        <v>0</v>
      </c>
      <c r="BA119" s="46" t="n">
        <f aca="false">SUMIFS('Additions (monthly)'!$E$2:$E$106,'Additions (monthly)'!$D$2:$D$106,BA$2,'Additions (monthly)'!$B$2:$B$106,"&lt;="&amp;$B119)</f>
        <v>4.5</v>
      </c>
      <c r="BB119" s="46" t="n">
        <f aca="false">SUMIFS('Additions (monthly)'!$E$2:$E$106,'Additions (monthly)'!$D$2:$D$106,BB$2,'Additions (monthly)'!$B$2:$B$106,"&lt;="&amp;$B119)</f>
        <v>10</v>
      </c>
      <c r="BC119" s="46" t="n">
        <f aca="false">SUMIFS('Additions (monthly)'!$E$2:$E$106,'Additions (monthly)'!$D$2:$D$106,BC$2,'Additions (monthly)'!$B$2:$B$106,"&lt;="&amp;$B119)</f>
        <v>5.25</v>
      </c>
      <c r="BD119" s="46" t="n">
        <f aca="false">SUMIFS('Additions (monthly)'!$E$2:$E$106,'Additions (monthly)'!$D$2:$D$106,BD$2,'Additions (monthly)'!$B$2:$B$106,"&lt;="&amp;$B119)</f>
        <v>0</v>
      </c>
      <c r="BE119" s="46" t="n">
        <f aca="false">SUMIFS('Additions (monthly)'!$E$2:$E$106,'Additions (monthly)'!$D$2:$D$106,BE$2,'Additions (monthly)'!$B$2:$B$106,"&lt;="&amp;$B119)</f>
        <v>5.1</v>
      </c>
      <c r="BF119" s="46" t="n">
        <f aca="false">SUMIFS('Additions (monthly)'!$E$2:$E$106,'Additions (monthly)'!$D$2:$D$106,BF$2,'Additions (monthly)'!$B$2:$B$106,"&lt;="&amp;$B119)</f>
        <v>0</v>
      </c>
      <c r="BG119" s="46" t="n">
        <f aca="false">SUMIFS('Additions (monthly)'!$E$2:$E$106,'Additions (monthly)'!$D$2:$D$106,BG$2,'Additions (monthly)'!$B$2:$B$106,"&lt;="&amp;$B119)</f>
        <v>0</v>
      </c>
      <c r="BH119" s="46" t="n">
        <f aca="false">SUMIFS('Additions (monthly)'!$E$2:$E$106,'Additions (monthly)'!$D$2:$D$106,BH$2,'Additions (monthly)'!$B$2:$B$106,"&lt;="&amp;$B119)</f>
        <v>25</v>
      </c>
      <c r="BI119" s="46" t="n">
        <f aca="false">SUMIFS('Additions (monthly)'!$E$2:$E$106,'Additions (monthly)'!$D$2:$D$106,BI$2,'Additions (monthly)'!$B$2:$B$106,"&lt;="&amp;$B119)</f>
        <v>6.7</v>
      </c>
    </row>
    <row r="120" customFormat="false" ht="15" hidden="false" customHeight="false" outlineLevel="0" collapsed="false">
      <c r="A120" s="44" t="n">
        <v>43739</v>
      </c>
      <c r="B120" s="45" t="n">
        <v>201910</v>
      </c>
      <c r="C120" s="42" t="n">
        <f aca="false">SUMIFS('Additions (monthly)'!$E$2:$E$106,'Additions (monthly)'!$B$2:$B$106,"&lt;="&amp;$B120)</f>
        <v>428.53</v>
      </c>
      <c r="D120" s="46" t="n">
        <f aca="false">SUMIFS('Additions (monthly)'!$E$2:$E$106,'Additions (monthly)'!$D$2:$D$106,D$2,'Additions (monthly)'!$B$2:$B$106,"&lt;="&amp;$B120)</f>
        <v>7.9</v>
      </c>
      <c r="E120" s="46" t="n">
        <f aca="false">SUMIFS('Additions (monthly)'!$E$2:$E$106,'Additions (monthly)'!$D$2:$D$106,E$2,'Additions (monthly)'!$B$2:$B$106,"&lt;="&amp;$B120)</f>
        <v>8.4</v>
      </c>
      <c r="F120" s="46" t="n">
        <f aca="false">SUMIFS('Additions (monthly)'!$E$2:$E$106,'Additions (monthly)'!$D$2:$D$106,F$2,'Additions (monthly)'!$B$2:$B$106,"&lt;="&amp;$B120)</f>
        <v>4.7</v>
      </c>
      <c r="G120" s="46" t="n">
        <f aca="false">SUMIFS('Additions (monthly)'!$E$2:$E$106,'Additions (monthly)'!$D$2:$D$106,G$2,'Additions (monthly)'!$B$2:$B$106,"&lt;="&amp;$B120)</f>
        <v>4.5</v>
      </c>
      <c r="H120" s="46" t="n">
        <f aca="false">SUMIFS('Additions (monthly)'!$E$2:$E$106,'Additions (monthly)'!$D$2:$D$106,H$2,'Additions (monthly)'!$B$2:$B$106,"&lt;="&amp;$B120)</f>
        <v>5.2</v>
      </c>
      <c r="I120" s="46" t="n">
        <f aca="false">SUMIFS('Additions (monthly)'!$E$2:$E$106,'Additions (monthly)'!$D$2:$D$106,I$2,'Additions (monthly)'!$B$2:$B$106,"&lt;="&amp;$B120)</f>
        <v>9</v>
      </c>
      <c r="J120" s="46" t="n">
        <f aca="false">SUMIFS('Additions (monthly)'!$E$2:$E$106,'Additions (monthly)'!$D$2:$D$106,J$2,'Additions (monthly)'!$B$2:$B$106,"&lt;="&amp;$B120)</f>
        <v>3.7</v>
      </c>
      <c r="K120" s="46" t="n">
        <f aca="false">SUMIFS('Additions (monthly)'!$E$2:$E$106,'Additions (monthly)'!$D$2:$D$106,K$2,'Additions (monthly)'!$B$2:$B$106,"&lt;="&amp;$B120)</f>
        <v>7.8</v>
      </c>
      <c r="L120" s="46" t="n">
        <f aca="false">SUMIFS('Additions (monthly)'!$E$2:$E$106,'Additions (monthly)'!$D$2:$D$106,L$2,'Additions (monthly)'!$B$2:$B$106,"&lt;="&amp;$B120)</f>
        <v>15.6</v>
      </c>
      <c r="M120" s="46" t="n">
        <f aca="false">SUMIFS('Additions (monthly)'!$E$2:$E$106,'Additions (monthly)'!$D$2:$D$106,M$2,'Additions (monthly)'!$B$2:$B$106,"&lt;="&amp;$B120)</f>
        <v>8.9</v>
      </c>
      <c r="N120" s="46" t="n">
        <f aca="false">SUMIFS('Additions (monthly)'!$E$2:$E$106,'Additions (monthly)'!$D$2:$D$106,N$2,'Additions (monthly)'!$B$2:$B$106,"&lt;="&amp;$B120)</f>
        <v>14.2</v>
      </c>
      <c r="O120" s="46" t="n">
        <f aca="false">SUMIFS('Additions (monthly)'!$E$2:$E$106,'Additions (monthly)'!$D$2:$D$106,O$2,'Additions (monthly)'!$B$2:$B$106,"&lt;="&amp;$B120)</f>
        <v>4.9</v>
      </c>
      <c r="P120" s="46" t="n">
        <f aca="false">SUMIFS('Additions (monthly)'!$E$2:$E$106,'Additions (monthly)'!$D$2:$D$106,P$2,'Additions (monthly)'!$B$2:$B$106,"&lt;="&amp;$B120)</f>
        <v>3.6</v>
      </c>
      <c r="Q120" s="46" t="n">
        <f aca="false">SUMIFS('Additions (monthly)'!$E$2:$E$106,'Additions (monthly)'!$D$2:$D$106,Q$2,'Additions (monthly)'!$B$2:$B$106,"&lt;="&amp;$B120)</f>
        <v>8.5</v>
      </c>
      <c r="R120" s="46" t="n">
        <f aca="false">SUMIFS('Additions (monthly)'!$E$2:$E$106,'Additions (monthly)'!$D$2:$D$106,R$2,'Additions (monthly)'!$B$2:$B$106,"&lt;="&amp;$B120)</f>
        <v>8.9</v>
      </c>
      <c r="S120" s="46" t="n">
        <f aca="false">SUMIFS('Additions (monthly)'!$E$2:$E$106,'Additions (monthly)'!$D$2:$D$106,S$2,'Additions (monthly)'!$B$2:$B$106,"&lt;="&amp;$B120)</f>
        <v>7.2</v>
      </c>
      <c r="T120" s="46" t="n">
        <f aca="false">SUMIFS('Additions (monthly)'!$E$2:$E$106,'Additions (monthly)'!$D$2:$D$106,T$2,'Additions (monthly)'!$B$2:$B$106,"&lt;="&amp;$B120)</f>
        <v>2.4</v>
      </c>
      <c r="U120" s="46" t="n">
        <f aca="false">SUMIFS('Additions (monthly)'!$E$2:$E$106,'Additions (monthly)'!$D$2:$D$106,U$2,'Additions (monthly)'!$B$2:$B$106,"&lt;="&amp;$B120)</f>
        <v>0</v>
      </c>
      <c r="V120" s="46" t="n">
        <f aca="false">SUMIFS('Additions (monthly)'!$E$2:$E$106,'Additions (monthly)'!$D$2:$D$106,V$2,'Additions (monthly)'!$B$2:$B$106,"&lt;="&amp;$B120)</f>
        <v>3.87</v>
      </c>
      <c r="W120" s="46" t="n">
        <f aca="false">SUMIFS('Additions (monthly)'!$E$2:$E$106,'Additions (monthly)'!$D$2:$D$106,W$2,'Additions (monthly)'!$B$2:$B$106,"&lt;="&amp;$B120)</f>
        <v>0</v>
      </c>
      <c r="X120" s="46" t="n">
        <f aca="false">SUMIFS('Additions (monthly)'!$E$2:$E$106,'Additions (monthly)'!$D$2:$D$106,X$2,'Additions (monthly)'!$B$2:$B$106,"&lt;="&amp;$B120)</f>
        <v>0</v>
      </c>
      <c r="Y120" s="46" t="n">
        <f aca="false">SUMIFS('Additions (monthly)'!$E$2:$E$106,'Additions (monthly)'!$D$2:$D$106,Y$2,'Additions (monthly)'!$B$2:$B$106,"&lt;="&amp;$B120)</f>
        <v>5</v>
      </c>
      <c r="Z120" s="46" t="n">
        <f aca="false">SUMIFS('Additions (monthly)'!$E$2:$E$106,'Additions (monthly)'!$D$2:$D$106,Z$2,'Additions (monthly)'!$B$2:$B$106,"&lt;="&amp;$B120)</f>
        <v>7.2</v>
      </c>
      <c r="AA120" s="46" t="n">
        <f aca="false">SUMIFS('Additions (monthly)'!$E$2:$E$106,'Additions (monthly)'!$D$2:$D$106,AA$2,'Additions (monthly)'!$B$2:$B$106,"&lt;="&amp;$B120)</f>
        <v>3.7</v>
      </c>
      <c r="AB120" s="46" t="n">
        <f aca="false">SUMIFS('Additions (monthly)'!$E$2:$E$106,'Additions (monthly)'!$D$2:$D$106,AB$2,'Additions (monthly)'!$B$2:$B$106,"&lt;="&amp;$B120)</f>
        <v>16.95</v>
      </c>
      <c r="AC120" s="46" t="n">
        <f aca="false">SUMIFS('Additions (monthly)'!$E$2:$E$106,'Additions (monthly)'!$D$2:$D$106,AC$2,'Additions (monthly)'!$B$2:$B$106,"&lt;="&amp;$B120)</f>
        <v>2</v>
      </c>
      <c r="AD120" s="46" t="n">
        <f aca="false">SUMIFS('Additions (monthly)'!$E$2:$E$106,'Additions (monthly)'!$D$2:$D$106,AD$2,'Additions (monthly)'!$B$2:$B$106,"&lt;="&amp;$B120)</f>
        <v>7.6</v>
      </c>
      <c r="AE120" s="46" t="n">
        <f aca="false">SUMIFS('Additions (monthly)'!$E$2:$E$106,'Additions (monthly)'!$D$2:$D$106,AE$2,'Additions (monthly)'!$B$2:$B$106,"&lt;="&amp;$B120)</f>
        <v>29.3</v>
      </c>
      <c r="AF120" s="46" t="n">
        <f aca="false">SUMIFS('Additions (monthly)'!$E$2:$E$106,'Additions (monthly)'!$D$2:$D$106,AF$2,'Additions (monthly)'!$B$2:$B$106,"&lt;="&amp;$B120)</f>
        <v>1.2</v>
      </c>
      <c r="AG120" s="46" t="n">
        <f aca="false">SUMIFS('Additions (monthly)'!$E$2:$E$106,'Additions (monthly)'!$D$2:$D$106,AG$2,'Additions (monthly)'!$B$2:$B$106,"&lt;="&amp;$B120)</f>
        <v>0</v>
      </c>
      <c r="AH120" s="46" t="n">
        <f aca="false">SUMIFS('Additions (monthly)'!$E$2:$E$106,'Additions (monthly)'!$D$2:$D$106,AH$2,'Additions (monthly)'!$B$2:$B$106,"&lt;="&amp;$B120)</f>
        <v>0</v>
      </c>
      <c r="AI120" s="46" t="n">
        <f aca="false">SUMIFS('Additions (monthly)'!$E$2:$E$106,'Additions (monthly)'!$D$2:$D$106,AI$2,'Additions (monthly)'!$B$2:$B$106,"&lt;="&amp;$B120)</f>
        <v>0</v>
      </c>
      <c r="AJ120" s="46" t="n">
        <f aca="false">SUMIFS('Additions (monthly)'!$E$2:$E$106,'Additions (monthly)'!$D$2:$D$106,AJ$2,'Additions (monthly)'!$B$2:$B$106,"&lt;="&amp;$B120)</f>
        <v>0</v>
      </c>
      <c r="AK120" s="46" t="n">
        <f aca="false">SUMIFS('Additions (monthly)'!$E$2:$E$106,'Additions (monthly)'!$D$2:$D$106,AK$2,'Additions (monthly)'!$B$2:$B$106,"&lt;="&amp;$B120)</f>
        <v>0</v>
      </c>
      <c r="AL120" s="46" t="n">
        <f aca="false">SUMIFS('Additions (monthly)'!$E$2:$E$106,'Additions (monthly)'!$D$2:$D$106,AL$2,'Additions (monthly)'!$B$2:$B$106,"&lt;="&amp;$B120)</f>
        <v>22.2</v>
      </c>
      <c r="AM120" s="46" t="n">
        <f aca="false">SUMIFS('Additions (monthly)'!$E$2:$E$106,'Additions (monthly)'!$D$2:$D$106,AM$2,'Additions (monthly)'!$B$2:$B$106,"&lt;="&amp;$B120)</f>
        <v>0.3</v>
      </c>
      <c r="AN120" s="46" t="n">
        <f aca="false">SUMIFS('Additions (monthly)'!$E$2:$E$106,'Additions (monthly)'!$D$2:$D$106,AN$2,'Additions (monthly)'!$B$2:$B$106,"&lt;="&amp;$B120)</f>
        <v>4.3</v>
      </c>
      <c r="AO120" s="46" t="n">
        <f aca="false">SUMIFS('Additions (monthly)'!$E$2:$E$106,'Additions (monthly)'!$D$2:$D$106,AO$2,'Additions (monthly)'!$B$2:$B$106,"&lt;="&amp;$B120)</f>
        <v>10.4</v>
      </c>
      <c r="AP120" s="46" t="n">
        <f aca="false">SUMIFS('Additions (monthly)'!$E$2:$E$106,'Additions (monthly)'!$D$2:$D$106,AP$2,'Additions (monthly)'!$B$2:$B$106,"&lt;="&amp;$B120)</f>
        <v>6.9</v>
      </c>
      <c r="AQ120" s="46" t="n">
        <f aca="false">SUMIFS('Additions (monthly)'!$E$2:$E$106,'Additions (monthly)'!$D$2:$D$106,AQ$2,'Additions (monthly)'!$B$2:$B$106,"&lt;="&amp;$B120)</f>
        <v>4.45</v>
      </c>
      <c r="AR120" s="46" t="n">
        <f aca="false">SUMIFS('Additions (monthly)'!$E$2:$E$106,'Additions (monthly)'!$D$2:$D$106,AR$2,'Additions (monthly)'!$B$2:$B$106,"&lt;="&amp;$B120)</f>
        <v>77.1</v>
      </c>
      <c r="AS120" s="46" t="n">
        <f aca="false">SUMIFS('Additions (monthly)'!$E$2:$E$106,'Additions (monthly)'!$D$2:$D$106,AS$2,'Additions (monthly)'!$B$2:$B$106,"&lt;="&amp;$B120)</f>
        <v>0</v>
      </c>
      <c r="AT120" s="46" t="n">
        <f aca="false">SUMIFS('Additions (monthly)'!$E$2:$E$106,'Additions (monthly)'!$D$2:$D$106,AT$2,'Additions (monthly)'!$B$2:$B$106,"&lt;="&amp;$B120)</f>
        <v>0</v>
      </c>
      <c r="AU120" s="46" t="n">
        <f aca="false">SUMIFS('Additions (monthly)'!$E$2:$E$106,'Additions (monthly)'!$D$2:$D$106,AU$2,'Additions (monthly)'!$B$2:$B$106,"&lt;="&amp;$B120)</f>
        <v>9.6</v>
      </c>
      <c r="AV120" s="46" t="n">
        <f aca="false">SUMIFS('Additions (monthly)'!$E$2:$E$106,'Additions (monthly)'!$D$2:$D$106,AV$2,'Additions (monthly)'!$B$2:$B$106,"&lt;="&amp;$B120)</f>
        <v>0.66</v>
      </c>
      <c r="AW120" s="46" t="n">
        <f aca="false">SUMIFS('Additions (monthly)'!$E$2:$E$106,'Additions (monthly)'!$D$2:$D$106,AW$2,'Additions (monthly)'!$B$2:$B$106,"&lt;="&amp;$B120)</f>
        <v>16.5</v>
      </c>
      <c r="AX120" s="46" t="n">
        <f aca="false">SUMIFS('Additions (monthly)'!$E$2:$E$106,'Additions (monthly)'!$D$2:$D$106,AX$2,'Additions (monthly)'!$B$2:$B$106,"&lt;="&amp;$B120)</f>
        <v>11.8</v>
      </c>
      <c r="AY120" s="46" t="n">
        <f aca="false">SUMIFS('Additions (monthly)'!$E$2:$E$106,'Additions (monthly)'!$D$2:$D$106,AY$2,'Additions (monthly)'!$B$2:$B$106,"&lt;="&amp;$B120)</f>
        <v>5.3</v>
      </c>
      <c r="AZ120" s="46" t="n">
        <f aca="false">SUMIFS('Additions (monthly)'!$E$2:$E$106,'Additions (monthly)'!$D$2:$D$106,AZ$2,'Additions (monthly)'!$B$2:$B$106,"&lt;="&amp;$B120)</f>
        <v>0</v>
      </c>
      <c r="BA120" s="46" t="n">
        <f aca="false">SUMIFS('Additions (monthly)'!$E$2:$E$106,'Additions (monthly)'!$D$2:$D$106,BA$2,'Additions (monthly)'!$B$2:$B$106,"&lt;="&amp;$B120)</f>
        <v>4.5</v>
      </c>
      <c r="BB120" s="46" t="n">
        <f aca="false">SUMIFS('Additions (monthly)'!$E$2:$E$106,'Additions (monthly)'!$D$2:$D$106,BB$2,'Additions (monthly)'!$B$2:$B$106,"&lt;="&amp;$B120)</f>
        <v>10</v>
      </c>
      <c r="BC120" s="46" t="n">
        <f aca="false">SUMIFS('Additions (monthly)'!$E$2:$E$106,'Additions (monthly)'!$D$2:$D$106,BC$2,'Additions (monthly)'!$B$2:$B$106,"&lt;="&amp;$B120)</f>
        <v>5.25</v>
      </c>
      <c r="BD120" s="46" t="n">
        <f aca="false">SUMIFS('Additions (monthly)'!$E$2:$E$106,'Additions (monthly)'!$D$2:$D$106,BD$2,'Additions (monthly)'!$B$2:$B$106,"&lt;="&amp;$B120)</f>
        <v>0.25</v>
      </c>
      <c r="BE120" s="46" t="n">
        <f aca="false">SUMIFS('Additions (monthly)'!$E$2:$E$106,'Additions (monthly)'!$D$2:$D$106,BE$2,'Additions (monthly)'!$B$2:$B$106,"&lt;="&amp;$B120)</f>
        <v>5.1</v>
      </c>
      <c r="BF120" s="46" t="n">
        <f aca="false">SUMIFS('Additions (monthly)'!$E$2:$E$106,'Additions (monthly)'!$D$2:$D$106,BF$2,'Additions (monthly)'!$B$2:$B$106,"&lt;="&amp;$B120)</f>
        <v>0</v>
      </c>
      <c r="BG120" s="46" t="n">
        <f aca="false">SUMIFS('Additions (monthly)'!$E$2:$E$106,'Additions (monthly)'!$D$2:$D$106,BG$2,'Additions (monthly)'!$B$2:$B$106,"&lt;="&amp;$B120)</f>
        <v>0</v>
      </c>
      <c r="BH120" s="46" t="n">
        <f aca="false">SUMIFS('Additions (monthly)'!$E$2:$E$106,'Additions (monthly)'!$D$2:$D$106,BH$2,'Additions (monthly)'!$B$2:$B$106,"&lt;="&amp;$B120)</f>
        <v>25</v>
      </c>
      <c r="BI120" s="46" t="n">
        <f aca="false">SUMIFS('Additions (monthly)'!$E$2:$E$106,'Additions (monthly)'!$D$2:$D$106,BI$2,'Additions (monthly)'!$B$2:$B$106,"&lt;="&amp;$B120)</f>
        <v>6.7</v>
      </c>
    </row>
    <row r="121" customFormat="false" ht="15" hidden="false" customHeight="false" outlineLevel="0" collapsed="false">
      <c r="A121" s="44" t="n">
        <v>43770</v>
      </c>
      <c r="B121" s="45" t="n">
        <v>201911</v>
      </c>
      <c r="C121" s="42" t="n">
        <f aca="false">SUMIFS('Additions (monthly)'!$E$2:$E$106,'Additions (monthly)'!$B$2:$B$106,"&lt;="&amp;$B121)</f>
        <v>428.78</v>
      </c>
      <c r="D121" s="46" t="n">
        <f aca="false">SUMIFS('Additions (monthly)'!$E$2:$E$106,'Additions (monthly)'!$D$2:$D$106,D$2,'Additions (monthly)'!$B$2:$B$106,"&lt;="&amp;$B121)</f>
        <v>7.9</v>
      </c>
      <c r="E121" s="46" t="n">
        <f aca="false">SUMIFS('Additions (monthly)'!$E$2:$E$106,'Additions (monthly)'!$D$2:$D$106,E$2,'Additions (monthly)'!$B$2:$B$106,"&lt;="&amp;$B121)</f>
        <v>8.4</v>
      </c>
      <c r="F121" s="46" t="n">
        <f aca="false">SUMIFS('Additions (monthly)'!$E$2:$E$106,'Additions (monthly)'!$D$2:$D$106,F$2,'Additions (monthly)'!$B$2:$B$106,"&lt;="&amp;$B121)</f>
        <v>4.7</v>
      </c>
      <c r="G121" s="46" t="n">
        <f aca="false">SUMIFS('Additions (monthly)'!$E$2:$E$106,'Additions (monthly)'!$D$2:$D$106,G$2,'Additions (monthly)'!$B$2:$B$106,"&lt;="&amp;$B121)</f>
        <v>4.5</v>
      </c>
      <c r="H121" s="46" t="n">
        <f aca="false">SUMIFS('Additions (monthly)'!$E$2:$E$106,'Additions (monthly)'!$D$2:$D$106,H$2,'Additions (monthly)'!$B$2:$B$106,"&lt;="&amp;$B121)</f>
        <v>5.2</v>
      </c>
      <c r="I121" s="46" t="n">
        <f aca="false">SUMIFS('Additions (monthly)'!$E$2:$E$106,'Additions (monthly)'!$D$2:$D$106,I$2,'Additions (monthly)'!$B$2:$B$106,"&lt;="&amp;$B121)</f>
        <v>9</v>
      </c>
      <c r="J121" s="46" t="n">
        <f aca="false">SUMIFS('Additions (monthly)'!$E$2:$E$106,'Additions (monthly)'!$D$2:$D$106,J$2,'Additions (monthly)'!$B$2:$B$106,"&lt;="&amp;$B121)</f>
        <v>3.7</v>
      </c>
      <c r="K121" s="46" t="n">
        <f aca="false">SUMIFS('Additions (monthly)'!$E$2:$E$106,'Additions (monthly)'!$D$2:$D$106,K$2,'Additions (monthly)'!$B$2:$B$106,"&lt;="&amp;$B121)</f>
        <v>7.8</v>
      </c>
      <c r="L121" s="46" t="n">
        <f aca="false">SUMIFS('Additions (monthly)'!$E$2:$E$106,'Additions (monthly)'!$D$2:$D$106,L$2,'Additions (monthly)'!$B$2:$B$106,"&lt;="&amp;$B121)</f>
        <v>15.6</v>
      </c>
      <c r="M121" s="46" t="n">
        <f aca="false">SUMIFS('Additions (monthly)'!$E$2:$E$106,'Additions (monthly)'!$D$2:$D$106,M$2,'Additions (monthly)'!$B$2:$B$106,"&lt;="&amp;$B121)</f>
        <v>8.9</v>
      </c>
      <c r="N121" s="46" t="n">
        <f aca="false">SUMIFS('Additions (monthly)'!$E$2:$E$106,'Additions (monthly)'!$D$2:$D$106,N$2,'Additions (monthly)'!$B$2:$B$106,"&lt;="&amp;$B121)</f>
        <v>14.2</v>
      </c>
      <c r="O121" s="46" t="n">
        <f aca="false">SUMIFS('Additions (monthly)'!$E$2:$E$106,'Additions (monthly)'!$D$2:$D$106,O$2,'Additions (monthly)'!$B$2:$B$106,"&lt;="&amp;$B121)</f>
        <v>4.9</v>
      </c>
      <c r="P121" s="46" t="n">
        <f aca="false">SUMIFS('Additions (monthly)'!$E$2:$E$106,'Additions (monthly)'!$D$2:$D$106,P$2,'Additions (monthly)'!$B$2:$B$106,"&lt;="&amp;$B121)</f>
        <v>3.6</v>
      </c>
      <c r="Q121" s="46" t="n">
        <f aca="false">SUMIFS('Additions (monthly)'!$E$2:$E$106,'Additions (monthly)'!$D$2:$D$106,Q$2,'Additions (monthly)'!$B$2:$B$106,"&lt;="&amp;$B121)</f>
        <v>8.5</v>
      </c>
      <c r="R121" s="46" t="n">
        <f aca="false">SUMIFS('Additions (monthly)'!$E$2:$E$106,'Additions (monthly)'!$D$2:$D$106,R$2,'Additions (monthly)'!$B$2:$B$106,"&lt;="&amp;$B121)</f>
        <v>8.9</v>
      </c>
      <c r="S121" s="46" t="n">
        <f aca="false">SUMIFS('Additions (monthly)'!$E$2:$E$106,'Additions (monthly)'!$D$2:$D$106,S$2,'Additions (monthly)'!$B$2:$B$106,"&lt;="&amp;$B121)</f>
        <v>7.2</v>
      </c>
      <c r="T121" s="46" t="n">
        <f aca="false">SUMIFS('Additions (monthly)'!$E$2:$E$106,'Additions (monthly)'!$D$2:$D$106,T$2,'Additions (monthly)'!$B$2:$B$106,"&lt;="&amp;$B121)</f>
        <v>2.4</v>
      </c>
      <c r="U121" s="46" t="n">
        <f aca="false">SUMIFS('Additions (monthly)'!$E$2:$E$106,'Additions (monthly)'!$D$2:$D$106,U$2,'Additions (monthly)'!$B$2:$B$106,"&lt;="&amp;$B121)</f>
        <v>0</v>
      </c>
      <c r="V121" s="46" t="n">
        <f aca="false">SUMIFS('Additions (monthly)'!$E$2:$E$106,'Additions (monthly)'!$D$2:$D$106,V$2,'Additions (monthly)'!$B$2:$B$106,"&lt;="&amp;$B121)</f>
        <v>3.87</v>
      </c>
      <c r="W121" s="46" t="n">
        <f aca="false">SUMIFS('Additions (monthly)'!$E$2:$E$106,'Additions (monthly)'!$D$2:$D$106,W$2,'Additions (monthly)'!$B$2:$B$106,"&lt;="&amp;$B121)</f>
        <v>0</v>
      </c>
      <c r="X121" s="46" t="n">
        <f aca="false">SUMIFS('Additions (monthly)'!$E$2:$E$106,'Additions (monthly)'!$D$2:$D$106,X$2,'Additions (monthly)'!$B$2:$B$106,"&lt;="&amp;$B121)</f>
        <v>0</v>
      </c>
      <c r="Y121" s="46" t="n">
        <f aca="false">SUMIFS('Additions (monthly)'!$E$2:$E$106,'Additions (monthly)'!$D$2:$D$106,Y$2,'Additions (monthly)'!$B$2:$B$106,"&lt;="&amp;$B121)</f>
        <v>5</v>
      </c>
      <c r="Z121" s="46" t="n">
        <f aca="false">SUMIFS('Additions (monthly)'!$E$2:$E$106,'Additions (monthly)'!$D$2:$D$106,Z$2,'Additions (monthly)'!$B$2:$B$106,"&lt;="&amp;$B121)</f>
        <v>7.2</v>
      </c>
      <c r="AA121" s="46" t="n">
        <f aca="false">SUMIFS('Additions (monthly)'!$E$2:$E$106,'Additions (monthly)'!$D$2:$D$106,AA$2,'Additions (monthly)'!$B$2:$B$106,"&lt;="&amp;$B121)</f>
        <v>3.7</v>
      </c>
      <c r="AB121" s="46" t="n">
        <f aca="false">SUMIFS('Additions (monthly)'!$E$2:$E$106,'Additions (monthly)'!$D$2:$D$106,AB$2,'Additions (monthly)'!$B$2:$B$106,"&lt;="&amp;$B121)</f>
        <v>16.95</v>
      </c>
      <c r="AC121" s="46" t="n">
        <f aca="false">SUMIFS('Additions (monthly)'!$E$2:$E$106,'Additions (monthly)'!$D$2:$D$106,AC$2,'Additions (monthly)'!$B$2:$B$106,"&lt;="&amp;$B121)</f>
        <v>2</v>
      </c>
      <c r="AD121" s="46" t="n">
        <f aca="false">SUMIFS('Additions (monthly)'!$E$2:$E$106,'Additions (monthly)'!$D$2:$D$106,AD$2,'Additions (monthly)'!$B$2:$B$106,"&lt;="&amp;$B121)</f>
        <v>7.6</v>
      </c>
      <c r="AE121" s="46" t="n">
        <f aca="false">SUMIFS('Additions (monthly)'!$E$2:$E$106,'Additions (monthly)'!$D$2:$D$106,AE$2,'Additions (monthly)'!$B$2:$B$106,"&lt;="&amp;$B121)</f>
        <v>29.3</v>
      </c>
      <c r="AF121" s="46" t="n">
        <f aca="false">SUMIFS('Additions (monthly)'!$E$2:$E$106,'Additions (monthly)'!$D$2:$D$106,AF$2,'Additions (monthly)'!$B$2:$B$106,"&lt;="&amp;$B121)</f>
        <v>1.2</v>
      </c>
      <c r="AG121" s="46" t="n">
        <f aca="false">SUMIFS('Additions (monthly)'!$E$2:$E$106,'Additions (monthly)'!$D$2:$D$106,AG$2,'Additions (monthly)'!$B$2:$B$106,"&lt;="&amp;$B121)</f>
        <v>0</v>
      </c>
      <c r="AH121" s="46" t="n">
        <f aca="false">SUMIFS('Additions (monthly)'!$E$2:$E$106,'Additions (monthly)'!$D$2:$D$106,AH$2,'Additions (monthly)'!$B$2:$B$106,"&lt;="&amp;$B121)</f>
        <v>0</v>
      </c>
      <c r="AI121" s="46" t="n">
        <f aca="false">SUMIFS('Additions (monthly)'!$E$2:$E$106,'Additions (monthly)'!$D$2:$D$106,AI$2,'Additions (monthly)'!$B$2:$B$106,"&lt;="&amp;$B121)</f>
        <v>0</v>
      </c>
      <c r="AJ121" s="46" t="n">
        <f aca="false">SUMIFS('Additions (monthly)'!$E$2:$E$106,'Additions (monthly)'!$D$2:$D$106,AJ$2,'Additions (monthly)'!$B$2:$B$106,"&lt;="&amp;$B121)</f>
        <v>0</v>
      </c>
      <c r="AK121" s="46" t="n">
        <f aca="false">SUMIFS('Additions (monthly)'!$E$2:$E$106,'Additions (monthly)'!$D$2:$D$106,AK$2,'Additions (monthly)'!$B$2:$B$106,"&lt;="&amp;$B121)</f>
        <v>0</v>
      </c>
      <c r="AL121" s="46" t="n">
        <f aca="false">SUMIFS('Additions (monthly)'!$E$2:$E$106,'Additions (monthly)'!$D$2:$D$106,AL$2,'Additions (monthly)'!$B$2:$B$106,"&lt;="&amp;$B121)</f>
        <v>22.2</v>
      </c>
      <c r="AM121" s="46" t="n">
        <f aca="false">SUMIFS('Additions (monthly)'!$E$2:$E$106,'Additions (monthly)'!$D$2:$D$106,AM$2,'Additions (monthly)'!$B$2:$B$106,"&lt;="&amp;$B121)</f>
        <v>0.3</v>
      </c>
      <c r="AN121" s="46" t="n">
        <f aca="false">SUMIFS('Additions (monthly)'!$E$2:$E$106,'Additions (monthly)'!$D$2:$D$106,AN$2,'Additions (monthly)'!$B$2:$B$106,"&lt;="&amp;$B121)</f>
        <v>4.3</v>
      </c>
      <c r="AO121" s="46" t="n">
        <f aca="false">SUMIFS('Additions (monthly)'!$E$2:$E$106,'Additions (monthly)'!$D$2:$D$106,AO$2,'Additions (monthly)'!$B$2:$B$106,"&lt;="&amp;$B121)</f>
        <v>10.4</v>
      </c>
      <c r="AP121" s="46" t="n">
        <f aca="false">SUMIFS('Additions (monthly)'!$E$2:$E$106,'Additions (monthly)'!$D$2:$D$106,AP$2,'Additions (monthly)'!$B$2:$B$106,"&lt;="&amp;$B121)</f>
        <v>6.9</v>
      </c>
      <c r="AQ121" s="46" t="n">
        <f aca="false">SUMIFS('Additions (monthly)'!$E$2:$E$106,'Additions (monthly)'!$D$2:$D$106,AQ$2,'Additions (monthly)'!$B$2:$B$106,"&lt;="&amp;$B121)</f>
        <v>4.45</v>
      </c>
      <c r="AR121" s="46" t="n">
        <f aca="false">SUMIFS('Additions (monthly)'!$E$2:$E$106,'Additions (monthly)'!$D$2:$D$106,AR$2,'Additions (monthly)'!$B$2:$B$106,"&lt;="&amp;$B121)</f>
        <v>77.1</v>
      </c>
      <c r="AS121" s="46" t="n">
        <f aca="false">SUMIFS('Additions (monthly)'!$E$2:$E$106,'Additions (monthly)'!$D$2:$D$106,AS$2,'Additions (monthly)'!$B$2:$B$106,"&lt;="&amp;$B121)</f>
        <v>0</v>
      </c>
      <c r="AT121" s="46" t="n">
        <f aca="false">SUMIFS('Additions (monthly)'!$E$2:$E$106,'Additions (monthly)'!$D$2:$D$106,AT$2,'Additions (monthly)'!$B$2:$B$106,"&lt;="&amp;$B121)</f>
        <v>0</v>
      </c>
      <c r="AU121" s="46" t="n">
        <f aca="false">SUMIFS('Additions (monthly)'!$E$2:$E$106,'Additions (monthly)'!$D$2:$D$106,AU$2,'Additions (monthly)'!$B$2:$B$106,"&lt;="&amp;$B121)</f>
        <v>9.6</v>
      </c>
      <c r="AV121" s="46" t="n">
        <f aca="false">SUMIFS('Additions (monthly)'!$E$2:$E$106,'Additions (monthly)'!$D$2:$D$106,AV$2,'Additions (monthly)'!$B$2:$B$106,"&lt;="&amp;$B121)</f>
        <v>0.66</v>
      </c>
      <c r="AW121" s="46" t="n">
        <f aca="false">SUMIFS('Additions (monthly)'!$E$2:$E$106,'Additions (monthly)'!$D$2:$D$106,AW$2,'Additions (monthly)'!$B$2:$B$106,"&lt;="&amp;$B121)</f>
        <v>16.5</v>
      </c>
      <c r="AX121" s="46" t="n">
        <f aca="false">SUMIFS('Additions (monthly)'!$E$2:$E$106,'Additions (monthly)'!$D$2:$D$106,AX$2,'Additions (monthly)'!$B$2:$B$106,"&lt;="&amp;$B121)</f>
        <v>11.8</v>
      </c>
      <c r="AY121" s="46" t="n">
        <f aca="false">SUMIFS('Additions (monthly)'!$E$2:$E$106,'Additions (monthly)'!$D$2:$D$106,AY$2,'Additions (monthly)'!$B$2:$B$106,"&lt;="&amp;$B121)</f>
        <v>5.3</v>
      </c>
      <c r="AZ121" s="46" t="n">
        <f aca="false">SUMIFS('Additions (monthly)'!$E$2:$E$106,'Additions (monthly)'!$D$2:$D$106,AZ$2,'Additions (monthly)'!$B$2:$B$106,"&lt;="&amp;$B121)</f>
        <v>0</v>
      </c>
      <c r="BA121" s="46" t="n">
        <f aca="false">SUMIFS('Additions (monthly)'!$E$2:$E$106,'Additions (monthly)'!$D$2:$D$106,BA$2,'Additions (monthly)'!$B$2:$B$106,"&lt;="&amp;$B121)</f>
        <v>4.5</v>
      </c>
      <c r="BB121" s="46" t="n">
        <f aca="false">SUMIFS('Additions (monthly)'!$E$2:$E$106,'Additions (monthly)'!$D$2:$D$106,BB$2,'Additions (monthly)'!$B$2:$B$106,"&lt;="&amp;$B121)</f>
        <v>10</v>
      </c>
      <c r="BC121" s="46" t="n">
        <f aca="false">SUMIFS('Additions (monthly)'!$E$2:$E$106,'Additions (monthly)'!$D$2:$D$106,BC$2,'Additions (monthly)'!$B$2:$B$106,"&lt;="&amp;$B121)</f>
        <v>5.25</v>
      </c>
      <c r="BD121" s="46" t="n">
        <f aca="false">SUMIFS('Additions (monthly)'!$E$2:$E$106,'Additions (monthly)'!$D$2:$D$106,BD$2,'Additions (monthly)'!$B$2:$B$106,"&lt;="&amp;$B121)</f>
        <v>0.5</v>
      </c>
      <c r="BE121" s="46" t="n">
        <f aca="false">SUMIFS('Additions (monthly)'!$E$2:$E$106,'Additions (monthly)'!$D$2:$D$106,BE$2,'Additions (monthly)'!$B$2:$B$106,"&lt;="&amp;$B121)</f>
        <v>5.1</v>
      </c>
      <c r="BF121" s="46" t="n">
        <f aca="false">SUMIFS('Additions (monthly)'!$E$2:$E$106,'Additions (monthly)'!$D$2:$D$106,BF$2,'Additions (monthly)'!$B$2:$B$106,"&lt;="&amp;$B121)</f>
        <v>0</v>
      </c>
      <c r="BG121" s="46" t="n">
        <f aca="false">SUMIFS('Additions (monthly)'!$E$2:$E$106,'Additions (monthly)'!$D$2:$D$106,BG$2,'Additions (monthly)'!$B$2:$B$106,"&lt;="&amp;$B121)</f>
        <v>0</v>
      </c>
      <c r="BH121" s="46" t="n">
        <f aca="false">SUMIFS('Additions (monthly)'!$E$2:$E$106,'Additions (monthly)'!$D$2:$D$106,BH$2,'Additions (monthly)'!$B$2:$B$106,"&lt;="&amp;$B121)</f>
        <v>25</v>
      </c>
      <c r="BI121" s="46" t="n">
        <f aca="false">SUMIFS('Additions (monthly)'!$E$2:$E$106,'Additions (monthly)'!$D$2:$D$106,BI$2,'Additions (monthly)'!$B$2:$B$106,"&lt;="&amp;$B121)</f>
        <v>6.7</v>
      </c>
    </row>
    <row r="122" customFormat="false" ht="15" hidden="false" customHeight="false" outlineLevel="0" collapsed="false">
      <c r="A122" s="44" t="n">
        <v>43800</v>
      </c>
      <c r="B122" s="45" t="n">
        <v>201912</v>
      </c>
      <c r="C122" s="42" t="n">
        <f aca="false">SUMIFS('Additions (monthly)'!$E$2:$E$106,'Additions (monthly)'!$B$2:$B$106,"&lt;="&amp;$B122)</f>
        <v>448.23</v>
      </c>
      <c r="D122" s="46" t="n">
        <f aca="false">SUMIFS('Additions (monthly)'!$E$2:$E$106,'Additions (monthly)'!$D$2:$D$106,D$2,'Additions (monthly)'!$B$2:$B$106,"&lt;="&amp;$B122)</f>
        <v>7.9</v>
      </c>
      <c r="E122" s="46" t="n">
        <f aca="false">SUMIFS('Additions (monthly)'!$E$2:$E$106,'Additions (monthly)'!$D$2:$D$106,E$2,'Additions (monthly)'!$B$2:$B$106,"&lt;="&amp;$B122)</f>
        <v>8.4</v>
      </c>
      <c r="F122" s="46" t="n">
        <f aca="false">SUMIFS('Additions (monthly)'!$E$2:$E$106,'Additions (monthly)'!$D$2:$D$106,F$2,'Additions (monthly)'!$B$2:$B$106,"&lt;="&amp;$B122)</f>
        <v>4.7</v>
      </c>
      <c r="G122" s="46" t="n">
        <f aca="false">SUMIFS('Additions (monthly)'!$E$2:$E$106,'Additions (monthly)'!$D$2:$D$106,G$2,'Additions (monthly)'!$B$2:$B$106,"&lt;="&amp;$B122)</f>
        <v>4.5</v>
      </c>
      <c r="H122" s="46" t="n">
        <f aca="false">SUMIFS('Additions (monthly)'!$E$2:$E$106,'Additions (monthly)'!$D$2:$D$106,H$2,'Additions (monthly)'!$B$2:$B$106,"&lt;="&amp;$B122)</f>
        <v>5.2</v>
      </c>
      <c r="I122" s="46" t="n">
        <f aca="false">SUMIFS('Additions (monthly)'!$E$2:$E$106,'Additions (monthly)'!$D$2:$D$106,I$2,'Additions (monthly)'!$B$2:$B$106,"&lt;="&amp;$B122)</f>
        <v>9</v>
      </c>
      <c r="J122" s="46" t="n">
        <f aca="false">SUMIFS('Additions (monthly)'!$E$2:$E$106,'Additions (monthly)'!$D$2:$D$106,J$2,'Additions (monthly)'!$B$2:$B$106,"&lt;="&amp;$B122)</f>
        <v>3.7</v>
      </c>
      <c r="K122" s="46" t="n">
        <f aca="false">SUMIFS('Additions (monthly)'!$E$2:$E$106,'Additions (monthly)'!$D$2:$D$106,K$2,'Additions (monthly)'!$B$2:$B$106,"&lt;="&amp;$B122)</f>
        <v>7.8</v>
      </c>
      <c r="L122" s="46" t="n">
        <f aca="false">SUMIFS('Additions (monthly)'!$E$2:$E$106,'Additions (monthly)'!$D$2:$D$106,L$2,'Additions (monthly)'!$B$2:$B$106,"&lt;="&amp;$B122)</f>
        <v>15.6</v>
      </c>
      <c r="M122" s="46" t="n">
        <f aca="false">SUMIFS('Additions (monthly)'!$E$2:$E$106,'Additions (monthly)'!$D$2:$D$106,M$2,'Additions (monthly)'!$B$2:$B$106,"&lt;="&amp;$B122)</f>
        <v>8.9</v>
      </c>
      <c r="N122" s="46" t="n">
        <f aca="false">SUMIFS('Additions (monthly)'!$E$2:$E$106,'Additions (monthly)'!$D$2:$D$106,N$2,'Additions (monthly)'!$B$2:$B$106,"&lt;="&amp;$B122)</f>
        <v>14.2</v>
      </c>
      <c r="O122" s="46" t="n">
        <f aca="false">SUMIFS('Additions (monthly)'!$E$2:$E$106,'Additions (monthly)'!$D$2:$D$106,O$2,'Additions (monthly)'!$B$2:$B$106,"&lt;="&amp;$B122)</f>
        <v>4.9</v>
      </c>
      <c r="P122" s="46" t="n">
        <f aca="false">SUMIFS('Additions (monthly)'!$E$2:$E$106,'Additions (monthly)'!$D$2:$D$106,P$2,'Additions (monthly)'!$B$2:$B$106,"&lt;="&amp;$B122)</f>
        <v>3.6</v>
      </c>
      <c r="Q122" s="46" t="n">
        <f aca="false">SUMIFS('Additions (monthly)'!$E$2:$E$106,'Additions (monthly)'!$D$2:$D$106,Q$2,'Additions (monthly)'!$B$2:$B$106,"&lt;="&amp;$B122)</f>
        <v>8.5</v>
      </c>
      <c r="R122" s="46" t="n">
        <f aca="false">SUMIFS('Additions (monthly)'!$E$2:$E$106,'Additions (monthly)'!$D$2:$D$106,R$2,'Additions (monthly)'!$B$2:$B$106,"&lt;="&amp;$B122)</f>
        <v>8.9</v>
      </c>
      <c r="S122" s="46" t="n">
        <f aca="false">SUMIFS('Additions (monthly)'!$E$2:$E$106,'Additions (monthly)'!$D$2:$D$106,S$2,'Additions (monthly)'!$B$2:$B$106,"&lt;="&amp;$B122)</f>
        <v>7.2</v>
      </c>
      <c r="T122" s="46" t="n">
        <f aca="false">SUMIFS('Additions (monthly)'!$E$2:$E$106,'Additions (monthly)'!$D$2:$D$106,T$2,'Additions (monthly)'!$B$2:$B$106,"&lt;="&amp;$B122)</f>
        <v>2.4</v>
      </c>
      <c r="U122" s="46" t="n">
        <f aca="false">SUMIFS('Additions (monthly)'!$E$2:$E$106,'Additions (monthly)'!$D$2:$D$106,U$2,'Additions (monthly)'!$B$2:$B$106,"&lt;="&amp;$B122)</f>
        <v>0</v>
      </c>
      <c r="V122" s="46" t="n">
        <f aca="false">SUMIFS('Additions (monthly)'!$E$2:$E$106,'Additions (monthly)'!$D$2:$D$106,V$2,'Additions (monthly)'!$B$2:$B$106,"&lt;="&amp;$B122)</f>
        <v>3.87</v>
      </c>
      <c r="W122" s="46" t="n">
        <f aca="false">SUMIFS('Additions (monthly)'!$E$2:$E$106,'Additions (monthly)'!$D$2:$D$106,W$2,'Additions (monthly)'!$B$2:$B$106,"&lt;="&amp;$B122)</f>
        <v>0</v>
      </c>
      <c r="X122" s="46" t="n">
        <f aca="false">SUMIFS('Additions (monthly)'!$E$2:$E$106,'Additions (monthly)'!$D$2:$D$106,X$2,'Additions (monthly)'!$B$2:$B$106,"&lt;="&amp;$B122)</f>
        <v>0</v>
      </c>
      <c r="Y122" s="46" t="n">
        <f aca="false">SUMIFS('Additions (monthly)'!$E$2:$E$106,'Additions (monthly)'!$D$2:$D$106,Y$2,'Additions (monthly)'!$B$2:$B$106,"&lt;="&amp;$B122)</f>
        <v>5</v>
      </c>
      <c r="Z122" s="46" t="n">
        <f aca="false">SUMIFS('Additions (monthly)'!$E$2:$E$106,'Additions (monthly)'!$D$2:$D$106,Z$2,'Additions (monthly)'!$B$2:$B$106,"&lt;="&amp;$B122)</f>
        <v>7.2</v>
      </c>
      <c r="AA122" s="46" t="n">
        <f aca="false">SUMIFS('Additions (monthly)'!$E$2:$E$106,'Additions (monthly)'!$D$2:$D$106,AA$2,'Additions (monthly)'!$B$2:$B$106,"&lt;="&amp;$B122)</f>
        <v>3.7</v>
      </c>
      <c r="AB122" s="46" t="n">
        <f aca="false">SUMIFS('Additions (monthly)'!$E$2:$E$106,'Additions (monthly)'!$D$2:$D$106,AB$2,'Additions (monthly)'!$B$2:$B$106,"&lt;="&amp;$B122)</f>
        <v>16.95</v>
      </c>
      <c r="AC122" s="46" t="n">
        <f aca="false">SUMIFS('Additions (monthly)'!$E$2:$E$106,'Additions (monthly)'!$D$2:$D$106,AC$2,'Additions (monthly)'!$B$2:$B$106,"&lt;="&amp;$B122)</f>
        <v>2</v>
      </c>
      <c r="AD122" s="46" t="n">
        <f aca="false">SUMIFS('Additions (monthly)'!$E$2:$E$106,'Additions (monthly)'!$D$2:$D$106,AD$2,'Additions (monthly)'!$B$2:$B$106,"&lt;="&amp;$B122)</f>
        <v>7.6</v>
      </c>
      <c r="AE122" s="46" t="n">
        <f aca="false">SUMIFS('Additions (monthly)'!$E$2:$E$106,'Additions (monthly)'!$D$2:$D$106,AE$2,'Additions (monthly)'!$B$2:$B$106,"&lt;="&amp;$B122)</f>
        <v>29.3</v>
      </c>
      <c r="AF122" s="46" t="n">
        <f aca="false">SUMIFS('Additions (monthly)'!$E$2:$E$106,'Additions (monthly)'!$D$2:$D$106,AF$2,'Additions (monthly)'!$B$2:$B$106,"&lt;="&amp;$B122)</f>
        <v>1.2</v>
      </c>
      <c r="AG122" s="46" t="n">
        <f aca="false">SUMIFS('Additions (monthly)'!$E$2:$E$106,'Additions (monthly)'!$D$2:$D$106,AG$2,'Additions (monthly)'!$B$2:$B$106,"&lt;="&amp;$B122)</f>
        <v>0</v>
      </c>
      <c r="AH122" s="46" t="n">
        <f aca="false">SUMIFS('Additions (monthly)'!$E$2:$E$106,'Additions (monthly)'!$D$2:$D$106,AH$2,'Additions (monthly)'!$B$2:$B$106,"&lt;="&amp;$B122)</f>
        <v>0</v>
      </c>
      <c r="AI122" s="46" t="n">
        <f aca="false">SUMIFS('Additions (monthly)'!$E$2:$E$106,'Additions (monthly)'!$D$2:$D$106,AI$2,'Additions (monthly)'!$B$2:$B$106,"&lt;="&amp;$B122)</f>
        <v>0</v>
      </c>
      <c r="AJ122" s="46" t="n">
        <f aca="false">SUMIFS('Additions (monthly)'!$E$2:$E$106,'Additions (monthly)'!$D$2:$D$106,AJ$2,'Additions (monthly)'!$B$2:$B$106,"&lt;="&amp;$B122)</f>
        <v>0</v>
      </c>
      <c r="AK122" s="46" t="n">
        <f aca="false">SUMIFS('Additions (monthly)'!$E$2:$E$106,'Additions (monthly)'!$D$2:$D$106,AK$2,'Additions (monthly)'!$B$2:$B$106,"&lt;="&amp;$B122)</f>
        <v>0</v>
      </c>
      <c r="AL122" s="46" t="n">
        <f aca="false">SUMIFS('Additions (monthly)'!$E$2:$E$106,'Additions (monthly)'!$D$2:$D$106,AL$2,'Additions (monthly)'!$B$2:$B$106,"&lt;="&amp;$B122)</f>
        <v>22.2</v>
      </c>
      <c r="AM122" s="46" t="n">
        <f aca="false">SUMIFS('Additions (monthly)'!$E$2:$E$106,'Additions (monthly)'!$D$2:$D$106,AM$2,'Additions (monthly)'!$B$2:$B$106,"&lt;="&amp;$B122)</f>
        <v>0.3</v>
      </c>
      <c r="AN122" s="46" t="n">
        <f aca="false">SUMIFS('Additions (monthly)'!$E$2:$E$106,'Additions (monthly)'!$D$2:$D$106,AN$2,'Additions (monthly)'!$B$2:$B$106,"&lt;="&amp;$B122)</f>
        <v>4.3</v>
      </c>
      <c r="AO122" s="46" t="n">
        <f aca="false">SUMIFS('Additions (monthly)'!$E$2:$E$106,'Additions (monthly)'!$D$2:$D$106,AO$2,'Additions (monthly)'!$B$2:$B$106,"&lt;="&amp;$B122)</f>
        <v>10.4</v>
      </c>
      <c r="AP122" s="46" t="n">
        <f aca="false">SUMIFS('Additions (monthly)'!$E$2:$E$106,'Additions (monthly)'!$D$2:$D$106,AP$2,'Additions (monthly)'!$B$2:$B$106,"&lt;="&amp;$B122)</f>
        <v>6.9</v>
      </c>
      <c r="AQ122" s="46" t="n">
        <f aca="false">SUMIFS('Additions (monthly)'!$E$2:$E$106,'Additions (monthly)'!$D$2:$D$106,AQ$2,'Additions (monthly)'!$B$2:$B$106,"&lt;="&amp;$B122)</f>
        <v>4.45</v>
      </c>
      <c r="AR122" s="46" t="n">
        <f aca="false">SUMIFS('Additions (monthly)'!$E$2:$E$106,'Additions (monthly)'!$D$2:$D$106,AR$2,'Additions (monthly)'!$B$2:$B$106,"&lt;="&amp;$B122)</f>
        <v>77.1</v>
      </c>
      <c r="AS122" s="46" t="n">
        <f aca="false">SUMIFS('Additions (monthly)'!$E$2:$E$106,'Additions (monthly)'!$D$2:$D$106,AS$2,'Additions (monthly)'!$B$2:$B$106,"&lt;="&amp;$B122)</f>
        <v>0</v>
      </c>
      <c r="AT122" s="46" t="n">
        <f aca="false">SUMIFS('Additions (monthly)'!$E$2:$E$106,'Additions (monthly)'!$D$2:$D$106,AT$2,'Additions (monthly)'!$B$2:$B$106,"&lt;="&amp;$B122)</f>
        <v>0</v>
      </c>
      <c r="AU122" s="46" t="n">
        <f aca="false">SUMIFS('Additions (monthly)'!$E$2:$E$106,'Additions (monthly)'!$D$2:$D$106,AU$2,'Additions (monthly)'!$B$2:$B$106,"&lt;="&amp;$B122)</f>
        <v>9.6</v>
      </c>
      <c r="AV122" s="46" t="n">
        <f aca="false">SUMIFS('Additions (monthly)'!$E$2:$E$106,'Additions (monthly)'!$D$2:$D$106,AV$2,'Additions (monthly)'!$B$2:$B$106,"&lt;="&amp;$B122)</f>
        <v>0.66</v>
      </c>
      <c r="AW122" s="46" t="n">
        <f aca="false">SUMIFS('Additions (monthly)'!$E$2:$E$106,'Additions (monthly)'!$D$2:$D$106,AW$2,'Additions (monthly)'!$B$2:$B$106,"&lt;="&amp;$B122)</f>
        <v>16.5</v>
      </c>
      <c r="AX122" s="46" t="n">
        <f aca="false">SUMIFS('Additions (monthly)'!$E$2:$E$106,'Additions (monthly)'!$D$2:$D$106,AX$2,'Additions (monthly)'!$B$2:$B$106,"&lt;="&amp;$B122)</f>
        <v>11.8</v>
      </c>
      <c r="AY122" s="46" t="n">
        <f aca="false">SUMIFS('Additions (monthly)'!$E$2:$E$106,'Additions (monthly)'!$D$2:$D$106,AY$2,'Additions (monthly)'!$B$2:$B$106,"&lt;="&amp;$B122)</f>
        <v>5.3</v>
      </c>
      <c r="AZ122" s="46" t="n">
        <f aca="false">SUMIFS('Additions (monthly)'!$E$2:$E$106,'Additions (monthly)'!$D$2:$D$106,AZ$2,'Additions (monthly)'!$B$2:$B$106,"&lt;="&amp;$B122)</f>
        <v>0</v>
      </c>
      <c r="BA122" s="46" t="n">
        <f aca="false">SUMIFS('Additions (monthly)'!$E$2:$E$106,'Additions (monthly)'!$D$2:$D$106,BA$2,'Additions (monthly)'!$B$2:$B$106,"&lt;="&amp;$B122)</f>
        <v>13.5</v>
      </c>
      <c r="BB122" s="46" t="n">
        <f aca="false">SUMIFS('Additions (monthly)'!$E$2:$E$106,'Additions (monthly)'!$D$2:$D$106,BB$2,'Additions (monthly)'!$B$2:$B$106,"&lt;="&amp;$B122)</f>
        <v>10</v>
      </c>
      <c r="BC122" s="46" t="n">
        <f aca="false">SUMIFS('Additions (monthly)'!$E$2:$E$106,'Additions (monthly)'!$D$2:$D$106,BC$2,'Additions (monthly)'!$B$2:$B$106,"&lt;="&amp;$B122)</f>
        <v>5.25</v>
      </c>
      <c r="BD122" s="46" t="n">
        <f aca="false">SUMIFS('Additions (monthly)'!$E$2:$E$106,'Additions (monthly)'!$D$2:$D$106,BD$2,'Additions (monthly)'!$B$2:$B$106,"&lt;="&amp;$B122)</f>
        <v>0.75</v>
      </c>
      <c r="BE122" s="46" t="n">
        <f aca="false">SUMIFS('Additions (monthly)'!$E$2:$E$106,'Additions (monthly)'!$D$2:$D$106,BE$2,'Additions (monthly)'!$B$2:$B$106,"&lt;="&amp;$B122)</f>
        <v>15.3</v>
      </c>
      <c r="BF122" s="46" t="n">
        <f aca="false">SUMIFS('Additions (monthly)'!$E$2:$E$106,'Additions (monthly)'!$D$2:$D$106,BF$2,'Additions (monthly)'!$B$2:$B$106,"&lt;="&amp;$B122)</f>
        <v>0</v>
      </c>
      <c r="BG122" s="46" t="n">
        <f aca="false">SUMIFS('Additions (monthly)'!$E$2:$E$106,'Additions (monthly)'!$D$2:$D$106,BG$2,'Additions (monthly)'!$B$2:$B$106,"&lt;="&amp;$B122)</f>
        <v>0</v>
      </c>
      <c r="BH122" s="46" t="n">
        <f aca="false">SUMIFS('Additions (monthly)'!$E$2:$E$106,'Additions (monthly)'!$D$2:$D$106,BH$2,'Additions (monthly)'!$B$2:$B$106,"&lt;="&amp;$B122)</f>
        <v>25</v>
      </c>
      <c r="BI122" s="46" t="n">
        <f aca="false">SUMIFS('Additions (monthly)'!$E$2:$E$106,'Additions (monthly)'!$D$2:$D$106,BI$2,'Additions (monthly)'!$B$2:$B$106,"&lt;="&amp;$B122)</f>
        <v>6.7</v>
      </c>
    </row>
    <row r="123" customFormat="false" ht="15" hidden="false" customHeight="false" outlineLevel="0" collapsed="false">
      <c r="A123" s="23" t="n">
        <v>43831</v>
      </c>
      <c r="B123" s="24" t="n">
        <v>202001</v>
      </c>
      <c r="C123" s="42" t="n">
        <f aca="false">SUMIFS('Additions (monthly)'!$E$2:$E$106,'Additions (monthly)'!$B$2:$B$106,"&lt;="&amp;$B123)</f>
        <v>448.48</v>
      </c>
      <c r="D123" s="43" t="n">
        <f aca="false">SUMIFS('Additions (monthly)'!$E$2:$E$106,'Additions (monthly)'!$D$2:$D$106,D$2,'Additions (monthly)'!$B$2:$B$106,"&lt;="&amp;$B123)</f>
        <v>7.9</v>
      </c>
      <c r="E123" s="43" t="n">
        <f aca="false">SUMIFS('Additions (monthly)'!$E$2:$E$106,'Additions (monthly)'!$D$2:$D$106,E$2,'Additions (monthly)'!$B$2:$B$106,"&lt;="&amp;$B123)</f>
        <v>8.4</v>
      </c>
      <c r="F123" s="43" t="n">
        <f aca="false">SUMIFS('Additions (monthly)'!$E$2:$E$106,'Additions (monthly)'!$D$2:$D$106,F$2,'Additions (monthly)'!$B$2:$B$106,"&lt;="&amp;$B123)</f>
        <v>4.7</v>
      </c>
      <c r="G123" s="43" t="n">
        <f aca="false">SUMIFS('Additions (monthly)'!$E$2:$E$106,'Additions (monthly)'!$D$2:$D$106,G$2,'Additions (monthly)'!$B$2:$B$106,"&lt;="&amp;$B123)</f>
        <v>4.5</v>
      </c>
      <c r="H123" s="43" t="n">
        <f aca="false">SUMIFS('Additions (monthly)'!$E$2:$E$106,'Additions (monthly)'!$D$2:$D$106,H$2,'Additions (monthly)'!$B$2:$B$106,"&lt;="&amp;$B123)</f>
        <v>5.2</v>
      </c>
      <c r="I123" s="43" t="n">
        <f aca="false">SUMIFS('Additions (monthly)'!$E$2:$E$106,'Additions (monthly)'!$D$2:$D$106,I$2,'Additions (monthly)'!$B$2:$B$106,"&lt;="&amp;$B123)</f>
        <v>9</v>
      </c>
      <c r="J123" s="43" t="n">
        <f aca="false">SUMIFS('Additions (monthly)'!$E$2:$E$106,'Additions (monthly)'!$D$2:$D$106,J$2,'Additions (monthly)'!$B$2:$B$106,"&lt;="&amp;$B123)</f>
        <v>3.7</v>
      </c>
      <c r="K123" s="43" t="n">
        <f aca="false">SUMIFS('Additions (monthly)'!$E$2:$E$106,'Additions (monthly)'!$D$2:$D$106,K$2,'Additions (monthly)'!$B$2:$B$106,"&lt;="&amp;$B123)</f>
        <v>7.8</v>
      </c>
      <c r="L123" s="43" t="n">
        <f aca="false">SUMIFS('Additions (monthly)'!$E$2:$E$106,'Additions (monthly)'!$D$2:$D$106,L$2,'Additions (monthly)'!$B$2:$B$106,"&lt;="&amp;$B123)</f>
        <v>15.6</v>
      </c>
      <c r="M123" s="43" t="n">
        <f aca="false">SUMIFS('Additions (monthly)'!$E$2:$E$106,'Additions (monthly)'!$D$2:$D$106,M$2,'Additions (monthly)'!$B$2:$B$106,"&lt;="&amp;$B123)</f>
        <v>8.9</v>
      </c>
      <c r="N123" s="43" t="n">
        <f aca="false">SUMIFS('Additions (monthly)'!$E$2:$E$106,'Additions (monthly)'!$D$2:$D$106,N$2,'Additions (monthly)'!$B$2:$B$106,"&lt;="&amp;$B123)</f>
        <v>14.2</v>
      </c>
      <c r="O123" s="43" t="n">
        <f aca="false">SUMIFS('Additions (monthly)'!$E$2:$E$106,'Additions (monthly)'!$D$2:$D$106,O$2,'Additions (monthly)'!$B$2:$B$106,"&lt;="&amp;$B123)</f>
        <v>4.9</v>
      </c>
      <c r="P123" s="43" t="n">
        <f aca="false">SUMIFS('Additions (monthly)'!$E$2:$E$106,'Additions (monthly)'!$D$2:$D$106,P$2,'Additions (monthly)'!$B$2:$B$106,"&lt;="&amp;$B123)</f>
        <v>3.6</v>
      </c>
      <c r="Q123" s="43" t="n">
        <f aca="false">SUMIFS('Additions (monthly)'!$E$2:$E$106,'Additions (monthly)'!$D$2:$D$106,Q$2,'Additions (monthly)'!$B$2:$B$106,"&lt;="&amp;$B123)</f>
        <v>8.5</v>
      </c>
      <c r="R123" s="43" t="n">
        <f aca="false">SUMIFS('Additions (monthly)'!$E$2:$E$106,'Additions (monthly)'!$D$2:$D$106,R$2,'Additions (monthly)'!$B$2:$B$106,"&lt;="&amp;$B123)</f>
        <v>8.9</v>
      </c>
      <c r="S123" s="43" t="n">
        <f aca="false">SUMIFS('Additions (monthly)'!$E$2:$E$106,'Additions (monthly)'!$D$2:$D$106,S$2,'Additions (monthly)'!$B$2:$B$106,"&lt;="&amp;$B123)</f>
        <v>7.2</v>
      </c>
      <c r="T123" s="43" t="n">
        <f aca="false">SUMIFS('Additions (monthly)'!$E$2:$E$106,'Additions (monthly)'!$D$2:$D$106,T$2,'Additions (monthly)'!$B$2:$B$106,"&lt;="&amp;$B123)</f>
        <v>2.4</v>
      </c>
      <c r="U123" s="43" t="n">
        <f aca="false">SUMIFS('Additions (monthly)'!$E$2:$E$106,'Additions (monthly)'!$D$2:$D$106,U$2,'Additions (monthly)'!$B$2:$B$106,"&lt;="&amp;$B123)</f>
        <v>0</v>
      </c>
      <c r="V123" s="43" t="n">
        <f aca="false">SUMIFS('Additions (monthly)'!$E$2:$E$106,'Additions (monthly)'!$D$2:$D$106,V$2,'Additions (monthly)'!$B$2:$B$106,"&lt;="&amp;$B123)</f>
        <v>3.87</v>
      </c>
      <c r="W123" s="43" t="n">
        <f aca="false">SUMIFS('Additions (monthly)'!$E$2:$E$106,'Additions (monthly)'!$D$2:$D$106,W$2,'Additions (monthly)'!$B$2:$B$106,"&lt;="&amp;$B123)</f>
        <v>0</v>
      </c>
      <c r="X123" s="43" t="n">
        <f aca="false">SUMIFS('Additions (monthly)'!$E$2:$E$106,'Additions (monthly)'!$D$2:$D$106,X$2,'Additions (monthly)'!$B$2:$B$106,"&lt;="&amp;$B123)</f>
        <v>0</v>
      </c>
      <c r="Y123" s="43" t="n">
        <f aca="false">SUMIFS('Additions (monthly)'!$E$2:$E$106,'Additions (monthly)'!$D$2:$D$106,Y$2,'Additions (monthly)'!$B$2:$B$106,"&lt;="&amp;$B123)</f>
        <v>5</v>
      </c>
      <c r="Z123" s="43" t="n">
        <f aca="false">SUMIFS('Additions (monthly)'!$E$2:$E$106,'Additions (monthly)'!$D$2:$D$106,Z$2,'Additions (monthly)'!$B$2:$B$106,"&lt;="&amp;$B123)</f>
        <v>7.2</v>
      </c>
      <c r="AA123" s="43" t="n">
        <f aca="false">SUMIFS('Additions (monthly)'!$E$2:$E$106,'Additions (monthly)'!$D$2:$D$106,AA$2,'Additions (monthly)'!$B$2:$B$106,"&lt;="&amp;$B123)</f>
        <v>3.7</v>
      </c>
      <c r="AB123" s="43" t="n">
        <f aca="false">SUMIFS('Additions (monthly)'!$E$2:$E$106,'Additions (monthly)'!$D$2:$D$106,AB$2,'Additions (monthly)'!$B$2:$B$106,"&lt;="&amp;$B123)</f>
        <v>16.95</v>
      </c>
      <c r="AC123" s="43" t="n">
        <f aca="false">SUMIFS('Additions (monthly)'!$E$2:$E$106,'Additions (monthly)'!$D$2:$D$106,AC$2,'Additions (monthly)'!$B$2:$B$106,"&lt;="&amp;$B123)</f>
        <v>2</v>
      </c>
      <c r="AD123" s="43" t="n">
        <f aca="false">SUMIFS('Additions (monthly)'!$E$2:$E$106,'Additions (monthly)'!$D$2:$D$106,AD$2,'Additions (monthly)'!$B$2:$B$106,"&lt;="&amp;$B123)</f>
        <v>7.6</v>
      </c>
      <c r="AE123" s="43" t="n">
        <f aca="false">SUMIFS('Additions (monthly)'!$E$2:$E$106,'Additions (monthly)'!$D$2:$D$106,AE$2,'Additions (monthly)'!$B$2:$B$106,"&lt;="&amp;$B123)</f>
        <v>29.3</v>
      </c>
      <c r="AF123" s="43" t="n">
        <f aca="false">SUMIFS('Additions (monthly)'!$E$2:$E$106,'Additions (monthly)'!$D$2:$D$106,AF$2,'Additions (monthly)'!$B$2:$B$106,"&lt;="&amp;$B123)</f>
        <v>1.2</v>
      </c>
      <c r="AG123" s="43" t="n">
        <f aca="false">SUMIFS('Additions (monthly)'!$E$2:$E$106,'Additions (monthly)'!$D$2:$D$106,AG$2,'Additions (monthly)'!$B$2:$B$106,"&lt;="&amp;$B123)</f>
        <v>0</v>
      </c>
      <c r="AH123" s="43" t="n">
        <f aca="false">SUMIFS('Additions (monthly)'!$E$2:$E$106,'Additions (monthly)'!$D$2:$D$106,AH$2,'Additions (monthly)'!$B$2:$B$106,"&lt;="&amp;$B123)</f>
        <v>0</v>
      </c>
      <c r="AI123" s="43" t="n">
        <f aca="false">SUMIFS('Additions (monthly)'!$E$2:$E$106,'Additions (monthly)'!$D$2:$D$106,AI$2,'Additions (monthly)'!$B$2:$B$106,"&lt;="&amp;$B123)</f>
        <v>0</v>
      </c>
      <c r="AJ123" s="43" t="n">
        <f aca="false">SUMIFS('Additions (monthly)'!$E$2:$E$106,'Additions (monthly)'!$D$2:$D$106,AJ$2,'Additions (monthly)'!$B$2:$B$106,"&lt;="&amp;$B123)</f>
        <v>0</v>
      </c>
      <c r="AK123" s="43" t="n">
        <f aca="false">SUMIFS('Additions (monthly)'!$E$2:$E$106,'Additions (monthly)'!$D$2:$D$106,AK$2,'Additions (monthly)'!$B$2:$B$106,"&lt;="&amp;$B123)</f>
        <v>0</v>
      </c>
      <c r="AL123" s="43" t="n">
        <f aca="false">SUMIFS('Additions (monthly)'!$E$2:$E$106,'Additions (monthly)'!$D$2:$D$106,AL$2,'Additions (monthly)'!$B$2:$B$106,"&lt;="&amp;$B123)</f>
        <v>22.2</v>
      </c>
      <c r="AM123" s="43" t="n">
        <f aca="false">SUMIFS('Additions (monthly)'!$E$2:$E$106,'Additions (monthly)'!$D$2:$D$106,AM$2,'Additions (monthly)'!$B$2:$B$106,"&lt;="&amp;$B123)</f>
        <v>0.3</v>
      </c>
      <c r="AN123" s="43" t="n">
        <f aca="false">SUMIFS('Additions (monthly)'!$E$2:$E$106,'Additions (monthly)'!$D$2:$D$106,AN$2,'Additions (monthly)'!$B$2:$B$106,"&lt;="&amp;$B123)</f>
        <v>4.3</v>
      </c>
      <c r="AO123" s="43" t="n">
        <f aca="false">SUMIFS('Additions (monthly)'!$E$2:$E$106,'Additions (monthly)'!$D$2:$D$106,AO$2,'Additions (monthly)'!$B$2:$B$106,"&lt;="&amp;$B123)</f>
        <v>10.4</v>
      </c>
      <c r="AP123" s="43" t="n">
        <f aca="false">SUMIFS('Additions (monthly)'!$E$2:$E$106,'Additions (monthly)'!$D$2:$D$106,AP$2,'Additions (monthly)'!$B$2:$B$106,"&lt;="&amp;$B123)</f>
        <v>6.9</v>
      </c>
      <c r="AQ123" s="43" t="n">
        <f aca="false">SUMIFS('Additions (monthly)'!$E$2:$E$106,'Additions (monthly)'!$D$2:$D$106,AQ$2,'Additions (monthly)'!$B$2:$B$106,"&lt;="&amp;$B123)</f>
        <v>4.45</v>
      </c>
      <c r="AR123" s="43" t="n">
        <f aca="false">SUMIFS('Additions (monthly)'!$E$2:$E$106,'Additions (monthly)'!$D$2:$D$106,AR$2,'Additions (monthly)'!$B$2:$B$106,"&lt;="&amp;$B123)</f>
        <v>77.1</v>
      </c>
      <c r="AS123" s="43" t="n">
        <f aca="false">SUMIFS('Additions (monthly)'!$E$2:$E$106,'Additions (monthly)'!$D$2:$D$106,AS$2,'Additions (monthly)'!$B$2:$B$106,"&lt;="&amp;$B123)</f>
        <v>0</v>
      </c>
      <c r="AT123" s="43" t="n">
        <f aca="false">SUMIFS('Additions (monthly)'!$E$2:$E$106,'Additions (monthly)'!$D$2:$D$106,AT$2,'Additions (monthly)'!$B$2:$B$106,"&lt;="&amp;$B123)</f>
        <v>0</v>
      </c>
      <c r="AU123" s="43" t="n">
        <f aca="false">SUMIFS('Additions (monthly)'!$E$2:$E$106,'Additions (monthly)'!$D$2:$D$106,AU$2,'Additions (monthly)'!$B$2:$B$106,"&lt;="&amp;$B123)</f>
        <v>9.6</v>
      </c>
      <c r="AV123" s="43" t="n">
        <f aca="false">SUMIFS('Additions (monthly)'!$E$2:$E$106,'Additions (monthly)'!$D$2:$D$106,AV$2,'Additions (monthly)'!$B$2:$B$106,"&lt;="&amp;$B123)</f>
        <v>0.66</v>
      </c>
      <c r="AW123" s="43" t="n">
        <f aca="false">SUMIFS('Additions (monthly)'!$E$2:$E$106,'Additions (monthly)'!$D$2:$D$106,AW$2,'Additions (monthly)'!$B$2:$B$106,"&lt;="&amp;$B123)</f>
        <v>16.5</v>
      </c>
      <c r="AX123" s="43" t="n">
        <f aca="false">SUMIFS('Additions (monthly)'!$E$2:$E$106,'Additions (monthly)'!$D$2:$D$106,AX$2,'Additions (monthly)'!$B$2:$B$106,"&lt;="&amp;$B123)</f>
        <v>11.8</v>
      </c>
      <c r="AY123" s="43" t="n">
        <f aca="false">SUMIFS('Additions (monthly)'!$E$2:$E$106,'Additions (monthly)'!$D$2:$D$106,AY$2,'Additions (monthly)'!$B$2:$B$106,"&lt;="&amp;$B123)</f>
        <v>5.3</v>
      </c>
      <c r="AZ123" s="43" t="n">
        <f aca="false">SUMIFS('Additions (monthly)'!$E$2:$E$106,'Additions (monthly)'!$D$2:$D$106,AZ$2,'Additions (monthly)'!$B$2:$B$106,"&lt;="&amp;$B123)</f>
        <v>0</v>
      </c>
      <c r="BA123" s="43" t="n">
        <f aca="false">SUMIFS('Additions (monthly)'!$E$2:$E$106,'Additions (monthly)'!$D$2:$D$106,BA$2,'Additions (monthly)'!$B$2:$B$106,"&lt;="&amp;$B123)</f>
        <v>13.5</v>
      </c>
      <c r="BB123" s="43" t="n">
        <f aca="false">SUMIFS('Additions (monthly)'!$E$2:$E$106,'Additions (monthly)'!$D$2:$D$106,BB$2,'Additions (monthly)'!$B$2:$B$106,"&lt;="&amp;$B123)</f>
        <v>10</v>
      </c>
      <c r="BC123" s="43" t="n">
        <f aca="false">SUMIFS('Additions (monthly)'!$E$2:$E$106,'Additions (monthly)'!$D$2:$D$106,BC$2,'Additions (monthly)'!$B$2:$B$106,"&lt;="&amp;$B123)</f>
        <v>5.25</v>
      </c>
      <c r="BD123" s="43" t="n">
        <f aca="false">SUMIFS('Additions (monthly)'!$E$2:$E$106,'Additions (monthly)'!$D$2:$D$106,BD$2,'Additions (monthly)'!$B$2:$B$106,"&lt;="&amp;$B123)</f>
        <v>1</v>
      </c>
      <c r="BE123" s="43" t="n">
        <f aca="false">SUMIFS('Additions (monthly)'!$E$2:$E$106,'Additions (monthly)'!$D$2:$D$106,BE$2,'Additions (monthly)'!$B$2:$B$106,"&lt;="&amp;$B123)</f>
        <v>15.3</v>
      </c>
      <c r="BF123" s="43" t="n">
        <f aca="false">SUMIFS('Additions (monthly)'!$E$2:$E$106,'Additions (monthly)'!$D$2:$D$106,BF$2,'Additions (monthly)'!$B$2:$B$106,"&lt;="&amp;$B123)</f>
        <v>0</v>
      </c>
      <c r="BG123" s="43" t="n">
        <f aca="false">SUMIFS('Additions (monthly)'!$E$2:$E$106,'Additions (monthly)'!$D$2:$D$106,BG$2,'Additions (monthly)'!$B$2:$B$106,"&lt;="&amp;$B123)</f>
        <v>0</v>
      </c>
      <c r="BH123" s="43" t="n">
        <f aca="false">SUMIFS('Additions (monthly)'!$E$2:$E$106,'Additions (monthly)'!$D$2:$D$106,BH$2,'Additions (monthly)'!$B$2:$B$106,"&lt;="&amp;$B123)</f>
        <v>25</v>
      </c>
      <c r="BI123" s="43" t="n">
        <f aca="false">SUMIFS('Additions (monthly)'!$E$2:$E$106,'Additions (monthly)'!$D$2:$D$106,BI$2,'Additions (monthly)'!$B$2:$B$106,"&lt;="&amp;$B123)</f>
        <v>6.7</v>
      </c>
    </row>
    <row r="124" customFormat="false" ht="15" hidden="false" customHeight="false" outlineLevel="0" collapsed="false">
      <c r="A124" s="23" t="n">
        <v>43862</v>
      </c>
      <c r="B124" s="24" t="n">
        <v>202002</v>
      </c>
      <c r="C124" s="42" t="n">
        <f aca="false">SUMIFS('Additions (monthly)'!$E$2:$E$106,'Additions (monthly)'!$B$2:$B$106,"&lt;="&amp;$B124)</f>
        <v>448.48</v>
      </c>
      <c r="D124" s="43" t="n">
        <f aca="false">SUMIFS('Additions (monthly)'!$E$2:$E$106,'Additions (monthly)'!$D$2:$D$106,D$2,'Additions (monthly)'!$B$2:$B$106,"&lt;="&amp;$B124)</f>
        <v>7.9</v>
      </c>
      <c r="E124" s="43" t="n">
        <f aca="false">SUMIFS('Additions (monthly)'!$E$2:$E$106,'Additions (monthly)'!$D$2:$D$106,E$2,'Additions (monthly)'!$B$2:$B$106,"&lt;="&amp;$B124)</f>
        <v>8.4</v>
      </c>
      <c r="F124" s="43" t="n">
        <f aca="false">SUMIFS('Additions (monthly)'!$E$2:$E$106,'Additions (monthly)'!$D$2:$D$106,F$2,'Additions (monthly)'!$B$2:$B$106,"&lt;="&amp;$B124)</f>
        <v>4.7</v>
      </c>
      <c r="G124" s="43" t="n">
        <f aca="false">SUMIFS('Additions (monthly)'!$E$2:$E$106,'Additions (monthly)'!$D$2:$D$106,G$2,'Additions (monthly)'!$B$2:$B$106,"&lt;="&amp;$B124)</f>
        <v>4.5</v>
      </c>
      <c r="H124" s="43" t="n">
        <f aca="false">SUMIFS('Additions (monthly)'!$E$2:$E$106,'Additions (monthly)'!$D$2:$D$106,H$2,'Additions (monthly)'!$B$2:$B$106,"&lt;="&amp;$B124)</f>
        <v>5.2</v>
      </c>
      <c r="I124" s="43" t="n">
        <f aca="false">SUMIFS('Additions (monthly)'!$E$2:$E$106,'Additions (monthly)'!$D$2:$D$106,I$2,'Additions (monthly)'!$B$2:$B$106,"&lt;="&amp;$B124)</f>
        <v>9</v>
      </c>
      <c r="J124" s="43" t="n">
        <f aca="false">SUMIFS('Additions (monthly)'!$E$2:$E$106,'Additions (monthly)'!$D$2:$D$106,J$2,'Additions (monthly)'!$B$2:$B$106,"&lt;="&amp;$B124)</f>
        <v>3.7</v>
      </c>
      <c r="K124" s="43" t="n">
        <f aca="false">SUMIFS('Additions (monthly)'!$E$2:$E$106,'Additions (monthly)'!$D$2:$D$106,K$2,'Additions (monthly)'!$B$2:$B$106,"&lt;="&amp;$B124)</f>
        <v>7.8</v>
      </c>
      <c r="L124" s="43" t="n">
        <f aca="false">SUMIFS('Additions (monthly)'!$E$2:$E$106,'Additions (monthly)'!$D$2:$D$106,L$2,'Additions (monthly)'!$B$2:$B$106,"&lt;="&amp;$B124)</f>
        <v>15.6</v>
      </c>
      <c r="M124" s="43" t="n">
        <f aca="false">SUMIFS('Additions (monthly)'!$E$2:$E$106,'Additions (monthly)'!$D$2:$D$106,M$2,'Additions (monthly)'!$B$2:$B$106,"&lt;="&amp;$B124)</f>
        <v>8.9</v>
      </c>
      <c r="N124" s="43" t="n">
        <f aca="false">SUMIFS('Additions (monthly)'!$E$2:$E$106,'Additions (monthly)'!$D$2:$D$106,N$2,'Additions (monthly)'!$B$2:$B$106,"&lt;="&amp;$B124)</f>
        <v>14.2</v>
      </c>
      <c r="O124" s="43" t="n">
        <f aca="false">SUMIFS('Additions (monthly)'!$E$2:$E$106,'Additions (monthly)'!$D$2:$D$106,O$2,'Additions (monthly)'!$B$2:$B$106,"&lt;="&amp;$B124)</f>
        <v>4.9</v>
      </c>
      <c r="P124" s="43" t="n">
        <f aca="false">SUMIFS('Additions (monthly)'!$E$2:$E$106,'Additions (monthly)'!$D$2:$D$106,P$2,'Additions (monthly)'!$B$2:$B$106,"&lt;="&amp;$B124)</f>
        <v>3.6</v>
      </c>
      <c r="Q124" s="43" t="n">
        <f aca="false">SUMIFS('Additions (monthly)'!$E$2:$E$106,'Additions (monthly)'!$D$2:$D$106,Q$2,'Additions (monthly)'!$B$2:$B$106,"&lt;="&amp;$B124)</f>
        <v>8.5</v>
      </c>
      <c r="R124" s="43" t="n">
        <f aca="false">SUMIFS('Additions (monthly)'!$E$2:$E$106,'Additions (monthly)'!$D$2:$D$106,R$2,'Additions (monthly)'!$B$2:$B$106,"&lt;="&amp;$B124)</f>
        <v>8.9</v>
      </c>
      <c r="S124" s="43" t="n">
        <f aca="false">SUMIFS('Additions (monthly)'!$E$2:$E$106,'Additions (monthly)'!$D$2:$D$106,S$2,'Additions (monthly)'!$B$2:$B$106,"&lt;="&amp;$B124)</f>
        <v>7.2</v>
      </c>
      <c r="T124" s="43" t="n">
        <f aca="false">SUMIFS('Additions (monthly)'!$E$2:$E$106,'Additions (monthly)'!$D$2:$D$106,T$2,'Additions (monthly)'!$B$2:$B$106,"&lt;="&amp;$B124)</f>
        <v>2.4</v>
      </c>
      <c r="U124" s="43" t="n">
        <f aca="false">SUMIFS('Additions (monthly)'!$E$2:$E$106,'Additions (monthly)'!$D$2:$D$106,U$2,'Additions (monthly)'!$B$2:$B$106,"&lt;="&amp;$B124)</f>
        <v>0</v>
      </c>
      <c r="V124" s="43" t="n">
        <f aca="false">SUMIFS('Additions (monthly)'!$E$2:$E$106,'Additions (monthly)'!$D$2:$D$106,V$2,'Additions (monthly)'!$B$2:$B$106,"&lt;="&amp;$B124)</f>
        <v>3.87</v>
      </c>
      <c r="W124" s="43" t="n">
        <f aca="false">SUMIFS('Additions (monthly)'!$E$2:$E$106,'Additions (monthly)'!$D$2:$D$106,W$2,'Additions (monthly)'!$B$2:$B$106,"&lt;="&amp;$B124)</f>
        <v>0</v>
      </c>
      <c r="X124" s="43" t="n">
        <f aca="false">SUMIFS('Additions (monthly)'!$E$2:$E$106,'Additions (monthly)'!$D$2:$D$106,X$2,'Additions (monthly)'!$B$2:$B$106,"&lt;="&amp;$B124)</f>
        <v>0</v>
      </c>
      <c r="Y124" s="43" t="n">
        <f aca="false">SUMIFS('Additions (monthly)'!$E$2:$E$106,'Additions (monthly)'!$D$2:$D$106,Y$2,'Additions (monthly)'!$B$2:$B$106,"&lt;="&amp;$B124)</f>
        <v>5</v>
      </c>
      <c r="Z124" s="43" t="n">
        <f aca="false">SUMIFS('Additions (monthly)'!$E$2:$E$106,'Additions (monthly)'!$D$2:$D$106,Z$2,'Additions (monthly)'!$B$2:$B$106,"&lt;="&amp;$B124)</f>
        <v>7.2</v>
      </c>
      <c r="AA124" s="43" t="n">
        <f aca="false">SUMIFS('Additions (monthly)'!$E$2:$E$106,'Additions (monthly)'!$D$2:$D$106,AA$2,'Additions (monthly)'!$B$2:$B$106,"&lt;="&amp;$B124)</f>
        <v>3.7</v>
      </c>
      <c r="AB124" s="43" t="n">
        <f aca="false">SUMIFS('Additions (monthly)'!$E$2:$E$106,'Additions (monthly)'!$D$2:$D$106,AB$2,'Additions (monthly)'!$B$2:$B$106,"&lt;="&amp;$B124)</f>
        <v>16.95</v>
      </c>
      <c r="AC124" s="43" t="n">
        <f aca="false">SUMIFS('Additions (monthly)'!$E$2:$E$106,'Additions (monthly)'!$D$2:$D$106,AC$2,'Additions (monthly)'!$B$2:$B$106,"&lt;="&amp;$B124)</f>
        <v>2</v>
      </c>
      <c r="AD124" s="43" t="n">
        <f aca="false">SUMIFS('Additions (monthly)'!$E$2:$E$106,'Additions (monthly)'!$D$2:$D$106,AD$2,'Additions (monthly)'!$B$2:$B$106,"&lt;="&amp;$B124)</f>
        <v>7.6</v>
      </c>
      <c r="AE124" s="43" t="n">
        <f aca="false">SUMIFS('Additions (monthly)'!$E$2:$E$106,'Additions (monthly)'!$D$2:$D$106,AE$2,'Additions (monthly)'!$B$2:$B$106,"&lt;="&amp;$B124)</f>
        <v>29.3</v>
      </c>
      <c r="AF124" s="43" t="n">
        <f aca="false">SUMIFS('Additions (monthly)'!$E$2:$E$106,'Additions (monthly)'!$D$2:$D$106,AF$2,'Additions (monthly)'!$B$2:$B$106,"&lt;="&amp;$B124)</f>
        <v>1.2</v>
      </c>
      <c r="AG124" s="43" t="n">
        <f aca="false">SUMIFS('Additions (monthly)'!$E$2:$E$106,'Additions (monthly)'!$D$2:$D$106,AG$2,'Additions (monthly)'!$B$2:$B$106,"&lt;="&amp;$B124)</f>
        <v>0</v>
      </c>
      <c r="AH124" s="43" t="n">
        <f aca="false">SUMIFS('Additions (monthly)'!$E$2:$E$106,'Additions (monthly)'!$D$2:$D$106,AH$2,'Additions (monthly)'!$B$2:$B$106,"&lt;="&amp;$B124)</f>
        <v>0</v>
      </c>
      <c r="AI124" s="43" t="n">
        <f aca="false">SUMIFS('Additions (monthly)'!$E$2:$E$106,'Additions (monthly)'!$D$2:$D$106,AI$2,'Additions (monthly)'!$B$2:$B$106,"&lt;="&amp;$B124)</f>
        <v>0</v>
      </c>
      <c r="AJ124" s="43" t="n">
        <f aca="false">SUMIFS('Additions (monthly)'!$E$2:$E$106,'Additions (monthly)'!$D$2:$D$106,AJ$2,'Additions (monthly)'!$B$2:$B$106,"&lt;="&amp;$B124)</f>
        <v>0</v>
      </c>
      <c r="AK124" s="43" t="n">
        <f aca="false">SUMIFS('Additions (monthly)'!$E$2:$E$106,'Additions (monthly)'!$D$2:$D$106,AK$2,'Additions (monthly)'!$B$2:$B$106,"&lt;="&amp;$B124)</f>
        <v>0</v>
      </c>
      <c r="AL124" s="43" t="n">
        <f aca="false">SUMIFS('Additions (monthly)'!$E$2:$E$106,'Additions (monthly)'!$D$2:$D$106,AL$2,'Additions (monthly)'!$B$2:$B$106,"&lt;="&amp;$B124)</f>
        <v>22.2</v>
      </c>
      <c r="AM124" s="43" t="n">
        <f aca="false">SUMIFS('Additions (monthly)'!$E$2:$E$106,'Additions (monthly)'!$D$2:$D$106,AM$2,'Additions (monthly)'!$B$2:$B$106,"&lt;="&amp;$B124)</f>
        <v>0.3</v>
      </c>
      <c r="AN124" s="43" t="n">
        <f aca="false">SUMIFS('Additions (monthly)'!$E$2:$E$106,'Additions (monthly)'!$D$2:$D$106,AN$2,'Additions (monthly)'!$B$2:$B$106,"&lt;="&amp;$B124)</f>
        <v>4.3</v>
      </c>
      <c r="AO124" s="43" t="n">
        <f aca="false">SUMIFS('Additions (monthly)'!$E$2:$E$106,'Additions (monthly)'!$D$2:$D$106,AO$2,'Additions (monthly)'!$B$2:$B$106,"&lt;="&amp;$B124)</f>
        <v>10.4</v>
      </c>
      <c r="AP124" s="43" t="n">
        <f aca="false">SUMIFS('Additions (monthly)'!$E$2:$E$106,'Additions (monthly)'!$D$2:$D$106,AP$2,'Additions (monthly)'!$B$2:$B$106,"&lt;="&amp;$B124)</f>
        <v>6.9</v>
      </c>
      <c r="AQ124" s="43" t="n">
        <f aca="false">SUMIFS('Additions (monthly)'!$E$2:$E$106,'Additions (monthly)'!$D$2:$D$106,AQ$2,'Additions (monthly)'!$B$2:$B$106,"&lt;="&amp;$B124)</f>
        <v>4.45</v>
      </c>
      <c r="AR124" s="43" t="n">
        <f aca="false">SUMIFS('Additions (monthly)'!$E$2:$E$106,'Additions (monthly)'!$D$2:$D$106,AR$2,'Additions (monthly)'!$B$2:$B$106,"&lt;="&amp;$B124)</f>
        <v>77.1</v>
      </c>
      <c r="AS124" s="43" t="n">
        <f aca="false">SUMIFS('Additions (monthly)'!$E$2:$E$106,'Additions (monthly)'!$D$2:$D$106,AS$2,'Additions (monthly)'!$B$2:$B$106,"&lt;="&amp;$B124)</f>
        <v>0</v>
      </c>
      <c r="AT124" s="43" t="n">
        <f aca="false">SUMIFS('Additions (monthly)'!$E$2:$E$106,'Additions (monthly)'!$D$2:$D$106,AT$2,'Additions (monthly)'!$B$2:$B$106,"&lt;="&amp;$B124)</f>
        <v>0</v>
      </c>
      <c r="AU124" s="43" t="n">
        <f aca="false">SUMIFS('Additions (monthly)'!$E$2:$E$106,'Additions (monthly)'!$D$2:$D$106,AU$2,'Additions (monthly)'!$B$2:$B$106,"&lt;="&amp;$B124)</f>
        <v>9.6</v>
      </c>
      <c r="AV124" s="43" t="n">
        <f aca="false">SUMIFS('Additions (monthly)'!$E$2:$E$106,'Additions (monthly)'!$D$2:$D$106,AV$2,'Additions (monthly)'!$B$2:$B$106,"&lt;="&amp;$B124)</f>
        <v>0.66</v>
      </c>
      <c r="AW124" s="43" t="n">
        <f aca="false">SUMIFS('Additions (monthly)'!$E$2:$E$106,'Additions (monthly)'!$D$2:$D$106,AW$2,'Additions (monthly)'!$B$2:$B$106,"&lt;="&amp;$B124)</f>
        <v>16.5</v>
      </c>
      <c r="AX124" s="43" t="n">
        <f aca="false">SUMIFS('Additions (monthly)'!$E$2:$E$106,'Additions (monthly)'!$D$2:$D$106,AX$2,'Additions (monthly)'!$B$2:$B$106,"&lt;="&amp;$B124)</f>
        <v>11.8</v>
      </c>
      <c r="AY124" s="43" t="n">
        <f aca="false">SUMIFS('Additions (monthly)'!$E$2:$E$106,'Additions (monthly)'!$D$2:$D$106,AY$2,'Additions (monthly)'!$B$2:$B$106,"&lt;="&amp;$B124)</f>
        <v>5.3</v>
      </c>
      <c r="AZ124" s="43" t="n">
        <f aca="false">SUMIFS('Additions (monthly)'!$E$2:$E$106,'Additions (monthly)'!$D$2:$D$106,AZ$2,'Additions (monthly)'!$B$2:$B$106,"&lt;="&amp;$B124)</f>
        <v>0</v>
      </c>
      <c r="BA124" s="43" t="n">
        <f aca="false">SUMIFS('Additions (monthly)'!$E$2:$E$106,'Additions (monthly)'!$D$2:$D$106,BA$2,'Additions (monthly)'!$B$2:$B$106,"&lt;="&amp;$B124)</f>
        <v>13.5</v>
      </c>
      <c r="BB124" s="43" t="n">
        <f aca="false">SUMIFS('Additions (monthly)'!$E$2:$E$106,'Additions (monthly)'!$D$2:$D$106,BB$2,'Additions (monthly)'!$B$2:$B$106,"&lt;="&amp;$B124)</f>
        <v>10</v>
      </c>
      <c r="BC124" s="43" t="n">
        <f aca="false">SUMIFS('Additions (monthly)'!$E$2:$E$106,'Additions (monthly)'!$D$2:$D$106,BC$2,'Additions (monthly)'!$B$2:$B$106,"&lt;="&amp;$B124)</f>
        <v>5.25</v>
      </c>
      <c r="BD124" s="43" t="n">
        <f aca="false">SUMIFS('Additions (monthly)'!$E$2:$E$106,'Additions (monthly)'!$D$2:$D$106,BD$2,'Additions (monthly)'!$B$2:$B$106,"&lt;="&amp;$B124)</f>
        <v>1</v>
      </c>
      <c r="BE124" s="43" t="n">
        <f aca="false">SUMIFS('Additions (monthly)'!$E$2:$E$106,'Additions (monthly)'!$D$2:$D$106,BE$2,'Additions (monthly)'!$B$2:$B$106,"&lt;="&amp;$B124)</f>
        <v>15.3</v>
      </c>
      <c r="BF124" s="43" t="n">
        <f aca="false">SUMIFS('Additions (monthly)'!$E$2:$E$106,'Additions (monthly)'!$D$2:$D$106,BF$2,'Additions (monthly)'!$B$2:$B$106,"&lt;="&amp;$B124)</f>
        <v>0</v>
      </c>
      <c r="BG124" s="43" t="n">
        <f aca="false">SUMIFS('Additions (monthly)'!$E$2:$E$106,'Additions (monthly)'!$D$2:$D$106,BG$2,'Additions (monthly)'!$B$2:$B$106,"&lt;="&amp;$B124)</f>
        <v>0</v>
      </c>
      <c r="BH124" s="43" t="n">
        <f aca="false">SUMIFS('Additions (monthly)'!$E$2:$E$106,'Additions (monthly)'!$D$2:$D$106,BH$2,'Additions (monthly)'!$B$2:$B$106,"&lt;="&amp;$B124)</f>
        <v>25</v>
      </c>
      <c r="BI124" s="43" t="n">
        <f aca="false">SUMIFS('Additions (monthly)'!$E$2:$E$106,'Additions (monthly)'!$D$2:$D$106,BI$2,'Additions (monthly)'!$B$2:$B$106,"&lt;="&amp;$B124)</f>
        <v>6.7</v>
      </c>
    </row>
    <row r="125" customFormat="false" ht="15" hidden="false" customHeight="false" outlineLevel="0" collapsed="false">
      <c r="A125" s="23" t="n">
        <v>43891</v>
      </c>
      <c r="B125" s="24" t="n">
        <v>202003</v>
      </c>
      <c r="C125" s="42" t="n">
        <f aca="false">SUMIFS('Additions (monthly)'!$E$2:$E$106,'Additions (monthly)'!$B$2:$B$106,"&lt;="&amp;$B125)</f>
        <v>448.73</v>
      </c>
      <c r="D125" s="43" t="n">
        <f aca="false">SUMIFS('Additions (monthly)'!$E$2:$E$106,'Additions (monthly)'!$D$2:$D$106,D$2,'Additions (monthly)'!$B$2:$B$106,"&lt;="&amp;$B125)</f>
        <v>7.9</v>
      </c>
      <c r="E125" s="43" t="n">
        <f aca="false">SUMIFS('Additions (monthly)'!$E$2:$E$106,'Additions (monthly)'!$D$2:$D$106,E$2,'Additions (monthly)'!$B$2:$B$106,"&lt;="&amp;$B125)</f>
        <v>8.4</v>
      </c>
      <c r="F125" s="43" t="n">
        <f aca="false">SUMIFS('Additions (monthly)'!$E$2:$E$106,'Additions (monthly)'!$D$2:$D$106,F$2,'Additions (monthly)'!$B$2:$B$106,"&lt;="&amp;$B125)</f>
        <v>4.7</v>
      </c>
      <c r="G125" s="43" t="n">
        <f aca="false">SUMIFS('Additions (monthly)'!$E$2:$E$106,'Additions (monthly)'!$D$2:$D$106,G$2,'Additions (monthly)'!$B$2:$B$106,"&lt;="&amp;$B125)</f>
        <v>4.5</v>
      </c>
      <c r="H125" s="43" t="n">
        <f aca="false">SUMIFS('Additions (monthly)'!$E$2:$E$106,'Additions (monthly)'!$D$2:$D$106,H$2,'Additions (monthly)'!$B$2:$B$106,"&lt;="&amp;$B125)</f>
        <v>5.2</v>
      </c>
      <c r="I125" s="43" t="n">
        <f aca="false">SUMIFS('Additions (monthly)'!$E$2:$E$106,'Additions (monthly)'!$D$2:$D$106,I$2,'Additions (monthly)'!$B$2:$B$106,"&lt;="&amp;$B125)</f>
        <v>9</v>
      </c>
      <c r="J125" s="43" t="n">
        <f aca="false">SUMIFS('Additions (monthly)'!$E$2:$E$106,'Additions (monthly)'!$D$2:$D$106,J$2,'Additions (monthly)'!$B$2:$B$106,"&lt;="&amp;$B125)</f>
        <v>3.7</v>
      </c>
      <c r="K125" s="43" t="n">
        <f aca="false">SUMIFS('Additions (monthly)'!$E$2:$E$106,'Additions (monthly)'!$D$2:$D$106,K$2,'Additions (monthly)'!$B$2:$B$106,"&lt;="&amp;$B125)</f>
        <v>7.8</v>
      </c>
      <c r="L125" s="43" t="n">
        <f aca="false">SUMIFS('Additions (monthly)'!$E$2:$E$106,'Additions (monthly)'!$D$2:$D$106,L$2,'Additions (monthly)'!$B$2:$B$106,"&lt;="&amp;$B125)</f>
        <v>15.6</v>
      </c>
      <c r="M125" s="43" t="n">
        <f aca="false">SUMIFS('Additions (monthly)'!$E$2:$E$106,'Additions (monthly)'!$D$2:$D$106,M$2,'Additions (monthly)'!$B$2:$B$106,"&lt;="&amp;$B125)</f>
        <v>8.9</v>
      </c>
      <c r="N125" s="43" t="n">
        <f aca="false">SUMIFS('Additions (monthly)'!$E$2:$E$106,'Additions (monthly)'!$D$2:$D$106,N$2,'Additions (monthly)'!$B$2:$B$106,"&lt;="&amp;$B125)</f>
        <v>14.2</v>
      </c>
      <c r="O125" s="43" t="n">
        <f aca="false">SUMIFS('Additions (monthly)'!$E$2:$E$106,'Additions (monthly)'!$D$2:$D$106,O$2,'Additions (monthly)'!$B$2:$B$106,"&lt;="&amp;$B125)</f>
        <v>4.9</v>
      </c>
      <c r="P125" s="43" t="n">
        <f aca="false">SUMIFS('Additions (monthly)'!$E$2:$E$106,'Additions (monthly)'!$D$2:$D$106,P$2,'Additions (monthly)'!$B$2:$B$106,"&lt;="&amp;$B125)</f>
        <v>3.6</v>
      </c>
      <c r="Q125" s="43" t="n">
        <f aca="false">SUMIFS('Additions (monthly)'!$E$2:$E$106,'Additions (monthly)'!$D$2:$D$106,Q$2,'Additions (monthly)'!$B$2:$B$106,"&lt;="&amp;$B125)</f>
        <v>8.5</v>
      </c>
      <c r="R125" s="43" t="n">
        <f aca="false">SUMIFS('Additions (monthly)'!$E$2:$E$106,'Additions (monthly)'!$D$2:$D$106,R$2,'Additions (monthly)'!$B$2:$B$106,"&lt;="&amp;$B125)</f>
        <v>8.9</v>
      </c>
      <c r="S125" s="43" t="n">
        <f aca="false">SUMIFS('Additions (monthly)'!$E$2:$E$106,'Additions (monthly)'!$D$2:$D$106,S$2,'Additions (monthly)'!$B$2:$B$106,"&lt;="&amp;$B125)</f>
        <v>7.2</v>
      </c>
      <c r="T125" s="43" t="n">
        <f aca="false">SUMIFS('Additions (monthly)'!$E$2:$E$106,'Additions (monthly)'!$D$2:$D$106,T$2,'Additions (monthly)'!$B$2:$B$106,"&lt;="&amp;$B125)</f>
        <v>2.4</v>
      </c>
      <c r="U125" s="43" t="n">
        <f aca="false">SUMIFS('Additions (monthly)'!$E$2:$E$106,'Additions (monthly)'!$D$2:$D$106,U$2,'Additions (monthly)'!$B$2:$B$106,"&lt;="&amp;$B125)</f>
        <v>0</v>
      </c>
      <c r="V125" s="43" t="n">
        <f aca="false">SUMIFS('Additions (monthly)'!$E$2:$E$106,'Additions (monthly)'!$D$2:$D$106,V$2,'Additions (monthly)'!$B$2:$B$106,"&lt;="&amp;$B125)</f>
        <v>3.87</v>
      </c>
      <c r="W125" s="43" t="n">
        <f aca="false">SUMIFS('Additions (monthly)'!$E$2:$E$106,'Additions (monthly)'!$D$2:$D$106,W$2,'Additions (monthly)'!$B$2:$B$106,"&lt;="&amp;$B125)</f>
        <v>0</v>
      </c>
      <c r="X125" s="43" t="n">
        <f aca="false">SUMIFS('Additions (monthly)'!$E$2:$E$106,'Additions (monthly)'!$D$2:$D$106,X$2,'Additions (monthly)'!$B$2:$B$106,"&lt;="&amp;$B125)</f>
        <v>0</v>
      </c>
      <c r="Y125" s="43" t="n">
        <f aca="false">SUMIFS('Additions (monthly)'!$E$2:$E$106,'Additions (monthly)'!$D$2:$D$106,Y$2,'Additions (monthly)'!$B$2:$B$106,"&lt;="&amp;$B125)</f>
        <v>5</v>
      </c>
      <c r="Z125" s="43" t="n">
        <f aca="false">SUMIFS('Additions (monthly)'!$E$2:$E$106,'Additions (monthly)'!$D$2:$D$106,Z$2,'Additions (monthly)'!$B$2:$B$106,"&lt;="&amp;$B125)</f>
        <v>7.2</v>
      </c>
      <c r="AA125" s="43" t="n">
        <f aca="false">SUMIFS('Additions (monthly)'!$E$2:$E$106,'Additions (monthly)'!$D$2:$D$106,AA$2,'Additions (monthly)'!$B$2:$B$106,"&lt;="&amp;$B125)</f>
        <v>3.7</v>
      </c>
      <c r="AB125" s="43" t="n">
        <f aca="false">SUMIFS('Additions (monthly)'!$E$2:$E$106,'Additions (monthly)'!$D$2:$D$106,AB$2,'Additions (monthly)'!$B$2:$B$106,"&lt;="&amp;$B125)</f>
        <v>16.95</v>
      </c>
      <c r="AC125" s="43" t="n">
        <f aca="false">SUMIFS('Additions (monthly)'!$E$2:$E$106,'Additions (monthly)'!$D$2:$D$106,AC$2,'Additions (monthly)'!$B$2:$B$106,"&lt;="&amp;$B125)</f>
        <v>2</v>
      </c>
      <c r="AD125" s="43" t="n">
        <f aca="false">SUMIFS('Additions (monthly)'!$E$2:$E$106,'Additions (monthly)'!$D$2:$D$106,AD$2,'Additions (monthly)'!$B$2:$B$106,"&lt;="&amp;$B125)</f>
        <v>7.6</v>
      </c>
      <c r="AE125" s="43" t="n">
        <f aca="false">SUMIFS('Additions (monthly)'!$E$2:$E$106,'Additions (monthly)'!$D$2:$D$106,AE$2,'Additions (monthly)'!$B$2:$B$106,"&lt;="&amp;$B125)</f>
        <v>29.3</v>
      </c>
      <c r="AF125" s="43" t="n">
        <f aca="false">SUMIFS('Additions (monthly)'!$E$2:$E$106,'Additions (monthly)'!$D$2:$D$106,AF$2,'Additions (monthly)'!$B$2:$B$106,"&lt;="&amp;$B125)</f>
        <v>1.2</v>
      </c>
      <c r="AG125" s="43" t="n">
        <f aca="false">SUMIFS('Additions (monthly)'!$E$2:$E$106,'Additions (monthly)'!$D$2:$D$106,AG$2,'Additions (monthly)'!$B$2:$B$106,"&lt;="&amp;$B125)</f>
        <v>0</v>
      </c>
      <c r="AH125" s="43" t="n">
        <f aca="false">SUMIFS('Additions (monthly)'!$E$2:$E$106,'Additions (monthly)'!$D$2:$D$106,AH$2,'Additions (monthly)'!$B$2:$B$106,"&lt;="&amp;$B125)</f>
        <v>0</v>
      </c>
      <c r="AI125" s="43" t="n">
        <f aca="false">SUMIFS('Additions (monthly)'!$E$2:$E$106,'Additions (monthly)'!$D$2:$D$106,AI$2,'Additions (monthly)'!$B$2:$B$106,"&lt;="&amp;$B125)</f>
        <v>0</v>
      </c>
      <c r="AJ125" s="43" t="n">
        <f aca="false">SUMIFS('Additions (monthly)'!$E$2:$E$106,'Additions (monthly)'!$D$2:$D$106,AJ$2,'Additions (monthly)'!$B$2:$B$106,"&lt;="&amp;$B125)</f>
        <v>0</v>
      </c>
      <c r="AK125" s="43" t="n">
        <f aca="false">SUMIFS('Additions (monthly)'!$E$2:$E$106,'Additions (monthly)'!$D$2:$D$106,AK$2,'Additions (monthly)'!$B$2:$B$106,"&lt;="&amp;$B125)</f>
        <v>0</v>
      </c>
      <c r="AL125" s="43" t="n">
        <f aca="false">SUMIFS('Additions (monthly)'!$E$2:$E$106,'Additions (monthly)'!$D$2:$D$106,AL$2,'Additions (monthly)'!$B$2:$B$106,"&lt;="&amp;$B125)</f>
        <v>22.2</v>
      </c>
      <c r="AM125" s="43" t="n">
        <f aca="false">SUMIFS('Additions (monthly)'!$E$2:$E$106,'Additions (monthly)'!$D$2:$D$106,AM$2,'Additions (monthly)'!$B$2:$B$106,"&lt;="&amp;$B125)</f>
        <v>0.3</v>
      </c>
      <c r="AN125" s="43" t="n">
        <f aca="false">SUMIFS('Additions (monthly)'!$E$2:$E$106,'Additions (monthly)'!$D$2:$D$106,AN$2,'Additions (monthly)'!$B$2:$B$106,"&lt;="&amp;$B125)</f>
        <v>4.3</v>
      </c>
      <c r="AO125" s="43" t="n">
        <f aca="false">SUMIFS('Additions (monthly)'!$E$2:$E$106,'Additions (monthly)'!$D$2:$D$106,AO$2,'Additions (monthly)'!$B$2:$B$106,"&lt;="&amp;$B125)</f>
        <v>10.4</v>
      </c>
      <c r="AP125" s="43" t="n">
        <f aca="false">SUMIFS('Additions (monthly)'!$E$2:$E$106,'Additions (monthly)'!$D$2:$D$106,AP$2,'Additions (monthly)'!$B$2:$B$106,"&lt;="&amp;$B125)</f>
        <v>6.9</v>
      </c>
      <c r="AQ125" s="43" t="n">
        <f aca="false">SUMIFS('Additions (monthly)'!$E$2:$E$106,'Additions (monthly)'!$D$2:$D$106,AQ$2,'Additions (monthly)'!$B$2:$B$106,"&lt;="&amp;$B125)</f>
        <v>4.45</v>
      </c>
      <c r="AR125" s="43" t="n">
        <f aca="false">SUMIFS('Additions (monthly)'!$E$2:$E$106,'Additions (monthly)'!$D$2:$D$106,AR$2,'Additions (monthly)'!$B$2:$B$106,"&lt;="&amp;$B125)</f>
        <v>77.1</v>
      </c>
      <c r="AS125" s="43" t="n">
        <f aca="false">SUMIFS('Additions (monthly)'!$E$2:$E$106,'Additions (monthly)'!$D$2:$D$106,AS$2,'Additions (monthly)'!$B$2:$B$106,"&lt;="&amp;$B125)</f>
        <v>0</v>
      </c>
      <c r="AT125" s="43" t="n">
        <f aca="false">SUMIFS('Additions (monthly)'!$E$2:$E$106,'Additions (monthly)'!$D$2:$D$106,AT$2,'Additions (monthly)'!$B$2:$B$106,"&lt;="&amp;$B125)</f>
        <v>0</v>
      </c>
      <c r="AU125" s="43" t="n">
        <f aca="false">SUMIFS('Additions (monthly)'!$E$2:$E$106,'Additions (monthly)'!$D$2:$D$106,AU$2,'Additions (monthly)'!$B$2:$B$106,"&lt;="&amp;$B125)</f>
        <v>9.6</v>
      </c>
      <c r="AV125" s="43" t="n">
        <f aca="false">SUMIFS('Additions (monthly)'!$E$2:$E$106,'Additions (monthly)'!$D$2:$D$106,AV$2,'Additions (monthly)'!$B$2:$B$106,"&lt;="&amp;$B125)</f>
        <v>0.66</v>
      </c>
      <c r="AW125" s="43" t="n">
        <f aca="false">SUMIFS('Additions (monthly)'!$E$2:$E$106,'Additions (monthly)'!$D$2:$D$106,AW$2,'Additions (monthly)'!$B$2:$B$106,"&lt;="&amp;$B125)</f>
        <v>16.5</v>
      </c>
      <c r="AX125" s="43" t="n">
        <f aca="false">SUMIFS('Additions (monthly)'!$E$2:$E$106,'Additions (monthly)'!$D$2:$D$106,AX$2,'Additions (monthly)'!$B$2:$B$106,"&lt;="&amp;$B125)</f>
        <v>11.8</v>
      </c>
      <c r="AY125" s="43" t="n">
        <f aca="false">SUMIFS('Additions (monthly)'!$E$2:$E$106,'Additions (monthly)'!$D$2:$D$106,AY$2,'Additions (monthly)'!$B$2:$B$106,"&lt;="&amp;$B125)</f>
        <v>5.3</v>
      </c>
      <c r="AZ125" s="43" t="n">
        <f aca="false">SUMIFS('Additions (monthly)'!$E$2:$E$106,'Additions (monthly)'!$D$2:$D$106,AZ$2,'Additions (monthly)'!$B$2:$B$106,"&lt;="&amp;$B125)</f>
        <v>0</v>
      </c>
      <c r="BA125" s="43" t="n">
        <f aca="false">SUMIFS('Additions (monthly)'!$E$2:$E$106,'Additions (monthly)'!$D$2:$D$106,BA$2,'Additions (monthly)'!$B$2:$B$106,"&lt;="&amp;$B125)</f>
        <v>13.5</v>
      </c>
      <c r="BB125" s="43" t="n">
        <f aca="false">SUMIFS('Additions (monthly)'!$E$2:$E$106,'Additions (monthly)'!$D$2:$D$106,BB$2,'Additions (monthly)'!$B$2:$B$106,"&lt;="&amp;$B125)</f>
        <v>10</v>
      </c>
      <c r="BC125" s="43" t="n">
        <f aca="false">SUMIFS('Additions (monthly)'!$E$2:$E$106,'Additions (monthly)'!$D$2:$D$106,BC$2,'Additions (monthly)'!$B$2:$B$106,"&lt;="&amp;$B125)</f>
        <v>5.25</v>
      </c>
      <c r="BD125" s="43" t="n">
        <f aca="false">SUMIFS('Additions (monthly)'!$E$2:$E$106,'Additions (monthly)'!$D$2:$D$106,BD$2,'Additions (monthly)'!$B$2:$B$106,"&lt;="&amp;$B125)</f>
        <v>1.25</v>
      </c>
      <c r="BE125" s="43" t="n">
        <f aca="false">SUMIFS('Additions (monthly)'!$E$2:$E$106,'Additions (monthly)'!$D$2:$D$106,BE$2,'Additions (monthly)'!$B$2:$B$106,"&lt;="&amp;$B125)</f>
        <v>15.3</v>
      </c>
      <c r="BF125" s="43" t="n">
        <f aca="false">SUMIFS('Additions (monthly)'!$E$2:$E$106,'Additions (monthly)'!$D$2:$D$106,BF$2,'Additions (monthly)'!$B$2:$B$106,"&lt;="&amp;$B125)</f>
        <v>0</v>
      </c>
      <c r="BG125" s="43" t="n">
        <f aca="false">SUMIFS('Additions (monthly)'!$E$2:$E$106,'Additions (monthly)'!$D$2:$D$106,BG$2,'Additions (monthly)'!$B$2:$B$106,"&lt;="&amp;$B125)</f>
        <v>0</v>
      </c>
      <c r="BH125" s="43" t="n">
        <f aca="false">SUMIFS('Additions (monthly)'!$E$2:$E$106,'Additions (monthly)'!$D$2:$D$106,BH$2,'Additions (monthly)'!$B$2:$B$106,"&lt;="&amp;$B125)</f>
        <v>25</v>
      </c>
      <c r="BI125" s="43" t="n">
        <f aca="false">SUMIFS('Additions (monthly)'!$E$2:$E$106,'Additions (monthly)'!$D$2:$D$106,BI$2,'Additions (monthly)'!$B$2:$B$106,"&lt;="&amp;$B125)</f>
        <v>6.7</v>
      </c>
    </row>
    <row r="126" customFormat="false" ht="15" hidden="false" customHeight="false" outlineLevel="0" collapsed="false">
      <c r="A126" s="23" t="n">
        <v>43922</v>
      </c>
      <c r="B126" s="24" t="n">
        <v>202004</v>
      </c>
      <c r="C126" s="42" t="n">
        <f aca="false">SUMIFS('Additions (monthly)'!$E$2:$E$106,'Additions (monthly)'!$B$2:$B$106,"&lt;="&amp;$B126)</f>
        <v>448.73</v>
      </c>
      <c r="D126" s="43" t="n">
        <f aca="false">SUMIFS('Additions (monthly)'!$E$2:$E$106,'Additions (monthly)'!$D$2:$D$106,D$2,'Additions (monthly)'!$B$2:$B$106,"&lt;="&amp;$B126)</f>
        <v>7.9</v>
      </c>
      <c r="E126" s="43" t="n">
        <f aca="false">SUMIFS('Additions (monthly)'!$E$2:$E$106,'Additions (monthly)'!$D$2:$D$106,E$2,'Additions (monthly)'!$B$2:$B$106,"&lt;="&amp;$B126)</f>
        <v>8.4</v>
      </c>
      <c r="F126" s="43" t="n">
        <f aca="false">SUMIFS('Additions (monthly)'!$E$2:$E$106,'Additions (monthly)'!$D$2:$D$106,F$2,'Additions (monthly)'!$B$2:$B$106,"&lt;="&amp;$B126)</f>
        <v>4.7</v>
      </c>
      <c r="G126" s="43" t="n">
        <f aca="false">SUMIFS('Additions (monthly)'!$E$2:$E$106,'Additions (monthly)'!$D$2:$D$106,G$2,'Additions (monthly)'!$B$2:$B$106,"&lt;="&amp;$B126)</f>
        <v>4.5</v>
      </c>
      <c r="H126" s="43" t="n">
        <f aca="false">SUMIFS('Additions (monthly)'!$E$2:$E$106,'Additions (monthly)'!$D$2:$D$106,H$2,'Additions (monthly)'!$B$2:$B$106,"&lt;="&amp;$B126)</f>
        <v>5.2</v>
      </c>
      <c r="I126" s="43" t="n">
        <f aca="false">SUMIFS('Additions (monthly)'!$E$2:$E$106,'Additions (monthly)'!$D$2:$D$106,I$2,'Additions (monthly)'!$B$2:$B$106,"&lt;="&amp;$B126)</f>
        <v>9</v>
      </c>
      <c r="J126" s="43" t="n">
        <f aca="false">SUMIFS('Additions (monthly)'!$E$2:$E$106,'Additions (monthly)'!$D$2:$D$106,J$2,'Additions (monthly)'!$B$2:$B$106,"&lt;="&amp;$B126)</f>
        <v>3.7</v>
      </c>
      <c r="K126" s="43" t="n">
        <f aca="false">SUMIFS('Additions (monthly)'!$E$2:$E$106,'Additions (monthly)'!$D$2:$D$106,K$2,'Additions (monthly)'!$B$2:$B$106,"&lt;="&amp;$B126)</f>
        <v>7.8</v>
      </c>
      <c r="L126" s="43" t="n">
        <f aca="false">SUMIFS('Additions (monthly)'!$E$2:$E$106,'Additions (monthly)'!$D$2:$D$106,L$2,'Additions (monthly)'!$B$2:$B$106,"&lt;="&amp;$B126)</f>
        <v>15.6</v>
      </c>
      <c r="M126" s="43" t="n">
        <f aca="false">SUMIFS('Additions (monthly)'!$E$2:$E$106,'Additions (monthly)'!$D$2:$D$106,M$2,'Additions (monthly)'!$B$2:$B$106,"&lt;="&amp;$B126)</f>
        <v>8.9</v>
      </c>
      <c r="N126" s="43" t="n">
        <f aca="false">SUMIFS('Additions (monthly)'!$E$2:$E$106,'Additions (monthly)'!$D$2:$D$106,N$2,'Additions (monthly)'!$B$2:$B$106,"&lt;="&amp;$B126)</f>
        <v>14.2</v>
      </c>
      <c r="O126" s="43" t="n">
        <f aca="false">SUMIFS('Additions (monthly)'!$E$2:$E$106,'Additions (monthly)'!$D$2:$D$106,O$2,'Additions (monthly)'!$B$2:$B$106,"&lt;="&amp;$B126)</f>
        <v>4.9</v>
      </c>
      <c r="P126" s="43" t="n">
        <f aca="false">SUMIFS('Additions (monthly)'!$E$2:$E$106,'Additions (monthly)'!$D$2:$D$106,P$2,'Additions (monthly)'!$B$2:$B$106,"&lt;="&amp;$B126)</f>
        <v>3.6</v>
      </c>
      <c r="Q126" s="43" t="n">
        <f aca="false">SUMIFS('Additions (monthly)'!$E$2:$E$106,'Additions (monthly)'!$D$2:$D$106,Q$2,'Additions (monthly)'!$B$2:$B$106,"&lt;="&amp;$B126)</f>
        <v>8.5</v>
      </c>
      <c r="R126" s="43" t="n">
        <f aca="false">SUMIFS('Additions (monthly)'!$E$2:$E$106,'Additions (monthly)'!$D$2:$D$106,R$2,'Additions (monthly)'!$B$2:$B$106,"&lt;="&amp;$B126)</f>
        <v>8.9</v>
      </c>
      <c r="S126" s="43" t="n">
        <f aca="false">SUMIFS('Additions (monthly)'!$E$2:$E$106,'Additions (monthly)'!$D$2:$D$106,S$2,'Additions (monthly)'!$B$2:$B$106,"&lt;="&amp;$B126)</f>
        <v>7.2</v>
      </c>
      <c r="T126" s="43" t="n">
        <f aca="false">SUMIFS('Additions (monthly)'!$E$2:$E$106,'Additions (monthly)'!$D$2:$D$106,T$2,'Additions (monthly)'!$B$2:$B$106,"&lt;="&amp;$B126)</f>
        <v>2.4</v>
      </c>
      <c r="U126" s="43" t="n">
        <f aca="false">SUMIFS('Additions (monthly)'!$E$2:$E$106,'Additions (monthly)'!$D$2:$D$106,U$2,'Additions (monthly)'!$B$2:$B$106,"&lt;="&amp;$B126)</f>
        <v>0</v>
      </c>
      <c r="V126" s="43" t="n">
        <f aca="false">SUMIFS('Additions (monthly)'!$E$2:$E$106,'Additions (monthly)'!$D$2:$D$106,V$2,'Additions (monthly)'!$B$2:$B$106,"&lt;="&amp;$B126)</f>
        <v>3.87</v>
      </c>
      <c r="W126" s="43" t="n">
        <f aca="false">SUMIFS('Additions (monthly)'!$E$2:$E$106,'Additions (monthly)'!$D$2:$D$106,W$2,'Additions (monthly)'!$B$2:$B$106,"&lt;="&amp;$B126)</f>
        <v>0</v>
      </c>
      <c r="X126" s="43" t="n">
        <f aca="false">SUMIFS('Additions (monthly)'!$E$2:$E$106,'Additions (monthly)'!$D$2:$D$106,X$2,'Additions (monthly)'!$B$2:$B$106,"&lt;="&amp;$B126)</f>
        <v>0</v>
      </c>
      <c r="Y126" s="43" t="n">
        <f aca="false">SUMIFS('Additions (monthly)'!$E$2:$E$106,'Additions (monthly)'!$D$2:$D$106,Y$2,'Additions (monthly)'!$B$2:$B$106,"&lt;="&amp;$B126)</f>
        <v>5</v>
      </c>
      <c r="Z126" s="43" t="n">
        <f aca="false">SUMIFS('Additions (monthly)'!$E$2:$E$106,'Additions (monthly)'!$D$2:$D$106,Z$2,'Additions (monthly)'!$B$2:$B$106,"&lt;="&amp;$B126)</f>
        <v>7.2</v>
      </c>
      <c r="AA126" s="43" t="n">
        <f aca="false">SUMIFS('Additions (monthly)'!$E$2:$E$106,'Additions (monthly)'!$D$2:$D$106,AA$2,'Additions (monthly)'!$B$2:$B$106,"&lt;="&amp;$B126)</f>
        <v>3.7</v>
      </c>
      <c r="AB126" s="43" t="n">
        <f aca="false">SUMIFS('Additions (monthly)'!$E$2:$E$106,'Additions (monthly)'!$D$2:$D$106,AB$2,'Additions (monthly)'!$B$2:$B$106,"&lt;="&amp;$B126)</f>
        <v>16.95</v>
      </c>
      <c r="AC126" s="43" t="n">
        <f aca="false">SUMIFS('Additions (monthly)'!$E$2:$E$106,'Additions (monthly)'!$D$2:$D$106,AC$2,'Additions (monthly)'!$B$2:$B$106,"&lt;="&amp;$B126)</f>
        <v>2</v>
      </c>
      <c r="AD126" s="43" t="n">
        <f aca="false">SUMIFS('Additions (monthly)'!$E$2:$E$106,'Additions (monthly)'!$D$2:$D$106,AD$2,'Additions (monthly)'!$B$2:$B$106,"&lt;="&amp;$B126)</f>
        <v>7.6</v>
      </c>
      <c r="AE126" s="43" t="n">
        <f aca="false">SUMIFS('Additions (monthly)'!$E$2:$E$106,'Additions (monthly)'!$D$2:$D$106,AE$2,'Additions (monthly)'!$B$2:$B$106,"&lt;="&amp;$B126)</f>
        <v>29.3</v>
      </c>
      <c r="AF126" s="43" t="n">
        <f aca="false">SUMIFS('Additions (monthly)'!$E$2:$E$106,'Additions (monthly)'!$D$2:$D$106,AF$2,'Additions (monthly)'!$B$2:$B$106,"&lt;="&amp;$B126)</f>
        <v>1.2</v>
      </c>
      <c r="AG126" s="43" t="n">
        <f aca="false">SUMIFS('Additions (monthly)'!$E$2:$E$106,'Additions (monthly)'!$D$2:$D$106,AG$2,'Additions (monthly)'!$B$2:$B$106,"&lt;="&amp;$B126)</f>
        <v>0</v>
      </c>
      <c r="AH126" s="43" t="n">
        <f aca="false">SUMIFS('Additions (monthly)'!$E$2:$E$106,'Additions (monthly)'!$D$2:$D$106,AH$2,'Additions (monthly)'!$B$2:$B$106,"&lt;="&amp;$B126)</f>
        <v>0</v>
      </c>
      <c r="AI126" s="43" t="n">
        <f aca="false">SUMIFS('Additions (monthly)'!$E$2:$E$106,'Additions (monthly)'!$D$2:$D$106,AI$2,'Additions (monthly)'!$B$2:$B$106,"&lt;="&amp;$B126)</f>
        <v>0</v>
      </c>
      <c r="AJ126" s="43" t="n">
        <f aca="false">SUMIFS('Additions (monthly)'!$E$2:$E$106,'Additions (monthly)'!$D$2:$D$106,AJ$2,'Additions (monthly)'!$B$2:$B$106,"&lt;="&amp;$B126)</f>
        <v>0</v>
      </c>
      <c r="AK126" s="43" t="n">
        <f aca="false">SUMIFS('Additions (monthly)'!$E$2:$E$106,'Additions (monthly)'!$D$2:$D$106,AK$2,'Additions (monthly)'!$B$2:$B$106,"&lt;="&amp;$B126)</f>
        <v>0</v>
      </c>
      <c r="AL126" s="43" t="n">
        <f aca="false">SUMIFS('Additions (monthly)'!$E$2:$E$106,'Additions (monthly)'!$D$2:$D$106,AL$2,'Additions (monthly)'!$B$2:$B$106,"&lt;="&amp;$B126)</f>
        <v>22.2</v>
      </c>
      <c r="AM126" s="43" t="n">
        <f aca="false">SUMIFS('Additions (monthly)'!$E$2:$E$106,'Additions (monthly)'!$D$2:$D$106,AM$2,'Additions (monthly)'!$B$2:$B$106,"&lt;="&amp;$B126)</f>
        <v>0.3</v>
      </c>
      <c r="AN126" s="43" t="n">
        <f aca="false">SUMIFS('Additions (monthly)'!$E$2:$E$106,'Additions (monthly)'!$D$2:$D$106,AN$2,'Additions (monthly)'!$B$2:$B$106,"&lt;="&amp;$B126)</f>
        <v>4.3</v>
      </c>
      <c r="AO126" s="43" t="n">
        <f aca="false">SUMIFS('Additions (monthly)'!$E$2:$E$106,'Additions (monthly)'!$D$2:$D$106,AO$2,'Additions (monthly)'!$B$2:$B$106,"&lt;="&amp;$B126)</f>
        <v>10.4</v>
      </c>
      <c r="AP126" s="43" t="n">
        <f aca="false">SUMIFS('Additions (monthly)'!$E$2:$E$106,'Additions (monthly)'!$D$2:$D$106,AP$2,'Additions (monthly)'!$B$2:$B$106,"&lt;="&amp;$B126)</f>
        <v>6.9</v>
      </c>
      <c r="AQ126" s="43" t="n">
        <f aca="false">SUMIFS('Additions (monthly)'!$E$2:$E$106,'Additions (monthly)'!$D$2:$D$106,AQ$2,'Additions (monthly)'!$B$2:$B$106,"&lt;="&amp;$B126)</f>
        <v>4.45</v>
      </c>
      <c r="AR126" s="43" t="n">
        <f aca="false">SUMIFS('Additions (monthly)'!$E$2:$E$106,'Additions (monthly)'!$D$2:$D$106,AR$2,'Additions (monthly)'!$B$2:$B$106,"&lt;="&amp;$B126)</f>
        <v>77.1</v>
      </c>
      <c r="AS126" s="43" t="n">
        <f aca="false">SUMIFS('Additions (monthly)'!$E$2:$E$106,'Additions (monthly)'!$D$2:$D$106,AS$2,'Additions (monthly)'!$B$2:$B$106,"&lt;="&amp;$B126)</f>
        <v>0</v>
      </c>
      <c r="AT126" s="43" t="n">
        <f aca="false">SUMIFS('Additions (monthly)'!$E$2:$E$106,'Additions (monthly)'!$D$2:$D$106,AT$2,'Additions (monthly)'!$B$2:$B$106,"&lt;="&amp;$B126)</f>
        <v>0</v>
      </c>
      <c r="AU126" s="43" t="n">
        <f aca="false">SUMIFS('Additions (monthly)'!$E$2:$E$106,'Additions (monthly)'!$D$2:$D$106,AU$2,'Additions (monthly)'!$B$2:$B$106,"&lt;="&amp;$B126)</f>
        <v>9.6</v>
      </c>
      <c r="AV126" s="43" t="n">
        <f aca="false">SUMIFS('Additions (monthly)'!$E$2:$E$106,'Additions (monthly)'!$D$2:$D$106,AV$2,'Additions (monthly)'!$B$2:$B$106,"&lt;="&amp;$B126)</f>
        <v>0.66</v>
      </c>
      <c r="AW126" s="43" t="n">
        <f aca="false">SUMIFS('Additions (monthly)'!$E$2:$E$106,'Additions (monthly)'!$D$2:$D$106,AW$2,'Additions (monthly)'!$B$2:$B$106,"&lt;="&amp;$B126)</f>
        <v>16.5</v>
      </c>
      <c r="AX126" s="43" t="n">
        <f aca="false">SUMIFS('Additions (monthly)'!$E$2:$E$106,'Additions (monthly)'!$D$2:$D$106,AX$2,'Additions (monthly)'!$B$2:$B$106,"&lt;="&amp;$B126)</f>
        <v>11.8</v>
      </c>
      <c r="AY126" s="43" t="n">
        <f aca="false">SUMIFS('Additions (monthly)'!$E$2:$E$106,'Additions (monthly)'!$D$2:$D$106,AY$2,'Additions (monthly)'!$B$2:$B$106,"&lt;="&amp;$B126)</f>
        <v>5.3</v>
      </c>
      <c r="AZ126" s="43" t="n">
        <f aca="false">SUMIFS('Additions (monthly)'!$E$2:$E$106,'Additions (monthly)'!$D$2:$D$106,AZ$2,'Additions (monthly)'!$B$2:$B$106,"&lt;="&amp;$B126)</f>
        <v>0</v>
      </c>
      <c r="BA126" s="43" t="n">
        <f aca="false">SUMIFS('Additions (monthly)'!$E$2:$E$106,'Additions (monthly)'!$D$2:$D$106,BA$2,'Additions (monthly)'!$B$2:$B$106,"&lt;="&amp;$B126)</f>
        <v>13.5</v>
      </c>
      <c r="BB126" s="43" t="n">
        <f aca="false">SUMIFS('Additions (monthly)'!$E$2:$E$106,'Additions (monthly)'!$D$2:$D$106,BB$2,'Additions (monthly)'!$B$2:$B$106,"&lt;="&amp;$B126)</f>
        <v>10</v>
      </c>
      <c r="BC126" s="43" t="n">
        <f aca="false">SUMIFS('Additions (monthly)'!$E$2:$E$106,'Additions (monthly)'!$D$2:$D$106,BC$2,'Additions (monthly)'!$B$2:$B$106,"&lt;="&amp;$B126)</f>
        <v>5.25</v>
      </c>
      <c r="BD126" s="43" t="n">
        <f aca="false">SUMIFS('Additions (monthly)'!$E$2:$E$106,'Additions (monthly)'!$D$2:$D$106,BD$2,'Additions (monthly)'!$B$2:$B$106,"&lt;="&amp;$B126)</f>
        <v>1.25</v>
      </c>
      <c r="BE126" s="43" t="n">
        <f aca="false">SUMIFS('Additions (monthly)'!$E$2:$E$106,'Additions (monthly)'!$D$2:$D$106,BE$2,'Additions (monthly)'!$B$2:$B$106,"&lt;="&amp;$B126)</f>
        <v>15.3</v>
      </c>
      <c r="BF126" s="43" t="n">
        <f aca="false">SUMIFS('Additions (monthly)'!$E$2:$E$106,'Additions (monthly)'!$D$2:$D$106,BF$2,'Additions (monthly)'!$B$2:$B$106,"&lt;="&amp;$B126)</f>
        <v>0</v>
      </c>
      <c r="BG126" s="43" t="n">
        <f aca="false">SUMIFS('Additions (monthly)'!$E$2:$E$106,'Additions (monthly)'!$D$2:$D$106,BG$2,'Additions (monthly)'!$B$2:$B$106,"&lt;="&amp;$B126)</f>
        <v>0</v>
      </c>
      <c r="BH126" s="43" t="n">
        <f aca="false">SUMIFS('Additions (monthly)'!$E$2:$E$106,'Additions (monthly)'!$D$2:$D$106,BH$2,'Additions (monthly)'!$B$2:$B$106,"&lt;="&amp;$B126)</f>
        <v>25</v>
      </c>
      <c r="BI126" s="43" t="n">
        <f aca="false">SUMIFS('Additions (monthly)'!$E$2:$E$106,'Additions (monthly)'!$D$2:$D$106,BI$2,'Additions (monthly)'!$B$2:$B$106,"&lt;="&amp;$B126)</f>
        <v>6.7</v>
      </c>
    </row>
    <row r="127" customFormat="false" ht="15" hidden="false" customHeight="false" outlineLevel="0" collapsed="false">
      <c r="A127" s="23" t="n">
        <v>43952</v>
      </c>
      <c r="B127" s="24" t="n">
        <v>202005</v>
      </c>
      <c r="C127" s="42" t="n">
        <f aca="false">SUMIFS('Additions (monthly)'!$E$2:$E$106,'Additions (monthly)'!$B$2:$B$106,"&lt;="&amp;$B127)</f>
        <v>448.98</v>
      </c>
      <c r="D127" s="43" t="n">
        <f aca="false">SUMIFS('Additions (monthly)'!$E$2:$E$106,'Additions (monthly)'!$D$2:$D$106,D$2,'Additions (monthly)'!$B$2:$B$106,"&lt;="&amp;$B127)</f>
        <v>7.9</v>
      </c>
      <c r="E127" s="43" t="n">
        <f aca="false">SUMIFS('Additions (monthly)'!$E$2:$E$106,'Additions (monthly)'!$D$2:$D$106,E$2,'Additions (monthly)'!$B$2:$B$106,"&lt;="&amp;$B127)</f>
        <v>8.4</v>
      </c>
      <c r="F127" s="43" t="n">
        <f aca="false">SUMIFS('Additions (monthly)'!$E$2:$E$106,'Additions (monthly)'!$D$2:$D$106,F$2,'Additions (monthly)'!$B$2:$B$106,"&lt;="&amp;$B127)</f>
        <v>4.7</v>
      </c>
      <c r="G127" s="43" t="n">
        <f aca="false">SUMIFS('Additions (monthly)'!$E$2:$E$106,'Additions (monthly)'!$D$2:$D$106,G$2,'Additions (monthly)'!$B$2:$B$106,"&lt;="&amp;$B127)</f>
        <v>4.5</v>
      </c>
      <c r="H127" s="43" t="n">
        <f aca="false">SUMIFS('Additions (monthly)'!$E$2:$E$106,'Additions (monthly)'!$D$2:$D$106,H$2,'Additions (monthly)'!$B$2:$B$106,"&lt;="&amp;$B127)</f>
        <v>5.2</v>
      </c>
      <c r="I127" s="43" t="n">
        <f aca="false">SUMIFS('Additions (monthly)'!$E$2:$E$106,'Additions (monthly)'!$D$2:$D$106,I$2,'Additions (monthly)'!$B$2:$B$106,"&lt;="&amp;$B127)</f>
        <v>9</v>
      </c>
      <c r="J127" s="43" t="n">
        <f aca="false">SUMIFS('Additions (monthly)'!$E$2:$E$106,'Additions (monthly)'!$D$2:$D$106,J$2,'Additions (monthly)'!$B$2:$B$106,"&lt;="&amp;$B127)</f>
        <v>3.7</v>
      </c>
      <c r="K127" s="43" t="n">
        <f aca="false">SUMIFS('Additions (monthly)'!$E$2:$E$106,'Additions (monthly)'!$D$2:$D$106,K$2,'Additions (monthly)'!$B$2:$B$106,"&lt;="&amp;$B127)</f>
        <v>7.8</v>
      </c>
      <c r="L127" s="43" t="n">
        <f aca="false">SUMIFS('Additions (monthly)'!$E$2:$E$106,'Additions (monthly)'!$D$2:$D$106,L$2,'Additions (monthly)'!$B$2:$B$106,"&lt;="&amp;$B127)</f>
        <v>15.6</v>
      </c>
      <c r="M127" s="43" t="n">
        <f aca="false">SUMIFS('Additions (monthly)'!$E$2:$E$106,'Additions (monthly)'!$D$2:$D$106,M$2,'Additions (monthly)'!$B$2:$B$106,"&lt;="&amp;$B127)</f>
        <v>8.9</v>
      </c>
      <c r="N127" s="43" t="n">
        <f aca="false">SUMIFS('Additions (monthly)'!$E$2:$E$106,'Additions (monthly)'!$D$2:$D$106,N$2,'Additions (monthly)'!$B$2:$B$106,"&lt;="&amp;$B127)</f>
        <v>14.2</v>
      </c>
      <c r="O127" s="43" t="n">
        <f aca="false">SUMIFS('Additions (monthly)'!$E$2:$E$106,'Additions (monthly)'!$D$2:$D$106,O$2,'Additions (monthly)'!$B$2:$B$106,"&lt;="&amp;$B127)</f>
        <v>4.9</v>
      </c>
      <c r="P127" s="43" t="n">
        <f aca="false">SUMIFS('Additions (monthly)'!$E$2:$E$106,'Additions (monthly)'!$D$2:$D$106,P$2,'Additions (monthly)'!$B$2:$B$106,"&lt;="&amp;$B127)</f>
        <v>3.6</v>
      </c>
      <c r="Q127" s="43" t="n">
        <f aca="false">SUMIFS('Additions (monthly)'!$E$2:$E$106,'Additions (monthly)'!$D$2:$D$106,Q$2,'Additions (monthly)'!$B$2:$B$106,"&lt;="&amp;$B127)</f>
        <v>8.5</v>
      </c>
      <c r="R127" s="43" t="n">
        <f aca="false">SUMIFS('Additions (monthly)'!$E$2:$E$106,'Additions (monthly)'!$D$2:$D$106,R$2,'Additions (monthly)'!$B$2:$B$106,"&lt;="&amp;$B127)</f>
        <v>8.9</v>
      </c>
      <c r="S127" s="43" t="n">
        <f aca="false">SUMIFS('Additions (monthly)'!$E$2:$E$106,'Additions (monthly)'!$D$2:$D$106,S$2,'Additions (monthly)'!$B$2:$B$106,"&lt;="&amp;$B127)</f>
        <v>7.2</v>
      </c>
      <c r="T127" s="43" t="n">
        <f aca="false">SUMIFS('Additions (monthly)'!$E$2:$E$106,'Additions (monthly)'!$D$2:$D$106,T$2,'Additions (monthly)'!$B$2:$B$106,"&lt;="&amp;$B127)</f>
        <v>2.4</v>
      </c>
      <c r="U127" s="43" t="n">
        <f aca="false">SUMIFS('Additions (monthly)'!$E$2:$E$106,'Additions (monthly)'!$D$2:$D$106,U$2,'Additions (monthly)'!$B$2:$B$106,"&lt;="&amp;$B127)</f>
        <v>0</v>
      </c>
      <c r="V127" s="43" t="n">
        <f aca="false">SUMIFS('Additions (monthly)'!$E$2:$E$106,'Additions (monthly)'!$D$2:$D$106,V$2,'Additions (monthly)'!$B$2:$B$106,"&lt;="&amp;$B127)</f>
        <v>3.87</v>
      </c>
      <c r="W127" s="43" t="n">
        <f aca="false">SUMIFS('Additions (monthly)'!$E$2:$E$106,'Additions (monthly)'!$D$2:$D$106,W$2,'Additions (monthly)'!$B$2:$B$106,"&lt;="&amp;$B127)</f>
        <v>0</v>
      </c>
      <c r="X127" s="43" t="n">
        <f aca="false">SUMIFS('Additions (monthly)'!$E$2:$E$106,'Additions (monthly)'!$D$2:$D$106,X$2,'Additions (monthly)'!$B$2:$B$106,"&lt;="&amp;$B127)</f>
        <v>0</v>
      </c>
      <c r="Y127" s="43" t="n">
        <f aca="false">SUMIFS('Additions (monthly)'!$E$2:$E$106,'Additions (monthly)'!$D$2:$D$106,Y$2,'Additions (monthly)'!$B$2:$B$106,"&lt;="&amp;$B127)</f>
        <v>5</v>
      </c>
      <c r="Z127" s="43" t="n">
        <f aca="false">SUMIFS('Additions (monthly)'!$E$2:$E$106,'Additions (monthly)'!$D$2:$D$106,Z$2,'Additions (monthly)'!$B$2:$B$106,"&lt;="&amp;$B127)</f>
        <v>7.2</v>
      </c>
      <c r="AA127" s="43" t="n">
        <f aca="false">SUMIFS('Additions (monthly)'!$E$2:$E$106,'Additions (monthly)'!$D$2:$D$106,AA$2,'Additions (monthly)'!$B$2:$B$106,"&lt;="&amp;$B127)</f>
        <v>3.7</v>
      </c>
      <c r="AB127" s="43" t="n">
        <f aca="false">SUMIFS('Additions (monthly)'!$E$2:$E$106,'Additions (monthly)'!$D$2:$D$106,AB$2,'Additions (monthly)'!$B$2:$B$106,"&lt;="&amp;$B127)</f>
        <v>16.95</v>
      </c>
      <c r="AC127" s="43" t="n">
        <f aca="false">SUMIFS('Additions (monthly)'!$E$2:$E$106,'Additions (monthly)'!$D$2:$D$106,AC$2,'Additions (monthly)'!$B$2:$B$106,"&lt;="&amp;$B127)</f>
        <v>2</v>
      </c>
      <c r="AD127" s="43" t="n">
        <f aca="false">SUMIFS('Additions (monthly)'!$E$2:$E$106,'Additions (monthly)'!$D$2:$D$106,AD$2,'Additions (monthly)'!$B$2:$B$106,"&lt;="&amp;$B127)</f>
        <v>7.6</v>
      </c>
      <c r="AE127" s="43" t="n">
        <f aca="false">SUMIFS('Additions (monthly)'!$E$2:$E$106,'Additions (monthly)'!$D$2:$D$106,AE$2,'Additions (monthly)'!$B$2:$B$106,"&lt;="&amp;$B127)</f>
        <v>29.3</v>
      </c>
      <c r="AF127" s="43" t="n">
        <f aca="false">SUMIFS('Additions (monthly)'!$E$2:$E$106,'Additions (monthly)'!$D$2:$D$106,AF$2,'Additions (monthly)'!$B$2:$B$106,"&lt;="&amp;$B127)</f>
        <v>1.2</v>
      </c>
      <c r="AG127" s="43" t="n">
        <f aca="false">SUMIFS('Additions (monthly)'!$E$2:$E$106,'Additions (monthly)'!$D$2:$D$106,AG$2,'Additions (monthly)'!$B$2:$B$106,"&lt;="&amp;$B127)</f>
        <v>0</v>
      </c>
      <c r="AH127" s="43" t="n">
        <f aca="false">SUMIFS('Additions (monthly)'!$E$2:$E$106,'Additions (monthly)'!$D$2:$D$106,AH$2,'Additions (monthly)'!$B$2:$B$106,"&lt;="&amp;$B127)</f>
        <v>0</v>
      </c>
      <c r="AI127" s="43" t="n">
        <f aca="false">SUMIFS('Additions (monthly)'!$E$2:$E$106,'Additions (monthly)'!$D$2:$D$106,AI$2,'Additions (monthly)'!$B$2:$B$106,"&lt;="&amp;$B127)</f>
        <v>0</v>
      </c>
      <c r="AJ127" s="43" t="n">
        <f aca="false">SUMIFS('Additions (monthly)'!$E$2:$E$106,'Additions (monthly)'!$D$2:$D$106,AJ$2,'Additions (monthly)'!$B$2:$B$106,"&lt;="&amp;$B127)</f>
        <v>0</v>
      </c>
      <c r="AK127" s="43" t="n">
        <f aca="false">SUMIFS('Additions (monthly)'!$E$2:$E$106,'Additions (monthly)'!$D$2:$D$106,AK$2,'Additions (monthly)'!$B$2:$B$106,"&lt;="&amp;$B127)</f>
        <v>0</v>
      </c>
      <c r="AL127" s="43" t="n">
        <f aca="false">SUMIFS('Additions (monthly)'!$E$2:$E$106,'Additions (monthly)'!$D$2:$D$106,AL$2,'Additions (monthly)'!$B$2:$B$106,"&lt;="&amp;$B127)</f>
        <v>22.2</v>
      </c>
      <c r="AM127" s="43" t="n">
        <f aca="false">SUMIFS('Additions (monthly)'!$E$2:$E$106,'Additions (monthly)'!$D$2:$D$106,AM$2,'Additions (monthly)'!$B$2:$B$106,"&lt;="&amp;$B127)</f>
        <v>0.3</v>
      </c>
      <c r="AN127" s="43" t="n">
        <f aca="false">SUMIFS('Additions (monthly)'!$E$2:$E$106,'Additions (monthly)'!$D$2:$D$106,AN$2,'Additions (monthly)'!$B$2:$B$106,"&lt;="&amp;$B127)</f>
        <v>4.3</v>
      </c>
      <c r="AO127" s="43" t="n">
        <f aca="false">SUMIFS('Additions (monthly)'!$E$2:$E$106,'Additions (monthly)'!$D$2:$D$106,AO$2,'Additions (monthly)'!$B$2:$B$106,"&lt;="&amp;$B127)</f>
        <v>10.4</v>
      </c>
      <c r="AP127" s="43" t="n">
        <f aca="false">SUMIFS('Additions (monthly)'!$E$2:$E$106,'Additions (monthly)'!$D$2:$D$106,AP$2,'Additions (monthly)'!$B$2:$B$106,"&lt;="&amp;$B127)</f>
        <v>6.9</v>
      </c>
      <c r="AQ127" s="43" t="n">
        <f aca="false">SUMIFS('Additions (monthly)'!$E$2:$E$106,'Additions (monthly)'!$D$2:$D$106,AQ$2,'Additions (monthly)'!$B$2:$B$106,"&lt;="&amp;$B127)</f>
        <v>4.45</v>
      </c>
      <c r="AR127" s="43" t="n">
        <f aca="false">SUMIFS('Additions (monthly)'!$E$2:$E$106,'Additions (monthly)'!$D$2:$D$106,AR$2,'Additions (monthly)'!$B$2:$B$106,"&lt;="&amp;$B127)</f>
        <v>77.1</v>
      </c>
      <c r="AS127" s="43" t="n">
        <f aca="false">SUMIFS('Additions (monthly)'!$E$2:$E$106,'Additions (monthly)'!$D$2:$D$106,AS$2,'Additions (monthly)'!$B$2:$B$106,"&lt;="&amp;$B127)</f>
        <v>0</v>
      </c>
      <c r="AT127" s="43" t="n">
        <f aca="false">SUMIFS('Additions (monthly)'!$E$2:$E$106,'Additions (monthly)'!$D$2:$D$106,AT$2,'Additions (monthly)'!$B$2:$B$106,"&lt;="&amp;$B127)</f>
        <v>0</v>
      </c>
      <c r="AU127" s="43" t="n">
        <f aca="false">SUMIFS('Additions (monthly)'!$E$2:$E$106,'Additions (monthly)'!$D$2:$D$106,AU$2,'Additions (monthly)'!$B$2:$B$106,"&lt;="&amp;$B127)</f>
        <v>9.6</v>
      </c>
      <c r="AV127" s="43" t="n">
        <f aca="false">SUMIFS('Additions (monthly)'!$E$2:$E$106,'Additions (monthly)'!$D$2:$D$106,AV$2,'Additions (monthly)'!$B$2:$B$106,"&lt;="&amp;$B127)</f>
        <v>0.66</v>
      </c>
      <c r="AW127" s="43" t="n">
        <f aca="false">SUMIFS('Additions (monthly)'!$E$2:$E$106,'Additions (monthly)'!$D$2:$D$106,AW$2,'Additions (monthly)'!$B$2:$B$106,"&lt;="&amp;$B127)</f>
        <v>16.5</v>
      </c>
      <c r="AX127" s="43" t="n">
        <f aca="false">SUMIFS('Additions (monthly)'!$E$2:$E$106,'Additions (monthly)'!$D$2:$D$106,AX$2,'Additions (monthly)'!$B$2:$B$106,"&lt;="&amp;$B127)</f>
        <v>11.8</v>
      </c>
      <c r="AY127" s="43" t="n">
        <f aca="false">SUMIFS('Additions (monthly)'!$E$2:$E$106,'Additions (monthly)'!$D$2:$D$106,AY$2,'Additions (monthly)'!$B$2:$B$106,"&lt;="&amp;$B127)</f>
        <v>5.3</v>
      </c>
      <c r="AZ127" s="43" t="n">
        <f aca="false">SUMIFS('Additions (monthly)'!$E$2:$E$106,'Additions (monthly)'!$D$2:$D$106,AZ$2,'Additions (monthly)'!$B$2:$B$106,"&lt;="&amp;$B127)</f>
        <v>0</v>
      </c>
      <c r="BA127" s="43" t="n">
        <f aca="false">SUMIFS('Additions (monthly)'!$E$2:$E$106,'Additions (monthly)'!$D$2:$D$106,BA$2,'Additions (monthly)'!$B$2:$B$106,"&lt;="&amp;$B127)</f>
        <v>13.5</v>
      </c>
      <c r="BB127" s="43" t="n">
        <f aca="false">SUMIFS('Additions (monthly)'!$E$2:$E$106,'Additions (monthly)'!$D$2:$D$106,BB$2,'Additions (monthly)'!$B$2:$B$106,"&lt;="&amp;$B127)</f>
        <v>10</v>
      </c>
      <c r="BC127" s="43" t="n">
        <f aca="false">SUMIFS('Additions (monthly)'!$E$2:$E$106,'Additions (monthly)'!$D$2:$D$106,BC$2,'Additions (monthly)'!$B$2:$B$106,"&lt;="&amp;$B127)</f>
        <v>5.25</v>
      </c>
      <c r="BD127" s="43" t="n">
        <f aca="false">SUMIFS('Additions (monthly)'!$E$2:$E$106,'Additions (monthly)'!$D$2:$D$106,BD$2,'Additions (monthly)'!$B$2:$B$106,"&lt;="&amp;$B127)</f>
        <v>1.5</v>
      </c>
      <c r="BE127" s="43" t="n">
        <f aca="false">SUMIFS('Additions (monthly)'!$E$2:$E$106,'Additions (monthly)'!$D$2:$D$106,BE$2,'Additions (monthly)'!$B$2:$B$106,"&lt;="&amp;$B127)</f>
        <v>15.3</v>
      </c>
      <c r="BF127" s="43" t="n">
        <f aca="false">SUMIFS('Additions (monthly)'!$E$2:$E$106,'Additions (monthly)'!$D$2:$D$106,BF$2,'Additions (monthly)'!$B$2:$B$106,"&lt;="&amp;$B127)</f>
        <v>0</v>
      </c>
      <c r="BG127" s="43" t="n">
        <f aca="false">SUMIFS('Additions (monthly)'!$E$2:$E$106,'Additions (monthly)'!$D$2:$D$106,BG$2,'Additions (monthly)'!$B$2:$B$106,"&lt;="&amp;$B127)</f>
        <v>0</v>
      </c>
      <c r="BH127" s="43" t="n">
        <f aca="false">SUMIFS('Additions (monthly)'!$E$2:$E$106,'Additions (monthly)'!$D$2:$D$106,BH$2,'Additions (monthly)'!$B$2:$B$106,"&lt;="&amp;$B127)</f>
        <v>25</v>
      </c>
      <c r="BI127" s="43" t="n">
        <f aca="false">SUMIFS('Additions (monthly)'!$E$2:$E$106,'Additions (monthly)'!$D$2:$D$106,BI$2,'Additions (monthly)'!$B$2:$B$106,"&lt;="&amp;$B127)</f>
        <v>6.7</v>
      </c>
    </row>
    <row r="128" customFormat="false" ht="15" hidden="false" customHeight="false" outlineLevel="0" collapsed="false">
      <c r="A128" s="23" t="n">
        <v>43983</v>
      </c>
      <c r="B128" s="24" t="n">
        <v>202006</v>
      </c>
      <c r="C128" s="42" t="n">
        <f aca="false">SUMIFS('Additions (monthly)'!$E$2:$E$106,'Additions (monthly)'!$B$2:$B$106,"&lt;="&amp;$B128)</f>
        <v>448.98</v>
      </c>
      <c r="D128" s="43" t="n">
        <f aca="false">SUMIFS('Additions (monthly)'!$E$2:$E$106,'Additions (monthly)'!$D$2:$D$106,D$2,'Additions (monthly)'!$B$2:$B$106,"&lt;="&amp;$B128)</f>
        <v>7.9</v>
      </c>
      <c r="E128" s="43" t="n">
        <f aca="false">SUMIFS('Additions (monthly)'!$E$2:$E$106,'Additions (monthly)'!$D$2:$D$106,E$2,'Additions (monthly)'!$B$2:$B$106,"&lt;="&amp;$B128)</f>
        <v>8.4</v>
      </c>
      <c r="F128" s="43" t="n">
        <f aca="false">SUMIFS('Additions (monthly)'!$E$2:$E$106,'Additions (monthly)'!$D$2:$D$106,F$2,'Additions (monthly)'!$B$2:$B$106,"&lt;="&amp;$B128)</f>
        <v>4.7</v>
      </c>
      <c r="G128" s="43" t="n">
        <f aca="false">SUMIFS('Additions (monthly)'!$E$2:$E$106,'Additions (monthly)'!$D$2:$D$106,G$2,'Additions (monthly)'!$B$2:$B$106,"&lt;="&amp;$B128)</f>
        <v>4.5</v>
      </c>
      <c r="H128" s="43" t="n">
        <f aca="false">SUMIFS('Additions (monthly)'!$E$2:$E$106,'Additions (monthly)'!$D$2:$D$106,H$2,'Additions (monthly)'!$B$2:$B$106,"&lt;="&amp;$B128)</f>
        <v>5.2</v>
      </c>
      <c r="I128" s="43" t="n">
        <f aca="false">SUMIFS('Additions (monthly)'!$E$2:$E$106,'Additions (monthly)'!$D$2:$D$106,I$2,'Additions (monthly)'!$B$2:$B$106,"&lt;="&amp;$B128)</f>
        <v>9</v>
      </c>
      <c r="J128" s="43" t="n">
        <f aca="false">SUMIFS('Additions (monthly)'!$E$2:$E$106,'Additions (monthly)'!$D$2:$D$106,J$2,'Additions (monthly)'!$B$2:$B$106,"&lt;="&amp;$B128)</f>
        <v>3.7</v>
      </c>
      <c r="K128" s="43" t="n">
        <f aca="false">SUMIFS('Additions (monthly)'!$E$2:$E$106,'Additions (monthly)'!$D$2:$D$106,K$2,'Additions (monthly)'!$B$2:$B$106,"&lt;="&amp;$B128)</f>
        <v>7.8</v>
      </c>
      <c r="L128" s="43" t="n">
        <f aca="false">SUMIFS('Additions (monthly)'!$E$2:$E$106,'Additions (monthly)'!$D$2:$D$106,L$2,'Additions (monthly)'!$B$2:$B$106,"&lt;="&amp;$B128)</f>
        <v>15.6</v>
      </c>
      <c r="M128" s="43" t="n">
        <f aca="false">SUMIFS('Additions (monthly)'!$E$2:$E$106,'Additions (monthly)'!$D$2:$D$106,M$2,'Additions (monthly)'!$B$2:$B$106,"&lt;="&amp;$B128)</f>
        <v>8.9</v>
      </c>
      <c r="N128" s="43" t="n">
        <f aca="false">SUMIFS('Additions (monthly)'!$E$2:$E$106,'Additions (monthly)'!$D$2:$D$106,N$2,'Additions (monthly)'!$B$2:$B$106,"&lt;="&amp;$B128)</f>
        <v>14.2</v>
      </c>
      <c r="O128" s="43" t="n">
        <f aca="false">SUMIFS('Additions (monthly)'!$E$2:$E$106,'Additions (monthly)'!$D$2:$D$106,O$2,'Additions (monthly)'!$B$2:$B$106,"&lt;="&amp;$B128)</f>
        <v>4.9</v>
      </c>
      <c r="P128" s="43" t="n">
        <f aca="false">SUMIFS('Additions (monthly)'!$E$2:$E$106,'Additions (monthly)'!$D$2:$D$106,P$2,'Additions (monthly)'!$B$2:$B$106,"&lt;="&amp;$B128)</f>
        <v>3.6</v>
      </c>
      <c r="Q128" s="43" t="n">
        <f aca="false">SUMIFS('Additions (monthly)'!$E$2:$E$106,'Additions (monthly)'!$D$2:$D$106,Q$2,'Additions (monthly)'!$B$2:$B$106,"&lt;="&amp;$B128)</f>
        <v>8.5</v>
      </c>
      <c r="R128" s="43" t="n">
        <f aca="false">SUMIFS('Additions (monthly)'!$E$2:$E$106,'Additions (monthly)'!$D$2:$D$106,R$2,'Additions (monthly)'!$B$2:$B$106,"&lt;="&amp;$B128)</f>
        <v>8.9</v>
      </c>
      <c r="S128" s="43" t="n">
        <f aca="false">SUMIFS('Additions (monthly)'!$E$2:$E$106,'Additions (monthly)'!$D$2:$D$106,S$2,'Additions (monthly)'!$B$2:$B$106,"&lt;="&amp;$B128)</f>
        <v>7.2</v>
      </c>
      <c r="T128" s="43" t="n">
        <f aca="false">SUMIFS('Additions (monthly)'!$E$2:$E$106,'Additions (monthly)'!$D$2:$D$106,T$2,'Additions (monthly)'!$B$2:$B$106,"&lt;="&amp;$B128)</f>
        <v>2.4</v>
      </c>
      <c r="U128" s="43" t="n">
        <f aca="false">SUMIFS('Additions (monthly)'!$E$2:$E$106,'Additions (monthly)'!$D$2:$D$106,U$2,'Additions (monthly)'!$B$2:$B$106,"&lt;="&amp;$B128)</f>
        <v>0</v>
      </c>
      <c r="V128" s="43" t="n">
        <f aca="false">SUMIFS('Additions (monthly)'!$E$2:$E$106,'Additions (monthly)'!$D$2:$D$106,V$2,'Additions (monthly)'!$B$2:$B$106,"&lt;="&amp;$B128)</f>
        <v>3.87</v>
      </c>
      <c r="W128" s="43" t="n">
        <f aca="false">SUMIFS('Additions (monthly)'!$E$2:$E$106,'Additions (monthly)'!$D$2:$D$106,W$2,'Additions (monthly)'!$B$2:$B$106,"&lt;="&amp;$B128)</f>
        <v>0</v>
      </c>
      <c r="X128" s="43" t="n">
        <f aca="false">SUMIFS('Additions (monthly)'!$E$2:$E$106,'Additions (monthly)'!$D$2:$D$106,X$2,'Additions (monthly)'!$B$2:$B$106,"&lt;="&amp;$B128)</f>
        <v>0</v>
      </c>
      <c r="Y128" s="43" t="n">
        <f aca="false">SUMIFS('Additions (monthly)'!$E$2:$E$106,'Additions (monthly)'!$D$2:$D$106,Y$2,'Additions (monthly)'!$B$2:$B$106,"&lt;="&amp;$B128)</f>
        <v>5</v>
      </c>
      <c r="Z128" s="43" t="n">
        <f aca="false">SUMIFS('Additions (monthly)'!$E$2:$E$106,'Additions (monthly)'!$D$2:$D$106,Z$2,'Additions (monthly)'!$B$2:$B$106,"&lt;="&amp;$B128)</f>
        <v>7.2</v>
      </c>
      <c r="AA128" s="43" t="n">
        <f aca="false">SUMIFS('Additions (monthly)'!$E$2:$E$106,'Additions (monthly)'!$D$2:$D$106,AA$2,'Additions (monthly)'!$B$2:$B$106,"&lt;="&amp;$B128)</f>
        <v>3.7</v>
      </c>
      <c r="AB128" s="43" t="n">
        <f aca="false">SUMIFS('Additions (monthly)'!$E$2:$E$106,'Additions (monthly)'!$D$2:$D$106,AB$2,'Additions (monthly)'!$B$2:$B$106,"&lt;="&amp;$B128)</f>
        <v>16.95</v>
      </c>
      <c r="AC128" s="43" t="n">
        <f aca="false">SUMIFS('Additions (monthly)'!$E$2:$E$106,'Additions (monthly)'!$D$2:$D$106,AC$2,'Additions (monthly)'!$B$2:$B$106,"&lt;="&amp;$B128)</f>
        <v>2</v>
      </c>
      <c r="AD128" s="43" t="n">
        <f aca="false">SUMIFS('Additions (monthly)'!$E$2:$E$106,'Additions (monthly)'!$D$2:$D$106,AD$2,'Additions (monthly)'!$B$2:$B$106,"&lt;="&amp;$B128)</f>
        <v>7.6</v>
      </c>
      <c r="AE128" s="43" t="n">
        <f aca="false">SUMIFS('Additions (monthly)'!$E$2:$E$106,'Additions (monthly)'!$D$2:$D$106,AE$2,'Additions (monthly)'!$B$2:$B$106,"&lt;="&amp;$B128)</f>
        <v>29.3</v>
      </c>
      <c r="AF128" s="43" t="n">
        <f aca="false">SUMIFS('Additions (monthly)'!$E$2:$E$106,'Additions (monthly)'!$D$2:$D$106,AF$2,'Additions (monthly)'!$B$2:$B$106,"&lt;="&amp;$B128)</f>
        <v>1.2</v>
      </c>
      <c r="AG128" s="43" t="n">
        <f aca="false">SUMIFS('Additions (monthly)'!$E$2:$E$106,'Additions (monthly)'!$D$2:$D$106,AG$2,'Additions (monthly)'!$B$2:$B$106,"&lt;="&amp;$B128)</f>
        <v>0</v>
      </c>
      <c r="AH128" s="43" t="n">
        <f aca="false">SUMIFS('Additions (monthly)'!$E$2:$E$106,'Additions (monthly)'!$D$2:$D$106,AH$2,'Additions (monthly)'!$B$2:$B$106,"&lt;="&amp;$B128)</f>
        <v>0</v>
      </c>
      <c r="AI128" s="43" t="n">
        <f aca="false">SUMIFS('Additions (monthly)'!$E$2:$E$106,'Additions (monthly)'!$D$2:$D$106,AI$2,'Additions (monthly)'!$B$2:$B$106,"&lt;="&amp;$B128)</f>
        <v>0</v>
      </c>
      <c r="AJ128" s="43" t="n">
        <f aca="false">SUMIFS('Additions (monthly)'!$E$2:$E$106,'Additions (monthly)'!$D$2:$D$106,AJ$2,'Additions (monthly)'!$B$2:$B$106,"&lt;="&amp;$B128)</f>
        <v>0</v>
      </c>
      <c r="AK128" s="43" t="n">
        <f aca="false">SUMIFS('Additions (monthly)'!$E$2:$E$106,'Additions (monthly)'!$D$2:$D$106,AK$2,'Additions (monthly)'!$B$2:$B$106,"&lt;="&amp;$B128)</f>
        <v>0</v>
      </c>
      <c r="AL128" s="43" t="n">
        <f aca="false">SUMIFS('Additions (monthly)'!$E$2:$E$106,'Additions (monthly)'!$D$2:$D$106,AL$2,'Additions (monthly)'!$B$2:$B$106,"&lt;="&amp;$B128)</f>
        <v>22.2</v>
      </c>
      <c r="AM128" s="43" t="n">
        <f aca="false">SUMIFS('Additions (monthly)'!$E$2:$E$106,'Additions (monthly)'!$D$2:$D$106,AM$2,'Additions (monthly)'!$B$2:$B$106,"&lt;="&amp;$B128)</f>
        <v>0.3</v>
      </c>
      <c r="AN128" s="43" t="n">
        <f aca="false">SUMIFS('Additions (monthly)'!$E$2:$E$106,'Additions (monthly)'!$D$2:$D$106,AN$2,'Additions (monthly)'!$B$2:$B$106,"&lt;="&amp;$B128)</f>
        <v>4.3</v>
      </c>
      <c r="AO128" s="43" t="n">
        <f aca="false">SUMIFS('Additions (monthly)'!$E$2:$E$106,'Additions (monthly)'!$D$2:$D$106,AO$2,'Additions (monthly)'!$B$2:$B$106,"&lt;="&amp;$B128)</f>
        <v>10.4</v>
      </c>
      <c r="AP128" s="43" t="n">
        <f aca="false">SUMIFS('Additions (monthly)'!$E$2:$E$106,'Additions (monthly)'!$D$2:$D$106,AP$2,'Additions (monthly)'!$B$2:$B$106,"&lt;="&amp;$B128)</f>
        <v>6.9</v>
      </c>
      <c r="AQ128" s="43" t="n">
        <f aca="false">SUMIFS('Additions (monthly)'!$E$2:$E$106,'Additions (monthly)'!$D$2:$D$106,AQ$2,'Additions (monthly)'!$B$2:$B$106,"&lt;="&amp;$B128)</f>
        <v>4.45</v>
      </c>
      <c r="AR128" s="43" t="n">
        <f aca="false">SUMIFS('Additions (monthly)'!$E$2:$E$106,'Additions (monthly)'!$D$2:$D$106,AR$2,'Additions (monthly)'!$B$2:$B$106,"&lt;="&amp;$B128)</f>
        <v>77.1</v>
      </c>
      <c r="AS128" s="43" t="n">
        <f aca="false">SUMIFS('Additions (monthly)'!$E$2:$E$106,'Additions (monthly)'!$D$2:$D$106,AS$2,'Additions (monthly)'!$B$2:$B$106,"&lt;="&amp;$B128)</f>
        <v>0</v>
      </c>
      <c r="AT128" s="43" t="n">
        <f aca="false">SUMIFS('Additions (monthly)'!$E$2:$E$106,'Additions (monthly)'!$D$2:$D$106,AT$2,'Additions (monthly)'!$B$2:$B$106,"&lt;="&amp;$B128)</f>
        <v>0</v>
      </c>
      <c r="AU128" s="43" t="n">
        <f aca="false">SUMIFS('Additions (monthly)'!$E$2:$E$106,'Additions (monthly)'!$D$2:$D$106,AU$2,'Additions (monthly)'!$B$2:$B$106,"&lt;="&amp;$B128)</f>
        <v>9.6</v>
      </c>
      <c r="AV128" s="43" t="n">
        <f aca="false">SUMIFS('Additions (monthly)'!$E$2:$E$106,'Additions (monthly)'!$D$2:$D$106,AV$2,'Additions (monthly)'!$B$2:$B$106,"&lt;="&amp;$B128)</f>
        <v>0.66</v>
      </c>
      <c r="AW128" s="43" t="n">
        <f aca="false">SUMIFS('Additions (monthly)'!$E$2:$E$106,'Additions (monthly)'!$D$2:$D$106,AW$2,'Additions (monthly)'!$B$2:$B$106,"&lt;="&amp;$B128)</f>
        <v>16.5</v>
      </c>
      <c r="AX128" s="43" t="n">
        <f aca="false">SUMIFS('Additions (monthly)'!$E$2:$E$106,'Additions (monthly)'!$D$2:$D$106,AX$2,'Additions (monthly)'!$B$2:$B$106,"&lt;="&amp;$B128)</f>
        <v>11.8</v>
      </c>
      <c r="AY128" s="43" t="n">
        <f aca="false">SUMIFS('Additions (monthly)'!$E$2:$E$106,'Additions (monthly)'!$D$2:$D$106,AY$2,'Additions (monthly)'!$B$2:$B$106,"&lt;="&amp;$B128)</f>
        <v>5.3</v>
      </c>
      <c r="AZ128" s="43" t="n">
        <f aca="false">SUMIFS('Additions (monthly)'!$E$2:$E$106,'Additions (monthly)'!$D$2:$D$106,AZ$2,'Additions (monthly)'!$B$2:$B$106,"&lt;="&amp;$B128)</f>
        <v>0</v>
      </c>
      <c r="BA128" s="43" t="n">
        <f aca="false">SUMIFS('Additions (monthly)'!$E$2:$E$106,'Additions (monthly)'!$D$2:$D$106,BA$2,'Additions (monthly)'!$B$2:$B$106,"&lt;="&amp;$B128)</f>
        <v>13.5</v>
      </c>
      <c r="BB128" s="43" t="n">
        <f aca="false">SUMIFS('Additions (monthly)'!$E$2:$E$106,'Additions (monthly)'!$D$2:$D$106,BB$2,'Additions (monthly)'!$B$2:$B$106,"&lt;="&amp;$B128)</f>
        <v>10</v>
      </c>
      <c r="BC128" s="43" t="n">
        <f aca="false">SUMIFS('Additions (monthly)'!$E$2:$E$106,'Additions (monthly)'!$D$2:$D$106,BC$2,'Additions (monthly)'!$B$2:$B$106,"&lt;="&amp;$B128)</f>
        <v>5.25</v>
      </c>
      <c r="BD128" s="43" t="n">
        <f aca="false">SUMIFS('Additions (monthly)'!$E$2:$E$106,'Additions (monthly)'!$D$2:$D$106,BD$2,'Additions (monthly)'!$B$2:$B$106,"&lt;="&amp;$B128)</f>
        <v>1.5</v>
      </c>
      <c r="BE128" s="43" t="n">
        <f aca="false">SUMIFS('Additions (monthly)'!$E$2:$E$106,'Additions (monthly)'!$D$2:$D$106,BE$2,'Additions (monthly)'!$B$2:$B$106,"&lt;="&amp;$B128)</f>
        <v>15.3</v>
      </c>
      <c r="BF128" s="43" t="n">
        <f aca="false">SUMIFS('Additions (monthly)'!$E$2:$E$106,'Additions (monthly)'!$D$2:$D$106,BF$2,'Additions (monthly)'!$B$2:$B$106,"&lt;="&amp;$B128)</f>
        <v>0</v>
      </c>
      <c r="BG128" s="43" t="n">
        <f aca="false">SUMIFS('Additions (monthly)'!$E$2:$E$106,'Additions (monthly)'!$D$2:$D$106,BG$2,'Additions (monthly)'!$B$2:$B$106,"&lt;="&amp;$B128)</f>
        <v>0</v>
      </c>
      <c r="BH128" s="43" t="n">
        <f aca="false">SUMIFS('Additions (monthly)'!$E$2:$E$106,'Additions (monthly)'!$D$2:$D$106,BH$2,'Additions (monthly)'!$B$2:$B$106,"&lt;="&amp;$B128)</f>
        <v>25</v>
      </c>
      <c r="BI128" s="43" t="n">
        <f aca="false">SUMIFS('Additions (monthly)'!$E$2:$E$106,'Additions (monthly)'!$D$2:$D$106,BI$2,'Additions (monthly)'!$B$2:$B$106,"&lt;="&amp;$B128)</f>
        <v>6.7</v>
      </c>
    </row>
    <row r="129" customFormat="false" ht="15" hidden="false" customHeight="false" outlineLevel="0" collapsed="false">
      <c r="A129" s="23" t="n">
        <v>44013</v>
      </c>
      <c r="B129" s="24" t="n">
        <v>202007</v>
      </c>
      <c r="C129" s="42" t="n">
        <f aca="false">SUMIFS('Additions (monthly)'!$E$2:$E$106,'Additions (monthly)'!$B$2:$B$106,"&lt;="&amp;$B129)</f>
        <v>449.48</v>
      </c>
      <c r="D129" s="43" t="n">
        <f aca="false">SUMIFS('Additions (monthly)'!$E$2:$E$106,'Additions (monthly)'!$D$2:$D$106,D$2,'Additions (monthly)'!$B$2:$B$106,"&lt;="&amp;$B129)</f>
        <v>7.9</v>
      </c>
      <c r="E129" s="43" t="n">
        <f aca="false">SUMIFS('Additions (monthly)'!$E$2:$E$106,'Additions (monthly)'!$D$2:$D$106,E$2,'Additions (monthly)'!$B$2:$B$106,"&lt;="&amp;$B129)</f>
        <v>8.4</v>
      </c>
      <c r="F129" s="43" t="n">
        <f aca="false">SUMIFS('Additions (monthly)'!$E$2:$E$106,'Additions (monthly)'!$D$2:$D$106,F$2,'Additions (monthly)'!$B$2:$B$106,"&lt;="&amp;$B129)</f>
        <v>4.7</v>
      </c>
      <c r="G129" s="43" t="n">
        <f aca="false">SUMIFS('Additions (monthly)'!$E$2:$E$106,'Additions (monthly)'!$D$2:$D$106,G$2,'Additions (monthly)'!$B$2:$B$106,"&lt;="&amp;$B129)</f>
        <v>4.5</v>
      </c>
      <c r="H129" s="43" t="n">
        <f aca="false">SUMIFS('Additions (monthly)'!$E$2:$E$106,'Additions (monthly)'!$D$2:$D$106,H$2,'Additions (monthly)'!$B$2:$B$106,"&lt;="&amp;$B129)</f>
        <v>5.2</v>
      </c>
      <c r="I129" s="43" t="n">
        <f aca="false">SUMIFS('Additions (monthly)'!$E$2:$E$106,'Additions (monthly)'!$D$2:$D$106,I$2,'Additions (monthly)'!$B$2:$B$106,"&lt;="&amp;$B129)</f>
        <v>9</v>
      </c>
      <c r="J129" s="43" t="n">
        <f aca="false">SUMIFS('Additions (monthly)'!$E$2:$E$106,'Additions (monthly)'!$D$2:$D$106,J$2,'Additions (monthly)'!$B$2:$B$106,"&lt;="&amp;$B129)</f>
        <v>3.7</v>
      </c>
      <c r="K129" s="43" t="n">
        <f aca="false">SUMIFS('Additions (monthly)'!$E$2:$E$106,'Additions (monthly)'!$D$2:$D$106,K$2,'Additions (monthly)'!$B$2:$B$106,"&lt;="&amp;$B129)</f>
        <v>7.8</v>
      </c>
      <c r="L129" s="43" t="n">
        <f aca="false">SUMIFS('Additions (monthly)'!$E$2:$E$106,'Additions (monthly)'!$D$2:$D$106,L$2,'Additions (monthly)'!$B$2:$B$106,"&lt;="&amp;$B129)</f>
        <v>15.6</v>
      </c>
      <c r="M129" s="43" t="n">
        <f aca="false">SUMIFS('Additions (monthly)'!$E$2:$E$106,'Additions (monthly)'!$D$2:$D$106,M$2,'Additions (monthly)'!$B$2:$B$106,"&lt;="&amp;$B129)</f>
        <v>8.9</v>
      </c>
      <c r="N129" s="43" t="n">
        <f aca="false">SUMIFS('Additions (monthly)'!$E$2:$E$106,'Additions (monthly)'!$D$2:$D$106,N$2,'Additions (monthly)'!$B$2:$B$106,"&lt;="&amp;$B129)</f>
        <v>14.2</v>
      </c>
      <c r="O129" s="43" t="n">
        <f aca="false">SUMIFS('Additions (monthly)'!$E$2:$E$106,'Additions (monthly)'!$D$2:$D$106,O$2,'Additions (monthly)'!$B$2:$B$106,"&lt;="&amp;$B129)</f>
        <v>4.9</v>
      </c>
      <c r="P129" s="43" t="n">
        <f aca="false">SUMIFS('Additions (monthly)'!$E$2:$E$106,'Additions (monthly)'!$D$2:$D$106,P$2,'Additions (monthly)'!$B$2:$B$106,"&lt;="&amp;$B129)</f>
        <v>3.6</v>
      </c>
      <c r="Q129" s="43" t="n">
        <f aca="false">SUMIFS('Additions (monthly)'!$E$2:$E$106,'Additions (monthly)'!$D$2:$D$106,Q$2,'Additions (monthly)'!$B$2:$B$106,"&lt;="&amp;$B129)</f>
        <v>8.5</v>
      </c>
      <c r="R129" s="43" t="n">
        <f aca="false">SUMIFS('Additions (monthly)'!$E$2:$E$106,'Additions (monthly)'!$D$2:$D$106,R$2,'Additions (monthly)'!$B$2:$B$106,"&lt;="&amp;$B129)</f>
        <v>8.9</v>
      </c>
      <c r="S129" s="43" t="n">
        <f aca="false">SUMIFS('Additions (monthly)'!$E$2:$E$106,'Additions (monthly)'!$D$2:$D$106,S$2,'Additions (monthly)'!$B$2:$B$106,"&lt;="&amp;$B129)</f>
        <v>7.2</v>
      </c>
      <c r="T129" s="43" t="n">
        <f aca="false">SUMIFS('Additions (monthly)'!$E$2:$E$106,'Additions (monthly)'!$D$2:$D$106,T$2,'Additions (monthly)'!$B$2:$B$106,"&lt;="&amp;$B129)</f>
        <v>2.4</v>
      </c>
      <c r="U129" s="43" t="n">
        <f aca="false">SUMIFS('Additions (monthly)'!$E$2:$E$106,'Additions (monthly)'!$D$2:$D$106,U$2,'Additions (monthly)'!$B$2:$B$106,"&lt;="&amp;$B129)</f>
        <v>0</v>
      </c>
      <c r="V129" s="43" t="n">
        <f aca="false">SUMIFS('Additions (monthly)'!$E$2:$E$106,'Additions (monthly)'!$D$2:$D$106,V$2,'Additions (monthly)'!$B$2:$B$106,"&lt;="&amp;$B129)</f>
        <v>3.87</v>
      </c>
      <c r="W129" s="43" t="n">
        <f aca="false">SUMIFS('Additions (monthly)'!$E$2:$E$106,'Additions (monthly)'!$D$2:$D$106,W$2,'Additions (monthly)'!$B$2:$B$106,"&lt;="&amp;$B129)</f>
        <v>0</v>
      </c>
      <c r="X129" s="43" t="n">
        <f aca="false">SUMIFS('Additions (monthly)'!$E$2:$E$106,'Additions (monthly)'!$D$2:$D$106,X$2,'Additions (monthly)'!$B$2:$B$106,"&lt;="&amp;$B129)</f>
        <v>0</v>
      </c>
      <c r="Y129" s="43" t="n">
        <f aca="false">SUMIFS('Additions (monthly)'!$E$2:$E$106,'Additions (monthly)'!$D$2:$D$106,Y$2,'Additions (monthly)'!$B$2:$B$106,"&lt;="&amp;$B129)</f>
        <v>5</v>
      </c>
      <c r="Z129" s="43" t="n">
        <f aca="false">SUMIFS('Additions (monthly)'!$E$2:$E$106,'Additions (monthly)'!$D$2:$D$106,Z$2,'Additions (monthly)'!$B$2:$B$106,"&lt;="&amp;$B129)</f>
        <v>7.2</v>
      </c>
      <c r="AA129" s="43" t="n">
        <f aca="false">SUMIFS('Additions (monthly)'!$E$2:$E$106,'Additions (monthly)'!$D$2:$D$106,AA$2,'Additions (monthly)'!$B$2:$B$106,"&lt;="&amp;$B129)</f>
        <v>3.7</v>
      </c>
      <c r="AB129" s="43" t="n">
        <f aca="false">SUMIFS('Additions (monthly)'!$E$2:$E$106,'Additions (monthly)'!$D$2:$D$106,AB$2,'Additions (monthly)'!$B$2:$B$106,"&lt;="&amp;$B129)</f>
        <v>16.95</v>
      </c>
      <c r="AC129" s="43" t="n">
        <f aca="false">SUMIFS('Additions (monthly)'!$E$2:$E$106,'Additions (monthly)'!$D$2:$D$106,AC$2,'Additions (monthly)'!$B$2:$B$106,"&lt;="&amp;$B129)</f>
        <v>2</v>
      </c>
      <c r="AD129" s="43" t="n">
        <f aca="false">SUMIFS('Additions (monthly)'!$E$2:$E$106,'Additions (monthly)'!$D$2:$D$106,AD$2,'Additions (monthly)'!$B$2:$B$106,"&lt;="&amp;$B129)</f>
        <v>7.6</v>
      </c>
      <c r="AE129" s="43" t="n">
        <f aca="false">SUMIFS('Additions (monthly)'!$E$2:$E$106,'Additions (monthly)'!$D$2:$D$106,AE$2,'Additions (monthly)'!$B$2:$B$106,"&lt;="&amp;$B129)</f>
        <v>29.3</v>
      </c>
      <c r="AF129" s="43" t="n">
        <f aca="false">SUMIFS('Additions (monthly)'!$E$2:$E$106,'Additions (monthly)'!$D$2:$D$106,AF$2,'Additions (monthly)'!$B$2:$B$106,"&lt;="&amp;$B129)</f>
        <v>1.2</v>
      </c>
      <c r="AG129" s="43" t="n">
        <f aca="false">SUMIFS('Additions (monthly)'!$E$2:$E$106,'Additions (monthly)'!$D$2:$D$106,AG$2,'Additions (monthly)'!$B$2:$B$106,"&lt;="&amp;$B129)</f>
        <v>0</v>
      </c>
      <c r="AH129" s="43" t="n">
        <f aca="false">SUMIFS('Additions (monthly)'!$E$2:$E$106,'Additions (monthly)'!$D$2:$D$106,AH$2,'Additions (monthly)'!$B$2:$B$106,"&lt;="&amp;$B129)</f>
        <v>0</v>
      </c>
      <c r="AI129" s="43" t="n">
        <f aca="false">SUMIFS('Additions (monthly)'!$E$2:$E$106,'Additions (monthly)'!$D$2:$D$106,AI$2,'Additions (monthly)'!$B$2:$B$106,"&lt;="&amp;$B129)</f>
        <v>0</v>
      </c>
      <c r="AJ129" s="43" t="n">
        <f aca="false">SUMIFS('Additions (monthly)'!$E$2:$E$106,'Additions (monthly)'!$D$2:$D$106,AJ$2,'Additions (monthly)'!$B$2:$B$106,"&lt;="&amp;$B129)</f>
        <v>0</v>
      </c>
      <c r="AK129" s="43" t="n">
        <f aca="false">SUMIFS('Additions (monthly)'!$E$2:$E$106,'Additions (monthly)'!$D$2:$D$106,AK$2,'Additions (monthly)'!$B$2:$B$106,"&lt;="&amp;$B129)</f>
        <v>0</v>
      </c>
      <c r="AL129" s="43" t="n">
        <f aca="false">SUMIFS('Additions (monthly)'!$E$2:$E$106,'Additions (monthly)'!$D$2:$D$106,AL$2,'Additions (monthly)'!$B$2:$B$106,"&lt;="&amp;$B129)</f>
        <v>22.2</v>
      </c>
      <c r="AM129" s="43" t="n">
        <f aca="false">SUMIFS('Additions (monthly)'!$E$2:$E$106,'Additions (monthly)'!$D$2:$D$106,AM$2,'Additions (monthly)'!$B$2:$B$106,"&lt;="&amp;$B129)</f>
        <v>0.3</v>
      </c>
      <c r="AN129" s="43" t="n">
        <f aca="false">SUMIFS('Additions (monthly)'!$E$2:$E$106,'Additions (monthly)'!$D$2:$D$106,AN$2,'Additions (monthly)'!$B$2:$B$106,"&lt;="&amp;$B129)</f>
        <v>4.3</v>
      </c>
      <c r="AO129" s="43" t="n">
        <f aca="false">SUMIFS('Additions (monthly)'!$E$2:$E$106,'Additions (monthly)'!$D$2:$D$106,AO$2,'Additions (monthly)'!$B$2:$B$106,"&lt;="&amp;$B129)</f>
        <v>10.4</v>
      </c>
      <c r="AP129" s="43" t="n">
        <f aca="false">SUMIFS('Additions (monthly)'!$E$2:$E$106,'Additions (monthly)'!$D$2:$D$106,AP$2,'Additions (monthly)'!$B$2:$B$106,"&lt;="&amp;$B129)</f>
        <v>6.9</v>
      </c>
      <c r="AQ129" s="43" t="n">
        <f aca="false">SUMIFS('Additions (monthly)'!$E$2:$E$106,'Additions (monthly)'!$D$2:$D$106,AQ$2,'Additions (monthly)'!$B$2:$B$106,"&lt;="&amp;$B129)</f>
        <v>4.45</v>
      </c>
      <c r="AR129" s="43" t="n">
        <f aca="false">SUMIFS('Additions (monthly)'!$E$2:$E$106,'Additions (monthly)'!$D$2:$D$106,AR$2,'Additions (monthly)'!$B$2:$B$106,"&lt;="&amp;$B129)</f>
        <v>77.1</v>
      </c>
      <c r="AS129" s="43" t="n">
        <f aca="false">SUMIFS('Additions (monthly)'!$E$2:$E$106,'Additions (monthly)'!$D$2:$D$106,AS$2,'Additions (monthly)'!$B$2:$B$106,"&lt;="&amp;$B129)</f>
        <v>0</v>
      </c>
      <c r="AT129" s="43" t="n">
        <f aca="false">SUMIFS('Additions (monthly)'!$E$2:$E$106,'Additions (monthly)'!$D$2:$D$106,AT$2,'Additions (monthly)'!$B$2:$B$106,"&lt;="&amp;$B129)</f>
        <v>0</v>
      </c>
      <c r="AU129" s="43" t="n">
        <f aca="false">SUMIFS('Additions (monthly)'!$E$2:$E$106,'Additions (monthly)'!$D$2:$D$106,AU$2,'Additions (monthly)'!$B$2:$B$106,"&lt;="&amp;$B129)</f>
        <v>9.6</v>
      </c>
      <c r="AV129" s="43" t="n">
        <f aca="false">SUMIFS('Additions (monthly)'!$E$2:$E$106,'Additions (monthly)'!$D$2:$D$106,AV$2,'Additions (monthly)'!$B$2:$B$106,"&lt;="&amp;$B129)</f>
        <v>0.66</v>
      </c>
      <c r="AW129" s="43" t="n">
        <f aca="false">SUMIFS('Additions (monthly)'!$E$2:$E$106,'Additions (monthly)'!$D$2:$D$106,AW$2,'Additions (monthly)'!$B$2:$B$106,"&lt;="&amp;$B129)</f>
        <v>16.5</v>
      </c>
      <c r="AX129" s="43" t="n">
        <f aca="false">SUMIFS('Additions (monthly)'!$E$2:$E$106,'Additions (monthly)'!$D$2:$D$106,AX$2,'Additions (monthly)'!$B$2:$B$106,"&lt;="&amp;$B129)</f>
        <v>11.8</v>
      </c>
      <c r="AY129" s="43" t="n">
        <f aca="false">SUMIFS('Additions (monthly)'!$E$2:$E$106,'Additions (monthly)'!$D$2:$D$106,AY$2,'Additions (monthly)'!$B$2:$B$106,"&lt;="&amp;$B129)</f>
        <v>5.3</v>
      </c>
      <c r="AZ129" s="43" t="n">
        <f aca="false">SUMIFS('Additions (monthly)'!$E$2:$E$106,'Additions (monthly)'!$D$2:$D$106,AZ$2,'Additions (monthly)'!$B$2:$B$106,"&lt;="&amp;$B129)</f>
        <v>0</v>
      </c>
      <c r="BA129" s="43" t="n">
        <f aca="false">SUMIFS('Additions (monthly)'!$E$2:$E$106,'Additions (monthly)'!$D$2:$D$106,BA$2,'Additions (monthly)'!$B$2:$B$106,"&lt;="&amp;$B129)</f>
        <v>13.5</v>
      </c>
      <c r="BB129" s="43" t="n">
        <f aca="false">SUMIFS('Additions (monthly)'!$E$2:$E$106,'Additions (monthly)'!$D$2:$D$106,BB$2,'Additions (monthly)'!$B$2:$B$106,"&lt;="&amp;$B129)</f>
        <v>10</v>
      </c>
      <c r="BC129" s="43" t="n">
        <f aca="false">SUMIFS('Additions (monthly)'!$E$2:$E$106,'Additions (monthly)'!$D$2:$D$106,BC$2,'Additions (monthly)'!$B$2:$B$106,"&lt;="&amp;$B129)</f>
        <v>5.25</v>
      </c>
      <c r="BD129" s="43" t="n">
        <f aca="false">SUMIFS('Additions (monthly)'!$E$2:$E$106,'Additions (monthly)'!$D$2:$D$106,BD$2,'Additions (monthly)'!$B$2:$B$106,"&lt;="&amp;$B129)</f>
        <v>2</v>
      </c>
      <c r="BE129" s="43" t="n">
        <f aca="false">SUMIFS('Additions (monthly)'!$E$2:$E$106,'Additions (monthly)'!$D$2:$D$106,BE$2,'Additions (monthly)'!$B$2:$B$106,"&lt;="&amp;$B129)</f>
        <v>15.3</v>
      </c>
      <c r="BF129" s="43" t="n">
        <f aca="false">SUMIFS('Additions (monthly)'!$E$2:$E$106,'Additions (monthly)'!$D$2:$D$106,BF$2,'Additions (monthly)'!$B$2:$B$106,"&lt;="&amp;$B129)</f>
        <v>0</v>
      </c>
      <c r="BG129" s="43" t="n">
        <f aca="false">SUMIFS('Additions (monthly)'!$E$2:$E$106,'Additions (monthly)'!$D$2:$D$106,BG$2,'Additions (monthly)'!$B$2:$B$106,"&lt;="&amp;$B129)</f>
        <v>0</v>
      </c>
      <c r="BH129" s="43" t="n">
        <f aca="false">SUMIFS('Additions (monthly)'!$E$2:$E$106,'Additions (monthly)'!$D$2:$D$106,BH$2,'Additions (monthly)'!$B$2:$B$106,"&lt;="&amp;$B129)</f>
        <v>25</v>
      </c>
      <c r="BI129" s="43" t="n">
        <f aca="false">SUMIFS('Additions (monthly)'!$E$2:$E$106,'Additions (monthly)'!$D$2:$D$106,BI$2,'Additions (monthly)'!$B$2:$B$106,"&lt;="&amp;$B129)</f>
        <v>6.7</v>
      </c>
    </row>
    <row r="130" customFormat="false" ht="15" hidden="false" customHeight="false" outlineLevel="0" collapsed="false">
      <c r="A130" s="23" t="n">
        <v>44044</v>
      </c>
      <c r="B130" s="24" t="n">
        <v>202008</v>
      </c>
      <c r="C130" s="42" t="n">
        <f aca="false">SUMIFS('Additions (monthly)'!$E$2:$E$106,'Additions (monthly)'!$B$2:$B$106,"&lt;="&amp;$B130)</f>
        <v>449.98</v>
      </c>
      <c r="D130" s="43" t="n">
        <f aca="false">SUMIFS('Additions (monthly)'!$E$2:$E$106,'Additions (monthly)'!$D$2:$D$106,D$2,'Additions (monthly)'!$B$2:$B$106,"&lt;="&amp;$B130)</f>
        <v>7.9</v>
      </c>
      <c r="E130" s="43" t="n">
        <f aca="false">SUMIFS('Additions (monthly)'!$E$2:$E$106,'Additions (monthly)'!$D$2:$D$106,E$2,'Additions (monthly)'!$B$2:$B$106,"&lt;="&amp;$B130)</f>
        <v>8.4</v>
      </c>
      <c r="F130" s="43" t="n">
        <f aca="false">SUMIFS('Additions (monthly)'!$E$2:$E$106,'Additions (monthly)'!$D$2:$D$106,F$2,'Additions (monthly)'!$B$2:$B$106,"&lt;="&amp;$B130)</f>
        <v>4.7</v>
      </c>
      <c r="G130" s="43" t="n">
        <f aca="false">SUMIFS('Additions (monthly)'!$E$2:$E$106,'Additions (monthly)'!$D$2:$D$106,G$2,'Additions (monthly)'!$B$2:$B$106,"&lt;="&amp;$B130)</f>
        <v>4.5</v>
      </c>
      <c r="H130" s="43" t="n">
        <f aca="false">SUMIFS('Additions (monthly)'!$E$2:$E$106,'Additions (monthly)'!$D$2:$D$106,H$2,'Additions (monthly)'!$B$2:$B$106,"&lt;="&amp;$B130)</f>
        <v>5.2</v>
      </c>
      <c r="I130" s="43" t="n">
        <f aca="false">SUMIFS('Additions (monthly)'!$E$2:$E$106,'Additions (monthly)'!$D$2:$D$106,I$2,'Additions (monthly)'!$B$2:$B$106,"&lt;="&amp;$B130)</f>
        <v>9</v>
      </c>
      <c r="J130" s="43" t="n">
        <f aca="false">SUMIFS('Additions (monthly)'!$E$2:$E$106,'Additions (monthly)'!$D$2:$D$106,J$2,'Additions (monthly)'!$B$2:$B$106,"&lt;="&amp;$B130)</f>
        <v>3.7</v>
      </c>
      <c r="K130" s="43" t="n">
        <f aca="false">SUMIFS('Additions (monthly)'!$E$2:$E$106,'Additions (monthly)'!$D$2:$D$106,K$2,'Additions (monthly)'!$B$2:$B$106,"&lt;="&amp;$B130)</f>
        <v>7.8</v>
      </c>
      <c r="L130" s="43" t="n">
        <f aca="false">SUMIFS('Additions (monthly)'!$E$2:$E$106,'Additions (monthly)'!$D$2:$D$106,L$2,'Additions (monthly)'!$B$2:$B$106,"&lt;="&amp;$B130)</f>
        <v>15.6</v>
      </c>
      <c r="M130" s="43" t="n">
        <f aca="false">SUMIFS('Additions (monthly)'!$E$2:$E$106,'Additions (monthly)'!$D$2:$D$106,M$2,'Additions (monthly)'!$B$2:$B$106,"&lt;="&amp;$B130)</f>
        <v>8.9</v>
      </c>
      <c r="N130" s="43" t="n">
        <f aca="false">SUMIFS('Additions (monthly)'!$E$2:$E$106,'Additions (monthly)'!$D$2:$D$106,N$2,'Additions (monthly)'!$B$2:$B$106,"&lt;="&amp;$B130)</f>
        <v>14.2</v>
      </c>
      <c r="O130" s="43" t="n">
        <f aca="false">SUMIFS('Additions (monthly)'!$E$2:$E$106,'Additions (monthly)'!$D$2:$D$106,O$2,'Additions (monthly)'!$B$2:$B$106,"&lt;="&amp;$B130)</f>
        <v>4.9</v>
      </c>
      <c r="P130" s="43" t="n">
        <f aca="false">SUMIFS('Additions (monthly)'!$E$2:$E$106,'Additions (monthly)'!$D$2:$D$106,P$2,'Additions (monthly)'!$B$2:$B$106,"&lt;="&amp;$B130)</f>
        <v>3.6</v>
      </c>
      <c r="Q130" s="43" t="n">
        <f aca="false">SUMIFS('Additions (monthly)'!$E$2:$E$106,'Additions (monthly)'!$D$2:$D$106,Q$2,'Additions (monthly)'!$B$2:$B$106,"&lt;="&amp;$B130)</f>
        <v>8.5</v>
      </c>
      <c r="R130" s="43" t="n">
        <f aca="false">SUMIFS('Additions (monthly)'!$E$2:$E$106,'Additions (monthly)'!$D$2:$D$106,R$2,'Additions (monthly)'!$B$2:$B$106,"&lt;="&amp;$B130)</f>
        <v>8.9</v>
      </c>
      <c r="S130" s="43" t="n">
        <f aca="false">SUMIFS('Additions (monthly)'!$E$2:$E$106,'Additions (monthly)'!$D$2:$D$106,S$2,'Additions (monthly)'!$B$2:$B$106,"&lt;="&amp;$B130)</f>
        <v>7.2</v>
      </c>
      <c r="T130" s="43" t="n">
        <f aca="false">SUMIFS('Additions (monthly)'!$E$2:$E$106,'Additions (monthly)'!$D$2:$D$106,T$2,'Additions (monthly)'!$B$2:$B$106,"&lt;="&amp;$B130)</f>
        <v>2.4</v>
      </c>
      <c r="U130" s="43" t="n">
        <f aca="false">SUMIFS('Additions (monthly)'!$E$2:$E$106,'Additions (monthly)'!$D$2:$D$106,U$2,'Additions (monthly)'!$B$2:$B$106,"&lt;="&amp;$B130)</f>
        <v>0</v>
      </c>
      <c r="V130" s="43" t="n">
        <f aca="false">SUMIFS('Additions (monthly)'!$E$2:$E$106,'Additions (monthly)'!$D$2:$D$106,V$2,'Additions (monthly)'!$B$2:$B$106,"&lt;="&amp;$B130)</f>
        <v>3.87</v>
      </c>
      <c r="W130" s="43" t="n">
        <f aca="false">SUMIFS('Additions (monthly)'!$E$2:$E$106,'Additions (monthly)'!$D$2:$D$106,W$2,'Additions (monthly)'!$B$2:$B$106,"&lt;="&amp;$B130)</f>
        <v>0</v>
      </c>
      <c r="X130" s="43" t="n">
        <f aca="false">SUMIFS('Additions (monthly)'!$E$2:$E$106,'Additions (monthly)'!$D$2:$D$106,X$2,'Additions (monthly)'!$B$2:$B$106,"&lt;="&amp;$B130)</f>
        <v>0</v>
      </c>
      <c r="Y130" s="43" t="n">
        <f aca="false">SUMIFS('Additions (monthly)'!$E$2:$E$106,'Additions (monthly)'!$D$2:$D$106,Y$2,'Additions (monthly)'!$B$2:$B$106,"&lt;="&amp;$B130)</f>
        <v>5</v>
      </c>
      <c r="Z130" s="43" t="n">
        <f aca="false">SUMIFS('Additions (monthly)'!$E$2:$E$106,'Additions (monthly)'!$D$2:$D$106,Z$2,'Additions (monthly)'!$B$2:$B$106,"&lt;="&amp;$B130)</f>
        <v>7.2</v>
      </c>
      <c r="AA130" s="43" t="n">
        <f aca="false">SUMIFS('Additions (monthly)'!$E$2:$E$106,'Additions (monthly)'!$D$2:$D$106,AA$2,'Additions (monthly)'!$B$2:$B$106,"&lt;="&amp;$B130)</f>
        <v>3.7</v>
      </c>
      <c r="AB130" s="43" t="n">
        <f aca="false">SUMIFS('Additions (monthly)'!$E$2:$E$106,'Additions (monthly)'!$D$2:$D$106,AB$2,'Additions (monthly)'!$B$2:$B$106,"&lt;="&amp;$B130)</f>
        <v>16.95</v>
      </c>
      <c r="AC130" s="43" t="n">
        <f aca="false">SUMIFS('Additions (monthly)'!$E$2:$E$106,'Additions (monthly)'!$D$2:$D$106,AC$2,'Additions (monthly)'!$B$2:$B$106,"&lt;="&amp;$B130)</f>
        <v>2</v>
      </c>
      <c r="AD130" s="43" t="n">
        <f aca="false">SUMIFS('Additions (monthly)'!$E$2:$E$106,'Additions (monthly)'!$D$2:$D$106,AD$2,'Additions (monthly)'!$B$2:$B$106,"&lt;="&amp;$B130)</f>
        <v>7.6</v>
      </c>
      <c r="AE130" s="43" t="n">
        <f aca="false">SUMIFS('Additions (monthly)'!$E$2:$E$106,'Additions (monthly)'!$D$2:$D$106,AE$2,'Additions (monthly)'!$B$2:$B$106,"&lt;="&amp;$B130)</f>
        <v>29.3</v>
      </c>
      <c r="AF130" s="43" t="n">
        <f aca="false">SUMIFS('Additions (monthly)'!$E$2:$E$106,'Additions (monthly)'!$D$2:$D$106,AF$2,'Additions (monthly)'!$B$2:$B$106,"&lt;="&amp;$B130)</f>
        <v>1.2</v>
      </c>
      <c r="AG130" s="43" t="n">
        <f aca="false">SUMIFS('Additions (monthly)'!$E$2:$E$106,'Additions (monthly)'!$D$2:$D$106,AG$2,'Additions (monthly)'!$B$2:$B$106,"&lt;="&amp;$B130)</f>
        <v>0</v>
      </c>
      <c r="AH130" s="43" t="n">
        <f aca="false">SUMIFS('Additions (monthly)'!$E$2:$E$106,'Additions (monthly)'!$D$2:$D$106,AH$2,'Additions (monthly)'!$B$2:$B$106,"&lt;="&amp;$B130)</f>
        <v>0</v>
      </c>
      <c r="AI130" s="43" t="n">
        <f aca="false">SUMIFS('Additions (monthly)'!$E$2:$E$106,'Additions (monthly)'!$D$2:$D$106,AI$2,'Additions (monthly)'!$B$2:$B$106,"&lt;="&amp;$B130)</f>
        <v>0</v>
      </c>
      <c r="AJ130" s="43" t="n">
        <f aca="false">SUMIFS('Additions (monthly)'!$E$2:$E$106,'Additions (monthly)'!$D$2:$D$106,AJ$2,'Additions (monthly)'!$B$2:$B$106,"&lt;="&amp;$B130)</f>
        <v>0</v>
      </c>
      <c r="AK130" s="43" t="n">
        <f aca="false">SUMIFS('Additions (monthly)'!$E$2:$E$106,'Additions (monthly)'!$D$2:$D$106,AK$2,'Additions (monthly)'!$B$2:$B$106,"&lt;="&amp;$B130)</f>
        <v>0</v>
      </c>
      <c r="AL130" s="43" t="n">
        <f aca="false">SUMIFS('Additions (monthly)'!$E$2:$E$106,'Additions (monthly)'!$D$2:$D$106,AL$2,'Additions (monthly)'!$B$2:$B$106,"&lt;="&amp;$B130)</f>
        <v>22.2</v>
      </c>
      <c r="AM130" s="43" t="n">
        <f aca="false">SUMIFS('Additions (monthly)'!$E$2:$E$106,'Additions (monthly)'!$D$2:$D$106,AM$2,'Additions (monthly)'!$B$2:$B$106,"&lt;="&amp;$B130)</f>
        <v>0.3</v>
      </c>
      <c r="AN130" s="43" t="n">
        <f aca="false">SUMIFS('Additions (monthly)'!$E$2:$E$106,'Additions (monthly)'!$D$2:$D$106,AN$2,'Additions (monthly)'!$B$2:$B$106,"&lt;="&amp;$B130)</f>
        <v>4.3</v>
      </c>
      <c r="AO130" s="43" t="n">
        <f aca="false">SUMIFS('Additions (monthly)'!$E$2:$E$106,'Additions (monthly)'!$D$2:$D$106,AO$2,'Additions (monthly)'!$B$2:$B$106,"&lt;="&amp;$B130)</f>
        <v>10.4</v>
      </c>
      <c r="AP130" s="43" t="n">
        <f aca="false">SUMIFS('Additions (monthly)'!$E$2:$E$106,'Additions (monthly)'!$D$2:$D$106,AP$2,'Additions (monthly)'!$B$2:$B$106,"&lt;="&amp;$B130)</f>
        <v>6.9</v>
      </c>
      <c r="AQ130" s="43" t="n">
        <f aca="false">SUMIFS('Additions (monthly)'!$E$2:$E$106,'Additions (monthly)'!$D$2:$D$106,AQ$2,'Additions (monthly)'!$B$2:$B$106,"&lt;="&amp;$B130)</f>
        <v>4.45</v>
      </c>
      <c r="AR130" s="43" t="n">
        <f aca="false">SUMIFS('Additions (monthly)'!$E$2:$E$106,'Additions (monthly)'!$D$2:$D$106,AR$2,'Additions (monthly)'!$B$2:$B$106,"&lt;="&amp;$B130)</f>
        <v>77.1</v>
      </c>
      <c r="AS130" s="43" t="n">
        <f aca="false">SUMIFS('Additions (monthly)'!$E$2:$E$106,'Additions (monthly)'!$D$2:$D$106,AS$2,'Additions (monthly)'!$B$2:$B$106,"&lt;="&amp;$B130)</f>
        <v>0</v>
      </c>
      <c r="AT130" s="43" t="n">
        <f aca="false">SUMIFS('Additions (monthly)'!$E$2:$E$106,'Additions (monthly)'!$D$2:$D$106,AT$2,'Additions (monthly)'!$B$2:$B$106,"&lt;="&amp;$B130)</f>
        <v>0</v>
      </c>
      <c r="AU130" s="43" t="n">
        <f aca="false">SUMIFS('Additions (monthly)'!$E$2:$E$106,'Additions (monthly)'!$D$2:$D$106,AU$2,'Additions (monthly)'!$B$2:$B$106,"&lt;="&amp;$B130)</f>
        <v>9.6</v>
      </c>
      <c r="AV130" s="43" t="n">
        <f aca="false">SUMIFS('Additions (monthly)'!$E$2:$E$106,'Additions (monthly)'!$D$2:$D$106,AV$2,'Additions (monthly)'!$B$2:$B$106,"&lt;="&amp;$B130)</f>
        <v>0.66</v>
      </c>
      <c r="AW130" s="43" t="n">
        <f aca="false">SUMIFS('Additions (monthly)'!$E$2:$E$106,'Additions (monthly)'!$D$2:$D$106,AW$2,'Additions (monthly)'!$B$2:$B$106,"&lt;="&amp;$B130)</f>
        <v>16.5</v>
      </c>
      <c r="AX130" s="43" t="n">
        <f aca="false">SUMIFS('Additions (monthly)'!$E$2:$E$106,'Additions (monthly)'!$D$2:$D$106,AX$2,'Additions (monthly)'!$B$2:$B$106,"&lt;="&amp;$B130)</f>
        <v>11.8</v>
      </c>
      <c r="AY130" s="43" t="n">
        <f aca="false">SUMIFS('Additions (monthly)'!$E$2:$E$106,'Additions (monthly)'!$D$2:$D$106,AY$2,'Additions (monthly)'!$B$2:$B$106,"&lt;="&amp;$B130)</f>
        <v>5.3</v>
      </c>
      <c r="AZ130" s="43" t="n">
        <f aca="false">SUMIFS('Additions (monthly)'!$E$2:$E$106,'Additions (monthly)'!$D$2:$D$106,AZ$2,'Additions (monthly)'!$B$2:$B$106,"&lt;="&amp;$B130)</f>
        <v>0</v>
      </c>
      <c r="BA130" s="43" t="n">
        <f aca="false">SUMIFS('Additions (monthly)'!$E$2:$E$106,'Additions (monthly)'!$D$2:$D$106,BA$2,'Additions (monthly)'!$B$2:$B$106,"&lt;="&amp;$B130)</f>
        <v>13.5</v>
      </c>
      <c r="BB130" s="43" t="n">
        <f aca="false">SUMIFS('Additions (monthly)'!$E$2:$E$106,'Additions (monthly)'!$D$2:$D$106,BB$2,'Additions (monthly)'!$B$2:$B$106,"&lt;="&amp;$B130)</f>
        <v>10</v>
      </c>
      <c r="BC130" s="43" t="n">
        <f aca="false">SUMIFS('Additions (monthly)'!$E$2:$E$106,'Additions (monthly)'!$D$2:$D$106,BC$2,'Additions (monthly)'!$B$2:$B$106,"&lt;="&amp;$B130)</f>
        <v>5.25</v>
      </c>
      <c r="BD130" s="43" t="n">
        <f aca="false">SUMIFS('Additions (monthly)'!$E$2:$E$106,'Additions (monthly)'!$D$2:$D$106,BD$2,'Additions (monthly)'!$B$2:$B$106,"&lt;="&amp;$B130)</f>
        <v>2.5</v>
      </c>
      <c r="BE130" s="43" t="n">
        <f aca="false">SUMIFS('Additions (monthly)'!$E$2:$E$106,'Additions (monthly)'!$D$2:$D$106,BE$2,'Additions (monthly)'!$B$2:$B$106,"&lt;="&amp;$B130)</f>
        <v>15.3</v>
      </c>
      <c r="BF130" s="43" t="n">
        <f aca="false">SUMIFS('Additions (monthly)'!$E$2:$E$106,'Additions (monthly)'!$D$2:$D$106,BF$2,'Additions (monthly)'!$B$2:$B$106,"&lt;="&amp;$B130)</f>
        <v>0</v>
      </c>
      <c r="BG130" s="43" t="n">
        <f aca="false">SUMIFS('Additions (monthly)'!$E$2:$E$106,'Additions (monthly)'!$D$2:$D$106,BG$2,'Additions (monthly)'!$B$2:$B$106,"&lt;="&amp;$B130)</f>
        <v>0</v>
      </c>
      <c r="BH130" s="43" t="n">
        <f aca="false">SUMIFS('Additions (monthly)'!$E$2:$E$106,'Additions (monthly)'!$D$2:$D$106,BH$2,'Additions (monthly)'!$B$2:$B$106,"&lt;="&amp;$B130)</f>
        <v>25</v>
      </c>
      <c r="BI130" s="43" t="n">
        <f aca="false">SUMIFS('Additions (monthly)'!$E$2:$E$106,'Additions (monthly)'!$D$2:$D$106,BI$2,'Additions (monthly)'!$B$2:$B$106,"&lt;="&amp;$B130)</f>
        <v>6.7</v>
      </c>
    </row>
    <row r="131" customFormat="false" ht="15" hidden="false" customHeight="false" outlineLevel="0" collapsed="false">
      <c r="A131" s="23" t="n">
        <v>44075</v>
      </c>
      <c r="B131" s="24" t="n">
        <v>202009</v>
      </c>
      <c r="C131" s="42" t="n">
        <f aca="false">SUMIFS('Additions (monthly)'!$E$2:$E$106,'Additions (monthly)'!$B$2:$B$106,"&lt;="&amp;$B131)</f>
        <v>449.98</v>
      </c>
      <c r="D131" s="43" t="n">
        <f aca="false">SUMIFS('Additions (monthly)'!$E$2:$E$106,'Additions (monthly)'!$D$2:$D$106,D$2,'Additions (monthly)'!$B$2:$B$106,"&lt;="&amp;$B131)</f>
        <v>7.9</v>
      </c>
      <c r="E131" s="43" t="n">
        <f aca="false">SUMIFS('Additions (monthly)'!$E$2:$E$106,'Additions (monthly)'!$D$2:$D$106,E$2,'Additions (monthly)'!$B$2:$B$106,"&lt;="&amp;$B131)</f>
        <v>8.4</v>
      </c>
      <c r="F131" s="43" t="n">
        <f aca="false">SUMIFS('Additions (monthly)'!$E$2:$E$106,'Additions (monthly)'!$D$2:$D$106,F$2,'Additions (monthly)'!$B$2:$B$106,"&lt;="&amp;$B131)</f>
        <v>4.7</v>
      </c>
      <c r="G131" s="43" t="n">
        <f aca="false">SUMIFS('Additions (monthly)'!$E$2:$E$106,'Additions (monthly)'!$D$2:$D$106,G$2,'Additions (monthly)'!$B$2:$B$106,"&lt;="&amp;$B131)</f>
        <v>4.5</v>
      </c>
      <c r="H131" s="43" t="n">
        <f aca="false">SUMIFS('Additions (monthly)'!$E$2:$E$106,'Additions (monthly)'!$D$2:$D$106,H$2,'Additions (monthly)'!$B$2:$B$106,"&lt;="&amp;$B131)</f>
        <v>5.2</v>
      </c>
      <c r="I131" s="43" t="n">
        <f aca="false">SUMIFS('Additions (monthly)'!$E$2:$E$106,'Additions (monthly)'!$D$2:$D$106,I$2,'Additions (monthly)'!$B$2:$B$106,"&lt;="&amp;$B131)</f>
        <v>9</v>
      </c>
      <c r="J131" s="43" t="n">
        <f aca="false">SUMIFS('Additions (monthly)'!$E$2:$E$106,'Additions (monthly)'!$D$2:$D$106,J$2,'Additions (monthly)'!$B$2:$B$106,"&lt;="&amp;$B131)</f>
        <v>3.7</v>
      </c>
      <c r="K131" s="43" t="n">
        <f aca="false">SUMIFS('Additions (monthly)'!$E$2:$E$106,'Additions (monthly)'!$D$2:$D$106,K$2,'Additions (monthly)'!$B$2:$B$106,"&lt;="&amp;$B131)</f>
        <v>7.8</v>
      </c>
      <c r="L131" s="43" t="n">
        <f aca="false">SUMIFS('Additions (monthly)'!$E$2:$E$106,'Additions (monthly)'!$D$2:$D$106,L$2,'Additions (monthly)'!$B$2:$B$106,"&lt;="&amp;$B131)</f>
        <v>15.6</v>
      </c>
      <c r="M131" s="43" t="n">
        <f aca="false">SUMIFS('Additions (monthly)'!$E$2:$E$106,'Additions (monthly)'!$D$2:$D$106,M$2,'Additions (monthly)'!$B$2:$B$106,"&lt;="&amp;$B131)</f>
        <v>8.9</v>
      </c>
      <c r="N131" s="43" t="n">
        <f aca="false">SUMIFS('Additions (monthly)'!$E$2:$E$106,'Additions (monthly)'!$D$2:$D$106,N$2,'Additions (monthly)'!$B$2:$B$106,"&lt;="&amp;$B131)</f>
        <v>14.2</v>
      </c>
      <c r="O131" s="43" t="n">
        <f aca="false">SUMIFS('Additions (monthly)'!$E$2:$E$106,'Additions (monthly)'!$D$2:$D$106,O$2,'Additions (monthly)'!$B$2:$B$106,"&lt;="&amp;$B131)</f>
        <v>4.9</v>
      </c>
      <c r="P131" s="43" t="n">
        <f aca="false">SUMIFS('Additions (monthly)'!$E$2:$E$106,'Additions (monthly)'!$D$2:$D$106,P$2,'Additions (monthly)'!$B$2:$B$106,"&lt;="&amp;$B131)</f>
        <v>3.6</v>
      </c>
      <c r="Q131" s="43" t="n">
        <f aca="false">SUMIFS('Additions (monthly)'!$E$2:$E$106,'Additions (monthly)'!$D$2:$D$106,Q$2,'Additions (monthly)'!$B$2:$B$106,"&lt;="&amp;$B131)</f>
        <v>8.5</v>
      </c>
      <c r="R131" s="43" t="n">
        <f aca="false">SUMIFS('Additions (monthly)'!$E$2:$E$106,'Additions (monthly)'!$D$2:$D$106,R$2,'Additions (monthly)'!$B$2:$B$106,"&lt;="&amp;$B131)</f>
        <v>8.9</v>
      </c>
      <c r="S131" s="43" t="n">
        <f aca="false">SUMIFS('Additions (monthly)'!$E$2:$E$106,'Additions (monthly)'!$D$2:$D$106,S$2,'Additions (monthly)'!$B$2:$B$106,"&lt;="&amp;$B131)</f>
        <v>7.2</v>
      </c>
      <c r="T131" s="43" t="n">
        <f aca="false">SUMIFS('Additions (monthly)'!$E$2:$E$106,'Additions (monthly)'!$D$2:$D$106,T$2,'Additions (monthly)'!$B$2:$B$106,"&lt;="&amp;$B131)</f>
        <v>2.4</v>
      </c>
      <c r="U131" s="43" t="n">
        <f aca="false">SUMIFS('Additions (monthly)'!$E$2:$E$106,'Additions (monthly)'!$D$2:$D$106,U$2,'Additions (monthly)'!$B$2:$B$106,"&lt;="&amp;$B131)</f>
        <v>0</v>
      </c>
      <c r="V131" s="43" t="n">
        <f aca="false">SUMIFS('Additions (monthly)'!$E$2:$E$106,'Additions (monthly)'!$D$2:$D$106,V$2,'Additions (monthly)'!$B$2:$B$106,"&lt;="&amp;$B131)</f>
        <v>3.87</v>
      </c>
      <c r="W131" s="43" t="n">
        <f aca="false">SUMIFS('Additions (monthly)'!$E$2:$E$106,'Additions (monthly)'!$D$2:$D$106,W$2,'Additions (monthly)'!$B$2:$B$106,"&lt;="&amp;$B131)</f>
        <v>0</v>
      </c>
      <c r="X131" s="43" t="n">
        <f aca="false">SUMIFS('Additions (monthly)'!$E$2:$E$106,'Additions (monthly)'!$D$2:$D$106,X$2,'Additions (monthly)'!$B$2:$B$106,"&lt;="&amp;$B131)</f>
        <v>0</v>
      </c>
      <c r="Y131" s="43" t="n">
        <f aca="false">SUMIFS('Additions (monthly)'!$E$2:$E$106,'Additions (monthly)'!$D$2:$D$106,Y$2,'Additions (monthly)'!$B$2:$B$106,"&lt;="&amp;$B131)</f>
        <v>5</v>
      </c>
      <c r="Z131" s="43" t="n">
        <f aca="false">SUMIFS('Additions (monthly)'!$E$2:$E$106,'Additions (monthly)'!$D$2:$D$106,Z$2,'Additions (monthly)'!$B$2:$B$106,"&lt;="&amp;$B131)</f>
        <v>7.2</v>
      </c>
      <c r="AA131" s="43" t="n">
        <f aca="false">SUMIFS('Additions (monthly)'!$E$2:$E$106,'Additions (monthly)'!$D$2:$D$106,AA$2,'Additions (monthly)'!$B$2:$B$106,"&lt;="&amp;$B131)</f>
        <v>3.7</v>
      </c>
      <c r="AB131" s="43" t="n">
        <f aca="false">SUMIFS('Additions (monthly)'!$E$2:$E$106,'Additions (monthly)'!$D$2:$D$106,AB$2,'Additions (monthly)'!$B$2:$B$106,"&lt;="&amp;$B131)</f>
        <v>16.95</v>
      </c>
      <c r="AC131" s="43" t="n">
        <f aca="false">SUMIFS('Additions (monthly)'!$E$2:$E$106,'Additions (monthly)'!$D$2:$D$106,AC$2,'Additions (monthly)'!$B$2:$B$106,"&lt;="&amp;$B131)</f>
        <v>2</v>
      </c>
      <c r="AD131" s="43" t="n">
        <f aca="false">SUMIFS('Additions (monthly)'!$E$2:$E$106,'Additions (monthly)'!$D$2:$D$106,AD$2,'Additions (monthly)'!$B$2:$B$106,"&lt;="&amp;$B131)</f>
        <v>7.6</v>
      </c>
      <c r="AE131" s="43" t="n">
        <f aca="false">SUMIFS('Additions (monthly)'!$E$2:$E$106,'Additions (monthly)'!$D$2:$D$106,AE$2,'Additions (monthly)'!$B$2:$B$106,"&lt;="&amp;$B131)</f>
        <v>29.3</v>
      </c>
      <c r="AF131" s="43" t="n">
        <f aca="false">SUMIFS('Additions (monthly)'!$E$2:$E$106,'Additions (monthly)'!$D$2:$D$106,AF$2,'Additions (monthly)'!$B$2:$B$106,"&lt;="&amp;$B131)</f>
        <v>1.2</v>
      </c>
      <c r="AG131" s="43" t="n">
        <f aca="false">SUMIFS('Additions (monthly)'!$E$2:$E$106,'Additions (monthly)'!$D$2:$D$106,AG$2,'Additions (monthly)'!$B$2:$B$106,"&lt;="&amp;$B131)</f>
        <v>0</v>
      </c>
      <c r="AH131" s="43" t="n">
        <f aca="false">SUMIFS('Additions (monthly)'!$E$2:$E$106,'Additions (monthly)'!$D$2:$D$106,AH$2,'Additions (monthly)'!$B$2:$B$106,"&lt;="&amp;$B131)</f>
        <v>0</v>
      </c>
      <c r="AI131" s="43" t="n">
        <f aca="false">SUMIFS('Additions (monthly)'!$E$2:$E$106,'Additions (monthly)'!$D$2:$D$106,AI$2,'Additions (monthly)'!$B$2:$B$106,"&lt;="&amp;$B131)</f>
        <v>0</v>
      </c>
      <c r="AJ131" s="43" t="n">
        <f aca="false">SUMIFS('Additions (monthly)'!$E$2:$E$106,'Additions (monthly)'!$D$2:$D$106,AJ$2,'Additions (monthly)'!$B$2:$B$106,"&lt;="&amp;$B131)</f>
        <v>0</v>
      </c>
      <c r="AK131" s="43" t="n">
        <f aca="false">SUMIFS('Additions (monthly)'!$E$2:$E$106,'Additions (monthly)'!$D$2:$D$106,AK$2,'Additions (monthly)'!$B$2:$B$106,"&lt;="&amp;$B131)</f>
        <v>0</v>
      </c>
      <c r="AL131" s="43" t="n">
        <f aca="false">SUMIFS('Additions (monthly)'!$E$2:$E$106,'Additions (monthly)'!$D$2:$D$106,AL$2,'Additions (monthly)'!$B$2:$B$106,"&lt;="&amp;$B131)</f>
        <v>22.2</v>
      </c>
      <c r="AM131" s="43" t="n">
        <f aca="false">SUMIFS('Additions (monthly)'!$E$2:$E$106,'Additions (monthly)'!$D$2:$D$106,AM$2,'Additions (monthly)'!$B$2:$B$106,"&lt;="&amp;$B131)</f>
        <v>0.3</v>
      </c>
      <c r="AN131" s="43" t="n">
        <f aca="false">SUMIFS('Additions (monthly)'!$E$2:$E$106,'Additions (monthly)'!$D$2:$D$106,AN$2,'Additions (monthly)'!$B$2:$B$106,"&lt;="&amp;$B131)</f>
        <v>4.3</v>
      </c>
      <c r="AO131" s="43" t="n">
        <f aca="false">SUMIFS('Additions (monthly)'!$E$2:$E$106,'Additions (monthly)'!$D$2:$D$106,AO$2,'Additions (monthly)'!$B$2:$B$106,"&lt;="&amp;$B131)</f>
        <v>10.4</v>
      </c>
      <c r="AP131" s="43" t="n">
        <f aca="false">SUMIFS('Additions (monthly)'!$E$2:$E$106,'Additions (monthly)'!$D$2:$D$106,AP$2,'Additions (monthly)'!$B$2:$B$106,"&lt;="&amp;$B131)</f>
        <v>6.9</v>
      </c>
      <c r="AQ131" s="43" t="n">
        <f aca="false">SUMIFS('Additions (monthly)'!$E$2:$E$106,'Additions (monthly)'!$D$2:$D$106,AQ$2,'Additions (monthly)'!$B$2:$B$106,"&lt;="&amp;$B131)</f>
        <v>4.45</v>
      </c>
      <c r="AR131" s="43" t="n">
        <f aca="false">SUMIFS('Additions (monthly)'!$E$2:$E$106,'Additions (monthly)'!$D$2:$D$106,AR$2,'Additions (monthly)'!$B$2:$B$106,"&lt;="&amp;$B131)</f>
        <v>77.1</v>
      </c>
      <c r="AS131" s="43" t="n">
        <f aca="false">SUMIFS('Additions (monthly)'!$E$2:$E$106,'Additions (monthly)'!$D$2:$D$106,AS$2,'Additions (monthly)'!$B$2:$B$106,"&lt;="&amp;$B131)</f>
        <v>0</v>
      </c>
      <c r="AT131" s="43" t="n">
        <f aca="false">SUMIFS('Additions (monthly)'!$E$2:$E$106,'Additions (monthly)'!$D$2:$D$106,AT$2,'Additions (monthly)'!$B$2:$B$106,"&lt;="&amp;$B131)</f>
        <v>0</v>
      </c>
      <c r="AU131" s="43" t="n">
        <f aca="false">SUMIFS('Additions (monthly)'!$E$2:$E$106,'Additions (monthly)'!$D$2:$D$106,AU$2,'Additions (monthly)'!$B$2:$B$106,"&lt;="&amp;$B131)</f>
        <v>9.6</v>
      </c>
      <c r="AV131" s="43" t="n">
        <f aca="false">SUMIFS('Additions (monthly)'!$E$2:$E$106,'Additions (monthly)'!$D$2:$D$106,AV$2,'Additions (monthly)'!$B$2:$B$106,"&lt;="&amp;$B131)</f>
        <v>0.66</v>
      </c>
      <c r="AW131" s="43" t="n">
        <f aca="false">SUMIFS('Additions (monthly)'!$E$2:$E$106,'Additions (monthly)'!$D$2:$D$106,AW$2,'Additions (monthly)'!$B$2:$B$106,"&lt;="&amp;$B131)</f>
        <v>16.5</v>
      </c>
      <c r="AX131" s="43" t="n">
        <f aca="false">SUMIFS('Additions (monthly)'!$E$2:$E$106,'Additions (monthly)'!$D$2:$D$106,AX$2,'Additions (monthly)'!$B$2:$B$106,"&lt;="&amp;$B131)</f>
        <v>11.8</v>
      </c>
      <c r="AY131" s="43" t="n">
        <f aca="false">SUMIFS('Additions (monthly)'!$E$2:$E$106,'Additions (monthly)'!$D$2:$D$106,AY$2,'Additions (monthly)'!$B$2:$B$106,"&lt;="&amp;$B131)</f>
        <v>5.3</v>
      </c>
      <c r="AZ131" s="43" t="n">
        <f aca="false">SUMIFS('Additions (monthly)'!$E$2:$E$106,'Additions (monthly)'!$D$2:$D$106,AZ$2,'Additions (monthly)'!$B$2:$B$106,"&lt;="&amp;$B131)</f>
        <v>0</v>
      </c>
      <c r="BA131" s="43" t="n">
        <f aca="false">SUMIFS('Additions (monthly)'!$E$2:$E$106,'Additions (monthly)'!$D$2:$D$106,BA$2,'Additions (monthly)'!$B$2:$B$106,"&lt;="&amp;$B131)</f>
        <v>13.5</v>
      </c>
      <c r="BB131" s="43" t="n">
        <f aca="false">SUMIFS('Additions (monthly)'!$E$2:$E$106,'Additions (monthly)'!$D$2:$D$106,BB$2,'Additions (monthly)'!$B$2:$B$106,"&lt;="&amp;$B131)</f>
        <v>10</v>
      </c>
      <c r="BC131" s="43" t="n">
        <f aca="false">SUMIFS('Additions (monthly)'!$E$2:$E$106,'Additions (monthly)'!$D$2:$D$106,BC$2,'Additions (monthly)'!$B$2:$B$106,"&lt;="&amp;$B131)</f>
        <v>5.25</v>
      </c>
      <c r="BD131" s="43" t="n">
        <f aca="false">SUMIFS('Additions (monthly)'!$E$2:$E$106,'Additions (monthly)'!$D$2:$D$106,BD$2,'Additions (monthly)'!$B$2:$B$106,"&lt;="&amp;$B131)</f>
        <v>2.5</v>
      </c>
      <c r="BE131" s="43" t="n">
        <f aca="false">SUMIFS('Additions (monthly)'!$E$2:$E$106,'Additions (monthly)'!$D$2:$D$106,BE$2,'Additions (monthly)'!$B$2:$B$106,"&lt;="&amp;$B131)</f>
        <v>15.3</v>
      </c>
      <c r="BF131" s="43" t="n">
        <f aca="false">SUMIFS('Additions (monthly)'!$E$2:$E$106,'Additions (monthly)'!$D$2:$D$106,BF$2,'Additions (monthly)'!$B$2:$B$106,"&lt;="&amp;$B131)</f>
        <v>0</v>
      </c>
      <c r="BG131" s="43" t="n">
        <f aca="false">SUMIFS('Additions (monthly)'!$E$2:$E$106,'Additions (monthly)'!$D$2:$D$106,BG$2,'Additions (monthly)'!$B$2:$B$106,"&lt;="&amp;$B131)</f>
        <v>0</v>
      </c>
      <c r="BH131" s="43" t="n">
        <f aca="false">SUMIFS('Additions (monthly)'!$E$2:$E$106,'Additions (monthly)'!$D$2:$D$106,BH$2,'Additions (monthly)'!$B$2:$B$106,"&lt;="&amp;$B131)</f>
        <v>25</v>
      </c>
      <c r="BI131" s="43" t="n">
        <f aca="false">SUMIFS('Additions (monthly)'!$E$2:$E$106,'Additions (monthly)'!$D$2:$D$106,BI$2,'Additions (monthly)'!$B$2:$B$106,"&lt;="&amp;$B131)</f>
        <v>6.7</v>
      </c>
    </row>
    <row r="132" customFormat="false" ht="15" hidden="false" customHeight="false" outlineLevel="0" collapsed="false">
      <c r="A132" s="23" t="n">
        <v>44105</v>
      </c>
      <c r="B132" s="24" t="n">
        <v>202010</v>
      </c>
      <c r="C132" s="42" t="n">
        <f aca="false">SUMIFS('Additions (monthly)'!$E$2:$E$106,'Additions (monthly)'!$B$2:$B$106,"&lt;="&amp;$B132)</f>
        <v>449.98</v>
      </c>
      <c r="D132" s="43" t="n">
        <f aca="false">SUMIFS('Additions (monthly)'!$E$2:$E$106,'Additions (monthly)'!$D$2:$D$106,D$2,'Additions (monthly)'!$B$2:$B$106,"&lt;="&amp;$B132)</f>
        <v>7.9</v>
      </c>
      <c r="E132" s="43" t="n">
        <f aca="false">SUMIFS('Additions (monthly)'!$E$2:$E$106,'Additions (monthly)'!$D$2:$D$106,E$2,'Additions (monthly)'!$B$2:$B$106,"&lt;="&amp;$B132)</f>
        <v>8.4</v>
      </c>
      <c r="F132" s="43" t="n">
        <f aca="false">SUMIFS('Additions (monthly)'!$E$2:$E$106,'Additions (monthly)'!$D$2:$D$106,F$2,'Additions (monthly)'!$B$2:$B$106,"&lt;="&amp;$B132)</f>
        <v>4.7</v>
      </c>
      <c r="G132" s="43" t="n">
        <f aca="false">SUMIFS('Additions (monthly)'!$E$2:$E$106,'Additions (monthly)'!$D$2:$D$106,G$2,'Additions (monthly)'!$B$2:$B$106,"&lt;="&amp;$B132)</f>
        <v>4.5</v>
      </c>
      <c r="H132" s="43" t="n">
        <f aca="false">SUMIFS('Additions (monthly)'!$E$2:$E$106,'Additions (monthly)'!$D$2:$D$106,H$2,'Additions (monthly)'!$B$2:$B$106,"&lt;="&amp;$B132)</f>
        <v>5.2</v>
      </c>
      <c r="I132" s="43" t="n">
        <f aca="false">SUMIFS('Additions (monthly)'!$E$2:$E$106,'Additions (monthly)'!$D$2:$D$106,I$2,'Additions (monthly)'!$B$2:$B$106,"&lt;="&amp;$B132)</f>
        <v>9</v>
      </c>
      <c r="J132" s="43" t="n">
        <f aca="false">SUMIFS('Additions (monthly)'!$E$2:$E$106,'Additions (monthly)'!$D$2:$D$106,J$2,'Additions (monthly)'!$B$2:$B$106,"&lt;="&amp;$B132)</f>
        <v>3.7</v>
      </c>
      <c r="K132" s="43" t="n">
        <f aca="false">SUMIFS('Additions (monthly)'!$E$2:$E$106,'Additions (monthly)'!$D$2:$D$106,K$2,'Additions (monthly)'!$B$2:$B$106,"&lt;="&amp;$B132)</f>
        <v>7.8</v>
      </c>
      <c r="L132" s="43" t="n">
        <f aca="false">SUMIFS('Additions (monthly)'!$E$2:$E$106,'Additions (monthly)'!$D$2:$D$106,L$2,'Additions (monthly)'!$B$2:$B$106,"&lt;="&amp;$B132)</f>
        <v>15.6</v>
      </c>
      <c r="M132" s="43" t="n">
        <f aca="false">SUMIFS('Additions (monthly)'!$E$2:$E$106,'Additions (monthly)'!$D$2:$D$106,M$2,'Additions (monthly)'!$B$2:$B$106,"&lt;="&amp;$B132)</f>
        <v>8.9</v>
      </c>
      <c r="N132" s="43" t="n">
        <f aca="false">SUMIFS('Additions (monthly)'!$E$2:$E$106,'Additions (monthly)'!$D$2:$D$106,N$2,'Additions (monthly)'!$B$2:$B$106,"&lt;="&amp;$B132)</f>
        <v>14.2</v>
      </c>
      <c r="O132" s="43" t="n">
        <f aca="false">SUMIFS('Additions (monthly)'!$E$2:$E$106,'Additions (monthly)'!$D$2:$D$106,O$2,'Additions (monthly)'!$B$2:$B$106,"&lt;="&amp;$B132)</f>
        <v>4.9</v>
      </c>
      <c r="P132" s="43" t="n">
        <f aca="false">SUMIFS('Additions (monthly)'!$E$2:$E$106,'Additions (monthly)'!$D$2:$D$106,P$2,'Additions (monthly)'!$B$2:$B$106,"&lt;="&amp;$B132)</f>
        <v>3.6</v>
      </c>
      <c r="Q132" s="43" t="n">
        <f aca="false">SUMIFS('Additions (monthly)'!$E$2:$E$106,'Additions (monthly)'!$D$2:$D$106,Q$2,'Additions (monthly)'!$B$2:$B$106,"&lt;="&amp;$B132)</f>
        <v>8.5</v>
      </c>
      <c r="R132" s="43" t="n">
        <f aca="false">SUMIFS('Additions (monthly)'!$E$2:$E$106,'Additions (monthly)'!$D$2:$D$106,R$2,'Additions (monthly)'!$B$2:$B$106,"&lt;="&amp;$B132)</f>
        <v>8.9</v>
      </c>
      <c r="S132" s="43" t="n">
        <f aca="false">SUMIFS('Additions (monthly)'!$E$2:$E$106,'Additions (monthly)'!$D$2:$D$106,S$2,'Additions (monthly)'!$B$2:$B$106,"&lt;="&amp;$B132)</f>
        <v>7.2</v>
      </c>
      <c r="T132" s="43" t="n">
        <f aca="false">SUMIFS('Additions (monthly)'!$E$2:$E$106,'Additions (monthly)'!$D$2:$D$106,T$2,'Additions (monthly)'!$B$2:$B$106,"&lt;="&amp;$B132)</f>
        <v>2.4</v>
      </c>
      <c r="U132" s="43" t="n">
        <f aca="false">SUMIFS('Additions (monthly)'!$E$2:$E$106,'Additions (monthly)'!$D$2:$D$106,U$2,'Additions (monthly)'!$B$2:$B$106,"&lt;="&amp;$B132)</f>
        <v>0</v>
      </c>
      <c r="V132" s="43" t="n">
        <f aca="false">SUMIFS('Additions (monthly)'!$E$2:$E$106,'Additions (monthly)'!$D$2:$D$106,V$2,'Additions (monthly)'!$B$2:$B$106,"&lt;="&amp;$B132)</f>
        <v>3.87</v>
      </c>
      <c r="W132" s="43" t="n">
        <f aca="false">SUMIFS('Additions (monthly)'!$E$2:$E$106,'Additions (monthly)'!$D$2:$D$106,W$2,'Additions (monthly)'!$B$2:$B$106,"&lt;="&amp;$B132)</f>
        <v>0</v>
      </c>
      <c r="X132" s="43" t="n">
        <f aca="false">SUMIFS('Additions (monthly)'!$E$2:$E$106,'Additions (monthly)'!$D$2:$D$106,X$2,'Additions (monthly)'!$B$2:$B$106,"&lt;="&amp;$B132)</f>
        <v>0</v>
      </c>
      <c r="Y132" s="43" t="n">
        <f aca="false">SUMIFS('Additions (monthly)'!$E$2:$E$106,'Additions (monthly)'!$D$2:$D$106,Y$2,'Additions (monthly)'!$B$2:$B$106,"&lt;="&amp;$B132)</f>
        <v>5</v>
      </c>
      <c r="Z132" s="43" t="n">
        <f aca="false">SUMIFS('Additions (monthly)'!$E$2:$E$106,'Additions (monthly)'!$D$2:$D$106,Z$2,'Additions (monthly)'!$B$2:$B$106,"&lt;="&amp;$B132)</f>
        <v>7.2</v>
      </c>
      <c r="AA132" s="43" t="n">
        <f aca="false">SUMIFS('Additions (monthly)'!$E$2:$E$106,'Additions (monthly)'!$D$2:$D$106,AA$2,'Additions (monthly)'!$B$2:$B$106,"&lt;="&amp;$B132)</f>
        <v>3.7</v>
      </c>
      <c r="AB132" s="43" t="n">
        <f aca="false">SUMIFS('Additions (monthly)'!$E$2:$E$106,'Additions (monthly)'!$D$2:$D$106,AB$2,'Additions (monthly)'!$B$2:$B$106,"&lt;="&amp;$B132)</f>
        <v>16.95</v>
      </c>
      <c r="AC132" s="43" t="n">
        <f aca="false">SUMIFS('Additions (monthly)'!$E$2:$E$106,'Additions (monthly)'!$D$2:$D$106,AC$2,'Additions (monthly)'!$B$2:$B$106,"&lt;="&amp;$B132)</f>
        <v>2</v>
      </c>
      <c r="AD132" s="43" t="n">
        <f aca="false">SUMIFS('Additions (monthly)'!$E$2:$E$106,'Additions (monthly)'!$D$2:$D$106,AD$2,'Additions (monthly)'!$B$2:$B$106,"&lt;="&amp;$B132)</f>
        <v>7.6</v>
      </c>
      <c r="AE132" s="43" t="n">
        <f aca="false">SUMIFS('Additions (monthly)'!$E$2:$E$106,'Additions (monthly)'!$D$2:$D$106,AE$2,'Additions (monthly)'!$B$2:$B$106,"&lt;="&amp;$B132)</f>
        <v>29.3</v>
      </c>
      <c r="AF132" s="43" t="n">
        <f aca="false">SUMIFS('Additions (monthly)'!$E$2:$E$106,'Additions (monthly)'!$D$2:$D$106,AF$2,'Additions (monthly)'!$B$2:$B$106,"&lt;="&amp;$B132)</f>
        <v>1.2</v>
      </c>
      <c r="AG132" s="43" t="n">
        <f aca="false">SUMIFS('Additions (monthly)'!$E$2:$E$106,'Additions (monthly)'!$D$2:$D$106,AG$2,'Additions (monthly)'!$B$2:$B$106,"&lt;="&amp;$B132)</f>
        <v>0</v>
      </c>
      <c r="AH132" s="43" t="n">
        <f aca="false">SUMIFS('Additions (monthly)'!$E$2:$E$106,'Additions (monthly)'!$D$2:$D$106,AH$2,'Additions (monthly)'!$B$2:$B$106,"&lt;="&amp;$B132)</f>
        <v>0</v>
      </c>
      <c r="AI132" s="43" t="n">
        <f aca="false">SUMIFS('Additions (monthly)'!$E$2:$E$106,'Additions (monthly)'!$D$2:$D$106,AI$2,'Additions (monthly)'!$B$2:$B$106,"&lt;="&amp;$B132)</f>
        <v>0</v>
      </c>
      <c r="AJ132" s="43" t="n">
        <f aca="false">SUMIFS('Additions (monthly)'!$E$2:$E$106,'Additions (monthly)'!$D$2:$D$106,AJ$2,'Additions (monthly)'!$B$2:$B$106,"&lt;="&amp;$B132)</f>
        <v>0</v>
      </c>
      <c r="AK132" s="43" t="n">
        <f aca="false">SUMIFS('Additions (monthly)'!$E$2:$E$106,'Additions (monthly)'!$D$2:$D$106,AK$2,'Additions (monthly)'!$B$2:$B$106,"&lt;="&amp;$B132)</f>
        <v>0</v>
      </c>
      <c r="AL132" s="43" t="n">
        <f aca="false">SUMIFS('Additions (monthly)'!$E$2:$E$106,'Additions (monthly)'!$D$2:$D$106,AL$2,'Additions (monthly)'!$B$2:$B$106,"&lt;="&amp;$B132)</f>
        <v>22.2</v>
      </c>
      <c r="AM132" s="43" t="n">
        <f aca="false">SUMIFS('Additions (monthly)'!$E$2:$E$106,'Additions (monthly)'!$D$2:$D$106,AM$2,'Additions (monthly)'!$B$2:$B$106,"&lt;="&amp;$B132)</f>
        <v>0.3</v>
      </c>
      <c r="AN132" s="43" t="n">
        <f aca="false">SUMIFS('Additions (monthly)'!$E$2:$E$106,'Additions (monthly)'!$D$2:$D$106,AN$2,'Additions (monthly)'!$B$2:$B$106,"&lt;="&amp;$B132)</f>
        <v>4.3</v>
      </c>
      <c r="AO132" s="43" t="n">
        <f aca="false">SUMIFS('Additions (monthly)'!$E$2:$E$106,'Additions (monthly)'!$D$2:$D$106,AO$2,'Additions (monthly)'!$B$2:$B$106,"&lt;="&amp;$B132)</f>
        <v>10.4</v>
      </c>
      <c r="AP132" s="43" t="n">
        <f aca="false">SUMIFS('Additions (monthly)'!$E$2:$E$106,'Additions (monthly)'!$D$2:$D$106,AP$2,'Additions (monthly)'!$B$2:$B$106,"&lt;="&amp;$B132)</f>
        <v>6.9</v>
      </c>
      <c r="AQ132" s="43" t="n">
        <f aca="false">SUMIFS('Additions (monthly)'!$E$2:$E$106,'Additions (monthly)'!$D$2:$D$106,AQ$2,'Additions (monthly)'!$B$2:$B$106,"&lt;="&amp;$B132)</f>
        <v>4.45</v>
      </c>
      <c r="AR132" s="43" t="n">
        <f aca="false">SUMIFS('Additions (monthly)'!$E$2:$E$106,'Additions (monthly)'!$D$2:$D$106,AR$2,'Additions (monthly)'!$B$2:$B$106,"&lt;="&amp;$B132)</f>
        <v>77.1</v>
      </c>
      <c r="AS132" s="43" t="n">
        <f aca="false">SUMIFS('Additions (monthly)'!$E$2:$E$106,'Additions (monthly)'!$D$2:$D$106,AS$2,'Additions (monthly)'!$B$2:$B$106,"&lt;="&amp;$B132)</f>
        <v>0</v>
      </c>
      <c r="AT132" s="43" t="n">
        <f aca="false">SUMIFS('Additions (monthly)'!$E$2:$E$106,'Additions (monthly)'!$D$2:$D$106,AT$2,'Additions (monthly)'!$B$2:$B$106,"&lt;="&amp;$B132)</f>
        <v>0</v>
      </c>
      <c r="AU132" s="43" t="n">
        <f aca="false">SUMIFS('Additions (monthly)'!$E$2:$E$106,'Additions (monthly)'!$D$2:$D$106,AU$2,'Additions (monthly)'!$B$2:$B$106,"&lt;="&amp;$B132)</f>
        <v>9.6</v>
      </c>
      <c r="AV132" s="43" t="n">
        <f aca="false">SUMIFS('Additions (monthly)'!$E$2:$E$106,'Additions (monthly)'!$D$2:$D$106,AV$2,'Additions (monthly)'!$B$2:$B$106,"&lt;="&amp;$B132)</f>
        <v>0.66</v>
      </c>
      <c r="AW132" s="43" t="n">
        <f aca="false">SUMIFS('Additions (monthly)'!$E$2:$E$106,'Additions (monthly)'!$D$2:$D$106,AW$2,'Additions (monthly)'!$B$2:$B$106,"&lt;="&amp;$B132)</f>
        <v>16.5</v>
      </c>
      <c r="AX132" s="43" t="n">
        <f aca="false">SUMIFS('Additions (monthly)'!$E$2:$E$106,'Additions (monthly)'!$D$2:$D$106,AX$2,'Additions (monthly)'!$B$2:$B$106,"&lt;="&amp;$B132)</f>
        <v>11.8</v>
      </c>
      <c r="AY132" s="43" t="n">
        <f aca="false">SUMIFS('Additions (monthly)'!$E$2:$E$106,'Additions (monthly)'!$D$2:$D$106,AY$2,'Additions (monthly)'!$B$2:$B$106,"&lt;="&amp;$B132)</f>
        <v>5.3</v>
      </c>
      <c r="AZ132" s="43" t="n">
        <f aca="false">SUMIFS('Additions (monthly)'!$E$2:$E$106,'Additions (monthly)'!$D$2:$D$106,AZ$2,'Additions (monthly)'!$B$2:$B$106,"&lt;="&amp;$B132)</f>
        <v>0</v>
      </c>
      <c r="BA132" s="43" t="n">
        <f aca="false">SUMIFS('Additions (monthly)'!$E$2:$E$106,'Additions (monthly)'!$D$2:$D$106,BA$2,'Additions (monthly)'!$B$2:$B$106,"&lt;="&amp;$B132)</f>
        <v>13.5</v>
      </c>
      <c r="BB132" s="43" t="n">
        <f aca="false">SUMIFS('Additions (monthly)'!$E$2:$E$106,'Additions (monthly)'!$D$2:$D$106,BB$2,'Additions (monthly)'!$B$2:$B$106,"&lt;="&amp;$B132)</f>
        <v>10</v>
      </c>
      <c r="BC132" s="43" t="n">
        <f aca="false">SUMIFS('Additions (monthly)'!$E$2:$E$106,'Additions (monthly)'!$D$2:$D$106,BC$2,'Additions (monthly)'!$B$2:$B$106,"&lt;="&amp;$B132)</f>
        <v>5.25</v>
      </c>
      <c r="BD132" s="43" t="n">
        <f aca="false">SUMIFS('Additions (monthly)'!$E$2:$E$106,'Additions (monthly)'!$D$2:$D$106,BD$2,'Additions (monthly)'!$B$2:$B$106,"&lt;="&amp;$B132)</f>
        <v>2.5</v>
      </c>
      <c r="BE132" s="43" t="n">
        <f aca="false">SUMIFS('Additions (monthly)'!$E$2:$E$106,'Additions (monthly)'!$D$2:$D$106,BE$2,'Additions (monthly)'!$B$2:$B$106,"&lt;="&amp;$B132)</f>
        <v>15.3</v>
      </c>
      <c r="BF132" s="43" t="n">
        <f aca="false">SUMIFS('Additions (monthly)'!$E$2:$E$106,'Additions (monthly)'!$D$2:$D$106,BF$2,'Additions (monthly)'!$B$2:$B$106,"&lt;="&amp;$B132)</f>
        <v>0</v>
      </c>
      <c r="BG132" s="43" t="n">
        <f aca="false">SUMIFS('Additions (monthly)'!$E$2:$E$106,'Additions (monthly)'!$D$2:$D$106,BG$2,'Additions (monthly)'!$B$2:$B$106,"&lt;="&amp;$B132)</f>
        <v>0</v>
      </c>
      <c r="BH132" s="43" t="n">
        <f aca="false">SUMIFS('Additions (monthly)'!$E$2:$E$106,'Additions (monthly)'!$D$2:$D$106,BH$2,'Additions (monthly)'!$B$2:$B$106,"&lt;="&amp;$B132)</f>
        <v>25</v>
      </c>
      <c r="BI132" s="43" t="n">
        <f aca="false">SUMIFS('Additions (monthly)'!$E$2:$E$106,'Additions (monthly)'!$D$2:$D$106,BI$2,'Additions (monthly)'!$B$2:$B$106,"&lt;="&amp;$B132)</f>
        <v>6.7</v>
      </c>
    </row>
    <row r="133" customFormat="false" ht="15" hidden="false" customHeight="false" outlineLevel="0" collapsed="false">
      <c r="A133" s="23" t="n">
        <v>44136</v>
      </c>
      <c r="B133" s="24" t="n">
        <v>202011</v>
      </c>
      <c r="C133" s="42" t="n">
        <f aca="false">SUMIFS('Additions (monthly)'!$E$2:$E$106,'Additions (monthly)'!$B$2:$B$106,"&lt;="&amp;$B133)</f>
        <v>454.98</v>
      </c>
      <c r="D133" s="43" t="n">
        <f aca="false">SUMIFS('Additions (monthly)'!$E$2:$E$106,'Additions (monthly)'!$D$2:$D$106,D$2,'Additions (monthly)'!$B$2:$B$106,"&lt;="&amp;$B133)</f>
        <v>7.9</v>
      </c>
      <c r="E133" s="43" t="n">
        <f aca="false">SUMIFS('Additions (monthly)'!$E$2:$E$106,'Additions (monthly)'!$D$2:$D$106,E$2,'Additions (monthly)'!$B$2:$B$106,"&lt;="&amp;$B133)</f>
        <v>8.4</v>
      </c>
      <c r="F133" s="43" t="n">
        <f aca="false">SUMIFS('Additions (monthly)'!$E$2:$E$106,'Additions (monthly)'!$D$2:$D$106,F$2,'Additions (monthly)'!$B$2:$B$106,"&lt;="&amp;$B133)</f>
        <v>4.7</v>
      </c>
      <c r="G133" s="43" t="n">
        <f aca="false">SUMIFS('Additions (monthly)'!$E$2:$E$106,'Additions (monthly)'!$D$2:$D$106,G$2,'Additions (monthly)'!$B$2:$B$106,"&lt;="&amp;$B133)</f>
        <v>4.5</v>
      </c>
      <c r="H133" s="43" t="n">
        <f aca="false">SUMIFS('Additions (monthly)'!$E$2:$E$106,'Additions (monthly)'!$D$2:$D$106,H$2,'Additions (monthly)'!$B$2:$B$106,"&lt;="&amp;$B133)</f>
        <v>5.2</v>
      </c>
      <c r="I133" s="43" t="n">
        <f aca="false">SUMIFS('Additions (monthly)'!$E$2:$E$106,'Additions (monthly)'!$D$2:$D$106,I$2,'Additions (monthly)'!$B$2:$B$106,"&lt;="&amp;$B133)</f>
        <v>9</v>
      </c>
      <c r="J133" s="43" t="n">
        <f aca="false">SUMIFS('Additions (monthly)'!$E$2:$E$106,'Additions (monthly)'!$D$2:$D$106,J$2,'Additions (monthly)'!$B$2:$B$106,"&lt;="&amp;$B133)</f>
        <v>3.7</v>
      </c>
      <c r="K133" s="43" t="n">
        <f aca="false">SUMIFS('Additions (monthly)'!$E$2:$E$106,'Additions (monthly)'!$D$2:$D$106,K$2,'Additions (monthly)'!$B$2:$B$106,"&lt;="&amp;$B133)</f>
        <v>7.8</v>
      </c>
      <c r="L133" s="43" t="n">
        <f aca="false">SUMIFS('Additions (monthly)'!$E$2:$E$106,'Additions (monthly)'!$D$2:$D$106,L$2,'Additions (monthly)'!$B$2:$B$106,"&lt;="&amp;$B133)</f>
        <v>15.6</v>
      </c>
      <c r="M133" s="43" t="n">
        <f aca="false">SUMIFS('Additions (monthly)'!$E$2:$E$106,'Additions (monthly)'!$D$2:$D$106,M$2,'Additions (monthly)'!$B$2:$B$106,"&lt;="&amp;$B133)</f>
        <v>8.9</v>
      </c>
      <c r="N133" s="43" t="n">
        <f aca="false">SUMIFS('Additions (monthly)'!$E$2:$E$106,'Additions (monthly)'!$D$2:$D$106,N$2,'Additions (monthly)'!$B$2:$B$106,"&lt;="&amp;$B133)</f>
        <v>14.2</v>
      </c>
      <c r="O133" s="43" t="n">
        <f aca="false">SUMIFS('Additions (monthly)'!$E$2:$E$106,'Additions (monthly)'!$D$2:$D$106,O$2,'Additions (monthly)'!$B$2:$B$106,"&lt;="&amp;$B133)</f>
        <v>4.9</v>
      </c>
      <c r="P133" s="43" t="n">
        <f aca="false">SUMIFS('Additions (monthly)'!$E$2:$E$106,'Additions (monthly)'!$D$2:$D$106,P$2,'Additions (monthly)'!$B$2:$B$106,"&lt;="&amp;$B133)</f>
        <v>3.6</v>
      </c>
      <c r="Q133" s="43" t="n">
        <f aca="false">SUMIFS('Additions (monthly)'!$E$2:$E$106,'Additions (monthly)'!$D$2:$D$106,Q$2,'Additions (monthly)'!$B$2:$B$106,"&lt;="&amp;$B133)</f>
        <v>8.5</v>
      </c>
      <c r="R133" s="43" t="n">
        <f aca="false">SUMIFS('Additions (monthly)'!$E$2:$E$106,'Additions (monthly)'!$D$2:$D$106,R$2,'Additions (monthly)'!$B$2:$B$106,"&lt;="&amp;$B133)</f>
        <v>8.9</v>
      </c>
      <c r="S133" s="43" t="n">
        <f aca="false">SUMIFS('Additions (monthly)'!$E$2:$E$106,'Additions (monthly)'!$D$2:$D$106,S$2,'Additions (monthly)'!$B$2:$B$106,"&lt;="&amp;$B133)</f>
        <v>7.2</v>
      </c>
      <c r="T133" s="43" t="n">
        <f aca="false">SUMIFS('Additions (monthly)'!$E$2:$E$106,'Additions (monthly)'!$D$2:$D$106,T$2,'Additions (monthly)'!$B$2:$B$106,"&lt;="&amp;$B133)</f>
        <v>2.4</v>
      </c>
      <c r="U133" s="43" t="n">
        <f aca="false">SUMIFS('Additions (monthly)'!$E$2:$E$106,'Additions (monthly)'!$D$2:$D$106,U$2,'Additions (monthly)'!$B$2:$B$106,"&lt;="&amp;$B133)</f>
        <v>0</v>
      </c>
      <c r="V133" s="43" t="n">
        <f aca="false">SUMIFS('Additions (monthly)'!$E$2:$E$106,'Additions (monthly)'!$D$2:$D$106,V$2,'Additions (monthly)'!$B$2:$B$106,"&lt;="&amp;$B133)</f>
        <v>3.87</v>
      </c>
      <c r="W133" s="43" t="n">
        <f aca="false">SUMIFS('Additions (monthly)'!$E$2:$E$106,'Additions (monthly)'!$D$2:$D$106,W$2,'Additions (monthly)'!$B$2:$B$106,"&lt;="&amp;$B133)</f>
        <v>0</v>
      </c>
      <c r="X133" s="43" t="n">
        <f aca="false">SUMIFS('Additions (monthly)'!$E$2:$E$106,'Additions (monthly)'!$D$2:$D$106,X$2,'Additions (monthly)'!$B$2:$B$106,"&lt;="&amp;$B133)</f>
        <v>0</v>
      </c>
      <c r="Y133" s="43" t="n">
        <f aca="false">SUMIFS('Additions (monthly)'!$E$2:$E$106,'Additions (monthly)'!$D$2:$D$106,Y$2,'Additions (monthly)'!$B$2:$B$106,"&lt;="&amp;$B133)</f>
        <v>5</v>
      </c>
      <c r="Z133" s="43" t="n">
        <f aca="false">SUMIFS('Additions (monthly)'!$E$2:$E$106,'Additions (monthly)'!$D$2:$D$106,Z$2,'Additions (monthly)'!$B$2:$B$106,"&lt;="&amp;$B133)</f>
        <v>7.2</v>
      </c>
      <c r="AA133" s="43" t="n">
        <f aca="false">SUMIFS('Additions (monthly)'!$E$2:$E$106,'Additions (monthly)'!$D$2:$D$106,AA$2,'Additions (monthly)'!$B$2:$B$106,"&lt;="&amp;$B133)</f>
        <v>3.7</v>
      </c>
      <c r="AB133" s="43" t="n">
        <f aca="false">SUMIFS('Additions (monthly)'!$E$2:$E$106,'Additions (monthly)'!$D$2:$D$106,AB$2,'Additions (monthly)'!$B$2:$B$106,"&lt;="&amp;$B133)</f>
        <v>16.95</v>
      </c>
      <c r="AC133" s="43" t="n">
        <f aca="false">SUMIFS('Additions (monthly)'!$E$2:$E$106,'Additions (monthly)'!$D$2:$D$106,AC$2,'Additions (monthly)'!$B$2:$B$106,"&lt;="&amp;$B133)</f>
        <v>2</v>
      </c>
      <c r="AD133" s="43" t="n">
        <f aca="false">SUMIFS('Additions (monthly)'!$E$2:$E$106,'Additions (monthly)'!$D$2:$D$106,AD$2,'Additions (monthly)'!$B$2:$B$106,"&lt;="&amp;$B133)</f>
        <v>7.6</v>
      </c>
      <c r="AE133" s="43" t="n">
        <f aca="false">SUMIFS('Additions (monthly)'!$E$2:$E$106,'Additions (monthly)'!$D$2:$D$106,AE$2,'Additions (monthly)'!$B$2:$B$106,"&lt;="&amp;$B133)</f>
        <v>29.3</v>
      </c>
      <c r="AF133" s="43" t="n">
        <f aca="false">SUMIFS('Additions (monthly)'!$E$2:$E$106,'Additions (monthly)'!$D$2:$D$106,AF$2,'Additions (monthly)'!$B$2:$B$106,"&lt;="&amp;$B133)</f>
        <v>1.2</v>
      </c>
      <c r="AG133" s="43" t="n">
        <f aca="false">SUMIFS('Additions (monthly)'!$E$2:$E$106,'Additions (monthly)'!$D$2:$D$106,AG$2,'Additions (monthly)'!$B$2:$B$106,"&lt;="&amp;$B133)</f>
        <v>0</v>
      </c>
      <c r="AH133" s="43" t="n">
        <f aca="false">SUMIFS('Additions (monthly)'!$E$2:$E$106,'Additions (monthly)'!$D$2:$D$106,AH$2,'Additions (monthly)'!$B$2:$B$106,"&lt;="&amp;$B133)</f>
        <v>0</v>
      </c>
      <c r="AI133" s="43" t="n">
        <f aca="false">SUMIFS('Additions (monthly)'!$E$2:$E$106,'Additions (monthly)'!$D$2:$D$106,AI$2,'Additions (monthly)'!$B$2:$B$106,"&lt;="&amp;$B133)</f>
        <v>0</v>
      </c>
      <c r="AJ133" s="43" t="n">
        <f aca="false">SUMIFS('Additions (monthly)'!$E$2:$E$106,'Additions (monthly)'!$D$2:$D$106,AJ$2,'Additions (monthly)'!$B$2:$B$106,"&lt;="&amp;$B133)</f>
        <v>0</v>
      </c>
      <c r="AK133" s="43" t="n">
        <f aca="false">SUMIFS('Additions (monthly)'!$E$2:$E$106,'Additions (monthly)'!$D$2:$D$106,AK$2,'Additions (monthly)'!$B$2:$B$106,"&lt;="&amp;$B133)</f>
        <v>0</v>
      </c>
      <c r="AL133" s="43" t="n">
        <f aca="false">SUMIFS('Additions (monthly)'!$E$2:$E$106,'Additions (monthly)'!$D$2:$D$106,AL$2,'Additions (monthly)'!$B$2:$B$106,"&lt;="&amp;$B133)</f>
        <v>22.2</v>
      </c>
      <c r="AM133" s="43" t="n">
        <f aca="false">SUMIFS('Additions (monthly)'!$E$2:$E$106,'Additions (monthly)'!$D$2:$D$106,AM$2,'Additions (monthly)'!$B$2:$B$106,"&lt;="&amp;$B133)</f>
        <v>0.3</v>
      </c>
      <c r="AN133" s="43" t="n">
        <f aca="false">SUMIFS('Additions (monthly)'!$E$2:$E$106,'Additions (monthly)'!$D$2:$D$106,AN$2,'Additions (monthly)'!$B$2:$B$106,"&lt;="&amp;$B133)</f>
        <v>4.3</v>
      </c>
      <c r="AO133" s="43" t="n">
        <f aca="false">SUMIFS('Additions (monthly)'!$E$2:$E$106,'Additions (monthly)'!$D$2:$D$106,AO$2,'Additions (monthly)'!$B$2:$B$106,"&lt;="&amp;$B133)</f>
        <v>10.4</v>
      </c>
      <c r="AP133" s="43" t="n">
        <f aca="false">SUMIFS('Additions (monthly)'!$E$2:$E$106,'Additions (monthly)'!$D$2:$D$106,AP$2,'Additions (monthly)'!$B$2:$B$106,"&lt;="&amp;$B133)</f>
        <v>6.9</v>
      </c>
      <c r="AQ133" s="43" t="n">
        <f aca="false">SUMIFS('Additions (monthly)'!$E$2:$E$106,'Additions (monthly)'!$D$2:$D$106,AQ$2,'Additions (monthly)'!$B$2:$B$106,"&lt;="&amp;$B133)</f>
        <v>4.45</v>
      </c>
      <c r="AR133" s="43" t="n">
        <f aca="false">SUMIFS('Additions (monthly)'!$E$2:$E$106,'Additions (monthly)'!$D$2:$D$106,AR$2,'Additions (monthly)'!$B$2:$B$106,"&lt;="&amp;$B133)</f>
        <v>77.1</v>
      </c>
      <c r="AS133" s="43" t="n">
        <f aca="false">SUMIFS('Additions (monthly)'!$E$2:$E$106,'Additions (monthly)'!$D$2:$D$106,AS$2,'Additions (monthly)'!$B$2:$B$106,"&lt;="&amp;$B133)</f>
        <v>0</v>
      </c>
      <c r="AT133" s="43" t="n">
        <f aca="false">SUMIFS('Additions (monthly)'!$E$2:$E$106,'Additions (monthly)'!$D$2:$D$106,AT$2,'Additions (monthly)'!$B$2:$B$106,"&lt;="&amp;$B133)</f>
        <v>0</v>
      </c>
      <c r="AU133" s="43" t="n">
        <f aca="false">SUMIFS('Additions (monthly)'!$E$2:$E$106,'Additions (monthly)'!$D$2:$D$106,AU$2,'Additions (monthly)'!$B$2:$B$106,"&lt;="&amp;$B133)</f>
        <v>9.6</v>
      </c>
      <c r="AV133" s="43" t="n">
        <f aca="false">SUMIFS('Additions (monthly)'!$E$2:$E$106,'Additions (monthly)'!$D$2:$D$106,AV$2,'Additions (monthly)'!$B$2:$B$106,"&lt;="&amp;$B133)</f>
        <v>0.66</v>
      </c>
      <c r="AW133" s="43" t="n">
        <f aca="false">SUMIFS('Additions (monthly)'!$E$2:$E$106,'Additions (monthly)'!$D$2:$D$106,AW$2,'Additions (monthly)'!$B$2:$B$106,"&lt;="&amp;$B133)</f>
        <v>16.5</v>
      </c>
      <c r="AX133" s="43" t="n">
        <f aca="false">SUMIFS('Additions (monthly)'!$E$2:$E$106,'Additions (monthly)'!$D$2:$D$106,AX$2,'Additions (monthly)'!$B$2:$B$106,"&lt;="&amp;$B133)</f>
        <v>11.8</v>
      </c>
      <c r="AY133" s="43" t="n">
        <f aca="false">SUMIFS('Additions (monthly)'!$E$2:$E$106,'Additions (monthly)'!$D$2:$D$106,AY$2,'Additions (monthly)'!$B$2:$B$106,"&lt;="&amp;$B133)</f>
        <v>5.3</v>
      </c>
      <c r="AZ133" s="43" t="n">
        <f aca="false">SUMIFS('Additions (monthly)'!$E$2:$E$106,'Additions (monthly)'!$D$2:$D$106,AZ$2,'Additions (monthly)'!$B$2:$B$106,"&lt;="&amp;$B133)</f>
        <v>0</v>
      </c>
      <c r="BA133" s="43" t="n">
        <f aca="false">SUMIFS('Additions (monthly)'!$E$2:$E$106,'Additions (monthly)'!$D$2:$D$106,BA$2,'Additions (monthly)'!$B$2:$B$106,"&lt;="&amp;$B133)</f>
        <v>13.5</v>
      </c>
      <c r="BB133" s="43" t="n">
        <f aca="false">SUMIFS('Additions (monthly)'!$E$2:$E$106,'Additions (monthly)'!$D$2:$D$106,BB$2,'Additions (monthly)'!$B$2:$B$106,"&lt;="&amp;$B133)</f>
        <v>15</v>
      </c>
      <c r="BC133" s="43" t="n">
        <f aca="false">SUMIFS('Additions (monthly)'!$E$2:$E$106,'Additions (monthly)'!$D$2:$D$106,BC$2,'Additions (monthly)'!$B$2:$B$106,"&lt;="&amp;$B133)</f>
        <v>5.25</v>
      </c>
      <c r="BD133" s="43" t="n">
        <f aca="false">SUMIFS('Additions (monthly)'!$E$2:$E$106,'Additions (monthly)'!$D$2:$D$106,BD$2,'Additions (monthly)'!$B$2:$B$106,"&lt;="&amp;$B133)</f>
        <v>2.5</v>
      </c>
      <c r="BE133" s="43" t="n">
        <f aca="false">SUMIFS('Additions (monthly)'!$E$2:$E$106,'Additions (monthly)'!$D$2:$D$106,BE$2,'Additions (monthly)'!$B$2:$B$106,"&lt;="&amp;$B133)</f>
        <v>15.3</v>
      </c>
      <c r="BF133" s="43" t="n">
        <f aca="false">SUMIFS('Additions (monthly)'!$E$2:$E$106,'Additions (monthly)'!$D$2:$D$106,BF$2,'Additions (monthly)'!$B$2:$B$106,"&lt;="&amp;$B133)</f>
        <v>0</v>
      </c>
      <c r="BG133" s="43" t="n">
        <f aca="false">SUMIFS('Additions (monthly)'!$E$2:$E$106,'Additions (monthly)'!$D$2:$D$106,BG$2,'Additions (monthly)'!$B$2:$B$106,"&lt;="&amp;$B133)</f>
        <v>0</v>
      </c>
      <c r="BH133" s="43" t="n">
        <f aca="false">SUMIFS('Additions (monthly)'!$E$2:$E$106,'Additions (monthly)'!$D$2:$D$106,BH$2,'Additions (monthly)'!$B$2:$B$106,"&lt;="&amp;$B133)</f>
        <v>25</v>
      </c>
      <c r="BI133" s="43" t="n">
        <f aca="false">SUMIFS('Additions (monthly)'!$E$2:$E$106,'Additions (monthly)'!$D$2:$D$106,BI$2,'Additions (monthly)'!$B$2:$B$106,"&lt;="&amp;$B133)</f>
        <v>6.7</v>
      </c>
    </row>
    <row r="134" customFormat="false" ht="15" hidden="false" customHeight="false" outlineLevel="0" collapsed="false">
      <c r="A134" s="23" t="n">
        <v>44166</v>
      </c>
      <c r="B134" s="24" t="n">
        <v>202012</v>
      </c>
      <c r="C134" s="42" t="n">
        <f aca="false">SUMIFS('Additions (monthly)'!$E$2:$E$106,'Additions (monthly)'!$B$2:$B$106,"&lt;="&amp;$B134)</f>
        <v>454.98</v>
      </c>
      <c r="D134" s="43" t="n">
        <f aca="false">SUMIFS('Additions (monthly)'!$E$2:$E$106,'Additions (monthly)'!$D$2:$D$106,D$2,'Additions (monthly)'!$B$2:$B$106,"&lt;="&amp;$B134)</f>
        <v>7.9</v>
      </c>
      <c r="E134" s="43" t="n">
        <f aca="false">SUMIFS('Additions (monthly)'!$E$2:$E$106,'Additions (monthly)'!$D$2:$D$106,E$2,'Additions (monthly)'!$B$2:$B$106,"&lt;="&amp;$B134)</f>
        <v>8.4</v>
      </c>
      <c r="F134" s="43" t="n">
        <f aca="false">SUMIFS('Additions (monthly)'!$E$2:$E$106,'Additions (monthly)'!$D$2:$D$106,F$2,'Additions (monthly)'!$B$2:$B$106,"&lt;="&amp;$B134)</f>
        <v>4.7</v>
      </c>
      <c r="G134" s="43" t="n">
        <f aca="false">SUMIFS('Additions (monthly)'!$E$2:$E$106,'Additions (monthly)'!$D$2:$D$106,G$2,'Additions (monthly)'!$B$2:$B$106,"&lt;="&amp;$B134)</f>
        <v>4.5</v>
      </c>
      <c r="H134" s="43" t="n">
        <f aca="false">SUMIFS('Additions (monthly)'!$E$2:$E$106,'Additions (monthly)'!$D$2:$D$106,H$2,'Additions (monthly)'!$B$2:$B$106,"&lt;="&amp;$B134)</f>
        <v>5.2</v>
      </c>
      <c r="I134" s="43" t="n">
        <f aca="false">SUMIFS('Additions (monthly)'!$E$2:$E$106,'Additions (monthly)'!$D$2:$D$106,I$2,'Additions (monthly)'!$B$2:$B$106,"&lt;="&amp;$B134)</f>
        <v>9</v>
      </c>
      <c r="J134" s="43" t="n">
        <f aca="false">SUMIFS('Additions (monthly)'!$E$2:$E$106,'Additions (monthly)'!$D$2:$D$106,J$2,'Additions (monthly)'!$B$2:$B$106,"&lt;="&amp;$B134)</f>
        <v>3.7</v>
      </c>
      <c r="K134" s="43" t="n">
        <f aca="false">SUMIFS('Additions (monthly)'!$E$2:$E$106,'Additions (monthly)'!$D$2:$D$106,K$2,'Additions (monthly)'!$B$2:$B$106,"&lt;="&amp;$B134)</f>
        <v>7.8</v>
      </c>
      <c r="L134" s="43" t="n">
        <f aca="false">SUMIFS('Additions (monthly)'!$E$2:$E$106,'Additions (monthly)'!$D$2:$D$106,L$2,'Additions (monthly)'!$B$2:$B$106,"&lt;="&amp;$B134)</f>
        <v>15.6</v>
      </c>
      <c r="M134" s="43" t="n">
        <f aca="false">SUMIFS('Additions (monthly)'!$E$2:$E$106,'Additions (monthly)'!$D$2:$D$106,M$2,'Additions (monthly)'!$B$2:$B$106,"&lt;="&amp;$B134)</f>
        <v>8.9</v>
      </c>
      <c r="N134" s="43" t="n">
        <f aca="false">SUMIFS('Additions (monthly)'!$E$2:$E$106,'Additions (monthly)'!$D$2:$D$106,N$2,'Additions (monthly)'!$B$2:$B$106,"&lt;="&amp;$B134)</f>
        <v>14.2</v>
      </c>
      <c r="O134" s="43" t="n">
        <f aca="false">SUMIFS('Additions (monthly)'!$E$2:$E$106,'Additions (monthly)'!$D$2:$D$106,O$2,'Additions (monthly)'!$B$2:$B$106,"&lt;="&amp;$B134)</f>
        <v>4.9</v>
      </c>
      <c r="P134" s="43" t="n">
        <f aca="false">SUMIFS('Additions (monthly)'!$E$2:$E$106,'Additions (monthly)'!$D$2:$D$106,P$2,'Additions (monthly)'!$B$2:$B$106,"&lt;="&amp;$B134)</f>
        <v>3.6</v>
      </c>
      <c r="Q134" s="43" t="n">
        <f aca="false">SUMIFS('Additions (monthly)'!$E$2:$E$106,'Additions (monthly)'!$D$2:$D$106,Q$2,'Additions (monthly)'!$B$2:$B$106,"&lt;="&amp;$B134)</f>
        <v>8.5</v>
      </c>
      <c r="R134" s="43" t="n">
        <f aca="false">SUMIFS('Additions (monthly)'!$E$2:$E$106,'Additions (monthly)'!$D$2:$D$106,R$2,'Additions (monthly)'!$B$2:$B$106,"&lt;="&amp;$B134)</f>
        <v>8.9</v>
      </c>
      <c r="S134" s="43" t="n">
        <f aca="false">SUMIFS('Additions (monthly)'!$E$2:$E$106,'Additions (monthly)'!$D$2:$D$106,S$2,'Additions (monthly)'!$B$2:$B$106,"&lt;="&amp;$B134)</f>
        <v>7.2</v>
      </c>
      <c r="T134" s="43" t="n">
        <f aca="false">SUMIFS('Additions (monthly)'!$E$2:$E$106,'Additions (monthly)'!$D$2:$D$106,T$2,'Additions (monthly)'!$B$2:$B$106,"&lt;="&amp;$B134)</f>
        <v>2.4</v>
      </c>
      <c r="U134" s="43" t="n">
        <f aca="false">SUMIFS('Additions (monthly)'!$E$2:$E$106,'Additions (monthly)'!$D$2:$D$106,U$2,'Additions (monthly)'!$B$2:$B$106,"&lt;="&amp;$B134)</f>
        <v>0</v>
      </c>
      <c r="V134" s="43" t="n">
        <f aca="false">SUMIFS('Additions (monthly)'!$E$2:$E$106,'Additions (monthly)'!$D$2:$D$106,V$2,'Additions (monthly)'!$B$2:$B$106,"&lt;="&amp;$B134)</f>
        <v>3.87</v>
      </c>
      <c r="W134" s="43" t="n">
        <f aca="false">SUMIFS('Additions (monthly)'!$E$2:$E$106,'Additions (monthly)'!$D$2:$D$106,W$2,'Additions (monthly)'!$B$2:$B$106,"&lt;="&amp;$B134)</f>
        <v>0</v>
      </c>
      <c r="X134" s="43" t="n">
        <f aca="false">SUMIFS('Additions (monthly)'!$E$2:$E$106,'Additions (monthly)'!$D$2:$D$106,X$2,'Additions (monthly)'!$B$2:$B$106,"&lt;="&amp;$B134)</f>
        <v>0</v>
      </c>
      <c r="Y134" s="43" t="n">
        <f aca="false">SUMIFS('Additions (monthly)'!$E$2:$E$106,'Additions (monthly)'!$D$2:$D$106,Y$2,'Additions (monthly)'!$B$2:$B$106,"&lt;="&amp;$B134)</f>
        <v>5</v>
      </c>
      <c r="Z134" s="43" t="n">
        <f aca="false">SUMIFS('Additions (monthly)'!$E$2:$E$106,'Additions (monthly)'!$D$2:$D$106,Z$2,'Additions (monthly)'!$B$2:$B$106,"&lt;="&amp;$B134)</f>
        <v>7.2</v>
      </c>
      <c r="AA134" s="43" t="n">
        <f aca="false">SUMIFS('Additions (monthly)'!$E$2:$E$106,'Additions (monthly)'!$D$2:$D$106,AA$2,'Additions (monthly)'!$B$2:$B$106,"&lt;="&amp;$B134)</f>
        <v>3.7</v>
      </c>
      <c r="AB134" s="43" t="n">
        <f aca="false">SUMIFS('Additions (monthly)'!$E$2:$E$106,'Additions (monthly)'!$D$2:$D$106,AB$2,'Additions (monthly)'!$B$2:$B$106,"&lt;="&amp;$B134)</f>
        <v>16.95</v>
      </c>
      <c r="AC134" s="43" t="n">
        <f aca="false">SUMIFS('Additions (monthly)'!$E$2:$E$106,'Additions (monthly)'!$D$2:$D$106,AC$2,'Additions (monthly)'!$B$2:$B$106,"&lt;="&amp;$B134)</f>
        <v>2</v>
      </c>
      <c r="AD134" s="43" t="n">
        <f aca="false">SUMIFS('Additions (monthly)'!$E$2:$E$106,'Additions (monthly)'!$D$2:$D$106,AD$2,'Additions (monthly)'!$B$2:$B$106,"&lt;="&amp;$B134)</f>
        <v>7.6</v>
      </c>
      <c r="AE134" s="43" t="n">
        <f aca="false">SUMIFS('Additions (monthly)'!$E$2:$E$106,'Additions (monthly)'!$D$2:$D$106,AE$2,'Additions (monthly)'!$B$2:$B$106,"&lt;="&amp;$B134)</f>
        <v>29.3</v>
      </c>
      <c r="AF134" s="43" t="n">
        <f aca="false">SUMIFS('Additions (monthly)'!$E$2:$E$106,'Additions (monthly)'!$D$2:$D$106,AF$2,'Additions (monthly)'!$B$2:$B$106,"&lt;="&amp;$B134)</f>
        <v>1.2</v>
      </c>
      <c r="AG134" s="43" t="n">
        <f aca="false">SUMIFS('Additions (monthly)'!$E$2:$E$106,'Additions (monthly)'!$D$2:$D$106,AG$2,'Additions (monthly)'!$B$2:$B$106,"&lt;="&amp;$B134)</f>
        <v>0</v>
      </c>
      <c r="AH134" s="43" t="n">
        <f aca="false">SUMIFS('Additions (monthly)'!$E$2:$E$106,'Additions (monthly)'!$D$2:$D$106,AH$2,'Additions (monthly)'!$B$2:$B$106,"&lt;="&amp;$B134)</f>
        <v>0</v>
      </c>
      <c r="AI134" s="43" t="n">
        <f aca="false">SUMIFS('Additions (monthly)'!$E$2:$E$106,'Additions (monthly)'!$D$2:$D$106,AI$2,'Additions (monthly)'!$B$2:$B$106,"&lt;="&amp;$B134)</f>
        <v>0</v>
      </c>
      <c r="AJ134" s="43" t="n">
        <f aca="false">SUMIFS('Additions (monthly)'!$E$2:$E$106,'Additions (monthly)'!$D$2:$D$106,AJ$2,'Additions (monthly)'!$B$2:$B$106,"&lt;="&amp;$B134)</f>
        <v>0</v>
      </c>
      <c r="AK134" s="43" t="n">
        <f aca="false">SUMIFS('Additions (monthly)'!$E$2:$E$106,'Additions (monthly)'!$D$2:$D$106,AK$2,'Additions (monthly)'!$B$2:$B$106,"&lt;="&amp;$B134)</f>
        <v>0</v>
      </c>
      <c r="AL134" s="43" t="n">
        <f aca="false">SUMIFS('Additions (monthly)'!$E$2:$E$106,'Additions (monthly)'!$D$2:$D$106,AL$2,'Additions (monthly)'!$B$2:$B$106,"&lt;="&amp;$B134)</f>
        <v>22.2</v>
      </c>
      <c r="AM134" s="43" t="n">
        <f aca="false">SUMIFS('Additions (monthly)'!$E$2:$E$106,'Additions (monthly)'!$D$2:$D$106,AM$2,'Additions (monthly)'!$B$2:$B$106,"&lt;="&amp;$B134)</f>
        <v>0.3</v>
      </c>
      <c r="AN134" s="43" t="n">
        <f aca="false">SUMIFS('Additions (monthly)'!$E$2:$E$106,'Additions (monthly)'!$D$2:$D$106,AN$2,'Additions (monthly)'!$B$2:$B$106,"&lt;="&amp;$B134)</f>
        <v>4.3</v>
      </c>
      <c r="AO134" s="43" t="n">
        <f aca="false">SUMIFS('Additions (monthly)'!$E$2:$E$106,'Additions (monthly)'!$D$2:$D$106,AO$2,'Additions (monthly)'!$B$2:$B$106,"&lt;="&amp;$B134)</f>
        <v>10.4</v>
      </c>
      <c r="AP134" s="43" t="n">
        <f aca="false">SUMIFS('Additions (monthly)'!$E$2:$E$106,'Additions (monthly)'!$D$2:$D$106,AP$2,'Additions (monthly)'!$B$2:$B$106,"&lt;="&amp;$B134)</f>
        <v>6.9</v>
      </c>
      <c r="AQ134" s="43" t="n">
        <f aca="false">SUMIFS('Additions (monthly)'!$E$2:$E$106,'Additions (monthly)'!$D$2:$D$106,AQ$2,'Additions (monthly)'!$B$2:$B$106,"&lt;="&amp;$B134)</f>
        <v>4.45</v>
      </c>
      <c r="AR134" s="43" t="n">
        <f aca="false">SUMIFS('Additions (monthly)'!$E$2:$E$106,'Additions (monthly)'!$D$2:$D$106,AR$2,'Additions (monthly)'!$B$2:$B$106,"&lt;="&amp;$B134)</f>
        <v>77.1</v>
      </c>
      <c r="AS134" s="43" t="n">
        <f aca="false">SUMIFS('Additions (monthly)'!$E$2:$E$106,'Additions (monthly)'!$D$2:$D$106,AS$2,'Additions (monthly)'!$B$2:$B$106,"&lt;="&amp;$B134)</f>
        <v>0</v>
      </c>
      <c r="AT134" s="43" t="n">
        <f aca="false">SUMIFS('Additions (monthly)'!$E$2:$E$106,'Additions (monthly)'!$D$2:$D$106,AT$2,'Additions (monthly)'!$B$2:$B$106,"&lt;="&amp;$B134)</f>
        <v>0</v>
      </c>
      <c r="AU134" s="43" t="n">
        <f aca="false">SUMIFS('Additions (monthly)'!$E$2:$E$106,'Additions (monthly)'!$D$2:$D$106,AU$2,'Additions (monthly)'!$B$2:$B$106,"&lt;="&amp;$B134)</f>
        <v>9.6</v>
      </c>
      <c r="AV134" s="43" t="n">
        <f aca="false">SUMIFS('Additions (monthly)'!$E$2:$E$106,'Additions (monthly)'!$D$2:$D$106,AV$2,'Additions (monthly)'!$B$2:$B$106,"&lt;="&amp;$B134)</f>
        <v>0.66</v>
      </c>
      <c r="AW134" s="43" t="n">
        <f aca="false">SUMIFS('Additions (monthly)'!$E$2:$E$106,'Additions (monthly)'!$D$2:$D$106,AW$2,'Additions (monthly)'!$B$2:$B$106,"&lt;="&amp;$B134)</f>
        <v>16.5</v>
      </c>
      <c r="AX134" s="43" t="n">
        <f aca="false">SUMIFS('Additions (monthly)'!$E$2:$E$106,'Additions (monthly)'!$D$2:$D$106,AX$2,'Additions (monthly)'!$B$2:$B$106,"&lt;="&amp;$B134)</f>
        <v>11.8</v>
      </c>
      <c r="AY134" s="43" t="n">
        <f aca="false">SUMIFS('Additions (monthly)'!$E$2:$E$106,'Additions (monthly)'!$D$2:$D$106,AY$2,'Additions (monthly)'!$B$2:$B$106,"&lt;="&amp;$B134)</f>
        <v>5.3</v>
      </c>
      <c r="AZ134" s="43" t="n">
        <f aca="false">SUMIFS('Additions (monthly)'!$E$2:$E$106,'Additions (monthly)'!$D$2:$D$106,AZ$2,'Additions (monthly)'!$B$2:$B$106,"&lt;="&amp;$B134)</f>
        <v>0</v>
      </c>
      <c r="BA134" s="43" t="n">
        <f aca="false">SUMIFS('Additions (monthly)'!$E$2:$E$106,'Additions (monthly)'!$D$2:$D$106,BA$2,'Additions (monthly)'!$B$2:$B$106,"&lt;="&amp;$B134)</f>
        <v>13.5</v>
      </c>
      <c r="BB134" s="43" t="n">
        <f aca="false">SUMIFS('Additions (monthly)'!$E$2:$E$106,'Additions (monthly)'!$D$2:$D$106,BB$2,'Additions (monthly)'!$B$2:$B$106,"&lt;="&amp;$B134)</f>
        <v>15</v>
      </c>
      <c r="BC134" s="43" t="n">
        <f aca="false">SUMIFS('Additions (monthly)'!$E$2:$E$106,'Additions (monthly)'!$D$2:$D$106,BC$2,'Additions (monthly)'!$B$2:$B$106,"&lt;="&amp;$B134)</f>
        <v>5.25</v>
      </c>
      <c r="BD134" s="43" t="n">
        <f aca="false">SUMIFS('Additions (monthly)'!$E$2:$E$106,'Additions (monthly)'!$D$2:$D$106,BD$2,'Additions (monthly)'!$B$2:$B$106,"&lt;="&amp;$B134)</f>
        <v>2.5</v>
      </c>
      <c r="BE134" s="43" t="n">
        <f aca="false">SUMIFS('Additions (monthly)'!$E$2:$E$106,'Additions (monthly)'!$D$2:$D$106,BE$2,'Additions (monthly)'!$B$2:$B$106,"&lt;="&amp;$B134)</f>
        <v>15.3</v>
      </c>
      <c r="BF134" s="43" t="n">
        <f aca="false">SUMIFS('Additions (monthly)'!$E$2:$E$106,'Additions (monthly)'!$D$2:$D$106,BF$2,'Additions (monthly)'!$B$2:$B$106,"&lt;="&amp;$B134)</f>
        <v>0</v>
      </c>
      <c r="BG134" s="43" t="n">
        <f aca="false">SUMIFS('Additions (monthly)'!$E$2:$E$106,'Additions (monthly)'!$D$2:$D$106,BG$2,'Additions (monthly)'!$B$2:$B$106,"&lt;="&amp;$B134)</f>
        <v>0</v>
      </c>
      <c r="BH134" s="43" t="n">
        <f aca="false">SUMIFS('Additions (monthly)'!$E$2:$E$106,'Additions (monthly)'!$D$2:$D$106,BH$2,'Additions (monthly)'!$B$2:$B$106,"&lt;="&amp;$B134)</f>
        <v>25</v>
      </c>
      <c r="BI134" s="43" t="n">
        <f aca="false">SUMIFS('Additions (monthly)'!$E$2:$E$106,'Additions (monthly)'!$D$2:$D$106,BI$2,'Additions (monthly)'!$B$2:$B$106,"&lt;="&amp;$B134)</f>
        <v>6.7</v>
      </c>
    </row>
    <row r="135" customFormat="false" ht="15" hidden="false" customHeight="false" outlineLevel="0" collapsed="false">
      <c r="A135" s="44" t="n">
        <v>44197</v>
      </c>
      <c r="B135" s="45" t="n">
        <v>202101</v>
      </c>
      <c r="C135" s="42" t="n">
        <f aca="false">SUMIFS('Additions (monthly)'!$E$2:$E$106,'Additions (monthly)'!$B$2:$B$106,"&lt;="&amp;$B135)</f>
        <v>455.88</v>
      </c>
      <c r="D135" s="46" t="n">
        <f aca="false">SUMIFS('Additions (monthly)'!$E$2:$E$106,'Additions (monthly)'!$D$2:$D$106,D$2,'Additions (monthly)'!$B$2:$B$106,"&lt;="&amp;$B135)</f>
        <v>7.9</v>
      </c>
      <c r="E135" s="46" t="n">
        <f aca="false">SUMIFS('Additions (monthly)'!$E$2:$E$106,'Additions (monthly)'!$D$2:$D$106,E$2,'Additions (monthly)'!$B$2:$B$106,"&lt;="&amp;$B135)</f>
        <v>8.4</v>
      </c>
      <c r="F135" s="46" t="n">
        <f aca="false">SUMIFS('Additions (monthly)'!$E$2:$E$106,'Additions (monthly)'!$D$2:$D$106,F$2,'Additions (monthly)'!$B$2:$B$106,"&lt;="&amp;$B135)</f>
        <v>4.7</v>
      </c>
      <c r="G135" s="46" t="n">
        <f aca="false">SUMIFS('Additions (monthly)'!$E$2:$E$106,'Additions (monthly)'!$D$2:$D$106,G$2,'Additions (monthly)'!$B$2:$B$106,"&lt;="&amp;$B135)</f>
        <v>4.5</v>
      </c>
      <c r="H135" s="46" t="n">
        <f aca="false">SUMIFS('Additions (monthly)'!$E$2:$E$106,'Additions (monthly)'!$D$2:$D$106,H$2,'Additions (monthly)'!$B$2:$B$106,"&lt;="&amp;$B135)</f>
        <v>5.2</v>
      </c>
      <c r="I135" s="46" t="n">
        <f aca="false">SUMIFS('Additions (monthly)'!$E$2:$E$106,'Additions (monthly)'!$D$2:$D$106,I$2,'Additions (monthly)'!$B$2:$B$106,"&lt;="&amp;$B135)</f>
        <v>9</v>
      </c>
      <c r="J135" s="46" t="n">
        <f aca="false">SUMIFS('Additions (monthly)'!$E$2:$E$106,'Additions (monthly)'!$D$2:$D$106,J$2,'Additions (monthly)'!$B$2:$B$106,"&lt;="&amp;$B135)</f>
        <v>3.7</v>
      </c>
      <c r="K135" s="46" t="n">
        <f aca="false">SUMIFS('Additions (monthly)'!$E$2:$E$106,'Additions (monthly)'!$D$2:$D$106,K$2,'Additions (monthly)'!$B$2:$B$106,"&lt;="&amp;$B135)</f>
        <v>7.8</v>
      </c>
      <c r="L135" s="46" t="n">
        <f aca="false">SUMIFS('Additions (monthly)'!$E$2:$E$106,'Additions (monthly)'!$D$2:$D$106,L$2,'Additions (monthly)'!$B$2:$B$106,"&lt;="&amp;$B135)</f>
        <v>15.6</v>
      </c>
      <c r="M135" s="46" t="n">
        <f aca="false">SUMIFS('Additions (monthly)'!$E$2:$E$106,'Additions (monthly)'!$D$2:$D$106,M$2,'Additions (monthly)'!$B$2:$B$106,"&lt;="&amp;$B135)</f>
        <v>8.9</v>
      </c>
      <c r="N135" s="46" t="n">
        <f aca="false">SUMIFS('Additions (monthly)'!$E$2:$E$106,'Additions (monthly)'!$D$2:$D$106,N$2,'Additions (monthly)'!$B$2:$B$106,"&lt;="&amp;$B135)</f>
        <v>14.2</v>
      </c>
      <c r="O135" s="46" t="n">
        <f aca="false">SUMIFS('Additions (monthly)'!$E$2:$E$106,'Additions (monthly)'!$D$2:$D$106,O$2,'Additions (monthly)'!$B$2:$B$106,"&lt;="&amp;$B135)</f>
        <v>4.9</v>
      </c>
      <c r="P135" s="46" t="n">
        <f aca="false">SUMIFS('Additions (monthly)'!$E$2:$E$106,'Additions (monthly)'!$D$2:$D$106,P$2,'Additions (monthly)'!$B$2:$B$106,"&lt;="&amp;$B135)</f>
        <v>3.6</v>
      </c>
      <c r="Q135" s="46" t="n">
        <f aca="false">SUMIFS('Additions (monthly)'!$E$2:$E$106,'Additions (monthly)'!$D$2:$D$106,Q$2,'Additions (monthly)'!$B$2:$B$106,"&lt;="&amp;$B135)</f>
        <v>8.5</v>
      </c>
      <c r="R135" s="46" t="n">
        <f aca="false">SUMIFS('Additions (monthly)'!$E$2:$E$106,'Additions (monthly)'!$D$2:$D$106,R$2,'Additions (monthly)'!$B$2:$B$106,"&lt;="&amp;$B135)</f>
        <v>8.9</v>
      </c>
      <c r="S135" s="46" t="n">
        <f aca="false">SUMIFS('Additions (monthly)'!$E$2:$E$106,'Additions (monthly)'!$D$2:$D$106,S$2,'Additions (monthly)'!$B$2:$B$106,"&lt;="&amp;$B135)</f>
        <v>7.2</v>
      </c>
      <c r="T135" s="46" t="n">
        <f aca="false">SUMIFS('Additions (monthly)'!$E$2:$E$106,'Additions (monthly)'!$D$2:$D$106,T$2,'Additions (monthly)'!$B$2:$B$106,"&lt;="&amp;$B135)</f>
        <v>2.4</v>
      </c>
      <c r="U135" s="46" t="n">
        <f aca="false">SUMIFS('Additions (monthly)'!$E$2:$E$106,'Additions (monthly)'!$D$2:$D$106,U$2,'Additions (monthly)'!$B$2:$B$106,"&lt;="&amp;$B135)</f>
        <v>0</v>
      </c>
      <c r="V135" s="46" t="n">
        <f aca="false">SUMIFS('Additions (monthly)'!$E$2:$E$106,'Additions (monthly)'!$D$2:$D$106,V$2,'Additions (monthly)'!$B$2:$B$106,"&lt;="&amp;$B135)</f>
        <v>3.87</v>
      </c>
      <c r="W135" s="46" t="n">
        <f aca="false">SUMIFS('Additions (monthly)'!$E$2:$E$106,'Additions (monthly)'!$D$2:$D$106,W$2,'Additions (monthly)'!$B$2:$B$106,"&lt;="&amp;$B135)</f>
        <v>0</v>
      </c>
      <c r="X135" s="46" t="n">
        <f aca="false">SUMIFS('Additions (monthly)'!$E$2:$E$106,'Additions (monthly)'!$D$2:$D$106,X$2,'Additions (monthly)'!$B$2:$B$106,"&lt;="&amp;$B135)</f>
        <v>0</v>
      </c>
      <c r="Y135" s="46" t="n">
        <f aca="false">SUMIFS('Additions (monthly)'!$E$2:$E$106,'Additions (monthly)'!$D$2:$D$106,Y$2,'Additions (monthly)'!$B$2:$B$106,"&lt;="&amp;$B135)</f>
        <v>5</v>
      </c>
      <c r="Z135" s="46" t="n">
        <f aca="false">SUMIFS('Additions (monthly)'!$E$2:$E$106,'Additions (monthly)'!$D$2:$D$106,Z$2,'Additions (monthly)'!$B$2:$B$106,"&lt;="&amp;$B135)</f>
        <v>7.2</v>
      </c>
      <c r="AA135" s="46" t="n">
        <f aca="false">SUMIFS('Additions (monthly)'!$E$2:$E$106,'Additions (monthly)'!$D$2:$D$106,AA$2,'Additions (monthly)'!$B$2:$B$106,"&lt;="&amp;$B135)</f>
        <v>3.7</v>
      </c>
      <c r="AB135" s="46" t="n">
        <f aca="false">SUMIFS('Additions (monthly)'!$E$2:$E$106,'Additions (monthly)'!$D$2:$D$106,AB$2,'Additions (monthly)'!$B$2:$B$106,"&lt;="&amp;$B135)</f>
        <v>16.95</v>
      </c>
      <c r="AC135" s="46" t="n">
        <f aca="false">SUMIFS('Additions (monthly)'!$E$2:$E$106,'Additions (monthly)'!$D$2:$D$106,AC$2,'Additions (monthly)'!$B$2:$B$106,"&lt;="&amp;$B135)</f>
        <v>2</v>
      </c>
      <c r="AD135" s="46" t="n">
        <f aca="false">SUMIFS('Additions (monthly)'!$E$2:$E$106,'Additions (monthly)'!$D$2:$D$106,AD$2,'Additions (monthly)'!$B$2:$B$106,"&lt;="&amp;$B135)</f>
        <v>7.6</v>
      </c>
      <c r="AE135" s="46" t="n">
        <f aca="false">SUMIFS('Additions (monthly)'!$E$2:$E$106,'Additions (monthly)'!$D$2:$D$106,AE$2,'Additions (monthly)'!$B$2:$B$106,"&lt;="&amp;$B135)</f>
        <v>29.3</v>
      </c>
      <c r="AF135" s="46" t="n">
        <f aca="false">SUMIFS('Additions (monthly)'!$E$2:$E$106,'Additions (monthly)'!$D$2:$D$106,AF$2,'Additions (monthly)'!$B$2:$B$106,"&lt;="&amp;$B135)</f>
        <v>1.2</v>
      </c>
      <c r="AG135" s="46" t="n">
        <f aca="false">SUMIFS('Additions (monthly)'!$E$2:$E$106,'Additions (monthly)'!$D$2:$D$106,AG$2,'Additions (monthly)'!$B$2:$B$106,"&lt;="&amp;$B135)</f>
        <v>0</v>
      </c>
      <c r="AH135" s="46" t="n">
        <f aca="false">SUMIFS('Additions (monthly)'!$E$2:$E$106,'Additions (monthly)'!$D$2:$D$106,AH$2,'Additions (monthly)'!$B$2:$B$106,"&lt;="&amp;$B135)</f>
        <v>0</v>
      </c>
      <c r="AI135" s="46" t="n">
        <f aca="false">SUMIFS('Additions (monthly)'!$E$2:$E$106,'Additions (monthly)'!$D$2:$D$106,AI$2,'Additions (monthly)'!$B$2:$B$106,"&lt;="&amp;$B135)</f>
        <v>0</v>
      </c>
      <c r="AJ135" s="46" t="n">
        <f aca="false">SUMIFS('Additions (monthly)'!$E$2:$E$106,'Additions (monthly)'!$D$2:$D$106,AJ$2,'Additions (monthly)'!$B$2:$B$106,"&lt;="&amp;$B135)</f>
        <v>0</v>
      </c>
      <c r="AK135" s="46" t="n">
        <f aca="false">SUMIFS('Additions (monthly)'!$E$2:$E$106,'Additions (monthly)'!$D$2:$D$106,AK$2,'Additions (monthly)'!$B$2:$B$106,"&lt;="&amp;$B135)</f>
        <v>0</v>
      </c>
      <c r="AL135" s="46" t="n">
        <f aca="false">SUMIFS('Additions (monthly)'!$E$2:$E$106,'Additions (monthly)'!$D$2:$D$106,AL$2,'Additions (monthly)'!$B$2:$B$106,"&lt;="&amp;$B135)</f>
        <v>22.2</v>
      </c>
      <c r="AM135" s="46" t="n">
        <f aca="false">SUMIFS('Additions (monthly)'!$E$2:$E$106,'Additions (monthly)'!$D$2:$D$106,AM$2,'Additions (monthly)'!$B$2:$B$106,"&lt;="&amp;$B135)</f>
        <v>0.3</v>
      </c>
      <c r="AN135" s="46" t="n">
        <f aca="false">SUMIFS('Additions (monthly)'!$E$2:$E$106,'Additions (monthly)'!$D$2:$D$106,AN$2,'Additions (monthly)'!$B$2:$B$106,"&lt;="&amp;$B135)</f>
        <v>4.3</v>
      </c>
      <c r="AO135" s="46" t="n">
        <f aca="false">SUMIFS('Additions (monthly)'!$E$2:$E$106,'Additions (monthly)'!$D$2:$D$106,AO$2,'Additions (monthly)'!$B$2:$B$106,"&lt;="&amp;$B135)</f>
        <v>10.4</v>
      </c>
      <c r="AP135" s="46" t="n">
        <f aca="false">SUMIFS('Additions (monthly)'!$E$2:$E$106,'Additions (monthly)'!$D$2:$D$106,AP$2,'Additions (monthly)'!$B$2:$B$106,"&lt;="&amp;$B135)</f>
        <v>6.9</v>
      </c>
      <c r="AQ135" s="46" t="n">
        <f aca="false">SUMIFS('Additions (monthly)'!$E$2:$E$106,'Additions (monthly)'!$D$2:$D$106,AQ$2,'Additions (monthly)'!$B$2:$B$106,"&lt;="&amp;$B135)</f>
        <v>4.45</v>
      </c>
      <c r="AR135" s="46" t="n">
        <f aca="false">SUMIFS('Additions (monthly)'!$E$2:$E$106,'Additions (monthly)'!$D$2:$D$106,AR$2,'Additions (monthly)'!$B$2:$B$106,"&lt;="&amp;$B135)</f>
        <v>77.1</v>
      </c>
      <c r="AS135" s="46" t="n">
        <f aca="false">SUMIFS('Additions (monthly)'!$E$2:$E$106,'Additions (monthly)'!$D$2:$D$106,AS$2,'Additions (monthly)'!$B$2:$B$106,"&lt;="&amp;$B135)</f>
        <v>0</v>
      </c>
      <c r="AT135" s="46" t="n">
        <f aca="false">SUMIFS('Additions (monthly)'!$E$2:$E$106,'Additions (monthly)'!$D$2:$D$106,AT$2,'Additions (monthly)'!$B$2:$B$106,"&lt;="&amp;$B135)</f>
        <v>0</v>
      </c>
      <c r="AU135" s="46" t="n">
        <f aca="false">SUMIFS('Additions (monthly)'!$E$2:$E$106,'Additions (monthly)'!$D$2:$D$106,AU$2,'Additions (monthly)'!$B$2:$B$106,"&lt;="&amp;$B135)</f>
        <v>9.6</v>
      </c>
      <c r="AV135" s="46" t="n">
        <f aca="false">SUMIFS('Additions (monthly)'!$E$2:$E$106,'Additions (monthly)'!$D$2:$D$106,AV$2,'Additions (monthly)'!$B$2:$B$106,"&lt;="&amp;$B135)</f>
        <v>0.66</v>
      </c>
      <c r="AW135" s="46" t="n">
        <f aca="false">SUMIFS('Additions (monthly)'!$E$2:$E$106,'Additions (monthly)'!$D$2:$D$106,AW$2,'Additions (monthly)'!$B$2:$B$106,"&lt;="&amp;$B135)</f>
        <v>17.4</v>
      </c>
      <c r="AX135" s="46" t="n">
        <f aca="false">SUMIFS('Additions (monthly)'!$E$2:$E$106,'Additions (monthly)'!$D$2:$D$106,AX$2,'Additions (monthly)'!$B$2:$B$106,"&lt;="&amp;$B135)</f>
        <v>11.8</v>
      </c>
      <c r="AY135" s="46" t="n">
        <f aca="false">SUMIFS('Additions (monthly)'!$E$2:$E$106,'Additions (monthly)'!$D$2:$D$106,AY$2,'Additions (monthly)'!$B$2:$B$106,"&lt;="&amp;$B135)</f>
        <v>5.3</v>
      </c>
      <c r="AZ135" s="46" t="n">
        <f aca="false">SUMIFS('Additions (monthly)'!$E$2:$E$106,'Additions (monthly)'!$D$2:$D$106,AZ$2,'Additions (monthly)'!$B$2:$B$106,"&lt;="&amp;$B135)</f>
        <v>0</v>
      </c>
      <c r="BA135" s="46" t="n">
        <f aca="false">SUMIFS('Additions (monthly)'!$E$2:$E$106,'Additions (monthly)'!$D$2:$D$106,BA$2,'Additions (monthly)'!$B$2:$B$106,"&lt;="&amp;$B135)</f>
        <v>13.5</v>
      </c>
      <c r="BB135" s="46" t="n">
        <f aca="false">SUMIFS('Additions (monthly)'!$E$2:$E$106,'Additions (monthly)'!$D$2:$D$106,BB$2,'Additions (monthly)'!$B$2:$B$106,"&lt;="&amp;$B135)</f>
        <v>15</v>
      </c>
      <c r="BC135" s="46" t="n">
        <f aca="false">SUMIFS('Additions (monthly)'!$E$2:$E$106,'Additions (monthly)'!$D$2:$D$106,BC$2,'Additions (monthly)'!$B$2:$B$106,"&lt;="&amp;$B135)</f>
        <v>5.25</v>
      </c>
      <c r="BD135" s="46" t="n">
        <f aca="false">SUMIFS('Additions (monthly)'!$E$2:$E$106,'Additions (monthly)'!$D$2:$D$106,BD$2,'Additions (monthly)'!$B$2:$B$106,"&lt;="&amp;$B135)</f>
        <v>2.5</v>
      </c>
      <c r="BE135" s="46" t="n">
        <f aca="false">SUMIFS('Additions (monthly)'!$E$2:$E$106,'Additions (monthly)'!$D$2:$D$106,BE$2,'Additions (monthly)'!$B$2:$B$106,"&lt;="&amp;$B135)</f>
        <v>15.3</v>
      </c>
      <c r="BF135" s="46" t="n">
        <f aca="false">SUMIFS('Additions (monthly)'!$E$2:$E$106,'Additions (monthly)'!$D$2:$D$106,BF$2,'Additions (monthly)'!$B$2:$B$106,"&lt;="&amp;$B135)</f>
        <v>0</v>
      </c>
      <c r="BG135" s="46" t="n">
        <f aca="false">SUMIFS('Additions (monthly)'!$E$2:$E$106,'Additions (monthly)'!$D$2:$D$106,BG$2,'Additions (monthly)'!$B$2:$B$106,"&lt;="&amp;$B135)</f>
        <v>0</v>
      </c>
      <c r="BH135" s="46" t="n">
        <f aca="false">SUMIFS('Additions (monthly)'!$E$2:$E$106,'Additions (monthly)'!$D$2:$D$106,BH$2,'Additions (monthly)'!$B$2:$B$106,"&lt;="&amp;$B135)</f>
        <v>25</v>
      </c>
      <c r="BI135" s="46" t="n">
        <f aca="false">SUMIFS('Additions (monthly)'!$E$2:$E$106,'Additions (monthly)'!$D$2:$D$106,BI$2,'Additions (monthly)'!$B$2:$B$106,"&lt;="&amp;$B135)</f>
        <v>6.7</v>
      </c>
    </row>
    <row r="136" customFormat="false" ht="15" hidden="false" customHeight="false" outlineLevel="0" collapsed="false">
      <c r="A136" s="44" t="n">
        <v>44228</v>
      </c>
      <c r="B136" s="45" t="n">
        <v>202102</v>
      </c>
      <c r="C136" s="42" t="n">
        <f aca="false">SUMIFS('Additions (monthly)'!$E$2:$E$106,'Additions (monthly)'!$B$2:$B$106,"&lt;="&amp;$B136)</f>
        <v>457.38</v>
      </c>
      <c r="D136" s="46" t="n">
        <f aca="false">SUMIFS('Additions (monthly)'!$E$2:$E$106,'Additions (monthly)'!$D$2:$D$106,D$2,'Additions (monthly)'!$B$2:$B$106,"&lt;="&amp;$B136)</f>
        <v>7.9</v>
      </c>
      <c r="E136" s="46" t="n">
        <f aca="false">SUMIFS('Additions (monthly)'!$E$2:$E$106,'Additions (monthly)'!$D$2:$D$106,E$2,'Additions (monthly)'!$B$2:$B$106,"&lt;="&amp;$B136)</f>
        <v>8.4</v>
      </c>
      <c r="F136" s="46" t="n">
        <f aca="false">SUMIFS('Additions (monthly)'!$E$2:$E$106,'Additions (monthly)'!$D$2:$D$106,F$2,'Additions (monthly)'!$B$2:$B$106,"&lt;="&amp;$B136)</f>
        <v>4.7</v>
      </c>
      <c r="G136" s="46" t="n">
        <f aca="false">SUMIFS('Additions (monthly)'!$E$2:$E$106,'Additions (monthly)'!$D$2:$D$106,G$2,'Additions (monthly)'!$B$2:$B$106,"&lt;="&amp;$B136)</f>
        <v>4.5</v>
      </c>
      <c r="H136" s="46" t="n">
        <f aca="false">SUMIFS('Additions (monthly)'!$E$2:$E$106,'Additions (monthly)'!$D$2:$D$106,H$2,'Additions (monthly)'!$B$2:$B$106,"&lt;="&amp;$B136)</f>
        <v>5.2</v>
      </c>
      <c r="I136" s="46" t="n">
        <f aca="false">SUMIFS('Additions (monthly)'!$E$2:$E$106,'Additions (monthly)'!$D$2:$D$106,I$2,'Additions (monthly)'!$B$2:$B$106,"&lt;="&amp;$B136)</f>
        <v>9</v>
      </c>
      <c r="J136" s="46" t="n">
        <f aca="false">SUMIFS('Additions (monthly)'!$E$2:$E$106,'Additions (monthly)'!$D$2:$D$106,J$2,'Additions (monthly)'!$B$2:$B$106,"&lt;="&amp;$B136)</f>
        <v>3.7</v>
      </c>
      <c r="K136" s="46" t="n">
        <f aca="false">SUMIFS('Additions (monthly)'!$E$2:$E$106,'Additions (monthly)'!$D$2:$D$106,K$2,'Additions (monthly)'!$B$2:$B$106,"&lt;="&amp;$B136)</f>
        <v>7.8</v>
      </c>
      <c r="L136" s="46" t="n">
        <f aca="false">SUMIFS('Additions (monthly)'!$E$2:$E$106,'Additions (monthly)'!$D$2:$D$106,L$2,'Additions (monthly)'!$B$2:$B$106,"&lt;="&amp;$B136)</f>
        <v>15.6</v>
      </c>
      <c r="M136" s="46" t="n">
        <f aca="false">SUMIFS('Additions (monthly)'!$E$2:$E$106,'Additions (monthly)'!$D$2:$D$106,M$2,'Additions (monthly)'!$B$2:$B$106,"&lt;="&amp;$B136)</f>
        <v>8.9</v>
      </c>
      <c r="N136" s="46" t="n">
        <f aca="false">SUMIFS('Additions (monthly)'!$E$2:$E$106,'Additions (monthly)'!$D$2:$D$106,N$2,'Additions (monthly)'!$B$2:$B$106,"&lt;="&amp;$B136)</f>
        <v>14.2</v>
      </c>
      <c r="O136" s="46" t="n">
        <f aca="false">SUMIFS('Additions (monthly)'!$E$2:$E$106,'Additions (monthly)'!$D$2:$D$106,O$2,'Additions (monthly)'!$B$2:$B$106,"&lt;="&amp;$B136)</f>
        <v>4.9</v>
      </c>
      <c r="P136" s="46" t="n">
        <f aca="false">SUMIFS('Additions (monthly)'!$E$2:$E$106,'Additions (monthly)'!$D$2:$D$106,P$2,'Additions (monthly)'!$B$2:$B$106,"&lt;="&amp;$B136)</f>
        <v>3.6</v>
      </c>
      <c r="Q136" s="46" t="n">
        <f aca="false">SUMIFS('Additions (monthly)'!$E$2:$E$106,'Additions (monthly)'!$D$2:$D$106,Q$2,'Additions (monthly)'!$B$2:$B$106,"&lt;="&amp;$B136)</f>
        <v>8.5</v>
      </c>
      <c r="R136" s="46" t="n">
        <f aca="false">SUMIFS('Additions (monthly)'!$E$2:$E$106,'Additions (monthly)'!$D$2:$D$106,R$2,'Additions (monthly)'!$B$2:$B$106,"&lt;="&amp;$B136)</f>
        <v>8.9</v>
      </c>
      <c r="S136" s="46" t="n">
        <f aca="false">SUMIFS('Additions (monthly)'!$E$2:$E$106,'Additions (monthly)'!$D$2:$D$106,S$2,'Additions (monthly)'!$B$2:$B$106,"&lt;="&amp;$B136)</f>
        <v>7.2</v>
      </c>
      <c r="T136" s="46" t="n">
        <f aca="false">SUMIFS('Additions (monthly)'!$E$2:$E$106,'Additions (monthly)'!$D$2:$D$106,T$2,'Additions (monthly)'!$B$2:$B$106,"&lt;="&amp;$B136)</f>
        <v>2.4</v>
      </c>
      <c r="U136" s="46" t="n">
        <f aca="false">SUMIFS('Additions (monthly)'!$E$2:$E$106,'Additions (monthly)'!$D$2:$D$106,U$2,'Additions (monthly)'!$B$2:$B$106,"&lt;="&amp;$B136)</f>
        <v>0</v>
      </c>
      <c r="V136" s="46" t="n">
        <f aca="false">SUMIFS('Additions (monthly)'!$E$2:$E$106,'Additions (monthly)'!$D$2:$D$106,V$2,'Additions (monthly)'!$B$2:$B$106,"&lt;="&amp;$B136)</f>
        <v>3.87</v>
      </c>
      <c r="W136" s="46" t="n">
        <f aca="false">SUMIFS('Additions (monthly)'!$E$2:$E$106,'Additions (monthly)'!$D$2:$D$106,W$2,'Additions (monthly)'!$B$2:$B$106,"&lt;="&amp;$B136)</f>
        <v>0</v>
      </c>
      <c r="X136" s="46" t="n">
        <f aca="false">SUMIFS('Additions (monthly)'!$E$2:$E$106,'Additions (monthly)'!$D$2:$D$106,X$2,'Additions (monthly)'!$B$2:$B$106,"&lt;="&amp;$B136)</f>
        <v>0</v>
      </c>
      <c r="Y136" s="46" t="n">
        <f aca="false">SUMIFS('Additions (monthly)'!$E$2:$E$106,'Additions (monthly)'!$D$2:$D$106,Y$2,'Additions (monthly)'!$B$2:$B$106,"&lt;="&amp;$B136)</f>
        <v>5</v>
      </c>
      <c r="Z136" s="46" t="n">
        <f aca="false">SUMIFS('Additions (monthly)'!$E$2:$E$106,'Additions (monthly)'!$D$2:$D$106,Z$2,'Additions (monthly)'!$B$2:$B$106,"&lt;="&amp;$B136)</f>
        <v>7.2</v>
      </c>
      <c r="AA136" s="46" t="n">
        <f aca="false">SUMIFS('Additions (monthly)'!$E$2:$E$106,'Additions (monthly)'!$D$2:$D$106,AA$2,'Additions (monthly)'!$B$2:$B$106,"&lt;="&amp;$B136)</f>
        <v>3.7</v>
      </c>
      <c r="AB136" s="46" t="n">
        <f aca="false">SUMIFS('Additions (monthly)'!$E$2:$E$106,'Additions (monthly)'!$D$2:$D$106,AB$2,'Additions (monthly)'!$B$2:$B$106,"&lt;="&amp;$B136)</f>
        <v>16.95</v>
      </c>
      <c r="AC136" s="46" t="n">
        <f aca="false">SUMIFS('Additions (monthly)'!$E$2:$E$106,'Additions (monthly)'!$D$2:$D$106,AC$2,'Additions (monthly)'!$B$2:$B$106,"&lt;="&amp;$B136)</f>
        <v>2</v>
      </c>
      <c r="AD136" s="46" t="n">
        <f aca="false">SUMIFS('Additions (monthly)'!$E$2:$E$106,'Additions (monthly)'!$D$2:$D$106,AD$2,'Additions (monthly)'!$B$2:$B$106,"&lt;="&amp;$B136)</f>
        <v>7.6</v>
      </c>
      <c r="AE136" s="46" t="n">
        <f aca="false">SUMIFS('Additions (monthly)'!$E$2:$E$106,'Additions (monthly)'!$D$2:$D$106,AE$2,'Additions (monthly)'!$B$2:$B$106,"&lt;="&amp;$B136)</f>
        <v>29.3</v>
      </c>
      <c r="AF136" s="46" t="n">
        <f aca="false">SUMIFS('Additions (monthly)'!$E$2:$E$106,'Additions (monthly)'!$D$2:$D$106,AF$2,'Additions (monthly)'!$B$2:$B$106,"&lt;="&amp;$B136)</f>
        <v>1.2</v>
      </c>
      <c r="AG136" s="46" t="n">
        <f aca="false">SUMIFS('Additions (monthly)'!$E$2:$E$106,'Additions (monthly)'!$D$2:$D$106,AG$2,'Additions (monthly)'!$B$2:$B$106,"&lt;="&amp;$B136)</f>
        <v>1.5</v>
      </c>
      <c r="AH136" s="46" t="n">
        <f aca="false">SUMIFS('Additions (monthly)'!$E$2:$E$106,'Additions (monthly)'!$D$2:$D$106,AH$2,'Additions (monthly)'!$B$2:$B$106,"&lt;="&amp;$B136)</f>
        <v>0</v>
      </c>
      <c r="AI136" s="46" t="n">
        <f aca="false">SUMIFS('Additions (monthly)'!$E$2:$E$106,'Additions (monthly)'!$D$2:$D$106,AI$2,'Additions (monthly)'!$B$2:$B$106,"&lt;="&amp;$B136)</f>
        <v>0</v>
      </c>
      <c r="AJ136" s="46" t="n">
        <f aca="false">SUMIFS('Additions (monthly)'!$E$2:$E$106,'Additions (monthly)'!$D$2:$D$106,AJ$2,'Additions (monthly)'!$B$2:$B$106,"&lt;="&amp;$B136)</f>
        <v>0</v>
      </c>
      <c r="AK136" s="46" t="n">
        <f aca="false">SUMIFS('Additions (monthly)'!$E$2:$E$106,'Additions (monthly)'!$D$2:$D$106,AK$2,'Additions (monthly)'!$B$2:$B$106,"&lt;="&amp;$B136)</f>
        <v>0</v>
      </c>
      <c r="AL136" s="46" t="n">
        <f aca="false">SUMIFS('Additions (monthly)'!$E$2:$E$106,'Additions (monthly)'!$D$2:$D$106,AL$2,'Additions (monthly)'!$B$2:$B$106,"&lt;="&amp;$B136)</f>
        <v>22.2</v>
      </c>
      <c r="AM136" s="46" t="n">
        <f aca="false">SUMIFS('Additions (monthly)'!$E$2:$E$106,'Additions (monthly)'!$D$2:$D$106,AM$2,'Additions (monthly)'!$B$2:$B$106,"&lt;="&amp;$B136)</f>
        <v>0.3</v>
      </c>
      <c r="AN136" s="46" t="n">
        <f aca="false">SUMIFS('Additions (monthly)'!$E$2:$E$106,'Additions (monthly)'!$D$2:$D$106,AN$2,'Additions (monthly)'!$B$2:$B$106,"&lt;="&amp;$B136)</f>
        <v>4.3</v>
      </c>
      <c r="AO136" s="46" t="n">
        <f aca="false">SUMIFS('Additions (monthly)'!$E$2:$E$106,'Additions (monthly)'!$D$2:$D$106,AO$2,'Additions (monthly)'!$B$2:$B$106,"&lt;="&amp;$B136)</f>
        <v>10.4</v>
      </c>
      <c r="AP136" s="46" t="n">
        <f aca="false">SUMIFS('Additions (monthly)'!$E$2:$E$106,'Additions (monthly)'!$D$2:$D$106,AP$2,'Additions (monthly)'!$B$2:$B$106,"&lt;="&amp;$B136)</f>
        <v>6.9</v>
      </c>
      <c r="AQ136" s="46" t="n">
        <f aca="false">SUMIFS('Additions (monthly)'!$E$2:$E$106,'Additions (monthly)'!$D$2:$D$106,AQ$2,'Additions (monthly)'!$B$2:$B$106,"&lt;="&amp;$B136)</f>
        <v>4.45</v>
      </c>
      <c r="AR136" s="46" t="n">
        <f aca="false">SUMIFS('Additions (monthly)'!$E$2:$E$106,'Additions (monthly)'!$D$2:$D$106,AR$2,'Additions (monthly)'!$B$2:$B$106,"&lt;="&amp;$B136)</f>
        <v>77.1</v>
      </c>
      <c r="AS136" s="46" t="n">
        <f aca="false">SUMIFS('Additions (monthly)'!$E$2:$E$106,'Additions (monthly)'!$D$2:$D$106,AS$2,'Additions (monthly)'!$B$2:$B$106,"&lt;="&amp;$B136)</f>
        <v>0</v>
      </c>
      <c r="AT136" s="46" t="n">
        <f aca="false">SUMIFS('Additions (monthly)'!$E$2:$E$106,'Additions (monthly)'!$D$2:$D$106,AT$2,'Additions (monthly)'!$B$2:$B$106,"&lt;="&amp;$B136)</f>
        <v>0</v>
      </c>
      <c r="AU136" s="46" t="n">
        <f aca="false">SUMIFS('Additions (monthly)'!$E$2:$E$106,'Additions (monthly)'!$D$2:$D$106,AU$2,'Additions (monthly)'!$B$2:$B$106,"&lt;="&amp;$B136)</f>
        <v>9.6</v>
      </c>
      <c r="AV136" s="46" t="n">
        <f aca="false">SUMIFS('Additions (monthly)'!$E$2:$E$106,'Additions (monthly)'!$D$2:$D$106,AV$2,'Additions (monthly)'!$B$2:$B$106,"&lt;="&amp;$B136)</f>
        <v>0.66</v>
      </c>
      <c r="AW136" s="46" t="n">
        <f aca="false">SUMIFS('Additions (monthly)'!$E$2:$E$106,'Additions (monthly)'!$D$2:$D$106,AW$2,'Additions (monthly)'!$B$2:$B$106,"&lt;="&amp;$B136)</f>
        <v>17.4</v>
      </c>
      <c r="AX136" s="46" t="n">
        <f aca="false">SUMIFS('Additions (monthly)'!$E$2:$E$106,'Additions (monthly)'!$D$2:$D$106,AX$2,'Additions (monthly)'!$B$2:$B$106,"&lt;="&amp;$B136)</f>
        <v>11.8</v>
      </c>
      <c r="AY136" s="46" t="n">
        <f aca="false">SUMIFS('Additions (monthly)'!$E$2:$E$106,'Additions (monthly)'!$D$2:$D$106,AY$2,'Additions (monthly)'!$B$2:$B$106,"&lt;="&amp;$B136)</f>
        <v>5.3</v>
      </c>
      <c r="AZ136" s="46" t="n">
        <f aca="false">SUMIFS('Additions (monthly)'!$E$2:$E$106,'Additions (monthly)'!$D$2:$D$106,AZ$2,'Additions (monthly)'!$B$2:$B$106,"&lt;="&amp;$B136)</f>
        <v>0</v>
      </c>
      <c r="BA136" s="46" t="n">
        <f aca="false">SUMIFS('Additions (monthly)'!$E$2:$E$106,'Additions (monthly)'!$D$2:$D$106,BA$2,'Additions (monthly)'!$B$2:$B$106,"&lt;="&amp;$B136)</f>
        <v>13.5</v>
      </c>
      <c r="BB136" s="46" t="n">
        <f aca="false">SUMIFS('Additions (monthly)'!$E$2:$E$106,'Additions (monthly)'!$D$2:$D$106,BB$2,'Additions (monthly)'!$B$2:$B$106,"&lt;="&amp;$B136)</f>
        <v>15</v>
      </c>
      <c r="BC136" s="46" t="n">
        <f aca="false">SUMIFS('Additions (monthly)'!$E$2:$E$106,'Additions (monthly)'!$D$2:$D$106,BC$2,'Additions (monthly)'!$B$2:$B$106,"&lt;="&amp;$B136)</f>
        <v>5.25</v>
      </c>
      <c r="BD136" s="46" t="n">
        <f aca="false">SUMIFS('Additions (monthly)'!$E$2:$E$106,'Additions (monthly)'!$D$2:$D$106,BD$2,'Additions (monthly)'!$B$2:$B$106,"&lt;="&amp;$B136)</f>
        <v>2.5</v>
      </c>
      <c r="BE136" s="46" t="n">
        <f aca="false">SUMIFS('Additions (monthly)'!$E$2:$E$106,'Additions (monthly)'!$D$2:$D$106,BE$2,'Additions (monthly)'!$B$2:$B$106,"&lt;="&amp;$B136)</f>
        <v>15.3</v>
      </c>
      <c r="BF136" s="46" t="n">
        <f aca="false">SUMIFS('Additions (monthly)'!$E$2:$E$106,'Additions (monthly)'!$D$2:$D$106,BF$2,'Additions (monthly)'!$B$2:$B$106,"&lt;="&amp;$B136)</f>
        <v>0</v>
      </c>
      <c r="BG136" s="46" t="n">
        <f aca="false">SUMIFS('Additions (monthly)'!$E$2:$E$106,'Additions (monthly)'!$D$2:$D$106,BG$2,'Additions (monthly)'!$B$2:$B$106,"&lt;="&amp;$B136)</f>
        <v>0</v>
      </c>
      <c r="BH136" s="46" t="n">
        <f aca="false">SUMIFS('Additions (monthly)'!$E$2:$E$106,'Additions (monthly)'!$D$2:$D$106,BH$2,'Additions (monthly)'!$B$2:$B$106,"&lt;="&amp;$B136)</f>
        <v>25</v>
      </c>
      <c r="BI136" s="46" t="n">
        <f aca="false">SUMIFS('Additions (monthly)'!$E$2:$E$106,'Additions (monthly)'!$D$2:$D$106,BI$2,'Additions (monthly)'!$B$2:$B$106,"&lt;="&amp;$B136)</f>
        <v>6.7</v>
      </c>
    </row>
    <row r="137" customFormat="false" ht="15" hidden="false" customHeight="false" outlineLevel="0" collapsed="false">
      <c r="A137" s="44" t="n">
        <v>44256</v>
      </c>
      <c r="B137" s="45" t="n">
        <v>202103</v>
      </c>
      <c r="C137" s="42" t="n">
        <f aca="false">SUMIFS('Additions (monthly)'!$E$2:$E$106,'Additions (monthly)'!$B$2:$B$106,"&lt;="&amp;$B137)</f>
        <v>457.38</v>
      </c>
      <c r="D137" s="46" t="n">
        <f aca="false">SUMIFS('Additions (monthly)'!$E$2:$E$106,'Additions (monthly)'!$D$2:$D$106,D$2,'Additions (monthly)'!$B$2:$B$106,"&lt;="&amp;$B137)</f>
        <v>7.9</v>
      </c>
      <c r="E137" s="46" t="n">
        <f aca="false">SUMIFS('Additions (monthly)'!$E$2:$E$106,'Additions (monthly)'!$D$2:$D$106,E$2,'Additions (monthly)'!$B$2:$B$106,"&lt;="&amp;$B137)</f>
        <v>8.4</v>
      </c>
      <c r="F137" s="46" t="n">
        <f aca="false">SUMIFS('Additions (monthly)'!$E$2:$E$106,'Additions (monthly)'!$D$2:$D$106,F$2,'Additions (monthly)'!$B$2:$B$106,"&lt;="&amp;$B137)</f>
        <v>4.7</v>
      </c>
      <c r="G137" s="46" t="n">
        <f aca="false">SUMIFS('Additions (monthly)'!$E$2:$E$106,'Additions (monthly)'!$D$2:$D$106,G$2,'Additions (monthly)'!$B$2:$B$106,"&lt;="&amp;$B137)</f>
        <v>4.5</v>
      </c>
      <c r="H137" s="46" t="n">
        <f aca="false">SUMIFS('Additions (monthly)'!$E$2:$E$106,'Additions (monthly)'!$D$2:$D$106,H$2,'Additions (monthly)'!$B$2:$B$106,"&lt;="&amp;$B137)</f>
        <v>5.2</v>
      </c>
      <c r="I137" s="46" t="n">
        <f aca="false">SUMIFS('Additions (monthly)'!$E$2:$E$106,'Additions (monthly)'!$D$2:$D$106,I$2,'Additions (monthly)'!$B$2:$B$106,"&lt;="&amp;$B137)</f>
        <v>9</v>
      </c>
      <c r="J137" s="46" t="n">
        <f aca="false">SUMIFS('Additions (monthly)'!$E$2:$E$106,'Additions (monthly)'!$D$2:$D$106,J$2,'Additions (monthly)'!$B$2:$B$106,"&lt;="&amp;$B137)</f>
        <v>3.7</v>
      </c>
      <c r="K137" s="46" t="n">
        <f aca="false">SUMIFS('Additions (monthly)'!$E$2:$E$106,'Additions (monthly)'!$D$2:$D$106,K$2,'Additions (monthly)'!$B$2:$B$106,"&lt;="&amp;$B137)</f>
        <v>7.8</v>
      </c>
      <c r="L137" s="46" t="n">
        <f aca="false">SUMIFS('Additions (monthly)'!$E$2:$E$106,'Additions (monthly)'!$D$2:$D$106,L$2,'Additions (monthly)'!$B$2:$B$106,"&lt;="&amp;$B137)</f>
        <v>15.6</v>
      </c>
      <c r="M137" s="46" t="n">
        <f aca="false">SUMIFS('Additions (monthly)'!$E$2:$E$106,'Additions (monthly)'!$D$2:$D$106,M$2,'Additions (monthly)'!$B$2:$B$106,"&lt;="&amp;$B137)</f>
        <v>8.9</v>
      </c>
      <c r="N137" s="46" t="n">
        <f aca="false">SUMIFS('Additions (monthly)'!$E$2:$E$106,'Additions (monthly)'!$D$2:$D$106,N$2,'Additions (monthly)'!$B$2:$B$106,"&lt;="&amp;$B137)</f>
        <v>14.2</v>
      </c>
      <c r="O137" s="46" t="n">
        <f aca="false">SUMIFS('Additions (monthly)'!$E$2:$E$106,'Additions (monthly)'!$D$2:$D$106,O$2,'Additions (monthly)'!$B$2:$B$106,"&lt;="&amp;$B137)</f>
        <v>4.9</v>
      </c>
      <c r="P137" s="46" t="n">
        <f aca="false">SUMIFS('Additions (monthly)'!$E$2:$E$106,'Additions (monthly)'!$D$2:$D$106,P$2,'Additions (monthly)'!$B$2:$B$106,"&lt;="&amp;$B137)</f>
        <v>3.6</v>
      </c>
      <c r="Q137" s="46" t="n">
        <f aca="false">SUMIFS('Additions (monthly)'!$E$2:$E$106,'Additions (monthly)'!$D$2:$D$106,Q$2,'Additions (monthly)'!$B$2:$B$106,"&lt;="&amp;$B137)</f>
        <v>8.5</v>
      </c>
      <c r="R137" s="46" t="n">
        <f aca="false">SUMIFS('Additions (monthly)'!$E$2:$E$106,'Additions (monthly)'!$D$2:$D$106,R$2,'Additions (monthly)'!$B$2:$B$106,"&lt;="&amp;$B137)</f>
        <v>8.9</v>
      </c>
      <c r="S137" s="46" t="n">
        <f aca="false">SUMIFS('Additions (monthly)'!$E$2:$E$106,'Additions (monthly)'!$D$2:$D$106,S$2,'Additions (monthly)'!$B$2:$B$106,"&lt;="&amp;$B137)</f>
        <v>7.2</v>
      </c>
      <c r="T137" s="46" t="n">
        <f aca="false">SUMIFS('Additions (monthly)'!$E$2:$E$106,'Additions (monthly)'!$D$2:$D$106,T$2,'Additions (monthly)'!$B$2:$B$106,"&lt;="&amp;$B137)</f>
        <v>2.4</v>
      </c>
      <c r="U137" s="46" t="n">
        <f aca="false">SUMIFS('Additions (monthly)'!$E$2:$E$106,'Additions (monthly)'!$D$2:$D$106,U$2,'Additions (monthly)'!$B$2:$B$106,"&lt;="&amp;$B137)</f>
        <v>0</v>
      </c>
      <c r="V137" s="46" t="n">
        <f aca="false">SUMIFS('Additions (monthly)'!$E$2:$E$106,'Additions (monthly)'!$D$2:$D$106,V$2,'Additions (monthly)'!$B$2:$B$106,"&lt;="&amp;$B137)</f>
        <v>3.87</v>
      </c>
      <c r="W137" s="46" t="n">
        <f aca="false">SUMIFS('Additions (monthly)'!$E$2:$E$106,'Additions (monthly)'!$D$2:$D$106,W$2,'Additions (monthly)'!$B$2:$B$106,"&lt;="&amp;$B137)</f>
        <v>0</v>
      </c>
      <c r="X137" s="46" t="n">
        <f aca="false">SUMIFS('Additions (monthly)'!$E$2:$E$106,'Additions (monthly)'!$D$2:$D$106,X$2,'Additions (monthly)'!$B$2:$B$106,"&lt;="&amp;$B137)</f>
        <v>0</v>
      </c>
      <c r="Y137" s="46" t="n">
        <f aca="false">SUMIFS('Additions (monthly)'!$E$2:$E$106,'Additions (monthly)'!$D$2:$D$106,Y$2,'Additions (monthly)'!$B$2:$B$106,"&lt;="&amp;$B137)</f>
        <v>5</v>
      </c>
      <c r="Z137" s="46" t="n">
        <f aca="false">SUMIFS('Additions (monthly)'!$E$2:$E$106,'Additions (monthly)'!$D$2:$D$106,Z$2,'Additions (monthly)'!$B$2:$B$106,"&lt;="&amp;$B137)</f>
        <v>7.2</v>
      </c>
      <c r="AA137" s="46" t="n">
        <f aca="false">SUMIFS('Additions (monthly)'!$E$2:$E$106,'Additions (monthly)'!$D$2:$D$106,AA$2,'Additions (monthly)'!$B$2:$B$106,"&lt;="&amp;$B137)</f>
        <v>3.7</v>
      </c>
      <c r="AB137" s="46" t="n">
        <f aca="false">SUMIFS('Additions (monthly)'!$E$2:$E$106,'Additions (monthly)'!$D$2:$D$106,AB$2,'Additions (monthly)'!$B$2:$B$106,"&lt;="&amp;$B137)</f>
        <v>16.95</v>
      </c>
      <c r="AC137" s="46" t="n">
        <f aca="false">SUMIFS('Additions (monthly)'!$E$2:$E$106,'Additions (monthly)'!$D$2:$D$106,AC$2,'Additions (monthly)'!$B$2:$B$106,"&lt;="&amp;$B137)</f>
        <v>2</v>
      </c>
      <c r="AD137" s="46" t="n">
        <f aca="false">SUMIFS('Additions (monthly)'!$E$2:$E$106,'Additions (monthly)'!$D$2:$D$106,AD$2,'Additions (monthly)'!$B$2:$B$106,"&lt;="&amp;$B137)</f>
        <v>7.6</v>
      </c>
      <c r="AE137" s="46" t="n">
        <f aca="false">SUMIFS('Additions (monthly)'!$E$2:$E$106,'Additions (monthly)'!$D$2:$D$106,AE$2,'Additions (monthly)'!$B$2:$B$106,"&lt;="&amp;$B137)</f>
        <v>29.3</v>
      </c>
      <c r="AF137" s="46" t="n">
        <f aca="false">SUMIFS('Additions (monthly)'!$E$2:$E$106,'Additions (monthly)'!$D$2:$D$106,AF$2,'Additions (monthly)'!$B$2:$B$106,"&lt;="&amp;$B137)</f>
        <v>1.2</v>
      </c>
      <c r="AG137" s="46" t="n">
        <f aca="false">SUMIFS('Additions (monthly)'!$E$2:$E$106,'Additions (monthly)'!$D$2:$D$106,AG$2,'Additions (monthly)'!$B$2:$B$106,"&lt;="&amp;$B137)</f>
        <v>1.5</v>
      </c>
      <c r="AH137" s="46" t="n">
        <f aca="false">SUMIFS('Additions (monthly)'!$E$2:$E$106,'Additions (monthly)'!$D$2:$D$106,AH$2,'Additions (monthly)'!$B$2:$B$106,"&lt;="&amp;$B137)</f>
        <v>0</v>
      </c>
      <c r="AI137" s="46" t="n">
        <f aca="false">SUMIFS('Additions (monthly)'!$E$2:$E$106,'Additions (monthly)'!$D$2:$D$106,AI$2,'Additions (monthly)'!$B$2:$B$106,"&lt;="&amp;$B137)</f>
        <v>0</v>
      </c>
      <c r="AJ137" s="46" t="n">
        <f aca="false">SUMIFS('Additions (monthly)'!$E$2:$E$106,'Additions (monthly)'!$D$2:$D$106,AJ$2,'Additions (monthly)'!$B$2:$B$106,"&lt;="&amp;$B137)</f>
        <v>0</v>
      </c>
      <c r="AK137" s="46" t="n">
        <f aca="false">SUMIFS('Additions (monthly)'!$E$2:$E$106,'Additions (monthly)'!$D$2:$D$106,AK$2,'Additions (monthly)'!$B$2:$B$106,"&lt;="&amp;$B137)</f>
        <v>0</v>
      </c>
      <c r="AL137" s="46" t="n">
        <f aca="false">SUMIFS('Additions (monthly)'!$E$2:$E$106,'Additions (monthly)'!$D$2:$D$106,AL$2,'Additions (monthly)'!$B$2:$B$106,"&lt;="&amp;$B137)</f>
        <v>22.2</v>
      </c>
      <c r="AM137" s="46" t="n">
        <f aca="false">SUMIFS('Additions (monthly)'!$E$2:$E$106,'Additions (monthly)'!$D$2:$D$106,AM$2,'Additions (monthly)'!$B$2:$B$106,"&lt;="&amp;$B137)</f>
        <v>0.3</v>
      </c>
      <c r="AN137" s="46" t="n">
        <f aca="false">SUMIFS('Additions (monthly)'!$E$2:$E$106,'Additions (monthly)'!$D$2:$D$106,AN$2,'Additions (monthly)'!$B$2:$B$106,"&lt;="&amp;$B137)</f>
        <v>4.3</v>
      </c>
      <c r="AO137" s="46" t="n">
        <f aca="false">SUMIFS('Additions (monthly)'!$E$2:$E$106,'Additions (monthly)'!$D$2:$D$106,AO$2,'Additions (monthly)'!$B$2:$B$106,"&lt;="&amp;$B137)</f>
        <v>10.4</v>
      </c>
      <c r="AP137" s="46" t="n">
        <f aca="false">SUMIFS('Additions (monthly)'!$E$2:$E$106,'Additions (monthly)'!$D$2:$D$106,AP$2,'Additions (monthly)'!$B$2:$B$106,"&lt;="&amp;$B137)</f>
        <v>6.9</v>
      </c>
      <c r="AQ137" s="46" t="n">
        <f aca="false">SUMIFS('Additions (monthly)'!$E$2:$E$106,'Additions (monthly)'!$D$2:$D$106,AQ$2,'Additions (monthly)'!$B$2:$B$106,"&lt;="&amp;$B137)</f>
        <v>4.45</v>
      </c>
      <c r="AR137" s="46" t="n">
        <f aca="false">SUMIFS('Additions (monthly)'!$E$2:$E$106,'Additions (monthly)'!$D$2:$D$106,AR$2,'Additions (monthly)'!$B$2:$B$106,"&lt;="&amp;$B137)</f>
        <v>77.1</v>
      </c>
      <c r="AS137" s="46" t="n">
        <f aca="false">SUMIFS('Additions (monthly)'!$E$2:$E$106,'Additions (monthly)'!$D$2:$D$106,AS$2,'Additions (monthly)'!$B$2:$B$106,"&lt;="&amp;$B137)</f>
        <v>0</v>
      </c>
      <c r="AT137" s="46" t="n">
        <f aca="false">SUMIFS('Additions (monthly)'!$E$2:$E$106,'Additions (monthly)'!$D$2:$D$106,AT$2,'Additions (monthly)'!$B$2:$B$106,"&lt;="&amp;$B137)</f>
        <v>0</v>
      </c>
      <c r="AU137" s="46" t="n">
        <f aca="false">SUMIFS('Additions (monthly)'!$E$2:$E$106,'Additions (monthly)'!$D$2:$D$106,AU$2,'Additions (monthly)'!$B$2:$B$106,"&lt;="&amp;$B137)</f>
        <v>9.6</v>
      </c>
      <c r="AV137" s="46" t="n">
        <f aca="false">SUMIFS('Additions (monthly)'!$E$2:$E$106,'Additions (monthly)'!$D$2:$D$106,AV$2,'Additions (monthly)'!$B$2:$B$106,"&lt;="&amp;$B137)</f>
        <v>0.66</v>
      </c>
      <c r="AW137" s="46" t="n">
        <f aca="false">SUMIFS('Additions (monthly)'!$E$2:$E$106,'Additions (monthly)'!$D$2:$D$106,AW$2,'Additions (monthly)'!$B$2:$B$106,"&lt;="&amp;$B137)</f>
        <v>17.4</v>
      </c>
      <c r="AX137" s="46" t="n">
        <f aca="false">SUMIFS('Additions (monthly)'!$E$2:$E$106,'Additions (monthly)'!$D$2:$D$106,AX$2,'Additions (monthly)'!$B$2:$B$106,"&lt;="&amp;$B137)</f>
        <v>11.8</v>
      </c>
      <c r="AY137" s="46" t="n">
        <f aca="false">SUMIFS('Additions (monthly)'!$E$2:$E$106,'Additions (monthly)'!$D$2:$D$106,AY$2,'Additions (monthly)'!$B$2:$B$106,"&lt;="&amp;$B137)</f>
        <v>5.3</v>
      </c>
      <c r="AZ137" s="46" t="n">
        <f aca="false">SUMIFS('Additions (monthly)'!$E$2:$E$106,'Additions (monthly)'!$D$2:$D$106,AZ$2,'Additions (monthly)'!$B$2:$B$106,"&lt;="&amp;$B137)</f>
        <v>0</v>
      </c>
      <c r="BA137" s="46" t="n">
        <f aca="false">SUMIFS('Additions (monthly)'!$E$2:$E$106,'Additions (monthly)'!$D$2:$D$106,BA$2,'Additions (monthly)'!$B$2:$B$106,"&lt;="&amp;$B137)</f>
        <v>13.5</v>
      </c>
      <c r="BB137" s="46" t="n">
        <f aca="false">SUMIFS('Additions (monthly)'!$E$2:$E$106,'Additions (monthly)'!$D$2:$D$106,BB$2,'Additions (monthly)'!$B$2:$B$106,"&lt;="&amp;$B137)</f>
        <v>15</v>
      </c>
      <c r="BC137" s="46" t="n">
        <f aca="false">SUMIFS('Additions (monthly)'!$E$2:$E$106,'Additions (monthly)'!$D$2:$D$106,BC$2,'Additions (monthly)'!$B$2:$B$106,"&lt;="&amp;$B137)</f>
        <v>5.25</v>
      </c>
      <c r="BD137" s="46" t="n">
        <f aca="false">SUMIFS('Additions (monthly)'!$E$2:$E$106,'Additions (monthly)'!$D$2:$D$106,BD$2,'Additions (monthly)'!$B$2:$B$106,"&lt;="&amp;$B137)</f>
        <v>2.5</v>
      </c>
      <c r="BE137" s="46" t="n">
        <f aca="false">SUMIFS('Additions (monthly)'!$E$2:$E$106,'Additions (monthly)'!$D$2:$D$106,BE$2,'Additions (monthly)'!$B$2:$B$106,"&lt;="&amp;$B137)</f>
        <v>15.3</v>
      </c>
      <c r="BF137" s="46" t="n">
        <f aca="false">SUMIFS('Additions (monthly)'!$E$2:$E$106,'Additions (monthly)'!$D$2:$D$106,BF$2,'Additions (monthly)'!$B$2:$B$106,"&lt;="&amp;$B137)</f>
        <v>0</v>
      </c>
      <c r="BG137" s="46" t="n">
        <f aca="false">SUMIFS('Additions (monthly)'!$E$2:$E$106,'Additions (monthly)'!$D$2:$D$106,BG$2,'Additions (monthly)'!$B$2:$B$106,"&lt;="&amp;$B137)</f>
        <v>0</v>
      </c>
      <c r="BH137" s="46" t="n">
        <f aca="false">SUMIFS('Additions (monthly)'!$E$2:$E$106,'Additions (monthly)'!$D$2:$D$106,BH$2,'Additions (monthly)'!$B$2:$B$106,"&lt;="&amp;$B137)</f>
        <v>25</v>
      </c>
      <c r="BI137" s="46" t="n">
        <f aca="false">SUMIFS('Additions (monthly)'!$E$2:$E$106,'Additions (monthly)'!$D$2:$D$106,BI$2,'Additions (monthly)'!$B$2:$B$106,"&lt;="&amp;$B137)</f>
        <v>6.7</v>
      </c>
    </row>
    <row r="138" customFormat="false" ht="15" hidden="false" customHeight="false" outlineLevel="0" collapsed="false">
      <c r="A138" s="44" t="n">
        <v>44287</v>
      </c>
      <c r="B138" s="45" t="n">
        <v>202104</v>
      </c>
      <c r="C138" s="42" t="n">
        <f aca="false">SUMIFS('Additions (monthly)'!$E$2:$E$106,'Additions (monthly)'!$B$2:$B$106,"&lt;="&amp;$B138)</f>
        <v>457.38</v>
      </c>
      <c r="D138" s="46" t="n">
        <f aca="false">SUMIFS('Additions (monthly)'!$E$2:$E$106,'Additions (monthly)'!$D$2:$D$106,D$2,'Additions (monthly)'!$B$2:$B$106,"&lt;="&amp;$B138)</f>
        <v>7.9</v>
      </c>
      <c r="E138" s="46" t="n">
        <f aca="false">SUMIFS('Additions (monthly)'!$E$2:$E$106,'Additions (monthly)'!$D$2:$D$106,E$2,'Additions (monthly)'!$B$2:$B$106,"&lt;="&amp;$B138)</f>
        <v>8.4</v>
      </c>
      <c r="F138" s="46" t="n">
        <f aca="false">SUMIFS('Additions (monthly)'!$E$2:$E$106,'Additions (monthly)'!$D$2:$D$106,F$2,'Additions (monthly)'!$B$2:$B$106,"&lt;="&amp;$B138)</f>
        <v>4.7</v>
      </c>
      <c r="G138" s="46" t="n">
        <f aca="false">SUMIFS('Additions (monthly)'!$E$2:$E$106,'Additions (monthly)'!$D$2:$D$106,G$2,'Additions (monthly)'!$B$2:$B$106,"&lt;="&amp;$B138)</f>
        <v>4.5</v>
      </c>
      <c r="H138" s="46" t="n">
        <f aca="false">SUMIFS('Additions (monthly)'!$E$2:$E$106,'Additions (monthly)'!$D$2:$D$106,H$2,'Additions (monthly)'!$B$2:$B$106,"&lt;="&amp;$B138)</f>
        <v>5.2</v>
      </c>
      <c r="I138" s="46" t="n">
        <f aca="false">SUMIFS('Additions (monthly)'!$E$2:$E$106,'Additions (monthly)'!$D$2:$D$106,I$2,'Additions (monthly)'!$B$2:$B$106,"&lt;="&amp;$B138)</f>
        <v>9</v>
      </c>
      <c r="J138" s="46" t="n">
        <f aca="false">SUMIFS('Additions (monthly)'!$E$2:$E$106,'Additions (monthly)'!$D$2:$D$106,J$2,'Additions (monthly)'!$B$2:$B$106,"&lt;="&amp;$B138)</f>
        <v>3.7</v>
      </c>
      <c r="K138" s="46" t="n">
        <f aca="false">SUMIFS('Additions (monthly)'!$E$2:$E$106,'Additions (monthly)'!$D$2:$D$106,K$2,'Additions (monthly)'!$B$2:$B$106,"&lt;="&amp;$B138)</f>
        <v>7.8</v>
      </c>
      <c r="L138" s="46" t="n">
        <f aca="false">SUMIFS('Additions (monthly)'!$E$2:$E$106,'Additions (monthly)'!$D$2:$D$106,L$2,'Additions (monthly)'!$B$2:$B$106,"&lt;="&amp;$B138)</f>
        <v>15.6</v>
      </c>
      <c r="M138" s="46" t="n">
        <f aca="false">SUMIFS('Additions (monthly)'!$E$2:$E$106,'Additions (monthly)'!$D$2:$D$106,M$2,'Additions (monthly)'!$B$2:$B$106,"&lt;="&amp;$B138)</f>
        <v>8.9</v>
      </c>
      <c r="N138" s="46" t="n">
        <f aca="false">SUMIFS('Additions (monthly)'!$E$2:$E$106,'Additions (monthly)'!$D$2:$D$106,N$2,'Additions (monthly)'!$B$2:$B$106,"&lt;="&amp;$B138)</f>
        <v>14.2</v>
      </c>
      <c r="O138" s="46" t="n">
        <f aca="false">SUMIFS('Additions (monthly)'!$E$2:$E$106,'Additions (monthly)'!$D$2:$D$106,O$2,'Additions (monthly)'!$B$2:$B$106,"&lt;="&amp;$B138)</f>
        <v>4.9</v>
      </c>
      <c r="P138" s="46" t="n">
        <f aca="false">SUMIFS('Additions (monthly)'!$E$2:$E$106,'Additions (monthly)'!$D$2:$D$106,P$2,'Additions (monthly)'!$B$2:$B$106,"&lt;="&amp;$B138)</f>
        <v>3.6</v>
      </c>
      <c r="Q138" s="46" t="n">
        <f aca="false">SUMIFS('Additions (monthly)'!$E$2:$E$106,'Additions (monthly)'!$D$2:$D$106,Q$2,'Additions (monthly)'!$B$2:$B$106,"&lt;="&amp;$B138)</f>
        <v>8.5</v>
      </c>
      <c r="R138" s="46" t="n">
        <f aca="false">SUMIFS('Additions (monthly)'!$E$2:$E$106,'Additions (monthly)'!$D$2:$D$106,R$2,'Additions (monthly)'!$B$2:$B$106,"&lt;="&amp;$B138)</f>
        <v>8.9</v>
      </c>
      <c r="S138" s="46" t="n">
        <f aca="false">SUMIFS('Additions (monthly)'!$E$2:$E$106,'Additions (monthly)'!$D$2:$D$106,S$2,'Additions (monthly)'!$B$2:$B$106,"&lt;="&amp;$B138)</f>
        <v>7.2</v>
      </c>
      <c r="T138" s="46" t="n">
        <f aca="false">SUMIFS('Additions (monthly)'!$E$2:$E$106,'Additions (monthly)'!$D$2:$D$106,T$2,'Additions (monthly)'!$B$2:$B$106,"&lt;="&amp;$B138)</f>
        <v>2.4</v>
      </c>
      <c r="U138" s="46" t="n">
        <f aca="false">SUMIFS('Additions (monthly)'!$E$2:$E$106,'Additions (monthly)'!$D$2:$D$106,U$2,'Additions (monthly)'!$B$2:$B$106,"&lt;="&amp;$B138)</f>
        <v>0</v>
      </c>
      <c r="V138" s="46" t="n">
        <f aca="false">SUMIFS('Additions (monthly)'!$E$2:$E$106,'Additions (monthly)'!$D$2:$D$106,V$2,'Additions (monthly)'!$B$2:$B$106,"&lt;="&amp;$B138)</f>
        <v>3.87</v>
      </c>
      <c r="W138" s="46" t="n">
        <f aca="false">SUMIFS('Additions (monthly)'!$E$2:$E$106,'Additions (monthly)'!$D$2:$D$106,W$2,'Additions (monthly)'!$B$2:$B$106,"&lt;="&amp;$B138)</f>
        <v>0</v>
      </c>
      <c r="X138" s="46" t="n">
        <f aca="false">SUMIFS('Additions (monthly)'!$E$2:$E$106,'Additions (monthly)'!$D$2:$D$106,X$2,'Additions (monthly)'!$B$2:$B$106,"&lt;="&amp;$B138)</f>
        <v>0</v>
      </c>
      <c r="Y138" s="46" t="n">
        <f aca="false">SUMIFS('Additions (monthly)'!$E$2:$E$106,'Additions (monthly)'!$D$2:$D$106,Y$2,'Additions (monthly)'!$B$2:$B$106,"&lt;="&amp;$B138)</f>
        <v>5</v>
      </c>
      <c r="Z138" s="46" t="n">
        <f aca="false">SUMIFS('Additions (monthly)'!$E$2:$E$106,'Additions (monthly)'!$D$2:$D$106,Z$2,'Additions (monthly)'!$B$2:$B$106,"&lt;="&amp;$B138)</f>
        <v>7.2</v>
      </c>
      <c r="AA138" s="46" t="n">
        <f aca="false">SUMIFS('Additions (monthly)'!$E$2:$E$106,'Additions (monthly)'!$D$2:$D$106,AA$2,'Additions (monthly)'!$B$2:$B$106,"&lt;="&amp;$B138)</f>
        <v>3.7</v>
      </c>
      <c r="AB138" s="46" t="n">
        <f aca="false">SUMIFS('Additions (monthly)'!$E$2:$E$106,'Additions (monthly)'!$D$2:$D$106,AB$2,'Additions (monthly)'!$B$2:$B$106,"&lt;="&amp;$B138)</f>
        <v>16.95</v>
      </c>
      <c r="AC138" s="46" t="n">
        <f aca="false">SUMIFS('Additions (monthly)'!$E$2:$E$106,'Additions (monthly)'!$D$2:$D$106,AC$2,'Additions (monthly)'!$B$2:$B$106,"&lt;="&amp;$B138)</f>
        <v>2</v>
      </c>
      <c r="AD138" s="46" t="n">
        <f aca="false">SUMIFS('Additions (monthly)'!$E$2:$E$106,'Additions (monthly)'!$D$2:$D$106,AD$2,'Additions (monthly)'!$B$2:$B$106,"&lt;="&amp;$B138)</f>
        <v>7.6</v>
      </c>
      <c r="AE138" s="46" t="n">
        <f aca="false">SUMIFS('Additions (monthly)'!$E$2:$E$106,'Additions (monthly)'!$D$2:$D$106,AE$2,'Additions (monthly)'!$B$2:$B$106,"&lt;="&amp;$B138)</f>
        <v>29.3</v>
      </c>
      <c r="AF138" s="46" t="n">
        <f aca="false">SUMIFS('Additions (monthly)'!$E$2:$E$106,'Additions (monthly)'!$D$2:$D$106,AF$2,'Additions (monthly)'!$B$2:$B$106,"&lt;="&amp;$B138)</f>
        <v>1.2</v>
      </c>
      <c r="AG138" s="46" t="n">
        <f aca="false">SUMIFS('Additions (monthly)'!$E$2:$E$106,'Additions (monthly)'!$D$2:$D$106,AG$2,'Additions (monthly)'!$B$2:$B$106,"&lt;="&amp;$B138)</f>
        <v>1.5</v>
      </c>
      <c r="AH138" s="46" t="n">
        <f aca="false">SUMIFS('Additions (monthly)'!$E$2:$E$106,'Additions (monthly)'!$D$2:$D$106,AH$2,'Additions (monthly)'!$B$2:$B$106,"&lt;="&amp;$B138)</f>
        <v>0</v>
      </c>
      <c r="AI138" s="46" t="n">
        <f aca="false">SUMIFS('Additions (monthly)'!$E$2:$E$106,'Additions (monthly)'!$D$2:$D$106,AI$2,'Additions (monthly)'!$B$2:$B$106,"&lt;="&amp;$B138)</f>
        <v>0</v>
      </c>
      <c r="AJ138" s="46" t="n">
        <f aca="false">SUMIFS('Additions (monthly)'!$E$2:$E$106,'Additions (monthly)'!$D$2:$D$106,AJ$2,'Additions (monthly)'!$B$2:$B$106,"&lt;="&amp;$B138)</f>
        <v>0</v>
      </c>
      <c r="AK138" s="46" t="n">
        <f aca="false">SUMIFS('Additions (monthly)'!$E$2:$E$106,'Additions (monthly)'!$D$2:$D$106,AK$2,'Additions (monthly)'!$B$2:$B$106,"&lt;="&amp;$B138)</f>
        <v>0</v>
      </c>
      <c r="AL138" s="46" t="n">
        <f aca="false">SUMIFS('Additions (monthly)'!$E$2:$E$106,'Additions (monthly)'!$D$2:$D$106,AL$2,'Additions (monthly)'!$B$2:$B$106,"&lt;="&amp;$B138)</f>
        <v>22.2</v>
      </c>
      <c r="AM138" s="46" t="n">
        <f aca="false">SUMIFS('Additions (monthly)'!$E$2:$E$106,'Additions (monthly)'!$D$2:$D$106,AM$2,'Additions (monthly)'!$B$2:$B$106,"&lt;="&amp;$B138)</f>
        <v>0.3</v>
      </c>
      <c r="AN138" s="46" t="n">
        <f aca="false">SUMIFS('Additions (monthly)'!$E$2:$E$106,'Additions (monthly)'!$D$2:$D$106,AN$2,'Additions (monthly)'!$B$2:$B$106,"&lt;="&amp;$B138)</f>
        <v>4.3</v>
      </c>
      <c r="AO138" s="46" t="n">
        <f aca="false">SUMIFS('Additions (monthly)'!$E$2:$E$106,'Additions (monthly)'!$D$2:$D$106,AO$2,'Additions (monthly)'!$B$2:$B$106,"&lt;="&amp;$B138)</f>
        <v>10.4</v>
      </c>
      <c r="AP138" s="46" t="n">
        <f aca="false">SUMIFS('Additions (monthly)'!$E$2:$E$106,'Additions (monthly)'!$D$2:$D$106,AP$2,'Additions (monthly)'!$B$2:$B$106,"&lt;="&amp;$B138)</f>
        <v>6.9</v>
      </c>
      <c r="AQ138" s="46" t="n">
        <f aca="false">SUMIFS('Additions (monthly)'!$E$2:$E$106,'Additions (monthly)'!$D$2:$D$106,AQ$2,'Additions (monthly)'!$B$2:$B$106,"&lt;="&amp;$B138)</f>
        <v>4.45</v>
      </c>
      <c r="AR138" s="46" t="n">
        <f aca="false">SUMIFS('Additions (monthly)'!$E$2:$E$106,'Additions (monthly)'!$D$2:$D$106,AR$2,'Additions (monthly)'!$B$2:$B$106,"&lt;="&amp;$B138)</f>
        <v>77.1</v>
      </c>
      <c r="AS138" s="46" t="n">
        <f aca="false">SUMIFS('Additions (monthly)'!$E$2:$E$106,'Additions (monthly)'!$D$2:$D$106,AS$2,'Additions (monthly)'!$B$2:$B$106,"&lt;="&amp;$B138)</f>
        <v>0</v>
      </c>
      <c r="AT138" s="46" t="n">
        <f aca="false">SUMIFS('Additions (monthly)'!$E$2:$E$106,'Additions (monthly)'!$D$2:$D$106,AT$2,'Additions (monthly)'!$B$2:$B$106,"&lt;="&amp;$B138)</f>
        <v>0</v>
      </c>
      <c r="AU138" s="46" t="n">
        <f aca="false">SUMIFS('Additions (monthly)'!$E$2:$E$106,'Additions (monthly)'!$D$2:$D$106,AU$2,'Additions (monthly)'!$B$2:$B$106,"&lt;="&amp;$B138)</f>
        <v>9.6</v>
      </c>
      <c r="AV138" s="46" t="n">
        <f aca="false">SUMIFS('Additions (monthly)'!$E$2:$E$106,'Additions (monthly)'!$D$2:$D$106,AV$2,'Additions (monthly)'!$B$2:$B$106,"&lt;="&amp;$B138)</f>
        <v>0.66</v>
      </c>
      <c r="AW138" s="46" t="n">
        <f aca="false">SUMIFS('Additions (monthly)'!$E$2:$E$106,'Additions (monthly)'!$D$2:$D$106,AW$2,'Additions (monthly)'!$B$2:$B$106,"&lt;="&amp;$B138)</f>
        <v>17.4</v>
      </c>
      <c r="AX138" s="46" t="n">
        <f aca="false">SUMIFS('Additions (monthly)'!$E$2:$E$106,'Additions (monthly)'!$D$2:$D$106,AX$2,'Additions (monthly)'!$B$2:$B$106,"&lt;="&amp;$B138)</f>
        <v>11.8</v>
      </c>
      <c r="AY138" s="46" t="n">
        <f aca="false">SUMIFS('Additions (monthly)'!$E$2:$E$106,'Additions (monthly)'!$D$2:$D$106,AY$2,'Additions (monthly)'!$B$2:$B$106,"&lt;="&amp;$B138)</f>
        <v>5.3</v>
      </c>
      <c r="AZ138" s="46" t="n">
        <f aca="false">SUMIFS('Additions (monthly)'!$E$2:$E$106,'Additions (monthly)'!$D$2:$D$106,AZ$2,'Additions (monthly)'!$B$2:$B$106,"&lt;="&amp;$B138)</f>
        <v>0</v>
      </c>
      <c r="BA138" s="46" t="n">
        <f aca="false">SUMIFS('Additions (monthly)'!$E$2:$E$106,'Additions (monthly)'!$D$2:$D$106,BA$2,'Additions (monthly)'!$B$2:$B$106,"&lt;="&amp;$B138)</f>
        <v>13.5</v>
      </c>
      <c r="BB138" s="46" t="n">
        <f aca="false">SUMIFS('Additions (monthly)'!$E$2:$E$106,'Additions (monthly)'!$D$2:$D$106,BB$2,'Additions (monthly)'!$B$2:$B$106,"&lt;="&amp;$B138)</f>
        <v>15</v>
      </c>
      <c r="BC138" s="46" t="n">
        <f aca="false">SUMIFS('Additions (monthly)'!$E$2:$E$106,'Additions (monthly)'!$D$2:$D$106,BC$2,'Additions (monthly)'!$B$2:$B$106,"&lt;="&amp;$B138)</f>
        <v>5.25</v>
      </c>
      <c r="BD138" s="46" t="n">
        <f aca="false">SUMIFS('Additions (monthly)'!$E$2:$E$106,'Additions (monthly)'!$D$2:$D$106,BD$2,'Additions (monthly)'!$B$2:$B$106,"&lt;="&amp;$B138)</f>
        <v>2.5</v>
      </c>
      <c r="BE138" s="46" t="n">
        <f aca="false">SUMIFS('Additions (monthly)'!$E$2:$E$106,'Additions (monthly)'!$D$2:$D$106,BE$2,'Additions (monthly)'!$B$2:$B$106,"&lt;="&amp;$B138)</f>
        <v>15.3</v>
      </c>
      <c r="BF138" s="46" t="n">
        <f aca="false">SUMIFS('Additions (monthly)'!$E$2:$E$106,'Additions (monthly)'!$D$2:$D$106,BF$2,'Additions (monthly)'!$B$2:$B$106,"&lt;="&amp;$B138)</f>
        <v>0</v>
      </c>
      <c r="BG138" s="46" t="n">
        <f aca="false">SUMIFS('Additions (monthly)'!$E$2:$E$106,'Additions (monthly)'!$D$2:$D$106,BG$2,'Additions (monthly)'!$B$2:$B$106,"&lt;="&amp;$B138)</f>
        <v>0</v>
      </c>
      <c r="BH138" s="46" t="n">
        <f aca="false">SUMIFS('Additions (monthly)'!$E$2:$E$106,'Additions (monthly)'!$D$2:$D$106,BH$2,'Additions (monthly)'!$B$2:$B$106,"&lt;="&amp;$B138)</f>
        <v>25</v>
      </c>
      <c r="BI138" s="46" t="n">
        <f aca="false">SUMIFS('Additions (monthly)'!$E$2:$E$106,'Additions (monthly)'!$D$2:$D$106,BI$2,'Additions (monthly)'!$B$2:$B$106,"&lt;="&amp;$B138)</f>
        <v>6.7</v>
      </c>
    </row>
    <row r="139" customFormat="false" ht="15" hidden="false" customHeight="false" outlineLevel="0" collapsed="false">
      <c r="A139" s="44" t="n">
        <v>44317</v>
      </c>
      <c r="B139" s="45" t="n">
        <v>202105</v>
      </c>
      <c r="C139" s="42" t="n">
        <f aca="false">SUMIFS('Additions (monthly)'!$E$2:$E$106,'Additions (monthly)'!$B$2:$B$106,"&lt;="&amp;$B139)</f>
        <v>457.38</v>
      </c>
      <c r="D139" s="46" t="n">
        <f aca="false">SUMIFS('Additions (monthly)'!$E$2:$E$106,'Additions (monthly)'!$D$2:$D$106,D$2,'Additions (monthly)'!$B$2:$B$106,"&lt;="&amp;$B139)</f>
        <v>7.9</v>
      </c>
      <c r="E139" s="46" t="n">
        <f aca="false">SUMIFS('Additions (monthly)'!$E$2:$E$106,'Additions (monthly)'!$D$2:$D$106,E$2,'Additions (monthly)'!$B$2:$B$106,"&lt;="&amp;$B139)</f>
        <v>8.4</v>
      </c>
      <c r="F139" s="46" t="n">
        <f aca="false">SUMIFS('Additions (monthly)'!$E$2:$E$106,'Additions (monthly)'!$D$2:$D$106,F$2,'Additions (monthly)'!$B$2:$B$106,"&lt;="&amp;$B139)</f>
        <v>4.7</v>
      </c>
      <c r="G139" s="46" t="n">
        <f aca="false">SUMIFS('Additions (monthly)'!$E$2:$E$106,'Additions (monthly)'!$D$2:$D$106,G$2,'Additions (monthly)'!$B$2:$B$106,"&lt;="&amp;$B139)</f>
        <v>4.5</v>
      </c>
      <c r="H139" s="46" t="n">
        <f aca="false">SUMIFS('Additions (monthly)'!$E$2:$E$106,'Additions (monthly)'!$D$2:$D$106,H$2,'Additions (monthly)'!$B$2:$B$106,"&lt;="&amp;$B139)</f>
        <v>5.2</v>
      </c>
      <c r="I139" s="46" t="n">
        <f aca="false">SUMIFS('Additions (monthly)'!$E$2:$E$106,'Additions (monthly)'!$D$2:$D$106,I$2,'Additions (monthly)'!$B$2:$B$106,"&lt;="&amp;$B139)</f>
        <v>9</v>
      </c>
      <c r="J139" s="46" t="n">
        <f aca="false">SUMIFS('Additions (monthly)'!$E$2:$E$106,'Additions (monthly)'!$D$2:$D$106,J$2,'Additions (monthly)'!$B$2:$B$106,"&lt;="&amp;$B139)</f>
        <v>3.7</v>
      </c>
      <c r="K139" s="46" t="n">
        <f aca="false">SUMIFS('Additions (monthly)'!$E$2:$E$106,'Additions (monthly)'!$D$2:$D$106,K$2,'Additions (monthly)'!$B$2:$B$106,"&lt;="&amp;$B139)</f>
        <v>7.8</v>
      </c>
      <c r="L139" s="46" t="n">
        <f aca="false">SUMIFS('Additions (monthly)'!$E$2:$E$106,'Additions (monthly)'!$D$2:$D$106,L$2,'Additions (monthly)'!$B$2:$B$106,"&lt;="&amp;$B139)</f>
        <v>15.6</v>
      </c>
      <c r="M139" s="46" t="n">
        <f aca="false">SUMIFS('Additions (monthly)'!$E$2:$E$106,'Additions (monthly)'!$D$2:$D$106,M$2,'Additions (monthly)'!$B$2:$B$106,"&lt;="&amp;$B139)</f>
        <v>8.9</v>
      </c>
      <c r="N139" s="46" t="n">
        <f aca="false">SUMIFS('Additions (monthly)'!$E$2:$E$106,'Additions (monthly)'!$D$2:$D$106,N$2,'Additions (monthly)'!$B$2:$B$106,"&lt;="&amp;$B139)</f>
        <v>14.2</v>
      </c>
      <c r="O139" s="46" t="n">
        <f aca="false">SUMIFS('Additions (monthly)'!$E$2:$E$106,'Additions (monthly)'!$D$2:$D$106,O$2,'Additions (monthly)'!$B$2:$B$106,"&lt;="&amp;$B139)</f>
        <v>4.9</v>
      </c>
      <c r="P139" s="46" t="n">
        <f aca="false">SUMIFS('Additions (monthly)'!$E$2:$E$106,'Additions (monthly)'!$D$2:$D$106,P$2,'Additions (monthly)'!$B$2:$B$106,"&lt;="&amp;$B139)</f>
        <v>3.6</v>
      </c>
      <c r="Q139" s="46" t="n">
        <f aca="false">SUMIFS('Additions (monthly)'!$E$2:$E$106,'Additions (monthly)'!$D$2:$D$106,Q$2,'Additions (monthly)'!$B$2:$B$106,"&lt;="&amp;$B139)</f>
        <v>8.5</v>
      </c>
      <c r="R139" s="46" t="n">
        <f aca="false">SUMIFS('Additions (monthly)'!$E$2:$E$106,'Additions (monthly)'!$D$2:$D$106,R$2,'Additions (monthly)'!$B$2:$B$106,"&lt;="&amp;$B139)</f>
        <v>8.9</v>
      </c>
      <c r="S139" s="46" t="n">
        <f aca="false">SUMIFS('Additions (monthly)'!$E$2:$E$106,'Additions (monthly)'!$D$2:$D$106,S$2,'Additions (monthly)'!$B$2:$B$106,"&lt;="&amp;$B139)</f>
        <v>7.2</v>
      </c>
      <c r="T139" s="46" t="n">
        <f aca="false">SUMIFS('Additions (monthly)'!$E$2:$E$106,'Additions (monthly)'!$D$2:$D$106,T$2,'Additions (monthly)'!$B$2:$B$106,"&lt;="&amp;$B139)</f>
        <v>2.4</v>
      </c>
      <c r="U139" s="46" t="n">
        <f aca="false">SUMIFS('Additions (monthly)'!$E$2:$E$106,'Additions (monthly)'!$D$2:$D$106,U$2,'Additions (monthly)'!$B$2:$B$106,"&lt;="&amp;$B139)</f>
        <v>0</v>
      </c>
      <c r="V139" s="46" t="n">
        <f aca="false">SUMIFS('Additions (monthly)'!$E$2:$E$106,'Additions (monthly)'!$D$2:$D$106,V$2,'Additions (monthly)'!$B$2:$B$106,"&lt;="&amp;$B139)</f>
        <v>3.87</v>
      </c>
      <c r="W139" s="46" t="n">
        <f aca="false">SUMIFS('Additions (monthly)'!$E$2:$E$106,'Additions (monthly)'!$D$2:$D$106,W$2,'Additions (monthly)'!$B$2:$B$106,"&lt;="&amp;$B139)</f>
        <v>0</v>
      </c>
      <c r="X139" s="46" t="n">
        <f aca="false">SUMIFS('Additions (monthly)'!$E$2:$E$106,'Additions (monthly)'!$D$2:$D$106,X$2,'Additions (monthly)'!$B$2:$B$106,"&lt;="&amp;$B139)</f>
        <v>0</v>
      </c>
      <c r="Y139" s="46" t="n">
        <f aca="false">SUMIFS('Additions (monthly)'!$E$2:$E$106,'Additions (monthly)'!$D$2:$D$106,Y$2,'Additions (monthly)'!$B$2:$B$106,"&lt;="&amp;$B139)</f>
        <v>5</v>
      </c>
      <c r="Z139" s="46" t="n">
        <f aca="false">SUMIFS('Additions (monthly)'!$E$2:$E$106,'Additions (monthly)'!$D$2:$D$106,Z$2,'Additions (monthly)'!$B$2:$B$106,"&lt;="&amp;$B139)</f>
        <v>7.2</v>
      </c>
      <c r="AA139" s="46" t="n">
        <f aca="false">SUMIFS('Additions (monthly)'!$E$2:$E$106,'Additions (monthly)'!$D$2:$D$106,AA$2,'Additions (monthly)'!$B$2:$B$106,"&lt;="&amp;$B139)</f>
        <v>3.7</v>
      </c>
      <c r="AB139" s="46" t="n">
        <f aca="false">SUMIFS('Additions (monthly)'!$E$2:$E$106,'Additions (monthly)'!$D$2:$D$106,AB$2,'Additions (monthly)'!$B$2:$B$106,"&lt;="&amp;$B139)</f>
        <v>16.95</v>
      </c>
      <c r="AC139" s="46" t="n">
        <f aca="false">SUMIFS('Additions (monthly)'!$E$2:$E$106,'Additions (monthly)'!$D$2:$D$106,AC$2,'Additions (monthly)'!$B$2:$B$106,"&lt;="&amp;$B139)</f>
        <v>2</v>
      </c>
      <c r="AD139" s="46" t="n">
        <f aca="false">SUMIFS('Additions (monthly)'!$E$2:$E$106,'Additions (monthly)'!$D$2:$D$106,AD$2,'Additions (monthly)'!$B$2:$B$106,"&lt;="&amp;$B139)</f>
        <v>7.6</v>
      </c>
      <c r="AE139" s="46" t="n">
        <f aca="false">SUMIFS('Additions (monthly)'!$E$2:$E$106,'Additions (monthly)'!$D$2:$D$106,AE$2,'Additions (monthly)'!$B$2:$B$106,"&lt;="&amp;$B139)</f>
        <v>29.3</v>
      </c>
      <c r="AF139" s="46" t="n">
        <f aca="false">SUMIFS('Additions (monthly)'!$E$2:$E$106,'Additions (monthly)'!$D$2:$D$106,AF$2,'Additions (monthly)'!$B$2:$B$106,"&lt;="&amp;$B139)</f>
        <v>1.2</v>
      </c>
      <c r="AG139" s="46" t="n">
        <f aca="false">SUMIFS('Additions (monthly)'!$E$2:$E$106,'Additions (monthly)'!$D$2:$D$106,AG$2,'Additions (monthly)'!$B$2:$B$106,"&lt;="&amp;$B139)</f>
        <v>1.5</v>
      </c>
      <c r="AH139" s="46" t="n">
        <f aca="false">SUMIFS('Additions (monthly)'!$E$2:$E$106,'Additions (monthly)'!$D$2:$D$106,AH$2,'Additions (monthly)'!$B$2:$B$106,"&lt;="&amp;$B139)</f>
        <v>0</v>
      </c>
      <c r="AI139" s="46" t="n">
        <f aca="false">SUMIFS('Additions (monthly)'!$E$2:$E$106,'Additions (monthly)'!$D$2:$D$106,AI$2,'Additions (monthly)'!$B$2:$B$106,"&lt;="&amp;$B139)</f>
        <v>0</v>
      </c>
      <c r="AJ139" s="46" t="n">
        <f aca="false">SUMIFS('Additions (monthly)'!$E$2:$E$106,'Additions (monthly)'!$D$2:$D$106,AJ$2,'Additions (monthly)'!$B$2:$B$106,"&lt;="&amp;$B139)</f>
        <v>0</v>
      </c>
      <c r="AK139" s="46" t="n">
        <f aca="false">SUMIFS('Additions (monthly)'!$E$2:$E$106,'Additions (monthly)'!$D$2:$D$106,AK$2,'Additions (monthly)'!$B$2:$B$106,"&lt;="&amp;$B139)</f>
        <v>0</v>
      </c>
      <c r="AL139" s="46" t="n">
        <f aca="false">SUMIFS('Additions (monthly)'!$E$2:$E$106,'Additions (monthly)'!$D$2:$D$106,AL$2,'Additions (monthly)'!$B$2:$B$106,"&lt;="&amp;$B139)</f>
        <v>22.2</v>
      </c>
      <c r="AM139" s="46" t="n">
        <f aca="false">SUMIFS('Additions (monthly)'!$E$2:$E$106,'Additions (monthly)'!$D$2:$D$106,AM$2,'Additions (monthly)'!$B$2:$B$106,"&lt;="&amp;$B139)</f>
        <v>0.3</v>
      </c>
      <c r="AN139" s="46" t="n">
        <f aca="false">SUMIFS('Additions (monthly)'!$E$2:$E$106,'Additions (monthly)'!$D$2:$D$106,AN$2,'Additions (monthly)'!$B$2:$B$106,"&lt;="&amp;$B139)</f>
        <v>4.3</v>
      </c>
      <c r="AO139" s="46" t="n">
        <f aca="false">SUMIFS('Additions (monthly)'!$E$2:$E$106,'Additions (monthly)'!$D$2:$D$106,AO$2,'Additions (monthly)'!$B$2:$B$106,"&lt;="&amp;$B139)</f>
        <v>10.4</v>
      </c>
      <c r="AP139" s="46" t="n">
        <f aca="false">SUMIFS('Additions (monthly)'!$E$2:$E$106,'Additions (monthly)'!$D$2:$D$106,AP$2,'Additions (monthly)'!$B$2:$B$106,"&lt;="&amp;$B139)</f>
        <v>6.9</v>
      </c>
      <c r="AQ139" s="46" t="n">
        <f aca="false">SUMIFS('Additions (monthly)'!$E$2:$E$106,'Additions (monthly)'!$D$2:$D$106,AQ$2,'Additions (monthly)'!$B$2:$B$106,"&lt;="&amp;$B139)</f>
        <v>4.45</v>
      </c>
      <c r="AR139" s="46" t="n">
        <f aca="false">SUMIFS('Additions (monthly)'!$E$2:$E$106,'Additions (monthly)'!$D$2:$D$106,AR$2,'Additions (monthly)'!$B$2:$B$106,"&lt;="&amp;$B139)</f>
        <v>77.1</v>
      </c>
      <c r="AS139" s="46" t="n">
        <f aca="false">SUMIFS('Additions (monthly)'!$E$2:$E$106,'Additions (monthly)'!$D$2:$D$106,AS$2,'Additions (monthly)'!$B$2:$B$106,"&lt;="&amp;$B139)</f>
        <v>0</v>
      </c>
      <c r="AT139" s="46" t="n">
        <f aca="false">SUMIFS('Additions (monthly)'!$E$2:$E$106,'Additions (monthly)'!$D$2:$D$106,AT$2,'Additions (monthly)'!$B$2:$B$106,"&lt;="&amp;$B139)</f>
        <v>0</v>
      </c>
      <c r="AU139" s="46" t="n">
        <f aca="false">SUMIFS('Additions (monthly)'!$E$2:$E$106,'Additions (monthly)'!$D$2:$D$106,AU$2,'Additions (monthly)'!$B$2:$B$106,"&lt;="&amp;$B139)</f>
        <v>9.6</v>
      </c>
      <c r="AV139" s="46" t="n">
        <f aca="false">SUMIFS('Additions (monthly)'!$E$2:$E$106,'Additions (monthly)'!$D$2:$D$106,AV$2,'Additions (monthly)'!$B$2:$B$106,"&lt;="&amp;$B139)</f>
        <v>0.66</v>
      </c>
      <c r="AW139" s="46" t="n">
        <f aca="false">SUMIFS('Additions (monthly)'!$E$2:$E$106,'Additions (monthly)'!$D$2:$D$106,AW$2,'Additions (monthly)'!$B$2:$B$106,"&lt;="&amp;$B139)</f>
        <v>17.4</v>
      </c>
      <c r="AX139" s="46" t="n">
        <f aca="false">SUMIFS('Additions (monthly)'!$E$2:$E$106,'Additions (monthly)'!$D$2:$D$106,AX$2,'Additions (monthly)'!$B$2:$B$106,"&lt;="&amp;$B139)</f>
        <v>11.8</v>
      </c>
      <c r="AY139" s="46" t="n">
        <f aca="false">SUMIFS('Additions (monthly)'!$E$2:$E$106,'Additions (monthly)'!$D$2:$D$106,AY$2,'Additions (monthly)'!$B$2:$B$106,"&lt;="&amp;$B139)</f>
        <v>5.3</v>
      </c>
      <c r="AZ139" s="46" t="n">
        <f aca="false">SUMIFS('Additions (monthly)'!$E$2:$E$106,'Additions (monthly)'!$D$2:$D$106,AZ$2,'Additions (monthly)'!$B$2:$B$106,"&lt;="&amp;$B139)</f>
        <v>0</v>
      </c>
      <c r="BA139" s="46" t="n">
        <f aca="false">SUMIFS('Additions (monthly)'!$E$2:$E$106,'Additions (monthly)'!$D$2:$D$106,BA$2,'Additions (monthly)'!$B$2:$B$106,"&lt;="&amp;$B139)</f>
        <v>13.5</v>
      </c>
      <c r="BB139" s="46" t="n">
        <f aca="false">SUMIFS('Additions (monthly)'!$E$2:$E$106,'Additions (monthly)'!$D$2:$D$106,BB$2,'Additions (monthly)'!$B$2:$B$106,"&lt;="&amp;$B139)</f>
        <v>15</v>
      </c>
      <c r="BC139" s="46" t="n">
        <f aca="false">SUMIFS('Additions (monthly)'!$E$2:$E$106,'Additions (monthly)'!$D$2:$D$106,BC$2,'Additions (monthly)'!$B$2:$B$106,"&lt;="&amp;$B139)</f>
        <v>5.25</v>
      </c>
      <c r="BD139" s="46" t="n">
        <f aca="false">SUMIFS('Additions (monthly)'!$E$2:$E$106,'Additions (monthly)'!$D$2:$D$106,BD$2,'Additions (monthly)'!$B$2:$B$106,"&lt;="&amp;$B139)</f>
        <v>2.5</v>
      </c>
      <c r="BE139" s="46" t="n">
        <f aca="false">SUMIFS('Additions (monthly)'!$E$2:$E$106,'Additions (monthly)'!$D$2:$D$106,BE$2,'Additions (monthly)'!$B$2:$B$106,"&lt;="&amp;$B139)</f>
        <v>15.3</v>
      </c>
      <c r="BF139" s="46" t="n">
        <f aca="false">SUMIFS('Additions (monthly)'!$E$2:$E$106,'Additions (monthly)'!$D$2:$D$106,BF$2,'Additions (monthly)'!$B$2:$B$106,"&lt;="&amp;$B139)</f>
        <v>0</v>
      </c>
      <c r="BG139" s="46" t="n">
        <f aca="false">SUMIFS('Additions (monthly)'!$E$2:$E$106,'Additions (monthly)'!$D$2:$D$106,BG$2,'Additions (monthly)'!$B$2:$B$106,"&lt;="&amp;$B139)</f>
        <v>0</v>
      </c>
      <c r="BH139" s="46" t="n">
        <f aca="false">SUMIFS('Additions (monthly)'!$E$2:$E$106,'Additions (monthly)'!$D$2:$D$106,BH$2,'Additions (monthly)'!$B$2:$B$106,"&lt;="&amp;$B139)</f>
        <v>25</v>
      </c>
      <c r="BI139" s="46" t="n">
        <f aca="false">SUMIFS('Additions (monthly)'!$E$2:$E$106,'Additions (monthly)'!$D$2:$D$106,BI$2,'Additions (monthly)'!$B$2:$B$106,"&lt;="&amp;$B139)</f>
        <v>6.7</v>
      </c>
    </row>
    <row r="140" customFormat="false" ht="15" hidden="false" customHeight="false" outlineLevel="0" collapsed="false">
      <c r="A140" s="44" t="n">
        <v>44348</v>
      </c>
      <c r="B140" s="45" t="n">
        <v>202106</v>
      </c>
      <c r="C140" s="42" t="n">
        <f aca="false">SUMIFS('Additions (monthly)'!$E$2:$E$106,'Additions (monthly)'!$B$2:$B$106,"&lt;="&amp;$B140)</f>
        <v>457.38</v>
      </c>
      <c r="D140" s="46" t="n">
        <f aca="false">SUMIFS('Additions (monthly)'!$E$2:$E$106,'Additions (monthly)'!$D$2:$D$106,D$2,'Additions (monthly)'!$B$2:$B$106,"&lt;="&amp;$B140)</f>
        <v>7.9</v>
      </c>
      <c r="E140" s="46" t="n">
        <f aca="false">SUMIFS('Additions (monthly)'!$E$2:$E$106,'Additions (monthly)'!$D$2:$D$106,E$2,'Additions (monthly)'!$B$2:$B$106,"&lt;="&amp;$B140)</f>
        <v>8.4</v>
      </c>
      <c r="F140" s="46" t="n">
        <f aca="false">SUMIFS('Additions (monthly)'!$E$2:$E$106,'Additions (monthly)'!$D$2:$D$106,F$2,'Additions (monthly)'!$B$2:$B$106,"&lt;="&amp;$B140)</f>
        <v>4.7</v>
      </c>
      <c r="G140" s="46" t="n">
        <f aca="false">SUMIFS('Additions (monthly)'!$E$2:$E$106,'Additions (monthly)'!$D$2:$D$106,G$2,'Additions (monthly)'!$B$2:$B$106,"&lt;="&amp;$B140)</f>
        <v>4.5</v>
      </c>
      <c r="H140" s="46" t="n">
        <f aca="false">SUMIFS('Additions (monthly)'!$E$2:$E$106,'Additions (monthly)'!$D$2:$D$106,H$2,'Additions (monthly)'!$B$2:$B$106,"&lt;="&amp;$B140)</f>
        <v>5.2</v>
      </c>
      <c r="I140" s="46" t="n">
        <f aca="false">SUMIFS('Additions (monthly)'!$E$2:$E$106,'Additions (monthly)'!$D$2:$D$106,I$2,'Additions (monthly)'!$B$2:$B$106,"&lt;="&amp;$B140)</f>
        <v>9</v>
      </c>
      <c r="J140" s="46" t="n">
        <f aca="false">SUMIFS('Additions (monthly)'!$E$2:$E$106,'Additions (monthly)'!$D$2:$D$106,J$2,'Additions (monthly)'!$B$2:$B$106,"&lt;="&amp;$B140)</f>
        <v>3.7</v>
      </c>
      <c r="K140" s="46" t="n">
        <f aca="false">SUMIFS('Additions (monthly)'!$E$2:$E$106,'Additions (monthly)'!$D$2:$D$106,K$2,'Additions (monthly)'!$B$2:$B$106,"&lt;="&amp;$B140)</f>
        <v>7.8</v>
      </c>
      <c r="L140" s="46" t="n">
        <f aca="false">SUMIFS('Additions (monthly)'!$E$2:$E$106,'Additions (monthly)'!$D$2:$D$106,L$2,'Additions (monthly)'!$B$2:$B$106,"&lt;="&amp;$B140)</f>
        <v>15.6</v>
      </c>
      <c r="M140" s="46" t="n">
        <f aca="false">SUMIFS('Additions (monthly)'!$E$2:$E$106,'Additions (monthly)'!$D$2:$D$106,M$2,'Additions (monthly)'!$B$2:$B$106,"&lt;="&amp;$B140)</f>
        <v>8.9</v>
      </c>
      <c r="N140" s="46" t="n">
        <f aca="false">SUMIFS('Additions (monthly)'!$E$2:$E$106,'Additions (monthly)'!$D$2:$D$106,N$2,'Additions (monthly)'!$B$2:$B$106,"&lt;="&amp;$B140)</f>
        <v>14.2</v>
      </c>
      <c r="O140" s="46" t="n">
        <f aca="false">SUMIFS('Additions (monthly)'!$E$2:$E$106,'Additions (monthly)'!$D$2:$D$106,O$2,'Additions (monthly)'!$B$2:$B$106,"&lt;="&amp;$B140)</f>
        <v>4.9</v>
      </c>
      <c r="P140" s="46" t="n">
        <f aca="false">SUMIFS('Additions (monthly)'!$E$2:$E$106,'Additions (monthly)'!$D$2:$D$106,P$2,'Additions (monthly)'!$B$2:$B$106,"&lt;="&amp;$B140)</f>
        <v>3.6</v>
      </c>
      <c r="Q140" s="46" t="n">
        <f aca="false">SUMIFS('Additions (monthly)'!$E$2:$E$106,'Additions (monthly)'!$D$2:$D$106,Q$2,'Additions (monthly)'!$B$2:$B$106,"&lt;="&amp;$B140)</f>
        <v>8.5</v>
      </c>
      <c r="R140" s="46" t="n">
        <f aca="false">SUMIFS('Additions (monthly)'!$E$2:$E$106,'Additions (monthly)'!$D$2:$D$106,R$2,'Additions (monthly)'!$B$2:$B$106,"&lt;="&amp;$B140)</f>
        <v>8.9</v>
      </c>
      <c r="S140" s="46" t="n">
        <f aca="false">SUMIFS('Additions (monthly)'!$E$2:$E$106,'Additions (monthly)'!$D$2:$D$106,S$2,'Additions (monthly)'!$B$2:$B$106,"&lt;="&amp;$B140)</f>
        <v>7.2</v>
      </c>
      <c r="T140" s="46" t="n">
        <f aca="false">SUMIFS('Additions (monthly)'!$E$2:$E$106,'Additions (monthly)'!$D$2:$D$106,T$2,'Additions (monthly)'!$B$2:$B$106,"&lt;="&amp;$B140)</f>
        <v>2.4</v>
      </c>
      <c r="U140" s="46" t="n">
        <f aca="false">SUMIFS('Additions (monthly)'!$E$2:$E$106,'Additions (monthly)'!$D$2:$D$106,U$2,'Additions (monthly)'!$B$2:$B$106,"&lt;="&amp;$B140)</f>
        <v>0</v>
      </c>
      <c r="V140" s="46" t="n">
        <f aca="false">SUMIFS('Additions (monthly)'!$E$2:$E$106,'Additions (monthly)'!$D$2:$D$106,V$2,'Additions (monthly)'!$B$2:$B$106,"&lt;="&amp;$B140)</f>
        <v>3.87</v>
      </c>
      <c r="W140" s="46" t="n">
        <f aca="false">SUMIFS('Additions (monthly)'!$E$2:$E$106,'Additions (monthly)'!$D$2:$D$106,W$2,'Additions (monthly)'!$B$2:$B$106,"&lt;="&amp;$B140)</f>
        <v>0</v>
      </c>
      <c r="X140" s="46" t="n">
        <f aca="false">SUMIFS('Additions (monthly)'!$E$2:$E$106,'Additions (monthly)'!$D$2:$D$106,X$2,'Additions (monthly)'!$B$2:$B$106,"&lt;="&amp;$B140)</f>
        <v>0</v>
      </c>
      <c r="Y140" s="46" t="n">
        <f aca="false">SUMIFS('Additions (monthly)'!$E$2:$E$106,'Additions (monthly)'!$D$2:$D$106,Y$2,'Additions (monthly)'!$B$2:$B$106,"&lt;="&amp;$B140)</f>
        <v>5</v>
      </c>
      <c r="Z140" s="46" t="n">
        <f aca="false">SUMIFS('Additions (monthly)'!$E$2:$E$106,'Additions (monthly)'!$D$2:$D$106,Z$2,'Additions (monthly)'!$B$2:$B$106,"&lt;="&amp;$B140)</f>
        <v>7.2</v>
      </c>
      <c r="AA140" s="46" t="n">
        <f aca="false">SUMIFS('Additions (monthly)'!$E$2:$E$106,'Additions (monthly)'!$D$2:$D$106,AA$2,'Additions (monthly)'!$B$2:$B$106,"&lt;="&amp;$B140)</f>
        <v>3.7</v>
      </c>
      <c r="AB140" s="46" t="n">
        <f aca="false">SUMIFS('Additions (monthly)'!$E$2:$E$106,'Additions (monthly)'!$D$2:$D$106,AB$2,'Additions (monthly)'!$B$2:$B$106,"&lt;="&amp;$B140)</f>
        <v>16.95</v>
      </c>
      <c r="AC140" s="46" t="n">
        <f aca="false">SUMIFS('Additions (monthly)'!$E$2:$E$106,'Additions (monthly)'!$D$2:$D$106,AC$2,'Additions (monthly)'!$B$2:$B$106,"&lt;="&amp;$B140)</f>
        <v>2</v>
      </c>
      <c r="AD140" s="46" t="n">
        <f aca="false">SUMIFS('Additions (monthly)'!$E$2:$E$106,'Additions (monthly)'!$D$2:$D$106,AD$2,'Additions (monthly)'!$B$2:$B$106,"&lt;="&amp;$B140)</f>
        <v>7.6</v>
      </c>
      <c r="AE140" s="46" t="n">
        <f aca="false">SUMIFS('Additions (monthly)'!$E$2:$E$106,'Additions (monthly)'!$D$2:$D$106,AE$2,'Additions (monthly)'!$B$2:$B$106,"&lt;="&amp;$B140)</f>
        <v>29.3</v>
      </c>
      <c r="AF140" s="46" t="n">
        <f aca="false">SUMIFS('Additions (monthly)'!$E$2:$E$106,'Additions (monthly)'!$D$2:$D$106,AF$2,'Additions (monthly)'!$B$2:$B$106,"&lt;="&amp;$B140)</f>
        <v>1.2</v>
      </c>
      <c r="AG140" s="46" t="n">
        <f aca="false">SUMIFS('Additions (monthly)'!$E$2:$E$106,'Additions (monthly)'!$D$2:$D$106,AG$2,'Additions (monthly)'!$B$2:$B$106,"&lt;="&amp;$B140)</f>
        <v>1.5</v>
      </c>
      <c r="AH140" s="46" t="n">
        <f aca="false">SUMIFS('Additions (monthly)'!$E$2:$E$106,'Additions (monthly)'!$D$2:$D$106,AH$2,'Additions (monthly)'!$B$2:$B$106,"&lt;="&amp;$B140)</f>
        <v>0</v>
      </c>
      <c r="AI140" s="46" t="n">
        <f aca="false">SUMIFS('Additions (monthly)'!$E$2:$E$106,'Additions (monthly)'!$D$2:$D$106,AI$2,'Additions (monthly)'!$B$2:$B$106,"&lt;="&amp;$B140)</f>
        <v>0</v>
      </c>
      <c r="AJ140" s="46" t="n">
        <f aca="false">SUMIFS('Additions (monthly)'!$E$2:$E$106,'Additions (monthly)'!$D$2:$D$106,AJ$2,'Additions (monthly)'!$B$2:$B$106,"&lt;="&amp;$B140)</f>
        <v>0</v>
      </c>
      <c r="AK140" s="46" t="n">
        <f aca="false">SUMIFS('Additions (monthly)'!$E$2:$E$106,'Additions (monthly)'!$D$2:$D$106,AK$2,'Additions (monthly)'!$B$2:$B$106,"&lt;="&amp;$B140)</f>
        <v>0</v>
      </c>
      <c r="AL140" s="46" t="n">
        <f aca="false">SUMIFS('Additions (monthly)'!$E$2:$E$106,'Additions (monthly)'!$D$2:$D$106,AL$2,'Additions (monthly)'!$B$2:$B$106,"&lt;="&amp;$B140)</f>
        <v>22.2</v>
      </c>
      <c r="AM140" s="46" t="n">
        <f aca="false">SUMIFS('Additions (monthly)'!$E$2:$E$106,'Additions (monthly)'!$D$2:$D$106,AM$2,'Additions (monthly)'!$B$2:$B$106,"&lt;="&amp;$B140)</f>
        <v>0.3</v>
      </c>
      <c r="AN140" s="46" t="n">
        <f aca="false">SUMIFS('Additions (monthly)'!$E$2:$E$106,'Additions (monthly)'!$D$2:$D$106,AN$2,'Additions (monthly)'!$B$2:$B$106,"&lt;="&amp;$B140)</f>
        <v>4.3</v>
      </c>
      <c r="AO140" s="46" t="n">
        <f aca="false">SUMIFS('Additions (monthly)'!$E$2:$E$106,'Additions (monthly)'!$D$2:$D$106,AO$2,'Additions (monthly)'!$B$2:$B$106,"&lt;="&amp;$B140)</f>
        <v>10.4</v>
      </c>
      <c r="AP140" s="46" t="n">
        <f aca="false">SUMIFS('Additions (monthly)'!$E$2:$E$106,'Additions (monthly)'!$D$2:$D$106,AP$2,'Additions (monthly)'!$B$2:$B$106,"&lt;="&amp;$B140)</f>
        <v>6.9</v>
      </c>
      <c r="AQ140" s="46" t="n">
        <f aca="false">SUMIFS('Additions (monthly)'!$E$2:$E$106,'Additions (monthly)'!$D$2:$D$106,AQ$2,'Additions (monthly)'!$B$2:$B$106,"&lt;="&amp;$B140)</f>
        <v>4.45</v>
      </c>
      <c r="AR140" s="46" t="n">
        <f aca="false">SUMIFS('Additions (monthly)'!$E$2:$E$106,'Additions (monthly)'!$D$2:$D$106,AR$2,'Additions (monthly)'!$B$2:$B$106,"&lt;="&amp;$B140)</f>
        <v>77.1</v>
      </c>
      <c r="AS140" s="46" t="n">
        <f aca="false">SUMIFS('Additions (monthly)'!$E$2:$E$106,'Additions (monthly)'!$D$2:$D$106,AS$2,'Additions (monthly)'!$B$2:$B$106,"&lt;="&amp;$B140)</f>
        <v>0</v>
      </c>
      <c r="AT140" s="46" t="n">
        <f aca="false">SUMIFS('Additions (monthly)'!$E$2:$E$106,'Additions (monthly)'!$D$2:$D$106,AT$2,'Additions (monthly)'!$B$2:$B$106,"&lt;="&amp;$B140)</f>
        <v>0</v>
      </c>
      <c r="AU140" s="46" t="n">
        <f aca="false">SUMIFS('Additions (monthly)'!$E$2:$E$106,'Additions (monthly)'!$D$2:$D$106,AU$2,'Additions (monthly)'!$B$2:$B$106,"&lt;="&amp;$B140)</f>
        <v>9.6</v>
      </c>
      <c r="AV140" s="46" t="n">
        <f aca="false">SUMIFS('Additions (monthly)'!$E$2:$E$106,'Additions (monthly)'!$D$2:$D$106,AV$2,'Additions (monthly)'!$B$2:$B$106,"&lt;="&amp;$B140)</f>
        <v>0.66</v>
      </c>
      <c r="AW140" s="46" t="n">
        <f aca="false">SUMIFS('Additions (monthly)'!$E$2:$E$106,'Additions (monthly)'!$D$2:$D$106,AW$2,'Additions (monthly)'!$B$2:$B$106,"&lt;="&amp;$B140)</f>
        <v>17.4</v>
      </c>
      <c r="AX140" s="46" t="n">
        <f aca="false">SUMIFS('Additions (monthly)'!$E$2:$E$106,'Additions (monthly)'!$D$2:$D$106,AX$2,'Additions (monthly)'!$B$2:$B$106,"&lt;="&amp;$B140)</f>
        <v>11.8</v>
      </c>
      <c r="AY140" s="46" t="n">
        <f aca="false">SUMIFS('Additions (monthly)'!$E$2:$E$106,'Additions (monthly)'!$D$2:$D$106,AY$2,'Additions (monthly)'!$B$2:$B$106,"&lt;="&amp;$B140)</f>
        <v>5.3</v>
      </c>
      <c r="AZ140" s="46" t="n">
        <f aca="false">SUMIFS('Additions (monthly)'!$E$2:$E$106,'Additions (monthly)'!$D$2:$D$106,AZ$2,'Additions (monthly)'!$B$2:$B$106,"&lt;="&amp;$B140)</f>
        <v>0</v>
      </c>
      <c r="BA140" s="46" t="n">
        <f aca="false">SUMIFS('Additions (monthly)'!$E$2:$E$106,'Additions (monthly)'!$D$2:$D$106,BA$2,'Additions (monthly)'!$B$2:$B$106,"&lt;="&amp;$B140)</f>
        <v>13.5</v>
      </c>
      <c r="BB140" s="46" t="n">
        <f aca="false">SUMIFS('Additions (monthly)'!$E$2:$E$106,'Additions (monthly)'!$D$2:$D$106,BB$2,'Additions (monthly)'!$B$2:$B$106,"&lt;="&amp;$B140)</f>
        <v>15</v>
      </c>
      <c r="BC140" s="46" t="n">
        <f aca="false">SUMIFS('Additions (monthly)'!$E$2:$E$106,'Additions (monthly)'!$D$2:$D$106,BC$2,'Additions (monthly)'!$B$2:$B$106,"&lt;="&amp;$B140)</f>
        <v>5.25</v>
      </c>
      <c r="BD140" s="46" t="n">
        <f aca="false">SUMIFS('Additions (monthly)'!$E$2:$E$106,'Additions (monthly)'!$D$2:$D$106,BD$2,'Additions (monthly)'!$B$2:$B$106,"&lt;="&amp;$B140)</f>
        <v>2.5</v>
      </c>
      <c r="BE140" s="46" t="n">
        <f aca="false">SUMIFS('Additions (monthly)'!$E$2:$E$106,'Additions (monthly)'!$D$2:$D$106,BE$2,'Additions (monthly)'!$B$2:$B$106,"&lt;="&amp;$B140)</f>
        <v>15.3</v>
      </c>
      <c r="BF140" s="46" t="n">
        <f aca="false">SUMIFS('Additions (monthly)'!$E$2:$E$106,'Additions (monthly)'!$D$2:$D$106,BF$2,'Additions (monthly)'!$B$2:$B$106,"&lt;="&amp;$B140)</f>
        <v>0</v>
      </c>
      <c r="BG140" s="46" t="n">
        <f aca="false">SUMIFS('Additions (monthly)'!$E$2:$E$106,'Additions (monthly)'!$D$2:$D$106,BG$2,'Additions (monthly)'!$B$2:$B$106,"&lt;="&amp;$B140)</f>
        <v>0</v>
      </c>
      <c r="BH140" s="46" t="n">
        <f aca="false">SUMIFS('Additions (monthly)'!$E$2:$E$106,'Additions (monthly)'!$D$2:$D$106,BH$2,'Additions (monthly)'!$B$2:$B$106,"&lt;="&amp;$B140)</f>
        <v>25</v>
      </c>
      <c r="BI140" s="46" t="n">
        <f aca="false">SUMIFS('Additions (monthly)'!$E$2:$E$106,'Additions (monthly)'!$D$2:$D$106,BI$2,'Additions (monthly)'!$B$2:$B$106,"&lt;="&amp;$B140)</f>
        <v>6.7</v>
      </c>
    </row>
    <row r="141" customFormat="false" ht="15" hidden="false" customHeight="false" outlineLevel="0" collapsed="false">
      <c r="A141" s="44" t="n">
        <v>44378</v>
      </c>
      <c r="B141" s="45" t="n">
        <v>202107</v>
      </c>
      <c r="C141" s="42" t="n">
        <f aca="false">SUMIFS('Additions (monthly)'!$E$2:$E$106,'Additions (monthly)'!$B$2:$B$106,"&lt;="&amp;$B141)</f>
        <v>457.38</v>
      </c>
      <c r="D141" s="46" t="n">
        <f aca="false">SUMIFS('Additions (monthly)'!$E$2:$E$106,'Additions (monthly)'!$D$2:$D$106,D$2,'Additions (monthly)'!$B$2:$B$106,"&lt;="&amp;$B141)</f>
        <v>7.9</v>
      </c>
      <c r="E141" s="46" t="n">
        <f aca="false">SUMIFS('Additions (monthly)'!$E$2:$E$106,'Additions (monthly)'!$D$2:$D$106,E$2,'Additions (monthly)'!$B$2:$B$106,"&lt;="&amp;$B141)</f>
        <v>8.4</v>
      </c>
      <c r="F141" s="46" t="n">
        <f aca="false">SUMIFS('Additions (monthly)'!$E$2:$E$106,'Additions (monthly)'!$D$2:$D$106,F$2,'Additions (monthly)'!$B$2:$B$106,"&lt;="&amp;$B141)</f>
        <v>4.7</v>
      </c>
      <c r="G141" s="46" t="n">
        <f aca="false">SUMIFS('Additions (monthly)'!$E$2:$E$106,'Additions (monthly)'!$D$2:$D$106,G$2,'Additions (monthly)'!$B$2:$B$106,"&lt;="&amp;$B141)</f>
        <v>4.5</v>
      </c>
      <c r="H141" s="46" t="n">
        <f aca="false">SUMIFS('Additions (monthly)'!$E$2:$E$106,'Additions (monthly)'!$D$2:$D$106,H$2,'Additions (monthly)'!$B$2:$B$106,"&lt;="&amp;$B141)</f>
        <v>5.2</v>
      </c>
      <c r="I141" s="46" t="n">
        <f aca="false">SUMIFS('Additions (monthly)'!$E$2:$E$106,'Additions (monthly)'!$D$2:$D$106,I$2,'Additions (monthly)'!$B$2:$B$106,"&lt;="&amp;$B141)</f>
        <v>9</v>
      </c>
      <c r="J141" s="46" t="n">
        <f aca="false">SUMIFS('Additions (monthly)'!$E$2:$E$106,'Additions (monthly)'!$D$2:$D$106,J$2,'Additions (monthly)'!$B$2:$B$106,"&lt;="&amp;$B141)</f>
        <v>3.7</v>
      </c>
      <c r="K141" s="46" t="n">
        <f aca="false">SUMIFS('Additions (monthly)'!$E$2:$E$106,'Additions (monthly)'!$D$2:$D$106,K$2,'Additions (monthly)'!$B$2:$B$106,"&lt;="&amp;$B141)</f>
        <v>7.8</v>
      </c>
      <c r="L141" s="46" t="n">
        <f aca="false">SUMIFS('Additions (monthly)'!$E$2:$E$106,'Additions (monthly)'!$D$2:$D$106,L$2,'Additions (monthly)'!$B$2:$B$106,"&lt;="&amp;$B141)</f>
        <v>15.6</v>
      </c>
      <c r="M141" s="46" t="n">
        <f aca="false">SUMIFS('Additions (monthly)'!$E$2:$E$106,'Additions (monthly)'!$D$2:$D$106,M$2,'Additions (monthly)'!$B$2:$B$106,"&lt;="&amp;$B141)</f>
        <v>8.9</v>
      </c>
      <c r="N141" s="46" t="n">
        <f aca="false">SUMIFS('Additions (monthly)'!$E$2:$E$106,'Additions (monthly)'!$D$2:$D$106,N$2,'Additions (monthly)'!$B$2:$B$106,"&lt;="&amp;$B141)</f>
        <v>14.2</v>
      </c>
      <c r="O141" s="46" t="n">
        <f aca="false">SUMIFS('Additions (monthly)'!$E$2:$E$106,'Additions (monthly)'!$D$2:$D$106,O$2,'Additions (monthly)'!$B$2:$B$106,"&lt;="&amp;$B141)</f>
        <v>4.9</v>
      </c>
      <c r="P141" s="46" t="n">
        <f aca="false">SUMIFS('Additions (monthly)'!$E$2:$E$106,'Additions (monthly)'!$D$2:$D$106,P$2,'Additions (monthly)'!$B$2:$B$106,"&lt;="&amp;$B141)</f>
        <v>3.6</v>
      </c>
      <c r="Q141" s="46" t="n">
        <f aca="false">SUMIFS('Additions (monthly)'!$E$2:$E$106,'Additions (monthly)'!$D$2:$D$106,Q$2,'Additions (monthly)'!$B$2:$B$106,"&lt;="&amp;$B141)</f>
        <v>8.5</v>
      </c>
      <c r="R141" s="46" t="n">
        <f aca="false">SUMIFS('Additions (monthly)'!$E$2:$E$106,'Additions (monthly)'!$D$2:$D$106,R$2,'Additions (monthly)'!$B$2:$B$106,"&lt;="&amp;$B141)</f>
        <v>8.9</v>
      </c>
      <c r="S141" s="46" t="n">
        <f aca="false">SUMIFS('Additions (monthly)'!$E$2:$E$106,'Additions (monthly)'!$D$2:$D$106,S$2,'Additions (monthly)'!$B$2:$B$106,"&lt;="&amp;$B141)</f>
        <v>7.2</v>
      </c>
      <c r="T141" s="46" t="n">
        <f aca="false">SUMIFS('Additions (monthly)'!$E$2:$E$106,'Additions (monthly)'!$D$2:$D$106,T$2,'Additions (monthly)'!$B$2:$B$106,"&lt;="&amp;$B141)</f>
        <v>2.4</v>
      </c>
      <c r="U141" s="46" t="n">
        <f aca="false">SUMIFS('Additions (monthly)'!$E$2:$E$106,'Additions (monthly)'!$D$2:$D$106,U$2,'Additions (monthly)'!$B$2:$B$106,"&lt;="&amp;$B141)</f>
        <v>0</v>
      </c>
      <c r="V141" s="46" t="n">
        <f aca="false">SUMIFS('Additions (monthly)'!$E$2:$E$106,'Additions (monthly)'!$D$2:$D$106,V$2,'Additions (monthly)'!$B$2:$B$106,"&lt;="&amp;$B141)</f>
        <v>3.87</v>
      </c>
      <c r="W141" s="46" t="n">
        <f aca="false">SUMIFS('Additions (monthly)'!$E$2:$E$106,'Additions (monthly)'!$D$2:$D$106,W$2,'Additions (monthly)'!$B$2:$B$106,"&lt;="&amp;$B141)</f>
        <v>0</v>
      </c>
      <c r="X141" s="46" t="n">
        <f aca="false">SUMIFS('Additions (monthly)'!$E$2:$E$106,'Additions (monthly)'!$D$2:$D$106,X$2,'Additions (monthly)'!$B$2:$B$106,"&lt;="&amp;$B141)</f>
        <v>0</v>
      </c>
      <c r="Y141" s="46" t="n">
        <f aca="false">SUMIFS('Additions (monthly)'!$E$2:$E$106,'Additions (monthly)'!$D$2:$D$106,Y$2,'Additions (monthly)'!$B$2:$B$106,"&lt;="&amp;$B141)</f>
        <v>5</v>
      </c>
      <c r="Z141" s="46" t="n">
        <f aca="false">SUMIFS('Additions (monthly)'!$E$2:$E$106,'Additions (monthly)'!$D$2:$D$106,Z$2,'Additions (monthly)'!$B$2:$B$106,"&lt;="&amp;$B141)</f>
        <v>7.2</v>
      </c>
      <c r="AA141" s="46" t="n">
        <f aca="false">SUMIFS('Additions (monthly)'!$E$2:$E$106,'Additions (monthly)'!$D$2:$D$106,AA$2,'Additions (monthly)'!$B$2:$B$106,"&lt;="&amp;$B141)</f>
        <v>3.7</v>
      </c>
      <c r="AB141" s="46" t="n">
        <f aca="false">SUMIFS('Additions (monthly)'!$E$2:$E$106,'Additions (monthly)'!$D$2:$D$106,AB$2,'Additions (monthly)'!$B$2:$B$106,"&lt;="&amp;$B141)</f>
        <v>16.95</v>
      </c>
      <c r="AC141" s="46" t="n">
        <f aca="false">SUMIFS('Additions (monthly)'!$E$2:$E$106,'Additions (monthly)'!$D$2:$D$106,AC$2,'Additions (monthly)'!$B$2:$B$106,"&lt;="&amp;$B141)</f>
        <v>2</v>
      </c>
      <c r="AD141" s="46" t="n">
        <f aca="false">SUMIFS('Additions (monthly)'!$E$2:$E$106,'Additions (monthly)'!$D$2:$D$106,AD$2,'Additions (monthly)'!$B$2:$B$106,"&lt;="&amp;$B141)</f>
        <v>7.6</v>
      </c>
      <c r="AE141" s="46" t="n">
        <f aca="false">SUMIFS('Additions (monthly)'!$E$2:$E$106,'Additions (monthly)'!$D$2:$D$106,AE$2,'Additions (monthly)'!$B$2:$B$106,"&lt;="&amp;$B141)</f>
        <v>29.3</v>
      </c>
      <c r="AF141" s="46" t="n">
        <f aca="false">SUMIFS('Additions (monthly)'!$E$2:$E$106,'Additions (monthly)'!$D$2:$D$106,AF$2,'Additions (monthly)'!$B$2:$B$106,"&lt;="&amp;$B141)</f>
        <v>1.2</v>
      </c>
      <c r="AG141" s="46" t="n">
        <f aca="false">SUMIFS('Additions (monthly)'!$E$2:$E$106,'Additions (monthly)'!$D$2:$D$106,AG$2,'Additions (monthly)'!$B$2:$B$106,"&lt;="&amp;$B141)</f>
        <v>1.5</v>
      </c>
      <c r="AH141" s="46" t="n">
        <f aca="false">SUMIFS('Additions (monthly)'!$E$2:$E$106,'Additions (monthly)'!$D$2:$D$106,AH$2,'Additions (monthly)'!$B$2:$B$106,"&lt;="&amp;$B141)</f>
        <v>0</v>
      </c>
      <c r="AI141" s="46" t="n">
        <f aca="false">SUMIFS('Additions (monthly)'!$E$2:$E$106,'Additions (monthly)'!$D$2:$D$106,AI$2,'Additions (monthly)'!$B$2:$B$106,"&lt;="&amp;$B141)</f>
        <v>0</v>
      </c>
      <c r="AJ141" s="46" t="n">
        <f aca="false">SUMIFS('Additions (monthly)'!$E$2:$E$106,'Additions (monthly)'!$D$2:$D$106,AJ$2,'Additions (monthly)'!$B$2:$B$106,"&lt;="&amp;$B141)</f>
        <v>0</v>
      </c>
      <c r="AK141" s="46" t="n">
        <f aca="false">SUMIFS('Additions (monthly)'!$E$2:$E$106,'Additions (monthly)'!$D$2:$D$106,AK$2,'Additions (monthly)'!$B$2:$B$106,"&lt;="&amp;$B141)</f>
        <v>0</v>
      </c>
      <c r="AL141" s="46" t="n">
        <f aca="false">SUMIFS('Additions (monthly)'!$E$2:$E$106,'Additions (monthly)'!$D$2:$D$106,AL$2,'Additions (monthly)'!$B$2:$B$106,"&lt;="&amp;$B141)</f>
        <v>22.2</v>
      </c>
      <c r="AM141" s="46" t="n">
        <f aca="false">SUMIFS('Additions (monthly)'!$E$2:$E$106,'Additions (monthly)'!$D$2:$D$106,AM$2,'Additions (monthly)'!$B$2:$B$106,"&lt;="&amp;$B141)</f>
        <v>0.3</v>
      </c>
      <c r="AN141" s="46" t="n">
        <f aca="false">SUMIFS('Additions (monthly)'!$E$2:$E$106,'Additions (monthly)'!$D$2:$D$106,AN$2,'Additions (monthly)'!$B$2:$B$106,"&lt;="&amp;$B141)</f>
        <v>4.3</v>
      </c>
      <c r="AO141" s="46" t="n">
        <f aca="false">SUMIFS('Additions (monthly)'!$E$2:$E$106,'Additions (monthly)'!$D$2:$D$106,AO$2,'Additions (monthly)'!$B$2:$B$106,"&lt;="&amp;$B141)</f>
        <v>10.4</v>
      </c>
      <c r="AP141" s="46" t="n">
        <f aca="false">SUMIFS('Additions (monthly)'!$E$2:$E$106,'Additions (monthly)'!$D$2:$D$106,AP$2,'Additions (monthly)'!$B$2:$B$106,"&lt;="&amp;$B141)</f>
        <v>6.9</v>
      </c>
      <c r="AQ141" s="46" t="n">
        <f aca="false">SUMIFS('Additions (monthly)'!$E$2:$E$106,'Additions (monthly)'!$D$2:$D$106,AQ$2,'Additions (monthly)'!$B$2:$B$106,"&lt;="&amp;$B141)</f>
        <v>4.45</v>
      </c>
      <c r="AR141" s="46" t="n">
        <f aca="false">SUMIFS('Additions (monthly)'!$E$2:$E$106,'Additions (monthly)'!$D$2:$D$106,AR$2,'Additions (monthly)'!$B$2:$B$106,"&lt;="&amp;$B141)</f>
        <v>77.1</v>
      </c>
      <c r="AS141" s="46" t="n">
        <f aca="false">SUMIFS('Additions (monthly)'!$E$2:$E$106,'Additions (monthly)'!$D$2:$D$106,AS$2,'Additions (monthly)'!$B$2:$B$106,"&lt;="&amp;$B141)</f>
        <v>0</v>
      </c>
      <c r="AT141" s="46" t="n">
        <f aca="false">SUMIFS('Additions (monthly)'!$E$2:$E$106,'Additions (monthly)'!$D$2:$D$106,AT$2,'Additions (monthly)'!$B$2:$B$106,"&lt;="&amp;$B141)</f>
        <v>0</v>
      </c>
      <c r="AU141" s="46" t="n">
        <f aca="false">SUMIFS('Additions (monthly)'!$E$2:$E$106,'Additions (monthly)'!$D$2:$D$106,AU$2,'Additions (monthly)'!$B$2:$B$106,"&lt;="&amp;$B141)</f>
        <v>9.6</v>
      </c>
      <c r="AV141" s="46" t="n">
        <f aca="false">SUMIFS('Additions (monthly)'!$E$2:$E$106,'Additions (monthly)'!$D$2:$D$106,AV$2,'Additions (monthly)'!$B$2:$B$106,"&lt;="&amp;$B141)</f>
        <v>0.66</v>
      </c>
      <c r="AW141" s="46" t="n">
        <f aca="false">SUMIFS('Additions (monthly)'!$E$2:$E$106,'Additions (monthly)'!$D$2:$D$106,AW$2,'Additions (monthly)'!$B$2:$B$106,"&lt;="&amp;$B141)</f>
        <v>17.4</v>
      </c>
      <c r="AX141" s="46" t="n">
        <f aca="false">SUMIFS('Additions (monthly)'!$E$2:$E$106,'Additions (monthly)'!$D$2:$D$106,AX$2,'Additions (monthly)'!$B$2:$B$106,"&lt;="&amp;$B141)</f>
        <v>11.8</v>
      </c>
      <c r="AY141" s="46" t="n">
        <f aca="false">SUMIFS('Additions (monthly)'!$E$2:$E$106,'Additions (monthly)'!$D$2:$D$106,AY$2,'Additions (monthly)'!$B$2:$B$106,"&lt;="&amp;$B141)</f>
        <v>5.3</v>
      </c>
      <c r="AZ141" s="46" t="n">
        <f aca="false">SUMIFS('Additions (monthly)'!$E$2:$E$106,'Additions (monthly)'!$D$2:$D$106,AZ$2,'Additions (monthly)'!$B$2:$B$106,"&lt;="&amp;$B141)</f>
        <v>0</v>
      </c>
      <c r="BA141" s="46" t="n">
        <f aca="false">SUMIFS('Additions (monthly)'!$E$2:$E$106,'Additions (monthly)'!$D$2:$D$106,BA$2,'Additions (monthly)'!$B$2:$B$106,"&lt;="&amp;$B141)</f>
        <v>13.5</v>
      </c>
      <c r="BB141" s="46" t="n">
        <f aca="false">SUMIFS('Additions (monthly)'!$E$2:$E$106,'Additions (monthly)'!$D$2:$D$106,BB$2,'Additions (monthly)'!$B$2:$B$106,"&lt;="&amp;$B141)</f>
        <v>15</v>
      </c>
      <c r="BC141" s="46" t="n">
        <f aca="false">SUMIFS('Additions (monthly)'!$E$2:$E$106,'Additions (monthly)'!$D$2:$D$106,BC$2,'Additions (monthly)'!$B$2:$B$106,"&lt;="&amp;$B141)</f>
        <v>5.25</v>
      </c>
      <c r="BD141" s="46" t="n">
        <f aca="false">SUMIFS('Additions (monthly)'!$E$2:$E$106,'Additions (monthly)'!$D$2:$D$106,BD$2,'Additions (monthly)'!$B$2:$B$106,"&lt;="&amp;$B141)</f>
        <v>2.5</v>
      </c>
      <c r="BE141" s="46" t="n">
        <f aca="false">SUMIFS('Additions (monthly)'!$E$2:$E$106,'Additions (monthly)'!$D$2:$D$106,BE$2,'Additions (monthly)'!$B$2:$B$106,"&lt;="&amp;$B141)</f>
        <v>15.3</v>
      </c>
      <c r="BF141" s="46" t="n">
        <f aca="false">SUMIFS('Additions (monthly)'!$E$2:$E$106,'Additions (monthly)'!$D$2:$D$106,BF$2,'Additions (monthly)'!$B$2:$B$106,"&lt;="&amp;$B141)</f>
        <v>0</v>
      </c>
      <c r="BG141" s="46" t="n">
        <f aca="false">SUMIFS('Additions (monthly)'!$E$2:$E$106,'Additions (monthly)'!$D$2:$D$106,BG$2,'Additions (monthly)'!$B$2:$B$106,"&lt;="&amp;$B141)</f>
        <v>0</v>
      </c>
      <c r="BH141" s="46" t="n">
        <f aca="false">SUMIFS('Additions (monthly)'!$E$2:$E$106,'Additions (monthly)'!$D$2:$D$106,BH$2,'Additions (monthly)'!$B$2:$B$106,"&lt;="&amp;$B141)</f>
        <v>25</v>
      </c>
      <c r="BI141" s="46" t="n">
        <f aca="false">SUMIFS('Additions (monthly)'!$E$2:$E$106,'Additions (monthly)'!$D$2:$D$106,BI$2,'Additions (monthly)'!$B$2:$B$106,"&lt;="&amp;$B141)</f>
        <v>6.7</v>
      </c>
    </row>
    <row r="142" customFormat="false" ht="15" hidden="false" customHeight="false" outlineLevel="0" collapsed="false">
      <c r="A142" s="44" t="n">
        <v>44409</v>
      </c>
      <c r="B142" s="45" t="n">
        <v>202108</v>
      </c>
      <c r="C142" s="42" t="n">
        <f aca="false">SUMIFS('Additions (monthly)'!$E$2:$E$106,'Additions (monthly)'!$B$2:$B$106,"&lt;="&amp;$B142)</f>
        <v>457.38</v>
      </c>
      <c r="D142" s="46" t="n">
        <f aca="false">SUMIFS('Additions (monthly)'!$E$2:$E$106,'Additions (monthly)'!$D$2:$D$106,D$2,'Additions (monthly)'!$B$2:$B$106,"&lt;="&amp;$B142)</f>
        <v>7.9</v>
      </c>
      <c r="E142" s="46" t="n">
        <f aca="false">SUMIFS('Additions (monthly)'!$E$2:$E$106,'Additions (monthly)'!$D$2:$D$106,E$2,'Additions (monthly)'!$B$2:$B$106,"&lt;="&amp;$B142)</f>
        <v>8.4</v>
      </c>
      <c r="F142" s="46" t="n">
        <f aca="false">SUMIFS('Additions (monthly)'!$E$2:$E$106,'Additions (monthly)'!$D$2:$D$106,F$2,'Additions (monthly)'!$B$2:$B$106,"&lt;="&amp;$B142)</f>
        <v>4.7</v>
      </c>
      <c r="G142" s="46" t="n">
        <f aca="false">SUMIFS('Additions (monthly)'!$E$2:$E$106,'Additions (monthly)'!$D$2:$D$106,G$2,'Additions (monthly)'!$B$2:$B$106,"&lt;="&amp;$B142)</f>
        <v>4.5</v>
      </c>
      <c r="H142" s="46" t="n">
        <f aca="false">SUMIFS('Additions (monthly)'!$E$2:$E$106,'Additions (monthly)'!$D$2:$D$106,H$2,'Additions (monthly)'!$B$2:$B$106,"&lt;="&amp;$B142)</f>
        <v>5.2</v>
      </c>
      <c r="I142" s="46" t="n">
        <f aca="false">SUMIFS('Additions (monthly)'!$E$2:$E$106,'Additions (monthly)'!$D$2:$D$106,I$2,'Additions (monthly)'!$B$2:$B$106,"&lt;="&amp;$B142)</f>
        <v>9</v>
      </c>
      <c r="J142" s="46" t="n">
        <f aca="false">SUMIFS('Additions (monthly)'!$E$2:$E$106,'Additions (monthly)'!$D$2:$D$106,J$2,'Additions (monthly)'!$B$2:$B$106,"&lt;="&amp;$B142)</f>
        <v>3.7</v>
      </c>
      <c r="K142" s="46" t="n">
        <f aca="false">SUMIFS('Additions (monthly)'!$E$2:$E$106,'Additions (monthly)'!$D$2:$D$106,K$2,'Additions (monthly)'!$B$2:$B$106,"&lt;="&amp;$B142)</f>
        <v>7.8</v>
      </c>
      <c r="L142" s="46" t="n">
        <f aca="false">SUMIFS('Additions (monthly)'!$E$2:$E$106,'Additions (monthly)'!$D$2:$D$106,L$2,'Additions (monthly)'!$B$2:$B$106,"&lt;="&amp;$B142)</f>
        <v>15.6</v>
      </c>
      <c r="M142" s="46" t="n">
        <f aca="false">SUMIFS('Additions (monthly)'!$E$2:$E$106,'Additions (monthly)'!$D$2:$D$106,M$2,'Additions (monthly)'!$B$2:$B$106,"&lt;="&amp;$B142)</f>
        <v>8.9</v>
      </c>
      <c r="N142" s="46" t="n">
        <f aca="false">SUMIFS('Additions (monthly)'!$E$2:$E$106,'Additions (monthly)'!$D$2:$D$106,N$2,'Additions (monthly)'!$B$2:$B$106,"&lt;="&amp;$B142)</f>
        <v>14.2</v>
      </c>
      <c r="O142" s="46" t="n">
        <f aca="false">SUMIFS('Additions (monthly)'!$E$2:$E$106,'Additions (monthly)'!$D$2:$D$106,O$2,'Additions (monthly)'!$B$2:$B$106,"&lt;="&amp;$B142)</f>
        <v>4.9</v>
      </c>
      <c r="P142" s="46" t="n">
        <f aca="false">SUMIFS('Additions (monthly)'!$E$2:$E$106,'Additions (monthly)'!$D$2:$D$106,P$2,'Additions (monthly)'!$B$2:$B$106,"&lt;="&amp;$B142)</f>
        <v>3.6</v>
      </c>
      <c r="Q142" s="46" t="n">
        <f aca="false">SUMIFS('Additions (monthly)'!$E$2:$E$106,'Additions (monthly)'!$D$2:$D$106,Q$2,'Additions (monthly)'!$B$2:$B$106,"&lt;="&amp;$B142)</f>
        <v>8.5</v>
      </c>
      <c r="R142" s="46" t="n">
        <f aca="false">SUMIFS('Additions (monthly)'!$E$2:$E$106,'Additions (monthly)'!$D$2:$D$106,R$2,'Additions (monthly)'!$B$2:$B$106,"&lt;="&amp;$B142)</f>
        <v>8.9</v>
      </c>
      <c r="S142" s="46" t="n">
        <f aca="false">SUMIFS('Additions (monthly)'!$E$2:$E$106,'Additions (monthly)'!$D$2:$D$106,S$2,'Additions (monthly)'!$B$2:$B$106,"&lt;="&amp;$B142)</f>
        <v>7.2</v>
      </c>
      <c r="T142" s="46" t="n">
        <f aca="false">SUMIFS('Additions (monthly)'!$E$2:$E$106,'Additions (monthly)'!$D$2:$D$106,T$2,'Additions (monthly)'!$B$2:$B$106,"&lt;="&amp;$B142)</f>
        <v>2.4</v>
      </c>
      <c r="U142" s="46" t="n">
        <f aca="false">SUMIFS('Additions (monthly)'!$E$2:$E$106,'Additions (monthly)'!$D$2:$D$106,U$2,'Additions (monthly)'!$B$2:$B$106,"&lt;="&amp;$B142)</f>
        <v>0</v>
      </c>
      <c r="V142" s="46" t="n">
        <f aca="false">SUMIFS('Additions (monthly)'!$E$2:$E$106,'Additions (monthly)'!$D$2:$D$106,V$2,'Additions (monthly)'!$B$2:$B$106,"&lt;="&amp;$B142)</f>
        <v>3.87</v>
      </c>
      <c r="W142" s="46" t="n">
        <f aca="false">SUMIFS('Additions (monthly)'!$E$2:$E$106,'Additions (monthly)'!$D$2:$D$106,W$2,'Additions (monthly)'!$B$2:$B$106,"&lt;="&amp;$B142)</f>
        <v>0</v>
      </c>
      <c r="X142" s="46" t="n">
        <f aca="false">SUMIFS('Additions (monthly)'!$E$2:$E$106,'Additions (monthly)'!$D$2:$D$106,X$2,'Additions (monthly)'!$B$2:$B$106,"&lt;="&amp;$B142)</f>
        <v>0</v>
      </c>
      <c r="Y142" s="46" t="n">
        <f aca="false">SUMIFS('Additions (monthly)'!$E$2:$E$106,'Additions (monthly)'!$D$2:$D$106,Y$2,'Additions (monthly)'!$B$2:$B$106,"&lt;="&amp;$B142)</f>
        <v>5</v>
      </c>
      <c r="Z142" s="46" t="n">
        <f aca="false">SUMIFS('Additions (monthly)'!$E$2:$E$106,'Additions (monthly)'!$D$2:$D$106,Z$2,'Additions (monthly)'!$B$2:$B$106,"&lt;="&amp;$B142)</f>
        <v>7.2</v>
      </c>
      <c r="AA142" s="46" t="n">
        <f aca="false">SUMIFS('Additions (monthly)'!$E$2:$E$106,'Additions (monthly)'!$D$2:$D$106,AA$2,'Additions (monthly)'!$B$2:$B$106,"&lt;="&amp;$B142)</f>
        <v>3.7</v>
      </c>
      <c r="AB142" s="46" t="n">
        <f aca="false">SUMIFS('Additions (monthly)'!$E$2:$E$106,'Additions (monthly)'!$D$2:$D$106,AB$2,'Additions (monthly)'!$B$2:$B$106,"&lt;="&amp;$B142)</f>
        <v>16.95</v>
      </c>
      <c r="AC142" s="46" t="n">
        <f aca="false">SUMIFS('Additions (monthly)'!$E$2:$E$106,'Additions (monthly)'!$D$2:$D$106,AC$2,'Additions (monthly)'!$B$2:$B$106,"&lt;="&amp;$B142)</f>
        <v>2</v>
      </c>
      <c r="AD142" s="46" t="n">
        <f aca="false">SUMIFS('Additions (monthly)'!$E$2:$E$106,'Additions (monthly)'!$D$2:$D$106,AD$2,'Additions (monthly)'!$B$2:$B$106,"&lt;="&amp;$B142)</f>
        <v>7.6</v>
      </c>
      <c r="AE142" s="46" t="n">
        <f aca="false">SUMIFS('Additions (monthly)'!$E$2:$E$106,'Additions (monthly)'!$D$2:$D$106,AE$2,'Additions (monthly)'!$B$2:$B$106,"&lt;="&amp;$B142)</f>
        <v>29.3</v>
      </c>
      <c r="AF142" s="46" t="n">
        <f aca="false">SUMIFS('Additions (monthly)'!$E$2:$E$106,'Additions (monthly)'!$D$2:$D$106,AF$2,'Additions (monthly)'!$B$2:$B$106,"&lt;="&amp;$B142)</f>
        <v>1.2</v>
      </c>
      <c r="AG142" s="46" t="n">
        <f aca="false">SUMIFS('Additions (monthly)'!$E$2:$E$106,'Additions (monthly)'!$D$2:$D$106,AG$2,'Additions (monthly)'!$B$2:$B$106,"&lt;="&amp;$B142)</f>
        <v>1.5</v>
      </c>
      <c r="AH142" s="46" t="n">
        <f aca="false">SUMIFS('Additions (monthly)'!$E$2:$E$106,'Additions (monthly)'!$D$2:$D$106,AH$2,'Additions (monthly)'!$B$2:$B$106,"&lt;="&amp;$B142)</f>
        <v>0</v>
      </c>
      <c r="AI142" s="46" t="n">
        <f aca="false">SUMIFS('Additions (monthly)'!$E$2:$E$106,'Additions (monthly)'!$D$2:$D$106,AI$2,'Additions (monthly)'!$B$2:$B$106,"&lt;="&amp;$B142)</f>
        <v>0</v>
      </c>
      <c r="AJ142" s="46" t="n">
        <f aca="false">SUMIFS('Additions (monthly)'!$E$2:$E$106,'Additions (monthly)'!$D$2:$D$106,AJ$2,'Additions (monthly)'!$B$2:$B$106,"&lt;="&amp;$B142)</f>
        <v>0</v>
      </c>
      <c r="AK142" s="46" t="n">
        <f aca="false">SUMIFS('Additions (monthly)'!$E$2:$E$106,'Additions (monthly)'!$D$2:$D$106,AK$2,'Additions (monthly)'!$B$2:$B$106,"&lt;="&amp;$B142)</f>
        <v>0</v>
      </c>
      <c r="AL142" s="46" t="n">
        <f aca="false">SUMIFS('Additions (monthly)'!$E$2:$E$106,'Additions (monthly)'!$D$2:$D$106,AL$2,'Additions (monthly)'!$B$2:$B$106,"&lt;="&amp;$B142)</f>
        <v>22.2</v>
      </c>
      <c r="AM142" s="46" t="n">
        <f aca="false">SUMIFS('Additions (monthly)'!$E$2:$E$106,'Additions (monthly)'!$D$2:$D$106,AM$2,'Additions (monthly)'!$B$2:$B$106,"&lt;="&amp;$B142)</f>
        <v>0.3</v>
      </c>
      <c r="AN142" s="46" t="n">
        <f aca="false">SUMIFS('Additions (monthly)'!$E$2:$E$106,'Additions (monthly)'!$D$2:$D$106,AN$2,'Additions (monthly)'!$B$2:$B$106,"&lt;="&amp;$B142)</f>
        <v>4.3</v>
      </c>
      <c r="AO142" s="46" t="n">
        <f aca="false">SUMIFS('Additions (monthly)'!$E$2:$E$106,'Additions (monthly)'!$D$2:$D$106,AO$2,'Additions (monthly)'!$B$2:$B$106,"&lt;="&amp;$B142)</f>
        <v>10.4</v>
      </c>
      <c r="AP142" s="46" t="n">
        <f aca="false">SUMIFS('Additions (monthly)'!$E$2:$E$106,'Additions (monthly)'!$D$2:$D$106,AP$2,'Additions (monthly)'!$B$2:$B$106,"&lt;="&amp;$B142)</f>
        <v>6.9</v>
      </c>
      <c r="AQ142" s="46" t="n">
        <f aca="false">SUMIFS('Additions (monthly)'!$E$2:$E$106,'Additions (monthly)'!$D$2:$D$106,AQ$2,'Additions (monthly)'!$B$2:$B$106,"&lt;="&amp;$B142)</f>
        <v>4.45</v>
      </c>
      <c r="AR142" s="46" t="n">
        <f aca="false">SUMIFS('Additions (monthly)'!$E$2:$E$106,'Additions (monthly)'!$D$2:$D$106,AR$2,'Additions (monthly)'!$B$2:$B$106,"&lt;="&amp;$B142)</f>
        <v>77.1</v>
      </c>
      <c r="AS142" s="46" t="n">
        <f aca="false">SUMIFS('Additions (monthly)'!$E$2:$E$106,'Additions (monthly)'!$D$2:$D$106,AS$2,'Additions (monthly)'!$B$2:$B$106,"&lt;="&amp;$B142)</f>
        <v>0</v>
      </c>
      <c r="AT142" s="46" t="n">
        <f aca="false">SUMIFS('Additions (monthly)'!$E$2:$E$106,'Additions (monthly)'!$D$2:$D$106,AT$2,'Additions (monthly)'!$B$2:$B$106,"&lt;="&amp;$B142)</f>
        <v>0</v>
      </c>
      <c r="AU142" s="46" t="n">
        <f aca="false">SUMIFS('Additions (monthly)'!$E$2:$E$106,'Additions (monthly)'!$D$2:$D$106,AU$2,'Additions (monthly)'!$B$2:$B$106,"&lt;="&amp;$B142)</f>
        <v>9.6</v>
      </c>
      <c r="AV142" s="46" t="n">
        <f aca="false">SUMIFS('Additions (monthly)'!$E$2:$E$106,'Additions (monthly)'!$D$2:$D$106,AV$2,'Additions (monthly)'!$B$2:$B$106,"&lt;="&amp;$B142)</f>
        <v>0.66</v>
      </c>
      <c r="AW142" s="46" t="n">
        <f aca="false">SUMIFS('Additions (monthly)'!$E$2:$E$106,'Additions (monthly)'!$D$2:$D$106,AW$2,'Additions (monthly)'!$B$2:$B$106,"&lt;="&amp;$B142)</f>
        <v>17.4</v>
      </c>
      <c r="AX142" s="46" t="n">
        <f aca="false">SUMIFS('Additions (monthly)'!$E$2:$E$106,'Additions (monthly)'!$D$2:$D$106,AX$2,'Additions (monthly)'!$B$2:$B$106,"&lt;="&amp;$B142)</f>
        <v>11.8</v>
      </c>
      <c r="AY142" s="46" t="n">
        <f aca="false">SUMIFS('Additions (monthly)'!$E$2:$E$106,'Additions (monthly)'!$D$2:$D$106,AY$2,'Additions (monthly)'!$B$2:$B$106,"&lt;="&amp;$B142)</f>
        <v>5.3</v>
      </c>
      <c r="AZ142" s="46" t="n">
        <f aca="false">SUMIFS('Additions (monthly)'!$E$2:$E$106,'Additions (monthly)'!$D$2:$D$106,AZ$2,'Additions (monthly)'!$B$2:$B$106,"&lt;="&amp;$B142)</f>
        <v>0</v>
      </c>
      <c r="BA142" s="46" t="n">
        <f aca="false">SUMIFS('Additions (monthly)'!$E$2:$E$106,'Additions (monthly)'!$D$2:$D$106,BA$2,'Additions (monthly)'!$B$2:$B$106,"&lt;="&amp;$B142)</f>
        <v>13.5</v>
      </c>
      <c r="BB142" s="46" t="n">
        <f aca="false">SUMIFS('Additions (monthly)'!$E$2:$E$106,'Additions (monthly)'!$D$2:$D$106,BB$2,'Additions (monthly)'!$B$2:$B$106,"&lt;="&amp;$B142)</f>
        <v>15</v>
      </c>
      <c r="BC142" s="46" t="n">
        <f aca="false">SUMIFS('Additions (monthly)'!$E$2:$E$106,'Additions (monthly)'!$D$2:$D$106,BC$2,'Additions (monthly)'!$B$2:$B$106,"&lt;="&amp;$B142)</f>
        <v>5.25</v>
      </c>
      <c r="BD142" s="46" t="n">
        <f aca="false">SUMIFS('Additions (monthly)'!$E$2:$E$106,'Additions (monthly)'!$D$2:$D$106,BD$2,'Additions (monthly)'!$B$2:$B$106,"&lt;="&amp;$B142)</f>
        <v>2.5</v>
      </c>
      <c r="BE142" s="46" t="n">
        <f aca="false">SUMIFS('Additions (monthly)'!$E$2:$E$106,'Additions (monthly)'!$D$2:$D$106,BE$2,'Additions (monthly)'!$B$2:$B$106,"&lt;="&amp;$B142)</f>
        <v>15.3</v>
      </c>
      <c r="BF142" s="46" t="n">
        <f aca="false">SUMIFS('Additions (monthly)'!$E$2:$E$106,'Additions (monthly)'!$D$2:$D$106,BF$2,'Additions (monthly)'!$B$2:$B$106,"&lt;="&amp;$B142)</f>
        <v>0</v>
      </c>
      <c r="BG142" s="46" t="n">
        <f aca="false">SUMIFS('Additions (monthly)'!$E$2:$E$106,'Additions (monthly)'!$D$2:$D$106,BG$2,'Additions (monthly)'!$B$2:$B$106,"&lt;="&amp;$B142)</f>
        <v>0</v>
      </c>
      <c r="BH142" s="46" t="n">
        <f aca="false">SUMIFS('Additions (monthly)'!$E$2:$E$106,'Additions (monthly)'!$D$2:$D$106,BH$2,'Additions (monthly)'!$B$2:$B$106,"&lt;="&amp;$B142)</f>
        <v>25</v>
      </c>
      <c r="BI142" s="46" t="n">
        <f aca="false">SUMIFS('Additions (monthly)'!$E$2:$E$106,'Additions (monthly)'!$D$2:$D$106,BI$2,'Additions (monthly)'!$B$2:$B$106,"&lt;="&amp;$B142)</f>
        <v>6.7</v>
      </c>
    </row>
    <row r="143" customFormat="false" ht="15" hidden="false" customHeight="false" outlineLevel="0" collapsed="false">
      <c r="A143" s="44" t="n">
        <v>44440</v>
      </c>
      <c r="B143" s="45" t="n">
        <v>202109</v>
      </c>
      <c r="C143" s="42" t="n">
        <f aca="false">SUMIFS('Additions (monthly)'!$E$2:$E$106,'Additions (monthly)'!$B$2:$B$106,"&lt;="&amp;$B143)</f>
        <v>457.38</v>
      </c>
      <c r="D143" s="46" t="n">
        <f aca="false">SUMIFS('Additions (monthly)'!$E$2:$E$106,'Additions (monthly)'!$D$2:$D$106,D$2,'Additions (monthly)'!$B$2:$B$106,"&lt;="&amp;$B143)</f>
        <v>7.9</v>
      </c>
      <c r="E143" s="46" t="n">
        <f aca="false">SUMIFS('Additions (monthly)'!$E$2:$E$106,'Additions (monthly)'!$D$2:$D$106,E$2,'Additions (monthly)'!$B$2:$B$106,"&lt;="&amp;$B143)</f>
        <v>8.4</v>
      </c>
      <c r="F143" s="46" t="n">
        <f aca="false">SUMIFS('Additions (monthly)'!$E$2:$E$106,'Additions (monthly)'!$D$2:$D$106,F$2,'Additions (monthly)'!$B$2:$B$106,"&lt;="&amp;$B143)</f>
        <v>4.7</v>
      </c>
      <c r="G143" s="46" t="n">
        <f aca="false">SUMIFS('Additions (monthly)'!$E$2:$E$106,'Additions (monthly)'!$D$2:$D$106,G$2,'Additions (monthly)'!$B$2:$B$106,"&lt;="&amp;$B143)</f>
        <v>4.5</v>
      </c>
      <c r="H143" s="46" t="n">
        <f aca="false">SUMIFS('Additions (monthly)'!$E$2:$E$106,'Additions (monthly)'!$D$2:$D$106,H$2,'Additions (monthly)'!$B$2:$B$106,"&lt;="&amp;$B143)</f>
        <v>5.2</v>
      </c>
      <c r="I143" s="46" t="n">
        <f aca="false">SUMIFS('Additions (monthly)'!$E$2:$E$106,'Additions (monthly)'!$D$2:$D$106,I$2,'Additions (monthly)'!$B$2:$B$106,"&lt;="&amp;$B143)</f>
        <v>9</v>
      </c>
      <c r="J143" s="46" t="n">
        <f aca="false">SUMIFS('Additions (monthly)'!$E$2:$E$106,'Additions (monthly)'!$D$2:$D$106,J$2,'Additions (monthly)'!$B$2:$B$106,"&lt;="&amp;$B143)</f>
        <v>3.7</v>
      </c>
      <c r="K143" s="46" t="n">
        <f aca="false">SUMIFS('Additions (monthly)'!$E$2:$E$106,'Additions (monthly)'!$D$2:$D$106,K$2,'Additions (monthly)'!$B$2:$B$106,"&lt;="&amp;$B143)</f>
        <v>7.8</v>
      </c>
      <c r="L143" s="46" t="n">
        <f aca="false">SUMIFS('Additions (monthly)'!$E$2:$E$106,'Additions (monthly)'!$D$2:$D$106,L$2,'Additions (monthly)'!$B$2:$B$106,"&lt;="&amp;$B143)</f>
        <v>15.6</v>
      </c>
      <c r="M143" s="46" t="n">
        <f aca="false">SUMIFS('Additions (monthly)'!$E$2:$E$106,'Additions (monthly)'!$D$2:$D$106,M$2,'Additions (monthly)'!$B$2:$B$106,"&lt;="&amp;$B143)</f>
        <v>8.9</v>
      </c>
      <c r="N143" s="46" t="n">
        <f aca="false">SUMIFS('Additions (monthly)'!$E$2:$E$106,'Additions (monthly)'!$D$2:$D$106,N$2,'Additions (monthly)'!$B$2:$B$106,"&lt;="&amp;$B143)</f>
        <v>14.2</v>
      </c>
      <c r="O143" s="46" t="n">
        <f aca="false">SUMIFS('Additions (monthly)'!$E$2:$E$106,'Additions (monthly)'!$D$2:$D$106,O$2,'Additions (monthly)'!$B$2:$B$106,"&lt;="&amp;$B143)</f>
        <v>4.9</v>
      </c>
      <c r="P143" s="46" t="n">
        <f aca="false">SUMIFS('Additions (monthly)'!$E$2:$E$106,'Additions (monthly)'!$D$2:$D$106,P$2,'Additions (monthly)'!$B$2:$B$106,"&lt;="&amp;$B143)</f>
        <v>3.6</v>
      </c>
      <c r="Q143" s="46" t="n">
        <f aca="false">SUMIFS('Additions (monthly)'!$E$2:$E$106,'Additions (monthly)'!$D$2:$D$106,Q$2,'Additions (monthly)'!$B$2:$B$106,"&lt;="&amp;$B143)</f>
        <v>8.5</v>
      </c>
      <c r="R143" s="46" t="n">
        <f aca="false">SUMIFS('Additions (monthly)'!$E$2:$E$106,'Additions (monthly)'!$D$2:$D$106,R$2,'Additions (monthly)'!$B$2:$B$106,"&lt;="&amp;$B143)</f>
        <v>8.9</v>
      </c>
      <c r="S143" s="46" t="n">
        <f aca="false">SUMIFS('Additions (monthly)'!$E$2:$E$106,'Additions (monthly)'!$D$2:$D$106,S$2,'Additions (monthly)'!$B$2:$B$106,"&lt;="&amp;$B143)</f>
        <v>7.2</v>
      </c>
      <c r="T143" s="46" t="n">
        <f aca="false">SUMIFS('Additions (monthly)'!$E$2:$E$106,'Additions (monthly)'!$D$2:$D$106,T$2,'Additions (monthly)'!$B$2:$B$106,"&lt;="&amp;$B143)</f>
        <v>2.4</v>
      </c>
      <c r="U143" s="46" t="n">
        <f aca="false">SUMIFS('Additions (monthly)'!$E$2:$E$106,'Additions (monthly)'!$D$2:$D$106,U$2,'Additions (monthly)'!$B$2:$B$106,"&lt;="&amp;$B143)</f>
        <v>0</v>
      </c>
      <c r="V143" s="46" t="n">
        <f aca="false">SUMIFS('Additions (monthly)'!$E$2:$E$106,'Additions (monthly)'!$D$2:$D$106,V$2,'Additions (monthly)'!$B$2:$B$106,"&lt;="&amp;$B143)</f>
        <v>3.87</v>
      </c>
      <c r="W143" s="46" t="n">
        <f aca="false">SUMIFS('Additions (monthly)'!$E$2:$E$106,'Additions (monthly)'!$D$2:$D$106,W$2,'Additions (monthly)'!$B$2:$B$106,"&lt;="&amp;$B143)</f>
        <v>0</v>
      </c>
      <c r="X143" s="46" t="n">
        <f aca="false">SUMIFS('Additions (monthly)'!$E$2:$E$106,'Additions (monthly)'!$D$2:$D$106,X$2,'Additions (monthly)'!$B$2:$B$106,"&lt;="&amp;$B143)</f>
        <v>0</v>
      </c>
      <c r="Y143" s="46" t="n">
        <f aca="false">SUMIFS('Additions (monthly)'!$E$2:$E$106,'Additions (monthly)'!$D$2:$D$106,Y$2,'Additions (monthly)'!$B$2:$B$106,"&lt;="&amp;$B143)</f>
        <v>5</v>
      </c>
      <c r="Z143" s="46" t="n">
        <f aca="false">SUMIFS('Additions (monthly)'!$E$2:$E$106,'Additions (monthly)'!$D$2:$D$106,Z$2,'Additions (monthly)'!$B$2:$B$106,"&lt;="&amp;$B143)</f>
        <v>7.2</v>
      </c>
      <c r="AA143" s="46" t="n">
        <f aca="false">SUMIFS('Additions (monthly)'!$E$2:$E$106,'Additions (monthly)'!$D$2:$D$106,AA$2,'Additions (monthly)'!$B$2:$B$106,"&lt;="&amp;$B143)</f>
        <v>3.7</v>
      </c>
      <c r="AB143" s="46" t="n">
        <f aca="false">SUMIFS('Additions (monthly)'!$E$2:$E$106,'Additions (monthly)'!$D$2:$D$106,AB$2,'Additions (monthly)'!$B$2:$B$106,"&lt;="&amp;$B143)</f>
        <v>16.95</v>
      </c>
      <c r="AC143" s="46" t="n">
        <f aca="false">SUMIFS('Additions (monthly)'!$E$2:$E$106,'Additions (monthly)'!$D$2:$D$106,AC$2,'Additions (monthly)'!$B$2:$B$106,"&lt;="&amp;$B143)</f>
        <v>2</v>
      </c>
      <c r="AD143" s="46" t="n">
        <f aca="false">SUMIFS('Additions (monthly)'!$E$2:$E$106,'Additions (monthly)'!$D$2:$D$106,AD$2,'Additions (monthly)'!$B$2:$B$106,"&lt;="&amp;$B143)</f>
        <v>7.6</v>
      </c>
      <c r="AE143" s="46" t="n">
        <f aca="false">SUMIFS('Additions (monthly)'!$E$2:$E$106,'Additions (monthly)'!$D$2:$D$106,AE$2,'Additions (monthly)'!$B$2:$B$106,"&lt;="&amp;$B143)</f>
        <v>29.3</v>
      </c>
      <c r="AF143" s="46" t="n">
        <f aca="false">SUMIFS('Additions (monthly)'!$E$2:$E$106,'Additions (monthly)'!$D$2:$D$106,AF$2,'Additions (monthly)'!$B$2:$B$106,"&lt;="&amp;$B143)</f>
        <v>1.2</v>
      </c>
      <c r="AG143" s="46" t="n">
        <f aca="false">SUMIFS('Additions (monthly)'!$E$2:$E$106,'Additions (monthly)'!$D$2:$D$106,AG$2,'Additions (monthly)'!$B$2:$B$106,"&lt;="&amp;$B143)</f>
        <v>1.5</v>
      </c>
      <c r="AH143" s="46" t="n">
        <f aca="false">SUMIFS('Additions (monthly)'!$E$2:$E$106,'Additions (monthly)'!$D$2:$D$106,AH$2,'Additions (monthly)'!$B$2:$B$106,"&lt;="&amp;$B143)</f>
        <v>0</v>
      </c>
      <c r="AI143" s="46" t="n">
        <f aca="false">SUMIFS('Additions (monthly)'!$E$2:$E$106,'Additions (monthly)'!$D$2:$D$106,AI$2,'Additions (monthly)'!$B$2:$B$106,"&lt;="&amp;$B143)</f>
        <v>0</v>
      </c>
      <c r="AJ143" s="46" t="n">
        <f aca="false">SUMIFS('Additions (monthly)'!$E$2:$E$106,'Additions (monthly)'!$D$2:$D$106,AJ$2,'Additions (monthly)'!$B$2:$B$106,"&lt;="&amp;$B143)</f>
        <v>0</v>
      </c>
      <c r="AK143" s="46" t="n">
        <f aca="false">SUMIFS('Additions (monthly)'!$E$2:$E$106,'Additions (monthly)'!$D$2:$D$106,AK$2,'Additions (monthly)'!$B$2:$B$106,"&lt;="&amp;$B143)</f>
        <v>0</v>
      </c>
      <c r="AL143" s="46" t="n">
        <f aca="false">SUMIFS('Additions (monthly)'!$E$2:$E$106,'Additions (monthly)'!$D$2:$D$106,AL$2,'Additions (monthly)'!$B$2:$B$106,"&lt;="&amp;$B143)</f>
        <v>22.2</v>
      </c>
      <c r="AM143" s="46" t="n">
        <f aca="false">SUMIFS('Additions (monthly)'!$E$2:$E$106,'Additions (monthly)'!$D$2:$D$106,AM$2,'Additions (monthly)'!$B$2:$B$106,"&lt;="&amp;$B143)</f>
        <v>0.3</v>
      </c>
      <c r="AN143" s="46" t="n">
        <f aca="false">SUMIFS('Additions (monthly)'!$E$2:$E$106,'Additions (monthly)'!$D$2:$D$106,AN$2,'Additions (monthly)'!$B$2:$B$106,"&lt;="&amp;$B143)</f>
        <v>4.3</v>
      </c>
      <c r="AO143" s="46" t="n">
        <f aca="false">SUMIFS('Additions (monthly)'!$E$2:$E$106,'Additions (monthly)'!$D$2:$D$106,AO$2,'Additions (monthly)'!$B$2:$B$106,"&lt;="&amp;$B143)</f>
        <v>10.4</v>
      </c>
      <c r="AP143" s="46" t="n">
        <f aca="false">SUMIFS('Additions (monthly)'!$E$2:$E$106,'Additions (monthly)'!$D$2:$D$106,AP$2,'Additions (monthly)'!$B$2:$B$106,"&lt;="&amp;$B143)</f>
        <v>6.9</v>
      </c>
      <c r="AQ143" s="46" t="n">
        <f aca="false">SUMIFS('Additions (monthly)'!$E$2:$E$106,'Additions (monthly)'!$D$2:$D$106,AQ$2,'Additions (monthly)'!$B$2:$B$106,"&lt;="&amp;$B143)</f>
        <v>4.45</v>
      </c>
      <c r="AR143" s="46" t="n">
        <f aca="false">SUMIFS('Additions (monthly)'!$E$2:$E$106,'Additions (monthly)'!$D$2:$D$106,AR$2,'Additions (monthly)'!$B$2:$B$106,"&lt;="&amp;$B143)</f>
        <v>77.1</v>
      </c>
      <c r="AS143" s="46" t="n">
        <f aca="false">SUMIFS('Additions (monthly)'!$E$2:$E$106,'Additions (monthly)'!$D$2:$D$106,AS$2,'Additions (monthly)'!$B$2:$B$106,"&lt;="&amp;$B143)</f>
        <v>0</v>
      </c>
      <c r="AT143" s="46" t="n">
        <f aca="false">SUMIFS('Additions (monthly)'!$E$2:$E$106,'Additions (monthly)'!$D$2:$D$106,AT$2,'Additions (monthly)'!$B$2:$B$106,"&lt;="&amp;$B143)</f>
        <v>0</v>
      </c>
      <c r="AU143" s="46" t="n">
        <f aca="false">SUMIFS('Additions (monthly)'!$E$2:$E$106,'Additions (monthly)'!$D$2:$D$106,AU$2,'Additions (monthly)'!$B$2:$B$106,"&lt;="&amp;$B143)</f>
        <v>9.6</v>
      </c>
      <c r="AV143" s="46" t="n">
        <f aca="false">SUMIFS('Additions (monthly)'!$E$2:$E$106,'Additions (monthly)'!$D$2:$D$106,AV$2,'Additions (monthly)'!$B$2:$B$106,"&lt;="&amp;$B143)</f>
        <v>0.66</v>
      </c>
      <c r="AW143" s="46" t="n">
        <f aca="false">SUMIFS('Additions (monthly)'!$E$2:$E$106,'Additions (monthly)'!$D$2:$D$106,AW$2,'Additions (monthly)'!$B$2:$B$106,"&lt;="&amp;$B143)</f>
        <v>17.4</v>
      </c>
      <c r="AX143" s="46" t="n">
        <f aca="false">SUMIFS('Additions (monthly)'!$E$2:$E$106,'Additions (monthly)'!$D$2:$D$106,AX$2,'Additions (monthly)'!$B$2:$B$106,"&lt;="&amp;$B143)</f>
        <v>11.8</v>
      </c>
      <c r="AY143" s="46" t="n">
        <f aca="false">SUMIFS('Additions (monthly)'!$E$2:$E$106,'Additions (monthly)'!$D$2:$D$106,AY$2,'Additions (monthly)'!$B$2:$B$106,"&lt;="&amp;$B143)</f>
        <v>5.3</v>
      </c>
      <c r="AZ143" s="46" t="n">
        <f aca="false">SUMIFS('Additions (monthly)'!$E$2:$E$106,'Additions (monthly)'!$D$2:$D$106,AZ$2,'Additions (monthly)'!$B$2:$B$106,"&lt;="&amp;$B143)</f>
        <v>0</v>
      </c>
      <c r="BA143" s="46" t="n">
        <f aca="false">SUMIFS('Additions (monthly)'!$E$2:$E$106,'Additions (monthly)'!$D$2:$D$106,BA$2,'Additions (monthly)'!$B$2:$B$106,"&lt;="&amp;$B143)</f>
        <v>13.5</v>
      </c>
      <c r="BB143" s="46" t="n">
        <f aca="false">SUMIFS('Additions (monthly)'!$E$2:$E$106,'Additions (monthly)'!$D$2:$D$106,BB$2,'Additions (monthly)'!$B$2:$B$106,"&lt;="&amp;$B143)</f>
        <v>15</v>
      </c>
      <c r="BC143" s="46" t="n">
        <f aca="false">SUMIFS('Additions (monthly)'!$E$2:$E$106,'Additions (monthly)'!$D$2:$D$106,BC$2,'Additions (monthly)'!$B$2:$B$106,"&lt;="&amp;$B143)</f>
        <v>5.25</v>
      </c>
      <c r="BD143" s="46" t="n">
        <f aca="false">SUMIFS('Additions (monthly)'!$E$2:$E$106,'Additions (monthly)'!$D$2:$D$106,BD$2,'Additions (monthly)'!$B$2:$B$106,"&lt;="&amp;$B143)</f>
        <v>2.5</v>
      </c>
      <c r="BE143" s="46" t="n">
        <f aca="false">SUMIFS('Additions (monthly)'!$E$2:$E$106,'Additions (monthly)'!$D$2:$D$106,BE$2,'Additions (monthly)'!$B$2:$B$106,"&lt;="&amp;$B143)</f>
        <v>15.3</v>
      </c>
      <c r="BF143" s="46" t="n">
        <f aca="false">SUMIFS('Additions (monthly)'!$E$2:$E$106,'Additions (monthly)'!$D$2:$D$106,BF$2,'Additions (monthly)'!$B$2:$B$106,"&lt;="&amp;$B143)</f>
        <v>0</v>
      </c>
      <c r="BG143" s="46" t="n">
        <f aca="false">SUMIFS('Additions (monthly)'!$E$2:$E$106,'Additions (monthly)'!$D$2:$D$106,BG$2,'Additions (monthly)'!$B$2:$B$106,"&lt;="&amp;$B143)</f>
        <v>0</v>
      </c>
      <c r="BH143" s="46" t="n">
        <f aca="false">SUMIFS('Additions (monthly)'!$E$2:$E$106,'Additions (monthly)'!$D$2:$D$106,BH$2,'Additions (monthly)'!$B$2:$B$106,"&lt;="&amp;$B143)</f>
        <v>25</v>
      </c>
      <c r="BI143" s="46" t="n">
        <f aca="false">SUMIFS('Additions (monthly)'!$E$2:$E$106,'Additions (monthly)'!$D$2:$D$106,BI$2,'Additions (monthly)'!$B$2:$B$106,"&lt;="&amp;$B143)</f>
        <v>6.7</v>
      </c>
    </row>
    <row r="144" customFormat="false" ht="15" hidden="false" customHeight="false" outlineLevel="0" collapsed="false">
      <c r="A144" s="44" t="n">
        <v>44470</v>
      </c>
      <c r="B144" s="45" t="n">
        <v>202110</v>
      </c>
      <c r="C144" s="42" t="n">
        <f aca="false">SUMIFS('Additions (monthly)'!$E$2:$E$106,'Additions (monthly)'!$B$2:$B$106,"&lt;="&amp;$B144)</f>
        <v>457.38</v>
      </c>
      <c r="D144" s="46" t="n">
        <f aca="false">SUMIFS('Additions (monthly)'!$E$2:$E$106,'Additions (monthly)'!$D$2:$D$106,D$2,'Additions (monthly)'!$B$2:$B$106,"&lt;="&amp;$B144)</f>
        <v>7.9</v>
      </c>
      <c r="E144" s="46" t="n">
        <f aca="false">SUMIFS('Additions (monthly)'!$E$2:$E$106,'Additions (monthly)'!$D$2:$D$106,E$2,'Additions (monthly)'!$B$2:$B$106,"&lt;="&amp;$B144)</f>
        <v>8.4</v>
      </c>
      <c r="F144" s="46" t="n">
        <f aca="false">SUMIFS('Additions (monthly)'!$E$2:$E$106,'Additions (monthly)'!$D$2:$D$106,F$2,'Additions (monthly)'!$B$2:$B$106,"&lt;="&amp;$B144)</f>
        <v>4.7</v>
      </c>
      <c r="G144" s="46" t="n">
        <f aca="false">SUMIFS('Additions (monthly)'!$E$2:$E$106,'Additions (monthly)'!$D$2:$D$106,G$2,'Additions (monthly)'!$B$2:$B$106,"&lt;="&amp;$B144)</f>
        <v>4.5</v>
      </c>
      <c r="H144" s="46" t="n">
        <f aca="false">SUMIFS('Additions (monthly)'!$E$2:$E$106,'Additions (monthly)'!$D$2:$D$106,H$2,'Additions (monthly)'!$B$2:$B$106,"&lt;="&amp;$B144)</f>
        <v>5.2</v>
      </c>
      <c r="I144" s="46" t="n">
        <f aca="false">SUMIFS('Additions (monthly)'!$E$2:$E$106,'Additions (monthly)'!$D$2:$D$106,I$2,'Additions (monthly)'!$B$2:$B$106,"&lt;="&amp;$B144)</f>
        <v>9</v>
      </c>
      <c r="J144" s="46" t="n">
        <f aca="false">SUMIFS('Additions (monthly)'!$E$2:$E$106,'Additions (monthly)'!$D$2:$D$106,J$2,'Additions (monthly)'!$B$2:$B$106,"&lt;="&amp;$B144)</f>
        <v>3.7</v>
      </c>
      <c r="K144" s="46" t="n">
        <f aca="false">SUMIFS('Additions (monthly)'!$E$2:$E$106,'Additions (monthly)'!$D$2:$D$106,K$2,'Additions (monthly)'!$B$2:$B$106,"&lt;="&amp;$B144)</f>
        <v>7.8</v>
      </c>
      <c r="L144" s="46" t="n">
        <f aca="false">SUMIFS('Additions (monthly)'!$E$2:$E$106,'Additions (monthly)'!$D$2:$D$106,L$2,'Additions (monthly)'!$B$2:$B$106,"&lt;="&amp;$B144)</f>
        <v>15.6</v>
      </c>
      <c r="M144" s="46" t="n">
        <f aca="false">SUMIFS('Additions (monthly)'!$E$2:$E$106,'Additions (monthly)'!$D$2:$D$106,M$2,'Additions (monthly)'!$B$2:$B$106,"&lt;="&amp;$B144)</f>
        <v>8.9</v>
      </c>
      <c r="N144" s="46" t="n">
        <f aca="false">SUMIFS('Additions (monthly)'!$E$2:$E$106,'Additions (monthly)'!$D$2:$D$106,N$2,'Additions (monthly)'!$B$2:$B$106,"&lt;="&amp;$B144)</f>
        <v>14.2</v>
      </c>
      <c r="O144" s="46" t="n">
        <f aca="false">SUMIFS('Additions (monthly)'!$E$2:$E$106,'Additions (monthly)'!$D$2:$D$106,O$2,'Additions (monthly)'!$B$2:$B$106,"&lt;="&amp;$B144)</f>
        <v>4.9</v>
      </c>
      <c r="P144" s="46" t="n">
        <f aca="false">SUMIFS('Additions (monthly)'!$E$2:$E$106,'Additions (monthly)'!$D$2:$D$106,P$2,'Additions (monthly)'!$B$2:$B$106,"&lt;="&amp;$B144)</f>
        <v>3.6</v>
      </c>
      <c r="Q144" s="46" t="n">
        <f aca="false">SUMIFS('Additions (monthly)'!$E$2:$E$106,'Additions (monthly)'!$D$2:$D$106,Q$2,'Additions (monthly)'!$B$2:$B$106,"&lt;="&amp;$B144)</f>
        <v>8.5</v>
      </c>
      <c r="R144" s="46" t="n">
        <f aca="false">SUMIFS('Additions (monthly)'!$E$2:$E$106,'Additions (monthly)'!$D$2:$D$106,R$2,'Additions (monthly)'!$B$2:$B$106,"&lt;="&amp;$B144)</f>
        <v>8.9</v>
      </c>
      <c r="S144" s="46" t="n">
        <f aca="false">SUMIFS('Additions (monthly)'!$E$2:$E$106,'Additions (monthly)'!$D$2:$D$106,S$2,'Additions (monthly)'!$B$2:$B$106,"&lt;="&amp;$B144)</f>
        <v>7.2</v>
      </c>
      <c r="T144" s="46" t="n">
        <f aca="false">SUMIFS('Additions (monthly)'!$E$2:$E$106,'Additions (monthly)'!$D$2:$D$106,T$2,'Additions (monthly)'!$B$2:$B$106,"&lt;="&amp;$B144)</f>
        <v>2.4</v>
      </c>
      <c r="U144" s="46" t="n">
        <f aca="false">SUMIFS('Additions (monthly)'!$E$2:$E$106,'Additions (monthly)'!$D$2:$D$106,U$2,'Additions (monthly)'!$B$2:$B$106,"&lt;="&amp;$B144)</f>
        <v>0</v>
      </c>
      <c r="V144" s="46" t="n">
        <f aca="false">SUMIFS('Additions (monthly)'!$E$2:$E$106,'Additions (monthly)'!$D$2:$D$106,V$2,'Additions (monthly)'!$B$2:$B$106,"&lt;="&amp;$B144)</f>
        <v>3.87</v>
      </c>
      <c r="W144" s="46" t="n">
        <f aca="false">SUMIFS('Additions (monthly)'!$E$2:$E$106,'Additions (monthly)'!$D$2:$D$106,W$2,'Additions (monthly)'!$B$2:$B$106,"&lt;="&amp;$B144)</f>
        <v>0</v>
      </c>
      <c r="X144" s="46" t="n">
        <f aca="false">SUMIFS('Additions (monthly)'!$E$2:$E$106,'Additions (monthly)'!$D$2:$D$106,X$2,'Additions (monthly)'!$B$2:$B$106,"&lt;="&amp;$B144)</f>
        <v>0</v>
      </c>
      <c r="Y144" s="46" t="n">
        <f aca="false">SUMIFS('Additions (monthly)'!$E$2:$E$106,'Additions (monthly)'!$D$2:$D$106,Y$2,'Additions (monthly)'!$B$2:$B$106,"&lt;="&amp;$B144)</f>
        <v>5</v>
      </c>
      <c r="Z144" s="46" t="n">
        <f aca="false">SUMIFS('Additions (monthly)'!$E$2:$E$106,'Additions (monthly)'!$D$2:$D$106,Z$2,'Additions (monthly)'!$B$2:$B$106,"&lt;="&amp;$B144)</f>
        <v>7.2</v>
      </c>
      <c r="AA144" s="46" t="n">
        <f aca="false">SUMIFS('Additions (monthly)'!$E$2:$E$106,'Additions (monthly)'!$D$2:$D$106,AA$2,'Additions (monthly)'!$B$2:$B$106,"&lt;="&amp;$B144)</f>
        <v>3.7</v>
      </c>
      <c r="AB144" s="46" t="n">
        <f aca="false">SUMIFS('Additions (monthly)'!$E$2:$E$106,'Additions (monthly)'!$D$2:$D$106,AB$2,'Additions (monthly)'!$B$2:$B$106,"&lt;="&amp;$B144)</f>
        <v>16.95</v>
      </c>
      <c r="AC144" s="46" t="n">
        <f aca="false">SUMIFS('Additions (monthly)'!$E$2:$E$106,'Additions (monthly)'!$D$2:$D$106,AC$2,'Additions (monthly)'!$B$2:$B$106,"&lt;="&amp;$B144)</f>
        <v>2</v>
      </c>
      <c r="AD144" s="46" t="n">
        <f aca="false">SUMIFS('Additions (monthly)'!$E$2:$E$106,'Additions (monthly)'!$D$2:$D$106,AD$2,'Additions (monthly)'!$B$2:$B$106,"&lt;="&amp;$B144)</f>
        <v>7.6</v>
      </c>
      <c r="AE144" s="46" t="n">
        <f aca="false">SUMIFS('Additions (monthly)'!$E$2:$E$106,'Additions (monthly)'!$D$2:$D$106,AE$2,'Additions (monthly)'!$B$2:$B$106,"&lt;="&amp;$B144)</f>
        <v>29.3</v>
      </c>
      <c r="AF144" s="46" t="n">
        <f aca="false">SUMIFS('Additions (monthly)'!$E$2:$E$106,'Additions (monthly)'!$D$2:$D$106,AF$2,'Additions (monthly)'!$B$2:$B$106,"&lt;="&amp;$B144)</f>
        <v>1.2</v>
      </c>
      <c r="AG144" s="46" t="n">
        <f aca="false">SUMIFS('Additions (monthly)'!$E$2:$E$106,'Additions (monthly)'!$D$2:$D$106,AG$2,'Additions (monthly)'!$B$2:$B$106,"&lt;="&amp;$B144)</f>
        <v>1.5</v>
      </c>
      <c r="AH144" s="46" t="n">
        <f aca="false">SUMIFS('Additions (monthly)'!$E$2:$E$106,'Additions (monthly)'!$D$2:$D$106,AH$2,'Additions (monthly)'!$B$2:$B$106,"&lt;="&amp;$B144)</f>
        <v>0</v>
      </c>
      <c r="AI144" s="46" t="n">
        <f aca="false">SUMIFS('Additions (monthly)'!$E$2:$E$106,'Additions (monthly)'!$D$2:$D$106,AI$2,'Additions (monthly)'!$B$2:$B$106,"&lt;="&amp;$B144)</f>
        <v>0</v>
      </c>
      <c r="AJ144" s="46" t="n">
        <f aca="false">SUMIFS('Additions (monthly)'!$E$2:$E$106,'Additions (monthly)'!$D$2:$D$106,AJ$2,'Additions (monthly)'!$B$2:$B$106,"&lt;="&amp;$B144)</f>
        <v>0</v>
      </c>
      <c r="AK144" s="46" t="n">
        <f aca="false">SUMIFS('Additions (monthly)'!$E$2:$E$106,'Additions (monthly)'!$D$2:$D$106,AK$2,'Additions (monthly)'!$B$2:$B$106,"&lt;="&amp;$B144)</f>
        <v>0</v>
      </c>
      <c r="AL144" s="46" t="n">
        <f aca="false">SUMIFS('Additions (monthly)'!$E$2:$E$106,'Additions (monthly)'!$D$2:$D$106,AL$2,'Additions (monthly)'!$B$2:$B$106,"&lt;="&amp;$B144)</f>
        <v>22.2</v>
      </c>
      <c r="AM144" s="46" t="n">
        <f aca="false">SUMIFS('Additions (monthly)'!$E$2:$E$106,'Additions (monthly)'!$D$2:$D$106,AM$2,'Additions (monthly)'!$B$2:$B$106,"&lt;="&amp;$B144)</f>
        <v>0.3</v>
      </c>
      <c r="AN144" s="46" t="n">
        <f aca="false">SUMIFS('Additions (monthly)'!$E$2:$E$106,'Additions (monthly)'!$D$2:$D$106,AN$2,'Additions (monthly)'!$B$2:$B$106,"&lt;="&amp;$B144)</f>
        <v>4.3</v>
      </c>
      <c r="AO144" s="46" t="n">
        <f aca="false">SUMIFS('Additions (monthly)'!$E$2:$E$106,'Additions (monthly)'!$D$2:$D$106,AO$2,'Additions (monthly)'!$B$2:$B$106,"&lt;="&amp;$B144)</f>
        <v>10.4</v>
      </c>
      <c r="AP144" s="46" t="n">
        <f aca="false">SUMIFS('Additions (monthly)'!$E$2:$E$106,'Additions (monthly)'!$D$2:$D$106,AP$2,'Additions (monthly)'!$B$2:$B$106,"&lt;="&amp;$B144)</f>
        <v>6.9</v>
      </c>
      <c r="AQ144" s="46" t="n">
        <f aca="false">SUMIFS('Additions (monthly)'!$E$2:$E$106,'Additions (monthly)'!$D$2:$D$106,AQ$2,'Additions (monthly)'!$B$2:$B$106,"&lt;="&amp;$B144)</f>
        <v>4.45</v>
      </c>
      <c r="AR144" s="46" t="n">
        <f aca="false">SUMIFS('Additions (monthly)'!$E$2:$E$106,'Additions (monthly)'!$D$2:$D$106,AR$2,'Additions (monthly)'!$B$2:$B$106,"&lt;="&amp;$B144)</f>
        <v>77.1</v>
      </c>
      <c r="AS144" s="46" t="n">
        <f aca="false">SUMIFS('Additions (monthly)'!$E$2:$E$106,'Additions (monthly)'!$D$2:$D$106,AS$2,'Additions (monthly)'!$B$2:$B$106,"&lt;="&amp;$B144)</f>
        <v>0</v>
      </c>
      <c r="AT144" s="46" t="n">
        <f aca="false">SUMIFS('Additions (monthly)'!$E$2:$E$106,'Additions (monthly)'!$D$2:$D$106,AT$2,'Additions (monthly)'!$B$2:$B$106,"&lt;="&amp;$B144)</f>
        <v>0</v>
      </c>
      <c r="AU144" s="46" t="n">
        <f aca="false">SUMIFS('Additions (monthly)'!$E$2:$E$106,'Additions (monthly)'!$D$2:$D$106,AU$2,'Additions (monthly)'!$B$2:$B$106,"&lt;="&amp;$B144)</f>
        <v>9.6</v>
      </c>
      <c r="AV144" s="46" t="n">
        <f aca="false">SUMIFS('Additions (monthly)'!$E$2:$E$106,'Additions (monthly)'!$D$2:$D$106,AV$2,'Additions (monthly)'!$B$2:$B$106,"&lt;="&amp;$B144)</f>
        <v>0.66</v>
      </c>
      <c r="AW144" s="46" t="n">
        <f aca="false">SUMIFS('Additions (monthly)'!$E$2:$E$106,'Additions (monthly)'!$D$2:$D$106,AW$2,'Additions (monthly)'!$B$2:$B$106,"&lt;="&amp;$B144)</f>
        <v>17.4</v>
      </c>
      <c r="AX144" s="46" t="n">
        <f aca="false">SUMIFS('Additions (monthly)'!$E$2:$E$106,'Additions (monthly)'!$D$2:$D$106,AX$2,'Additions (monthly)'!$B$2:$B$106,"&lt;="&amp;$B144)</f>
        <v>11.8</v>
      </c>
      <c r="AY144" s="46" t="n">
        <f aca="false">SUMIFS('Additions (monthly)'!$E$2:$E$106,'Additions (monthly)'!$D$2:$D$106,AY$2,'Additions (monthly)'!$B$2:$B$106,"&lt;="&amp;$B144)</f>
        <v>5.3</v>
      </c>
      <c r="AZ144" s="46" t="n">
        <f aca="false">SUMIFS('Additions (monthly)'!$E$2:$E$106,'Additions (monthly)'!$D$2:$D$106,AZ$2,'Additions (monthly)'!$B$2:$B$106,"&lt;="&amp;$B144)</f>
        <v>0</v>
      </c>
      <c r="BA144" s="46" t="n">
        <f aca="false">SUMIFS('Additions (monthly)'!$E$2:$E$106,'Additions (monthly)'!$D$2:$D$106,BA$2,'Additions (monthly)'!$B$2:$B$106,"&lt;="&amp;$B144)</f>
        <v>13.5</v>
      </c>
      <c r="BB144" s="46" t="n">
        <f aca="false">SUMIFS('Additions (monthly)'!$E$2:$E$106,'Additions (monthly)'!$D$2:$D$106,BB$2,'Additions (monthly)'!$B$2:$B$106,"&lt;="&amp;$B144)</f>
        <v>15</v>
      </c>
      <c r="BC144" s="46" t="n">
        <f aca="false">SUMIFS('Additions (monthly)'!$E$2:$E$106,'Additions (monthly)'!$D$2:$D$106,BC$2,'Additions (monthly)'!$B$2:$B$106,"&lt;="&amp;$B144)</f>
        <v>5.25</v>
      </c>
      <c r="BD144" s="46" t="n">
        <f aca="false">SUMIFS('Additions (monthly)'!$E$2:$E$106,'Additions (monthly)'!$D$2:$D$106,BD$2,'Additions (monthly)'!$B$2:$B$106,"&lt;="&amp;$B144)</f>
        <v>2.5</v>
      </c>
      <c r="BE144" s="46" t="n">
        <f aca="false">SUMIFS('Additions (monthly)'!$E$2:$E$106,'Additions (monthly)'!$D$2:$D$106,BE$2,'Additions (monthly)'!$B$2:$B$106,"&lt;="&amp;$B144)</f>
        <v>15.3</v>
      </c>
      <c r="BF144" s="46" t="n">
        <f aca="false">SUMIFS('Additions (monthly)'!$E$2:$E$106,'Additions (monthly)'!$D$2:$D$106,BF$2,'Additions (monthly)'!$B$2:$B$106,"&lt;="&amp;$B144)</f>
        <v>0</v>
      </c>
      <c r="BG144" s="46" t="n">
        <f aca="false">SUMIFS('Additions (monthly)'!$E$2:$E$106,'Additions (monthly)'!$D$2:$D$106,BG$2,'Additions (monthly)'!$B$2:$B$106,"&lt;="&amp;$B144)</f>
        <v>0</v>
      </c>
      <c r="BH144" s="46" t="n">
        <f aca="false">SUMIFS('Additions (monthly)'!$E$2:$E$106,'Additions (monthly)'!$D$2:$D$106,BH$2,'Additions (monthly)'!$B$2:$B$106,"&lt;="&amp;$B144)</f>
        <v>25</v>
      </c>
      <c r="BI144" s="46" t="n">
        <f aca="false">SUMIFS('Additions (monthly)'!$E$2:$E$106,'Additions (monthly)'!$D$2:$D$106,BI$2,'Additions (monthly)'!$B$2:$B$106,"&lt;="&amp;$B144)</f>
        <v>6.7</v>
      </c>
    </row>
    <row r="145" customFormat="false" ht="15" hidden="false" customHeight="false" outlineLevel="0" collapsed="false">
      <c r="A145" s="44" t="n">
        <v>44501</v>
      </c>
      <c r="B145" s="45" t="n">
        <v>202111</v>
      </c>
      <c r="C145" s="42" t="n">
        <f aca="false">SUMIFS('Additions (monthly)'!$E$2:$E$106,'Additions (monthly)'!$B$2:$B$106,"&lt;="&amp;$B145)</f>
        <v>462.38</v>
      </c>
      <c r="D145" s="46" t="n">
        <f aca="false">SUMIFS('Additions (monthly)'!$E$2:$E$106,'Additions (monthly)'!$D$2:$D$106,D$2,'Additions (monthly)'!$B$2:$B$106,"&lt;="&amp;$B145)</f>
        <v>7.9</v>
      </c>
      <c r="E145" s="46" t="n">
        <f aca="false">SUMIFS('Additions (monthly)'!$E$2:$E$106,'Additions (monthly)'!$D$2:$D$106,E$2,'Additions (monthly)'!$B$2:$B$106,"&lt;="&amp;$B145)</f>
        <v>8.4</v>
      </c>
      <c r="F145" s="46" t="n">
        <f aca="false">SUMIFS('Additions (monthly)'!$E$2:$E$106,'Additions (monthly)'!$D$2:$D$106,F$2,'Additions (monthly)'!$B$2:$B$106,"&lt;="&amp;$B145)</f>
        <v>4.7</v>
      </c>
      <c r="G145" s="46" t="n">
        <f aca="false">SUMIFS('Additions (monthly)'!$E$2:$E$106,'Additions (monthly)'!$D$2:$D$106,G$2,'Additions (monthly)'!$B$2:$B$106,"&lt;="&amp;$B145)</f>
        <v>4.5</v>
      </c>
      <c r="H145" s="46" t="n">
        <f aca="false">SUMIFS('Additions (monthly)'!$E$2:$E$106,'Additions (monthly)'!$D$2:$D$106,H$2,'Additions (monthly)'!$B$2:$B$106,"&lt;="&amp;$B145)</f>
        <v>5.2</v>
      </c>
      <c r="I145" s="46" t="n">
        <f aca="false">SUMIFS('Additions (monthly)'!$E$2:$E$106,'Additions (monthly)'!$D$2:$D$106,I$2,'Additions (monthly)'!$B$2:$B$106,"&lt;="&amp;$B145)</f>
        <v>9</v>
      </c>
      <c r="J145" s="46" t="n">
        <f aca="false">SUMIFS('Additions (monthly)'!$E$2:$E$106,'Additions (monthly)'!$D$2:$D$106,J$2,'Additions (monthly)'!$B$2:$B$106,"&lt;="&amp;$B145)</f>
        <v>3.7</v>
      </c>
      <c r="K145" s="46" t="n">
        <f aca="false">SUMIFS('Additions (monthly)'!$E$2:$E$106,'Additions (monthly)'!$D$2:$D$106,K$2,'Additions (monthly)'!$B$2:$B$106,"&lt;="&amp;$B145)</f>
        <v>7.8</v>
      </c>
      <c r="L145" s="46" t="n">
        <f aca="false">SUMIFS('Additions (monthly)'!$E$2:$E$106,'Additions (monthly)'!$D$2:$D$106,L$2,'Additions (monthly)'!$B$2:$B$106,"&lt;="&amp;$B145)</f>
        <v>15.6</v>
      </c>
      <c r="M145" s="46" t="n">
        <f aca="false">SUMIFS('Additions (monthly)'!$E$2:$E$106,'Additions (monthly)'!$D$2:$D$106,M$2,'Additions (monthly)'!$B$2:$B$106,"&lt;="&amp;$B145)</f>
        <v>8.9</v>
      </c>
      <c r="N145" s="46" t="n">
        <f aca="false">SUMIFS('Additions (monthly)'!$E$2:$E$106,'Additions (monthly)'!$D$2:$D$106,N$2,'Additions (monthly)'!$B$2:$B$106,"&lt;="&amp;$B145)</f>
        <v>14.2</v>
      </c>
      <c r="O145" s="46" t="n">
        <f aca="false">SUMIFS('Additions (monthly)'!$E$2:$E$106,'Additions (monthly)'!$D$2:$D$106,O$2,'Additions (monthly)'!$B$2:$B$106,"&lt;="&amp;$B145)</f>
        <v>4.9</v>
      </c>
      <c r="P145" s="46" t="n">
        <f aca="false">SUMIFS('Additions (monthly)'!$E$2:$E$106,'Additions (monthly)'!$D$2:$D$106,P$2,'Additions (monthly)'!$B$2:$B$106,"&lt;="&amp;$B145)</f>
        <v>3.6</v>
      </c>
      <c r="Q145" s="46" t="n">
        <f aca="false">SUMIFS('Additions (monthly)'!$E$2:$E$106,'Additions (monthly)'!$D$2:$D$106,Q$2,'Additions (monthly)'!$B$2:$B$106,"&lt;="&amp;$B145)</f>
        <v>8.5</v>
      </c>
      <c r="R145" s="46" t="n">
        <f aca="false">SUMIFS('Additions (monthly)'!$E$2:$E$106,'Additions (monthly)'!$D$2:$D$106,R$2,'Additions (monthly)'!$B$2:$B$106,"&lt;="&amp;$B145)</f>
        <v>8.9</v>
      </c>
      <c r="S145" s="46" t="n">
        <f aca="false">SUMIFS('Additions (monthly)'!$E$2:$E$106,'Additions (monthly)'!$D$2:$D$106,S$2,'Additions (monthly)'!$B$2:$B$106,"&lt;="&amp;$B145)</f>
        <v>7.2</v>
      </c>
      <c r="T145" s="46" t="n">
        <f aca="false">SUMIFS('Additions (monthly)'!$E$2:$E$106,'Additions (monthly)'!$D$2:$D$106,T$2,'Additions (monthly)'!$B$2:$B$106,"&lt;="&amp;$B145)</f>
        <v>2.4</v>
      </c>
      <c r="U145" s="46" t="n">
        <f aca="false">SUMIFS('Additions (monthly)'!$E$2:$E$106,'Additions (monthly)'!$D$2:$D$106,U$2,'Additions (monthly)'!$B$2:$B$106,"&lt;="&amp;$B145)</f>
        <v>0</v>
      </c>
      <c r="V145" s="46" t="n">
        <f aca="false">SUMIFS('Additions (monthly)'!$E$2:$E$106,'Additions (monthly)'!$D$2:$D$106,V$2,'Additions (monthly)'!$B$2:$B$106,"&lt;="&amp;$B145)</f>
        <v>3.87</v>
      </c>
      <c r="W145" s="46" t="n">
        <f aca="false">SUMIFS('Additions (monthly)'!$E$2:$E$106,'Additions (monthly)'!$D$2:$D$106,W$2,'Additions (monthly)'!$B$2:$B$106,"&lt;="&amp;$B145)</f>
        <v>0</v>
      </c>
      <c r="X145" s="46" t="n">
        <f aca="false">SUMIFS('Additions (monthly)'!$E$2:$E$106,'Additions (monthly)'!$D$2:$D$106,X$2,'Additions (monthly)'!$B$2:$B$106,"&lt;="&amp;$B145)</f>
        <v>0</v>
      </c>
      <c r="Y145" s="46" t="n">
        <f aca="false">SUMIFS('Additions (monthly)'!$E$2:$E$106,'Additions (monthly)'!$D$2:$D$106,Y$2,'Additions (monthly)'!$B$2:$B$106,"&lt;="&amp;$B145)</f>
        <v>5</v>
      </c>
      <c r="Z145" s="46" t="n">
        <f aca="false">SUMIFS('Additions (monthly)'!$E$2:$E$106,'Additions (monthly)'!$D$2:$D$106,Z$2,'Additions (monthly)'!$B$2:$B$106,"&lt;="&amp;$B145)</f>
        <v>7.2</v>
      </c>
      <c r="AA145" s="46" t="n">
        <f aca="false">SUMIFS('Additions (monthly)'!$E$2:$E$106,'Additions (monthly)'!$D$2:$D$106,AA$2,'Additions (monthly)'!$B$2:$B$106,"&lt;="&amp;$B145)</f>
        <v>3.7</v>
      </c>
      <c r="AB145" s="46" t="n">
        <f aca="false">SUMIFS('Additions (monthly)'!$E$2:$E$106,'Additions (monthly)'!$D$2:$D$106,AB$2,'Additions (monthly)'!$B$2:$B$106,"&lt;="&amp;$B145)</f>
        <v>16.95</v>
      </c>
      <c r="AC145" s="46" t="n">
        <f aca="false">SUMIFS('Additions (monthly)'!$E$2:$E$106,'Additions (monthly)'!$D$2:$D$106,AC$2,'Additions (monthly)'!$B$2:$B$106,"&lt;="&amp;$B145)</f>
        <v>2</v>
      </c>
      <c r="AD145" s="46" t="n">
        <f aca="false">SUMIFS('Additions (monthly)'!$E$2:$E$106,'Additions (monthly)'!$D$2:$D$106,AD$2,'Additions (monthly)'!$B$2:$B$106,"&lt;="&amp;$B145)</f>
        <v>7.6</v>
      </c>
      <c r="AE145" s="46" t="n">
        <f aca="false">SUMIFS('Additions (monthly)'!$E$2:$E$106,'Additions (monthly)'!$D$2:$D$106,AE$2,'Additions (monthly)'!$B$2:$B$106,"&lt;="&amp;$B145)</f>
        <v>29.3</v>
      </c>
      <c r="AF145" s="46" t="n">
        <f aca="false">SUMIFS('Additions (monthly)'!$E$2:$E$106,'Additions (monthly)'!$D$2:$D$106,AF$2,'Additions (monthly)'!$B$2:$B$106,"&lt;="&amp;$B145)</f>
        <v>1.2</v>
      </c>
      <c r="AG145" s="46" t="n">
        <f aca="false">SUMIFS('Additions (monthly)'!$E$2:$E$106,'Additions (monthly)'!$D$2:$D$106,AG$2,'Additions (monthly)'!$B$2:$B$106,"&lt;="&amp;$B145)</f>
        <v>1.5</v>
      </c>
      <c r="AH145" s="46" t="n">
        <f aca="false">SUMIFS('Additions (monthly)'!$E$2:$E$106,'Additions (monthly)'!$D$2:$D$106,AH$2,'Additions (monthly)'!$B$2:$B$106,"&lt;="&amp;$B145)</f>
        <v>0</v>
      </c>
      <c r="AI145" s="46" t="n">
        <f aca="false">SUMIFS('Additions (monthly)'!$E$2:$E$106,'Additions (monthly)'!$D$2:$D$106,AI$2,'Additions (monthly)'!$B$2:$B$106,"&lt;="&amp;$B145)</f>
        <v>0</v>
      </c>
      <c r="AJ145" s="46" t="n">
        <f aca="false">SUMIFS('Additions (monthly)'!$E$2:$E$106,'Additions (monthly)'!$D$2:$D$106,AJ$2,'Additions (monthly)'!$B$2:$B$106,"&lt;="&amp;$B145)</f>
        <v>0</v>
      </c>
      <c r="AK145" s="46" t="n">
        <f aca="false">SUMIFS('Additions (monthly)'!$E$2:$E$106,'Additions (monthly)'!$D$2:$D$106,AK$2,'Additions (monthly)'!$B$2:$B$106,"&lt;="&amp;$B145)</f>
        <v>0</v>
      </c>
      <c r="AL145" s="46" t="n">
        <f aca="false">SUMIFS('Additions (monthly)'!$E$2:$E$106,'Additions (monthly)'!$D$2:$D$106,AL$2,'Additions (monthly)'!$B$2:$B$106,"&lt;="&amp;$B145)</f>
        <v>22.2</v>
      </c>
      <c r="AM145" s="46" t="n">
        <f aca="false">SUMIFS('Additions (monthly)'!$E$2:$E$106,'Additions (monthly)'!$D$2:$D$106,AM$2,'Additions (monthly)'!$B$2:$B$106,"&lt;="&amp;$B145)</f>
        <v>0.3</v>
      </c>
      <c r="AN145" s="46" t="n">
        <f aca="false">SUMIFS('Additions (monthly)'!$E$2:$E$106,'Additions (monthly)'!$D$2:$D$106,AN$2,'Additions (monthly)'!$B$2:$B$106,"&lt;="&amp;$B145)</f>
        <v>4.3</v>
      </c>
      <c r="AO145" s="46" t="n">
        <f aca="false">SUMIFS('Additions (monthly)'!$E$2:$E$106,'Additions (monthly)'!$D$2:$D$106,AO$2,'Additions (monthly)'!$B$2:$B$106,"&lt;="&amp;$B145)</f>
        <v>10.4</v>
      </c>
      <c r="AP145" s="46" t="n">
        <f aca="false">SUMIFS('Additions (monthly)'!$E$2:$E$106,'Additions (monthly)'!$D$2:$D$106,AP$2,'Additions (monthly)'!$B$2:$B$106,"&lt;="&amp;$B145)</f>
        <v>6.9</v>
      </c>
      <c r="AQ145" s="46" t="n">
        <f aca="false">SUMIFS('Additions (monthly)'!$E$2:$E$106,'Additions (monthly)'!$D$2:$D$106,AQ$2,'Additions (monthly)'!$B$2:$B$106,"&lt;="&amp;$B145)</f>
        <v>4.45</v>
      </c>
      <c r="AR145" s="46" t="n">
        <f aca="false">SUMIFS('Additions (monthly)'!$E$2:$E$106,'Additions (monthly)'!$D$2:$D$106,AR$2,'Additions (monthly)'!$B$2:$B$106,"&lt;="&amp;$B145)</f>
        <v>77.1</v>
      </c>
      <c r="AS145" s="46" t="n">
        <f aca="false">SUMIFS('Additions (monthly)'!$E$2:$E$106,'Additions (monthly)'!$D$2:$D$106,AS$2,'Additions (monthly)'!$B$2:$B$106,"&lt;="&amp;$B145)</f>
        <v>0</v>
      </c>
      <c r="AT145" s="46" t="n">
        <f aca="false">SUMIFS('Additions (monthly)'!$E$2:$E$106,'Additions (monthly)'!$D$2:$D$106,AT$2,'Additions (monthly)'!$B$2:$B$106,"&lt;="&amp;$B145)</f>
        <v>0</v>
      </c>
      <c r="AU145" s="46" t="n">
        <f aca="false">SUMIFS('Additions (monthly)'!$E$2:$E$106,'Additions (monthly)'!$D$2:$D$106,AU$2,'Additions (monthly)'!$B$2:$B$106,"&lt;="&amp;$B145)</f>
        <v>9.6</v>
      </c>
      <c r="AV145" s="46" t="n">
        <f aca="false">SUMIFS('Additions (monthly)'!$E$2:$E$106,'Additions (monthly)'!$D$2:$D$106,AV$2,'Additions (monthly)'!$B$2:$B$106,"&lt;="&amp;$B145)</f>
        <v>0.66</v>
      </c>
      <c r="AW145" s="46" t="n">
        <f aca="false">SUMIFS('Additions (monthly)'!$E$2:$E$106,'Additions (monthly)'!$D$2:$D$106,AW$2,'Additions (monthly)'!$B$2:$B$106,"&lt;="&amp;$B145)</f>
        <v>17.4</v>
      </c>
      <c r="AX145" s="46" t="n">
        <f aca="false">SUMIFS('Additions (monthly)'!$E$2:$E$106,'Additions (monthly)'!$D$2:$D$106,AX$2,'Additions (monthly)'!$B$2:$B$106,"&lt;="&amp;$B145)</f>
        <v>11.8</v>
      </c>
      <c r="AY145" s="46" t="n">
        <f aca="false">SUMIFS('Additions (monthly)'!$E$2:$E$106,'Additions (monthly)'!$D$2:$D$106,AY$2,'Additions (monthly)'!$B$2:$B$106,"&lt;="&amp;$B145)</f>
        <v>5.3</v>
      </c>
      <c r="AZ145" s="46" t="n">
        <f aca="false">SUMIFS('Additions (monthly)'!$E$2:$E$106,'Additions (monthly)'!$D$2:$D$106,AZ$2,'Additions (monthly)'!$B$2:$B$106,"&lt;="&amp;$B145)</f>
        <v>0</v>
      </c>
      <c r="BA145" s="46" t="n">
        <f aca="false">SUMIFS('Additions (monthly)'!$E$2:$E$106,'Additions (monthly)'!$D$2:$D$106,BA$2,'Additions (monthly)'!$B$2:$B$106,"&lt;="&amp;$B145)</f>
        <v>13.5</v>
      </c>
      <c r="BB145" s="46" t="n">
        <f aca="false">SUMIFS('Additions (monthly)'!$E$2:$E$106,'Additions (monthly)'!$D$2:$D$106,BB$2,'Additions (monthly)'!$B$2:$B$106,"&lt;="&amp;$B145)</f>
        <v>15</v>
      </c>
      <c r="BC145" s="46" t="n">
        <f aca="false">SUMIFS('Additions (monthly)'!$E$2:$E$106,'Additions (monthly)'!$D$2:$D$106,BC$2,'Additions (monthly)'!$B$2:$B$106,"&lt;="&amp;$B145)</f>
        <v>5.25</v>
      </c>
      <c r="BD145" s="46" t="n">
        <f aca="false">SUMIFS('Additions (monthly)'!$E$2:$E$106,'Additions (monthly)'!$D$2:$D$106,BD$2,'Additions (monthly)'!$B$2:$B$106,"&lt;="&amp;$B145)</f>
        <v>2.5</v>
      </c>
      <c r="BE145" s="46" t="n">
        <f aca="false">SUMIFS('Additions (monthly)'!$E$2:$E$106,'Additions (monthly)'!$D$2:$D$106,BE$2,'Additions (monthly)'!$B$2:$B$106,"&lt;="&amp;$B145)</f>
        <v>15.3</v>
      </c>
      <c r="BF145" s="46" t="n">
        <f aca="false">SUMIFS('Additions (monthly)'!$E$2:$E$106,'Additions (monthly)'!$D$2:$D$106,BF$2,'Additions (monthly)'!$B$2:$B$106,"&lt;="&amp;$B145)</f>
        <v>0</v>
      </c>
      <c r="BG145" s="46" t="n">
        <f aca="false">SUMIFS('Additions (monthly)'!$E$2:$E$106,'Additions (monthly)'!$D$2:$D$106,BG$2,'Additions (monthly)'!$B$2:$B$106,"&lt;="&amp;$B145)</f>
        <v>0</v>
      </c>
      <c r="BH145" s="46" t="n">
        <f aca="false">SUMIFS('Additions (monthly)'!$E$2:$E$106,'Additions (monthly)'!$D$2:$D$106,BH$2,'Additions (monthly)'!$B$2:$B$106,"&lt;="&amp;$B145)</f>
        <v>30</v>
      </c>
      <c r="BI145" s="46" t="n">
        <f aca="false">SUMIFS('Additions (monthly)'!$E$2:$E$106,'Additions (monthly)'!$D$2:$D$106,BI$2,'Additions (monthly)'!$B$2:$B$106,"&lt;="&amp;$B145)</f>
        <v>6.7</v>
      </c>
    </row>
    <row r="146" customFormat="false" ht="15" hidden="false" customHeight="false" outlineLevel="0" collapsed="false">
      <c r="A146" s="44" t="n">
        <v>44531</v>
      </c>
      <c r="B146" s="45" t="n">
        <v>202112</v>
      </c>
      <c r="C146" s="42" t="n">
        <f aca="false">SUMIFS('Additions (monthly)'!$E$2:$E$106,'Additions (monthly)'!$B$2:$B$106,"&lt;="&amp;$B146)</f>
        <v>462.38</v>
      </c>
      <c r="D146" s="46" t="n">
        <f aca="false">SUMIFS('Additions (monthly)'!$E$2:$E$106,'Additions (monthly)'!$D$2:$D$106,D$2,'Additions (monthly)'!$B$2:$B$106,"&lt;="&amp;$B146)</f>
        <v>7.9</v>
      </c>
      <c r="E146" s="46" t="n">
        <f aca="false">SUMIFS('Additions (monthly)'!$E$2:$E$106,'Additions (monthly)'!$D$2:$D$106,E$2,'Additions (monthly)'!$B$2:$B$106,"&lt;="&amp;$B146)</f>
        <v>8.4</v>
      </c>
      <c r="F146" s="46" t="n">
        <f aca="false">SUMIFS('Additions (monthly)'!$E$2:$E$106,'Additions (monthly)'!$D$2:$D$106,F$2,'Additions (monthly)'!$B$2:$B$106,"&lt;="&amp;$B146)</f>
        <v>4.7</v>
      </c>
      <c r="G146" s="46" t="n">
        <f aca="false">SUMIFS('Additions (monthly)'!$E$2:$E$106,'Additions (monthly)'!$D$2:$D$106,G$2,'Additions (monthly)'!$B$2:$B$106,"&lt;="&amp;$B146)</f>
        <v>4.5</v>
      </c>
      <c r="H146" s="46" t="n">
        <f aca="false">SUMIFS('Additions (monthly)'!$E$2:$E$106,'Additions (monthly)'!$D$2:$D$106,H$2,'Additions (monthly)'!$B$2:$B$106,"&lt;="&amp;$B146)</f>
        <v>5.2</v>
      </c>
      <c r="I146" s="46" t="n">
        <f aca="false">SUMIFS('Additions (monthly)'!$E$2:$E$106,'Additions (monthly)'!$D$2:$D$106,I$2,'Additions (monthly)'!$B$2:$B$106,"&lt;="&amp;$B146)</f>
        <v>9</v>
      </c>
      <c r="J146" s="46" t="n">
        <f aca="false">SUMIFS('Additions (monthly)'!$E$2:$E$106,'Additions (monthly)'!$D$2:$D$106,J$2,'Additions (monthly)'!$B$2:$B$106,"&lt;="&amp;$B146)</f>
        <v>3.7</v>
      </c>
      <c r="K146" s="46" t="n">
        <f aca="false">SUMIFS('Additions (monthly)'!$E$2:$E$106,'Additions (monthly)'!$D$2:$D$106,K$2,'Additions (monthly)'!$B$2:$B$106,"&lt;="&amp;$B146)</f>
        <v>7.8</v>
      </c>
      <c r="L146" s="46" t="n">
        <f aca="false">SUMIFS('Additions (monthly)'!$E$2:$E$106,'Additions (monthly)'!$D$2:$D$106,L$2,'Additions (monthly)'!$B$2:$B$106,"&lt;="&amp;$B146)</f>
        <v>15.6</v>
      </c>
      <c r="M146" s="46" t="n">
        <f aca="false">SUMIFS('Additions (monthly)'!$E$2:$E$106,'Additions (monthly)'!$D$2:$D$106,M$2,'Additions (monthly)'!$B$2:$B$106,"&lt;="&amp;$B146)</f>
        <v>8.9</v>
      </c>
      <c r="N146" s="46" t="n">
        <f aca="false">SUMIFS('Additions (monthly)'!$E$2:$E$106,'Additions (monthly)'!$D$2:$D$106,N$2,'Additions (monthly)'!$B$2:$B$106,"&lt;="&amp;$B146)</f>
        <v>14.2</v>
      </c>
      <c r="O146" s="46" t="n">
        <f aca="false">SUMIFS('Additions (monthly)'!$E$2:$E$106,'Additions (monthly)'!$D$2:$D$106,O$2,'Additions (monthly)'!$B$2:$B$106,"&lt;="&amp;$B146)</f>
        <v>4.9</v>
      </c>
      <c r="P146" s="46" t="n">
        <f aca="false">SUMIFS('Additions (monthly)'!$E$2:$E$106,'Additions (monthly)'!$D$2:$D$106,P$2,'Additions (monthly)'!$B$2:$B$106,"&lt;="&amp;$B146)</f>
        <v>3.6</v>
      </c>
      <c r="Q146" s="46" t="n">
        <f aca="false">SUMIFS('Additions (monthly)'!$E$2:$E$106,'Additions (monthly)'!$D$2:$D$106,Q$2,'Additions (monthly)'!$B$2:$B$106,"&lt;="&amp;$B146)</f>
        <v>8.5</v>
      </c>
      <c r="R146" s="46" t="n">
        <f aca="false">SUMIFS('Additions (monthly)'!$E$2:$E$106,'Additions (monthly)'!$D$2:$D$106,R$2,'Additions (monthly)'!$B$2:$B$106,"&lt;="&amp;$B146)</f>
        <v>8.9</v>
      </c>
      <c r="S146" s="46" t="n">
        <f aca="false">SUMIFS('Additions (monthly)'!$E$2:$E$106,'Additions (monthly)'!$D$2:$D$106,S$2,'Additions (monthly)'!$B$2:$B$106,"&lt;="&amp;$B146)</f>
        <v>7.2</v>
      </c>
      <c r="T146" s="46" t="n">
        <f aca="false">SUMIFS('Additions (monthly)'!$E$2:$E$106,'Additions (monthly)'!$D$2:$D$106,T$2,'Additions (monthly)'!$B$2:$B$106,"&lt;="&amp;$B146)</f>
        <v>2.4</v>
      </c>
      <c r="U146" s="46" t="n">
        <f aca="false">SUMIFS('Additions (monthly)'!$E$2:$E$106,'Additions (monthly)'!$D$2:$D$106,U$2,'Additions (monthly)'!$B$2:$B$106,"&lt;="&amp;$B146)</f>
        <v>0</v>
      </c>
      <c r="V146" s="46" t="n">
        <f aca="false">SUMIFS('Additions (monthly)'!$E$2:$E$106,'Additions (monthly)'!$D$2:$D$106,V$2,'Additions (monthly)'!$B$2:$B$106,"&lt;="&amp;$B146)</f>
        <v>3.87</v>
      </c>
      <c r="W146" s="46" t="n">
        <f aca="false">SUMIFS('Additions (monthly)'!$E$2:$E$106,'Additions (monthly)'!$D$2:$D$106,W$2,'Additions (monthly)'!$B$2:$B$106,"&lt;="&amp;$B146)</f>
        <v>0</v>
      </c>
      <c r="X146" s="46" t="n">
        <f aca="false">SUMIFS('Additions (monthly)'!$E$2:$E$106,'Additions (monthly)'!$D$2:$D$106,X$2,'Additions (monthly)'!$B$2:$B$106,"&lt;="&amp;$B146)</f>
        <v>0</v>
      </c>
      <c r="Y146" s="46" t="n">
        <f aca="false">SUMIFS('Additions (monthly)'!$E$2:$E$106,'Additions (monthly)'!$D$2:$D$106,Y$2,'Additions (monthly)'!$B$2:$B$106,"&lt;="&amp;$B146)</f>
        <v>5</v>
      </c>
      <c r="Z146" s="46" t="n">
        <f aca="false">SUMIFS('Additions (monthly)'!$E$2:$E$106,'Additions (monthly)'!$D$2:$D$106,Z$2,'Additions (monthly)'!$B$2:$B$106,"&lt;="&amp;$B146)</f>
        <v>7.2</v>
      </c>
      <c r="AA146" s="46" t="n">
        <f aca="false">SUMIFS('Additions (monthly)'!$E$2:$E$106,'Additions (monthly)'!$D$2:$D$106,AA$2,'Additions (monthly)'!$B$2:$B$106,"&lt;="&amp;$B146)</f>
        <v>3.7</v>
      </c>
      <c r="AB146" s="46" t="n">
        <f aca="false">SUMIFS('Additions (monthly)'!$E$2:$E$106,'Additions (monthly)'!$D$2:$D$106,AB$2,'Additions (monthly)'!$B$2:$B$106,"&lt;="&amp;$B146)</f>
        <v>16.95</v>
      </c>
      <c r="AC146" s="46" t="n">
        <f aca="false">SUMIFS('Additions (monthly)'!$E$2:$E$106,'Additions (monthly)'!$D$2:$D$106,AC$2,'Additions (monthly)'!$B$2:$B$106,"&lt;="&amp;$B146)</f>
        <v>2</v>
      </c>
      <c r="AD146" s="46" t="n">
        <f aca="false">SUMIFS('Additions (monthly)'!$E$2:$E$106,'Additions (monthly)'!$D$2:$D$106,AD$2,'Additions (monthly)'!$B$2:$B$106,"&lt;="&amp;$B146)</f>
        <v>7.6</v>
      </c>
      <c r="AE146" s="46" t="n">
        <f aca="false">SUMIFS('Additions (monthly)'!$E$2:$E$106,'Additions (monthly)'!$D$2:$D$106,AE$2,'Additions (monthly)'!$B$2:$B$106,"&lt;="&amp;$B146)</f>
        <v>29.3</v>
      </c>
      <c r="AF146" s="46" t="n">
        <f aca="false">SUMIFS('Additions (monthly)'!$E$2:$E$106,'Additions (monthly)'!$D$2:$D$106,AF$2,'Additions (monthly)'!$B$2:$B$106,"&lt;="&amp;$B146)</f>
        <v>1.2</v>
      </c>
      <c r="AG146" s="46" t="n">
        <f aca="false">SUMIFS('Additions (monthly)'!$E$2:$E$106,'Additions (monthly)'!$D$2:$D$106,AG$2,'Additions (monthly)'!$B$2:$B$106,"&lt;="&amp;$B146)</f>
        <v>1.5</v>
      </c>
      <c r="AH146" s="46" t="n">
        <f aca="false">SUMIFS('Additions (monthly)'!$E$2:$E$106,'Additions (monthly)'!$D$2:$D$106,AH$2,'Additions (monthly)'!$B$2:$B$106,"&lt;="&amp;$B146)</f>
        <v>0</v>
      </c>
      <c r="AI146" s="46" t="n">
        <f aca="false">SUMIFS('Additions (monthly)'!$E$2:$E$106,'Additions (monthly)'!$D$2:$D$106,AI$2,'Additions (monthly)'!$B$2:$B$106,"&lt;="&amp;$B146)</f>
        <v>0</v>
      </c>
      <c r="AJ146" s="46" t="n">
        <f aca="false">SUMIFS('Additions (monthly)'!$E$2:$E$106,'Additions (monthly)'!$D$2:$D$106,AJ$2,'Additions (monthly)'!$B$2:$B$106,"&lt;="&amp;$B146)</f>
        <v>0</v>
      </c>
      <c r="AK146" s="46" t="n">
        <f aca="false">SUMIFS('Additions (monthly)'!$E$2:$E$106,'Additions (monthly)'!$D$2:$D$106,AK$2,'Additions (monthly)'!$B$2:$B$106,"&lt;="&amp;$B146)</f>
        <v>0</v>
      </c>
      <c r="AL146" s="46" t="n">
        <f aca="false">SUMIFS('Additions (monthly)'!$E$2:$E$106,'Additions (monthly)'!$D$2:$D$106,AL$2,'Additions (monthly)'!$B$2:$B$106,"&lt;="&amp;$B146)</f>
        <v>22.2</v>
      </c>
      <c r="AM146" s="46" t="n">
        <f aca="false">SUMIFS('Additions (monthly)'!$E$2:$E$106,'Additions (monthly)'!$D$2:$D$106,AM$2,'Additions (monthly)'!$B$2:$B$106,"&lt;="&amp;$B146)</f>
        <v>0.3</v>
      </c>
      <c r="AN146" s="46" t="n">
        <f aca="false">SUMIFS('Additions (monthly)'!$E$2:$E$106,'Additions (monthly)'!$D$2:$D$106,AN$2,'Additions (monthly)'!$B$2:$B$106,"&lt;="&amp;$B146)</f>
        <v>4.3</v>
      </c>
      <c r="AO146" s="46" t="n">
        <f aca="false">SUMIFS('Additions (monthly)'!$E$2:$E$106,'Additions (monthly)'!$D$2:$D$106,AO$2,'Additions (monthly)'!$B$2:$B$106,"&lt;="&amp;$B146)</f>
        <v>10.4</v>
      </c>
      <c r="AP146" s="46" t="n">
        <f aca="false">SUMIFS('Additions (monthly)'!$E$2:$E$106,'Additions (monthly)'!$D$2:$D$106,AP$2,'Additions (monthly)'!$B$2:$B$106,"&lt;="&amp;$B146)</f>
        <v>6.9</v>
      </c>
      <c r="AQ146" s="46" t="n">
        <f aca="false">SUMIFS('Additions (monthly)'!$E$2:$E$106,'Additions (monthly)'!$D$2:$D$106,AQ$2,'Additions (monthly)'!$B$2:$B$106,"&lt;="&amp;$B146)</f>
        <v>4.45</v>
      </c>
      <c r="AR146" s="46" t="n">
        <f aca="false">SUMIFS('Additions (monthly)'!$E$2:$E$106,'Additions (monthly)'!$D$2:$D$106,AR$2,'Additions (monthly)'!$B$2:$B$106,"&lt;="&amp;$B146)</f>
        <v>77.1</v>
      </c>
      <c r="AS146" s="46" t="n">
        <f aca="false">SUMIFS('Additions (monthly)'!$E$2:$E$106,'Additions (monthly)'!$D$2:$D$106,AS$2,'Additions (monthly)'!$B$2:$B$106,"&lt;="&amp;$B146)</f>
        <v>0</v>
      </c>
      <c r="AT146" s="46" t="n">
        <f aca="false">SUMIFS('Additions (monthly)'!$E$2:$E$106,'Additions (monthly)'!$D$2:$D$106,AT$2,'Additions (monthly)'!$B$2:$B$106,"&lt;="&amp;$B146)</f>
        <v>0</v>
      </c>
      <c r="AU146" s="46" t="n">
        <f aca="false">SUMIFS('Additions (monthly)'!$E$2:$E$106,'Additions (monthly)'!$D$2:$D$106,AU$2,'Additions (monthly)'!$B$2:$B$106,"&lt;="&amp;$B146)</f>
        <v>9.6</v>
      </c>
      <c r="AV146" s="46" t="n">
        <f aca="false">SUMIFS('Additions (monthly)'!$E$2:$E$106,'Additions (monthly)'!$D$2:$D$106,AV$2,'Additions (monthly)'!$B$2:$B$106,"&lt;="&amp;$B146)</f>
        <v>0.66</v>
      </c>
      <c r="AW146" s="46" t="n">
        <f aca="false">SUMIFS('Additions (monthly)'!$E$2:$E$106,'Additions (monthly)'!$D$2:$D$106,AW$2,'Additions (monthly)'!$B$2:$B$106,"&lt;="&amp;$B146)</f>
        <v>17.4</v>
      </c>
      <c r="AX146" s="46" t="n">
        <f aca="false">SUMIFS('Additions (monthly)'!$E$2:$E$106,'Additions (monthly)'!$D$2:$D$106,AX$2,'Additions (monthly)'!$B$2:$B$106,"&lt;="&amp;$B146)</f>
        <v>11.8</v>
      </c>
      <c r="AY146" s="46" t="n">
        <f aca="false">SUMIFS('Additions (monthly)'!$E$2:$E$106,'Additions (monthly)'!$D$2:$D$106,AY$2,'Additions (monthly)'!$B$2:$B$106,"&lt;="&amp;$B146)</f>
        <v>5.3</v>
      </c>
      <c r="AZ146" s="46" t="n">
        <f aca="false">SUMIFS('Additions (monthly)'!$E$2:$E$106,'Additions (monthly)'!$D$2:$D$106,AZ$2,'Additions (monthly)'!$B$2:$B$106,"&lt;="&amp;$B146)</f>
        <v>0</v>
      </c>
      <c r="BA146" s="46" t="n">
        <f aca="false">SUMIFS('Additions (monthly)'!$E$2:$E$106,'Additions (monthly)'!$D$2:$D$106,BA$2,'Additions (monthly)'!$B$2:$B$106,"&lt;="&amp;$B146)</f>
        <v>13.5</v>
      </c>
      <c r="BB146" s="46" t="n">
        <f aca="false">SUMIFS('Additions (monthly)'!$E$2:$E$106,'Additions (monthly)'!$D$2:$D$106,BB$2,'Additions (monthly)'!$B$2:$B$106,"&lt;="&amp;$B146)</f>
        <v>15</v>
      </c>
      <c r="BC146" s="46" t="n">
        <f aca="false">SUMIFS('Additions (monthly)'!$E$2:$E$106,'Additions (monthly)'!$D$2:$D$106,BC$2,'Additions (monthly)'!$B$2:$B$106,"&lt;="&amp;$B146)</f>
        <v>5.25</v>
      </c>
      <c r="BD146" s="46" t="n">
        <f aca="false">SUMIFS('Additions (monthly)'!$E$2:$E$106,'Additions (monthly)'!$D$2:$D$106,BD$2,'Additions (monthly)'!$B$2:$B$106,"&lt;="&amp;$B146)</f>
        <v>2.5</v>
      </c>
      <c r="BE146" s="46" t="n">
        <f aca="false">SUMIFS('Additions (monthly)'!$E$2:$E$106,'Additions (monthly)'!$D$2:$D$106,BE$2,'Additions (monthly)'!$B$2:$B$106,"&lt;="&amp;$B146)</f>
        <v>15.3</v>
      </c>
      <c r="BF146" s="46" t="n">
        <f aca="false">SUMIFS('Additions (monthly)'!$E$2:$E$106,'Additions (monthly)'!$D$2:$D$106,BF$2,'Additions (monthly)'!$B$2:$B$106,"&lt;="&amp;$B146)</f>
        <v>0</v>
      </c>
      <c r="BG146" s="46" t="n">
        <f aca="false">SUMIFS('Additions (monthly)'!$E$2:$E$106,'Additions (monthly)'!$D$2:$D$106,BG$2,'Additions (monthly)'!$B$2:$B$106,"&lt;="&amp;$B146)</f>
        <v>0</v>
      </c>
      <c r="BH146" s="46" t="n">
        <f aca="false">SUMIFS('Additions (monthly)'!$E$2:$E$106,'Additions (monthly)'!$D$2:$D$106,BH$2,'Additions (monthly)'!$B$2:$B$106,"&lt;="&amp;$B146)</f>
        <v>30</v>
      </c>
      <c r="BI146" s="46" t="n">
        <f aca="false">SUMIFS('Additions (monthly)'!$E$2:$E$106,'Additions (monthly)'!$D$2:$D$106,BI$2,'Additions (monthly)'!$B$2:$B$106,"&lt;="&amp;$B146)</f>
        <v>6.7</v>
      </c>
    </row>
    <row r="147" customFormat="false" ht="15" hidden="false" customHeight="false" outlineLevel="0" collapsed="false">
      <c r="A147" s="23" t="n">
        <v>44562</v>
      </c>
      <c r="B147" s="24" t="n">
        <v>202201</v>
      </c>
      <c r="C147" s="42" t="n">
        <f aca="false">SUMIFS('Additions (monthly)'!$E$2:$E$106,'Additions (monthly)'!$B$2:$B$106,"&lt;="&amp;$B147)</f>
        <v>463.49</v>
      </c>
      <c r="D147" s="43" t="n">
        <f aca="false">SUMIFS('Additions (monthly)'!$E$2:$E$106,'Additions (monthly)'!$D$2:$D$106,D$2,'Additions (monthly)'!$B$2:$B$106,"&lt;="&amp;$B147)</f>
        <v>7.9</v>
      </c>
      <c r="E147" s="43" t="n">
        <f aca="false">SUMIFS('Additions (monthly)'!$E$2:$E$106,'Additions (monthly)'!$D$2:$D$106,E$2,'Additions (monthly)'!$B$2:$B$106,"&lt;="&amp;$B147)</f>
        <v>8.4</v>
      </c>
      <c r="F147" s="43" t="n">
        <f aca="false">SUMIFS('Additions (monthly)'!$E$2:$E$106,'Additions (monthly)'!$D$2:$D$106,F$2,'Additions (monthly)'!$B$2:$B$106,"&lt;="&amp;$B147)</f>
        <v>4.7</v>
      </c>
      <c r="G147" s="43" t="n">
        <f aca="false">SUMIFS('Additions (monthly)'!$E$2:$E$106,'Additions (monthly)'!$D$2:$D$106,G$2,'Additions (monthly)'!$B$2:$B$106,"&lt;="&amp;$B147)</f>
        <v>4.5</v>
      </c>
      <c r="H147" s="43" t="n">
        <f aca="false">SUMIFS('Additions (monthly)'!$E$2:$E$106,'Additions (monthly)'!$D$2:$D$106,H$2,'Additions (monthly)'!$B$2:$B$106,"&lt;="&amp;$B147)</f>
        <v>5.2</v>
      </c>
      <c r="I147" s="43" t="n">
        <f aca="false">SUMIFS('Additions (monthly)'!$E$2:$E$106,'Additions (monthly)'!$D$2:$D$106,I$2,'Additions (monthly)'!$B$2:$B$106,"&lt;="&amp;$B147)</f>
        <v>9</v>
      </c>
      <c r="J147" s="43" t="n">
        <f aca="false">SUMIFS('Additions (monthly)'!$E$2:$E$106,'Additions (monthly)'!$D$2:$D$106,J$2,'Additions (monthly)'!$B$2:$B$106,"&lt;="&amp;$B147)</f>
        <v>3.7</v>
      </c>
      <c r="K147" s="43" t="n">
        <f aca="false">SUMIFS('Additions (monthly)'!$E$2:$E$106,'Additions (monthly)'!$D$2:$D$106,K$2,'Additions (monthly)'!$B$2:$B$106,"&lt;="&amp;$B147)</f>
        <v>7.8</v>
      </c>
      <c r="L147" s="43" t="n">
        <f aca="false">SUMIFS('Additions (monthly)'!$E$2:$E$106,'Additions (monthly)'!$D$2:$D$106,L$2,'Additions (monthly)'!$B$2:$B$106,"&lt;="&amp;$B147)</f>
        <v>15.6</v>
      </c>
      <c r="M147" s="43" t="n">
        <f aca="false">SUMIFS('Additions (monthly)'!$E$2:$E$106,'Additions (monthly)'!$D$2:$D$106,M$2,'Additions (monthly)'!$B$2:$B$106,"&lt;="&amp;$B147)</f>
        <v>8.9</v>
      </c>
      <c r="N147" s="43" t="n">
        <f aca="false">SUMIFS('Additions (monthly)'!$E$2:$E$106,'Additions (monthly)'!$D$2:$D$106,N$2,'Additions (monthly)'!$B$2:$B$106,"&lt;="&amp;$B147)</f>
        <v>14.2</v>
      </c>
      <c r="O147" s="43" t="n">
        <f aca="false">SUMIFS('Additions (monthly)'!$E$2:$E$106,'Additions (monthly)'!$D$2:$D$106,O$2,'Additions (monthly)'!$B$2:$B$106,"&lt;="&amp;$B147)</f>
        <v>4.9</v>
      </c>
      <c r="P147" s="43" t="n">
        <f aca="false">SUMIFS('Additions (monthly)'!$E$2:$E$106,'Additions (monthly)'!$D$2:$D$106,P$2,'Additions (monthly)'!$B$2:$B$106,"&lt;="&amp;$B147)</f>
        <v>3.6</v>
      </c>
      <c r="Q147" s="43" t="n">
        <f aca="false">SUMIFS('Additions (monthly)'!$E$2:$E$106,'Additions (monthly)'!$D$2:$D$106,Q$2,'Additions (monthly)'!$B$2:$B$106,"&lt;="&amp;$B147)</f>
        <v>8.5</v>
      </c>
      <c r="R147" s="43" t="n">
        <f aca="false">SUMIFS('Additions (monthly)'!$E$2:$E$106,'Additions (monthly)'!$D$2:$D$106,R$2,'Additions (monthly)'!$B$2:$B$106,"&lt;="&amp;$B147)</f>
        <v>8.9</v>
      </c>
      <c r="S147" s="43" t="n">
        <f aca="false">SUMIFS('Additions (monthly)'!$E$2:$E$106,'Additions (monthly)'!$D$2:$D$106,S$2,'Additions (monthly)'!$B$2:$B$106,"&lt;="&amp;$B147)</f>
        <v>7.2</v>
      </c>
      <c r="T147" s="43" t="n">
        <f aca="false">SUMIFS('Additions (monthly)'!$E$2:$E$106,'Additions (monthly)'!$D$2:$D$106,T$2,'Additions (monthly)'!$B$2:$B$106,"&lt;="&amp;$B147)</f>
        <v>2.4</v>
      </c>
      <c r="U147" s="43" t="n">
        <f aca="false">SUMIFS('Additions (monthly)'!$E$2:$E$106,'Additions (monthly)'!$D$2:$D$106,U$2,'Additions (monthly)'!$B$2:$B$106,"&lt;="&amp;$B147)</f>
        <v>0</v>
      </c>
      <c r="V147" s="43" t="n">
        <f aca="false">SUMIFS('Additions (monthly)'!$E$2:$E$106,'Additions (monthly)'!$D$2:$D$106,V$2,'Additions (monthly)'!$B$2:$B$106,"&lt;="&amp;$B147)</f>
        <v>3.87</v>
      </c>
      <c r="W147" s="43" t="n">
        <f aca="false">SUMIFS('Additions (monthly)'!$E$2:$E$106,'Additions (monthly)'!$D$2:$D$106,W$2,'Additions (monthly)'!$B$2:$B$106,"&lt;="&amp;$B147)</f>
        <v>0</v>
      </c>
      <c r="X147" s="43" t="n">
        <f aca="false">SUMIFS('Additions (monthly)'!$E$2:$E$106,'Additions (monthly)'!$D$2:$D$106,X$2,'Additions (monthly)'!$B$2:$B$106,"&lt;="&amp;$B147)</f>
        <v>0</v>
      </c>
      <c r="Y147" s="43" t="n">
        <f aca="false">SUMIFS('Additions (monthly)'!$E$2:$E$106,'Additions (monthly)'!$D$2:$D$106,Y$2,'Additions (monthly)'!$B$2:$B$106,"&lt;="&amp;$B147)</f>
        <v>5</v>
      </c>
      <c r="Z147" s="43" t="n">
        <f aca="false">SUMIFS('Additions (monthly)'!$E$2:$E$106,'Additions (monthly)'!$D$2:$D$106,Z$2,'Additions (monthly)'!$B$2:$B$106,"&lt;="&amp;$B147)</f>
        <v>7.2</v>
      </c>
      <c r="AA147" s="43" t="n">
        <f aca="false">SUMIFS('Additions (monthly)'!$E$2:$E$106,'Additions (monthly)'!$D$2:$D$106,AA$2,'Additions (monthly)'!$B$2:$B$106,"&lt;="&amp;$B147)</f>
        <v>3.7</v>
      </c>
      <c r="AB147" s="43" t="n">
        <f aca="false">SUMIFS('Additions (monthly)'!$E$2:$E$106,'Additions (monthly)'!$D$2:$D$106,AB$2,'Additions (monthly)'!$B$2:$B$106,"&lt;="&amp;$B147)</f>
        <v>16.95</v>
      </c>
      <c r="AC147" s="43" t="n">
        <f aca="false">SUMIFS('Additions (monthly)'!$E$2:$E$106,'Additions (monthly)'!$D$2:$D$106,AC$2,'Additions (monthly)'!$B$2:$B$106,"&lt;="&amp;$B147)</f>
        <v>2</v>
      </c>
      <c r="AD147" s="43" t="n">
        <f aca="false">SUMIFS('Additions (monthly)'!$E$2:$E$106,'Additions (monthly)'!$D$2:$D$106,AD$2,'Additions (monthly)'!$B$2:$B$106,"&lt;="&amp;$B147)</f>
        <v>7.6</v>
      </c>
      <c r="AE147" s="43" t="n">
        <f aca="false">SUMIFS('Additions (monthly)'!$E$2:$E$106,'Additions (monthly)'!$D$2:$D$106,AE$2,'Additions (monthly)'!$B$2:$B$106,"&lt;="&amp;$B147)</f>
        <v>29.3</v>
      </c>
      <c r="AF147" s="43" t="n">
        <f aca="false">SUMIFS('Additions (monthly)'!$E$2:$E$106,'Additions (monthly)'!$D$2:$D$106,AF$2,'Additions (monthly)'!$B$2:$B$106,"&lt;="&amp;$B147)</f>
        <v>1.2</v>
      </c>
      <c r="AG147" s="43" t="n">
        <f aca="false">SUMIFS('Additions (monthly)'!$E$2:$E$106,'Additions (monthly)'!$D$2:$D$106,AG$2,'Additions (monthly)'!$B$2:$B$106,"&lt;="&amp;$B147)</f>
        <v>1.5</v>
      </c>
      <c r="AH147" s="43" t="n">
        <f aca="false">SUMIFS('Additions (monthly)'!$E$2:$E$106,'Additions (monthly)'!$D$2:$D$106,AH$2,'Additions (monthly)'!$B$2:$B$106,"&lt;="&amp;$B147)</f>
        <v>0</v>
      </c>
      <c r="AI147" s="43" t="n">
        <f aca="false">SUMIFS('Additions (monthly)'!$E$2:$E$106,'Additions (monthly)'!$D$2:$D$106,AI$2,'Additions (monthly)'!$B$2:$B$106,"&lt;="&amp;$B147)</f>
        <v>0</v>
      </c>
      <c r="AJ147" s="43" t="n">
        <f aca="false">SUMIFS('Additions (monthly)'!$E$2:$E$106,'Additions (monthly)'!$D$2:$D$106,AJ$2,'Additions (monthly)'!$B$2:$B$106,"&lt;="&amp;$B147)</f>
        <v>0</v>
      </c>
      <c r="AK147" s="43" t="n">
        <f aca="false">SUMIFS('Additions (monthly)'!$E$2:$E$106,'Additions (monthly)'!$D$2:$D$106,AK$2,'Additions (monthly)'!$B$2:$B$106,"&lt;="&amp;$B147)</f>
        <v>0</v>
      </c>
      <c r="AL147" s="43" t="n">
        <f aca="false">SUMIFS('Additions (monthly)'!$E$2:$E$106,'Additions (monthly)'!$D$2:$D$106,AL$2,'Additions (monthly)'!$B$2:$B$106,"&lt;="&amp;$B147)</f>
        <v>22.2</v>
      </c>
      <c r="AM147" s="43" t="n">
        <f aca="false">SUMIFS('Additions (monthly)'!$E$2:$E$106,'Additions (monthly)'!$D$2:$D$106,AM$2,'Additions (monthly)'!$B$2:$B$106,"&lt;="&amp;$B147)</f>
        <v>0.3</v>
      </c>
      <c r="AN147" s="43" t="n">
        <f aca="false">SUMIFS('Additions (monthly)'!$E$2:$E$106,'Additions (monthly)'!$D$2:$D$106,AN$2,'Additions (monthly)'!$B$2:$B$106,"&lt;="&amp;$B147)</f>
        <v>4.3</v>
      </c>
      <c r="AO147" s="43" t="n">
        <f aca="false">SUMIFS('Additions (monthly)'!$E$2:$E$106,'Additions (monthly)'!$D$2:$D$106,AO$2,'Additions (monthly)'!$B$2:$B$106,"&lt;="&amp;$B147)</f>
        <v>10.4</v>
      </c>
      <c r="AP147" s="43" t="n">
        <f aca="false">SUMIFS('Additions (monthly)'!$E$2:$E$106,'Additions (monthly)'!$D$2:$D$106,AP$2,'Additions (monthly)'!$B$2:$B$106,"&lt;="&amp;$B147)</f>
        <v>6.9</v>
      </c>
      <c r="AQ147" s="43" t="n">
        <f aca="false">SUMIFS('Additions (monthly)'!$E$2:$E$106,'Additions (monthly)'!$D$2:$D$106,AQ$2,'Additions (monthly)'!$B$2:$B$106,"&lt;="&amp;$B147)</f>
        <v>4.45</v>
      </c>
      <c r="AR147" s="43" t="n">
        <f aca="false">SUMIFS('Additions (monthly)'!$E$2:$E$106,'Additions (monthly)'!$D$2:$D$106,AR$2,'Additions (monthly)'!$B$2:$B$106,"&lt;="&amp;$B147)</f>
        <v>77.1</v>
      </c>
      <c r="AS147" s="43" t="n">
        <f aca="false">SUMIFS('Additions (monthly)'!$E$2:$E$106,'Additions (monthly)'!$D$2:$D$106,AS$2,'Additions (monthly)'!$B$2:$B$106,"&lt;="&amp;$B147)</f>
        <v>0</v>
      </c>
      <c r="AT147" s="43" t="n">
        <f aca="false">SUMIFS('Additions (monthly)'!$E$2:$E$106,'Additions (monthly)'!$D$2:$D$106,AT$2,'Additions (monthly)'!$B$2:$B$106,"&lt;="&amp;$B147)</f>
        <v>0</v>
      </c>
      <c r="AU147" s="43" t="n">
        <f aca="false">SUMIFS('Additions (monthly)'!$E$2:$E$106,'Additions (monthly)'!$D$2:$D$106,AU$2,'Additions (monthly)'!$B$2:$B$106,"&lt;="&amp;$B147)</f>
        <v>9.6</v>
      </c>
      <c r="AV147" s="43" t="n">
        <f aca="false">SUMIFS('Additions (monthly)'!$E$2:$E$106,'Additions (monthly)'!$D$2:$D$106,AV$2,'Additions (monthly)'!$B$2:$B$106,"&lt;="&amp;$B147)</f>
        <v>0.66</v>
      </c>
      <c r="AW147" s="43" t="n">
        <f aca="false">SUMIFS('Additions (monthly)'!$E$2:$E$106,'Additions (monthly)'!$D$2:$D$106,AW$2,'Additions (monthly)'!$B$2:$B$106,"&lt;="&amp;$B147)</f>
        <v>17.4</v>
      </c>
      <c r="AX147" s="43" t="n">
        <f aca="false">SUMIFS('Additions (monthly)'!$E$2:$E$106,'Additions (monthly)'!$D$2:$D$106,AX$2,'Additions (monthly)'!$B$2:$B$106,"&lt;="&amp;$B147)</f>
        <v>11.8</v>
      </c>
      <c r="AY147" s="43" t="n">
        <f aca="false">SUMIFS('Additions (monthly)'!$E$2:$E$106,'Additions (monthly)'!$D$2:$D$106,AY$2,'Additions (monthly)'!$B$2:$B$106,"&lt;="&amp;$B147)</f>
        <v>5.3</v>
      </c>
      <c r="AZ147" s="43" t="n">
        <f aca="false">SUMIFS('Additions (monthly)'!$E$2:$E$106,'Additions (monthly)'!$D$2:$D$106,AZ$2,'Additions (monthly)'!$B$2:$B$106,"&lt;="&amp;$B147)</f>
        <v>1.11</v>
      </c>
      <c r="BA147" s="43" t="n">
        <f aca="false">SUMIFS('Additions (monthly)'!$E$2:$E$106,'Additions (monthly)'!$D$2:$D$106,BA$2,'Additions (monthly)'!$B$2:$B$106,"&lt;="&amp;$B147)</f>
        <v>13.5</v>
      </c>
      <c r="BB147" s="43" t="n">
        <f aca="false">SUMIFS('Additions (monthly)'!$E$2:$E$106,'Additions (monthly)'!$D$2:$D$106,BB$2,'Additions (monthly)'!$B$2:$B$106,"&lt;="&amp;$B147)</f>
        <v>15</v>
      </c>
      <c r="BC147" s="43" t="n">
        <f aca="false">SUMIFS('Additions (monthly)'!$E$2:$E$106,'Additions (monthly)'!$D$2:$D$106,BC$2,'Additions (monthly)'!$B$2:$B$106,"&lt;="&amp;$B147)</f>
        <v>5.25</v>
      </c>
      <c r="BD147" s="43" t="n">
        <f aca="false">SUMIFS('Additions (monthly)'!$E$2:$E$106,'Additions (monthly)'!$D$2:$D$106,BD$2,'Additions (monthly)'!$B$2:$B$106,"&lt;="&amp;$B147)</f>
        <v>2.5</v>
      </c>
      <c r="BE147" s="43" t="n">
        <f aca="false">SUMIFS('Additions (monthly)'!$E$2:$E$106,'Additions (monthly)'!$D$2:$D$106,BE$2,'Additions (monthly)'!$B$2:$B$106,"&lt;="&amp;$B147)</f>
        <v>15.3</v>
      </c>
      <c r="BF147" s="43" t="n">
        <f aca="false">SUMIFS('Additions (monthly)'!$E$2:$E$106,'Additions (monthly)'!$D$2:$D$106,BF$2,'Additions (monthly)'!$B$2:$B$106,"&lt;="&amp;$B147)</f>
        <v>0</v>
      </c>
      <c r="BG147" s="43" t="n">
        <f aca="false">SUMIFS('Additions (monthly)'!$E$2:$E$106,'Additions (monthly)'!$D$2:$D$106,BG$2,'Additions (monthly)'!$B$2:$B$106,"&lt;="&amp;$B147)</f>
        <v>0</v>
      </c>
      <c r="BH147" s="43" t="n">
        <f aca="false">SUMIFS('Additions (monthly)'!$E$2:$E$106,'Additions (monthly)'!$D$2:$D$106,BH$2,'Additions (monthly)'!$B$2:$B$106,"&lt;="&amp;$B147)</f>
        <v>30</v>
      </c>
      <c r="BI147" s="43" t="n">
        <f aca="false">SUMIFS('Additions (monthly)'!$E$2:$E$106,'Additions (monthly)'!$D$2:$D$106,BI$2,'Additions (monthly)'!$B$2:$B$106,"&lt;="&amp;$B147)</f>
        <v>6.7</v>
      </c>
    </row>
    <row r="148" customFormat="false" ht="15" hidden="false" customHeight="false" outlineLevel="0" collapsed="false">
      <c r="A148" s="23" t="n">
        <v>44593</v>
      </c>
      <c r="B148" s="24" t="n">
        <v>202202</v>
      </c>
      <c r="C148" s="42" t="n">
        <f aca="false">SUMIFS('Additions (monthly)'!$E$2:$E$106,'Additions (monthly)'!$B$2:$B$106,"&lt;="&amp;$B148)</f>
        <v>465.7</v>
      </c>
      <c r="D148" s="43" t="n">
        <f aca="false">SUMIFS('Additions (monthly)'!$E$2:$E$106,'Additions (monthly)'!$D$2:$D$106,D$2,'Additions (monthly)'!$B$2:$B$106,"&lt;="&amp;$B148)</f>
        <v>7.9</v>
      </c>
      <c r="E148" s="43" t="n">
        <f aca="false">SUMIFS('Additions (monthly)'!$E$2:$E$106,'Additions (monthly)'!$D$2:$D$106,E$2,'Additions (monthly)'!$B$2:$B$106,"&lt;="&amp;$B148)</f>
        <v>8.4</v>
      </c>
      <c r="F148" s="43" t="n">
        <f aca="false">SUMIFS('Additions (monthly)'!$E$2:$E$106,'Additions (monthly)'!$D$2:$D$106,F$2,'Additions (monthly)'!$B$2:$B$106,"&lt;="&amp;$B148)</f>
        <v>4.7</v>
      </c>
      <c r="G148" s="43" t="n">
        <f aca="false">SUMIFS('Additions (monthly)'!$E$2:$E$106,'Additions (monthly)'!$D$2:$D$106,G$2,'Additions (monthly)'!$B$2:$B$106,"&lt;="&amp;$B148)</f>
        <v>4.5</v>
      </c>
      <c r="H148" s="43" t="n">
        <f aca="false">SUMIFS('Additions (monthly)'!$E$2:$E$106,'Additions (monthly)'!$D$2:$D$106,H$2,'Additions (monthly)'!$B$2:$B$106,"&lt;="&amp;$B148)</f>
        <v>5.2</v>
      </c>
      <c r="I148" s="43" t="n">
        <f aca="false">SUMIFS('Additions (monthly)'!$E$2:$E$106,'Additions (monthly)'!$D$2:$D$106,I$2,'Additions (monthly)'!$B$2:$B$106,"&lt;="&amp;$B148)</f>
        <v>9</v>
      </c>
      <c r="J148" s="43" t="n">
        <f aca="false">SUMIFS('Additions (monthly)'!$E$2:$E$106,'Additions (monthly)'!$D$2:$D$106,J$2,'Additions (monthly)'!$B$2:$B$106,"&lt;="&amp;$B148)</f>
        <v>3.7</v>
      </c>
      <c r="K148" s="43" t="n">
        <f aca="false">SUMIFS('Additions (monthly)'!$E$2:$E$106,'Additions (monthly)'!$D$2:$D$106,K$2,'Additions (monthly)'!$B$2:$B$106,"&lt;="&amp;$B148)</f>
        <v>7.8</v>
      </c>
      <c r="L148" s="43" t="n">
        <f aca="false">SUMIFS('Additions (monthly)'!$E$2:$E$106,'Additions (monthly)'!$D$2:$D$106,L$2,'Additions (monthly)'!$B$2:$B$106,"&lt;="&amp;$B148)</f>
        <v>15.6</v>
      </c>
      <c r="M148" s="43" t="n">
        <f aca="false">SUMIFS('Additions (monthly)'!$E$2:$E$106,'Additions (monthly)'!$D$2:$D$106,M$2,'Additions (monthly)'!$B$2:$B$106,"&lt;="&amp;$B148)</f>
        <v>8.9</v>
      </c>
      <c r="N148" s="43" t="n">
        <f aca="false">SUMIFS('Additions (monthly)'!$E$2:$E$106,'Additions (monthly)'!$D$2:$D$106,N$2,'Additions (monthly)'!$B$2:$B$106,"&lt;="&amp;$B148)</f>
        <v>14.2</v>
      </c>
      <c r="O148" s="43" t="n">
        <f aca="false">SUMIFS('Additions (monthly)'!$E$2:$E$106,'Additions (monthly)'!$D$2:$D$106,O$2,'Additions (monthly)'!$B$2:$B$106,"&lt;="&amp;$B148)</f>
        <v>4.9</v>
      </c>
      <c r="P148" s="43" t="n">
        <f aca="false">SUMIFS('Additions (monthly)'!$E$2:$E$106,'Additions (monthly)'!$D$2:$D$106,P$2,'Additions (monthly)'!$B$2:$B$106,"&lt;="&amp;$B148)</f>
        <v>3.6</v>
      </c>
      <c r="Q148" s="43" t="n">
        <f aca="false">SUMIFS('Additions (monthly)'!$E$2:$E$106,'Additions (monthly)'!$D$2:$D$106,Q$2,'Additions (monthly)'!$B$2:$B$106,"&lt;="&amp;$B148)</f>
        <v>8.5</v>
      </c>
      <c r="R148" s="43" t="n">
        <f aca="false">SUMIFS('Additions (monthly)'!$E$2:$E$106,'Additions (monthly)'!$D$2:$D$106,R$2,'Additions (monthly)'!$B$2:$B$106,"&lt;="&amp;$B148)</f>
        <v>8.9</v>
      </c>
      <c r="S148" s="43" t="n">
        <f aca="false">SUMIFS('Additions (monthly)'!$E$2:$E$106,'Additions (monthly)'!$D$2:$D$106,S$2,'Additions (monthly)'!$B$2:$B$106,"&lt;="&amp;$B148)</f>
        <v>7.2</v>
      </c>
      <c r="T148" s="43" t="n">
        <f aca="false">SUMIFS('Additions (monthly)'!$E$2:$E$106,'Additions (monthly)'!$D$2:$D$106,T$2,'Additions (monthly)'!$B$2:$B$106,"&lt;="&amp;$B148)</f>
        <v>2.4</v>
      </c>
      <c r="U148" s="43" t="n">
        <f aca="false">SUMIFS('Additions (monthly)'!$E$2:$E$106,'Additions (monthly)'!$D$2:$D$106,U$2,'Additions (monthly)'!$B$2:$B$106,"&lt;="&amp;$B148)</f>
        <v>0</v>
      </c>
      <c r="V148" s="43" t="n">
        <f aca="false">SUMIFS('Additions (monthly)'!$E$2:$E$106,'Additions (monthly)'!$D$2:$D$106,V$2,'Additions (monthly)'!$B$2:$B$106,"&lt;="&amp;$B148)</f>
        <v>3.87</v>
      </c>
      <c r="W148" s="43" t="n">
        <f aca="false">SUMIFS('Additions (monthly)'!$E$2:$E$106,'Additions (monthly)'!$D$2:$D$106,W$2,'Additions (monthly)'!$B$2:$B$106,"&lt;="&amp;$B148)</f>
        <v>0</v>
      </c>
      <c r="X148" s="43" t="n">
        <f aca="false">SUMIFS('Additions (monthly)'!$E$2:$E$106,'Additions (monthly)'!$D$2:$D$106,X$2,'Additions (monthly)'!$B$2:$B$106,"&lt;="&amp;$B148)</f>
        <v>0</v>
      </c>
      <c r="Y148" s="43" t="n">
        <f aca="false">SUMIFS('Additions (monthly)'!$E$2:$E$106,'Additions (monthly)'!$D$2:$D$106,Y$2,'Additions (monthly)'!$B$2:$B$106,"&lt;="&amp;$B148)</f>
        <v>5</v>
      </c>
      <c r="Z148" s="43" t="n">
        <f aca="false">SUMIFS('Additions (monthly)'!$E$2:$E$106,'Additions (monthly)'!$D$2:$D$106,Z$2,'Additions (monthly)'!$B$2:$B$106,"&lt;="&amp;$B148)</f>
        <v>7.2</v>
      </c>
      <c r="AA148" s="43" t="n">
        <f aca="false">SUMIFS('Additions (monthly)'!$E$2:$E$106,'Additions (monthly)'!$D$2:$D$106,AA$2,'Additions (monthly)'!$B$2:$B$106,"&lt;="&amp;$B148)</f>
        <v>3.7</v>
      </c>
      <c r="AB148" s="43" t="n">
        <f aca="false">SUMIFS('Additions (monthly)'!$E$2:$E$106,'Additions (monthly)'!$D$2:$D$106,AB$2,'Additions (monthly)'!$B$2:$B$106,"&lt;="&amp;$B148)</f>
        <v>16.95</v>
      </c>
      <c r="AC148" s="43" t="n">
        <f aca="false">SUMIFS('Additions (monthly)'!$E$2:$E$106,'Additions (monthly)'!$D$2:$D$106,AC$2,'Additions (monthly)'!$B$2:$B$106,"&lt;="&amp;$B148)</f>
        <v>2</v>
      </c>
      <c r="AD148" s="43" t="n">
        <f aca="false">SUMIFS('Additions (monthly)'!$E$2:$E$106,'Additions (monthly)'!$D$2:$D$106,AD$2,'Additions (monthly)'!$B$2:$B$106,"&lt;="&amp;$B148)</f>
        <v>7.6</v>
      </c>
      <c r="AE148" s="43" t="n">
        <f aca="false">SUMIFS('Additions (monthly)'!$E$2:$E$106,'Additions (monthly)'!$D$2:$D$106,AE$2,'Additions (monthly)'!$B$2:$B$106,"&lt;="&amp;$B148)</f>
        <v>29.3</v>
      </c>
      <c r="AF148" s="43" t="n">
        <f aca="false">SUMIFS('Additions (monthly)'!$E$2:$E$106,'Additions (monthly)'!$D$2:$D$106,AF$2,'Additions (monthly)'!$B$2:$B$106,"&lt;="&amp;$B148)</f>
        <v>1.2</v>
      </c>
      <c r="AG148" s="43" t="n">
        <f aca="false">SUMIFS('Additions (monthly)'!$E$2:$E$106,'Additions (monthly)'!$D$2:$D$106,AG$2,'Additions (monthly)'!$B$2:$B$106,"&lt;="&amp;$B148)</f>
        <v>1.5</v>
      </c>
      <c r="AH148" s="43" t="n">
        <f aca="false">SUMIFS('Additions (monthly)'!$E$2:$E$106,'Additions (monthly)'!$D$2:$D$106,AH$2,'Additions (monthly)'!$B$2:$B$106,"&lt;="&amp;$B148)</f>
        <v>0</v>
      </c>
      <c r="AI148" s="43" t="n">
        <f aca="false">SUMIFS('Additions (monthly)'!$E$2:$E$106,'Additions (monthly)'!$D$2:$D$106,AI$2,'Additions (monthly)'!$B$2:$B$106,"&lt;="&amp;$B148)</f>
        <v>0</v>
      </c>
      <c r="AJ148" s="43" t="n">
        <f aca="false">SUMIFS('Additions (monthly)'!$E$2:$E$106,'Additions (monthly)'!$D$2:$D$106,AJ$2,'Additions (monthly)'!$B$2:$B$106,"&lt;="&amp;$B148)</f>
        <v>0</v>
      </c>
      <c r="AK148" s="43" t="n">
        <f aca="false">SUMIFS('Additions (monthly)'!$E$2:$E$106,'Additions (monthly)'!$D$2:$D$106,AK$2,'Additions (monthly)'!$B$2:$B$106,"&lt;="&amp;$B148)</f>
        <v>0</v>
      </c>
      <c r="AL148" s="43" t="n">
        <f aca="false">SUMIFS('Additions (monthly)'!$E$2:$E$106,'Additions (monthly)'!$D$2:$D$106,AL$2,'Additions (monthly)'!$B$2:$B$106,"&lt;="&amp;$B148)</f>
        <v>22.2</v>
      </c>
      <c r="AM148" s="43" t="n">
        <f aca="false">SUMIFS('Additions (monthly)'!$E$2:$E$106,'Additions (monthly)'!$D$2:$D$106,AM$2,'Additions (monthly)'!$B$2:$B$106,"&lt;="&amp;$B148)</f>
        <v>0.3</v>
      </c>
      <c r="AN148" s="43" t="n">
        <f aca="false">SUMIFS('Additions (monthly)'!$E$2:$E$106,'Additions (monthly)'!$D$2:$D$106,AN$2,'Additions (monthly)'!$B$2:$B$106,"&lt;="&amp;$B148)</f>
        <v>4.3</v>
      </c>
      <c r="AO148" s="43" t="n">
        <f aca="false">SUMIFS('Additions (monthly)'!$E$2:$E$106,'Additions (monthly)'!$D$2:$D$106,AO$2,'Additions (monthly)'!$B$2:$B$106,"&lt;="&amp;$B148)</f>
        <v>10.4</v>
      </c>
      <c r="AP148" s="43" t="n">
        <f aca="false">SUMIFS('Additions (monthly)'!$E$2:$E$106,'Additions (monthly)'!$D$2:$D$106,AP$2,'Additions (monthly)'!$B$2:$B$106,"&lt;="&amp;$B148)</f>
        <v>6.9</v>
      </c>
      <c r="AQ148" s="43" t="n">
        <f aca="false">SUMIFS('Additions (monthly)'!$E$2:$E$106,'Additions (monthly)'!$D$2:$D$106,AQ$2,'Additions (monthly)'!$B$2:$B$106,"&lt;="&amp;$B148)</f>
        <v>4.45</v>
      </c>
      <c r="AR148" s="43" t="n">
        <f aca="false">SUMIFS('Additions (monthly)'!$E$2:$E$106,'Additions (monthly)'!$D$2:$D$106,AR$2,'Additions (monthly)'!$B$2:$B$106,"&lt;="&amp;$B148)</f>
        <v>77.1</v>
      </c>
      <c r="AS148" s="43" t="n">
        <f aca="false">SUMIFS('Additions (monthly)'!$E$2:$E$106,'Additions (monthly)'!$D$2:$D$106,AS$2,'Additions (monthly)'!$B$2:$B$106,"&lt;="&amp;$B148)</f>
        <v>0</v>
      </c>
      <c r="AT148" s="43" t="n">
        <f aca="false">SUMIFS('Additions (monthly)'!$E$2:$E$106,'Additions (monthly)'!$D$2:$D$106,AT$2,'Additions (monthly)'!$B$2:$B$106,"&lt;="&amp;$B148)</f>
        <v>0</v>
      </c>
      <c r="AU148" s="43" t="n">
        <f aca="false">SUMIFS('Additions (monthly)'!$E$2:$E$106,'Additions (monthly)'!$D$2:$D$106,AU$2,'Additions (monthly)'!$B$2:$B$106,"&lt;="&amp;$B148)</f>
        <v>9.6</v>
      </c>
      <c r="AV148" s="43" t="n">
        <f aca="false">SUMIFS('Additions (monthly)'!$E$2:$E$106,'Additions (monthly)'!$D$2:$D$106,AV$2,'Additions (monthly)'!$B$2:$B$106,"&lt;="&amp;$B148)</f>
        <v>0.66</v>
      </c>
      <c r="AW148" s="43" t="n">
        <f aca="false">SUMIFS('Additions (monthly)'!$E$2:$E$106,'Additions (monthly)'!$D$2:$D$106,AW$2,'Additions (monthly)'!$B$2:$B$106,"&lt;="&amp;$B148)</f>
        <v>17.4</v>
      </c>
      <c r="AX148" s="43" t="n">
        <f aca="false">SUMIFS('Additions (monthly)'!$E$2:$E$106,'Additions (monthly)'!$D$2:$D$106,AX$2,'Additions (monthly)'!$B$2:$B$106,"&lt;="&amp;$B148)</f>
        <v>11.8</v>
      </c>
      <c r="AY148" s="43" t="n">
        <f aca="false">SUMIFS('Additions (monthly)'!$E$2:$E$106,'Additions (monthly)'!$D$2:$D$106,AY$2,'Additions (monthly)'!$B$2:$B$106,"&lt;="&amp;$B148)</f>
        <v>5.3</v>
      </c>
      <c r="AZ148" s="43" t="n">
        <f aca="false">SUMIFS('Additions (monthly)'!$E$2:$E$106,'Additions (monthly)'!$D$2:$D$106,AZ$2,'Additions (monthly)'!$B$2:$B$106,"&lt;="&amp;$B148)</f>
        <v>3.32</v>
      </c>
      <c r="BA148" s="43" t="n">
        <f aca="false">SUMIFS('Additions (monthly)'!$E$2:$E$106,'Additions (monthly)'!$D$2:$D$106,BA$2,'Additions (monthly)'!$B$2:$B$106,"&lt;="&amp;$B148)</f>
        <v>13.5</v>
      </c>
      <c r="BB148" s="43" t="n">
        <f aca="false">SUMIFS('Additions (monthly)'!$E$2:$E$106,'Additions (monthly)'!$D$2:$D$106,BB$2,'Additions (monthly)'!$B$2:$B$106,"&lt;="&amp;$B148)</f>
        <v>15</v>
      </c>
      <c r="BC148" s="43" t="n">
        <f aca="false">SUMIFS('Additions (monthly)'!$E$2:$E$106,'Additions (monthly)'!$D$2:$D$106,BC$2,'Additions (monthly)'!$B$2:$B$106,"&lt;="&amp;$B148)</f>
        <v>5.25</v>
      </c>
      <c r="BD148" s="43" t="n">
        <f aca="false">SUMIFS('Additions (monthly)'!$E$2:$E$106,'Additions (monthly)'!$D$2:$D$106,BD$2,'Additions (monthly)'!$B$2:$B$106,"&lt;="&amp;$B148)</f>
        <v>2.5</v>
      </c>
      <c r="BE148" s="43" t="n">
        <f aca="false">SUMIFS('Additions (monthly)'!$E$2:$E$106,'Additions (monthly)'!$D$2:$D$106,BE$2,'Additions (monthly)'!$B$2:$B$106,"&lt;="&amp;$B148)</f>
        <v>15.3</v>
      </c>
      <c r="BF148" s="43" t="n">
        <f aca="false">SUMIFS('Additions (monthly)'!$E$2:$E$106,'Additions (monthly)'!$D$2:$D$106,BF$2,'Additions (monthly)'!$B$2:$B$106,"&lt;="&amp;$B148)</f>
        <v>0</v>
      </c>
      <c r="BG148" s="43" t="n">
        <f aca="false">SUMIFS('Additions (monthly)'!$E$2:$E$106,'Additions (monthly)'!$D$2:$D$106,BG$2,'Additions (monthly)'!$B$2:$B$106,"&lt;="&amp;$B148)</f>
        <v>0</v>
      </c>
      <c r="BH148" s="43" t="n">
        <f aca="false">SUMIFS('Additions (monthly)'!$E$2:$E$106,'Additions (monthly)'!$D$2:$D$106,BH$2,'Additions (monthly)'!$B$2:$B$106,"&lt;="&amp;$B148)</f>
        <v>30</v>
      </c>
      <c r="BI148" s="43" t="n">
        <f aca="false">SUMIFS('Additions (monthly)'!$E$2:$E$106,'Additions (monthly)'!$D$2:$D$106,BI$2,'Additions (monthly)'!$B$2:$B$106,"&lt;="&amp;$B148)</f>
        <v>6.7</v>
      </c>
    </row>
    <row r="149" customFormat="false" ht="15" hidden="false" customHeight="false" outlineLevel="0" collapsed="false">
      <c r="A149" s="23" t="n">
        <v>44621</v>
      </c>
      <c r="B149" s="24" t="n">
        <v>202203</v>
      </c>
      <c r="C149" s="42" t="n">
        <f aca="false">SUMIFS('Additions (monthly)'!$E$2:$E$106,'Additions (monthly)'!$B$2:$B$106,"&lt;="&amp;$B149)</f>
        <v>466.81</v>
      </c>
      <c r="D149" s="43" t="n">
        <f aca="false">SUMIFS('Additions (monthly)'!$E$2:$E$106,'Additions (monthly)'!$D$2:$D$106,D$2,'Additions (monthly)'!$B$2:$B$106,"&lt;="&amp;$B149)</f>
        <v>7.9</v>
      </c>
      <c r="E149" s="43" t="n">
        <f aca="false">SUMIFS('Additions (monthly)'!$E$2:$E$106,'Additions (monthly)'!$D$2:$D$106,E$2,'Additions (monthly)'!$B$2:$B$106,"&lt;="&amp;$B149)</f>
        <v>8.4</v>
      </c>
      <c r="F149" s="43" t="n">
        <f aca="false">SUMIFS('Additions (monthly)'!$E$2:$E$106,'Additions (monthly)'!$D$2:$D$106,F$2,'Additions (monthly)'!$B$2:$B$106,"&lt;="&amp;$B149)</f>
        <v>4.7</v>
      </c>
      <c r="G149" s="43" t="n">
        <f aca="false">SUMIFS('Additions (monthly)'!$E$2:$E$106,'Additions (monthly)'!$D$2:$D$106,G$2,'Additions (monthly)'!$B$2:$B$106,"&lt;="&amp;$B149)</f>
        <v>4.5</v>
      </c>
      <c r="H149" s="43" t="n">
        <f aca="false">SUMIFS('Additions (monthly)'!$E$2:$E$106,'Additions (monthly)'!$D$2:$D$106,H$2,'Additions (monthly)'!$B$2:$B$106,"&lt;="&amp;$B149)</f>
        <v>5.2</v>
      </c>
      <c r="I149" s="43" t="n">
        <f aca="false">SUMIFS('Additions (monthly)'!$E$2:$E$106,'Additions (monthly)'!$D$2:$D$106,I$2,'Additions (monthly)'!$B$2:$B$106,"&lt;="&amp;$B149)</f>
        <v>9</v>
      </c>
      <c r="J149" s="43" t="n">
        <f aca="false">SUMIFS('Additions (monthly)'!$E$2:$E$106,'Additions (monthly)'!$D$2:$D$106,J$2,'Additions (monthly)'!$B$2:$B$106,"&lt;="&amp;$B149)</f>
        <v>3.7</v>
      </c>
      <c r="K149" s="43" t="n">
        <f aca="false">SUMIFS('Additions (monthly)'!$E$2:$E$106,'Additions (monthly)'!$D$2:$D$106,K$2,'Additions (monthly)'!$B$2:$B$106,"&lt;="&amp;$B149)</f>
        <v>7.8</v>
      </c>
      <c r="L149" s="43" t="n">
        <f aca="false">SUMIFS('Additions (monthly)'!$E$2:$E$106,'Additions (monthly)'!$D$2:$D$106,L$2,'Additions (monthly)'!$B$2:$B$106,"&lt;="&amp;$B149)</f>
        <v>15.6</v>
      </c>
      <c r="M149" s="43" t="n">
        <f aca="false">SUMIFS('Additions (monthly)'!$E$2:$E$106,'Additions (monthly)'!$D$2:$D$106,M$2,'Additions (monthly)'!$B$2:$B$106,"&lt;="&amp;$B149)</f>
        <v>8.9</v>
      </c>
      <c r="N149" s="43" t="n">
        <f aca="false">SUMIFS('Additions (monthly)'!$E$2:$E$106,'Additions (monthly)'!$D$2:$D$106,N$2,'Additions (monthly)'!$B$2:$B$106,"&lt;="&amp;$B149)</f>
        <v>14.2</v>
      </c>
      <c r="O149" s="43" t="n">
        <f aca="false">SUMIFS('Additions (monthly)'!$E$2:$E$106,'Additions (monthly)'!$D$2:$D$106,O$2,'Additions (monthly)'!$B$2:$B$106,"&lt;="&amp;$B149)</f>
        <v>4.9</v>
      </c>
      <c r="P149" s="43" t="n">
        <f aca="false">SUMIFS('Additions (monthly)'!$E$2:$E$106,'Additions (monthly)'!$D$2:$D$106,P$2,'Additions (monthly)'!$B$2:$B$106,"&lt;="&amp;$B149)</f>
        <v>3.6</v>
      </c>
      <c r="Q149" s="43" t="n">
        <f aca="false">SUMIFS('Additions (monthly)'!$E$2:$E$106,'Additions (monthly)'!$D$2:$D$106,Q$2,'Additions (monthly)'!$B$2:$B$106,"&lt;="&amp;$B149)</f>
        <v>8.5</v>
      </c>
      <c r="R149" s="43" t="n">
        <f aca="false">SUMIFS('Additions (monthly)'!$E$2:$E$106,'Additions (monthly)'!$D$2:$D$106,R$2,'Additions (monthly)'!$B$2:$B$106,"&lt;="&amp;$B149)</f>
        <v>8.9</v>
      </c>
      <c r="S149" s="43" t="n">
        <f aca="false">SUMIFS('Additions (monthly)'!$E$2:$E$106,'Additions (monthly)'!$D$2:$D$106,S$2,'Additions (monthly)'!$B$2:$B$106,"&lt;="&amp;$B149)</f>
        <v>7.2</v>
      </c>
      <c r="T149" s="43" t="n">
        <f aca="false">SUMIFS('Additions (monthly)'!$E$2:$E$106,'Additions (monthly)'!$D$2:$D$106,T$2,'Additions (monthly)'!$B$2:$B$106,"&lt;="&amp;$B149)</f>
        <v>2.4</v>
      </c>
      <c r="U149" s="43" t="n">
        <f aca="false">SUMIFS('Additions (monthly)'!$E$2:$E$106,'Additions (monthly)'!$D$2:$D$106,U$2,'Additions (monthly)'!$B$2:$B$106,"&lt;="&amp;$B149)</f>
        <v>0</v>
      </c>
      <c r="V149" s="43" t="n">
        <f aca="false">SUMIFS('Additions (monthly)'!$E$2:$E$106,'Additions (monthly)'!$D$2:$D$106,V$2,'Additions (monthly)'!$B$2:$B$106,"&lt;="&amp;$B149)</f>
        <v>3.87</v>
      </c>
      <c r="W149" s="43" t="n">
        <f aca="false">SUMIFS('Additions (monthly)'!$E$2:$E$106,'Additions (monthly)'!$D$2:$D$106,W$2,'Additions (monthly)'!$B$2:$B$106,"&lt;="&amp;$B149)</f>
        <v>0</v>
      </c>
      <c r="X149" s="43" t="n">
        <f aca="false">SUMIFS('Additions (monthly)'!$E$2:$E$106,'Additions (monthly)'!$D$2:$D$106,X$2,'Additions (monthly)'!$B$2:$B$106,"&lt;="&amp;$B149)</f>
        <v>0</v>
      </c>
      <c r="Y149" s="43" t="n">
        <f aca="false">SUMIFS('Additions (monthly)'!$E$2:$E$106,'Additions (monthly)'!$D$2:$D$106,Y$2,'Additions (monthly)'!$B$2:$B$106,"&lt;="&amp;$B149)</f>
        <v>5</v>
      </c>
      <c r="Z149" s="43" t="n">
        <f aca="false">SUMIFS('Additions (monthly)'!$E$2:$E$106,'Additions (monthly)'!$D$2:$D$106,Z$2,'Additions (monthly)'!$B$2:$B$106,"&lt;="&amp;$B149)</f>
        <v>7.2</v>
      </c>
      <c r="AA149" s="43" t="n">
        <f aca="false">SUMIFS('Additions (monthly)'!$E$2:$E$106,'Additions (monthly)'!$D$2:$D$106,AA$2,'Additions (monthly)'!$B$2:$B$106,"&lt;="&amp;$B149)</f>
        <v>3.7</v>
      </c>
      <c r="AB149" s="43" t="n">
        <f aca="false">SUMIFS('Additions (monthly)'!$E$2:$E$106,'Additions (monthly)'!$D$2:$D$106,AB$2,'Additions (monthly)'!$B$2:$B$106,"&lt;="&amp;$B149)</f>
        <v>16.95</v>
      </c>
      <c r="AC149" s="43" t="n">
        <f aca="false">SUMIFS('Additions (monthly)'!$E$2:$E$106,'Additions (monthly)'!$D$2:$D$106,AC$2,'Additions (monthly)'!$B$2:$B$106,"&lt;="&amp;$B149)</f>
        <v>2</v>
      </c>
      <c r="AD149" s="43" t="n">
        <f aca="false">SUMIFS('Additions (monthly)'!$E$2:$E$106,'Additions (monthly)'!$D$2:$D$106,AD$2,'Additions (monthly)'!$B$2:$B$106,"&lt;="&amp;$B149)</f>
        <v>7.6</v>
      </c>
      <c r="AE149" s="43" t="n">
        <f aca="false">SUMIFS('Additions (monthly)'!$E$2:$E$106,'Additions (monthly)'!$D$2:$D$106,AE$2,'Additions (monthly)'!$B$2:$B$106,"&lt;="&amp;$B149)</f>
        <v>29.3</v>
      </c>
      <c r="AF149" s="43" t="n">
        <f aca="false">SUMIFS('Additions (monthly)'!$E$2:$E$106,'Additions (monthly)'!$D$2:$D$106,AF$2,'Additions (monthly)'!$B$2:$B$106,"&lt;="&amp;$B149)</f>
        <v>1.2</v>
      </c>
      <c r="AG149" s="43" t="n">
        <f aca="false">SUMIFS('Additions (monthly)'!$E$2:$E$106,'Additions (monthly)'!$D$2:$D$106,AG$2,'Additions (monthly)'!$B$2:$B$106,"&lt;="&amp;$B149)</f>
        <v>1.5</v>
      </c>
      <c r="AH149" s="43" t="n">
        <f aca="false">SUMIFS('Additions (monthly)'!$E$2:$E$106,'Additions (monthly)'!$D$2:$D$106,AH$2,'Additions (monthly)'!$B$2:$B$106,"&lt;="&amp;$B149)</f>
        <v>0</v>
      </c>
      <c r="AI149" s="43" t="n">
        <f aca="false">SUMIFS('Additions (monthly)'!$E$2:$E$106,'Additions (monthly)'!$D$2:$D$106,AI$2,'Additions (monthly)'!$B$2:$B$106,"&lt;="&amp;$B149)</f>
        <v>0</v>
      </c>
      <c r="AJ149" s="43" t="n">
        <f aca="false">SUMIFS('Additions (monthly)'!$E$2:$E$106,'Additions (monthly)'!$D$2:$D$106,AJ$2,'Additions (monthly)'!$B$2:$B$106,"&lt;="&amp;$B149)</f>
        <v>0</v>
      </c>
      <c r="AK149" s="43" t="n">
        <f aca="false">SUMIFS('Additions (monthly)'!$E$2:$E$106,'Additions (monthly)'!$D$2:$D$106,AK$2,'Additions (monthly)'!$B$2:$B$106,"&lt;="&amp;$B149)</f>
        <v>0</v>
      </c>
      <c r="AL149" s="43" t="n">
        <f aca="false">SUMIFS('Additions (monthly)'!$E$2:$E$106,'Additions (monthly)'!$D$2:$D$106,AL$2,'Additions (monthly)'!$B$2:$B$106,"&lt;="&amp;$B149)</f>
        <v>22.2</v>
      </c>
      <c r="AM149" s="43" t="n">
        <f aca="false">SUMIFS('Additions (monthly)'!$E$2:$E$106,'Additions (monthly)'!$D$2:$D$106,AM$2,'Additions (monthly)'!$B$2:$B$106,"&lt;="&amp;$B149)</f>
        <v>0.3</v>
      </c>
      <c r="AN149" s="43" t="n">
        <f aca="false">SUMIFS('Additions (monthly)'!$E$2:$E$106,'Additions (monthly)'!$D$2:$D$106,AN$2,'Additions (monthly)'!$B$2:$B$106,"&lt;="&amp;$B149)</f>
        <v>4.3</v>
      </c>
      <c r="AO149" s="43" t="n">
        <f aca="false">SUMIFS('Additions (monthly)'!$E$2:$E$106,'Additions (monthly)'!$D$2:$D$106,AO$2,'Additions (monthly)'!$B$2:$B$106,"&lt;="&amp;$B149)</f>
        <v>10.4</v>
      </c>
      <c r="AP149" s="43" t="n">
        <f aca="false">SUMIFS('Additions (monthly)'!$E$2:$E$106,'Additions (monthly)'!$D$2:$D$106,AP$2,'Additions (monthly)'!$B$2:$B$106,"&lt;="&amp;$B149)</f>
        <v>6.9</v>
      </c>
      <c r="AQ149" s="43" t="n">
        <f aca="false">SUMIFS('Additions (monthly)'!$E$2:$E$106,'Additions (monthly)'!$D$2:$D$106,AQ$2,'Additions (monthly)'!$B$2:$B$106,"&lt;="&amp;$B149)</f>
        <v>4.45</v>
      </c>
      <c r="AR149" s="43" t="n">
        <f aca="false">SUMIFS('Additions (monthly)'!$E$2:$E$106,'Additions (monthly)'!$D$2:$D$106,AR$2,'Additions (monthly)'!$B$2:$B$106,"&lt;="&amp;$B149)</f>
        <v>77.1</v>
      </c>
      <c r="AS149" s="43" t="n">
        <f aca="false">SUMIFS('Additions (monthly)'!$E$2:$E$106,'Additions (monthly)'!$D$2:$D$106,AS$2,'Additions (monthly)'!$B$2:$B$106,"&lt;="&amp;$B149)</f>
        <v>0</v>
      </c>
      <c r="AT149" s="43" t="n">
        <f aca="false">SUMIFS('Additions (monthly)'!$E$2:$E$106,'Additions (monthly)'!$D$2:$D$106,AT$2,'Additions (monthly)'!$B$2:$B$106,"&lt;="&amp;$B149)</f>
        <v>0</v>
      </c>
      <c r="AU149" s="43" t="n">
        <f aca="false">SUMIFS('Additions (monthly)'!$E$2:$E$106,'Additions (monthly)'!$D$2:$D$106,AU$2,'Additions (monthly)'!$B$2:$B$106,"&lt;="&amp;$B149)</f>
        <v>9.6</v>
      </c>
      <c r="AV149" s="43" t="n">
        <f aca="false">SUMIFS('Additions (monthly)'!$E$2:$E$106,'Additions (monthly)'!$D$2:$D$106,AV$2,'Additions (monthly)'!$B$2:$B$106,"&lt;="&amp;$B149)</f>
        <v>0.66</v>
      </c>
      <c r="AW149" s="43" t="n">
        <f aca="false">SUMIFS('Additions (monthly)'!$E$2:$E$106,'Additions (monthly)'!$D$2:$D$106,AW$2,'Additions (monthly)'!$B$2:$B$106,"&lt;="&amp;$B149)</f>
        <v>17.4</v>
      </c>
      <c r="AX149" s="43" t="n">
        <f aca="false">SUMIFS('Additions (monthly)'!$E$2:$E$106,'Additions (monthly)'!$D$2:$D$106,AX$2,'Additions (monthly)'!$B$2:$B$106,"&lt;="&amp;$B149)</f>
        <v>11.8</v>
      </c>
      <c r="AY149" s="43" t="n">
        <f aca="false">SUMIFS('Additions (monthly)'!$E$2:$E$106,'Additions (monthly)'!$D$2:$D$106,AY$2,'Additions (monthly)'!$B$2:$B$106,"&lt;="&amp;$B149)</f>
        <v>5.3</v>
      </c>
      <c r="AZ149" s="43" t="n">
        <f aca="false">SUMIFS('Additions (monthly)'!$E$2:$E$106,'Additions (monthly)'!$D$2:$D$106,AZ$2,'Additions (monthly)'!$B$2:$B$106,"&lt;="&amp;$B149)</f>
        <v>4.43</v>
      </c>
      <c r="BA149" s="43" t="n">
        <f aca="false">SUMIFS('Additions (monthly)'!$E$2:$E$106,'Additions (monthly)'!$D$2:$D$106,BA$2,'Additions (monthly)'!$B$2:$B$106,"&lt;="&amp;$B149)</f>
        <v>13.5</v>
      </c>
      <c r="BB149" s="43" t="n">
        <f aca="false">SUMIFS('Additions (monthly)'!$E$2:$E$106,'Additions (monthly)'!$D$2:$D$106,BB$2,'Additions (monthly)'!$B$2:$B$106,"&lt;="&amp;$B149)</f>
        <v>15</v>
      </c>
      <c r="BC149" s="43" t="n">
        <f aca="false">SUMIFS('Additions (monthly)'!$E$2:$E$106,'Additions (monthly)'!$D$2:$D$106,BC$2,'Additions (monthly)'!$B$2:$B$106,"&lt;="&amp;$B149)</f>
        <v>5.25</v>
      </c>
      <c r="BD149" s="43" t="n">
        <f aca="false">SUMIFS('Additions (monthly)'!$E$2:$E$106,'Additions (monthly)'!$D$2:$D$106,BD$2,'Additions (monthly)'!$B$2:$B$106,"&lt;="&amp;$B149)</f>
        <v>2.5</v>
      </c>
      <c r="BE149" s="43" t="n">
        <f aca="false">SUMIFS('Additions (monthly)'!$E$2:$E$106,'Additions (monthly)'!$D$2:$D$106,BE$2,'Additions (monthly)'!$B$2:$B$106,"&lt;="&amp;$B149)</f>
        <v>15.3</v>
      </c>
      <c r="BF149" s="43" t="n">
        <f aca="false">SUMIFS('Additions (monthly)'!$E$2:$E$106,'Additions (monthly)'!$D$2:$D$106,BF$2,'Additions (monthly)'!$B$2:$B$106,"&lt;="&amp;$B149)</f>
        <v>0</v>
      </c>
      <c r="BG149" s="43" t="n">
        <f aca="false">SUMIFS('Additions (monthly)'!$E$2:$E$106,'Additions (monthly)'!$D$2:$D$106,BG$2,'Additions (monthly)'!$B$2:$B$106,"&lt;="&amp;$B149)</f>
        <v>0</v>
      </c>
      <c r="BH149" s="43" t="n">
        <f aca="false">SUMIFS('Additions (monthly)'!$E$2:$E$106,'Additions (monthly)'!$D$2:$D$106,BH$2,'Additions (monthly)'!$B$2:$B$106,"&lt;="&amp;$B149)</f>
        <v>30</v>
      </c>
      <c r="BI149" s="43" t="n">
        <f aca="false">SUMIFS('Additions (monthly)'!$E$2:$E$106,'Additions (monthly)'!$D$2:$D$106,BI$2,'Additions (monthly)'!$B$2:$B$106,"&lt;="&amp;$B149)</f>
        <v>6.7</v>
      </c>
    </row>
    <row r="150" customFormat="false" ht="15" hidden="false" customHeight="false" outlineLevel="0" collapsed="false">
      <c r="A150" s="23" t="n">
        <v>44652</v>
      </c>
      <c r="B150" s="24" t="n">
        <v>202204</v>
      </c>
      <c r="C150" s="42" t="n">
        <f aca="false">SUMIFS('Additions (monthly)'!$E$2:$E$106,'Additions (monthly)'!$B$2:$B$106,"&lt;="&amp;$B150)</f>
        <v>467.92</v>
      </c>
      <c r="D150" s="43" t="n">
        <f aca="false">SUMIFS('Additions (monthly)'!$E$2:$E$106,'Additions (monthly)'!$D$2:$D$106,D$2,'Additions (monthly)'!$B$2:$B$106,"&lt;="&amp;$B150)</f>
        <v>7.9</v>
      </c>
      <c r="E150" s="43" t="n">
        <f aca="false">SUMIFS('Additions (monthly)'!$E$2:$E$106,'Additions (monthly)'!$D$2:$D$106,E$2,'Additions (monthly)'!$B$2:$B$106,"&lt;="&amp;$B150)</f>
        <v>8.4</v>
      </c>
      <c r="F150" s="43" t="n">
        <f aca="false">SUMIFS('Additions (monthly)'!$E$2:$E$106,'Additions (monthly)'!$D$2:$D$106,F$2,'Additions (monthly)'!$B$2:$B$106,"&lt;="&amp;$B150)</f>
        <v>4.7</v>
      </c>
      <c r="G150" s="43" t="n">
        <f aca="false">SUMIFS('Additions (monthly)'!$E$2:$E$106,'Additions (monthly)'!$D$2:$D$106,G$2,'Additions (monthly)'!$B$2:$B$106,"&lt;="&amp;$B150)</f>
        <v>4.5</v>
      </c>
      <c r="H150" s="43" t="n">
        <f aca="false">SUMIFS('Additions (monthly)'!$E$2:$E$106,'Additions (monthly)'!$D$2:$D$106,H$2,'Additions (monthly)'!$B$2:$B$106,"&lt;="&amp;$B150)</f>
        <v>5.2</v>
      </c>
      <c r="I150" s="43" t="n">
        <f aca="false">SUMIFS('Additions (monthly)'!$E$2:$E$106,'Additions (monthly)'!$D$2:$D$106,I$2,'Additions (monthly)'!$B$2:$B$106,"&lt;="&amp;$B150)</f>
        <v>9</v>
      </c>
      <c r="J150" s="43" t="n">
        <f aca="false">SUMIFS('Additions (monthly)'!$E$2:$E$106,'Additions (monthly)'!$D$2:$D$106,J$2,'Additions (monthly)'!$B$2:$B$106,"&lt;="&amp;$B150)</f>
        <v>3.7</v>
      </c>
      <c r="K150" s="43" t="n">
        <f aca="false">SUMIFS('Additions (monthly)'!$E$2:$E$106,'Additions (monthly)'!$D$2:$D$106,K$2,'Additions (monthly)'!$B$2:$B$106,"&lt;="&amp;$B150)</f>
        <v>7.8</v>
      </c>
      <c r="L150" s="43" t="n">
        <f aca="false">SUMIFS('Additions (monthly)'!$E$2:$E$106,'Additions (monthly)'!$D$2:$D$106,L$2,'Additions (monthly)'!$B$2:$B$106,"&lt;="&amp;$B150)</f>
        <v>15.6</v>
      </c>
      <c r="M150" s="43" t="n">
        <f aca="false">SUMIFS('Additions (monthly)'!$E$2:$E$106,'Additions (monthly)'!$D$2:$D$106,M$2,'Additions (monthly)'!$B$2:$B$106,"&lt;="&amp;$B150)</f>
        <v>8.9</v>
      </c>
      <c r="N150" s="43" t="n">
        <f aca="false">SUMIFS('Additions (monthly)'!$E$2:$E$106,'Additions (monthly)'!$D$2:$D$106,N$2,'Additions (monthly)'!$B$2:$B$106,"&lt;="&amp;$B150)</f>
        <v>14.2</v>
      </c>
      <c r="O150" s="43" t="n">
        <f aca="false">SUMIFS('Additions (monthly)'!$E$2:$E$106,'Additions (monthly)'!$D$2:$D$106,O$2,'Additions (monthly)'!$B$2:$B$106,"&lt;="&amp;$B150)</f>
        <v>4.9</v>
      </c>
      <c r="P150" s="43" t="n">
        <f aca="false">SUMIFS('Additions (monthly)'!$E$2:$E$106,'Additions (monthly)'!$D$2:$D$106,P$2,'Additions (monthly)'!$B$2:$B$106,"&lt;="&amp;$B150)</f>
        <v>3.6</v>
      </c>
      <c r="Q150" s="43" t="n">
        <f aca="false">SUMIFS('Additions (monthly)'!$E$2:$E$106,'Additions (monthly)'!$D$2:$D$106,Q$2,'Additions (monthly)'!$B$2:$B$106,"&lt;="&amp;$B150)</f>
        <v>8.5</v>
      </c>
      <c r="R150" s="43" t="n">
        <f aca="false">SUMIFS('Additions (monthly)'!$E$2:$E$106,'Additions (monthly)'!$D$2:$D$106,R$2,'Additions (monthly)'!$B$2:$B$106,"&lt;="&amp;$B150)</f>
        <v>8.9</v>
      </c>
      <c r="S150" s="43" t="n">
        <f aca="false">SUMIFS('Additions (monthly)'!$E$2:$E$106,'Additions (monthly)'!$D$2:$D$106,S$2,'Additions (monthly)'!$B$2:$B$106,"&lt;="&amp;$B150)</f>
        <v>7.2</v>
      </c>
      <c r="T150" s="43" t="n">
        <f aca="false">SUMIFS('Additions (monthly)'!$E$2:$E$106,'Additions (monthly)'!$D$2:$D$106,T$2,'Additions (monthly)'!$B$2:$B$106,"&lt;="&amp;$B150)</f>
        <v>2.4</v>
      </c>
      <c r="U150" s="43" t="n">
        <f aca="false">SUMIFS('Additions (monthly)'!$E$2:$E$106,'Additions (monthly)'!$D$2:$D$106,U$2,'Additions (monthly)'!$B$2:$B$106,"&lt;="&amp;$B150)</f>
        <v>0</v>
      </c>
      <c r="V150" s="43" t="n">
        <f aca="false">SUMIFS('Additions (monthly)'!$E$2:$E$106,'Additions (monthly)'!$D$2:$D$106,V$2,'Additions (monthly)'!$B$2:$B$106,"&lt;="&amp;$B150)</f>
        <v>3.87</v>
      </c>
      <c r="W150" s="43" t="n">
        <f aca="false">SUMIFS('Additions (monthly)'!$E$2:$E$106,'Additions (monthly)'!$D$2:$D$106,W$2,'Additions (monthly)'!$B$2:$B$106,"&lt;="&amp;$B150)</f>
        <v>0</v>
      </c>
      <c r="X150" s="43" t="n">
        <f aca="false">SUMIFS('Additions (monthly)'!$E$2:$E$106,'Additions (monthly)'!$D$2:$D$106,X$2,'Additions (monthly)'!$B$2:$B$106,"&lt;="&amp;$B150)</f>
        <v>0</v>
      </c>
      <c r="Y150" s="43" t="n">
        <f aca="false">SUMIFS('Additions (monthly)'!$E$2:$E$106,'Additions (monthly)'!$D$2:$D$106,Y$2,'Additions (monthly)'!$B$2:$B$106,"&lt;="&amp;$B150)</f>
        <v>5</v>
      </c>
      <c r="Z150" s="43" t="n">
        <f aca="false">SUMIFS('Additions (monthly)'!$E$2:$E$106,'Additions (monthly)'!$D$2:$D$106,Z$2,'Additions (monthly)'!$B$2:$B$106,"&lt;="&amp;$B150)</f>
        <v>7.2</v>
      </c>
      <c r="AA150" s="43" t="n">
        <f aca="false">SUMIFS('Additions (monthly)'!$E$2:$E$106,'Additions (monthly)'!$D$2:$D$106,AA$2,'Additions (monthly)'!$B$2:$B$106,"&lt;="&amp;$B150)</f>
        <v>3.7</v>
      </c>
      <c r="AB150" s="43" t="n">
        <f aca="false">SUMIFS('Additions (monthly)'!$E$2:$E$106,'Additions (monthly)'!$D$2:$D$106,AB$2,'Additions (monthly)'!$B$2:$B$106,"&lt;="&amp;$B150)</f>
        <v>16.95</v>
      </c>
      <c r="AC150" s="43" t="n">
        <f aca="false">SUMIFS('Additions (monthly)'!$E$2:$E$106,'Additions (monthly)'!$D$2:$D$106,AC$2,'Additions (monthly)'!$B$2:$B$106,"&lt;="&amp;$B150)</f>
        <v>2</v>
      </c>
      <c r="AD150" s="43" t="n">
        <f aca="false">SUMIFS('Additions (monthly)'!$E$2:$E$106,'Additions (monthly)'!$D$2:$D$106,AD$2,'Additions (monthly)'!$B$2:$B$106,"&lt;="&amp;$B150)</f>
        <v>7.6</v>
      </c>
      <c r="AE150" s="43" t="n">
        <f aca="false">SUMIFS('Additions (monthly)'!$E$2:$E$106,'Additions (monthly)'!$D$2:$D$106,AE$2,'Additions (monthly)'!$B$2:$B$106,"&lt;="&amp;$B150)</f>
        <v>29.3</v>
      </c>
      <c r="AF150" s="43" t="n">
        <f aca="false">SUMIFS('Additions (monthly)'!$E$2:$E$106,'Additions (monthly)'!$D$2:$D$106,AF$2,'Additions (monthly)'!$B$2:$B$106,"&lt;="&amp;$B150)</f>
        <v>1.2</v>
      </c>
      <c r="AG150" s="43" t="n">
        <f aca="false">SUMIFS('Additions (monthly)'!$E$2:$E$106,'Additions (monthly)'!$D$2:$D$106,AG$2,'Additions (monthly)'!$B$2:$B$106,"&lt;="&amp;$B150)</f>
        <v>1.5</v>
      </c>
      <c r="AH150" s="43" t="n">
        <f aca="false">SUMIFS('Additions (monthly)'!$E$2:$E$106,'Additions (monthly)'!$D$2:$D$106,AH$2,'Additions (monthly)'!$B$2:$B$106,"&lt;="&amp;$B150)</f>
        <v>0</v>
      </c>
      <c r="AI150" s="43" t="n">
        <f aca="false">SUMIFS('Additions (monthly)'!$E$2:$E$106,'Additions (monthly)'!$D$2:$D$106,AI$2,'Additions (monthly)'!$B$2:$B$106,"&lt;="&amp;$B150)</f>
        <v>0</v>
      </c>
      <c r="AJ150" s="43" t="n">
        <f aca="false">SUMIFS('Additions (monthly)'!$E$2:$E$106,'Additions (monthly)'!$D$2:$D$106,AJ$2,'Additions (monthly)'!$B$2:$B$106,"&lt;="&amp;$B150)</f>
        <v>0</v>
      </c>
      <c r="AK150" s="43" t="n">
        <f aca="false">SUMIFS('Additions (monthly)'!$E$2:$E$106,'Additions (monthly)'!$D$2:$D$106,AK$2,'Additions (monthly)'!$B$2:$B$106,"&lt;="&amp;$B150)</f>
        <v>0</v>
      </c>
      <c r="AL150" s="43" t="n">
        <f aca="false">SUMIFS('Additions (monthly)'!$E$2:$E$106,'Additions (monthly)'!$D$2:$D$106,AL$2,'Additions (monthly)'!$B$2:$B$106,"&lt;="&amp;$B150)</f>
        <v>22.2</v>
      </c>
      <c r="AM150" s="43" t="n">
        <f aca="false">SUMIFS('Additions (monthly)'!$E$2:$E$106,'Additions (monthly)'!$D$2:$D$106,AM$2,'Additions (monthly)'!$B$2:$B$106,"&lt;="&amp;$B150)</f>
        <v>0.3</v>
      </c>
      <c r="AN150" s="43" t="n">
        <f aca="false">SUMIFS('Additions (monthly)'!$E$2:$E$106,'Additions (monthly)'!$D$2:$D$106,AN$2,'Additions (monthly)'!$B$2:$B$106,"&lt;="&amp;$B150)</f>
        <v>4.3</v>
      </c>
      <c r="AO150" s="43" t="n">
        <f aca="false">SUMIFS('Additions (monthly)'!$E$2:$E$106,'Additions (monthly)'!$D$2:$D$106,AO$2,'Additions (monthly)'!$B$2:$B$106,"&lt;="&amp;$B150)</f>
        <v>10.4</v>
      </c>
      <c r="AP150" s="43" t="n">
        <f aca="false">SUMIFS('Additions (monthly)'!$E$2:$E$106,'Additions (monthly)'!$D$2:$D$106,AP$2,'Additions (monthly)'!$B$2:$B$106,"&lt;="&amp;$B150)</f>
        <v>6.9</v>
      </c>
      <c r="AQ150" s="43" t="n">
        <f aca="false">SUMIFS('Additions (monthly)'!$E$2:$E$106,'Additions (monthly)'!$D$2:$D$106,AQ$2,'Additions (monthly)'!$B$2:$B$106,"&lt;="&amp;$B150)</f>
        <v>4.45</v>
      </c>
      <c r="AR150" s="43" t="n">
        <f aca="false">SUMIFS('Additions (monthly)'!$E$2:$E$106,'Additions (monthly)'!$D$2:$D$106,AR$2,'Additions (monthly)'!$B$2:$B$106,"&lt;="&amp;$B150)</f>
        <v>77.1</v>
      </c>
      <c r="AS150" s="43" t="n">
        <f aca="false">SUMIFS('Additions (monthly)'!$E$2:$E$106,'Additions (monthly)'!$D$2:$D$106,AS$2,'Additions (monthly)'!$B$2:$B$106,"&lt;="&amp;$B150)</f>
        <v>0</v>
      </c>
      <c r="AT150" s="43" t="n">
        <f aca="false">SUMIFS('Additions (monthly)'!$E$2:$E$106,'Additions (monthly)'!$D$2:$D$106,AT$2,'Additions (monthly)'!$B$2:$B$106,"&lt;="&amp;$B150)</f>
        <v>0</v>
      </c>
      <c r="AU150" s="43" t="n">
        <f aca="false">SUMIFS('Additions (monthly)'!$E$2:$E$106,'Additions (monthly)'!$D$2:$D$106,AU$2,'Additions (monthly)'!$B$2:$B$106,"&lt;="&amp;$B150)</f>
        <v>9.6</v>
      </c>
      <c r="AV150" s="43" t="n">
        <f aca="false">SUMIFS('Additions (monthly)'!$E$2:$E$106,'Additions (monthly)'!$D$2:$D$106,AV$2,'Additions (monthly)'!$B$2:$B$106,"&lt;="&amp;$B150)</f>
        <v>0.66</v>
      </c>
      <c r="AW150" s="43" t="n">
        <f aca="false">SUMIFS('Additions (monthly)'!$E$2:$E$106,'Additions (monthly)'!$D$2:$D$106,AW$2,'Additions (monthly)'!$B$2:$B$106,"&lt;="&amp;$B150)</f>
        <v>17.4</v>
      </c>
      <c r="AX150" s="43" t="n">
        <f aca="false">SUMIFS('Additions (monthly)'!$E$2:$E$106,'Additions (monthly)'!$D$2:$D$106,AX$2,'Additions (monthly)'!$B$2:$B$106,"&lt;="&amp;$B150)</f>
        <v>11.8</v>
      </c>
      <c r="AY150" s="43" t="n">
        <f aca="false">SUMIFS('Additions (monthly)'!$E$2:$E$106,'Additions (monthly)'!$D$2:$D$106,AY$2,'Additions (monthly)'!$B$2:$B$106,"&lt;="&amp;$B150)</f>
        <v>5.3</v>
      </c>
      <c r="AZ150" s="43" t="n">
        <f aca="false">SUMIFS('Additions (monthly)'!$E$2:$E$106,'Additions (monthly)'!$D$2:$D$106,AZ$2,'Additions (monthly)'!$B$2:$B$106,"&lt;="&amp;$B150)</f>
        <v>5.54</v>
      </c>
      <c r="BA150" s="43" t="n">
        <f aca="false">SUMIFS('Additions (monthly)'!$E$2:$E$106,'Additions (monthly)'!$D$2:$D$106,BA$2,'Additions (monthly)'!$B$2:$B$106,"&lt;="&amp;$B150)</f>
        <v>13.5</v>
      </c>
      <c r="BB150" s="43" t="n">
        <f aca="false">SUMIFS('Additions (monthly)'!$E$2:$E$106,'Additions (monthly)'!$D$2:$D$106,BB$2,'Additions (monthly)'!$B$2:$B$106,"&lt;="&amp;$B150)</f>
        <v>15</v>
      </c>
      <c r="BC150" s="43" t="n">
        <f aca="false">SUMIFS('Additions (monthly)'!$E$2:$E$106,'Additions (monthly)'!$D$2:$D$106,BC$2,'Additions (monthly)'!$B$2:$B$106,"&lt;="&amp;$B150)</f>
        <v>5.25</v>
      </c>
      <c r="BD150" s="43" t="n">
        <f aca="false">SUMIFS('Additions (monthly)'!$E$2:$E$106,'Additions (monthly)'!$D$2:$D$106,BD$2,'Additions (monthly)'!$B$2:$B$106,"&lt;="&amp;$B150)</f>
        <v>2.5</v>
      </c>
      <c r="BE150" s="43" t="n">
        <f aca="false">SUMIFS('Additions (monthly)'!$E$2:$E$106,'Additions (monthly)'!$D$2:$D$106,BE$2,'Additions (monthly)'!$B$2:$B$106,"&lt;="&amp;$B150)</f>
        <v>15.3</v>
      </c>
      <c r="BF150" s="43" t="n">
        <f aca="false">SUMIFS('Additions (monthly)'!$E$2:$E$106,'Additions (monthly)'!$D$2:$D$106,BF$2,'Additions (monthly)'!$B$2:$B$106,"&lt;="&amp;$B150)</f>
        <v>0</v>
      </c>
      <c r="BG150" s="43" t="n">
        <f aca="false">SUMIFS('Additions (monthly)'!$E$2:$E$106,'Additions (monthly)'!$D$2:$D$106,BG$2,'Additions (monthly)'!$B$2:$B$106,"&lt;="&amp;$B150)</f>
        <v>0</v>
      </c>
      <c r="BH150" s="43" t="n">
        <f aca="false">SUMIFS('Additions (monthly)'!$E$2:$E$106,'Additions (monthly)'!$D$2:$D$106,BH$2,'Additions (monthly)'!$B$2:$B$106,"&lt;="&amp;$B150)</f>
        <v>30</v>
      </c>
      <c r="BI150" s="43" t="n">
        <f aca="false">SUMIFS('Additions (monthly)'!$E$2:$E$106,'Additions (monthly)'!$D$2:$D$106,BI$2,'Additions (monthly)'!$B$2:$B$106,"&lt;="&amp;$B150)</f>
        <v>6.7</v>
      </c>
    </row>
    <row r="151" customFormat="false" ht="15" hidden="false" customHeight="false" outlineLevel="0" collapsed="false">
      <c r="A151" s="23" t="n">
        <v>44682</v>
      </c>
      <c r="B151" s="24" t="n">
        <v>202205</v>
      </c>
      <c r="C151" s="42" t="n">
        <f aca="false">SUMIFS('Additions (monthly)'!$E$2:$E$106,'Additions (monthly)'!$B$2:$B$106,"&lt;="&amp;$B151)</f>
        <v>469.03</v>
      </c>
      <c r="D151" s="43" t="n">
        <f aca="false">SUMIFS('Additions (monthly)'!$E$2:$E$106,'Additions (monthly)'!$D$2:$D$106,D$2,'Additions (monthly)'!$B$2:$B$106,"&lt;="&amp;$B151)</f>
        <v>7.9</v>
      </c>
      <c r="E151" s="43" t="n">
        <f aca="false">SUMIFS('Additions (monthly)'!$E$2:$E$106,'Additions (monthly)'!$D$2:$D$106,E$2,'Additions (monthly)'!$B$2:$B$106,"&lt;="&amp;$B151)</f>
        <v>8.4</v>
      </c>
      <c r="F151" s="43" t="n">
        <f aca="false">SUMIFS('Additions (monthly)'!$E$2:$E$106,'Additions (monthly)'!$D$2:$D$106,F$2,'Additions (monthly)'!$B$2:$B$106,"&lt;="&amp;$B151)</f>
        <v>4.7</v>
      </c>
      <c r="G151" s="43" t="n">
        <f aca="false">SUMIFS('Additions (monthly)'!$E$2:$E$106,'Additions (monthly)'!$D$2:$D$106,G$2,'Additions (monthly)'!$B$2:$B$106,"&lt;="&amp;$B151)</f>
        <v>4.5</v>
      </c>
      <c r="H151" s="43" t="n">
        <f aca="false">SUMIFS('Additions (monthly)'!$E$2:$E$106,'Additions (monthly)'!$D$2:$D$106,H$2,'Additions (monthly)'!$B$2:$B$106,"&lt;="&amp;$B151)</f>
        <v>5.2</v>
      </c>
      <c r="I151" s="43" t="n">
        <f aca="false">SUMIFS('Additions (monthly)'!$E$2:$E$106,'Additions (monthly)'!$D$2:$D$106,I$2,'Additions (monthly)'!$B$2:$B$106,"&lt;="&amp;$B151)</f>
        <v>9</v>
      </c>
      <c r="J151" s="43" t="n">
        <f aca="false">SUMIFS('Additions (monthly)'!$E$2:$E$106,'Additions (monthly)'!$D$2:$D$106,J$2,'Additions (monthly)'!$B$2:$B$106,"&lt;="&amp;$B151)</f>
        <v>3.7</v>
      </c>
      <c r="K151" s="43" t="n">
        <f aca="false">SUMIFS('Additions (monthly)'!$E$2:$E$106,'Additions (monthly)'!$D$2:$D$106,K$2,'Additions (monthly)'!$B$2:$B$106,"&lt;="&amp;$B151)</f>
        <v>7.8</v>
      </c>
      <c r="L151" s="43" t="n">
        <f aca="false">SUMIFS('Additions (monthly)'!$E$2:$E$106,'Additions (monthly)'!$D$2:$D$106,L$2,'Additions (monthly)'!$B$2:$B$106,"&lt;="&amp;$B151)</f>
        <v>15.6</v>
      </c>
      <c r="M151" s="43" t="n">
        <f aca="false">SUMIFS('Additions (monthly)'!$E$2:$E$106,'Additions (monthly)'!$D$2:$D$106,M$2,'Additions (monthly)'!$B$2:$B$106,"&lt;="&amp;$B151)</f>
        <v>8.9</v>
      </c>
      <c r="N151" s="43" t="n">
        <f aca="false">SUMIFS('Additions (monthly)'!$E$2:$E$106,'Additions (monthly)'!$D$2:$D$106,N$2,'Additions (monthly)'!$B$2:$B$106,"&lt;="&amp;$B151)</f>
        <v>14.2</v>
      </c>
      <c r="O151" s="43" t="n">
        <f aca="false">SUMIFS('Additions (monthly)'!$E$2:$E$106,'Additions (monthly)'!$D$2:$D$106,O$2,'Additions (monthly)'!$B$2:$B$106,"&lt;="&amp;$B151)</f>
        <v>4.9</v>
      </c>
      <c r="P151" s="43" t="n">
        <f aca="false">SUMIFS('Additions (monthly)'!$E$2:$E$106,'Additions (monthly)'!$D$2:$D$106,P$2,'Additions (monthly)'!$B$2:$B$106,"&lt;="&amp;$B151)</f>
        <v>3.6</v>
      </c>
      <c r="Q151" s="43" t="n">
        <f aca="false">SUMIFS('Additions (monthly)'!$E$2:$E$106,'Additions (monthly)'!$D$2:$D$106,Q$2,'Additions (monthly)'!$B$2:$B$106,"&lt;="&amp;$B151)</f>
        <v>8.5</v>
      </c>
      <c r="R151" s="43" t="n">
        <f aca="false">SUMIFS('Additions (monthly)'!$E$2:$E$106,'Additions (monthly)'!$D$2:$D$106,R$2,'Additions (monthly)'!$B$2:$B$106,"&lt;="&amp;$B151)</f>
        <v>8.9</v>
      </c>
      <c r="S151" s="43" t="n">
        <f aca="false">SUMIFS('Additions (monthly)'!$E$2:$E$106,'Additions (monthly)'!$D$2:$D$106,S$2,'Additions (monthly)'!$B$2:$B$106,"&lt;="&amp;$B151)</f>
        <v>7.2</v>
      </c>
      <c r="T151" s="43" t="n">
        <f aca="false">SUMIFS('Additions (monthly)'!$E$2:$E$106,'Additions (monthly)'!$D$2:$D$106,T$2,'Additions (monthly)'!$B$2:$B$106,"&lt;="&amp;$B151)</f>
        <v>2.4</v>
      </c>
      <c r="U151" s="43" t="n">
        <f aca="false">SUMIFS('Additions (monthly)'!$E$2:$E$106,'Additions (monthly)'!$D$2:$D$106,U$2,'Additions (monthly)'!$B$2:$B$106,"&lt;="&amp;$B151)</f>
        <v>0</v>
      </c>
      <c r="V151" s="43" t="n">
        <f aca="false">SUMIFS('Additions (monthly)'!$E$2:$E$106,'Additions (monthly)'!$D$2:$D$106,V$2,'Additions (monthly)'!$B$2:$B$106,"&lt;="&amp;$B151)</f>
        <v>3.87</v>
      </c>
      <c r="W151" s="43" t="n">
        <f aca="false">SUMIFS('Additions (monthly)'!$E$2:$E$106,'Additions (monthly)'!$D$2:$D$106,W$2,'Additions (monthly)'!$B$2:$B$106,"&lt;="&amp;$B151)</f>
        <v>0</v>
      </c>
      <c r="X151" s="43" t="n">
        <f aca="false">SUMIFS('Additions (monthly)'!$E$2:$E$106,'Additions (monthly)'!$D$2:$D$106,X$2,'Additions (monthly)'!$B$2:$B$106,"&lt;="&amp;$B151)</f>
        <v>0</v>
      </c>
      <c r="Y151" s="43" t="n">
        <f aca="false">SUMIFS('Additions (monthly)'!$E$2:$E$106,'Additions (monthly)'!$D$2:$D$106,Y$2,'Additions (monthly)'!$B$2:$B$106,"&lt;="&amp;$B151)</f>
        <v>5</v>
      </c>
      <c r="Z151" s="43" t="n">
        <f aca="false">SUMIFS('Additions (monthly)'!$E$2:$E$106,'Additions (monthly)'!$D$2:$D$106,Z$2,'Additions (monthly)'!$B$2:$B$106,"&lt;="&amp;$B151)</f>
        <v>7.2</v>
      </c>
      <c r="AA151" s="43" t="n">
        <f aca="false">SUMIFS('Additions (monthly)'!$E$2:$E$106,'Additions (monthly)'!$D$2:$D$106,AA$2,'Additions (monthly)'!$B$2:$B$106,"&lt;="&amp;$B151)</f>
        <v>3.7</v>
      </c>
      <c r="AB151" s="43" t="n">
        <f aca="false">SUMIFS('Additions (monthly)'!$E$2:$E$106,'Additions (monthly)'!$D$2:$D$106,AB$2,'Additions (monthly)'!$B$2:$B$106,"&lt;="&amp;$B151)</f>
        <v>16.95</v>
      </c>
      <c r="AC151" s="43" t="n">
        <f aca="false">SUMIFS('Additions (monthly)'!$E$2:$E$106,'Additions (monthly)'!$D$2:$D$106,AC$2,'Additions (monthly)'!$B$2:$B$106,"&lt;="&amp;$B151)</f>
        <v>2</v>
      </c>
      <c r="AD151" s="43" t="n">
        <f aca="false">SUMIFS('Additions (monthly)'!$E$2:$E$106,'Additions (monthly)'!$D$2:$D$106,AD$2,'Additions (monthly)'!$B$2:$B$106,"&lt;="&amp;$B151)</f>
        <v>7.6</v>
      </c>
      <c r="AE151" s="43" t="n">
        <f aca="false">SUMIFS('Additions (monthly)'!$E$2:$E$106,'Additions (monthly)'!$D$2:$D$106,AE$2,'Additions (monthly)'!$B$2:$B$106,"&lt;="&amp;$B151)</f>
        <v>29.3</v>
      </c>
      <c r="AF151" s="43" t="n">
        <f aca="false">SUMIFS('Additions (monthly)'!$E$2:$E$106,'Additions (monthly)'!$D$2:$D$106,AF$2,'Additions (monthly)'!$B$2:$B$106,"&lt;="&amp;$B151)</f>
        <v>1.2</v>
      </c>
      <c r="AG151" s="43" t="n">
        <f aca="false">SUMIFS('Additions (monthly)'!$E$2:$E$106,'Additions (monthly)'!$D$2:$D$106,AG$2,'Additions (monthly)'!$B$2:$B$106,"&lt;="&amp;$B151)</f>
        <v>1.5</v>
      </c>
      <c r="AH151" s="43" t="n">
        <f aca="false">SUMIFS('Additions (monthly)'!$E$2:$E$106,'Additions (monthly)'!$D$2:$D$106,AH$2,'Additions (monthly)'!$B$2:$B$106,"&lt;="&amp;$B151)</f>
        <v>0</v>
      </c>
      <c r="AI151" s="43" t="n">
        <f aca="false">SUMIFS('Additions (monthly)'!$E$2:$E$106,'Additions (monthly)'!$D$2:$D$106,AI$2,'Additions (monthly)'!$B$2:$B$106,"&lt;="&amp;$B151)</f>
        <v>0</v>
      </c>
      <c r="AJ151" s="43" t="n">
        <f aca="false">SUMIFS('Additions (monthly)'!$E$2:$E$106,'Additions (monthly)'!$D$2:$D$106,AJ$2,'Additions (monthly)'!$B$2:$B$106,"&lt;="&amp;$B151)</f>
        <v>0</v>
      </c>
      <c r="AK151" s="43" t="n">
        <f aca="false">SUMIFS('Additions (monthly)'!$E$2:$E$106,'Additions (monthly)'!$D$2:$D$106,AK$2,'Additions (monthly)'!$B$2:$B$106,"&lt;="&amp;$B151)</f>
        <v>0</v>
      </c>
      <c r="AL151" s="43" t="n">
        <f aca="false">SUMIFS('Additions (monthly)'!$E$2:$E$106,'Additions (monthly)'!$D$2:$D$106,AL$2,'Additions (monthly)'!$B$2:$B$106,"&lt;="&amp;$B151)</f>
        <v>22.2</v>
      </c>
      <c r="AM151" s="43" t="n">
        <f aca="false">SUMIFS('Additions (monthly)'!$E$2:$E$106,'Additions (monthly)'!$D$2:$D$106,AM$2,'Additions (monthly)'!$B$2:$B$106,"&lt;="&amp;$B151)</f>
        <v>0.3</v>
      </c>
      <c r="AN151" s="43" t="n">
        <f aca="false">SUMIFS('Additions (monthly)'!$E$2:$E$106,'Additions (monthly)'!$D$2:$D$106,AN$2,'Additions (monthly)'!$B$2:$B$106,"&lt;="&amp;$B151)</f>
        <v>4.3</v>
      </c>
      <c r="AO151" s="43" t="n">
        <f aca="false">SUMIFS('Additions (monthly)'!$E$2:$E$106,'Additions (monthly)'!$D$2:$D$106,AO$2,'Additions (monthly)'!$B$2:$B$106,"&lt;="&amp;$B151)</f>
        <v>10.4</v>
      </c>
      <c r="AP151" s="43" t="n">
        <f aca="false">SUMIFS('Additions (monthly)'!$E$2:$E$106,'Additions (monthly)'!$D$2:$D$106,AP$2,'Additions (monthly)'!$B$2:$B$106,"&lt;="&amp;$B151)</f>
        <v>6.9</v>
      </c>
      <c r="AQ151" s="43" t="n">
        <f aca="false">SUMIFS('Additions (monthly)'!$E$2:$E$106,'Additions (monthly)'!$D$2:$D$106,AQ$2,'Additions (monthly)'!$B$2:$B$106,"&lt;="&amp;$B151)</f>
        <v>4.45</v>
      </c>
      <c r="AR151" s="43" t="n">
        <f aca="false">SUMIFS('Additions (monthly)'!$E$2:$E$106,'Additions (monthly)'!$D$2:$D$106,AR$2,'Additions (monthly)'!$B$2:$B$106,"&lt;="&amp;$B151)</f>
        <v>77.1</v>
      </c>
      <c r="AS151" s="43" t="n">
        <f aca="false">SUMIFS('Additions (monthly)'!$E$2:$E$106,'Additions (monthly)'!$D$2:$D$106,AS$2,'Additions (monthly)'!$B$2:$B$106,"&lt;="&amp;$B151)</f>
        <v>0</v>
      </c>
      <c r="AT151" s="43" t="n">
        <f aca="false">SUMIFS('Additions (monthly)'!$E$2:$E$106,'Additions (monthly)'!$D$2:$D$106,AT$2,'Additions (monthly)'!$B$2:$B$106,"&lt;="&amp;$B151)</f>
        <v>0</v>
      </c>
      <c r="AU151" s="43" t="n">
        <f aca="false">SUMIFS('Additions (monthly)'!$E$2:$E$106,'Additions (monthly)'!$D$2:$D$106,AU$2,'Additions (monthly)'!$B$2:$B$106,"&lt;="&amp;$B151)</f>
        <v>9.6</v>
      </c>
      <c r="AV151" s="43" t="n">
        <f aca="false">SUMIFS('Additions (monthly)'!$E$2:$E$106,'Additions (monthly)'!$D$2:$D$106,AV$2,'Additions (monthly)'!$B$2:$B$106,"&lt;="&amp;$B151)</f>
        <v>0.66</v>
      </c>
      <c r="AW151" s="43" t="n">
        <f aca="false">SUMIFS('Additions (monthly)'!$E$2:$E$106,'Additions (monthly)'!$D$2:$D$106,AW$2,'Additions (monthly)'!$B$2:$B$106,"&lt;="&amp;$B151)</f>
        <v>17.4</v>
      </c>
      <c r="AX151" s="43" t="n">
        <f aca="false">SUMIFS('Additions (monthly)'!$E$2:$E$106,'Additions (monthly)'!$D$2:$D$106,AX$2,'Additions (monthly)'!$B$2:$B$106,"&lt;="&amp;$B151)</f>
        <v>11.8</v>
      </c>
      <c r="AY151" s="43" t="n">
        <f aca="false">SUMIFS('Additions (monthly)'!$E$2:$E$106,'Additions (monthly)'!$D$2:$D$106,AY$2,'Additions (monthly)'!$B$2:$B$106,"&lt;="&amp;$B151)</f>
        <v>5.3</v>
      </c>
      <c r="AZ151" s="43" t="n">
        <f aca="false">SUMIFS('Additions (monthly)'!$E$2:$E$106,'Additions (monthly)'!$D$2:$D$106,AZ$2,'Additions (monthly)'!$B$2:$B$106,"&lt;="&amp;$B151)</f>
        <v>6.65</v>
      </c>
      <c r="BA151" s="43" t="n">
        <f aca="false">SUMIFS('Additions (monthly)'!$E$2:$E$106,'Additions (monthly)'!$D$2:$D$106,BA$2,'Additions (monthly)'!$B$2:$B$106,"&lt;="&amp;$B151)</f>
        <v>13.5</v>
      </c>
      <c r="BB151" s="43" t="n">
        <f aca="false">SUMIFS('Additions (monthly)'!$E$2:$E$106,'Additions (monthly)'!$D$2:$D$106,BB$2,'Additions (monthly)'!$B$2:$B$106,"&lt;="&amp;$B151)</f>
        <v>15</v>
      </c>
      <c r="BC151" s="43" t="n">
        <f aca="false">SUMIFS('Additions (monthly)'!$E$2:$E$106,'Additions (monthly)'!$D$2:$D$106,BC$2,'Additions (monthly)'!$B$2:$B$106,"&lt;="&amp;$B151)</f>
        <v>5.25</v>
      </c>
      <c r="BD151" s="43" t="n">
        <f aca="false">SUMIFS('Additions (monthly)'!$E$2:$E$106,'Additions (monthly)'!$D$2:$D$106,BD$2,'Additions (monthly)'!$B$2:$B$106,"&lt;="&amp;$B151)</f>
        <v>2.5</v>
      </c>
      <c r="BE151" s="43" t="n">
        <f aca="false">SUMIFS('Additions (monthly)'!$E$2:$E$106,'Additions (monthly)'!$D$2:$D$106,BE$2,'Additions (monthly)'!$B$2:$B$106,"&lt;="&amp;$B151)</f>
        <v>15.3</v>
      </c>
      <c r="BF151" s="43" t="n">
        <f aca="false">SUMIFS('Additions (monthly)'!$E$2:$E$106,'Additions (monthly)'!$D$2:$D$106,BF$2,'Additions (monthly)'!$B$2:$B$106,"&lt;="&amp;$B151)</f>
        <v>0</v>
      </c>
      <c r="BG151" s="43" t="n">
        <f aca="false">SUMIFS('Additions (monthly)'!$E$2:$E$106,'Additions (monthly)'!$D$2:$D$106,BG$2,'Additions (monthly)'!$B$2:$B$106,"&lt;="&amp;$B151)</f>
        <v>0</v>
      </c>
      <c r="BH151" s="43" t="n">
        <f aca="false">SUMIFS('Additions (monthly)'!$E$2:$E$106,'Additions (monthly)'!$D$2:$D$106,BH$2,'Additions (monthly)'!$B$2:$B$106,"&lt;="&amp;$B151)</f>
        <v>30</v>
      </c>
      <c r="BI151" s="43" t="n">
        <f aca="false">SUMIFS('Additions (monthly)'!$E$2:$E$106,'Additions (monthly)'!$D$2:$D$106,BI$2,'Additions (monthly)'!$B$2:$B$106,"&lt;="&amp;$B151)</f>
        <v>6.7</v>
      </c>
    </row>
    <row r="152" customFormat="false" ht="15" hidden="false" customHeight="false" outlineLevel="0" collapsed="false">
      <c r="A152" s="23" t="n">
        <v>44713</v>
      </c>
      <c r="B152" s="24" t="n">
        <v>202206</v>
      </c>
      <c r="C152" s="42" t="n">
        <f aca="false">SUMIFS('Additions (monthly)'!$E$2:$E$106,'Additions (monthly)'!$B$2:$B$106,"&lt;="&amp;$B152)</f>
        <v>471.24</v>
      </c>
      <c r="D152" s="43" t="n">
        <f aca="false">SUMIFS('Additions (monthly)'!$E$2:$E$106,'Additions (monthly)'!$D$2:$D$106,D$2,'Additions (monthly)'!$B$2:$B$106,"&lt;="&amp;$B152)</f>
        <v>7.9</v>
      </c>
      <c r="E152" s="43" t="n">
        <f aca="false">SUMIFS('Additions (monthly)'!$E$2:$E$106,'Additions (monthly)'!$D$2:$D$106,E$2,'Additions (monthly)'!$B$2:$B$106,"&lt;="&amp;$B152)</f>
        <v>8.4</v>
      </c>
      <c r="F152" s="43" t="n">
        <f aca="false">SUMIFS('Additions (monthly)'!$E$2:$E$106,'Additions (monthly)'!$D$2:$D$106,F$2,'Additions (monthly)'!$B$2:$B$106,"&lt;="&amp;$B152)</f>
        <v>4.7</v>
      </c>
      <c r="G152" s="43" t="n">
        <f aca="false">SUMIFS('Additions (monthly)'!$E$2:$E$106,'Additions (monthly)'!$D$2:$D$106,G$2,'Additions (monthly)'!$B$2:$B$106,"&lt;="&amp;$B152)</f>
        <v>4.5</v>
      </c>
      <c r="H152" s="43" t="n">
        <f aca="false">SUMIFS('Additions (monthly)'!$E$2:$E$106,'Additions (monthly)'!$D$2:$D$106,H$2,'Additions (monthly)'!$B$2:$B$106,"&lt;="&amp;$B152)</f>
        <v>5.2</v>
      </c>
      <c r="I152" s="43" t="n">
        <f aca="false">SUMIFS('Additions (monthly)'!$E$2:$E$106,'Additions (monthly)'!$D$2:$D$106,I$2,'Additions (monthly)'!$B$2:$B$106,"&lt;="&amp;$B152)</f>
        <v>9</v>
      </c>
      <c r="J152" s="43" t="n">
        <f aca="false">SUMIFS('Additions (monthly)'!$E$2:$E$106,'Additions (monthly)'!$D$2:$D$106,J$2,'Additions (monthly)'!$B$2:$B$106,"&lt;="&amp;$B152)</f>
        <v>3.7</v>
      </c>
      <c r="K152" s="43" t="n">
        <f aca="false">SUMIFS('Additions (monthly)'!$E$2:$E$106,'Additions (monthly)'!$D$2:$D$106,K$2,'Additions (monthly)'!$B$2:$B$106,"&lt;="&amp;$B152)</f>
        <v>7.8</v>
      </c>
      <c r="L152" s="43" t="n">
        <f aca="false">SUMIFS('Additions (monthly)'!$E$2:$E$106,'Additions (monthly)'!$D$2:$D$106,L$2,'Additions (monthly)'!$B$2:$B$106,"&lt;="&amp;$B152)</f>
        <v>15.6</v>
      </c>
      <c r="M152" s="43" t="n">
        <f aca="false">SUMIFS('Additions (monthly)'!$E$2:$E$106,'Additions (monthly)'!$D$2:$D$106,M$2,'Additions (monthly)'!$B$2:$B$106,"&lt;="&amp;$B152)</f>
        <v>8.9</v>
      </c>
      <c r="N152" s="43" t="n">
        <f aca="false">SUMIFS('Additions (monthly)'!$E$2:$E$106,'Additions (monthly)'!$D$2:$D$106,N$2,'Additions (monthly)'!$B$2:$B$106,"&lt;="&amp;$B152)</f>
        <v>14.2</v>
      </c>
      <c r="O152" s="43" t="n">
        <f aca="false">SUMIFS('Additions (monthly)'!$E$2:$E$106,'Additions (monthly)'!$D$2:$D$106,O$2,'Additions (monthly)'!$B$2:$B$106,"&lt;="&amp;$B152)</f>
        <v>4.9</v>
      </c>
      <c r="P152" s="43" t="n">
        <f aca="false">SUMIFS('Additions (monthly)'!$E$2:$E$106,'Additions (monthly)'!$D$2:$D$106,P$2,'Additions (monthly)'!$B$2:$B$106,"&lt;="&amp;$B152)</f>
        <v>3.6</v>
      </c>
      <c r="Q152" s="43" t="n">
        <f aca="false">SUMIFS('Additions (monthly)'!$E$2:$E$106,'Additions (monthly)'!$D$2:$D$106,Q$2,'Additions (monthly)'!$B$2:$B$106,"&lt;="&amp;$B152)</f>
        <v>8.5</v>
      </c>
      <c r="R152" s="43" t="n">
        <f aca="false">SUMIFS('Additions (monthly)'!$E$2:$E$106,'Additions (monthly)'!$D$2:$D$106,R$2,'Additions (monthly)'!$B$2:$B$106,"&lt;="&amp;$B152)</f>
        <v>8.9</v>
      </c>
      <c r="S152" s="43" t="n">
        <f aca="false">SUMIFS('Additions (monthly)'!$E$2:$E$106,'Additions (monthly)'!$D$2:$D$106,S$2,'Additions (monthly)'!$B$2:$B$106,"&lt;="&amp;$B152)</f>
        <v>7.2</v>
      </c>
      <c r="T152" s="43" t="n">
        <f aca="false">SUMIFS('Additions (monthly)'!$E$2:$E$106,'Additions (monthly)'!$D$2:$D$106,T$2,'Additions (monthly)'!$B$2:$B$106,"&lt;="&amp;$B152)</f>
        <v>2.4</v>
      </c>
      <c r="U152" s="43" t="n">
        <f aca="false">SUMIFS('Additions (monthly)'!$E$2:$E$106,'Additions (monthly)'!$D$2:$D$106,U$2,'Additions (monthly)'!$B$2:$B$106,"&lt;="&amp;$B152)</f>
        <v>0</v>
      </c>
      <c r="V152" s="43" t="n">
        <f aca="false">SUMIFS('Additions (monthly)'!$E$2:$E$106,'Additions (monthly)'!$D$2:$D$106,V$2,'Additions (monthly)'!$B$2:$B$106,"&lt;="&amp;$B152)</f>
        <v>3.87</v>
      </c>
      <c r="W152" s="43" t="n">
        <f aca="false">SUMIFS('Additions (monthly)'!$E$2:$E$106,'Additions (monthly)'!$D$2:$D$106,W$2,'Additions (monthly)'!$B$2:$B$106,"&lt;="&amp;$B152)</f>
        <v>0</v>
      </c>
      <c r="X152" s="43" t="n">
        <f aca="false">SUMIFS('Additions (monthly)'!$E$2:$E$106,'Additions (monthly)'!$D$2:$D$106,X$2,'Additions (monthly)'!$B$2:$B$106,"&lt;="&amp;$B152)</f>
        <v>0</v>
      </c>
      <c r="Y152" s="43" t="n">
        <f aca="false">SUMIFS('Additions (monthly)'!$E$2:$E$106,'Additions (monthly)'!$D$2:$D$106,Y$2,'Additions (monthly)'!$B$2:$B$106,"&lt;="&amp;$B152)</f>
        <v>5</v>
      </c>
      <c r="Z152" s="43" t="n">
        <f aca="false">SUMIFS('Additions (monthly)'!$E$2:$E$106,'Additions (monthly)'!$D$2:$D$106,Z$2,'Additions (monthly)'!$B$2:$B$106,"&lt;="&amp;$B152)</f>
        <v>7.2</v>
      </c>
      <c r="AA152" s="43" t="n">
        <f aca="false">SUMIFS('Additions (monthly)'!$E$2:$E$106,'Additions (monthly)'!$D$2:$D$106,AA$2,'Additions (monthly)'!$B$2:$B$106,"&lt;="&amp;$B152)</f>
        <v>3.7</v>
      </c>
      <c r="AB152" s="43" t="n">
        <f aca="false">SUMIFS('Additions (monthly)'!$E$2:$E$106,'Additions (monthly)'!$D$2:$D$106,AB$2,'Additions (monthly)'!$B$2:$B$106,"&lt;="&amp;$B152)</f>
        <v>16.95</v>
      </c>
      <c r="AC152" s="43" t="n">
        <f aca="false">SUMIFS('Additions (monthly)'!$E$2:$E$106,'Additions (monthly)'!$D$2:$D$106,AC$2,'Additions (monthly)'!$B$2:$B$106,"&lt;="&amp;$B152)</f>
        <v>2</v>
      </c>
      <c r="AD152" s="43" t="n">
        <f aca="false">SUMIFS('Additions (monthly)'!$E$2:$E$106,'Additions (monthly)'!$D$2:$D$106,AD$2,'Additions (monthly)'!$B$2:$B$106,"&lt;="&amp;$B152)</f>
        <v>7.6</v>
      </c>
      <c r="AE152" s="43" t="n">
        <f aca="false">SUMIFS('Additions (monthly)'!$E$2:$E$106,'Additions (monthly)'!$D$2:$D$106,AE$2,'Additions (monthly)'!$B$2:$B$106,"&lt;="&amp;$B152)</f>
        <v>29.3</v>
      </c>
      <c r="AF152" s="43" t="n">
        <f aca="false">SUMIFS('Additions (monthly)'!$E$2:$E$106,'Additions (monthly)'!$D$2:$D$106,AF$2,'Additions (monthly)'!$B$2:$B$106,"&lt;="&amp;$B152)</f>
        <v>1.2</v>
      </c>
      <c r="AG152" s="43" t="n">
        <f aca="false">SUMIFS('Additions (monthly)'!$E$2:$E$106,'Additions (monthly)'!$D$2:$D$106,AG$2,'Additions (monthly)'!$B$2:$B$106,"&lt;="&amp;$B152)</f>
        <v>1.5</v>
      </c>
      <c r="AH152" s="43" t="n">
        <f aca="false">SUMIFS('Additions (monthly)'!$E$2:$E$106,'Additions (monthly)'!$D$2:$D$106,AH$2,'Additions (monthly)'!$B$2:$B$106,"&lt;="&amp;$B152)</f>
        <v>0</v>
      </c>
      <c r="AI152" s="43" t="n">
        <f aca="false">SUMIFS('Additions (monthly)'!$E$2:$E$106,'Additions (monthly)'!$D$2:$D$106,AI$2,'Additions (monthly)'!$B$2:$B$106,"&lt;="&amp;$B152)</f>
        <v>0</v>
      </c>
      <c r="AJ152" s="43" t="n">
        <f aca="false">SUMIFS('Additions (monthly)'!$E$2:$E$106,'Additions (monthly)'!$D$2:$D$106,AJ$2,'Additions (monthly)'!$B$2:$B$106,"&lt;="&amp;$B152)</f>
        <v>0</v>
      </c>
      <c r="AK152" s="43" t="n">
        <f aca="false">SUMIFS('Additions (monthly)'!$E$2:$E$106,'Additions (monthly)'!$D$2:$D$106,AK$2,'Additions (monthly)'!$B$2:$B$106,"&lt;="&amp;$B152)</f>
        <v>0</v>
      </c>
      <c r="AL152" s="43" t="n">
        <f aca="false">SUMIFS('Additions (monthly)'!$E$2:$E$106,'Additions (monthly)'!$D$2:$D$106,AL$2,'Additions (monthly)'!$B$2:$B$106,"&lt;="&amp;$B152)</f>
        <v>22.2</v>
      </c>
      <c r="AM152" s="43" t="n">
        <f aca="false">SUMIFS('Additions (monthly)'!$E$2:$E$106,'Additions (monthly)'!$D$2:$D$106,AM$2,'Additions (monthly)'!$B$2:$B$106,"&lt;="&amp;$B152)</f>
        <v>0.3</v>
      </c>
      <c r="AN152" s="43" t="n">
        <f aca="false">SUMIFS('Additions (monthly)'!$E$2:$E$106,'Additions (monthly)'!$D$2:$D$106,AN$2,'Additions (monthly)'!$B$2:$B$106,"&lt;="&amp;$B152)</f>
        <v>4.3</v>
      </c>
      <c r="AO152" s="43" t="n">
        <f aca="false">SUMIFS('Additions (monthly)'!$E$2:$E$106,'Additions (monthly)'!$D$2:$D$106,AO$2,'Additions (monthly)'!$B$2:$B$106,"&lt;="&amp;$B152)</f>
        <v>10.4</v>
      </c>
      <c r="AP152" s="43" t="n">
        <f aca="false">SUMIFS('Additions (monthly)'!$E$2:$E$106,'Additions (monthly)'!$D$2:$D$106,AP$2,'Additions (monthly)'!$B$2:$B$106,"&lt;="&amp;$B152)</f>
        <v>6.9</v>
      </c>
      <c r="AQ152" s="43" t="n">
        <f aca="false">SUMIFS('Additions (monthly)'!$E$2:$E$106,'Additions (monthly)'!$D$2:$D$106,AQ$2,'Additions (monthly)'!$B$2:$B$106,"&lt;="&amp;$B152)</f>
        <v>4.45</v>
      </c>
      <c r="AR152" s="43" t="n">
        <f aca="false">SUMIFS('Additions (monthly)'!$E$2:$E$106,'Additions (monthly)'!$D$2:$D$106,AR$2,'Additions (monthly)'!$B$2:$B$106,"&lt;="&amp;$B152)</f>
        <v>77.1</v>
      </c>
      <c r="AS152" s="43" t="n">
        <f aca="false">SUMIFS('Additions (monthly)'!$E$2:$E$106,'Additions (monthly)'!$D$2:$D$106,AS$2,'Additions (monthly)'!$B$2:$B$106,"&lt;="&amp;$B152)</f>
        <v>0</v>
      </c>
      <c r="AT152" s="43" t="n">
        <f aca="false">SUMIFS('Additions (monthly)'!$E$2:$E$106,'Additions (monthly)'!$D$2:$D$106,AT$2,'Additions (monthly)'!$B$2:$B$106,"&lt;="&amp;$B152)</f>
        <v>0</v>
      </c>
      <c r="AU152" s="43" t="n">
        <f aca="false">SUMIFS('Additions (monthly)'!$E$2:$E$106,'Additions (monthly)'!$D$2:$D$106,AU$2,'Additions (monthly)'!$B$2:$B$106,"&lt;="&amp;$B152)</f>
        <v>9.6</v>
      </c>
      <c r="AV152" s="43" t="n">
        <f aca="false">SUMIFS('Additions (monthly)'!$E$2:$E$106,'Additions (monthly)'!$D$2:$D$106,AV$2,'Additions (monthly)'!$B$2:$B$106,"&lt;="&amp;$B152)</f>
        <v>0.66</v>
      </c>
      <c r="AW152" s="43" t="n">
        <f aca="false">SUMIFS('Additions (monthly)'!$E$2:$E$106,'Additions (monthly)'!$D$2:$D$106,AW$2,'Additions (monthly)'!$B$2:$B$106,"&lt;="&amp;$B152)</f>
        <v>17.4</v>
      </c>
      <c r="AX152" s="43" t="n">
        <f aca="false">SUMIFS('Additions (monthly)'!$E$2:$E$106,'Additions (monthly)'!$D$2:$D$106,AX$2,'Additions (monthly)'!$B$2:$B$106,"&lt;="&amp;$B152)</f>
        <v>11.8</v>
      </c>
      <c r="AY152" s="43" t="n">
        <f aca="false">SUMIFS('Additions (monthly)'!$E$2:$E$106,'Additions (monthly)'!$D$2:$D$106,AY$2,'Additions (monthly)'!$B$2:$B$106,"&lt;="&amp;$B152)</f>
        <v>5.3</v>
      </c>
      <c r="AZ152" s="43" t="n">
        <f aca="false">SUMIFS('Additions (monthly)'!$E$2:$E$106,'Additions (monthly)'!$D$2:$D$106,AZ$2,'Additions (monthly)'!$B$2:$B$106,"&lt;="&amp;$B152)</f>
        <v>8.86</v>
      </c>
      <c r="BA152" s="43" t="n">
        <f aca="false">SUMIFS('Additions (monthly)'!$E$2:$E$106,'Additions (monthly)'!$D$2:$D$106,BA$2,'Additions (monthly)'!$B$2:$B$106,"&lt;="&amp;$B152)</f>
        <v>13.5</v>
      </c>
      <c r="BB152" s="43" t="n">
        <f aca="false">SUMIFS('Additions (monthly)'!$E$2:$E$106,'Additions (monthly)'!$D$2:$D$106,BB$2,'Additions (monthly)'!$B$2:$B$106,"&lt;="&amp;$B152)</f>
        <v>15</v>
      </c>
      <c r="BC152" s="43" t="n">
        <f aca="false">SUMIFS('Additions (monthly)'!$E$2:$E$106,'Additions (monthly)'!$D$2:$D$106,BC$2,'Additions (monthly)'!$B$2:$B$106,"&lt;="&amp;$B152)</f>
        <v>5.25</v>
      </c>
      <c r="BD152" s="43" t="n">
        <f aca="false">SUMIFS('Additions (monthly)'!$E$2:$E$106,'Additions (monthly)'!$D$2:$D$106,BD$2,'Additions (monthly)'!$B$2:$B$106,"&lt;="&amp;$B152)</f>
        <v>2.5</v>
      </c>
      <c r="BE152" s="43" t="n">
        <f aca="false">SUMIFS('Additions (monthly)'!$E$2:$E$106,'Additions (monthly)'!$D$2:$D$106,BE$2,'Additions (monthly)'!$B$2:$B$106,"&lt;="&amp;$B152)</f>
        <v>15.3</v>
      </c>
      <c r="BF152" s="43" t="n">
        <f aca="false">SUMIFS('Additions (monthly)'!$E$2:$E$106,'Additions (monthly)'!$D$2:$D$106,BF$2,'Additions (monthly)'!$B$2:$B$106,"&lt;="&amp;$B152)</f>
        <v>0</v>
      </c>
      <c r="BG152" s="43" t="n">
        <f aca="false">SUMIFS('Additions (monthly)'!$E$2:$E$106,'Additions (monthly)'!$D$2:$D$106,BG$2,'Additions (monthly)'!$B$2:$B$106,"&lt;="&amp;$B152)</f>
        <v>0</v>
      </c>
      <c r="BH152" s="43" t="n">
        <f aca="false">SUMIFS('Additions (monthly)'!$E$2:$E$106,'Additions (monthly)'!$D$2:$D$106,BH$2,'Additions (monthly)'!$B$2:$B$106,"&lt;="&amp;$B152)</f>
        <v>30</v>
      </c>
      <c r="BI152" s="43" t="n">
        <f aca="false">SUMIFS('Additions (monthly)'!$E$2:$E$106,'Additions (monthly)'!$D$2:$D$106,BI$2,'Additions (monthly)'!$B$2:$B$106,"&lt;="&amp;$B152)</f>
        <v>6.7</v>
      </c>
    </row>
    <row r="153" customFormat="false" ht="15" hidden="false" customHeight="false" outlineLevel="0" collapsed="false">
      <c r="A153" s="23" t="n">
        <v>44743</v>
      </c>
      <c r="B153" s="24" t="n">
        <v>202207</v>
      </c>
      <c r="C153" s="42" t="n">
        <f aca="false">SUMIFS('Additions (monthly)'!$E$2:$E$106,'Additions (monthly)'!$B$2:$B$106,"&lt;="&amp;$B153)</f>
        <v>472.35</v>
      </c>
      <c r="D153" s="43" t="n">
        <f aca="false">SUMIFS('Additions (monthly)'!$E$2:$E$106,'Additions (monthly)'!$D$2:$D$106,D$2,'Additions (monthly)'!$B$2:$B$106,"&lt;="&amp;$B153)</f>
        <v>7.9</v>
      </c>
      <c r="E153" s="43" t="n">
        <f aca="false">SUMIFS('Additions (monthly)'!$E$2:$E$106,'Additions (monthly)'!$D$2:$D$106,E$2,'Additions (monthly)'!$B$2:$B$106,"&lt;="&amp;$B153)</f>
        <v>8.4</v>
      </c>
      <c r="F153" s="43" t="n">
        <f aca="false">SUMIFS('Additions (monthly)'!$E$2:$E$106,'Additions (monthly)'!$D$2:$D$106,F$2,'Additions (monthly)'!$B$2:$B$106,"&lt;="&amp;$B153)</f>
        <v>4.7</v>
      </c>
      <c r="G153" s="43" t="n">
        <f aca="false">SUMIFS('Additions (monthly)'!$E$2:$E$106,'Additions (monthly)'!$D$2:$D$106,G$2,'Additions (monthly)'!$B$2:$B$106,"&lt;="&amp;$B153)</f>
        <v>4.5</v>
      </c>
      <c r="H153" s="43" t="n">
        <f aca="false">SUMIFS('Additions (monthly)'!$E$2:$E$106,'Additions (monthly)'!$D$2:$D$106,H$2,'Additions (monthly)'!$B$2:$B$106,"&lt;="&amp;$B153)</f>
        <v>5.2</v>
      </c>
      <c r="I153" s="43" t="n">
        <f aca="false">SUMIFS('Additions (monthly)'!$E$2:$E$106,'Additions (monthly)'!$D$2:$D$106,I$2,'Additions (monthly)'!$B$2:$B$106,"&lt;="&amp;$B153)</f>
        <v>9</v>
      </c>
      <c r="J153" s="43" t="n">
        <f aca="false">SUMIFS('Additions (monthly)'!$E$2:$E$106,'Additions (monthly)'!$D$2:$D$106,J$2,'Additions (monthly)'!$B$2:$B$106,"&lt;="&amp;$B153)</f>
        <v>3.7</v>
      </c>
      <c r="K153" s="43" t="n">
        <f aca="false">SUMIFS('Additions (monthly)'!$E$2:$E$106,'Additions (monthly)'!$D$2:$D$106,K$2,'Additions (monthly)'!$B$2:$B$106,"&lt;="&amp;$B153)</f>
        <v>7.8</v>
      </c>
      <c r="L153" s="43" t="n">
        <f aca="false">SUMIFS('Additions (monthly)'!$E$2:$E$106,'Additions (monthly)'!$D$2:$D$106,L$2,'Additions (monthly)'!$B$2:$B$106,"&lt;="&amp;$B153)</f>
        <v>15.6</v>
      </c>
      <c r="M153" s="43" t="n">
        <f aca="false">SUMIFS('Additions (monthly)'!$E$2:$E$106,'Additions (monthly)'!$D$2:$D$106,M$2,'Additions (monthly)'!$B$2:$B$106,"&lt;="&amp;$B153)</f>
        <v>8.9</v>
      </c>
      <c r="N153" s="43" t="n">
        <f aca="false">SUMIFS('Additions (monthly)'!$E$2:$E$106,'Additions (monthly)'!$D$2:$D$106,N$2,'Additions (monthly)'!$B$2:$B$106,"&lt;="&amp;$B153)</f>
        <v>14.2</v>
      </c>
      <c r="O153" s="43" t="n">
        <f aca="false">SUMIFS('Additions (monthly)'!$E$2:$E$106,'Additions (monthly)'!$D$2:$D$106,O$2,'Additions (monthly)'!$B$2:$B$106,"&lt;="&amp;$B153)</f>
        <v>4.9</v>
      </c>
      <c r="P153" s="43" t="n">
        <f aca="false">SUMIFS('Additions (monthly)'!$E$2:$E$106,'Additions (monthly)'!$D$2:$D$106,P$2,'Additions (monthly)'!$B$2:$B$106,"&lt;="&amp;$B153)</f>
        <v>3.6</v>
      </c>
      <c r="Q153" s="43" t="n">
        <f aca="false">SUMIFS('Additions (monthly)'!$E$2:$E$106,'Additions (monthly)'!$D$2:$D$106,Q$2,'Additions (monthly)'!$B$2:$B$106,"&lt;="&amp;$B153)</f>
        <v>8.5</v>
      </c>
      <c r="R153" s="43" t="n">
        <f aca="false">SUMIFS('Additions (monthly)'!$E$2:$E$106,'Additions (monthly)'!$D$2:$D$106,R$2,'Additions (monthly)'!$B$2:$B$106,"&lt;="&amp;$B153)</f>
        <v>8.9</v>
      </c>
      <c r="S153" s="43" t="n">
        <f aca="false">SUMIFS('Additions (monthly)'!$E$2:$E$106,'Additions (monthly)'!$D$2:$D$106,S$2,'Additions (monthly)'!$B$2:$B$106,"&lt;="&amp;$B153)</f>
        <v>7.2</v>
      </c>
      <c r="T153" s="43" t="n">
        <f aca="false">SUMIFS('Additions (monthly)'!$E$2:$E$106,'Additions (monthly)'!$D$2:$D$106,T$2,'Additions (monthly)'!$B$2:$B$106,"&lt;="&amp;$B153)</f>
        <v>2.4</v>
      </c>
      <c r="U153" s="43" t="n">
        <f aca="false">SUMIFS('Additions (monthly)'!$E$2:$E$106,'Additions (monthly)'!$D$2:$D$106,U$2,'Additions (monthly)'!$B$2:$B$106,"&lt;="&amp;$B153)</f>
        <v>0</v>
      </c>
      <c r="V153" s="43" t="n">
        <f aca="false">SUMIFS('Additions (monthly)'!$E$2:$E$106,'Additions (monthly)'!$D$2:$D$106,V$2,'Additions (monthly)'!$B$2:$B$106,"&lt;="&amp;$B153)</f>
        <v>3.87</v>
      </c>
      <c r="W153" s="43" t="n">
        <f aca="false">SUMIFS('Additions (monthly)'!$E$2:$E$106,'Additions (monthly)'!$D$2:$D$106,W$2,'Additions (monthly)'!$B$2:$B$106,"&lt;="&amp;$B153)</f>
        <v>0</v>
      </c>
      <c r="X153" s="43" t="n">
        <f aca="false">SUMIFS('Additions (monthly)'!$E$2:$E$106,'Additions (monthly)'!$D$2:$D$106,X$2,'Additions (monthly)'!$B$2:$B$106,"&lt;="&amp;$B153)</f>
        <v>0</v>
      </c>
      <c r="Y153" s="43" t="n">
        <f aca="false">SUMIFS('Additions (monthly)'!$E$2:$E$106,'Additions (monthly)'!$D$2:$D$106,Y$2,'Additions (monthly)'!$B$2:$B$106,"&lt;="&amp;$B153)</f>
        <v>5</v>
      </c>
      <c r="Z153" s="43" t="n">
        <f aca="false">SUMIFS('Additions (monthly)'!$E$2:$E$106,'Additions (monthly)'!$D$2:$D$106,Z$2,'Additions (monthly)'!$B$2:$B$106,"&lt;="&amp;$B153)</f>
        <v>7.2</v>
      </c>
      <c r="AA153" s="43" t="n">
        <f aca="false">SUMIFS('Additions (monthly)'!$E$2:$E$106,'Additions (monthly)'!$D$2:$D$106,AA$2,'Additions (monthly)'!$B$2:$B$106,"&lt;="&amp;$B153)</f>
        <v>3.7</v>
      </c>
      <c r="AB153" s="43" t="n">
        <f aca="false">SUMIFS('Additions (monthly)'!$E$2:$E$106,'Additions (monthly)'!$D$2:$D$106,AB$2,'Additions (monthly)'!$B$2:$B$106,"&lt;="&amp;$B153)</f>
        <v>16.95</v>
      </c>
      <c r="AC153" s="43" t="n">
        <f aca="false">SUMIFS('Additions (monthly)'!$E$2:$E$106,'Additions (monthly)'!$D$2:$D$106,AC$2,'Additions (monthly)'!$B$2:$B$106,"&lt;="&amp;$B153)</f>
        <v>2</v>
      </c>
      <c r="AD153" s="43" t="n">
        <f aca="false">SUMIFS('Additions (monthly)'!$E$2:$E$106,'Additions (monthly)'!$D$2:$D$106,AD$2,'Additions (monthly)'!$B$2:$B$106,"&lt;="&amp;$B153)</f>
        <v>7.6</v>
      </c>
      <c r="AE153" s="43" t="n">
        <f aca="false">SUMIFS('Additions (monthly)'!$E$2:$E$106,'Additions (monthly)'!$D$2:$D$106,AE$2,'Additions (monthly)'!$B$2:$B$106,"&lt;="&amp;$B153)</f>
        <v>29.3</v>
      </c>
      <c r="AF153" s="43" t="n">
        <f aca="false">SUMIFS('Additions (monthly)'!$E$2:$E$106,'Additions (monthly)'!$D$2:$D$106,AF$2,'Additions (monthly)'!$B$2:$B$106,"&lt;="&amp;$B153)</f>
        <v>1.2</v>
      </c>
      <c r="AG153" s="43" t="n">
        <f aca="false">SUMIFS('Additions (monthly)'!$E$2:$E$106,'Additions (monthly)'!$D$2:$D$106,AG$2,'Additions (monthly)'!$B$2:$B$106,"&lt;="&amp;$B153)</f>
        <v>1.5</v>
      </c>
      <c r="AH153" s="43" t="n">
        <f aca="false">SUMIFS('Additions (monthly)'!$E$2:$E$106,'Additions (monthly)'!$D$2:$D$106,AH$2,'Additions (monthly)'!$B$2:$B$106,"&lt;="&amp;$B153)</f>
        <v>0</v>
      </c>
      <c r="AI153" s="43" t="n">
        <f aca="false">SUMIFS('Additions (monthly)'!$E$2:$E$106,'Additions (monthly)'!$D$2:$D$106,AI$2,'Additions (monthly)'!$B$2:$B$106,"&lt;="&amp;$B153)</f>
        <v>0</v>
      </c>
      <c r="AJ153" s="43" t="n">
        <f aca="false">SUMIFS('Additions (monthly)'!$E$2:$E$106,'Additions (monthly)'!$D$2:$D$106,AJ$2,'Additions (monthly)'!$B$2:$B$106,"&lt;="&amp;$B153)</f>
        <v>0</v>
      </c>
      <c r="AK153" s="43" t="n">
        <f aca="false">SUMIFS('Additions (monthly)'!$E$2:$E$106,'Additions (monthly)'!$D$2:$D$106,AK$2,'Additions (monthly)'!$B$2:$B$106,"&lt;="&amp;$B153)</f>
        <v>0</v>
      </c>
      <c r="AL153" s="43" t="n">
        <f aca="false">SUMIFS('Additions (monthly)'!$E$2:$E$106,'Additions (monthly)'!$D$2:$D$106,AL$2,'Additions (monthly)'!$B$2:$B$106,"&lt;="&amp;$B153)</f>
        <v>22.2</v>
      </c>
      <c r="AM153" s="43" t="n">
        <f aca="false">SUMIFS('Additions (monthly)'!$E$2:$E$106,'Additions (monthly)'!$D$2:$D$106,AM$2,'Additions (monthly)'!$B$2:$B$106,"&lt;="&amp;$B153)</f>
        <v>0.3</v>
      </c>
      <c r="AN153" s="43" t="n">
        <f aca="false">SUMIFS('Additions (monthly)'!$E$2:$E$106,'Additions (monthly)'!$D$2:$D$106,AN$2,'Additions (monthly)'!$B$2:$B$106,"&lt;="&amp;$B153)</f>
        <v>4.3</v>
      </c>
      <c r="AO153" s="43" t="n">
        <f aca="false">SUMIFS('Additions (monthly)'!$E$2:$E$106,'Additions (monthly)'!$D$2:$D$106,AO$2,'Additions (monthly)'!$B$2:$B$106,"&lt;="&amp;$B153)</f>
        <v>10.4</v>
      </c>
      <c r="AP153" s="43" t="n">
        <f aca="false">SUMIFS('Additions (monthly)'!$E$2:$E$106,'Additions (monthly)'!$D$2:$D$106,AP$2,'Additions (monthly)'!$B$2:$B$106,"&lt;="&amp;$B153)</f>
        <v>6.9</v>
      </c>
      <c r="AQ153" s="43" t="n">
        <f aca="false">SUMIFS('Additions (monthly)'!$E$2:$E$106,'Additions (monthly)'!$D$2:$D$106,AQ$2,'Additions (monthly)'!$B$2:$B$106,"&lt;="&amp;$B153)</f>
        <v>4.45</v>
      </c>
      <c r="AR153" s="43" t="n">
        <f aca="false">SUMIFS('Additions (monthly)'!$E$2:$E$106,'Additions (monthly)'!$D$2:$D$106,AR$2,'Additions (monthly)'!$B$2:$B$106,"&lt;="&amp;$B153)</f>
        <v>77.1</v>
      </c>
      <c r="AS153" s="43" t="n">
        <f aca="false">SUMIFS('Additions (monthly)'!$E$2:$E$106,'Additions (monthly)'!$D$2:$D$106,AS$2,'Additions (monthly)'!$B$2:$B$106,"&lt;="&amp;$B153)</f>
        <v>0</v>
      </c>
      <c r="AT153" s="43" t="n">
        <f aca="false">SUMIFS('Additions (monthly)'!$E$2:$E$106,'Additions (monthly)'!$D$2:$D$106,AT$2,'Additions (monthly)'!$B$2:$B$106,"&lt;="&amp;$B153)</f>
        <v>0</v>
      </c>
      <c r="AU153" s="43" t="n">
        <f aca="false">SUMIFS('Additions (monthly)'!$E$2:$E$106,'Additions (monthly)'!$D$2:$D$106,AU$2,'Additions (monthly)'!$B$2:$B$106,"&lt;="&amp;$B153)</f>
        <v>9.6</v>
      </c>
      <c r="AV153" s="43" t="n">
        <f aca="false">SUMIFS('Additions (monthly)'!$E$2:$E$106,'Additions (monthly)'!$D$2:$D$106,AV$2,'Additions (monthly)'!$B$2:$B$106,"&lt;="&amp;$B153)</f>
        <v>0.66</v>
      </c>
      <c r="AW153" s="43" t="n">
        <f aca="false">SUMIFS('Additions (monthly)'!$E$2:$E$106,'Additions (monthly)'!$D$2:$D$106,AW$2,'Additions (monthly)'!$B$2:$B$106,"&lt;="&amp;$B153)</f>
        <v>17.4</v>
      </c>
      <c r="AX153" s="43" t="n">
        <f aca="false">SUMIFS('Additions (monthly)'!$E$2:$E$106,'Additions (monthly)'!$D$2:$D$106,AX$2,'Additions (monthly)'!$B$2:$B$106,"&lt;="&amp;$B153)</f>
        <v>11.8</v>
      </c>
      <c r="AY153" s="43" t="n">
        <f aca="false">SUMIFS('Additions (monthly)'!$E$2:$E$106,'Additions (monthly)'!$D$2:$D$106,AY$2,'Additions (monthly)'!$B$2:$B$106,"&lt;="&amp;$B153)</f>
        <v>5.3</v>
      </c>
      <c r="AZ153" s="43" t="n">
        <f aca="false">SUMIFS('Additions (monthly)'!$E$2:$E$106,'Additions (monthly)'!$D$2:$D$106,AZ$2,'Additions (monthly)'!$B$2:$B$106,"&lt;="&amp;$B153)</f>
        <v>9.97</v>
      </c>
      <c r="BA153" s="43" t="n">
        <f aca="false">SUMIFS('Additions (monthly)'!$E$2:$E$106,'Additions (monthly)'!$D$2:$D$106,BA$2,'Additions (monthly)'!$B$2:$B$106,"&lt;="&amp;$B153)</f>
        <v>13.5</v>
      </c>
      <c r="BB153" s="43" t="n">
        <f aca="false">SUMIFS('Additions (monthly)'!$E$2:$E$106,'Additions (monthly)'!$D$2:$D$106,BB$2,'Additions (monthly)'!$B$2:$B$106,"&lt;="&amp;$B153)</f>
        <v>15</v>
      </c>
      <c r="BC153" s="43" t="n">
        <f aca="false">SUMIFS('Additions (monthly)'!$E$2:$E$106,'Additions (monthly)'!$D$2:$D$106,BC$2,'Additions (monthly)'!$B$2:$B$106,"&lt;="&amp;$B153)</f>
        <v>5.25</v>
      </c>
      <c r="BD153" s="43" t="n">
        <f aca="false">SUMIFS('Additions (monthly)'!$E$2:$E$106,'Additions (monthly)'!$D$2:$D$106,BD$2,'Additions (monthly)'!$B$2:$B$106,"&lt;="&amp;$B153)</f>
        <v>2.5</v>
      </c>
      <c r="BE153" s="43" t="n">
        <f aca="false">SUMIFS('Additions (monthly)'!$E$2:$E$106,'Additions (monthly)'!$D$2:$D$106,BE$2,'Additions (monthly)'!$B$2:$B$106,"&lt;="&amp;$B153)</f>
        <v>15.3</v>
      </c>
      <c r="BF153" s="43" t="n">
        <f aca="false">SUMIFS('Additions (monthly)'!$E$2:$E$106,'Additions (monthly)'!$D$2:$D$106,BF$2,'Additions (monthly)'!$B$2:$B$106,"&lt;="&amp;$B153)</f>
        <v>0</v>
      </c>
      <c r="BG153" s="43" t="n">
        <f aca="false">SUMIFS('Additions (monthly)'!$E$2:$E$106,'Additions (monthly)'!$D$2:$D$106,BG$2,'Additions (monthly)'!$B$2:$B$106,"&lt;="&amp;$B153)</f>
        <v>0</v>
      </c>
      <c r="BH153" s="43" t="n">
        <f aca="false">SUMIFS('Additions (monthly)'!$E$2:$E$106,'Additions (monthly)'!$D$2:$D$106,BH$2,'Additions (monthly)'!$B$2:$B$106,"&lt;="&amp;$B153)</f>
        <v>30</v>
      </c>
      <c r="BI153" s="43" t="n">
        <f aca="false">SUMIFS('Additions (monthly)'!$E$2:$E$106,'Additions (monthly)'!$D$2:$D$106,BI$2,'Additions (monthly)'!$B$2:$B$106,"&lt;="&amp;$B153)</f>
        <v>6.7</v>
      </c>
    </row>
    <row r="154" customFormat="false" ht="15" hidden="false" customHeight="false" outlineLevel="0" collapsed="false">
      <c r="A154" s="23" t="n">
        <v>44774</v>
      </c>
      <c r="B154" s="24" t="n">
        <v>202208</v>
      </c>
      <c r="C154" s="42" t="n">
        <f aca="false">SUMIFS('Additions (monthly)'!$E$2:$E$106,'Additions (monthly)'!$B$2:$B$106,"&lt;="&amp;$B154)</f>
        <v>472.35</v>
      </c>
      <c r="D154" s="43" t="n">
        <f aca="false">SUMIFS('Additions (monthly)'!$E$2:$E$106,'Additions (monthly)'!$D$2:$D$106,D$2,'Additions (monthly)'!$B$2:$B$106,"&lt;="&amp;$B154)</f>
        <v>7.9</v>
      </c>
      <c r="E154" s="43" t="n">
        <f aca="false">SUMIFS('Additions (monthly)'!$E$2:$E$106,'Additions (monthly)'!$D$2:$D$106,E$2,'Additions (monthly)'!$B$2:$B$106,"&lt;="&amp;$B154)</f>
        <v>8.4</v>
      </c>
      <c r="F154" s="43" t="n">
        <f aca="false">SUMIFS('Additions (monthly)'!$E$2:$E$106,'Additions (monthly)'!$D$2:$D$106,F$2,'Additions (monthly)'!$B$2:$B$106,"&lt;="&amp;$B154)</f>
        <v>4.7</v>
      </c>
      <c r="G154" s="43" t="n">
        <f aca="false">SUMIFS('Additions (monthly)'!$E$2:$E$106,'Additions (monthly)'!$D$2:$D$106,G$2,'Additions (monthly)'!$B$2:$B$106,"&lt;="&amp;$B154)</f>
        <v>4.5</v>
      </c>
      <c r="H154" s="43" t="n">
        <f aca="false">SUMIFS('Additions (monthly)'!$E$2:$E$106,'Additions (monthly)'!$D$2:$D$106,H$2,'Additions (monthly)'!$B$2:$B$106,"&lt;="&amp;$B154)</f>
        <v>5.2</v>
      </c>
      <c r="I154" s="43" t="n">
        <f aca="false">SUMIFS('Additions (monthly)'!$E$2:$E$106,'Additions (monthly)'!$D$2:$D$106,I$2,'Additions (monthly)'!$B$2:$B$106,"&lt;="&amp;$B154)</f>
        <v>9</v>
      </c>
      <c r="J154" s="43" t="n">
        <f aca="false">SUMIFS('Additions (monthly)'!$E$2:$E$106,'Additions (monthly)'!$D$2:$D$106,J$2,'Additions (monthly)'!$B$2:$B$106,"&lt;="&amp;$B154)</f>
        <v>3.7</v>
      </c>
      <c r="K154" s="43" t="n">
        <f aca="false">SUMIFS('Additions (monthly)'!$E$2:$E$106,'Additions (monthly)'!$D$2:$D$106,K$2,'Additions (monthly)'!$B$2:$B$106,"&lt;="&amp;$B154)</f>
        <v>7.8</v>
      </c>
      <c r="L154" s="43" t="n">
        <f aca="false">SUMIFS('Additions (monthly)'!$E$2:$E$106,'Additions (monthly)'!$D$2:$D$106,L$2,'Additions (monthly)'!$B$2:$B$106,"&lt;="&amp;$B154)</f>
        <v>15.6</v>
      </c>
      <c r="M154" s="43" t="n">
        <f aca="false">SUMIFS('Additions (monthly)'!$E$2:$E$106,'Additions (monthly)'!$D$2:$D$106,M$2,'Additions (monthly)'!$B$2:$B$106,"&lt;="&amp;$B154)</f>
        <v>8.9</v>
      </c>
      <c r="N154" s="43" t="n">
        <f aca="false">SUMIFS('Additions (monthly)'!$E$2:$E$106,'Additions (monthly)'!$D$2:$D$106,N$2,'Additions (monthly)'!$B$2:$B$106,"&lt;="&amp;$B154)</f>
        <v>14.2</v>
      </c>
      <c r="O154" s="43" t="n">
        <f aca="false">SUMIFS('Additions (monthly)'!$E$2:$E$106,'Additions (monthly)'!$D$2:$D$106,O$2,'Additions (monthly)'!$B$2:$B$106,"&lt;="&amp;$B154)</f>
        <v>4.9</v>
      </c>
      <c r="P154" s="43" t="n">
        <f aca="false">SUMIFS('Additions (monthly)'!$E$2:$E$106,'Additions (monthly)'!$D$2:$D$106,P$2,'Additions (monthly)'!$B$2:$B$106,"&lt;="&amp;$B154)</f>
        <v>3.6</v>
      </c>
      <c r="Q154" s="43" t="n">
        <f aca="false">SUMIFS('Additions (monthly)'!$E$2:$E$106,'Additions (monthly)'!$D$2:$D$106,Q$2,'Additions (monthly)'!$B$2:$B$106,"&lt;="&amp;$B154)</f>
        <v>8.5</v>
      </c>
      <c r="R154" s="43" t="n">
        <f aca="false">SUMIFS('Additions (monthly)'!$E$2:$E$106,'Additions (monthly)'!$D$2:$D$106,R$2,'Additions (monthly)'!$B$2:$B$106,"&lt;="&amp;$B154)</f>
        <v>8.9</v>
      </c>
      <c r="S154" s="43" t="n">
        <f aca="false">SUMIFS('Additions (monthly)'!$E$2:$E$106,'Additions (monthly)'!$D$2:$D$106,S$2,'Additions (monthly)'!$B$2:$B$106,"&lt;="&amp;$B154)</f>
        <v>7.2</v>
      </c>
      <c r="T154" s="43" t="n">
        <f aca="false">SUMIFS('Additions (monthly)'!$E$2:$E$106,'Additions (monthly)'!$D$2:$D$106,T$2,'Additions (monthly)'!$B$2:$B$106,"&lt;="&amp;$B154)</f>
        <v>2.4</v>
      </c>
      <c r="U154" s="43" t="n">
        <f aca="false">SUMIFS('Additions (monthly)'!$E$2:$E$106,'Additions (monthly)'!$D$2:$D$106,U$2,'Additions (monthly)'!$B$2:$B$106,"&lt;="&amp;$B154)</f>
        <v>0</v>
      </c>
      <c r="V154" s="43" t="n">
        <f aca="false">SUMIFS('Additions (monthly)'!$E$2:$E$106,'Additions (monthly)'!$D$2:$D$106,V$2,'Additions (monthly)'!$B$2:$B$106,"&lt;="&amp;$B154)</f>
        <v>3.87</v>
      </c>
      <c r="W154" s="43" t="n">
        <f aca="false">SUMIFS('Additions (monthly)'!$E$2:$E$106,'Additions (monthly)'!$D$2:$D$106,W$2,'Additions (monthly)'!$B$2:$B$106,"&lt;="&amp;$B154)</f>
        <v>0</v>
      </c>
      <c r="X154" s="43" t="n">
        <f aca="false">SUMIFS('Additions (monthly)'!$E$2:$E$106,'Additions (monthly)'!$D$2:$D$106,X$2,'Additions (monthly)'!$B$2:$B$106,"&lt;="&amp;$B154)</f>
        <v>0</v>
      </c>
      <c r="Y154" s="43" t="n">
        <f aca="false">SUMIFS('Additions (monthly)'!$E$2:$E$106,'Additions (monthly)'!$D$2:$D$106,Y$2,'Additions (monthly)'!$B$2:$B$106,"&lt;="&amp;$B154)</f>
        <v>5</v>
      </c>
      <c r="Z154" s="43" t="n">
        <f aca="false">SUMIFS('Additions (monthly)'!$E$2:$E$106,'Additions (monthly)'!$D$2:$D$106,Z$2,'Additions (monthly)'!$B$2:$B$106,"&lt;="&amp;$B154)</f>
        <v>7.2</v>
      </c>
      <c r="AA154" s="43" t="n">
        <f aca="false">SUMIFS('Additions (monthly)'!$E$2:$E$106,'Additions (monthly)'!$D$2:$D$106,AA$2,'Additions (monthly)'!$B$2:$B$106,"&lt;="&amp;$B154)</f>
        <v>3.7</v>
      </c>
      <c r="AB154" s="43" t="n">
        <f aca="false">SUMIFS('Additions (monthly)'!$E$2:$E$106,'Additions (monthly)'!$D$2:$D$106,AB$2,'Additions (monthly)'!$B$2:$B$106,"&lt;="&amp;$B154)</f>
        <v>16.95</v>
      </c>
      <c r="AC154" s="43" t="n">
        <f aca="false">SUMIFS('Additions (monthly)'!$E$2:$E$106,'Additions (monthly)'!$D$2:$D$106,AC$2,'Additions (monthly)'!$B$2:$B$106,"&lt;="&amp;$B154)</f>
        <v>2</v>
      </c>
      <c r="AD154" s="43" t="n">
        <f aca="false">SUMIFS('Additions (monthly)'!$E$2:$E$106,'Additions (monthly)'!$D$2:$D$106,AD$2,'Additions (monthly)'!$B$2:$B$106,"&lt;="&amp;$B154)</f>
        <v>7.6</v>
      </c>
      <c r="AE154" s="43" t="n">
        <f aca="false">SUMIFS('Additions (monthly)'!$E$2:$E$106,'Additions (monthly)'!$D$2:$D$106,AE$2,'Additions (monthly)'!$B$2:$B$106,"&lt;="&amp;$B154)</f>
        <v>29.3</v>
      </c>
      <c r="AF154" s="43" t="n">
        <f aca="false">SUMIFS('Additions (monthly)'!$E$2:$E$106,'Additions (monthly)'!$D$2:$D$106,AF$2,'Additions (monthly)'!$B$2:$B$106,"&lt;="&amp;$B154)</f>
        <v>1.2</v>
      </c>
      <c r="AG154" s="43" t="n">
        <f aca="false">SUMIFS('Additions (monthly)'!$E$2:$E$106,'Additions (monthly)'!$D$2:$D$106,AG$2,'Additions (monthly)'!$B$2:$B$106,"&lt;="&amp;$B154)</f>
        <v>1.5</v>
      </c>
      <c r="AH154" s="43" t="n">
        <f aca="false">SUMIFS('Additions (monthly)'!$E$2:$E$106,'Additions (monthly)'!$D$2:$D$106,AH$2,'Additions (monthly)'!$B$2:$B$106,"&lt;="&amp;$B154)</f>
        <v>0</v>
      </c>
      <c r="AI154" s="43" t="n">
        <f aca="false">SUMIFS('Additions (monthly)'!$E$2:$E$106,'Additions (monthly)'!$D$2:$D$106,AI$2,'Additions (monthly)'!$B$2:$B$106,"&lt;="&amp;$B154)</f>
        <v>0</v>
      </c>
      <c r="AJ154" s="43" t="n">
        <f aca="false">SUMIFS('Additions (monthly)'!$E$2:$E$106,'Additions (monthly)'!$D$2:$D$106,AJ$2,'Additions (monthly)'!$B$2:$B$106,"&lt;="&amp;$B154)</f>
        <v>0</v>
      </c>
      <c r="AK154" s="43" t="n">
        <f aca="false">SUMIFS('Additions (monthly)'!$E$2:$E$106,'Additions (monthly)'!$D$2:$D$106,AK$2,'Additions (monthly)'!$B$2:$B$106,"&lt;="&amp;$B154)</f>
        <v>0</v>
      </c>
      <c r="AL154" s="43" t="n">
        <f aca="false">SUMIFS('Additions (monthly)'!$E$2:$E$106,'Additions (monthly)'!$D$2:$D$106,AL$2,'Additions (monthly)'!$B$2:$B$106,"&lt;="&amp;$B154)</f>
        <v>22.2</v>
      </c>
      <c r="AM154" s="43" t="n">
        <f aca="false">SUMIFS('Additions (monthly)'!$E$2:$E$106,'Additions (monthly)'!$D$2:$D$106,AM$2,'Additions (monthly)'!$B$2:$B$106,"&lt;="&amp;$B154)</f>
        <v>0.3</v>
      </c>
      <c r="AN154" s="43" t="n">
        <f aca="false">SUMIFS('Additions (monthly)'!$E$2:$E$106,'Additions (monthly)'!$D$2:$D$106,AN$2,'Additions (monthly)'!$B$2:$B$106,"&lt;="&amp;$B154)</f>
        <v>4.3</v>
      </c>
      <c r="AO154" s="43" t="n">
        <f aca="false">SUMIFS('Additions (monthly)'!$E$2:$E$106,'Additions (monthly)'!$D$2:$D$106,AO$2,'Additions (monthly)'!$B$2:$B$106,"&lt;="&amp;$B154)</f>
        <v>10.4</v>
      </c>
      <c r="AP154" s="43" t="n">
        <f aca="false">SUMIFS('Additions (monthly)'!$E$2:$E$106,'Additions (monthly)'!$D$2:$D$106,AP$2,'Additions (monthly)'!$B$2:$B$106,"&lt;="&amp;$B154)</f>
        <v>6.9</v>
      </c>
      <c r="AQ154" s="43" t="n">
        <f aca="false">SUMIFS('Additions (monthly)'!$E$2:$E$106,'Additions (monthly)'!$D$2:$D$106,AQ$2,'Additions (monthly)'!$B$2:$B$106,"&lt;="&amp;$B154)</f>
        <v>4.45</v>
      </c>
      <c r="AR154" s="43" t="n">
        <f aca="false">SUMIFS('Additions (monthly)'!$E$2:$E$106,'Additions (monthly)'!$D$2:$D$106,AR$2,'Additions (monthly)'!$B$2:$B$106,"&lt;="&amp;$B154)</f>
        <v>77.1</v>
      </c>
      <c r="AS154" s="43" t="n">
        <f aca="false">SUMIFS('Additions (monthly)'!$E$2:$E$106,'Additions (monthly)'!$D$2:$D$106,AS$2,'Additions (monthly)'!$B$2:$B$106,"&lt;="&amp;$B154)</f>
        <v>0</v>
      </c>
      <c r="AT154" s="43" t="n">
        <f aca="false">SUMIFS('Additions (monthly)'!$E$2:$E$106,'Additions (monthly)'!$D$2:$D$106,AT$2,'Additions (monthly)'!$B$2:$B$106,"&lt;="&amp;$B154)</f>
        <v>0</v>
      </c>
      <c r="AU154" s="43" t="n">
        <f aca="false">SUMIFS('Additions (monthly)'!$E$2:$E$106,'Additions (monthly)'!$D$2:$D$106,AU$2,'Additions (monthly)'!$B$2:$B$106,"&lt;="&amp;$B154)</f>
        <v>9.6</v>
      </c>
      <c r="AV154" s="43" t="n">
        <f aca="false">SUMIFS('Additions (monthly)'!$E$2:$E$106,'Additions (monthly)'!$D$2:$D$106,AV$2,'Additions (monthly)'!$B$2:$B$106,"&lt;="&amp;$B154)</f>
        <v>0.66</v>
      </c>
      <c r="AW154" s="43" t="n">
        <f aca="false">SUMIFS('Additions (monthly)'!$E$2:$E$106,'Additions (monthly)'!$D$2:$D$106,AW$2,'Additions (monthly)'!$B$2:$B$106,"&lt;="&amp;$B154)</f>
        <v>17.4</v>
      </c>
      <c r="AX154" s="43" t="n">
        <f aca="false">SUMIFS('Additions (monthly)'!$E$2:$E$106,'Additions (monthly)'!$D$2:$D$106,AX$2,'Additions (monthly)'!$B$2:$B$106,"&lt;="&amp;$B154)</f>
        <v>11.8</v>
      </c>
      <c r="AY154" s="43" t="n">
        <f aca="false">SUMIFS('Additions (monthly)'!$E$2:$E$106,'Additions (monthly)'!$D$2:$D$106,AY$2,'Additions (monthly)'!$B$2:$B$106,"&lt;="&amp;$B154)</f>
        <v>5.3</v>
      </c>
      <c r="AZ154" s="43" t="n">
        <f aca="false">SUMIFS('Additions (monthly)'!$E$2:$E$106,'Additions (monthly)'!$D$2:$D$106,AZ$2,'Additions (monthly)'!$B$2:$B$106,"&lt;="&amp;$B154)</f>
        <v>9.97</v>
      </c>
      <c r="BA154" s="43" t="n">
        <f aca="false">SUMIFS('Additions (monthly)'!$E$2:$E$106,'Additions (monthly)'!$D$2:$D$106,BA$2,'Additions (monthly)'!$B$2:$B$106,"&lt;="&amp;$B154)</f>
        <v>13.5</v>
      </c>
      <c r="BB154" s="43" t="n">
        <f aca="false">SUMIFS('Additions (monthly)'!$E$2:$E$106,'Additions (monthly)'!$D$2:$D$106,BB$2,'Additions (monthly)'!$B$2:$B$106,"&lt;="&amp;$B154)</f>
        <v>15</v>
      </c>
      <c r="BC154" s="43" t="n">
        <f aca="false">SUMIFS('Additions (monthly)'!$E$2:$E$106,'Additions (monthly)'!$D$2:$D$106,BC$2,'Additions (monthly)'!$B$2:$B$106,"&lt;="&amp;$B154)</f>
        <v>5.25</v>
      </c>
      <c r="BD154" s="43" t="n">
        <f aca="false">SUMIFS('Additions (monthly)'!$E$2:$E$106,'Additions (monthly)'!$D$2:$D$106,BD$2,'Additions (monthly)'!$B$2:$B$106,"&lt;="&amp;$B154)</f>
        <v>2.5</v>
      </c>
      <c r="BE154" s="43" t="n">
        <f aca="false">SUMIFS('Additions (monthly)'!$E$2:$E$106,'Additions (monthly)'!$D$2:$D$106,BE$2,'Additions (monthly)'!$B$2:$B$106,"&lt;="&amp;$B154)</f>
        <v>15.3</v>
      </c>
      <c r="BF154" s="43" t="n">
        <f aca="false">SUMIFS('Additions (monthly)'!$E$2:$E$106,'Additions (monthly)'!$D$2:$D$106,BF$2,'Additions (monthly)'!$B$2:$B$106,"&lt;="&amp;$B154)</f>
        <v>0</v>
      </c>
      <c r="BG154" s="43" t="n">
        <f aca="false">SUMIFS('Additions (monthly)'!$E$2:$E$106,'Additions (monthly)'!$D$2:$D$106,BG$2,'Additions (monthly)'!$B$2:$B$106,"&lt;="&amp;$B154)</f>
        <v>0</v>
      </c>
      <c r="BH154" s="43" t="n">
        <f aca="false">SUMIFS('Additions (monthly)'!$E$2:$E$106,'Additions (monthly)'!$D$2:$D$106,BH$2,'Additions (monthly)'!$B$2:$B$106,"&lt;="&amp;$B154)</f>
        <v>30</v>
      </c>
      <c r="BI154" s="43" t="n">
        <f aca="false">SUMIFS('Additions (monthly)'!$E$2:$E$106,'Additions (monthly)'!$D$2:$D$106,BI$2,'Additions (monthly)'!$B$2:$B$106,"&lt;="&amp;$B154)</f>
        <v>6.7</v>
      </c>
    </row>
    <row r="155" customFormat="false" ht="15" hidden="false" customHeight="false" outlineLevel="0" collapsed="false">
      <c r="A155" s="23" t="n">
        <v>44805</v>
      </c>
      <c r="B155" s="24" t="n">
        <v>202209</v>
      </c>
      <c r="C155" s="42" t="n">
        <f aca="false">SUMIFS('Additions (monthly)'!$E$2:$E$106,'Additions (monthly)'!$B$2:$B$106,"&lt;="&amp;$B155)</f>
        <v>473.85</v>
      </c>
      <c r="D155" s="43" t="n">
        <f aca="false">SUMIFS('Additions (monthly)'!$E$2:$E$106,'Additions (monthly)'!$D$2:$D$106,D$2,'Additions (monthly)'!$B$2:$B$106,"&lt;="&amp;$B155)</f>
        <v>7.9</v>
      </c>
      <c r="E155" s="43" t="n">
        <f aca="false">SUMIFS('Additions (monthly)'!$E$2:$E$106,'Additions (monthly)'!$D$2:$D$106,E$2,'Additions (monthly)'!$B$2:$B$106,"&lt;="&amp;$B155)</f>
        <v>8.4</v>
      </c>
      <c r="F155" s="43" t="n">
        <f aca="false">SUMIFS('Additions (monthly)'!$E$2:$E$106,'Additions (monthly)'!$D$2:$D$106,F$2,'Additions (monthly)'!$B$2:$B$106,"&lt;="&amp;$B155)</f>
        <v>4.7</v>
      </c>
      <c r="G155" s="43" t="n">
        <f aca="false">SUMIFS('Additions (monthly)'!$E$2:$E$106,'Additions (monthly)'!$D$2:$D$106,G$2,'Additions (monthly)'!$B$2:$B$106,"&lt;="&amp;$B155)</f>
        <v>4.5</v>
      </c>
      <c r="H155" s="43" t="n">
        <f aca="false">SUMIFS('Additions (monthly)'!$E$2:$E$106,'Additions (monthly)'!$D$2:$D$106,H$2,'Additions (monthly)'!$B$2:$B$106,"&lt;="&amp;$B155)</f>
        <v>5.2</v>
      </c>
      <c r="I155" s="43" t="n">
        <f aca="false">SUMIFS('Additions (monthly)'!$E$2:$E$106,'Additions (monthly)'!$D$2:$D$106,I$2,'Additions (monthly)'!$B$2:$B$106,"&lt;="&amp;$B155)</f>
        <v>9</v>
      </c>
      <c r="J155" s="43" t="n">
        <f aca="false">SUMIFS('Additions (monthly)'!$E$2:$E$106,'Additions (monthly)'!$D$2:$D$106,J$2,'Additions (monthly)'!$B$2:$B$106,"&lt;="&amp;$B155)</f>
        <v>3.7</v>
      </c>
      <c r="K155" s="43" t="n">
        <f aca="false">SUMIFS('Additions (monthly)'!$E$2:$E$106,'Additions (monthly)'!$D$2:$D$106,K$2,'Additions (monthly)'!$B$2:$B$106,"&lt;="&amp;$B155)</f>
        <v>7.8</v>
      </c>
      <c r="L155" s="43" t="n">
        <f aca="false">SUMIFS('Additions (monthly)'!$E$2:$E$106,'Additions (monthly)'!$D$2:$D$106,L$2,'Additions (monthly)'!$B$2:$B$106,"&lt;="&amp;$B155)</f>
        <v>15.6</v>
      </c>
      <c r="M155" s="43" t="n">
        <f aca="false">SUMIFS('Additions (monthly)'!$E$2:$E$106,'Additions (monthly)'!$D$2:$D$106,M$2,'Additions (monthly)'!$B$2:$B$106,"&lt;="&amp;$B155)</f>
        <v>8.9</v>
      </c>
      <c r="N155" s="43" t="n">
        <f aca="false">SUMIFS('Additions (monthly)'!$E$2:$E$106,'Additions (monthly)'!$D$2:$D$106,N$2,'Additions (monthly)'!$B$2:$B$106,"&lt;="&amp;$B155)</f>
        <v>14.2</v>
      </c>
      <c r="O155" s="43" t="n">
        <f aca="false">SUMIFS('Additions (monthly)'!$E$2:$E$106,'Additions (monthly)'!$D$2:$D$106,O$2,'Additions (monthly)'!$B$2:$B$106,"&lt;="&amp;$B155)</f>
        <v>4.9</v>
      </c>
      <c r="P155" s="43" t="n">
        <f aca="false">SUMIFS('Additions (monthly)'!$E$2:$E$106,'Additions (monthly)'!$D$2:$D$106,P$2,'Additions (monthly)'!$B$2:$B$106,"&lt;="&amp;$B155)</f>
        <v>3.6</v>
      </c>
      <c r="Q155" s="43" t="n">
        <f aca="false">SUMIFS('Additions (monthly)'!$E$2:$E$106,'Additions (monthly)'!$D$2:$D$106,Q$2,'Additions (monthly)'!$B$2:$B$106,"&lt;="&amp;$B155)</f>
        <v>8.5</v>
      </c>
      <c r="R155" s="43" t="n">
        <f aca="false">SUMIFS('Additions (monthly)'!$E$2:$E$106,'Additions (monthly)'!$D$2:$D$106,R$2,'Additions (monthly)'!$B$2:$B$106,"&lt;="&amp;$B155)</f>
        <v>8.9</v>
      </c>
      <c r="S155" s="43" t="n">
        <f aca="false">SUMIFS('Additions (monthly)'!$E$2:$E$106,'Additions (monthly)'!$D$2:$D$106,S$2,'Additions (monthly)'!$B$2:$B$106,"&lt;="&amp;$B155)</f>
        <v>7.2</v>
      </c>
      <c r="T155" s="43" t="n">
        <f aca="false">SUMIFS('Additions (monthly)'!$E$2:$E$106,'Additions (monthly)'!$D$2:$D$106,T$2,'Additions (monthly)'!$B$2:$B$106,"&lt;="&amp;$B155)</f>
        <v>2.4</v>
      </c>
      <c r="U155" s="43" t="n">
        <f aca="false">SUMIFS('Additions (monthly)'!$E$2:$E$106,'Additions (monthly)'!$D$2:$D$106,U$2,'Additions (monthly)'!$B$2:$B$106,"&lt;="&amp;$B155)</f>
        <v>0</v>
      </c>
      <c r="V155" s="43" t="n">
        <f aca="false">SUMIFS('Additions (monthly)'!$E$2:$E$106,'Additions (monthly)'!$D$2:$D$106,V$2,'Additions (monthly)'!$B$2:$B$106,"&lt;="&amp;$B155)</f>
        <v>3.87</v>
      </c>
      <c r="W155" s="43" t="n">
        <f aca="false">SUMIFS('Additions (monthly)'!$E$2:$E$106,'Additions (monthly)'!$D$2:$D$106,W$2,'Additions (monthly)'!$B$2:$B$106,"&lt;="&amp;$B155)</f>
        <v>0</v>
      </c>
      <c r="X155" s="43" t="n">
        <f aca="false">SUMIFS('Additions (monthly)'!$E$2:$E$106,'Additions (monthly)'!$D$2:$D$106,X$2,'Additions (monthly)'!$B$2:$B$106,"&lt;="&amp;$B155)</f>
        <v>0</v>
      </c>
      <c r="Y155" s="43" t="n">
        <f aca="false">SUMIFS('Additions (monthly)'!$E$2:$E$106,'Additions (monthly)'!$D$2:$D$106,Y$2,'Additions (monthly)'!$B$2:$B$106,"&lt;="&amp;$B155)</f>
        <v>5</v>
      </c>
      <c r="Z155" s="43" t="n">
        <f aca="false">SUMIFS('Additions (monthly)'!$E$2:$E$106,'Additions (monthly)'!$D$2:$D$106,Z$2,'Additions (monthly)'!$B$2:$B$106,"&lt;="&amp;$B155)</f>
        <v>7.2</v>
      </c>
      <c r="AA155" s="43" t="n">
        <f aca="false">SUMIFS('Additions (monthly)'!$E$2:$E$106,'Additions (monthly)'!$D$2:$D$106,AA$2,'Additions (monthly)'!$B$2:$B$106,"&lt;="&amp;$B155)</f>
        <v>3.7</v>
      </c>
      <c r="AB155" s="43" t="n">
        <f aca="false">SUMIFS('Additions (monthly)'!$E$2:$E$106,'Additions (monthly)'!$D$2:$D$106,AB$2,'Additions (monthly)'!$B$2:$B$106,"&lt;="&amp;$B155)</f>
        <v>16.95</v>
      </c>
      <c r="AC155" s="43" t="n">
        <f aca="false">SUMIFS('Additions (monthly)'!$E$2:$E$106,'Additions (monthly)'!$D$2:$D$106,AC$2,'Additions (monthly)'!$B$2:$B$106,"&lt;="&amp;$B155)</f>
        <v>2</v>
      </c>
      <c r="AD155" s="43" t="n">
        <f aca="false">SUMIFS('Additions (monthly)'!$E$2:$E$106,'Additions (monthly)'!$D$2:$D$106,AD$2,'Additions (monthly)'!$B$2:$B$106,"&lt;="&amp;$B155)</f>
        <v>7.6</v>
      </c>
      <c r="AE155" s="43" t="n">
        <f aca="false">SUMIFS('Additions (monthly)'!$E$2:$E$106,'Additions (monthly)'!$D$2:$D$106,AE$2,'Additions (monthly)'!$B$2:$B$106,"&lt;="&amp;$B155)</f>
        <v>29.3</v>
      </c>
      <c r="AF155" s="43" t="n">
        <f aca="false">SUMIFS('Additions (monthly)'!$E$2:$E$106,'Additions (monthly)'!$D$2:$D$106,AF$2,'Additions (monthly)'!$B$2:$B$106,"&lt;="&amp;$B155)</f>
        <v>1.2</v>
      </c>
      <c r="AG155" s="43" t="n">
        <f aca="false">SUMIFS('Additions (monthly)'!$E$2:$E$106,'Additions (monthly)'!$D$2:$D$106,AG$2,'Additions (monthly)'!$B$2:$B$106,"&lt;="&amp;$B155)</f>
        <v>1.5</v>
      </c>
      <c r="AH155" s="43" t="n">
        <f aca="false">SUMIFS('Additions (monthly)'!$E$2:$E$106,'Additions (monthly)'!$D$2:$D$106,AH$2,'Additions (monthly)'!$B$2:$B$106,"&lt;="&amp;$B155)</f>
        <v>0</v>
      </c>
      <c r="AI155" s="43" t="n">
        <f aca="false">SUMIFS('Additions (monthly)'!$E$2:$E$106,'Additions (monthly)'!$D$2:$D$106,AI$2,'Additions (monthly)'!$B$2:$B$106,"&lt;="&amp;$B155)</f>
        <v>0</v>
      </c>
      <c r="AJ155" s="43" t="n">
        <f aca="false">SUMIFS('Additions (monthly)'!$E$2:$E$106,'Additions (monthly)'!$D$2:$D$106,AJ$2,'Additions (monthly)'!$B$2:$B$106,"&lt;="&amp;$B155)</f>
        <v>0</v>
      </c>
      <c r="AK155" s="43" t="n">
        <f aca="false">SUMIFS('Additions (monthly)'!$E$2:$E$106,'Additions (monthly)'!$D$2:$D$106,AK$2,'Additions (monthly)'!$B$2:$B$106,"&lt;="&amp;$B155)</f>
        <v>0</v>
      </c>
      <c r="AL155" s="43" t="n">
        <f aca="false">SUMIFS('Additions (monthly)'!$E$2:$E$106,'Additions (monthly)'!$D$2:$D$106,AL$2,'Additions (monthly)'!$B$2:$B$106,"&lt;="&amp;$B155)</f>
        <v>22.2</v>
      </c>
      <c r="AM155" s="43" t="n">
        <f aca="false">SUMIFS('Additions (monthly)'!$E$2:$E$106,'Additions (monthly)'!$D$2:$D$106,AM$2,'Additions (monthly)'!$B$2:$B$106,"&lt;="&amp;$B155)</f>
        <v>0.3</v>
      </c>
      <c r="AN155" s="43" t="n">
        <f aca="false">SUMIFS('Additions (monthly)'!$E$2:$E$106,'Additions (monthly)'!$D$2:$D$106,AN$2,'Additions (monthly)'!$B$2:$B$106,"&lt;="&amp;$B155)</f>
        <v>4.3</v>
      </c>
      <c r="AO155" s="43" t="n">
        <f aca="false">SUMIFS('Additions (monthly)'!$E$2:$E$106,'Additions (monthly)'!$D$2:$D$106,AO$2,'Additions (monthly)'!$B$2:$B$106,"&lt;="&amp;$B155)</f>
        <v>10.4</v>
      </c>
      <c r="AP155" s="43" t="n">
        <f aca="false">SUMIFS('Additions (monthly)'!$E$2:$E$106,'Additions (monthly)'!$D$2:$D$106,AP$2,'Additions (monthly)'!$B$2:$B$106,"&lt;="&amp;$B155)</f>
        <v>6.9</v>
      </c>
      <c r="AQ155" s="43" t="n">
        <f aca="false">SUMIFS('Additions (monthly)'!$E$2:$E$106,'Additions (monthly)'!$D$2:$D$106,AQ$2,'Additions (monthly)'!$B$2:$B$106,"&lt;="&amp;$B155)</f>
        <v>4.45</v>
      </c>
      <c r="AR155" s="43" t="n">
        <f aca="false">SUMIFS('Additions (monthly)'!$E$2:$E$106,'Additions (monthly)'!$D$2:$D$106,AR$2,'Additions (monthly)'!$B$2:$B$106,"&lt;="&amp;$B155)</f>
        <v>77.1</v>
      </c>
      <c r="AS155" s="43" t="n">
        <f aca="false">SUMIFS('Additions (monthly)'!$E$2:$E$106,'Additions (monthly)'!$D$2:$D$106,AS$2,'Additions (monthly)'!$B$2:$B$106,"&lt;="&amp;$B155)</f>
        <v>0</v>
      </c>
      <c r="AT155" s="43" t="n">
        <f aca="false">SUMIFS('Additions (monthly)'!$E$2:$E$106,'Additions (monthly)'!$D$2:$D$106,AT$2,'Additions (monthly)'!$B$2:$B$106,"&lt;="&amp;$B155)</f>
        <v>1.5</v>
      </c>
      <c r="AU155" s="43" t="n">
        <f aca="false">SUMIFS('Additions (monthly)'!$E$2:$E$106,'Additions (monthly)'!$D$2:$D$106,AU$2,'Additions (monthly)'!$B$2:$B$106,"&lt;="&amp;$B155)</f>
        <v>9.6</v>
      </c>
      <c r="AV155" s="43" t="n">
        <f aca="false">SUMIFS('Additions (monthly)'!$E$2:$E$106,'Additions (monthly)'!$D$2:$D$106,AV$2,'Additions (monthly)'!$B$2:$B$106,"&lt;="&amp;$B155)</f>
        <v>0.66</v>
      </c>
      <c r="AW155" s="43" t="n">
        <f aca="false">SUMIFS('Additions (monthly)'!$E$2:$E$106,'Additions (monthly)'!$D$2:$D$106,AW$2,'Additions (monthly)'!$B$2:$B$106,"&lt;="&amp;$B155)</f>
        <v>17.4</v>
      </c>
      <c r="AX155" s="43" t="n">
        <f aca="false">SUMIFS('Additions (monthly)'!$E$2:$E$106,'Additions (monthly)'!$D$2:$D$106,AX$2,'Additions (monthly)'!$B$2:$B$106,"&lt;="&amp;$B155)</f>
        <v>11.8</v>
      </c>
      <c r="AY155" s="43" t="n">
        <f aca="false">SUMIFS('Additions (monthly)'!$E$2:$E$106,'Additions (monthly)'!$D$2:$D$106,AY$2,'Additions (monthly)'!$B$2:$B$106,"&lt;="&amp;$B155)</f>
        <v>5.3</v>
      </c>
      <c r="AZ155" s="43" t="n">
        <f aca="false">SUMIFS('Additions (monthly)'!$E$2:$E$106,'Additions (monthly)'!$D$2:$D$106,AZ$2,'Additions (monthly)'!$B$2:$B$106,"&lt;="&amp;$B155)</f>
        <v>9.97</v>
      </c>
      <c r="BA155" s="43" t="n">
        <f aca="false">SUMIFS('Additions (monthly)'!$E$2:$E$106,'Additions (monthly)'!$D$2:$D$106,BA$2,'Additions (monthly)'!$B$2:$B$106,"&lt;="&amp;$B155)</f>
        <v>13.5</v>
      </c>
      <c r="BB155" s="43" t="n">
        <f aca="false">SUMIFS('Additions (monthly)'!$E$2:$E$106,'Additions (monthly)'!$D$2:$D$106,BB$2,'Additions (monthly)'!$B$2:$B$106,"&lt;="&amp;$B155)</f>
        <v>15</v>
      </c>
      <c r="BC155" s="43" t="n">
        <f aca="false">SUMIFS('Additions (monthly)'!$E$2:$E$106,'Additions (monthly)'!$D$2:$D$106,BC$2,'Additions (monthly)'!$B$2:$B$106,"&lt;="&amp;$B155)</f>
        <v>5.25</v>
      </c>
      <c r="BD155" s="43" t="n">
        <f aca="false">SUMIFS('Additions (monthly)'!$E$2:$E$106,'Additions (monthly)'!$D$2:$D$106,BD$2,'Additions (monthly)'!$B$2:$B$106,"&lt;="&amp;$B155)</f>
        <v>2.5</v>
      </c>
      <c r="BE155" s="43" t="n">
        <f aca="false">SUMIFS('Additions (monthly)'!$E$2:$E$106,'Additions (monthly)'!$D$2:$D$106,BE$2,'Additions (monthly)'!$B$2:$B$106,"&lt;="&amp;$B155)</f>
        <v>15.3</v>
      </c>
      <c r="BF155" s="43" t="n">
        <f aca="false">SUMIFS('Additions (monthly)'!$E$2:$E$106,'Additions (monthly)'!$D$2:$D$106,BF$2,'Additions (monthly)'!$B$2:$B$106,"&lt;="&amp;$B155)</f>
        <v>0</v>
      </c>
      <c r="BG155" s="43" t="n">
        <f aca="false">SUMIFS('Additions (monthly)'!$E$2:$E$106,'Additions (monthly)'!$D$2:$D$106,BG$2,'Additions (monthly)'!$B$2:$B$106,"&lt;="&amp;$B155)</f>
        <v>0</v>
      </c>
      <c r="BH155" s="43" t="n">
        <f aca="false">SUMIFS('Additions (monthly)'!$E$2:$E$106,'Additions (monthly)'!$D$2:$D$106,BH$2,'Additions (monthly)'!$B$2:$B$106,"&lt;="&amp;$B155)</f>
        <v>30</v>
      </c>
      <c r="BI155" s="43" t="n">
        <f aca="false">SUMIFS('Additions (monthly)'!$E$2:$E$106,'Additions (monthly)'!$D$2:$D$106,BI$2,'Additions (monthly)'!$B$2:$B$106,"&lt;="&amp;$B155)</f>
        <v>6.7</v>
      </c>
    </row>
    <row r="156" customFormat="false" ht="15" hidden="false" customHeight="false" outlineLevel="0" collapsed="false">
      <c r="A156" s="23" t="n">
        <v>44835</v>
      </c>
      <c r="B156" s="24" t="n">
        <v>202210</v>
      </c>
      <c r="C156" s="42" t="n">
        <f aca="false">SUMIFS('Additions (monthly)'!$E$2:$E$106,'Additions (monthly)'!$B$2:$B$106,"&lt;="&amp;$B156)</f>
        <v>473.85</v>
      </c>
      <c r="D156" s="43" t="n">
        <f aca="false">SUMIFS('Additions (monthly)'!$E$2:$E$106,'Additions (monthly)'!$D$2:$D$106,D$2,'Additions (monthly)'!$B$2:$B$106,"&lt;="&amp;$B156)</f>
        <v>7.9</v>
      </c>
      <c r="E156" s="43" t="n">
        <f aca="false">SUMIFS('Additions (monthly)'!$E$2:$E$106,'Additions (monthly)'!$D$2:$D$106,E$2,'Additions (monthly)'!$B$2:$B$106,"&lt;="&amp;$B156)</f>
        <v>8.4</v>
      </c>
      <c r="F156" s="43" t="n">
        <f aca="false">SUMIFS('Additions (monthly)'!$E$2:$E$106,'Additions (monthly)'!$D$2:$D$106,F$2,'Additions (monthly)'!$B$2:$B$106,"&lt;="&amp;$B156)</f>
        <v>4.7</v>
      </c>
      <c r="G156" s="43" t="n">
        <f aca="false">SUMIFS('Additions (monthly)'!$E$2:$E$106,'Additions (monthly)'!$D$2:$D$106,G$2,'Additions (monthly)'!$B$2:$B$106,"&lt;="&amp;$B156)</f>
        <v>4.5</v>
      </c>
      <c r="H156" s="43" t="n">
        <f aca="false">SUMIFS('Additions (monthly)'!$E$2:$E$106,'Additions (monthly)'!$D$2:$D$106,H$2,'Additions (monthly)'!$B$2:$B$106,"&lt;="&amp;$B156)</f>
        <v>5.2</v>
      </c>
      <c r="I156" s="43" t="n">
        <f aca="false">SUMIFS('Additions (monthly)'!$E$2:$E$106,'Additions (monthly)'!$D$2:$D$106,I$2,'Additions (monthly)'!$B$2:$B$106,"&lt;="&amp;$B156)</f>
        <v>9</v>
      </c>
      <c r="J156" s="43" t="n">
        <f aca="false">SUMIFS('Additions (monthly)'!$E$2:$E$106,'Additions (monthly)'!$D$2:$D$106,J$2,'Additions (monthly)'!$B$2:$B$106,"&lt;="&amp;$B156)</f>
        <v>3.7</v>
      </c>
      <c r="K156" s="43" t="n">
        <f aca="false">SUMIFS('Additions (monthly)'!$E$2:$E$106,'Additions (monthly)'!$D$2:$D$106,K$2,'Additions (monthly)'!$B$2:$B$106,"&lt;="&amp;$B156)</f>
        <v>7.8</v>
      </c>
      <c r="L156" s="43" t="n">
        <f aca="false">SUMIFS('Additions (monthly)'!$E$2:$E$106,'Additions (monthly)'!$D$2:$D$106,L$2,'Additions (monthly)'!$B$2:$B$106,"&lt;="&amp;$B156)</f>
        <v>15.6</v>
      </c>
      <c r="M156" s="43" t="n">
        <f aca="false">SUMIFS('Additions (monthly)'!$E$2:$E$106,'Additions (monthly)'!$D$2:$D$106,M$2,'Additions (monthly)'!$B$2:$B$106,"&lt;="&amp;$B156)</f>
        <v>8.9</v>
      </c>
      <c r="N156" s="43" t="n">
        <f aca="false">SUMIFS('Additions (monthly)'!$E$2:$E$106,'Additions (monthly)'!$D$2:$D$106,N$2,'Additions (monthly)'!$B$2:$B$106,"&lt;="&amp;$B156)</f>
        <v>14.2</v>
      </c>
      <c r="O156" s="43" t="n">
        <f aca="false">SUMIFS('Additions (monthly)'!$E$2:$E$106,'Additions (monthly)'!$D$2:$D$106,O$2,'Additions (monthly)'!$B$2:$B$106,"&lt;="&amp;$B156)</f>
        <v>4.9</v>
      </c>
      <c r="P156" s="43" t="n">
        <f aca="false">SUMIFS('Additions (monthly)'!$E$2:$E$106,'Additions (monthly)'!$D$2:$D$106,P$2,'Additions (monthly)'!$B$2:$B$106,"&lt;="&amp;$B156)</f>
        <v>3.6</v>
      </c>
      <c r="Q156" s="43" t="n">
        <f aca="false">SUMIFS('Additions (monthly)'!$E$2:$E$106,'Additions (monthly)'!$D$2:$D$106,Q$2,'Additions (monthly)'!$B$2:$B$106,"&lt;="&amp;$B156)</f>
        <v>8.5</v>
      </c>
      <c r="R156" s="43" t="n">
        <f aca="false">SUMIFS('Additions (monthly)'!$E$2:$E$106,'Additions (monthly)'!$D$2:$D$106,R$2,'Additions (monthly)'!$B$2:$B$106,"&lt;="&amp;$B156)</f>
        <v>8.9</v>
      </c>
      <c r="S156" s="43" t="n">
        <f aca="false">SUMIFS('Additions (monthly)'!$E$2:$E$106,'Additions (monthly)'!$D$2:$D$106,S$2,'Additions (monthly)'!$B$2:$B$106,"&lt;="&amp;$B156)</f>
        <v>7.2</v>
      </c>
      <c r="T156" s="43" t="n">
        <f aca="false">SUMIFS('Additions (monthly)'!$E$2:$E$106,'Additions (monthly)'!$D$2:$D$106,T$2,'Additions (monthly)'!$B$2:$B$106,"&lt;="&amp;$B156)</f>
        <v>2.4</v>
      </c>
      <c r="U156" s="43" t="n">
        <f aca="false">SUMIFS('Additions (monthly)'!$E$2:$E$106,'Additions (monthly)'!$D$2:$D$106,U$2,'Additions (monthly)'!$B$2:$B$106,"&lt;="&amp;$B156)</f>
        <v>0</v>
      </c>
      <c r="V156" s="43" t="n">
        <f aca="false">SUMIFS('Additions (monthly)'!$E$2:$E$106,'Additions (monthly)'!$D$2:$D$106,V$2,'Additions (monthly)'!$B$2:$B$106,"&lt;="&amp;$B156)</f>
        <v>3.87</v>
      </c>
      <c r="W156" s="43" t="n">
        <f aca="false">SUMIFS('Additions (monthly)'!$E$2:$E$106,'Additions (monthly)'!$D$2:$D$106,W$2,'Additions (monthly)'!$B$2:$B$106,"&lt;="&amp;$B156)</f>
        <v>0</v>
      </c>
      <c r="X156" s="43" t="n">
        <f aca="false">SUMIFS('Additions (monthly)'!$E$2:$E$106,'Additions (monthly)'!$D$2:$D$106,X$2,'Additions (monthly)'!$B$2:$B$106,"&lt;="&amp;$B156)</f>
        <v>0</v>
      </c>
      <c r="Y156" s="43" t="n">
        <f aca="false">SUMIFS('Additions (monthly)'!$E$2:$E$106,'Additions (monthly)'!$D$2:$D$106,Y$2,'Additions (monthly)'!$B$2:$B$106,"&lt;="&amp;$B156)</f>
        <v>5</v>
      </c>
      <c r="Z156" s="43" t="n">
        <f aca="false">SUMIFS('Additions (monthly)'!$E$2:$E$106,'Additions (monthly)'!$D$2:$D$106,Z$2,'Additions (monthly)'!$B$2:$B$106,"&lt;="&amp;$B156)</f>
        <v>7.2</v>
      </c>
      <c r="AA156" s="43" t="n">
        <f aca="false">SUMIFS('Additions (monthly)'!$E$2:$E$106,'Additions (monthly)'!$D$2:$D$106,AA$2,'Additions (monthly)'!$B$2:$B$106,"&lt;="&amp;$B156)</f>
        <v>3.7</v>
      </c>
      <c r="AB156" s="43" t="n">
        <f aca="false">SUMIFS('Additions (monthly)'!$E$2:$E$106,'Additions (monthly)'!$D$2:$D$106,AB$2,'Additions (monthly)'!$B$2:$B$106,"&lt;="&amp;$B156)</f>
        <v>16.95</v>
      </c>
      <c r="AC156" s="43" t="n">
        <f aca="false">SUMIFS('Additions (monthly)'!$E$2:$E$106,'Additions (monthly)'!$D$2:$D$106,AC$2,'Additions (monthly)'!$B$2:$B$106,"&lt;="&amp;$B156)</f>
        <v>2</v>
      </c>
      <c r="AD156" s="43" t="n">
        <f aca="false">SUMIFS('Additions (monthly)'!$E$2:$E$106,'Additions (monthly)'!$D$2:$D$106,AD$2,'Additions (monthly)'!$B$2:$B$106,"&lt;="&amp;$B156)</f>
        <v>7.6</v>
      </c>
      <c r="AE156" s="43" t="n">
        <f aca="false">SUMIFS('Additions (monthly)'!$E$2:$E$106,'Additions (monthly)'!$D$2:$D$106,AE$2,'Additions (monthly)'!$B$2:$B$106,"&lt;="&amp;$B156)</f>
        <v>29.3</v>
      </c>
      <c r="AF156" s="43" t="n">
        <f aca="false">SUMIFS('Additions (monthly)'!$E$2:$E$106,'Additions (monthly)'!$D$2:$D$106,AF$2,'Additions (monthly)'!$B$2:$B$106,"&lt;="&amp;$B156)</f>
        <v>1.2</v>
      </c>
      <c r="AG156" s="43" t="n">
        <f aca="false">SUMIFS('Additions (monthly)'!$E$2:$E$106,'Additions (monthly)'!$D$2:$D$106,AG$2,'Additions (monthly)'!$B$2:$B$106,"&lt;="&amp;$B156)</f>
        <v>1.5</v>
      </c>
      <c r="AH156" s="43" t="n">
        <f aca="false">SUMIFS('Additions (monthly)'!$E$2:$E$106,'Additions (monthly)'!$D$2:$D$106,AH$2,'Additions (monthly)'!$B$2:$B$106,"&lt;="&amp;$B156)</f>
        <v>0</v>
      </c>
      <c r="AI156" s="43" t="n">
        <f aca="false">SUMIFS('Additions (monthly)'!$E$2:$E$106,'Additions (monthly)'!$D$2:$D$106,AI$2,'Additions (monthly)'!$B$2:$B$106,"&lt;="&amp;$B156)</f>
        <v>0</v>
      </c>
      <c r="AJ156" s="43" t="n">
        <f aca="false">SUMIFS('Additions (monthly)'!$E$2:$E$106,'Additions (monthly)'!$D$2:$D$106,AJ$2,'Additions (monthly)'!$B$2:$B$106,"&lt;="&amp;$B156)</f>
        <v>0</v>
      </c>
      <c r="AK156" s="43" t="n">
        <f aca="false">SUMIFS('Additions (monthly)'!$E$2:$E$106,'Additions (monthly)'!$D$2:$D$106,AK$2,'Additions (monthly)'!$B$2:$B$106,"&lt;="&amp;$B156)</f>
        <v>0</v>
      </c>
      <c r="AL156" s="43" t="n">
        <f aca="false">SUMIFS('Additions (monthly)'!$E$2:$E$106,'Additions (monthly)'!$D$2:$D$106,AL$2,'Additions (monthly)'!$B$2:$B$106,"&lt;="&amp;$B156)</f>
        <v>22.2</v>
      </c>
      <c r="AM156" s="43" t="n">
        <f aca="false">SUMIFS('Additions (monthly)'!$E$2:$E$106,'Additions (monthly)'!$D$2:$D$106,AM$2,'Additions (monthly)'!$B$2:$B$106,"&lt;="&amp;$B156)</f>
        <v>0.3</v>
      </c>
      <c r="AN156" s="43" t="n">
        <f aca="false">SUMIFS('Additions (monthly)'!$E$2:$E$106,'Additions (monthly)'!$D$2:$D$106,AN$2,'Additions (monthly)'!$B$2:$B$106,"&lt;="&amp;$B156)</f>
        <v>4.3</v>
      </c>
      <c r="AO156" s="43" t="n">
        <f aca="false">SUMIFS('Additions (monthly)'!$E$2:$E$106,'Additions (monthly)'!$D$2:$D$106,AO$2,'Additions (monthly)'!$B$2:$B$106,"&lt;="&amp;$B156)</f>
        <v>10.4</v>
      </c>
      <c r="AP156" s="43" t="n">
        <f aca="false">SUMIFS('Additions (monthly)'!$E$2:$E$106,'Additions (monthly)'!$D$2:$D$106,AP$2,'Additions (monthly)'!$B$2:$B$106,"&lt;="&amp;$B156)</f>
        <v>6.9</v>
      </c>
      <c r="AQ156" s="43" t="n">
        <f aca="false">SUMIFS('Additions (monthly)'!$E$2:$E$106,'Additions (monthly)'!$D$2:$D$106,AQ$2,'Additions (monthly)'!$B$2:$B$106,"&lt;="&amp;$B156)</f>
        <v>4.45</v>
      </c>
      <c r="AR156" s="43" t="n">
        <f aca="false">SUMIFS('Additions (monthly)'!$E$2:$E$106,'Additions (monthly)'!$D$2:$D$106,AR$2,'Additions (monthly)'!$B$2:$B$106,"&lt;="&amp;$B156)</f>
        <v>77.1</v>
      </c>
      <c r="AS156" s="43" t="n">
        <f aca="false">SUMIFS('Additions (monthly)'!$E$2:$E$106,'Additions (monthly)'!$D$2:$D$106,AS$2,'Additions (monthly)'!$B$2:$B$106,"&lt;="&amp;$B156)</f>
        <v>0</v>
      </c>
      <c r="AT156" s="43" t="n">
        <f aca="false">SUMIFS('Additions (monthly)'!$E$2:$E$106,'Additions (monthly)'!$D$2:$D$106,AT$2,'Additions (monthly)'!$B$2:$B$106,"&lt;="&amp;$B156)</f>
        <v>1.5</v>
      </c>
      <c r="AU156" s="43" t="n">
        <f aca="false">SUMIFS('Additions (monthly)'!$E$2:$E$106,'Additions (monthly)'!$D$2:$D$106,AU$2,'Additions (monthly)'!$B$2:$B$106,"&lt;="&amp;$B156)</f>
        <v>9.6</v>
      </c>
      <c r="AV156" s="43" t="n">
        <f aca="false">SUMIFS('Additions (monthly)'!$E$2:$E$106,'Additions (monthly)'!$D$2:$D$106,AV$2,'Additions (monthly)'!$B$2:$B$106,"&lt;="&amp;$B156)</f>
        <v>0.66</v>
      </c>
      <c r="AW156" s="43" t="n">
        <f aca="false">SUMIFS('Additions (monthly)'!$E$2:$E$106,'Additions (monthly)'!$D$2:$D$106,AW$2,'Additions (monthly)'!$B$2:$B$106,"&lt;="&amp;$B156)</f>
        <v>17.4</v>
      </c>
      <c r="AX156" s="43" t="n">
        <f aca="false">SUMIFS('Additions (monthly)'!$E$2:$E$106,'Additions (monthly)'!$D$2:$D$106,AX$2,'Additions (monthly)'!$B$2:$B$106,"&lt;="&amp;$B156)</f>
        <v>11.8</v>
      </c>
      <c r="AY156" s="43" t="n">
        <f aca="false">SUMIFS('Additions (monthly)'!$E$2:$E$106,'Additions (monthly)'!$D$2:$D$106,AY$2,'Additions (monthly)'!$B$2:$B$106,"&lt;="&amp;$B156)</f>
        <v>5.3</v>
      </c>
      <c r="AZ156" s="43" t="n">
        <f aca="false">SUMIFS('Additions (monthly)'!$E$2:$E$106,'Additions (monthly)'!$D$2:$D$106,AZ$2,'Additions (monthly)'!$B$2:$B$106,"&lt;="&amp;$B156)</f>
        <v>9.97</v>
      </c>
      <c r="BA156" s="43" t="n">
        <f aca="false">SUMIFS('Additions (monthly)'!$E$2:$E$106,'Additions (monthly)'!$D$2:$D$106,BA$2,'Additions (monthly)'!$B$2:$B$106,"&lt;="&amp;$B156)</f>
        <v>13.5</v>
      </c>
      <c r="BB156" s="43" t="n">
        <f aca="false">SUMIFS('Additions (monthly)'!$E$2:$E$106,'Additions (monthly)'!$D$2:$D$106,BB$2,'Additions (monthly)'!$B$2:$B$106,"&lt;="&amp;$B156)</f>
        <v>15</v>
      </c>
      <c r="BC156" s="43" t="n">
        <f aca="false">SUMIFS('Additions (monthly)'!$E$2:$E$106,'Additions (monthly)'!$D$2:$D$106,BC$2,'Additions (monthly)'!$B$2:$B$106,"&lt;="&amp;$B156)</f>
        <v>5.25</v>
      </c>
      <c r="BD156" s="43" t="n">
        <f aca="false">SUMIFS('Additions (monthly)'!$E$2:$E$106,'Additions (monthly)'!$D$2:$D$106,BD$2,'Additions (monthly)'!$B$2:$B$106,"&lt;="&amp;$B156)</f>
        <v>2.5</v>
      </c>
      <c r="BE156" s="43" t="n">
        <f aca="false">SUMIFS('Additions (monthly)'!$E$2:$E$106,'Additions (monthly)'!$D$2:$D$106,BE$2,'Additions (monthly)'!$B$2:$B$106,"&lt;="&amp;$B156)</f>
        <v>15.3</v>
      </c>
      <c r="BF156" s="43" t="n">
        <f aca="false">SUMIFS('Additions (monthly)'!$E$2:$E$106,'Additions (monthly)'!$D$2:$D$106,BF$2,'Additions (monthly)'!$B$2:$B$106,"&lt;="&amp;$B156)</f>
        <v>0</v>
      </c>
      <c r="BG156" s="43" t="n">
        <f aca="false">SUMIFS('Additions (monthly)'!$E$2:$E$106,'Additions (monthly)'!$D$2:$D$106,BG$2,'Additions (monthly)'!$B$2:$B$106,"&lt;="&amp;$B156)</f>
        <v>0</v>
      </c>
      <c r="BH156" s="43" t="n">
        <f aca="false">SUMIFS('Additions (monthly)'!$E$2:$E$106,'Additions (monthly)'!$D$2:$D$106,BH$2,'Additions (monthly)'!$B$2:$B$106,"&lt;="&amp;$B156)</f>
        <v>30</v>
      </c>
      <c r="BI156" s="43" t="n">
        <f aca="false">SUMIFS('Additions (monthly)'!$E$2:$E$106,'Additions (monthly)'!$D$2:$D$106,BI$2,'Additions (monthly)'!$B$2:$B$106,"&lt;="&amp;$B156)</f>
        <v>6.7</v>
      </c>
    </row>
    <row r="157" customFormat="false" ht="15" hidden="false" customHeight="false" outlineLevel="0" collapsed="false">
      <c r="A157" s="23" t="n">
        <v>44866</v>
      </c>
      <c r="B157" s="24" t="n">
        <v>202211</v>
      </c>
      <c r="C157" s="42" t="n">
        <f aca="false">SUMIFS('Additions (monthly)'!$E$2:$E$106,'Additions (monthly)'!$B$2:$B$106,"&lt;="&amp;$B157)</f>
        <v>477.25</v>
      </c>
      <c r="D157" s="43" t="n">
        <f aca="false">SUMIFS('Additions (monthly)'!$E$2:$E$106,'Additions (monthly)'!$D$2:$D$106,D$2,'Additions (monthly)'!$B$2:$B$106,"&lt;="&amp;$B157)</f>
        <v>7.9</v>
      </c>
      <c r="E157" s="43" t="n">
        <f aca="false">SUMIFS('Additions (monthly)'!$E$2:$E$106,'Additions (monthly)'!$D$2:$D$106,E$2,'Additions (monthly)'!$B$2:$B$106,"&lt;="&amp;$B157)</f>
        <v>8.4</v>
      </c>
      <c r="F157" s="43" t="n">
        <f aca="false">SUMIFS('Additions (monthly)'!$E$2:$E$106,'Additions (monthly)'!$D$2:$D$106,F$2,'Additions (monthly)'!$B$2:$B$106,"&lt;="&amp;$B157)</f>
        <v>4.7</v>
      </c>
      <c r="G157" s="43" t="n">
        <f aca="false">SUMIFS('Additions (monthly)'!$E$2:$E$106,'Additions (monthly)'!$D$2:$D$106,G$2,'Additions (monthly)'!$B$2:$B$106,"&lt;="&amp;$B157)</f>
        <v>4.5</v>
      </c>
      <c r="H157" s="43" t="n">
        <f aca="false">SUMIFS('Additions (monthly)'!$E$2:$E$106,'Additions (monthly)'!$D$2:$D$106,H$2,'Additions (monthly)'!$B$2:$B$106,"&lt;="&amp;$B157)</f>
        <v>5.2</v>
      </c>
      <c r="I157" s="43" t="n">
        <f aca="false">SUMIFS('Additions (monthly)'!$E$2:$E$106,'Additions (monthly)'!$D$2:$D$106,I$2,'Additions (monthly)'!$B$2:$B$106,"&lt;="&amp;$B157)</f>
        <v>9</v>
      </c>
      <c r="J157" s="43" t="n">
        <f aca="false">SUMIFS('Additions (monthly)'!$E$2:$E$106,'Additions (monthly)'!$D$2:$D$106,J$2,'Additions (monthly)'!$B$2:$B$106,"&lt;="&amp;$B157)</f>
        <v>3.7</v>
      </c>
      <c r="K157" s="43" t="n">
        <f aca="false">SUMIFS('Additions (monthly)'!$E$2:$E$106,'Additions (monthly)'!$D$2:$D$106,K$2,'Additions (monthly)'!$B$2:$B$106,"&lt;="&amp;$B157)</f>
        <v>7.8</v>
      </c>
      <c r="L157" s="43" t="n">
        <f aca="false">SUMIFS('Additions (monthly)'!$E$2:$E$106,'Additions (monthly)'!$D$2:$D$106,L$2,'Additions (monthly)'!$B$2:$B$106,"&lt;="&amp;$B157)</f>
        <v>15.6</v>
      </c>
      <c r="M157" s="43" t="n">
        <f aca="false">SUMIFS('Additions (monthly)'!$E$2:$E$106,'Additions (monthly)'!$D$2:$D$106,M$2,'Additions (monthly)'!$B$2:$B$106,"&lt;="&amp;$B157)</f>
        <v>8.9</v>
      </c>
      <c r="N157" s="43" t="n">
        <f aca="false">SUMIFS('Additions (monthly)'!$E$2:$E$106,'Additions (monthly)'!$D$2:$D$106,N$2,'Additions (monthly)'!$B$2:$B$106,"&lt;="&amp;$B157)</f>
        <v>14.2</v>
      </c>
      <c r="O157" s="43" t="n">
        <f aca="false">SUMIFS('Additions (monthly)'!$E$2:$E$106,'Additions (monthly)'!$D$2:$D$106,O$2,'Additions (monthly)'!$B$2:$B$106,"&lt;="&amp;$B157)</f>
        <v>4.9</v>
      </c>
      <c r="P157" s="43" t="n">
        <f aca="false">SUMIFS('Additions (monthly)'!$E$2:$E$106,'Additions (monthly)'!$D$2:$D$106,P$2,'Additions (monthly)'!$B$2:$B$106,"&lt;="&amp;$B157)</f>
        <v>3.6</v>
      </c>
      <c r="Q157" s="43" t="n">
        <f aca="false">SUMIFS('Additions (monthly)'!$E$2:$E$106,'Additions (monthly)'!$D$2:$D$106,Q$2,'Additions (monthly)'!$B$2:$B$106,"&lt;="&amp;$B157)</f>
        <v>8.5</v>
      </c>
      <c r="R157" s="43" t="n">
        <f aca="false">SUMIFS('Additions (monthly)'!$E$2:$E$106,'Additions (monthly)'!$D$2:$D$106,R$2,'Additions (monthly)'!$B$2:$B$106,"&lt;="&amp;$B157)</f>
        <v>8.9</v>
      </c>
      <c r="S157" s="43" t="n">
        <f aca="false">SUMIFS('Additions (monthly)'!$E$2:$E$106,'Additions (monthly)'!$D$2:$D$106,S$2,'Additions (monthly)'!$B$2:$B$106,"&lt;="&amp;$B157)</f>
        <v>7.2</v>
      </c>
      <c r="T157" s="43" t="n">
        <f aca="false">SUMIFS('Additions (monthly)'!$E$2:$E$106,'Additions (monthly)'!$D$2:$D$106,T$2,'Additions (monthly)'!$B$2:$B$106,"&lt;="&amp;$B157)</f>
        <v>2.4</v>
      </c>
      <c r="U157" s="43" t="n">
        <f aca="false">SUMIFS('Additions (monthly)'!$E$2:$E$106,'Additions (monthly)'!$D$2:$D$106,U$2,'Additions (monthly)'!$B$2:$B$106,"&lt;="&amp;$B157)</f>
        <v>0</v>
      </c>
      <c r="V157" s="43" t="n">
        <f aca="false">SUMIFS('Additions (monthly)'!$E$2:$E$106,'Additions (monthly)'!$D$2:$D$106,V$2,'Additions (monthly)'!$B$2:$B$106,"&lt;="&amp;$B157)</f>
        <v>3.87</v>
      </c>
      <c r="W157" s="43" t="n">
        <f aca="false">SUMIFS('Additions (monthly)'!$E$2:$E$106,'Additions (monthly)'!$D$2:$D$106,W$2,'Additions (monthly)'!$B$2:$B$106,"&lt;="&amp;$B157)</f>
        <v>0</v>
      </c>
      <c r="X157" s="43" t="n">
        <f aca="false">SUMIFS('Additions (monthly)'!$E$2:$E$106,'Additions (monthly)'!$D$2:$D$106,X$2,'Additions (monthly)'!$B$2:$B$106,"&lt;="&amp;$B157)</f>
        <v>0</v>
      </c>
      <c r="Y157" s="43" t="n">
        <f aca="false">SUMIFS('Additions (monthly)'!$E$2:$E$106,'Additions (monthly)'!$D$2:$D$106,Y$2,'Additions (monthly)'!$B$2:$B$106,"&lt;="&amp;$B157)</f>
        <v>5</v>
      </c>
      <c r="Z157" s="43" t="n">
        <f aca="false">SUMIFS('Additions (monthly)'!$E$2:$E$106,'Additions (monthly)'!$D$2:$D$106,Z$2,'Additions (monthly)'!$B$2:$B$106,"&lt;="&amp;$B157)</f>
        <v>7.2</v>
      </c>
      <c r="AA157" s="43" t="n">
        <f aca="false">SUMIFS('Additions (monthly)'!$E$2:$E$106,'Additions (monthly)'!$D$2:$D$106,AA$2,'Additions (monthly)'!$B$2:$B$106,"&lt;="&amp;$B157)</f>
        <v>3.7</v>
      </c>
      <c r="AB157" s="43" t="n">
        <f aca="false">SUMIFS('Additions (monthly)'!$E$2:$E$106,'Additions (monthly)'!$D$2:$D$106,AB$2,'Additions (monthly)'!$B$2:$B$106,"&lt;="&amp;$B157)</f>
        <v>16.95</v>
      </c>
      <c r="AC157" s="43" t="n">
        <f aca="false">SUMIFS('Additions (monthly)'!$E$2:$E$106,'Additions (monthly)'!$D$2:$D$106,AC$2,'Additions (monthly)'!$B$2:$B$106,"&lt;="&amp;$B157)</f>
        <v>2</v>
      </c>
      <c r="AD157" s="43" t="n">
        <f aca="false">SUMIFS('Additions (monthly)'!$E$2:$E$106,'Additions (monthly)'!$D$2:$D$106,AD$2,'Additions (monthly)'!$B$2:$B$106,"&lt;="&amp;$B157)</f>
        <v>7.6</v>
      </c>
      <c r="AE157" s="43" t="n">
        <f aca="false">SUMIFS('Additions (monthly)'!$E$2:$E$106,'Additions (monthly)'!$D$2:$D$106,AE$2,'Additions (monthly)'!$B$2:$B$106,"&lt;="&amp;$B157)</f>
        <v>29.3</v>
      </c>
      <c r="AF157" s="43" t="n">
        <f aca="false">SUMIFS('Additions (monthly)'!$E$2:$E$106,'Additions (monthly)'!$D$2:$D$106,AF$2,'Additions (monthly)'!$B$2:$B$106,"&lt;="&amp;$B157)</f>
        <v>1.2</v>
      </c>
      <c r="AG157" s="43" t="n">
        <f aca="false">SUMIFS('Additions (monthly)'!$E$2:$E$106,'Additions (monthly)'!$D$2:$D$106,AG$2,'Additions (monthly)'!$B$2:$B$106,"&lt;="&amp;$B157)</f>
        <v>1.5</v>
      </c>
      <c r="AH157" s="43" t="n">
        <f aca="false">SUMIFS('Additions (monthly)'!$E$2:$E$106,'Additions (monthly)'!$D$2:$D$106,AH$2,'Additions (monthly)'!$B$2:$B$106,"&lt;="&amp;$B157)</f>
        <v>0</v>
      </c>
      <c r="AI157" s="43" t="n">
        <f aca="false">SUMIFS('Additions (monthly)'!$E$2:$E$106,'Additions (monthly)'!$D$2:$D$106,AI$2,'Additions (monthly)'!$B$2:$B$106,"&lt;="&amp;$B157)</f>
        <v>0</v>
      </c>
      <c r="AJ157" s="43" t="n">
        <f aca="false">SUMIFS('Additions (monthly)'!$E$2:$E$106,'Additions (monthly)'!$D$2:$D$106,AJ$2,'Additions (monthly)'!$B$2:$B$106,"&lt;="&amp;$B157)</f>
        <v>0</v>
      </c>
      <c r="AK157" s="43" t="n">
        <f aca="false">SUMIFS('Additions (monthly)'!$E$2:$E$106,'Additions (monthly)'!$D$2:$D$106,AK$2,'Additions (monthly)'!$B$2:$B$106,"&lt;="&amp;$B157)</f>
        <v>3.4</v>
      </c>
      <c r="AL157" s="43" t="n">
        <f aca="false">SUMIFS('Additions (monthly)'!$E$2:$E$106,'Additions (monthly)'!$D$2:$D$106,AL$2,'Additions (monthly)'!$B$2:$B$106,"&lt;="&amp;$B157)</f>
        <v>22.2</v>
      </c>
      <c r="AM157" s="43" t="n">
        <f aca="false">SUMIFS('Additions (monthly)'!$E$2:$E$106,'Additions (monthly)'!$D$2:$D$106,AM$2,'Additions (monthly)'!$B$2:$B$106,"&lt;="&amp;$B157)</f>
        <v>0.3</v>
      </c>
      <c r="AN157" s="43" t="n">
        <f aca="false">SUMIFS('Additions (monthly)'!$E$2:$E$106,'Additions (monthly)'!$D$2:$D$106,AN$2,'Additions (monthly)'!$B$2:$B$106,"&lt;="&amp;$B157)</f>
        <v>4.3</v>
      </c>
      <c r="AO157" s="43" t="n">
        <f aca="false">SUMIFS('Additions (monthly)'!$E$2:$E$106,'Additions (monthly)'!$D$2:$D$106,AO$2,'Additions (monthly)'!$B$2:$B$106,"&lt;="&amp;$B157)</f>
        <v>10.4</v>
      </c>
      <c r="AP157" s="43" t="n">
        <f aca="false">SUMIFS('Additions (monthly)'!$E$2:$E$106,'Additions (monthly)'!$D$2:$D$106,AP$2,'Additions (monthly)'!$B$2:$B$106,"&lt;="&amp;$B157)</f>
        <v>6.9</v>
      </c>
      <c r="AQ157" s="43" t="n">
        <f aca="false">SUMIFS('Additions (monthly)'!$E$2:$E$106,'Additions (monthly)'!$D$2:$D$106,AQ$2,'Additions (monthly)'!$B$2:$B$106,"&lt;="&amp;$B157)</f>
        <v>4.45</v>
      </c>
      <c r="AR157" s="43" t="n">
        <f aca="false">SUMIFS('Additions (monthly)'!$E$2:$E$106,'Additions (monthly)'!$D$2:$D$106,AR$2,'Additions (monthly)'!$B$2:$B$106,"&lt;="&amp;$B157)</f>
        <v>77.1</v>
      </c>
      <c r="AS157" s="43" t="n">
        <f aca="false">SUMIFS('Additions (monthly)'!$E$2:$E$106,'Additions (monthly)'!$D$2:$D$106,AS$2,'Additions (monthly)'!$B$2:$B$106,"&lt;="&amp;$B157)</f>
        <v>0</v>
      </c>
      <c r="AT157" s="43" t="n">
        <f aca="false">SUMIFS('Additions (monthly)'!$E$2:$E$106,'Additions (monthly)'!$D$2:$D$106,AT$2,'Additions (monthly)'!$B$2:$B$106,"&lt;="&amp;$B157)</f>
        <v>1.5</v>
      </c>
      <c r="AU157" s="43" t="n">
        <f aca="false">SUMIFS('Additions (monthly)'!$E$2:$E$106,'Additions (monthly)'!$D$2:$D$106,AU$2,'Additions (monthly)'!$B$2:$B$106,"&lt;="&amp;$B157)</f>
        <v>9.6</v>
      </c>
      <c r="AV157" s="43" t="n">
        <f aca="false">SUMIFS('Additions (monthly)'!$E$2:$E$106,'Additions (monthly)'!$D$2:$D$106,AV$2,'Additions (monthly)'!$B$2:$B$106,"&lt;="&amp;$B157)</f>
        <v>0.66</v>
      </c>
      <c r="AW157" s="43" t="n">
        <f aca="false">SUMIFS('Additions (monthly)'!$E$2:$E$106,'Additions (monthly)'!$D$2:$D$106,AW$2,'Additions (monthly)'!$B$2:$B$106,"&lt;="&amp;$B157)</f>
        <v>17.4</v>
      </c>
      <c r="AX157" s="43" t="n">
        <f aca="false">SUMIFS('Additions (monthly)'!$E$2:$E$106,'Additions (monthly)'!$D$2:$D$106,AX$2,'Additions (monthly)'!$B$2:$B$106,"&lt;="&amp;$B157)</f>
        <v>11.8</v>
      </c>
      <c r="AY157" s="43" t="n">
        <f aca="false">SUMIFS('Additions (monthly)'!$E$2:$E$106,'Additions (monthly)'!$D$2:$D$106,AY$2,'Additions (monthly)'!$B$2:$B$106,"&lt;="&amp;$B157)</f>
        <v>5.3</v>
      </c>
      <c r="AZ157" s="43" t="n">
        <f aca="false">SUMIFS('Additions (monthly)'!$E$2:$E$106,'Additions (monthly)'!$D$2:$D$106,AZ$2,'Additions (monthly)'!$B$2:$B$106,"&lt;="&amp;$B157)</f>
        <v>9.97</v>
      </c>
      <c r="BA157" s="43" t="n">
        <f aca="false">SUMIFS('Additions (monthly)'!$E$2:$E$106,'Additions (monthly)'!$D$2:$D$106,BA$2,'Additions (monthly)'!$B$2:$B$106,"&lt;="&amp;$B157)</f>
        <v>13.5</v>
      </c>
      <c r="BB157" s="43" t="n">
        <f aca="false">SUMIFS('Additions (monthly)'!$E$2:$E$106,'Additions (monthly)'!$D$2:$D$106,BB$2,'Additions (monthly)'!$B$2:$B$106,"&lt;="&amp;$B157)</f>
        <v>15</v>
      </c>
      <c r="BC157" s="43" t="n">
        <f aca="false">SUMIFS('Additions (monthly)'!$E$2:$E$106,'Additions (monthly)'!$D$2:$D$106,BC$2,'Additions (monthly)'!$B$2:$B$106,"&lt;="&amp;$B157)</f>
        <v>5.25</v>
      </c>
      <c r="BD157" s="43" t="n">
        <f aca="false">SUMIFS('Additions (monthly)'!$E$2:$E$106,'Additions (monthly)'!$D$2:$D$106,BD$2,'Additions (monthly)'!$B$2:$B$106,"&lt;="&amp;$B157)</f>
        <v>2.5</v>
      </c>
      <c r="BE157" s="43" t="n">
        <f aca="false">SUMIFS('Additions (monthly)'!$E$2:$E$106,'Additions (monthly)'!$D$2:$D$106,BE$2,'Additions (monthly)'!$B$2:$B$106,"&lt;="&amp;$B157)</f>
        <v>15.3</v>
      </c>
      <c r="BF157" s="43" t="n">
        <f aca="false">SUMIFS('Additions (monthly)'!$E$2:$E$106,'Additions (monthly)'!$D$2:$D$106,BF$2,'Additions (monthly)'!$B$2:$B$106,"&lt;="&amp;$B157)</f>
        <v>0</v>
      </c>
      <c r="BG157" s="43" t="n">
        <f aca="false">SUMIFS('Additions (monthly)'!$E$2:$E$106,'Additions (monthly)'!$D$2:$D$106,BG$2,'Additions (monthly)'!$B$2:$B$106,"&lt;="&amp;$B157)</f>
        <v>0</v>
      </c>
      <c r="BH157" s="43" t="n">
        <f aca="false">SUMIFS('Additions (monthly)'!$E$2:$E$106,'Additions (monthly)'!$D$2:$D$106,BH$2,'Additions (monthly)'!$B$2:$B$106,"&lt;="&amp;$B157)</f>
        <v>30</v>
      </c>
      <c r="BI157" s="43" t="n">
        <f aca="false">SUMIFS('Additions (monthly)'!$E$2:$E$106,'Additions (monthly)'!$D$2:$D$106,BI$2,'Additions (monthly)'!$B$2:$B$106,"&lt;="&amp;$B157)</f>
        <v>6.7</v>
      </c>
    </row>
    <row r="158" customFormat="false" ht="15" hidden="false" customHeight="false" outlineLevel="0" collapsed="false">
      <c r="A158" s="23" t="n">
        <v>44896</v>
      </c>
      <c r="B158" s="24" t="n">
        <v>202212</v>
      </c>
      <c r="C158" s="42" t="n">
        <f aca="false">SUMIFS('Additions (monthly)'!$E$2:$E$106,'Additions (monthly)'!$B$2:$B$106,"&lt;="&amp;$B158)</f>
        <v>477.25</v>
      </c>
      <c r="D158" s="43" t="n">
        <f aca="false">SUMIFS('Additions (monthly)'!$E$2:$E$106,'Additions (monthly)'!$D$2:$D$106,D$2,'Additions (monthly)'!$B$2:$B$106,"&lt;="&amp;$B158)</f>
        <v>7.9</v>
      </c>
      <c r="E158" s="43" t="n">
        <f aca="false">SUMIFS('Additions (monthly)'!$E$2:$E$106,'Additions (monthly)'!$D$2:$D$106,E$2,'Additions (monthly)'!$B$2:$B$106,"&lt;="&amp;$B158)</f>
        <v>8.4</v>
      </c>
      <c r="F158" s="43" t="n">
        <f aca="false">SUMIFS('Additions (monthly)'!$E$2:$E$106,'Additions (monthly)'!$D$2:$D$106,F$2,'Additions (monthly)'!$B$2:$B$106,"&lt;="&amp;$B158)</f>
        <v>4.7</v>
      </c>
      <c r="G158" s="43" t="n">
        <f aca="false">SUMIFS('Additions (monthly)'!$E$2:$E$106,'Additions (monthly)'!$D$2:$D$106,G$2,'Additions (monthly)'!$B$2:$B$106,"&lt;="&amp;$B158)</f>
        <v>4.5</v>
      </c>
      <c r="H158" s="43" t="n">
        <f aca="false">SUMIFS('Additions (monthly)'!$E$2:$E$106,'Additions (monthly)'!$D$2:$D$106,H$2,'Additions (monthly)'!$B$2:$B$106,"&lt;="&amp;$B158)</f>
        <v>5.2</v>
      </c>
      <c r="I158" s="43" t="n">
        <f aca="false">SUMIFS('Additions (monthly)'!$E$2:$E$106,'Additions (monthly)'!$D$2:$D$106,I$2,'Additions (monthly)'!$B$2:$B$106,"&lt;="&amp;$B158)</f>
        <v>9</v>
      </c>
      <c r="J158" s="43" t="n">
        <f aca="false">SUMIFS('Additions (monthly)'!$E$2:$E$106,'Additions (monthly)'!$D$2:$D$106,J$2,'Additions (monthly)'!$B$2:$B$106,"&lt;="&amp;$B158)</f>
        <v>3.7</v>
      </c>
      <c r="K158" s="43" t="n">
        <f aca="false">SUMIFS('Additions (monthly)'!$E$2:$E$106,'Additions (monthly)'!$D$2:$D$106,K$2,'Additions (monthly)'!$B$2:$B$106,"&lt;="&amp;$B158)</f>
        <v>7.8</v>
      </c>
      <c r="L158" s="43" t="n">
        <f aca="false">SUMIFS('Additions (monthly)'!$E$2:$E$106,'Additions (monthly)'!$D$2:$D$106,L$2,'Additions (monthly)'!$B$2:$B$106,"&lt;="&amp;$B158)</f>
        <v>15.6</v>
      </c>
      <c r="M158" s="43" t="n">
        <f aca="false">SUMIFS('Additions (monthly)'!$E$2:$E$106,'Additions (monthly)'!$D$2:$D$106,M$2,'Additions (monthly)'!$B$2:$B$106,"&lt;="&amp;$B158)</f>
        <v>8.9</v>
      </c>
      <c r="N158" s="43" t="n">
        <f aca="false">SUMIFS('Additions (monthly)'!$E$2:$E$106,'Additions (monthly)'!$D$2:$D$106,N$2,'Additions (monthly)'!$B$2:$B$106,"&lt;="&amp;$B158)</f>
        <v>14.2</v>
      </c>
      <c r="O158" s="43" t="n">
        <f aca="false">SUMIFS('Additions (monthly)'!$E$2:$E$106,'Additions (monthly)'!$D$2:$D$106,O$2,'Additions (monthly)'!$B$2:$B$106,"&lt;="&amp;$B158)</f>
        <v>4.9</v>
      </c>
      <c r="P158" s="43" t="n">
        <f aca="false">SUMIFS('Additions (monthly)'!$E$2:$E$106,'Additions (monthly)'!$D$2:$D$106,P$2,'Additions (monthly)'!$B$2:$B$106,"&lt;="&amp;$B158)</f>
        <v>3.6</v>
      </c>
      <c r="Q158" s="43" t="n">
        <f aca="false">SUMIFS('Additions (monthly)'!$E$2:$E$106,'Additions (monthly)'!$D$2:$D$106,Q$2,'Additions (monthly)'!$B$2:$B$106,"&lt;="&amp;$B158)</f>
        <v>8.5</v>
      </c>
      <c r="R158" s="43" t="n">
        <f aca="false">SUMIFS('Additions (monthly)'!$E$2:$E$106,'Additions (monthly)'!$D$2:$D$106,R$2,'Additions (monthly)'!$B$2:$B$106,"&lt;="&amp;$B158)</f>
        <v>8.9</v>
      </c>
      <c r="S158" s="43" t="n">
        <f aca="false">SUMIFS('Additions (monthly)'!$E$2:$E$106,'Additions (monthly)'!$D$2:$D$106,S$2,'Additions (monthly)'!$B$2:$B$106,"&lt;="&amp;$B158)</f>
        <v>7.2</v>
      </c>
      <c r="T158" s="43" t="n">
        <f aca="false">SUMIFS('Additions (monthly)'!$E$2:$E$106,'Additions (monthly)'!$D$2:$D$106,T$2,'Additions (monthly)'!$B$2:$B$106,"&lt;="&amp;$B158)</f>
        <v>2.4</v>
      </c>
      <c r="U158" s="43" t="n">
        <f aca="false">SUMIFS('Additions (monthly)'!$E$2:$E$106,'Additions (monthly)'!$D$2:$D$106,U$2,'Additions (monthly)'!$B$2:$B$106,"&lt;="&amp;$B158)</f>
        <v>0</v>
      </c>
      <c r="V158" s="43" t="n">
        <f aca="false">SUMIFS('Additions (monthly)'!$E$2:$E$106,'Additions (monthly)'!$D$2:$D$106,V$2,'Additions (monthly)'!$B$2:$B$106,"&lt;="&amp;$B158)</f>
        <v>3.87</v>
      </c>
      <c r="W158" s="43" t="n">
        <f aca="false">SUMIFS('Additions (monthly)'!$E$2:$E$106,'Additions (monthly)'!$D$2:$D$106,W$2,'Additions (monthly)'!$B$2:$B$106,"&lt;="&amp;$B158)</f>
        <v>0</v>
      </c>
      <c r="X158" s="43" t="n">
        <f aca="false">SUMIFS('Additions (monthly)'!$E$2:$E$106,'Additions (monthly)'!$D$2:$D$106,X$2,'Additions (monthly)'!$B$2:$B$106,"&lt;="&amp;$B158)</f>
        <v>0</v>
      </c>
      <c r="Y158" s="43" t="n">
        <f aca="false">SUMIFS('Additions (monthly)'!$E$2:$E$106,'Additions (monthly)'!$D$2:$D$106,Y$2,'Additions (monthly)'!$B$2:$B$106,"&lt;="&amp;$B158)</f>
        <v>5</v>
      </c>
      <c r="Z158" s="43" t="n">
        <f aca="false">SUMIFS('Additions (monthly)'!$E$2:$E$106,'Additions (monthly)'!$D$2:$D$106,Z$2,'Additions (monthly)'!$B$2:$B$106,"&lt;="&amp;$B158)</f>
        <v>7.2</v>
      </c>
      <c r="AA158" s="43" t="n">
        <f aca="false">SUMIFS('Additions (monthly)'!$E$2:$E$106,'Additions (monthly)'!$D$2:$D$106,AA$2,'Additions (monthly)'!$B$2:$B$106,"&lt;="&amp;$B158)</f>
        <v>3.7</v>
      </c>
      <c r="AB158" s="43" t="n">
        <f aca="false">SUMIFS('Additions (monthly)'!$E$2:$E$106,'Additions (monthly)'!$D$2:$D$106,AB$2,'Additions (monthly)'!$B$2:$B$106,"&lt;="&amp;$B158)</f>
        <v>16.95</v>
      </c>
      <c r="AC158" s="43" t="n">
        <f aca="false">SUMIFS('Additions (monthly)'!$E$2:$E$106,'Additions (monthly)'!$D$2:$D$106,AC$2,'Additions (monthly)'!$B$2:$B$106,"&lt;="&amp;$B158)</f>
        <v>2</v>
      </c>
      <c r="AD158" s="43" t="n">
        <f aca="false">SUMIFS('Additions (monthly)'!$E$2:$E$106,'Additions (monthly)'!$D$2:$D$106,AD$2,'Additions (monthly)'!$B$2:$B$106,"&lt;="&amp;$B158)</f>
        <v>7.6</v>
      </c>
      <c r="AE158" s="43" t="n">
        <f aca="false">SUMIFS('Additions (monthly)'!$E$2:$E$106,'Additions (monthly)'!$D$2:$D$106,AE$2,'Additions (monthly)'!$B$2:$B$106,"&lt;="&amp;$B158)</f>
        <v>29.3</v>
      </c>
      <c r="AF158" s="43" t="n">
        <f aca="false">SUMIFS('Additions (monthly)'!$E$2:$E$106,'Additions (monthly)'!$D$2:$D$106,AF$2,'Additions (monthly)'!$B$2:$B$106,"&lt;="&amp;$B158)</f>
        <v>1.2</v>
      </c>
      <c r="AG158" s="43" t="n">
        <f aca="false">SUMIFS('Additions (monthly)'!$E$2:$E$106,'Additions (monthly)'!$D$2:$D$106,AG$2,'Additions (monthly)'!$B$2:$B$106,"&lt;="&amp;$B158)</f>
        <v>1.5</v>
      </c>
      <c r="AH158" s="43" t="n">
        <f aca="false">SUMIFS('Additions (monthly)'!$E$2:$E$106,'Additions (monthly)'!$D$2:$D$106,AH$2,'Additions (monthly)'!$B$2:$B$106,"&lt;="&amp;$B158)</f>
        <v>0</v>
      </c>
      <c r="AI158" s="43" t="n">
        <f aca="false">SUMIFS('Additions (monthly)'!$E$2:$E$106,'Additions (monthly)'!$D$2:$D$106,AI$2,'Additions (monthly)'!$B$2:$B$106,"&lt;="&amp;$B158)</f>
        <v>0</v>
      </c>
      <c r="AJ158" s="43" t="n">
        <f aca="false">SUMIFS('Additions (monthly)'!$E$2:$E$106,'Additions (monthly)'!$D$2:$D$106,AJ$2,'Additions (monthly)'!$B$2:$B$106,"&lt;="&amp;$B158)</f>
        <v>0</v>
      </c>
      <c r="AK158" s="43" t="n">
        <f aca="false">SUMIFS('Additions (monthly)'!$E$2:$E$106,'Additions (monthly)'!$D$2:$D$106,AK$2,'Additions (monthly)'!$B$2:$B$106,"&lt;="&amp;$B158)</f>
        <v>3.4</v>
      </c>
      <c r="AL158" s="43" t="n">
        <f aca="false">SUMIFS('Additions (monthly)'!$E$2:$E$106,'Additions (monthly)'!$D$2:$D$106,AL$2,'Additions (monthly)'!$B$2:$B$106,"&lt;="&amp;$B158)</f>
        <v>22.2</v>
      </c>
      <c r="AM158" s="43" t="n">
        <f aca="false">SUMIFS('Additions (monthly)'!$E$2:$E$106,'Additions (monthly)'!$D$2:$D$106,AM$2,'Additions (monthly)'!$B$2:$B$106,"&lt;="&amp;$B158)</f>
        <v>0.3</v>
      </c>
      <c r="AN158" s="43" t="n">
        <f aca="false">SUMIFS('Additions (monthly)'!$E$2:$E$106,'Additions (monthly)'!$D$2:$D$106,AN$2,'Additions (monthly)'!$B$2:$B$106,"&lt;="&amp;$B158)</f>
        <v>4.3</v>
      </c>
      <c r="AO158" s="43" t="n">
        <f aca="false">SUMIFS('Additions (monthly)'!$E$2:$E$106,'Additions (monthly)'!$D$2:$D$106,AO$2,'Additions (monthly)'!$B$2:$B$106,"&lt;="&amp;$B158)</f>
        <v>10.4</v>
      </c>
      <c r="AP158" s="43" t="n">
        <f aca="false">SUMIFS('Additions (monthly)'!$E$2:$E$106,'Additions (monthly)'!$D$2:$D$106,AP$2,'Additions (monthly)'!$B$2:$B$106,"&lt;="&amp;$B158)</f>
        <v>6.9</v>
      </c>
      <c r="AQ158" s="43" t="n">
        <f aca="false">SUMIFS('Additions (monthly)'!$E$2:$E$106,'Additions (monthly)'!$D$2:$D$106,AQ$2,'Additions (monthly)'!$B$2:$B$106,"&lt;="&amp;$B158)</f>
        <v>4.45</v>
      </c>
      <c r="AR158" s="43" t="n">
        <f aca="false">SUMIFS('Additions (monthly)'!$E$2:$E$106,'Additions (monthly)'!$D$2:$D$106,AR$2,'Additions (monthly)'!$B$2:$B$106,"&lt;="&amp;$B158)</f>
        <v>77.1</v>
      </c>
      <c r="AS158" s="43" t="n">
        <f aca="false">SUMIFS('Additions (monthly)'!$E$2:$E$106,'Additions (monthly)'!$D$2:$D$106,AS$2,'Additions (monthly)'!$B$2:$B$106,"&lt;="&amp;$B158)</f>
        <v>0</v>
      </c>
      <c r="AT158" s="43" t="n">
        <f aca="false">SUMIFS('Additions (monthly)'!$E$2:$E$106,'Additions (monthly)'!$D$2:$D$106,AT$2,'Additions (monthly)'!$B$2:$B$106,"&lt;="&amp;$B158)</f>
        <v>1.5</v>
      </c>
      <c r="AU158" s="43" t="n">
        <f aca="false">SUMIFS('Additions (monthly)'!$E$2:$E$106,'Additions (monthly)'!$D$2:$D$106,AU$2,'Additions (monthly)'!$B$2:$B$106,"&lt;="&amp;$B158)</f>
        <v>9.6</v>
      </c>
      <c r="AV158" s="43" t="n">
        <f aca="false">SUMIFS('Additions (monthly)'!$E$2:$E$106,'Additions (monthly)'!$D$2:$D$106,AV$2,'Additions (monthly)'!$B$2:$B$106,"&lt;="&amp;$B158)</f>
        <v>0.66</v>
      </c>
      <c r="AW158" s="43" t="n">
        <f aca="false">SUMIFS('Additions (monthly)'!$E$2:$E$106,'Additions (monthly)'!$D$2:$D$106,AW$2,'Additions (monthly)'!$B$2:$B$106,"&lt;="&amp;$B158)</f>
        <v>17.4</v>
      </c>
      <c r="AX158" s="43" t="n">
        <f aca="false">SUMIFS('Additions (monthly)'!$E$2:$E$106,'Additions (monthly)'!$D$2:$D$106,AX$2,'Additions (monthly)'!$B$2:$B$106,"&lt;="&amp;$B158)</f>
        <v>11.8</v>
      </c>
      <c r="AY158" s="43" t="n">
        <f aca="false">SUMIFS('Additions (monthly)'!$E$2:$E$106,'Additions (monthly)'!$D$2:$D$106,AY$2,'Additions (monthly)'!$B$2:$B$106,"&lt;="&amp;$B158)</f>
        <v>5.3</v>
      </c>
      <c r="AZ158" s="43" t="n">
        <f aca="false">SUMIFS('Additions (monthly)'!$E$2:$E$106,'Additions (monthly)'!$D$2:$D$106,AZ$2,'Additions (monthly)'!$B$2:$B$106,"&lt;="&amp;$B158)</f>
        <v>9.97</v>
      </c>
      <c r="BA158" s="43" t="n">
        <f aca="false">SUMIFS('Additions (monthly)'!$E$2:$E$106,'Additions (monthly)'!$D$2:$D$106,BA$2,'Additions (monthly)'!$B$2:$B$106,"&lt;="&amp;$B158)</f>
        <v>13.5</v>
      </c>
      <c r="BB158" s="43" t="n">
        <f aca="false">SUMIFS('Additions (monthly)'!$E$2:$E$106,'Additions (monthly)'!$D$2:$D$106,BB$2,'Additions (monthly)'!$B$2:$B$106,"&lt;="&amp;$B158)</f>
        <v>15</v>
      </c>
      <c r="BC158" s="43" t="n">
        <f aca="false">SUMIFS('Additions (monthly)'!$E$2:$E$106,'Additions (monthly)'!$D$2:$D$106,BC$2,'Additions (monthly)'!$B$2:$B$106,"&lt;="&amp;$B158)</f>
        <v>5.25</v>
      </c>
      <c r="BD158" s="43" t="n">
        <f aca="false">SUMIFS('Additions (monthly)'!$E$2:$E$106,'Additions (monthly)'!$D$2:$D$106,BD$2,'Additions (monthly)'!$B$2:$B$106,"&lt;="&amp;$B158)</f>
        <v>2.5</v>
      </c>
      <c r="BE158" s="43" t="n">
        <f aca="false">SUMIFS('Additions (monthly)'!$E$2:$E$106,'Additions (monthly)'!$D$2:$D$106,BE$2,'Additions (monthly)'!$B$2:$B$106,"&lt;="&amp;$B158)</f>
        <v>15.3</v>
      </c>
      <c r="BF158" s="43" t="n">
        <f aca="false">SUMIFS('Additions (monthly)'!$E$2:$E$106,'Additions (monthly)'!$D$2:$D$106,BF$2,'Additions (monthly)'!$B$2:$B$106,"&lt;="&amp;$B158)</f>
        <v>0</v>
      </c>
      <c r="BG158" s="43" t="n">
        <f aca="false">SUMIFS('Additions (monthly)'!$E$2:$E$106,'Additions (monthly)'!$D$2:$D$106,BG$2,'Additions (monthly)'!$B$2:$B$106,"&lt;="&amp;$B158)</f>
        <v>0</v>
      </c>
      <c r="BH158" s="43" t="n">
        <f aca="false">SUMIFS('Additions (monthly)'!$E$2:$E$106,'Additions (monthly)'!$D$2:$D$106,BH$2,'Additions (monthly)'!$B$2:$B$106,"&lt;="&amp;$B158)</f>
        <v>30</v>
      </c>
      <c r="BI158" s="43" t="n">
        <f aca="false">SUMIFS('Additions (monthly)'!$E$2:$E$106,'Additions (monthly)'!$D$2:$D$106,BI$2,'Additions (monthly)'!$B$2:$B$106,"&lt;="&amp;$B158)</f>
        <v>6.7</v>
      </c>
    </row>
    <row r="159" customFormat="false" ht="15" hidden="false" customHeight="false" outlineLevel="0" collapsed="false">
      <c r="A159" s="44" t="n">
        <v>44927</v>
      </c>
      <c r="B159" s="45" t="n">
        <v>202301</v>
      </c>
      <c r="C159" s="42" t="n">
        <f aca="false">SUMIFS('Additions (monthly)'!$E$2:$E$106,'Additions (monthly)'!$B$2:$B$106,"&lt;="&amp;$B159)</f>
        <v>477.25</v>
      </c>
      <c r="D159" s="46" t="n">
        <f aca="false">SUMIFS('Additions (monthly)'!$E$2:$E$106,'Additions (monthly)'!$D$2:$D$106,D$2,'Additions (monthly)'!$B$2:$B$106,"&lt;="&amp;$B159)</f>
        <v>7.9</v>
      </c>
      <c r="E159" s="46" t="n">
        <f aca="false">SUMIFS('Additions (monthly)'!$E$2:$E$106,'Additions (monthly)'!$D$2:$D$106,E$2,'Additions (monthly)'!$B$2:$B$106,"&lt;="&amp;$B159)</f>
        <v>8.4</v>
      </c>
      <c r="F159" s="46" t="n">
        <f aca="false">SUMIFS('Additions (monthly)'!$E$2:$E$106,'Additions (monthly)'!$D$2:$D$106,F$2,'Additions (monthly)'!$B$2:$B$106,"&lt;="&amp;$B159)</f>
        <v>4.7</v>
      </c>
      <c r="G159" s="46" t="n">
        <f aca="false">SUMIFS('Additions (monthly)'!$E$2:$E$106,'Additions (monthly)'!$D$2:$D$106,G$2,'Additions (monthly)'!$B$2:$B$106,"&lt;="&amp;$B159)</f>
        <v>4.5</v>
      </c>
      <c r="H159" s="46" t="n">
        <f aca="false">SUMIFS('Additions (monthly)'!$E$2:$E$106,'Additions (monthly)'!$D$2:$D$106,H$2,'Additions (monthly)'!$B$2:$B$106,"&lt;="&amp;$B159)</f>
        <v>5.2</v>
      </c>
      <c r="I159" s="46" t="n">
        <f aca="false">SUMIFS('Additions (monthly)'!$E$2:$E$106,'Additions (monthly)'!$D$2:$D$106,I$2,'Additions (monthly)'!$B$2:$B$106,"&lt;="&amp;$B159)</f>
        <v>9</v>
      </c>
      <c r="J159" s="46" t="n">
        <f aca="false">SUMIFS('Additions (monthly)'!$E$2:$E$106,'Additions (monthly)'!$D$2:$D$106,J$2,'Additions (monthly)'!$B$2:$B$106,"&lt;="&amp;$B159)</f>
        <v>3.7</v>
      </c>
      <c r="K159" s="46" t="n">
        <f aca="false">SUMIFS('Additions (monthly)'!$E$2:$E$106,'Additions (monthly)'!$D$2:$D$106,K$2,'Additions (monthly)'!$B$2:$B$106,"&lt;="&amp;$B159)</f>
        <v>7.8</v>
      </c>
      <c r="L159" s="46" t="n">
        <f aca="false">SUMIFS('Additions (monthly)'!$E$2:$E$106,'Additions (monthly)'!$D$2:$D$106,L$2,'Additions (monthly)'!$B$2:$B$106,"&lt;="&amp;$B159)</f>
        <v>15.6</v>
      </c>
      <c r="M159" s="46" t="n">
        <f aca="false">SUMIFS('Additions (monthly)'!$E$2:$E$106,'Additions (monthly)'!$D$2:$D$106,M$2,'Additions (monthly)'!$B$2:$B$106,"&lt;="&amp;$B159)</f>
        <v>8.9</v>
      </c>
      <c r="N159" s="46" t="n">
        <f aca="false">SUMIFS('Additions (monthly)'!$E$2:$E$106,'Additions (monthly)'!$D$2:$D$106,N$2,'Additions (monthly)'!$B$2:$B$106,"&lt;="&amp;$B159)</f>
        <v>14.2</v>
      </c>
      <c r="O159" s="46" t="n">
        <f aca="false">SUMIFS('Additions (monthly)'!$E$2:$E$106,'Additions (monthly)'!$D$2:$D$106,O$2,'Additions (monthly)'!$B$2:$B$106,"&lt;="&amp;$B159)</f>
        <v>4.9</v>
      </c>
      <c r="P159" s="46" t="n">
        <f aca="false">SUMIFS('Additions (monthly)'!$E$2:$E$106,'Additions (monthly)'!$D$2:$D$106,P$2,'Additions (monthly)'!$B$2:$B$106,"&lt;="&amp;$B159)</f>
        <v>3.6</v>
      </c>
      <c r="Q159" s="46" t="n">
        <f aca="false">SUMIFS('Additions (monthly)'!$E$2:$E$106,'Additions (monthly)'!$D$2:$D$106,Q$2,'Additions (monthly)'!$B$2:$B$106,"&lt;="&amp;$B159)</f>
        <v>8.5</v>
      </c>
      <c r="R159" s="46" t="n">
        <f aca="false">SUMIFS('Additions (monthly)'!$E$2:$E$106,'Additions (monthly)'!$D$2:$D$106,R$2,'Additions (monthly)'!$B$2:$B$106,"&lt;="&amp;$B159)</f>
        <v>8.9</v>
      </c>
      <c r="S159" s="46" t="n">
        <f aca="false">SUMIFS('Additions (monthly)'!$E$2:$E$106,'Additions (monthly)'!$D$2:$D$106,S$2,'Additions (monthly)'!$B$2:$B$106,"&lt;="&amp;$B159)</f>
        <v>7.2</v>
      </c>
      <c r="T159" s="46" t="n">
        <f aca="false">SUMIFS('Additions (monthly)'!$E$2:$E$106,'Additions (monthly)'!$D$2:$D$106,T$2,'Additions (monthly)'!$B$2:$B$106,"&lt;="&amp;$B159)</f>
        <v>2.4</v>
      </c>
      <c r="U159" s="46" t="n">
        <f aca="false">SUMIFS('Additions (monthly)'!$E$2:$E$106,'Additions (monthly)'!$D$2:$D$106,U$2,'Additions (monthly)'!$B$2:$B$106,"&lt;="&amp;$B159)</f>
        <v>0</v>
      </c>
      <c r="V159" s="46" t="n">
        <f aca="false">SUMIFS('Additions (monthly)'!$E$2:$E$106,'Additions (monthly)'!$D$2:$D$106,V$2,'Additions (monthly)'!$B$2:$B$106,"&lt;="&amp;$B159)</f>
        <v>3.87</v>
      </c>
      <c r="W159" s="46" t="n">
        <f aca="false">SUMIFS('Additions (monthly)'!$E$2:$E$106,'Additions (monthly)'!$D$2:$D$106,W$2,'Additions (monthly)'!$B$2:$B$106,"&lt;="&amp;$B159)</f>
        <v>0</v>
      </c>
      <c r="X159" s="46" t="n">
        <f aca="false">SUMIFS('Additions (monthly)'!$E$2:$E$106,'Additions (monthly)'!$D$2:$D$106,X$2,'Additions (monthly)'!$B$2:$B$106,"&lt;="&amp;$B159)</f>
        <v>0</v>
      </c>
      <c r="Y159" s="46" t="n">
        <f aca="false">SUMIFS('Additions (monthly)'!$E$2:$E$106,'Additions (monthly)'!$D$2:$D$106,Y$2,'Additions (monthly)'!$B$2:$B$106,"&lt;="&amp;$B159)</f>
        <v>5</v>
      </c>
      <c r="Z159" s="46" t="n">
        <f aca="false">SUMIFS('Additions (monthly)'!$E$2:$E$106,'Additions (monthly)'!$D$2:$D$106,Z$2,'Additions (monthly)'!$B$2:$B$106,"&lt;="&amp;$B159)</f>
        <v>7.2</v>
      </c>
      <c r="AA159" s="46" t="n">
        <f aca="false">SUMIFS('Additions (monthly)'!$E$2:$E$106,'Additions (monthly)'!$D$2:$D$106,AA$2,'Additions (monthly)'!$B$2:$B$106,"&lt;="&amp;$B159)</f>
        <v>3.7</v>
      </c>
      <c r="AB159" s="46" t="n">
        <f aca="false">SUMIFS('Additions (monthly)'!$E$2:$E$106,'Additions (monthly)'!$D$2:$D$106,AB$2,'Additions (monthly)'!$B$2:$B$106,"&lt;="&amp;$B159)</f>
        <v>16.95</v>
      </c>
      <c r="AC159" s="46" t="n">
        <f aca="false">SUMIFS('Additions (monthly)'!$E$2:$E$106,'Additions (monthly)'!$D$2:$D$106,AC$2,'Additions (monthly)'!$B$2:$B$106,"&lt;="&amp;$B159)</f>
        <v>2</v>
      </c>
      <c r="AD159" s="46" t="n">
        <f aca="false">SUMIFS('Additions (monthly)'!$E$2:$E$106,'Additions (monthly)'!$D$2:$D$106,AD$2,'Additions (monthly)'!$B$2:$B$106,"&lt;="&amp;$B159)</f>
        <v>7.6</v>
      </c>
      <c r="AE159" s="46" t="n">
        <f aca="false">SUMIFS('Additions (monthly)'!$E$2:$E$106,'Additions (monthly)'!$D$2:$D$106,AE$2,'Additions (monthly)'!$B$2:$B$106,"&lt;="&amp;$B159)</f>
        <v>29.3</v>
      </c>
      <c r="AF159" s="46" t="n">
        <f aca="false">SUMIFS('Additions (monthly)'!$E$2:$E$106,'Additions (monthly)'!$D$2:$D$106,AF$2,'Additions (monthly)'!$B$2:$B$106,"&lt;="&amp;$B159)</f>
        <v>1.2</v>
      </c>
      <c r="AG159" s="46" t="n">
        <f aca="false">SUMIFS('Additions (monthly)'!$E$2:$E$106,'Additions (monthly)'!$D$2:$D$106,AG$2,'Additions (monthly)'!$B$2:$B$106,"&lt;="&amp;$B159)</f>
        <v>1.5</v>
      </c>
      <c r="AH159" s="46" t="n">
        <f aca="false">SUMIFS('Additions (monthly)'!$E$2:$E$106,'Additions (monthly)'!$D$2:$D$106,AH$2,'Additions (monthly)'!$B$2:$B$106,"&lt;="&amp;$B159)</f>
        <v>0</v>
      </c>
      <c r="AI159" s="46" t="n">
        <f aca="false">SUMIFS('Additions (monthly)'!$E$2:$E$106,'Additions (monthly)'!$D$2:$D$106,AI$2,'Additions (monthly)'!$B$2:$B$106,"&lt;="&amp;$B159)</f>
        <v>0</v>
      </c>
      <c r="AJ159" s="46" t="n">
        <f aca="false">SUMIFS('Additions (monthly)'!$E$2:$E$106,'Additions (monthly)'!$D$2:$D$106,AJ$2,'Additions (monthly)'!$B$2:$B$106,"&lt;="&amp;$B159)</f>
        <v>0</v>
      </c>
      <c r="AK159" s="46" t="n">
        <f aca="false">SUMIFS('Additions (monthly)'!$E$2:$E$106,'Additions (monthly)'!$D$2:$D$106,AK$2,'Additions (monthly)'!$B$2:$B$106,"&lt;="&amp;$B159)</f>
        <v>3.4</v>
      </c>
      <c r="AL159" s="46" t="n">
        <f aca="false">SUMIFS('Additions (monthly)'!$E$2:$E$106,'Additions (monthly)'!$D$2:$D$106,AL$2,'Additions (monthly)'!$B$2:$B$106,"&lt;="&amp;$B159)</f>
        <v>22.2</v>
      </c>
      <c r="AM159" s="46" t="n">
        <f aca="false">SUMIFS('Additions (monthly)'!$E$2:$E$106,'Additions (monthly)'!$D$2:$D$106,AM$2,'Additions (monthly)'!$B$2:$B$106,"&lt;="&amp;$B159)</f>
        <v>0.3</v>
      </c>
      <c r="AN159" s="46" t="n">
        <f aca="false">SUMIFS('Additions (monthly)'!$E$2:$E$106,'Additions (monthly)'!$D$2:$D$106,AN$2,'Additions (monthly)'!$B$2:$B$106,"&lt;="&amp;$B159)</f>
        <v>4.3</v>
      </c>
      <c r="AO159" s="46" t="n">
        <f aca="false">SUMIFS('Additions (monthly)'!$E$2:$E$106,'Additions (monthly)'!$D$2:$D$106,AO$2,'Additions (monthly)'!$B$2:$B$106,"&lt;="&amp;$B159)</f>
        <v>10.4</v>
      </c>
      <c r="AP159" s="46" t="n">
        <f aca="false">SUMIFS('Additions (monthly)'!$E$2:$E$106,'Additions (monthly)'!$D$2:$D$106,AP$2,'Additions (monthly)'!$B$2:$B$106,"&lt;="&amp;$B159)</f>
        <v>6.9</v>
      </c>
      <c r="AQ159" s="46" t="n">
        <f aca="false">SUMIFS('Additions (monthly)'!$E$2:$E$106,'Additions (monthly)'!$D$2:$D$106,AQ$2,'Additions (monthly)'!$B$2:$B$106,"&lt;="&amp;$B159)</f>
        <v>4.45</v>
      </c>
      <c r="AR159" s="46" t="n">
        <f aca="false">SUMIFS('Additions (monthly)'!$E$2:$E$106,'Additions (monthly)'!$D$2:$D$106,AR$2,'Additions (monthly)'!$B$2:$B$106,"&lt;="&amp;$B159)</f>
        <v>77.1</v>
      </c>
      <c r="AS159" s="46" t="n">
        <f aca="false">SUMIFS('Additions (monthly)'!$E$2:$E$106,'Additions (monthly)'!$D$2:$D$106,AS$2,'Additions (monthly)'!$B$2:$B$106,"&lt;="&amp;$B159)</f>
        <v>0</v>
      </c>
      <c r="AT159" s="46" t="n">
        <f aca="false">SUMIFS('Additions (monthly)'!$E$2:$E$106,'Additions (monthly)'!$D$2:$D$106,AT$2,'Additions (monthly)'!$B$2:$B$106,"&lt;="&amp;$B159)</f>
        <v>1.5</v>
      </c>
      <c r="AU159" s="46" t="n">
        <f aca="false">SUMIFS('Additions (monthly)'!$E$2:$E$106,'Additions (monthly)'!$D$2:$D$106,AU$2,'Additions (monthly)'!$B$2:$B$106,"&lt;="&amp;$B159)</f>
        <v>9.6</v>
      </c>
      <c r="AV159" s="46" t="n">
        <f aca="false">SUMIFS('Additions (monthly)'!$E$2:$E$106,'Additions (monthly)'!$D$2:$D$106,AV$2,'Additions (monthly)'!$B$2:$B$106,"&lt;="&amp;$B159)</f>
        <v>0.66</v>
      </c>
      <c r="AW159" s="46" t="n">
        <f aca="false">SUMIFS('Additions (monthly)'!$E$2:$E$106,'Additions (monthly)'!$D$2:$D$106,AW$2,'Additions (monthly)'!$B$2:$B$106,"&lt;="&amp;$B159)</f>
        <v>17.4</v>
      </c>
      <c r="AX159" s="46" t="n">
        <f aca="false">SUMIFS('Additions (monthly)'!$E$2:$E$106,'Additions (monthly)'!$D$2:$D$106,AX$2,'Additions (monthly)'!$B$2:$B$106,"&lt;="&amp;$B159)</f>
        <v>11.8</v>
      </c>
      <c r="AY159" s="46" t="n">
        <f aca="false">SUMIFS('Additions (monthly)'!$E$2:$E$106,'Additions (monthly)'!$D$2:$D$106,AY$2,'Additions (monthly)'!$B$2:$B$106,"&lt;="&amp;$B159)</f>
        <v>5.3</v>
      </c>
      <c r="AZ159" s="46" t="n">
        <f aca="false">SUMIFS('Additions (monthly)'!$E$2:$E$106,'Additions (monthly)'!$D$2:$D$106,AZ$2,'Additions (monthly)'!$B$2:$B$106,"&lt;="&amp;$B159)</f>
        <v>9.97</v>
      </c>
      <c r="BA159" s="46" t="n">
        <f aca="false">SUMIFS('Additions (monthly)'!$E$2:$E$106,'Additions (monthly)'!$D$2:$D$106,BA$2,'Additions (monthly)'!$B$2:$B$106,"&lt;="&amp;$B159)</f>
        <v>13.5</v>
      </c>
      <c r="BB159" s="46" t="n">
        <f aca="false">SUMIFS('Additions (monthly)'!$E$2:$E$106,'Additions (monthly)'!$D$2:$D$106,BB$2,'Additions (monthly)'!$B$2:$B$106,"&lt;="&amp;$B159)</f>
        <v>15</v>
      </c>
      <c r="BC159" s="46" t="n">
        <f aca="false">SUMIFS('Additions (monthly)'!$E$2:$E$106,'Additions (monthly)'!$D$2:$D$106,BC$2,'Additions (monthly)'!$B$2:$B$106,"&lt;="&amp;$B159)</f>
        <v>5.25</v>
      </c>
      <c r="BD159" s="46" t="n">
        <f aca="false">SUMIFS('Additions (monthly)'!$E$2:$E$106,'Additions (monthly)'!$D$2:$D$106,BD$2,'Additions (monthly)'!$B$2:$B$106,"&lt;="&amp;$B159)</f>
        <v>2.5</v>
      </c>
      <c r="BE159" s="46" t="n">
        <f aca="false">SUMIFS('Additions (monthly)'!$E$2:$E$106,'Additions (monthly)'!$D$2:$D$106,BE$2,'Additions (monthly)'!$B$2:$B$106,"&lt;="&amp;$B159)</f>
        <v>15.3</v>
      </c>
      <c r="BF159" s="46" t="n">
        <f aca="false">SUMIFS('Additions (monthly)'!$E$2:$E$106,'Additions (monthly)'!$D$2:$D$106,BF$2,'Additions (monthly)'!$B$2:$B$106,"&lt;="&amp;$B159)</f>
        <v>0</v>
      </c>
      <c r="BG159" s="46" t="n">
        <f aca="false">SUMIFS('Additions (monthly)'!$E$2:$E$106,'Additions (monthly)'!$D$2:$D$106,BG$2,'Additions (monthly)'!$B$2:$B$106,"&lt;="&amp;$B159)</f>
        <v>0</v>
      </c>
      <c r="BH159" s="46" t="n">
        <f aca="false">SUMIFS('Additions (monthly)'!$E$2:$E$106,'Additions (monthly)'!$D$2:$D$106,BH$2,'Additions (monthly)'!$B$2:$B$106,"&lt;="&amp;$B159)</f>
        <v>30</v>
      </c>
      <c r="BI159" s="46" t="n">
        <f aca="false">SUMIFS('Additions (monthly)'!$E$2:$E$106,'Additions (monthly)'!$D$2:$D$106,BI$2,'Additions (monthly)'!$B$2:$B$106,"&lt;="&amp;$B159)</f>
        <v>6.7</v>
      </c>
    </row>
    <row r="160" customFormat="false" ht="15" hidden="false" customHeight="false" outlineLevel="0" collapsed="false">
      <c r="A160" s="44" t="n">
        <v>44958</v>
      </c>
      <c r="B160" s="45" t="n">
        <v>202302</v>
      </c>
      <c r="C160" s="42" t="n">
        <f aca="false">SUMIFS('Additions (monthly)'!$E$2:$E$106,'Additions (monthly)'!$B$2:$B$106,"&lt;="&amp;$B160)</f>
        <v>477.25</v>
      </c>
      <c r="D160" s="46" t="n">
        <f aca="false">SUMIFS('Additions (monthly)'!$E$2:$E$106,'Additions (monthly)'!$D$2:$D$106,D$2,'Additions (monthly)'!$B$2:$B$106,"&lt;="&amp;$B160)</f>
        <v>7.9</v>
      </c>
      <c r="E160" s="46" t="n">
        <f aca="false">SUMIFS('Additions (monthly)'!$E$2:$E$106,'Additions (monthly)'!$D$2:$D$106,E$2,'Additions (monthly)'!$B$2:$B$106,"&lt;="&amp;$B160)</f>
        <v>8.4</v>
      </c>
      <c r="F160" s="46" t="n">
        <f aca="false">SUMIFS('Additions (monthly)'!$E$2:$E$106,'Additions (monthly)'!$D$2:$D$106,F$2,'Additions (monthly)'!$B$2:$B$106,"&lt;="&amp;$B160)</f>
        <v>4.7</v>
      </c>
      <c r="G160" s="46" t="n">
        <f aca="false">SUMIFS('Additions (monthly)'!$E$2:$E$106,'Additions (monthly)'!$D$2:$D$106,G$2,'Additions (monthly)'!$B$2:$B$106,"&lt;="&amp;$B160)</f>
        <v>4.5</v>
      </c>
      <c r="H160" s="46" t="n">
        <f aca="false">SUMIFS('Additions (monthly)'!$E$2:$E$106,'Additions (monthly)'!$D$2:$D$106,H$2,'Additions (monthly)'!$B$2:$B$106,"&lt;="&amp;$B160)</f>
        <v>5.2</v>
      </c>
      <c r="I160" s="46" t="n">
        <f aca="false">SUMIFS('Additions (monthly)'!$E$2:$E$106,'Additions (monthly)'!$D$2:$D$106,I$2,'Additions (monthly)'!$B$2:$B$106,"&lt;="&amp;$B160)</f>
        <v>9</v>
      </c>
      <c r="J160" s="46" t="n">
        <f aca="false">SUMIFS('Additions (monthly)'!$E$2:$E$106,'Additions (monthly)'!$D$2:$D$106,J$2,'Additions (monthly)'!$B$2:$B$106,"&lt;="&amp;$B160)</f>
        <v>3.7</v>
      </c>
      <c r="K160" s="46" t="n">
        <f aca="false">SUMIFS('Additions (monthly)'!$E$2:$E$106,'Additions (monthly)'!$D$2:$D$106,K$2,'Additions (monthly)'!$B$2:$B$106,"&lt;="&amp;$B160)</f>
        <v>7.8</v>
      </c>
      <c r="L160" s="46" t="n">
        <f aca="false">SUMIFS('Additions (monthly)'!$E$2:$E$106,'Additions (monthly)'!$D$2:$D$106,L$2,'Additions (monthly)'!$B$2:$B$106,"&lt;="&amp;$B160)</f>
        <v>15.6</v>
      </c>
      <c r="M160" s="46" t="n">
        <f aca="false">SUMIFS('Additions (monthly)'!$E$2:$E$106,'Additions (monthly)'!$D$2:$D$106,M$2,'Additions (monthly)'!$B$2:$B$106,"&lt;="&amp;$B160)</f>
        <v>8.9</v>
      </c>
      <c r="N160" s="46" t="n">
        <f aca="false">SUMIFS('Additions (monthly)'!$E$2:$E$106,'Additions (monthly)'!$D$2:$D$106,N$2,'Additions (monthly)'!$B$2:$B$106,"&lt;="&amp;$B160)</f>
        <v>14.2</v>
      </c>
      <c r="O160" s="46" t="n">
        <f aca="false">SUMIFS('Additions (monthly)'!$E$2:$E$106,'Additions (monthly)'!$D$2:$D$106,O$2,'Additions (monthly)'!$B$2:$B$106,"&lt;="&amp;$B160)</f>
        <v>4.9</v>
      </c>
      <c r="P160" s="46" t="n">
        <f aca="false">SUMIFS('Additions (monthly)'!$E$2:$E$106,'Additions (monthly)'!$D$2:$D$106,P$2,'Additions (monthly)'!$B$2:$B$106,"&lt;="&amp;$B160)</f>
        <v>3.6</v>
      </c>
      <c r="Q160" s="46" t="n">
        <f aca="false">SUMIFS('Additions (monthly)'!$E$2:$E$106,'Additions (monthly)'!$D$2:$D$106,Q$2,'Additions (monthly)'!$B$2:$B$106,"&lt;="&amp;$B160)</f>
        <v>8.5</v>
      </c>
      <c r="R160" s="46" t="n">
        <f aca="false">SUMIFS('Additions (monthly)'!$E$2:$E$106,'Additions (monthly)'!$D$2:$D$106,R$2,'Additions (monthly)'!$B$2:$B$106,"&lt;="&amp;$B160)</f>
        <v>8.9</v>
      </c>
      <c r="S160" s="46" t="n">
        <f aca="false">SUMIFS('Additions (monthly)'!$E$2:$E$106,'Additions (monthly)'!$D$2:$D$106,S$2,'Additions (monthly)'!$B$2:$B$106,"&lt;="&amp;$B160)</f>
        <v>7.2</v>
      </c>
      <c r="T160" s="46" t="n">
        <f aca="false">SUMIFS('Additions (monthly)'!$E$2:$E$106,'Additions (monthly)'!$D$2:$D$106,T$2,'Additions (monthly)'!$B$2:$B$106,"&lt;="&amp;$B160)</f>
        <v>2.4</v>
      </c>
      <c r="U160" s="46" t="n">
        <f aca="false">SUMIFS('Additions (monthly)'!$E$2:$E$106,'Additions (monthly)'!$D$2:$D$106,U$2,'Additions (monthly)'!$B$2:$B$106,"&lt;="&amp;$B160)</f>
        <v>0</v>
      </c>
      <c r="V160" s="46" t="n">
        <f aca="false">SUMIFS('Additions (monthly)'!$E$2:$E$106,'Additions (monthly)'!$D$2:$D$106,V$2,'Additions (monthly)'!$B$2:$B$106,"&lt;="&amp;$B160)</f>
        <v>3.87</v>
      </c>
      <c r="W160" s="46" t="n">
        <f aca="false">SUMIFS('Additions (monthly)'!$E$2:$E$106,'Additions (monthly)'!$D$2:$D$106,W$2,'Additions (monthly)'!$B$2:$B$106,"&lt;="&amp;$B160)</f>
        <v>0</v>
      </c>
      <c r="X160" s="46" t="n">
        <f aca="false">SUMIFS('Additions (monthly)'!$E$2:$E$106,'Additions (monthly)'!$D$2:$D$106,X$2,'Additions (monthly)'!$B$2:$B$106,"&lt;="&amp;$B160)</f>
        <v>0</v>
      </c>
      <c r="Y160" s="46" t="n">
        <f aca="false">SUMIFS('Additions (monthly)'!$E$2:$E$106,'Additions (monthly)'!$D$2:$D$106,Y$2,'Additions (monthly)'!$B$2:$B$106,"&lt;="&amp;$B160)</f>
        <v>5</v>
      </c>
      <c r="Z160" s="46" t="n">
        <f aca="false">SUMIFS('Additions (monthly)'!$E$2:$E$106,'Additions (monthly)'!$D$2:$D$106,Z$2,'Additions (monthly)'!$B$2:$B$106,"&lt;="&amp;$B160)</f>
        <v>7.2</v>
      </c>
      <c r="AA160" s="46" t="n">
        <f aca="false">SUMIFS('Additions (monthly)'!$E$2:$E$106,'Additions (monthly)'!$D$2:$D$106,AA$2,'Additions (monthly)'!$B$2:$B$106,"&lt;="&amp;$B160)</f>
        <v>3.7</v>
      </c>
      <c r="AB160" s="46" t="n">
        <f aca="false">SUMIFS('Additions (monthly)'!$E$2:$E$106,'Additions (monthly)'!$D$2:$D$106,AB$2,'Additions (monthly)'!$B$2:$B$106,"&lt;="&amp;$B160)</f>
        <v>16.95</v>
      </c>
      <c r="AC160" s="46" t="n">
        <f aca="false">SUMIFS('Additions (monthly)'!$E$2:$E$106,'Additions (monthly)'!$D$2:$D$106,AC$2,'Additions (monthly)'!$B$2:$B$106,"&lt;="&amp;$B160)</f>
        <v>2</v>
      </c>
      <c r="AD160" s="46" t="n">
        <f aca="false">SUMIFS('Additions (monthly)'!$E$2:$E$106,'Additions (monthly)'!$D$2:$D$106,AD$2,'Additions (monthly)'!$B$2:$B$106,"&lt;="&amp;$B160)</f>
        <v>7.6</v>
      </c>
      <c r="AE160" s="46" t="n">
        <f aca="false">SUMIFS('Additions (monthly)'!$E$2:$E$106,'Additions (monthly)'!$D$2:$D$106,AE$2,'Additions (monthly)'!$B$2:$B$106,"&lt;="&amp;$B160)</f>
        <v>29.3</v>
      </c>
      <c r="AF160" s="46" t="n">
        <f aca="false">SUMIFS('Additions (monthly)'!$E$2:$E$106,'Additions (monthly)'!$D$2:$D$106,AF$2,'Additions (monthly)'!$B$2:$B$106,"&lt;="&amp;$B160)</f>
        <v>1.2</v>
      </c>
      <c r="AG160" s="46" t="n">
        <f aca="false">SUMIFS('Additions (monthly)'!$E$2:$E$106,'Additions (monthly)'!$D$2:$D$106,AG$2,'Additions (monthly)'!$B$2:$B$106,"&lt;="&amp;$B160)</f>
        <v>1.5</v>
      </c>
      <c r="AH160" s="46" t="n">
        <f aca="false">SUMIFS('Additions (monthly)'!$E$2:$E$106,'Additions (monthly)'!$D$2:$D$106,AH$2,'Additions (monthly)'!$B$2:$B$106,"&lt;="&amp;$B160)</f>
        <v>0</v>
      </c>
      <c r="AI160" s="46" t="n">
        <f aca="false">SUMIFS('Additions (monthly)'!$E$2:$E$106,'Additions (monthly)'!$D$2:$D$106,AI$2,'Additions (monthly)'!$B$2:$B$106,"&lt;="&amp;$B160)</f>
        <v>0</v>
      </c>
      <c r="AJ160" s="46" t="n">
        <f aca="false">SUMIFS('Additions (monthly)'!$E$2:$E$106,'Additions (monthly)'!$D$2:$D$106,AJ$2,'Additions (monthly)'!$B$2:$B$106,"&lt;="&amp;$B160)</f>
        <v>0</v>
      </c>
      <c r="AK160" s="46" t="n">
        <f aca="false">SUMIFS('Additions (monthly)'!$E$2:$E$106,'Additions (monthly)'!$D$2:$D$106,AK$2,'Additions (monthly)'!$B$2:$B$106,"&lt;="&amp;$B160)</f>
        <v>3.4</v>
      </c>
      <c r="AL160" s="46" t="n">
        <f aca="false">SUMIFS('Additions (monthly)'!$E$2:$E$106,'Additions (monthly)'!$D$2:$D$106,AL$2,'Additions (monthly)'!$B$2:$B$106,"&lt;="&amp;$B160)</f>
        <v>22.2</v>
      </c>
      <c r="AM160" s="46" t="n">
        <f aca="false">SUMIFS('Additions (monthly)'!$E$2:$E$106,'Additions (monthly)'!$D$2:$D$106,AM$2,'Additions (monthly)'!$B$2:$B$106,"&lt;="&amp;$B160)</f>
        <v>0.3</v>
      </c>
      <c r="AN160" s="46" t="n">
        <f aca="false">SUMIFS('Additions (monthly)'!$E$2:$E$106,'Additions (monthly)'!$D$2:$D$106,AN$2,'Additions (monthly)'!$B$2:$B$106,"&lt;="&amp;$B160)</f>
        <v>4.3</v>
      </c>
      <c r="AO160" s="46" t="n">
        <f aca="false">SUMIFS('Additions (monthly)'!$E$2:$E$106,'Additions (monthly)'!$D$2:$D$106,AO$2,'Additions (monthly)'!$B$2:$B$106,"&lt;="&amp;$B160)</f>
        <v>10.4</v>
      </c>
      <c r="AP160" s="46" t="n">
        <f aca="false">SUMIFS('Additions (monthly)'!$E$2:$E$106,'Additions (monthly)'!$D$2:$D$106,AP$2,'Additions (monthly)'!$B$2:$B$106,"&lt;="&amp;$B160)</f>
        <v>6.9</v>
      </c>
      <c r="AQ160" s="46" t="n">
        <f aca="false">SUMIFS('Additions (monthly)'!$E$2:$E$106,'Additions (monthly)'!$D$2:$D$106,AQ$2,'Additions (monthly)'!$B$2:$B$106,"&lt;="&amp;$B160)</f>
        <v>4.45</v>
      </c>
      <c r="AR160" s="46" t="n">
        <f aca="false">SUMIFS('Additions (monthly)'!$E$2:$E$106,'Additions (monthly)'!$D$2:$D$106,AR$2,'Additions (monthly)'!$B$2:$B$106,"&lt;="&amp;$B160)</f>
        <v>77.1</v>
      </c>
      <c r="AS160" s="46" t="n">
        <f aca="false">SUMIFS('Additions (monthly)'!$E$2:$E$106,'Additions (monthly)'!$D$2:$D$106,AS$2,'Additions (monthly)'!$B$2:$B$106,"&lt;="&amp;$B160)</f>
        <v>0</v>
      </c>
      <c r="AT160" s="46" t="n">
        <f aca="false">SUMIFS('Additions (monthly)'!$E$2:$E$106,'Additions (monthly)'!$D$2:$D$106,AT$2,'Additions (monthly)'!$B$2:$B$106,"&lt;="&amp;$B160)</f>
        <v>1.5</v>
      </c>
      <c r="AU160" s="46" t="n">
        <f aca="false">SUMIFS('Additions (monthly)'!$E$2:$E$106,'Additions (monthly)'!$D$2:$D$106,AU$2,'Additions (monthly)'!$B$2:$B$106,"&lt;="&amp;$B160)</f>
        <v>9.6</v>
      </c>
      <c r="AV160" s="46" t="n">
        <f aca="false">SUMIFS('Additions (monthly)'!$E$2:$E$106,'Additions (monthly)'!$D$2:$D$106,AV$2,'Additions (monthly)'!$B$2:$B$106,"&lt;="&amp;$B160)</f>
        <v>0.66</v>
      </c>
      <c r="AW160" s="46" t="n">
        <f aca="false">SUMIFS('Additions (monthly)'!$E$2:$E$106,'Additions (monthly)'!$D$2:$D$106,AW$2,'Additions (monthly)'!$B$2:$B$106,"&lt;="&amp;$B160)</f>
        <v>17.4</v>
      </c>
      <c r="AX160" s="46" t="n">
        <f aca="false">SUMIFS('Additions (monthly)'!$E$2:$E$106,'Additions (monthly)'!$D$2:$D$106,AX$2,'Additions (monthly)'!$B$2:$B$106,"&lt;="&amp;$B160)</f>
        <v>11.8</v>
      </c>
      <c r="AY160" s="46" t="n">
        <f aca="false">SUMIFS('Additions (monthly)'!$E$2:$E$106,'Additions (monthly)'!$D$2:$D$106,AY$2,'Additions (monthly)'!$B$2:$B$106,"&lt;="&amp;$B160)</f>
        <v>5.3</v>
      </c>
      <c r="AZ160" s="46" t="n">
        <f aca="false">SUMIFS('Additions (monthly)'!$E$2:$E$106,'Additions (monthly)'!$D$2:$D$106,AZ$2,'Additions (monthly)'!$B$2:$B$106,"&lt;="&amp;$B160)</f>
        <v>9.97</v>
      </c>
      <c r="BA160" s="46" t="n">
        <f aca="false">SUMIFS('Additions (monthly)'!$E$2:$E$106,'Additions (monthly)'!$D$2:$D$106,BA$2,'Additions (monthly)'!$B$2:$B$106,"&lt;="&amp;$B160)</f>
        <v>13.5</v>
      </c>
      <c r="BB160" s="46" t="n">
        <f aca="false">SUMIFS('Additions (monthly)'!$E$2:$E$106,'Additions (monthly)'!$D$2:$D$106,BB$2,'Additions (monthly)'!$B$2:$B$106,"&lt;="&amp;$B160)</f>
        <v>15</v>
      </c>
      <c r="BC160" s="46" t="n">
        <f aca="false">SUMIFS('Additions (monthly)'!$E$2:$E$106,'Additions (monthly)'!$D$2:$D$106,BC$2,'Additions (monthly)'!$B$2:$B$106,"&lt;="&amp;$B160)</f>
        <v>5.25</v>
      </c>
      <c r="BD160" s="46" t="n">
        <f aca="false">SUMIFS('Additions (monthly)'!$E$2:$E$106,'Additions (monthly)'!$D$2:$D$106,BD$2,'Additions (monthly)'!$B$2:$B$106,"&lt;="&amp;$B160)</f>
        <v>2.5</v>
      </c>
      <c r="BE160" s="46" t="n">
        <f aca="false">SUMIFS('Additions (monthly)'!$E$2:$E$106,'Additions (monthly)'!$D$2:$D$106,BE$2,'Additions (monthly)'!$B$2:$B$106,"&lt;="&amp;$B160)</f>
        <v>15.3</v>
      </c>
      <c r="BF160" s="46" t="n">
        <f aca="false">SUMIFS('Additions (monthly)'!$E$2:$E$106,'Additions (monthly)'!$D$2:$D$106,BF$2,'Additions (monthly)'!$B$2:$B$106,"&lt;="&amp;$B160)</f>
        <v>0</v>
      </c>
      <c r="BG160" s="46" t="n">
        <f aca="false">SUMIFS('Additions (monthly)'!$E$2:$E$106,'Additions (monthly)'!$D$2:$D$106,BG$2,'Additions (monthly)'!$B$2:$B$106,"&lt;="&amp;$B160)</f>
        <v>0</v>
      </c>
      <c r="BH160" s="46" t="n">
        <f aca="false">SUMIFS('Additions (monthly)'!$E$2:$E$106,'Additions (monthly)'!$D$2:$D$106,BH$2,'Additions (monthly)'!$B$2:$B$106,"&lt;="&amp;$B160)</f>
        <v>30</v>
      </c>
      <c r="BI160" s="46" t="n">
        <f aca="false">SUMIFS('Additions (monthly)'!$E$2:$E$106,'Additions (monthly)'!$D$2:$D$106,BI$2,'Additions (monthly)'!$B$2:$B$106,"&lt;="&amp;$B160)</f>
        <v>6.7</v>
      </c>
    </row>
    <row r="161" customFormat="false" ht="15" hidden="false" customHeight="false" outlineLevel="0" collapsed="false">
      <c r="A161" s="44" t="n">
        <v>44986</v>
      </c>
      <c r="B161" s="45" t="n">
        <v>202303</v>
      </c>
      <c r="C161" s="42" t="n">
        <f aca="false">SUMIFS('Additions (monthly)'!$E$2:$E$106,'Additions (monthly)'!$B$2:$B$106,"&lt;="&amp;$B161)</f>
        <v>477.25</v>
      </c>
      <c r="D161" s="46" t="n">
        <f aca="false">SUMIFS('Additions (monthly)'!$E$2:$E$106,'Additions (monthly)'!$D$2:$D$106,D$2,'Additions (monthly)'!$B$2:$B$106,"&lt;="&amp;$B161)</f>
        <v>7.9</v>
      </c>
      <c r="E161" s="46" t="n">
        <f aca="false">SUMIFS('Additions (monthly)'!$E$2:$E$106,'Additions (monthly)'!$D$2:$D$106,E$2,'Additions (monthly)'!$B$2:$B$106,"&lt;="&amp;$B161)</f>
        <v>8.4</v>
      </c>
      <c r="F161" s="46" t="n">
        <f aca="false">SUMIFS('Additions (monthly)'!$E$2:$E$106,'Additions (monthly)'!$D$2:$D$106,F$2,'Additions (monthly)'!$B$2:$B$106,"&lt;="&amp;$B161)</f>
        <v>4.7</v>
      </c>
      <c r="G161" s="46" t="n">
        <f aca="false">SUMIFS('Additions (monthly)'!$E$2:$E$106,'Additions (monthly)'!$D$2:$D$106,G$2,'Additions (monthly)'!$B$2:$B$106,"&lt;="&amp;$B161)</f>
        <v>4.5</v>
      </c>
      <c r="H161" s="46" t="n">
        <f aca="false">SUMIFS('Additions (monthly)'!$E$2:$E$106,'Additions (monthly)'!$D$2:$D$106,H$2,'Additions (monthly)'!$B$2:$B$106,"&lt;="&amp;$B161)</f>
        <v>5.2</v>
      </c>
      <c r="I161" s="46" t="n">
        <f aca="false">SUMIFS('Additions (monthly)'!$E$2:$E$106,'Additions (monthly)'!$D$2:$D$106,I$2,'Additions (monthly)'!$B$2:$B$106,"&lt;="&amp;$B161)</f>
        <v>9</v>
      </c>
      <c r="J161" s="46" t="n">
        <f aca="false">SUMIFS('Additions (monthly)'!$E$2:$E$106,'Additions (monthly)'!$D$2:$D$106,J$2,'Additions (monthly)'!$B$2:$B$106,"&lt;="&amp;$B161)</f>
        <v>3.7</v>
      </c>
      <c r="K161" s="46" t="n">
        <f aca="false">SUMIFS('Additions (monthly)'!$E$2:$E$106,'Additions (monthly)'!$D$2:$D$106,K$2,'Additions (monthly)'!$B$2:$B$106,"&lt;="&amp;$B161)</f>
        <v>7.8</v>
      </c>
      <c r="L161" s="46" t="n">
        <f aca="false">SUMIFS('Additions (monthly)'!$E$2:$E$106,'Additions (monthly)'!$D$2:$D$106,L$2,'Additions (monthly)'!$B$2:$B$106,"&lt;="&amp;$B161)</f>
        <v>15.6</v>
      </c>
      <c r="M161" s="46" t="n">
        <f aca="false">SUMIFS('Additions (monthly)'!$E$2:$E$106,'Additions (monthly)'!$D$2:$D$106,M$2,'Additions (monthly)'!$B$2:$B$106,"&lt;="&amp;$B161)</f>
        <v>8.9</v>
      </c>
      <c r="N161" s="46" t="n">
        <f aca="false">SUMIFS('Additions (monthly)'!$E$2:$E$106,'Additions (monthly)'!$D$2:$D$106,N$2,'Additions (monthly)'!$B$2:$B$106,"&lt;="&amp;$B161)</f>
        <v>14.2</v>
      </c>
      <c r="O161" s="46" t="n">
        <f aca="false">SUMIFS('Additions (monthly)'!$E$2:$E$106,'Additions (monthly)'!$D$2:$D$106,O$2,'Additions (monthly)'!$B$2:$B$106,"&lt;="&amp;$B161)</f>
        <v>4.9</v>
      </c>
      <c r="P161" s="46" t="n">
        <f aca="false">SUMIFS('Additions (monthly)'!$E$2:$E$106,'Additions (monthly)'!$D$2:$D$106,P$2,'Additions (monthly)'!$B$2:$B$106,"&lt;="&amp;$B161)</f>
        <v>3.6</v>
      </c>
      <c r="Q161" s="46" t="n">
        <f aca="false">SUMIFS('Additions (monthly)'!$E$2:$E$106,'Additions (monthly)'!$D$2:$D$106,Q$2,'Additions (monthly)'!$B$2:$B$106,"&lt;="&amp;$B161)</f>
        <v>8.5</v>
      </c>
      <c r="R161" s="46" t="n">
        <f aca="false">SUMIFS('Additions (monthly)'!$E$2:$E$106,'Additions (monthly)'!$D$2:$D$106,R$2,'Additions (monthly)'!$B$2:$B$106,"&lt;="&amp;$B161)</f>
        <v>8.9</v>
      </c>
      <c r="S161" s="46" t="n">
        <f aca="false">SUMIFS('Additions (monthly)'!$E$2:$E$106,'Additions (monthly)'!$D$2:$D$106,S$2,'Additions (monthly)'!$B$2:$B$106,"&lt;="&amp;$B161)</f>
        <v>7.2</v>
      </c>
      <c r="T161" s="46" t="n">
        <f aca="false">SUMIFS('Additions (monthly)'!$E$2:$E$106,'Additions (monthly)'!$D$2:$D$106,T$2,'Additions (monthly)'!$B$2:$B$106,"&lt;="&amp;$B161)</f>
        <v>2.4</v>
      </c>
      <c r="U161" s="46" t="n">
        <f aca="false">SUMIFS('Additions (monthly)'!$E$2:$E$106,'Additions (monthly)'!$D$2:$D$106,U$2,'Additions (monthly)'!$B$2:$B$106,"&lt;="&amp;$B161)</f>
        <v>0</v>
      </c>
      <c r="V161" s="46" t="n">
        <f aca="false">SUMIFS('Additions (monthly)'!$E$2:$E$106,'Additions (monthly)'!$D$2:$D$106,V$2,'Additions (monthly)'!$B$2:$B$106,"&lt;="&amp;$B161)</f>
        <v>3.87</v>
      </c>
      <c r="W161" s="46" t="n">
        <f aca="false">SUMIFS('Additions (monthly)'!$E$2:$E$106,'Additions (monthly)'!$D$2:$D$106,W$2,'Additions (monthly)'!$B$2:$B$106,"&lt;="&amp;$B161)</f>
        <v>0</v>
      </c>
      <c r="X161" s="46" t="n">
        <f aca="false">SUMIFS('Additions (monthly)'!$E$2:$E$106,'Additions (monthly)'!$D$2:$D$106,X$2,'Additions (monthly)'!$B$2:$B$106,"&lt;="&amp;$B161)</f>
        <v>0</v>
      </c>
      <c r="Y161" s="46" t="n">
        <f aca="false">SUMIFS('Additions (monthly)'!$E$2:$E$106,'Additions (monthly)'!$D$2:$D$106,Y$2,'Additions (monthly)'!$B$2:$B$106,"&lt;="&amp;$B161)</f>
        <v>5</v>
      </c>
      <c r="Z161" s="46" t="n">
        <f aca="false">SUMIFS('Additions (monthly)'!$E$2:$E$106,'Additions (monthly)'!$D$2:$D$106,Z$2,'Additions (monthly)'!$B$2:$B$106,"&lt;="&amp;$B161)</f>
        <v>7.2</v>
      </c>
      <c r="AA161" s="46" t="n">
        <f aca="false">SUMIFS('Additions (monthly)'!$E$2:$E$106,'Additions (monthly)'!$D$2:$D$106,AA$2,'Additions (monthly)'!$B$2:$B$106,"&lt;="&amp;$B161)</f>
        <v>3.7</v>
      </c>
      <c r="AB161" s="46" t="n">
        <f aca="false">SUMIFS('Additions (monthly)'!$E$2:$E$106,'Additions (monthly)'!$D$2:$D$106,AB$2,'Additions (monthly)'!$B$2:$B$106,"&lt;="&amp;$B161)</f>
        <v>16.95</v>
      </c>
      <c r="AC161" s="46" t="n">
        <f aca="false">SUMIFS('Additions (monthly)'!$E$2:$E$106,'Additions (monthly)'!$D$2:$D$106,AC$2,'Additions (monthly)'!$B$2:$B$106,"&lt;="&amp;$B161)</f>
        <v>2</v>
      </c>
      <c r="AD161" s="46" t="n">
        <f aca="false">SUMIFS('Additions (monthly)'!$E$2:$E$106,'Additions (monthly)'!$D$2:$D$106,AD$2,'Additions (monthly)'!$B$2:$B$106,"&lt;="&amp;$B161)</f>
        <v>7.6</v>
      </c>
      <c r="AE161" s="46" t="n">
        <f aca="false">SUMIFS('Additions (monthly)'!$E$2:$E$106,'Additions (monthly)'!$D$2:$D$106,AE$2,'Additions (monthly)'!$B$2:$B$106,"&lt;="&amp;$B161)</f>
        <v>29.3</v>
      </c>
      <c r="AF161" s="46" t="n">
        <f aca="false">SUMIFS('Additions (monthly)'!$E$2:$E$106,'Additions (monthly)'!$D$2:$D$106,AF$2,'Additions (monthly)'!$B$2:$B$106,"&lt;="&amp;$B161)</f>
        <v>1.2</v>
      </c>
      <c r="AG161" s="46" t="n">
        <f aca="false">SUMIFS('Additions (monthly)'!$E$2:$E$106,'Additions (monthly)'!$D$2:$D$106,AG$2,'Additions (monthly)'!$B$2:$B$106,"&lt;="&amp;$B161)</f>
        <v>1.5</v>
      </c>
      <c r="AH161" s="46" t="n">
        <f aca="false">SUMIFS('Additions (monthly)'!$E$2:$E$106,'Additions (monthly)'!$D$2:$D$106,AH$2,'Additions (monthly)'!$B$2:$B$106,"&lt;="&amp;$B161)</f>
        <v>0</v>
      </c>
      <c r="AI161" s="46" t="n">
        <f aca="false">SUMIFS('Additions (monthly)'!$E$2:$E$106,'Additions (monthly)'!$D$2:$D$106,AI$2,'Additions (monthly)'!$B$2:$B$106,"&lt;="&amp;$B161)</f>
        <v>0</v>
      </c>
      <c r="AJ161" s="46" t="n">
        <f aca="false">SUMIFS('Additions (monthly)'!$E$2:$E$106,'Additions (monthly)'!$D$2:$D$106,AJ$2,'Additions (monthly)'!$B$2:$B$106,"&lt;="&amp;$B161)</f>
        <v>0</v>
      </c>
      <c r="AK161" s="46" t="n">
        <f aca="false">SUMIFS('Additions (monthly)'!$E$2:$E$106,'Additions (monthly)'!$D$2:$D$106,AK$2,'Additions (monthly)'!$B$2:$B$106,"&lt;="&amp;$B161)</f>
        <v>3.4</v>
      </c>
      <c r="AL161" s="46" t="n">
        <f aca="false">SUMIFS('Additions (monthly)'!$E$2:$E$106,'Additions (monthly)'!$D$2:$D$106,AL$2,'Additions (monthly)'!$B$2:$B$106,"&lt;="&amp;$B161)</f>
        <v>22.2</v>
      </c>
      <c r="AM161" s="46" t="n">
        <f aca="false">SUMIFS('Additions (monthly)'!$E$2:$E$106,'Additions (monthly)'!$D$2:$D$106,AM$2,'Additions (monthly)'!$B$2:$B$106,"&lt;="&amp;$B161)</f>
        <v>0.3</v>
      </c>
      <c r="AN161" s="46" t="n">
        <f aca="false">SUMIFS('Additions (monthly)'!$E$2:$E$106,'Additions (monthly)'!$D$2:$D$106,AN$2,'Additions (monthly)'!$B$2:$B$106,"&lt;="&amp;$B161)</f>
        <v>4.3</v>
      </c>
      <c r="AO161" s="46" t="n">
        <f aca="false">SUMIFS('Additions (monthly)'!$E$2:$E$106,'Additions (monthly)'!$D$2:$D$106,AO$2,'Additions (monthly)'!$B$2:$B$106,"&lt;="&amp;$B161)</f>
        <v>10.4</v>
      </c>
      <c r="AP161" s="46" t="n">
        <f aca="false">SUMIFS('Additions (monthly)'!$E$2:$E$106,'Additions (monthly)'!$D$2:$D$106,AP$2,'Additions (monthly)'!$B$2:$B$106,"&lt;="&amp;$B161)</f>
        <v>6.9</v>
      </c>
      <c r="AQ161" s="46" t="n">
        <f aca="false">SUMIFS('Additions (monthly)'!$E$2:$E$106,'Additions (monthly)'!$D$2:$D$106,AQ$2,'Additions (monthly)'!$B$2:$B$106,"&lt;="&amp;$B161)</f>
        <v>4.45</v>
      </c>
      <c r="AR161" s="46" t="n">
        <f aca="false">SUMIFS('Additions (monthly)'!$E$2:$E$106,'Additions (monthly)'!$D$2:$D$106,AR$2,'Additions (monthly)'!$B$2:$B$106,"&lt;="&amp;$B161)</f>
        <v>77.1</v>
      </c>
      <c r="AS161" s="46" t="n">
        <f aca="false">SUMIFS('Additions (monthly)'!$E$2:$E$106,'Additions (monthly)'!$D$2:$D$106,AS$2,'Additions (monthly)'!$B$2:$B$106,"&lt;="&amp;$B161)</f>
        <v>0</v>
      </c>
      <c r="AT161" s="46" t="n">
        <f aca="false">SUMIFS('Additions (monthly)'!$E$2:$E$106,'Additions (monthly)'!$D$2:$D$106,AT$2,'Additions (monthly)'!$B$2:$B$106,"&lt;="&amp;$B161)</f>
        <v>1.5</v>
      </c>
      <c r="AU161" s="46" t="n">
        <f aca="false">SUMIFS('Additions (monthly)'!$E$2:$E$106,'Additions (monthly)'!$D$2:$D$106,AU$2,'Additions (monthly)'!$B$2:$B$106,"&lt;="&amp;$B161)</f>
        <v>9.6</v>
      </c>
      <c r="AV161" s="46" t="n">
        <f aca="false">SUMIFS('Additions (monthly)'!$E$2:$E$106,'Additions (monthly)'!$D$2:$D$106,AV$2,'Additions (monthly)'!$B$2:$B$106,"&lt;="&amp;$B161)</f>
        <v>0.66</v>
      </c>
      <c r="AW161" s="46" t="n">
        <f aca="false">SUMIFS('Additions (monthly)'!$E$2:$E$106,'Additions (monthly)'!$D$2:$D$106,AW$2,'Additions (monthly)'!$B$2:$B$106,"&lt;="&amp;$B161)</f>
        <v>17.4</v>
      </c>
      <c r="AX161" s="46" t="n">
        <f aca="false">SUMIFS('Additions (monthly)'!$E$2:$E$106,'Additions (monthly)'!$D$2:$D$106,AX$2,'Additions (monthly)'!$B$2:$B$106,"&lt;="&amp;$B161)</f>
        <v>11.8</v>
      </c>
      <c r="AY161" s="46" t="n">
        <f aca="false">SUMIFS('Additions (monthly)'!$E$2:$E$106,'Additions (monthly)'!$D$2:$D$106,AY$2,'Additions (monthly)'!$B$2:$B$106,"&lt;="&amp;$B161)</f>
        <v>5.3</v>
      </c>
      <c r="AZ161" s="46" t="n">
        <f aca="false">SUMIFS('Additions (monthly)'!$E$2:$E$106,'Additions (monthly)'!$D$2:$D$106,AZ$2,'Additions (monthly)'!$B$2:$B$106,"&lt;="&amp;$B161)</f>
        <v>9.97</v>
      </c>
      <c r="BA161" s="46" t="n">
        <f aca="false">SUMIFS('Additions (monthly)'!$E$2:$E$106,'Additions (monthly)'!$D$2:$D$106,BA$2,'Additions (monthly)'!$B$2:$B$106,"&lt;="&amp;$B161)</f>
        <v>13.5</v>
      </c>
      <c r="BB161" s="46" t="n">
        <f aca="false">SUMIFS('Additions (monthly)'!$E$2:$E$106,'Additions (monthly)'!$D$2:$D$106,BB$2,'Additions (monthly)'!$B$2:$B$106,"&lt;="&amp;$B161)</f>
        <v>15</v>
      </c>
      <c r="BC161" s="46" t="n">
        <f aca="false">SUMIFS('Additions (monthly)'!$E$2:$E$106,'Additions (monthly)'!$D$2:$D$106,BC$2,'Additions (monthly)'!$B$2:$B$106,"&lt;="&amp;$B161)</f>
        <v>5.25</v>
      </c>
      <c r="BD161" s="46" t="n">
        <f aca="false">SUMIFS('Additions (monthly)'!$E$2:$E$106,'Additions (monthly)'!$D$2:$D$106,BD$2,'Additions (monthly)'!$B$2:$B$106,"&lt;="&amp;$B161)</f>
        <v>2.5</v>
      </c>
      <c r="BE161" s="46" t="n">
        <f aca="false">SUMIFS('Additions (monthly)'!$E$2:$E$106,'Additions (monthly)'!$D$2:$D$106,BE$2,'Additions (monthly)'!$B$2:$B$106,"&lt;="&amp;$B161)</f>
        <v>15.3</v>
      </c>
      <c r="BF161" s="46" t="n">
        <f aca="false">SUMIFS('Additions (monthly)'!$E$2:$E$106,'Additions (monthly)'!$D$2:$D$106,BF$2,'Additions (monthly)'!$B$2:$B$106,"&lt;="&amp;$B161)</f>
        <v>0</v>
      </c>
      <c r="BG161" s="46" t="n">
        <f aca="false">SUMIFS('Additions (monthly)'!$E$2:$E$106,'Additions (monthly)'!$D$2:$D$106,BG$2,'Additions (monthly)'!$B$2:$B$106,"&lt;="&amp;$B161)</f>
        <v>0</v>
      </c>
      <c r="BH161" s="46" t="n">
        <f aca="false">SUMIFS('Additions (monthly)'!$E$2:$E$106,'Additions (monthly)'!$D$2:$D$106,BH$2,'Additions (monthly)'!$B$2:$B$106,"&lt;="&amp;$B161)</f>
        <v>30</v>
      </c>
      <c r="BI161" s="46" t="n">
        <f aca="false">SUMIFS('Additions (monthly)'!$E$2:$E$106,'Additions (monthly)'!$D$2:$D$106,BI$2,'Additions (monthly)'!$B$2:$B$106,"&lt;="&amp;$B161)</f>
        <v>6.7</v>
      </c>
    </row>
    <row r="162" customFormat="false" ht="15" hidden="false" customHeight="false" outlineLevel="0" collapsed="false">
      <c r="A162" s="44" t="n">
        <v>45017</v>
      </c>
      <c r="B162" s="45" t="n">
        <v>202304</v>
      </c>
      <c r="C162" s="42" t="n">
        <f aca="false">SUMIFS('Additions (monthly)'!$E$2:$E$106,'Additions (monthly)'!$B$2:$B$106,"&lt;="&amp;$B162)</f>
        <v>477.25</v>
      </c>
      <c r="D162" s="46" t="n">
        <f aca="false">SUMIFS('Additions (monthly)'!$E$2:$E$106,'Additions (monthly)'!$D$2:$D$106,D$2,'Additions (monthly)'!$B$2:$B$106,"&lt;="&amp;$B162)</f>
        <v>7.9</v>
      </c>
      <c r="E162" s="46" t="n">
        <f aca="false">SUMIFS('Additions (monthly)'!$E$2:$E$106,'Additions (monthly)'!$D$2:$D$106,E$2,'Additions (monthly)'!$B$2:$B$106,"&lt;="&amp;$B162)</f>
        <v>8.4</v>
      </c>
      <c r="F162" s="46" t="n">
        <f aca="false">SUMIFS('Additions (monthly)'!$E$2:$E$106,'Additions (monthly)'!$D$2:$D$106,F$2,'Additions (monthly)'!$B$2:$B$106,"&lt;="&amp;$B162)</f>
        <v>4.7</v>
      </c>
      <c r="G162" s="46" t="n">
        <f aca="false">SUMIFS('Additions (monthly)'!$E$2:$E$106,'Additions (monthly)'!$D$2:$D$106,G$2,'Additions (monthly)'!$B$2:$B$106,"&lt;="&amp;$B162)</f>
        <v>4.5</v>
      </c>
      <c r="H162" s="46" t="n">
        <f aca="false">SUMIFS('Additions (monthly)'!$E$2:$E$106,'Additions (monthly)'!$D$2:$D$106,H$2,'Additions (monthly)'!$B$2:$B$106,"&lt;="&amp;$B162)</f>
        <v>5.2</v>
      </c>
      <c r="I162" s="46" t="n">
        <f aca="false">SUMIFS('Additions (monthly)'!$E$2:$E$106,'Additions (monthly)'!$D$2:$D$106,I$2,'Additions (monthly)'!$B$2:$B$106,"&lt;="&amp;$B162)</f>
        <v>9</v>
      </c>
      <c r="J162" s="46" t="n">
        <f aca="false">SUMIFS('Additions (monthly)'!$E$2:$E$106,'Additions (monthly)'!$D$2:$D$106,J$2,'Additions (monthly)'!$B$2:$B$106,"&lt;="&amp;$B162)</f>
        <v>3.7</v>
      </c>
      <c r="K162" s="46" t="n">
        <f aca="false">SUMIFS('Additions (monthly)'!$E$2:$E$106,'Additions (monthly)'!$D$2:$D$106,K$2,'Additions (monthly)'!$B$2:$B$106,"&lt;="&amp;$B162)</f>
        <v>7.8</v>
      </c>
      <c r="L162" s="46" t="n">
        <f aca="false">SUMIFS('Additions (monthly)'!$E$2:$E$106,'Additions (monthly)'!$D$2:$D$106,L$2,'Additions (monthly)'!$B$2:$B$106,"&lt;="&amp;$B162)</f>
        <v>15.6</v>
      </c>
      <c r="M162" s="46" t="n">
        <f aca="false">SUMIFS('Additions (monthly)'!$E$2:$E$106,'Additions (monthly)'!$D$2:$D$106,M$2,'Additions (monthly)'!$B$2:$B$106,"&lt;="&amp;$B162)</f>
        <v>8.9</v>
      </c>
      <c r="N162" s="46" t="n">
        <f aca="false">SUMIFS('Additions (monthly)'!$E$2:$E$106,'Additions (monthly)'!$D$2:$D$106,N$2,'Additions (monthly)'!$B$2:$B$106,"&lt;="&amp;$B162)</f>
        <v>14.2</v>
      </c>
      <c r="O162" s="46" t="n">
        <f aca="false">SUMIFS('Additions (monthly)'!$E$2:$E$106,'Additions (monthly)'!$D$2:$D$106,O$2,'Additions (monthly)'!$B$2:$B$106,"&lt;="&amp;$B162)</f>
        <v>4.9</v>
      </c>
      <c r="P162" s="46" t="n">
        <f aca="false">SUMIFS('Additions (monthly)'!$E$2:$E$106,'Additions (monthly)'!$D$2:$D$106,P$2,'Additions (monthly)'!$B$2:$B$106,"&lt;="&amp;$B162)</f>
        <v>3.6</v>
      </c>
      <c r="Q162" s="46" t="n">
        <f aca="false">SUMIFS('Additions (monthly)'!$E$2:$E$106,'Additions (monthly)'!$D$2:$D$106,Q$2,'Additions (monthly)'!$B$2:$B$106,"&lt;="&amp;$B162)</f>
        <v>8.5</v>
      </c>
      <c r="R162" s="46" t="n">
        <f aca="false">SUMIFS('Additions (monthly)'!$E$2:$E$106,'Additions (monthly)'!$D$2:$D$106,R$2,'Additions (monthly)'!$B$2:$B$106,"&lt;="&amp;$B162)</f>
        <v>8.9</v>
      </c>
      <c r="S162" s="46" t="n">
        <f aca="false">SUMIFS('Additions (monthly)'!$E$2:$E$106,'Additions (monthly)'!$D$2:$D$106,S$2,'Additions (monthly)'!$B$2:$B$106,"&lt;="&amp;$B162)</f>
        <v>7.2</v>
      </c>
      <c r="T162" s="46" t="n">
        <f aca="false">SUMIFS('Additions (monthly)'!$E$2:$E$106,'Additions (monthly)'!$D$2:$D$106,T$2,'Additions (monthly)'!$B$2:$B$106,"&lt;="&amp;$B162)</f>
        <v>2.4</v>
      </c>
      <c r="U162" s="46" t="n">
        <f aca="false">SUMIFS('Additions (monthly)'!$E$2:$E$106,'Additions (monthly)'!$D$2:$D$106,U$2,'Additions (monthly)'!$B$2:$B$106,"&lt;="&amp;$B162)</f>
        <v>0</v>
      </c>
      <c r="V162" s="46" t="n">
        <f aca="false">SUMIFS('Additions (monthly)'!$E$2:$E$106,'Additions (monthly)'!$D$2:$D$106,V$2,'Additions (monthly)'!$B$2:$B$106,"&lt;="&amp;$B162)</f>
        <v>3.87</v>
      </c>
      <c r="W162" s="46" t="n">
        <f aca="false">SUMIFS('Additions (monthly)'!$E$2:$E$106,'Additions (monthly)'!$D$2:$D$106,W$2,'Additions (monthly)'!$B$2:$B$106,"&lt;="&amp;$B162)</f>
        <v>0</v>
      </c>
      <c r="X162" s="46" t="n">
        <f aca="false">SUMIFS('Additions (monthly)'!$E$2:$E$106,'Additions (monthly)'!$D$2:$D$106,X$2,'Additions (monthly)'!$B$2:$B$106,"&lt;="&amp;$B162)</f>
        <v>0</v>
      </c>
      <c r="Y162" s="46" t="n">
        <f aca="false">SUMIFS('Additions (monthly)'!$E$2:$E$106,'Additions (monthly)'!$D$2:$D$106,Y$2,'Additions (monthly)'!$B$2:$B$106,"&lt;="&amp;$B162)</f>
        <v>5</v>
      </c>
      <c r="Z162" s="46" t="n">
        <f aca="false">SUMIFS('Additions (monthly)'!$E$2:$E$106,'Additions (monthly)'!$D$2:$D$106,Z$2,'Additions (monthly)'!$B$2:$B$106,"&lt;="&amp;$B162)</f>
        <v>7.2</v>
      </c>
      <c r="AA162" s="46" t="n">
        <f aca="false">SUMIFS('Additions (monthly)'!$E$2:$E$106,'Additions (monthly)'!$D$2:$D$106,AA$2,'Additions (monthly)'!$B$2:$B$106,"&lt;="&amp;$B162)</f>
        <v>3.7</v>
      </c>
      <c r="AB162" s="46" t="n">
        <f aca="false">SUMIFS('Additions (monthly)'!$E$2:$E$106,'Additions (monthly)'!$D$2:$D$106,AB$2,'Additions (monthly)'!$B$2:$B$106,"&lt;="&amp;$B162)</f>
        <v>16.95</v>
      </c>
      <c r="AC162" s="46" t="n">
        <f aca="false">SUMIFS('Additions (monthly)'!$E$2:$E$106,'Additions (monthly)'!$D$2:$D$106,AC$2,'Additions (monthly)'!$B$2:$B$106,"&lt;="&amp;$B162)</f>
        <v>2</v>
      </c>
      <c r="AD162" s="46" t="n">
        <f aca="false">SUMIFS('Additions (monthly)'!$E$2:$E$106,'Additions (monthly)'!$D$2:$D$106,AD$2,'Additions (monthly)'!$B$2:$B$106,"&lt;="&amp;$B162)</f>
        <v>7.6</v>
      </c>
      <c r="AE162" s="46" t="n">
        <f aca="false">SUMIFS('Additions (monthly)'!$E$2:$E$106,'Additions (monthly)'!$D$2:$D$106,AE$2,'Additions (monthly)'!$B$2:$B$106,"&lt;="&amp;$B162)</f>
        <v>29.3</v>
      </c>
      <c r="AF162" s="46" t="n">
        <f aca="false">SUMIFS('Additions (monthly)'!$E$2:$E$106,'Additions (monthly)'!$D$2:$D$106,AF$2,'Additions (monthly)'!$B$2:$B$106,"&lt;="&amp;$B162)</f>
        <v>1.2</v>
      </c>
      <c r="AG162" s="46" t="n">
        <f aca="false">SUMIFS('Additions (monthly)'!$E$2:$E$106,'Additions (monthly)'!$D$2:$D$106,AG$2,'Additions (monthly)'!$B$2:$B$106,"&lt;="&amp;$B162)</f>
        <v>1.5</v>
      </c>
      <c r="AH162" s="46" t="n">
        <f aca="false">SUMIFS('Additions (monthly)'!$E$2:$E$106,'Additions (monthly)'!$D$2:$D$106,AH$2,'Additions (monthly)'!$B$2:$B$106,"&lt;="&amp;$B162)</f>
        <v>0</v>
      </c>
      <c r="AI162" s="46" t="n">
        <f aca="false">SUMIFS('Additions (monthly)'!$E$2:$E$106,'Additions (monthly)'!$D$2:$D$106,AI$2,'Additions (monthly)'!$B$2:$B$106,"&lt;="&amp;$B162)</f>
        <v>0</v>
      </c>
      <c r="AJ162" s="46" t="n">
        <f aca="false">SUMIFS('Additions (monthly)'!$E$2:$E$106,'Additions (monthly)'!$D$2:$D$106,AJ$2,'Additions (monthly)'!$B$2:$B$106,"&lt;="&amp;$B162)</f>
        <v>0</v>
      </c>
      <c r="AK162" s="46" t="n">
        <f aca="false">SUMIFS('Additions (monthly)'!$E$2:$E$106,'Additions (monthly)'!$D$2:$D$106,AK$2,'Additions (monthly)'!$B$2:$B$106,"&lt;="&amp;$B162)</f>
        <v>3.4</v>
      </c>
      <c r="AL162" s="46" t="n">
        <f aca="false">SUMIFS('Additions (monthly)'!$E$2:$E$106,'Additions (monthly)'!$D$2:$D$106,AL$2,'Additions (monthly)'!$B$2:$B$106,"&lt;="&amp;$B162)</f>
        <v>22.2</v>
      </c>
      <c r="AM162" s="46" t="n">
        <f aca="false">SUMIFS('Additions (monthly)'!$E$2:$E$106,'Additions (monthly)'!$D$2:$D$106,AM$2,'Additions (monthly)'!$B$2:$B$106,"&lt;="&amp;$B162)</f>
        <v>0.3</v>
      </c>
      <c r="AN162" s="46" t="n">
        <f aca="false">SUMIFS('Additions (monthly)'!$E$2:$E$106,'Additions (monthly)'!$D$2:$D$106,AN$2,'Additions (monthly)'!$B$2:$B$106,"&lt;="&amp;$B162)</f>
        <v>4.3</v>
      </c>
      <c r="AO162" s="46" t="n">
        <f aca="false">SUMIFS('Additions (monthly)'!$E$2:$E$106,'Additions (monthly)'!$D$2:$D$106,AO$2,'Additions (monthly)'!$B$2:$B$106,"&lt;="&amp;$B162)</f>
        <v>10.4</v>
      </c>
      <c r="AP162" s="46" t="n">
        <f aca="false">SUMIFS('Additions (monthly)'!$E$2:$E$106,'Additions (monthly)'!$D$2:$D$106,AP$2,'Additions (monthly)'!$B$2:$B$106,"&lt;="&amp;$B162)</f>
        <v>6.9</v>
      </c>
      <c r="AQ162" s="46" t="n">
        <f aca="false">SUMIFS('Additions (monthly)'!$E$2:$E$106,'Additions (monthly)'!$D$2:$D$106,AQ$2,'Additions (monthly)'!$B$2:$B$106,"&lt;="&amp;$B162)</f>
        <v>4.45</v>
      </c>
      <c r="AR162" s="46" t="n">
        <f aca="false">SUMIFS('Additions (monthly)'!$E$2:$E$106,'Additions (monthly)'!$D$2:$D$106,AR$2,'Additions (monthly)'!$B$2:$B$106,"&lt;="&amp;$B162)</f>
        <v>77.1</v>
      </c>
      <c r="AS162" s="46" t="n">
        <f aca="false">SUMIFS('Additions (monthly)'!$E$2:$E$106,'Additions (monthly)'!$D$2:$D$106,AS$2,'Additions (monthly)'!$B$2:$B$106,"&lt;="&amp;$B162)</f>
        <v>0</v>
      </c>
      <c r="AT162" s="46" t="n">
        <f aca="false">SUMIFS('Additions (monthly)'!$E$2:$E$106,'Additions (monthly)'!$D$2:$D$106,AT$2,'Additions (monthly)'!$B$2:$B$106,"&lt;="&amp;$B162)</f>
        <v>1.5</v>
      </c>
      <c r="AU162" s="46" t="n">
        <f aca="false">SUMIFS('Additions (monthly)'!$E$2:$E$106,'Additions (monthly)'!$D$2:$D$106,AU$2,'Additions (monthly)'!$B$2:$B$106,"&lt;="&amp;$B162)</f>
        <v>9.6</v>
      </c>
      <c r="AV162" s="46" t="n">
        <f aca="false">SUMIFS('Additions (monthly)'!$E$2:$E$106,'Additions (monthly)'!$D$2:$D$106,AV$2,'Additions (monthly)'!$B$2:$B$106,"&lt;="&amp;$B162)</f>
        <v>0.66</v>
      </c>
      <c r="AW162" s="46" t="n">
        <f aca="false">SUMIFS('Additions (monthly)'!$E$2:$E$106,'Additions (monthly)'!$D$2:$D$106,AW$2,'Additions (monthly)'!$B$2:$B$106,"&lt;="&amp;$B162)</f>
        <v>17.4</v>
      </c>
      <c r="AX162" s="46" t="n">
        <f aca="false">SUMIFS('Additions (monthly)'!$E$2:$E$106,'Additions (monthly)'!$D$2:$D$106,AX$2,'Additions (monthly)'!$B$2:$B$106,"&lt;="&amp;$B162)</f>
        <v>11.8</v>
      </c>
      <c r="AY162" s="46" t="n">
        <f aca="false">SUMIFS('Additions (monthly)'!$E$2:$E$106,'Additions (monthly)'!$D$2:$D$106,AY$2,'Additions (monthly)'!$B$2:$B$106,"&lt;="&amp;$B162)</f>
        <v>5.3</v>
      </c>
      <c r="AZ162" s="46" t="n">
        <f aca="false">SUMIFS('Additions (monthly)'!$E$2:$E$106,'Additions (monthly)'!$D$2:$D$106,AZ$2,'Additions (monthly)'!$B$2:$B$106,"&lt;="&amp;$B162)</f>
        <v>9.97</v>
      </c>
      <c r="BA162" s="46" t="n">
        <f aca="false">SUMIFS('Additions (monthly)'!$E$2:$E$106,'Additions (monthly)'!$D$2:$D$106,BA$2,'Additions (monthly)'!$B$2:$B$106,"&lt;="&amp;$B162)</f>
        <v>13.5</v>
      </c>
      <c r="BB162" s="46" t="n">
        <f aca="false">SUMIFS('Additions (monthly)'!$E$2:$E$106,'Additions (monthly)'!$D$2:$D$106,BB$2,'Additions (monthly)'!$B$2:$B$106,"&lt;="&amp;$B162)</f>
        <v>15</v>
      </c>
      <c r="BC162" s="46" t="n">
        <f aca="false">SUMIFS('Additions (monthly)'!$E$2:$E$106,'Additions (monthly)'!$D$2:$D$106,BC$2,'Additions (monthly)'!$B$2:$B$106,"&lt;="&amp;$B162)</f>
        <v>5.25</v>
      </c>
      <c r="BD162" s="46" t="n">
        <f aca="false">SUMIFS('Additions (monthly)'!$E$2:$E$106,'Additions (monthly)'!$D$2:$D$106,BD$2,'Additions (monthly)'!$B$2:$B$106,"&lt;="&amp;$B162)</f>
        <v>2.5</v>
      </c>
      <c r="BE162" s="46" t="n">
        <f aca="false">SUMIFS('Additions (monthly)'!$E$2:$E$106,'Additions (monthly)'!$D$2:$D$106,BE$2,'Additions (monthly)'!$B$2:$B$106,"&lt;="&amp;$B162)</f>
        <v>15.3</v>
      </c>
      <c r="BF162" s="46" t="n">
        <f aca="false">SUMIFS('Additions (monthly)'!$E$2:$E$106,'Additions (monthly)'!$D$2:$D$106,BF$2,'Additions (monthly)'!$B$2:$B$106,"&lt;="&amp;$B162)</f>
        <v>0</v>
      </c>
      <c r="BG162" s="46" t="n">
        <f aca="false">SUMIFS('Additions (monthly)'!$E$2:$E$106,'Additions (monthly)'!$D$2:$D$106,BG$2,'Additions (monthly)'!$B$2:$B$106,"&lt;="&amp;$B162)</f>
        <v>0</v>
      </c>
      <c r="BH162" s="46" t="n">
        <f aca="false">SUMIFS('Additions (monthly)'!$E$2:$E$106,'Additions (monthly)'!$D$2:$D$106,BH$2,'Additions (monthly)'!$B$2:$B$106,"&lt;="&amp;$B162)</f>
        <v>30</v>
      </c>
      <c r="BI162" s="46" t="n">
        <f aca="false">SUMIFS('Additions (monthly)'!$E$2:$E$106,'Additions (monthly)'!$D$2:$D$106,BI$2,'Additions (monthly)'!$B$2:$B$106,"&lt;="&amp;$B162)</f>
        <v>6.7</v>
      </c>
    </row>
    <row r="163" customFormat="false" ht="15" hidden="false" customHeight="false" outlineLevel="0" collapsed="false">
      <c r="A163" s="44" t="n">
        <v>45047</v>
      </c>
      <c r="B163" s="45" t="n">
        <v>202305</v>
      </c>
      <c r="C163" s="42" t="n">
        <f aca="false">SUMIFS('Additions (monthly)'!$E$2:$E$106,'Additions (monthly)'!$B$2:$B$106,"&lt;="&amp;$B163)</f>
        <v>477.25</v>
      </c>
      <c r="D163" s="46" t="n">
        <f aca="false">SUMIFS('Additions (monthly)'!$E$2:$E$106,'Additions (monthly)'!$D$2:$D$106,D$2,'Additions (monthly)'!$B$2:$B$106,"&lt;="&amp;$B163)</f>
        <v>7.9</v>
      </c>
      <c r="E163" s="46" t="n">
        <f aca="false">SUMIFS('Additions (monthly)'!$E$2:$E$106,'Additions (monthly)'!$D$2:$D$106,E$2,'Additions (monthly)'!$B$2:$B$106,"&lt;="&amp;$B163)</f>
        <v>8.4</v>
      </c>
      <c r="F163" s="46" t="n">
        <f aca="false">SUMIFS('Additions (monthly)'!$E$2:$E$106,'Additions (monthly)'!$D$2:$D$106,F$2,'Additions (monthly)'!$B$2:$B$106,"&lt;="&amp;$B163)</f>
        <v>4.7</v>
      </c>
      <c r="G163" s="46" t="n">
        <f aca="false">SUMIFS('Additions (monthly)'!$E$2:$E$106,'Additions (monthly)'!$D$2:$D$106,G$2,'Additions (monthly)'!$B$2:$B$106,"&lt;="&amp;$B163)</f>
        <v>4.5</v>
      </c>
      <c r="H163" s="46" t="n">
        <f aca="false">SUMIFS('Additions (monthly)'!$E$2:$E$106,'Additions (monthly)'!$D$2:$D$106,H$2,'Additions (monthly)'!$B$2:$B$106,"&lt;="&amp;$B163)</f>
        <v>5.2</v>
      </c>
      <c r="I163" s="46" t="n">
        <f aca="false">SUMIFS('Additions (monthly)'!$E$2:$E$106,'Additions (monthly)'!$D$2:$D$106,I$2,'Additions (monthly)'!$B$2:$B$106,"&lt;="&amp;$B163)</f>
        <v>9</v>
      </c>
      <c r="J163" s="46" t="n">
        <f aca="false">SUMIFS('Additions (monthly)'!$E$2:$E$106,'Additions (monthly)'!$D$2:$D$106,J$2,'Additions (monthly)'!$B$2:$B$106,"&lt;="&amp;$B163)</f>
        <v>3.7</v>
      </c>
      <c r="K163" s="46" t="n">
        <f aca="false">SUMIFS('Additions (monthly)'!$E$2:$E$106,'Additions (monthly)'!$D$2:$D$106,K$2,'Additions (monthly)'!$B$2:$B$106,"&lt;="&amp;$B163)</f>
        <v>7.8</v>
      </c>
      <c r="L163" s="46" t="n">
        <f aca="false">SUMIFS('Additions (monthly)'!$E$2:$E$106,'Additions (monthly)'!$D$2:$D$106,L$2,'Additions (monthly)'!$B$2:$B$106,"&lt;="&amp;$B163)</f>
        <v>15.6</v>
      </c>
      <c r="M163" s="46" t="n">
        <f aca="false">SUMIFS('Additions (monthly)'!$E$2:$E$106,'Additions (monthly)'!$D$2:$D$106,M$2,'Additions (monthly)'!$B$2:$B$106,"&lt;="&amp;$B163)</f>
        <v>8.9</v>
      </c>
      <c r="N163" s="46" t="n">
        <f aca="false">SUMIFS('Additions (monthly)'!$E$2:$E$106,'Additions (monthly)'!$D$2:$D$106,N$2,'Additions (monthly)'!$B$2:$B$106,"&lt;="&amp;$B163)</f>
        <v>14.2</v>
      </c>
      <c r="O163" s="46" t="n">
        <f aca="false">SUMIFS('Additions (monthly)'!$E$2:$E$106,'Additions (monthly)'!$D$2:$D$106,O$2,'Additions (monthly)'!$B$2:$B$106,"&lt;="&amp;$B163)</f>
        <v>4.9</v>
      </c>
      <c r="P163" s="46" t="n">
        <f aca="false">SUMIFS('Additions (monthly)'!$E$2:$E$106,'Additions (monthly)'!$D$2:$D$106,P$2,'Additions (monthly)'!$B$2:$B$106,"&lt;="&amp;$B163)</f>
        <v>3.6</v>
      </c>
      <c r="Q163" s="46" t="n">
        <f aca="false">SUMIFS('Additions (monthly)'!$E$2:$E$106,'Additions (monthly)'!$D$2:$D$106,Q$2,'Additions (monthly)'!$B$2:$B$106,"&lt;="&amp;$B163)</f>
        <v>8.5</v>
      </c>
      <c r="R163" s="46" t="n">
        <f aca="false">SUMIFS('Additions (monthly)'!$E$2:$E$106,'Additions (monthly)'!$D$2:$D$106,R$2,'Additions (monthly)'!$B$2:$B$106,"&lt;="&amp;$B163)</f>
        <v>8.9</v>
      </c>
      <c r="S163" s="46" t="n">
        <f aca="false">SUMIFS('Additions (monthly)'!$E$2:$E$106,'Additions (monthly)'!$D$2:$D$106,S$2,'Additions (monthly)'!$B$2:$B$106,"&lt;="&amp;$B163)</f>
        <v>7.2</v>
      </c>
      <c r="T163" s="46" t="n">
        <f aca="false">SUMIFS('Additions (monthly)'!$E$2:$E$106,'Additions (monthly)'!$D$2:$D$106,T$2,'Additions (monthly)'!$B$2:$B$106,"&lt;="&amp;$B163)</f>
        <v>2.4</v>
      </c>
      <c r="U163" s="46" t="n">
        <f aca="false">SUMIFS('Additions (monthly)'!$E$2:$E$106,'Additions (monthly)'!$D$2:$D$106,U$2,'Additions (monthly)'!$B$2:$B$106,"&lt;="&amp;$B163)</f>
        <v>0</v>
      </c>
      <c r="V163" s="46" t="n">
        <f aca="false">SUMIFS('Additions (monthly)'!$E$2:$E$106,'Additions (monthly)'!$D$2:$D$106,V$2,'Additions (monthly)'!$B$2:$B$106,"&lt;="&amp;$B163)</f>
        <v>3.87</v>
      </c>
      <c r="W163" s="46" t="n">
        <f aca="false">SUMIFS('Additions (monthly)'!$E$2:$E$106,'Additions (monthly)'!$D$2:$D$106,W$2,'Additions (monthly)'!$B$2:$B$106,"&lt;="&amp;$B163)</f>
        <v>0</v>
      </c>
      <c r="X163" s="46" t="n">
        <f aca="false">SUMIFS('Additions (monthly)'!$E$2:$E$106,'Additions (monthly)'!$D$2:$D$106,X$2,'Additions (monthly)'!$B$2:$B$106,"&lt;="&amp;$B163)</f>
        <v>0</v>
      </c>
      <c r="Y163" s="46" t="n">
        <f aca="false">SUMIFS('Additions (monthly)'!$E$2:$E$106,'Additions (monthly)'!$D$2:$D$106,Y$2,'Additions (monthly)'!$B$2:$B$106,"&lt;="&amp;$B163)</f>
        <v>5</v>
      </c>
      <c r="Z163" s="46" t="n">
        <f aca="false">SUMIFS('Additions (monthly)'!$E$2:$E$106,'Additions (monthly)'!$D$2:$D$106,Z$2,'Additions (monthly)'!$B$2:$B$106,"&lt;="&amp;$B163)</f>
        <v>7.2</v>
      </c>
      <c r="AA163" s="46" t="n">
        <f aca="false">SUMIFS('Additions (monthly)'!$E$2:$E$106,'Additions (monthly)'!$D$2:$D$106,AA$2,'Additions (monthly)'!$B$2:$B$106,"&lt;="&amp;$B163)</f>
        <v>3.7</v>
      </c>
      <c r="AB163" s="46" t="n">
        <f aca="false">SUMIFS('Additions (monthly)'!$E$2:$E$106,'Additions (monthly)'!$D$2:$D$106,AB$2,'Additions (monthly)'!$B$2:$B$106,"&lt;="&amp;$B163)</f>
        <v>16.95</v>
      </c>
      <c r="AC163" s="46" t="n">
        <f aca="false">SUMIFS('Additions (monthly)'!$E$2:$E$106,'Additions (monthly)'!$D$2:$D$106,AC$2,'Additions (monthly)'!$B$2:$B$106,"&lt;="&amp;$B163)</f>
        <v>2</v>
      </c>
      <c r="AD163" s="46" t="n">
        <f aca="false">SUMIFS('Additions (monthly)'!$E$2:$E$106,'Additions (monthly)'!$D$2:$D$106,AD$2,'Additions (monthly)'!$B$2:$B$106,"&lt;="&amp;$B163)</f>
        <v>7.6</v>
      </c>
      <c r="AE163" s="46" t="n">
        <f aca="false">SUMIFS('Additions (monthly)'!$E$2:$E$106,'Additions (monthly)'!$D$2:$D$106,AE$2,'Additions (monthly)'!$B$2:$B$106,"&lt;="&amp;$B163)</f>
        <v>29.3</v>
      </c>
      <c r="AF163" s="46" t="n">
        <f aca="false">SUMIFS('Additions (monthly)'!$E$2:$E$106,'Additions (monthly)'!$D$2:$D$106,AF$2,'Additions (monthly)'!$B$2:$B$106,"&lt;="&amp;$B163)</f>
        <v>1.2</v>
      </c>
      <c r="AG163" s="46" t="n">
        <f aca="false">SUMIFS('Additions (monthly)'!$E$2:$E$106,'Additions (monthly)'!$D$2:$D$106,AG$2,'Additions (monthly)'!$B$2:$B$106,"&lt;="&amp;$B163)</f>
        <v>1.5</v>
      </c>
      <c r="AH163" s="46" t="n">
        <f aca="false">SUMIFS('Additions (monthly)'!$E$2:$E$106,'Additions (monthly)'!$D$2:$D$106,AH$2,'Additions (monthly)'!$B$2:$B$106,"&lt;="&amp;$B163)</f>
        <v>0</v>
      </c>
      <c r="AI163" s="46" t="n">
        <f aca="false">SUMIFS('Additions (monthly)'!$E$2:$E$106,'Additions (monthly)'!$D$2:$D$106,AI$2,'Additions (monthly)'!$B$2:$B$106,"&lt;="&amp;$B163)</f>
        <v>0</v>
      </c>
      <c r="AJ163" s="46" t="n">
        <f aca="false">SUMIFS('Additions (monthly)'!$E$2:$E$106,'Additions (monthly)'!$D$2:$D$106,AJ$2,'Additions (monthly)'!$B$2:$B$106,"&lt;="&amp;$B163)</f>
        <v>0</v>
      </c>
      <c r="AK163" s="46" t="n">
        <f aca="false">SUMIFS('Additions (monthly)'!$E$2:$E$106,'Additions (monthly)'!$D$2:$D$106,AK$2,'Additions (monthly)'!$B$2:$B$106,"&lt;="&amp;$B163)</f>
        <v>3.4</v>
      </c>
      <c r="AL163" s="46" t="n">
        <f aca="false">SUMIFS('Additions (monthly)'!$E$2:$E$106,'Additions (monthly)'!$D$2:$D$106,AL$2,'Additions (monthly)'!$B$2:$B$106,"&lt;="&amp;$B163)</f>
        <v>22.2</v>
      </c>
      <c r="AM163" s="46" t="n">
        <f aca="false">SUMIFS('Additions (monthly)'!$E$2:$E$106,'Additions (monthly)'!$D$2:$D$106,AM$2,'Additions (monthly)'!$B$2:$B$106,"&lt;="&amp;$B163)</f>
        <v>0.3</v>
      </c>
      <c r="AN163" s="46" t="n">
        <f aca="false">SUMIFS('Additions (monthly)'!$E$2:$E$106,'Additions (monthly)'!$D$2:$D$106,AN$2,'Additions (monthly)'!$B$2:$B$106,"&lt;="&amp;$B163)</f>
        <v>4.3</v>
      </c>
      <c r="AO163" s="46" t="n">
        <f aca="false">SUMIFS('Additions (monthly)'!$E$2:$E$106,'Additions (monthly)'!$D$2:$D$106,AO$2,'Additions (monthly)'!$B$2:$B$106,"&lt;="&amp;$B163)</f>
        <v>10.4</v>
      </c>
      <c r="AP163" s="46" t="n">
        <f aca="false">SUMIFS('Additions (monthly)'!$E$2:$E$106,'Additions (monthly)'!$D$2:$D$106,AP$2,'Additions (monthly)'!$B$2:$B$106,"&lt;="&amp;$B163)</f>
        <v>6.9</v>
      </c>
      <c r="AQ163" s="46" t="n">
        <f aca="false">SUMIFS('Additions (monthly)'!$E$2:$E$106,'Additions (monthly)'!$D$2:$D$106,AQ$2,'Additions (monthly)'!$B$2:$B$106,"&lt;="&amp;$B163)</f>
        <v>4.45</v>
      </c>
      <c r="AR163" s="46" t="n">
        <f aca="false">SUMIFS('Additions (monthly)'!$E$2:$E$106,'Additions (monthly)'!$D$2:$D$106,AR$2,'Additions (monthly)'!$B$2:$B$106,"&lt;="&amp;$B163)</f>
        <v>77.1</v>
      </c>
      <c r="AS163" s="46" t="n">
        <f aca="false">SUMIFS('Additions (monthly)'!$E$2:$E$106,'Additions (monthly)'!$D$2:$D$106,AS$2,'Additions (monthly)'!$B$2:$B$106,"&lt;="&amp;$B163)</f>
        <v>0</v>
      </c>
      <c r="AT163" s="46" t="n">
        <f aca="false">SUMIFS('Additions (monthly)'!$E$2:$E$106,'Additions (monthly)'!$D$2:$D$106,AT$2,'Additions (monthly)'!$B$2:$B$106,"&lt;="&amp;$B163)</f>
        <v>1.5</v>
      </c>
      <c r="AU163" s="46" t="n">
        <f aca="false">SUMIFS('Additions (monthly)'!$E$2:$E$106,'Additions (monthly)'!$D$2:$D$106,AU$2,'Additions (monthly)'!$B$2:$B$106,"&lt;="&amp;$B163)</f>
        <v>9.6</v>
      </c>
      <c r="AV163" s="46" t="n">
        <f aca="false">SUMIFS('Additions (monthly)'!$E$2:$E$106,'Additions (monthly)'!$D$2:$D$106,AV$2,'Additions (monthly)'!$B$2:$B$106,"&lt;="&amp;$B163)</f>
        <v>0.66</v>
      </c>
      <c r="AW163" s="46" t="n">
        <f aca="false">SUMIFS('Additions (monthly)'!$E$2:$E$106,'Additions (monthly)'!$D$2:$D$106,AW$2,'Additions (monthly)'!$B$2:$B$106,"&lt;="&amp;$B163)</f>
        <v>17.4</v>
      </c>
      <c r="AX163" s="46" t="n">
        <f aca="false">SUMIFS('Additions (monthly)'!$E$2:$E$106,'Additions (monthly)'!$D$2:$D$106,AX$2,'Additions (monthly)'!$B$2:$B$106,"&lt;="&amp;$B163)</f>
        <v>11.8</v>
      </c>
      <c r="AY163" s="46" t="n">
        <f aca="false">SUMIFS('Additions (monthly)'!$E$2:$E$106,'Additions (monthly)'!$D$2:$D$106,AY$2,'Additions (monthly)'!$B$2:$B$106,"&lt;="&amp;$B163)</f>
        <v>5.3</v>
      </c>
      <c r="AZ163" s="46" t="n">
        <f aca="false">SUMIFS('Additions (monthly)'!$E$2:$E$106,'Additions (monthly)'!$D$2:$D$106,AZ$2,'Additions (monthly)'!$B$2:$B$106,"&lt;="&amp;$B163)</f>
        <v>9.97</v>
      </c>
      <c r="BA163" s="46" t="n">
        <f aca="false">SUMIFS('Additions (monthly)'!$E$2:$E$106,'Additions (monthly)'!$D$2:$D$106,BA$2,'Additions (monthly)'!$B$2:$B$106,"&lt;="&amp;$B163)</f>
        <v>13.5</v>
      </c>
      <c r="BB163" s="46" t="n">
        <f aca="false">SUMIFS('Additions (monthly)'!$E$2:$E$106,'Additions (monthly)'!$D$2:$D$106,BB$2,'Additions (monthly)'!$B$2:$B$106,"&lt;="&amp;$B163)</f>
        <v>15</v>
      </c>
      <c r="BC163" s="46" t="n">
        <f aca="false">SUMIFS('Additions (monthly)'!$E$2:$E$106,'Additions (monthly)'!$D$2:$D$106,BC$2,'Additions (monthly)'!$B$2:$B$106,"&lt;="&amp;$B163)</f>
        <v>5.25</v>
      </c>
      <c r="BD163" s="46" t="n">
        <f aca="false">SUMIFS('Additions (monthly)'!$E$2:$E$106,'Additions (monthly)'!$D$2:$D$106,BD$2,'Additions (monthly)'!$B$2:$B$106,"&lt;="&amp;$B163)</f>
        <v>2.5</v>
      </c>
      <c r="BE163" s="46" t="n">
        <f aca="false">SUMIFS('Additions (monthly)'!$E$2:$E$106,'Additions (monthly)'!$D$2:$D$106,BE$2,'Additions (monthly)'!$B$2:$B$106,"&lt;="&amp;$B163)</f>
        <v>15.3</v>
      </c>
      <c r="BF163" s="46" t="n">
        <f aca="false">SUMIFS('Additions (monthly)'!$E$2:$E$106,'Additions (monthly)'!$D$2:$D$106,BF$2,'Additions (monthly)'!$B$2:$B$106,"&lt;="&amp;$B163)</f>
        <v>0</v>
      </c>
      <c r="BG163" s="46" t="n">
        <f aca="false">SUMIFS('Additions (monthly)'!$E$2:$E$106,'Additions (monthly)'!$D$2:$D$106,BG$2,'Additions (monthly)'!$B$2:$B$106,"&lt;="&amp;$B163)</f>
        <v>0</v>
      </c>
      <c r="BH163" s="46" t="n">
        <f aca="false">SUMIFS('Additions (monthly)'!$E$2:$E$106,'Additions (monthly)'!$D$2:$D$106,BH$2,'Additions (monthly)'!$B$2:$B$106,"&lt;="&amp;$B163)</f>
        <v>30</v>
      </c>
      <c r="BI163" s="46" t="n">
        <f aca="false">SUMIFS('Additions (monthly)'!$E$2:$E$106,'Additions (monthly)'!$D$2:$D$106,BI$2,'Additions (monthly)'!$B$2:$B$106,"&lt;="&amp;$B163)</f>
        <v>6.7</v>
      </c>
    </row>
    <row r="164" customFormat="false" ht="15" hidden="false" customHeight="false" outlineLevel="0" collapsed="false">
      <c r="A164" s="44" t="n">
        <v>45078</v>
      </c>
      <c r="B164" s="45" t="n">
        <v>202306</v>
      </c>
      <c r="C164" s="42" t="n">
        <f aca="false">SUMIFS('Additions (monthly)'!$E$2:$E$106,'Additions (monthly)'!$B$2:$B$106,"&lt;="&amp;$B164)</f>
        <v>477.25</v>
      </c>
      <c r="D164" s="46" t="n">
        <f aca="false">SUMIFS('Additions (monthly)'!$E$2:$E$106,'Additions (monthly)'!$D$2:$D$106,D$2,'Additions (monthly)'!$B$2:$B$106,"&lt;="&amp;$B164)</f>
        <v>7.9</v>
      </c>
      <c r="E164" s="46" t="n">
        <f aca="false">SUMIFS('Additions (monthly)'!$E$2:$E$106,'Additions (monthly)'!$D$2:$D$106,E$2,'Additions (monthly)'!$B$2:$B$106,"&lt;="&amp;$B164)</f>
        <v>8.4</v>
      </c>
      <c r="F164" s="46" t="n">
        <f aca="false">SUMIFS('Additions (monthly)'!$E$2:$E$106,'Additions (monthly)'!$D$2:$D$106,F$2,'Additions (monthly)'!$B$2:$B$106,"&lt;="&amp;$B164)</f>
        <v>4.7</v>
      </c>
      <c r="G164" s="46" t="n">
        <f aca="false">SUMIFS('Additions (monthly)'!$E$2:$E$106,'Additions (monthly)'!$D$2:$D$106,G$2,'Additions (monthly)'!$B$2:$B$106,"&lt;="&amp;$B164)</f>
        <v>4.5</v>
      </c>
      <c r="H164" s="46" t="n">
        <f aca="false">SUMIFS('Additions (monthly)'!$E$2:$E$106,'Additions (monthly)'!$D$2:$D$106,H$2,'Additions (monthly)'!$B$2:$B$106,"&lt;="&amp;$B164)</f>
        <v>5.2</v>
      </c>
      <c r="I164" s="46" t="n">
        <f aca="false">SUMIFS('Additions (monthly)'!$E$2:$E$106,'Additions (monthly)'!$D$2:$D$106,I$2,'Additions (monthly)'!$B$2:$B$106,"&lt;="&amp;$B164)</f>
        <v>9</v>
      </c>
      <c r="J164" s="46" t="n">
        <f aca="false">SUMIFS('Additions (monthly)'!$E$2:$E$106,'Additions (monthly)'!$D$2:$D$106,J$2,'Additions (monthly)'!$B$2:$B$106,"&lt;="&amp;$B164)</f>
        <v>3.7</v>
      </c>
      <c r="K164" s="46" t="n">
        <f aca="false">SUMIFS('Additions (monthly)'!$E$2:$E$106,'Additions (monthly)'!$D$2:$D$106,K$2,'Additions (monthly)'!$B$2:$B$106,"&lt;="&amp;$B164)</f>
        <v>7.8</v>
      </c>
      <c r="L164" s="46" t="n">
        <f aca="false">SUMIFS('Additions (monthly)'!$E$2:$E$106,'Additions (monthly)'!$D$2:$D$106,L$2,'Additions (monthly)'!$B$2:$B$106,"&lt;="&amp;$B164)</f>
        <v>15.6</v>
      </c>
      <c r="M164" s="46" t="n">
        <f aca="false">SUMIFS('Additions (monthly)'!$E$2:$E$106,'Additions (monthly)'!$D$2:$D$106,M$2,'Additions (monthly)'!$B$2:$B$106,"&lt;="&amp;$B164)</f>
        <v>8.9</v>
      </c>
      <c r="N164" s="46" t="n">
        <f aca="false">SUMIFS('Additions (monthly)'!$E$2:$E$106,'Additions (monthly)'!$D$2:$D$106,N$2,'Additions (monthly)'!$B$2:$B$106,"&lt;="&amp;$B164)</f>
        <v>14.2</v>
      </c>
      <c r="O164" s="46" t="n">
        <f aca="false">SUMIFS('Additions (monthly)'!$E$2:$E$106,'Additions (monthly)'!$D$2:$D$106,O$2,'Additions (monthly)'!$B$2:$B$106,"&lt;="&amp;$B164)</f>
        <v>4.9</v>
      </c>
      <c r="P164" s="46" t="n">
        <f aca="false">SUMIFS('Additions (monthly)'!$E$2:$E$106,'Additions (monthly)'!$D$2:$D$106,P$2,'Additions (monthly)'!$B$2:$B$106,"&lt;="&amp;$B164)</f>
        <v>3.6</v>
      </c>
      <c r="Q164" s="46" t="n">
        <f aca="false">SUMIFS('Additions (monthly)'!$E$2:$E$106,'Additions (monthly)'!$D$2:$D$106,Q$2,'Additions (monthly)'!$B$2:$B$106,"&lt;="&amp;$B164)</f>
        <v>8.5</v>
      </c>
      <c r="R164" s="46" t="n">
        <f aca="false">SUMIFS('Additions (monthly)'!$E$2:$E$106,'Additions (monthly)'!$D$2:$D$106,R$2,'Additions (monthly)'!$B$2:$B$106,"&lt;="&amp;$B164)</f>
        <v>8.9</v>
      </c>
      <c r="S164" s="46" t="n">
        <f aca="false">SUMIFS('Additions (monthly)'!$E$2:$E$106,'Additions (monthly)'!$D$2:$D$106,S$2,'Additions (monthly)'!$B$2:$B$106,"&lt;="&amp;$B164)</f>
        <v>7.2</v>
      </c>
      <c r="T164" s="46" t="n">
        <f aca="false">SUMIFS('Additions (monthly)'!$E$2:$E$106,'Additions (monthly)'!$D$2:$D$106,T$2,'Additions (monthly)'!$B$2:$B$106,"&lt;="&amp;$B164)</f>
        <v>2.4</v>
      </c>
      <c r="U164" s="46" t="n">
        <f aca="false">SUMIFS('Additions (monthly)'!$E$2:$E$106,'Additions (monthly)'!$D$2:$D$106,U$2,'Additions (monthly)'!$B$2:$B$106,"&lt;="&amp;$B164)</f>
        <v>0</v>
      </c>
      <c r="V164" s="46" t="n">
        <f aca="false">SUMIFS('Additions (monthly)'!$E$2:$E$106,'Additions (monthly)'!$D$2:$D$106,V$2,'Additions (monthly)'!$B$2:$B$106,"&lt;="&amp;$B164)</f>
        <v>3.87</v>
      </c>
      <c r="W164" s="46" t="n">
        <f aca="false">SUMIFS('Additions (monthly)'!$E$2:$E$106,'Additions (monthly)'!$D$2:$D$106,W$2,'Additions (monthly)'!$B$2:$B$106,"&lt;="&amp;$B164)</f>
        <v>0</v>
      </c>
      <c r="X164" s="46" t="n">
        <f aca="false">SUMIFS('Additions (monthly)'!$E$2:$E$106,'Additions (monthly)'!$D$2:$D$106,X$2,'Additions (monthly)'!$B$2:$B$106,"&lt;="&amp;$B164)</f>
        <v>0</v>
      </c>
      <c r="Y164" s="46" t="n">
        <f aca="false">SUMIFS('Additions (monthly)'!$E$2:$E$106,'Additions (monthly)'!$D$2:$D$106,Y$2,'Additions (monthly)'!$B$2:$B$106,"&lt;="&amp;$B164)</f>
        <v>5</v>
      </c>
      <c r="Z164" s="46" t="n">
        <f aca="false">SUMIFS('Additions (monthly)'!$E$2:$E$106,'Additions (monthly)'!$D$2:$D$106,Z$2,'Additions (monthly)'!$B$2:$B$106,"&lt;="&amp;$B164)</f>
        <v>7.2</v>
      </c>
      <c r="AA164" s="46" t="n">
        <f aca="false">SUMIFS('Additions (monthly)'!$E$2:$E$106,'Additions (monthly)'!$D$2:$D$106,AA$2,'Additions (monthly)'!$B$2:$B$106,"&lt;="&amp;$B164)</f>
        <v>3.7</v>
      </c>
      <c r="AB164" s="46" t="n">
        <f aca="false">SUMIFS('Additions (monthly)'!$E$2:$E$106,'Additions (monthly)'!$D$2:$D$106,AB$2,'Additions (monthly)'!$B$2:$B$106,"&lt;="&amp;$B164)</f>
        <v>16.95</v>
      </c>
      <c r="AC164" s="46" t="n">
        <f aca="false">SUMIFS('Additions (monthly)'!$E$2:$E$106,'Additions (monthly)'!$D$2:$D$106,AC$2,'Additions (monthly)'!$B$2:$B$106,"&lt;="&amp;$B164)</f>
        <v>2</v>
      </c>
      <c r="AD164" s="46" t="n">
        <f aca="false">SUMIFS('Additions (monthly)'!$E$2:$E$106,'Additions (monthly)'!$D$2:$D$106,AD$2,'Additions (monthly)'!$B$2:$B$106,"&lt;="&amp;$B164)</f>
        <v>7.6</v>
      </c>
      <c r="AE164" s="46" t="n">
        <f aca="false">SUMIFS('Additions (monthly)'!$E$2:$E$106,'Additions (monthly)'!$D$2:$D$106,AE$2,'Additions (monthly)'!$B$2:$B$106,"&lt;="&amp;$B164)</f>
        <v>29.3</v>
      </c>
      <c r="AF164" s="46" t="n">
        <f aca="false">SUMIFS('Additions (monthly)'!$E$2:$E$106,'Additions (monthly)'!$D$2:$D$106,AF$2,'Additions (monthly)'!$B$2:$B$106,"&lt;="&amp;$B164)</f>
        <v>1.2</v>
      </c>
      <c r="AG164" s="46" t="n">
        <f aca="false">SUMIFS('Additions (monthly)'!$E$2:$E$106,'Additions (monthly)'!$D$2:$D$106,AG$2,'Additions (monthly)'!$B$2:$B$106,"&lt;="&amp;$B164)</f>
        <v>1.5</v>
      </c>
      <c r="AH164" s="46" t="n">
        <f aca="false">SUMIFS('Additions (monthly)'!$E$2:$E$106,'Additions (monthly)'!$D$2:$D$106,AH$2,'Additions (monthly)'!$B$2:$B$106,"&lt;="&amp;$B164)</f>
        <v>0</v>
      </c>
      <c r="AI164" s="46" t="n">
        <f aca="false">SUMIFS('Additions (monthly)'!$E$2:$E$106,'Additions (monthly)'!$D$2:$D$106,AI$2,'Additions (monthly)'!$B$2:$B$106,"&lt;="&amp;$B164)</f>
        <v>0</v>
      </c>
      <c r="AJ164" s="46" t="n">
        <f aca="false">SUMIFS('Additions (monthly)'!$E$2:$E$106,'Additions (monthly)'!$D$2:$D$106,AJ$2,'Additions (monthly)'!$B$2:$B$106,"&lt;="&amp;$B164)</f>
        <v>0</v>
      </c>
      <c r="AK164" s="46" t="n">
        <f aca="false">SUMIFS('Additions (monthly)'!$E$2:$E$106,'Additions (monthly)'!$D$2:$D$106,AK$2,'Additions (monthly)'!$B$2:$B$106,"&lt;="&amp;$B164)</f>
        <v>3.4</v>
      </c>
      <c r="AL164" s="46" t="n">
        <f aca="false">SUMIFS('Additions (monthly)'!$E$2:$E$106,'Additions (monthly)'!$D$2:$D$106,AL$2,'Additions (monthly)'!$B$2:$B$106,"&lt;="&amp;$B164)</f>
        <v>22.2</v>
      </c>
      <c r="AM164" s="46" t="n">
        <f aca="false">SUMIFS('Additions (monthly)'!$E$2:$E$106,'Additions (monthly)'!$D$2:$D$106,AM$2,'Additions (monthly)'!$B$2:$B$106,"&lt;="&amp;$B164)</f>
        <v>0.3</v>
      </c>
      <c r="AN164" s="46" t="n">
        <f aca="false">SUMIFS('Additions (monthly)'!$E$2:$E$106,'Additions (monthly)'!$D$2:$D$106,AN$2,'Additions (monthly)'!$B$2:$B$106,"&lt;="&amp;$B164)</f>
        <v>4.3</v>
      </c>
      <c r="AO164" s="46" t="n">
        <f aca="false">SUMIFS('Additions (monthly)'!$E$2:$E$106,'Additions (monthly)'!$D$2:$D$106,AO$2,'Additions (monthly)'!$B$2:$B$106,"&lt;="&amp;$B164)</f>
        <v>10.4</v>
      </c>
      <c r="AP164" s="46" t="n">
        <f aca="false">SUMIFS('Additions (monthly)'!$E$2:$E$106,'Additions (monthly)'!$D$2:$D$106,AP$2,'Additions (monthly)'!$B$2:$B$106,"&lt;="&amp;$B164)</f>
        <v>6.9</v>
      </c>
      <c r="AQ164" s="46" t="n">
        <f aca="false">SUMIFS('Additions (monthly)'!$E$2:$E$106,'Additions (monthly)'!$D$2:$D$106,AQ$2,'Additions (monthly)'!$B$2:$B$106,"&lt;="&amp;$B164)</f>
        <v>4.45</v>
      </c>
      <c r="AR164" s="46" t="n">
        <f aca="false">SUMIFS('Additions (monthly)'!$E$2:$E$106,'Additions (monthly)'!$D$2:$D$106,AR$2,'Additions (monthly)'!$B$2:$B$106,"&lt;="&amp;$B164)</f>
        <v>77.1</v>
      </c>
      <c r="AS164" s="46" t="n">
        <f aca="false">SUMIFS('Additions (monthly)'!$E$2:$E$106,'Additions (monthly)'!$D$2:$D$106,AS$2,'Additions (monthly)'!$B$2:$B$106,"&lt;="&amp;$B164)</f>
        <v>0</v>
      </c>
      <c r="AT164" s="46" t="n">
        <f aca="false">SUMIFS('Additions (monthly)'!$E$2:$E$106,'Additions (monthly)'!$D$2:$D$106,AT$2,'Additions (monthly)'!$B$2:$B$106,"&lt;="&amp;$B164)</f>
        <v>1.5</v>
      </c>
      <c r="AU164" s="46" t="n">
        <f aca="false">SUMIFS('Additions (monthly)'!$E$2:$E$106,'Additions (monthly)'!$D$2:$D$106,AU$2,'Additions (monthly)'!$B$2:$B$106,"&lt;="&amp;$B164)</f>
        <v>9.6</v>
      </c>
      <c r="AV164" s="46" t="n">
        <f aca="false">SUMIFS('Additions (monthly)'!$E$2:$E$106,'Additions (monthly)'!$D$2:$D$106,AV$2,'Additions (monthly)'!$B$2:$B$106,"&lt;="&amp;$B164)</f>
        <v>0.66</v>
      </c>
      <c r="AW164" s="46" t="n">
        <f aca="false">SUMIFS('Additions (monthly)'!$E$2:$E$106,'Additions (monthly)'!$D$2:$D$106,AW$2,'Additions (monthly)'!$B$2:$B$106,"&lt;="&amp;$B164)</f>
        <v>17.4</v>
      </c>
      <c r="AX164" s="46" t="n">
        <f aca="false">SUMIFS('Additions (monthly)'!$E$2:$E$106,'Additions (monthly)'!$D$2:$D$106,AX$2,'Additions (monthly)'!$B$2:$B$106,"&lt;="&amp;$B164)</f>
        <v>11.8</v>
      </c>
      <c r="AY164" s="46" t="n">
        <f aca="false">SUMIFS('Additions (monthly)'!$E$2:$E$106,'Additions (monthly)'!$D$2:$D$106,AY$2,'Additions (monthly)'!$B$2:$B$106,"&lt;="&amp;$B164)</f>
        <v>5.3</v>
      </c>
      <c r="AZ164" s="46" t="n">
        <f aca="false">SUMIFS('Additions (monthly)'!$E$2:$E$106,'Additions (monthly)'!$D$2:$D$106,AZ$2,'Additions (monthly)'!$B$2:$B$106,"&lt;="&amp;$B164)</f>
        <v>9.97</v>
      </c>
      <c r="BA164" s="46" t="n">
        <f aca="false">SUMIFS('Additions (monthly)'!$E$2:$E$106,'Additions (monthly)'!$D$2:$D$106,BA$2,'Additions (monthly)'!$B$2:$B$106,"&lt;="&amp;$B164)</f>
        <v>13.5</v>
      </c>
      <c r="BB164" s="46" t="n">
        <f aca="false">SUMIFS('Additions (monthly)'!$E$2:$E$106,'Additions (monthly)'!$D$2:$D$106,BB$2,'Additions (monthly)'!$B$2:$B$106,"&lt;="&amp;$B164)</f>
        <v>15</v>
      </c>
      <c r="BC164" s="46" t="n">
        <f aca="false">SUMIFS('Additions (monthly)'!$E$2:$E$106,'Additions (monthly)'!$D$2:$D$106,BC$2,'Additions (monthly)'!$B$2:$B$106,"&lt;="&amp;$B164)</f>
        <v>5.25</v>
      </c>
      <c r="BD164" s="46" t="n">
        <f aca="false">SUMIFS('Additions (monthly)'!$E$2:$E$106,'Additions (monthly)'!$D$2:$D$106,BD$2,'Additions (monthly)'!$B$2:$B$106,"&lt;="&amp;$B164)</f>
        <v>2.5</v>
      </c>
      <c r="BE164" s="46" t="n">
        <f aca="false">SUMIFS('Additions (monthly)'!$E$2:$E$106,'Additions (monthly)'!$D$2:$D$106,BE$2,'Additions (monthly)'!$B$2:$B$106,"&lt;="&amp;$B164)</f>
        <v>15.3</v>
      </c>
      <c r="BF164" s="46" t="n">
        <f aca="false">SUMIFS('Additions (monthly)'!$E$2:$E$106,'Additions (monthly)'!$D$2:$D$106,BF$2,'Additions (monthly)'!$B$2:$B$106,"&lt;="&amp;$B164)</f>
        <v>0</v>
      </c>
      <c r="BG164" s="46" t="n">
        <f aca="false">SUMIFS('Additions (monthly)'!$E$2:$E$106,'Additions (monthly)'!$D$2:$D$106,BG$2,'Additions (monthly)'!$B$2:$B$106,"&lt;="&amp;$B164)</f>
        <v>0</v>
      </c>
      <c r="BH164" s="46" t="n">
        <f aca="false">SUMIFS('Additions (monthly)'!$E$2:$E$106,'Additions (monthly)'!$D$2:$D$106,BH$2,'Additions (monthly)'!$B$2:$B$106,"&lt;="&amp;$B164)</f>
        <v>30</v>
      </c>
      <c r="BI164" s="46" t="n">
        <f aca="false">SUMIFS('Additions (monthly)'!$E$2:$E$106,'Additions (monthly)'!$D$2:$D$106,BI$2,'Additions (monthly)'!$B$2:$B$106,"&lt;="&amp;$B164)</f>
        <v>6.7</v>
      </c>
    </row>
    <row r="165" customFormat="false" ht="15" hidden="false" customHeight="false" outlineLevel="0" collapsed="false">
      <c r="A165" s="44" t="n">
        <v>45108</v>
      </c>
      <c r="B165" s="45" t="n">
        <v>202307</v>
      </c>
      <c r="C165" s="42" t="n">
        <f aca="false">SUMIFS('Additions (monthly)'!$E$2:$E$106,'Additions (monthly)'!$B$2:$B$106,"&lt;="&amp;$B165)</f>
        <v>477.25</v>
      </c>
      <c r="D165" s="46" t="n">
        <f aca="false">SUMIFS('Additions (monthly)'!$E$2:$E$106,'Additions (monthly)'!$D$2:$D$106,D$2,'Additions (monthly)'!$B$2:$B$106,"&lt;="&amp;$B165)</f>
        <v>7.9</v>
      </c>
      <c r="E165" s="46" t="n">
        <f aca="false">SUMIFS('Additions (monthly)'!$E$2:$E$106,'Additions (monthly)'!$D$2:$D$106,E$2,'Additions (monthly)'!$B$2:$B$106,"&lt;="&amp;$B165)</f>
        <v>8.4</v>
      </c>
      <c r="F165" s="46" t="n">
        <f aca="false">SUMIFS('Additions (monthly)'!$E$2:$E$106,'Additions (monthly)'!$D$2:$D$106,F$2,'Additions (monthly)'!$B$2:$B$106,"&lt;="&amp;$B165)</f>
        <v>4.7</v>
      </c>
      <c r="G165" s="46" t="n">
        <f aca="false">SUMIFS('Additions (monthly)'!$E$2:$E$106,'Additions (monthly)'!$D$2:$D$106,G$2,'Additions (monthly)'!$B$2:$B$106,"&lt;="&amp;$B165)</f>
        <v>4.5</v>
      </c>
      <c r="H165" s="46" t="n">
        <f aca="false">SUMIFS('Additions (monthly)'!$E$2:$E$106,'Additions (monthly)'!$D$2:$D$106,H$2,'Additions (monthly)'!$B$2:$B$106,"&lt;="&amp;$B165)</f>
        <v>5.2</v>
      </c>
      <c r="I165" s="46" t="n">
        <f aca="false">SUMIFS('Additions (monthly)'!$E$2:$E$106,'Additions (monthly)'!$D$2:$D$106,I$2,'Additions (monthly)'!$B$2:$B$106,"&lt;="&amp;$B165)</f>
        <v>9</v>
      </c>
      <c r="J165" s="46" t="n">
        <f aca="false">SUMIFS('Additions (monthly)'!$E$2:$E$106,'Additions (monthly)'!$D$2:$D$106,J$2,'Additions (monthly)'!$B$2:$B$106,"&lt;="&amp;$B165)</f>
        <v>3.7</v>
      </c>
      <c r="K165" s="46" t="n">
        <f aca="false">SUMIFS('Additions (monthly)'!$E$2:$E$106,'Additions (monthly)'!$D$2:$D$106,K$2,'Additions (monthly)'!$B$2:$B$106,"&lt;="&amp;$B165)</f>
        <v>7.8</v>
      </c>
      <c r="L165" s="46" t="n">
        <f aca="false">SUMIFS('Additions (monthly)'!$E$2:$E$106,'Additions (monthly)'!$D$2:$D$106,L$2,'Additions (monthly)'!$B$2:$B$106,"&lt;="&amp;$B165)</f>
        <v>15.6</v>
      </c>
      <c r="M165" s="46" t="n">
        <f aca="false">SUMIFS('Additions (monthly)'!$E$2:$E$106,'Additions (monthly)'!$D$2:$D$106,M$2,'Additions (monthly)'!$B$2:$B$106,"&lt;="&amp;$B165)</f>
        <v>8.9</v>
      </c>
      <c r="N165" s="46" t="n">
        <f aca="false">SUMIFS('Additions (monthly)'!$E$2:$E$106,'Additions (monthly)'!$D$2:$D$106,N$2,'Additions (monthly)'!$B$2:$B$106,"&lt;="&amp;$B165)</f>
        <v>14.2</v>
      </c>
      <c r="O165" s="46" t="n">
        <f aca="false">SUMIFS('Additions (monthly)'!$E$2:$E$106,'Additions (monthly)'!$D$2:$D$106,O$2,'Additions (monthly)'!$B$2:$B$106,"&lt;="&amp;$B165)</f>
        <v>4.9</v>
      </c>
      <c r="P165" s="46" t="n">
        <f aca="false">SUMIFS('Additions (monthly)'!$E$2:$E$106,'Additions (monthly)'!$D$2:$D$106,P$2,'Additions (monthly)'!$B$2:$B$106,"&lt;="&amp;$B165)</f>
        <v>3.6</v>
      </c>
      <c r="Q165" s="46" t="n">
        <f aca="false">SUMIFS('Additions (monthly)'!$E$2:$E$106,'Additions (monthly)'!$D$2:$D$106,Q$2,'Additions (monthly)'!$B$2:$B$106,"&lt;="&amp;$B165)</f>
        <v>8.5</v>
      </c>
      <c r="R165" s="46" t="n">
        <f aca="false">SUMIFS('Additions (monthly)'!$E$2:$E$106,'Additions (monthly)'!$D$2:$D$106,R$2,'Additions (monthly)'!$B$2:$B$106,"&lt;="&amp;$B165)</f>
        <v>8.9</v>
      </c>
      <c r="S165" s="46" t="n">
        <f aca="false">SUMIFS('Additions (monthly)'!$E$2:$E$106,'Additions (monthly)'!$D$2:$D$106,S$2,'Additions (monthly)'!$B$2:$B$106,"&lt;="&amp;$B165)</f>
        <v>7.2</v>
      </c>
      <c r="T165" s="46" t="n">
        <f aca="false">SUMIFS('Additions (monthly)'!$E$2:$E$106,'Additions (monthly)'!$D$2:$D$106,T$2,'Additions (monthly)'!$B$2:$B$106,"&lt;="&amp;$B165)</f>
        <v>2.4</v>
      </c>
      <c r="U165" s="46" t="n">
        <f aca="false">SUMIFS('Additions (monthly)'!$E$2:$E$106,'Additions (monthly)'!$D$2:$D$106,U$2,'Additions (monthly)'!$B$2:$B$106,"&lt;="&amp;$B165)</f>
        <v>0</v>
      </c>
      <c r="V165" s="46" t="n">
        <f aca="false">SUMIFS('Additions (monthly)'!$E$2:$E$106,'Additions (monthly)'!$D$2:$D$106,V$2,'Additions (monthly)'!$B$2:$B$106,"&lt;="&amp;$B165)</f>
        <v>3.87</v>
      </c>
      <c r="W165" s="46" t="n">
        <f aca="false">SUMIFS('Additions (monthly)'!$E$2:$E$106,'Additions (monthly)'!$D$2:$D$106,W$2,'Additions (monthly)'!$B$2:$B$106,"&lt;="&amp;$B165)</f>
        <v>0</v>
      </c>
      <c r="X165" s="46" t="n">
        <f aca="false">SUMIFS('Additions (monthly)'!$E$2:$E$106,'Additions (monthly)'!$D$2:$D$106,X$2,'Additions (monthly)'!$B$2:$B$106,"&lt;="&amp;$B165)</f>
        <v>0</v>
      </c>
      <c r="Y165" s="46" t="n">
        <f aca="false">SUMIFS('Additions (monthly)'!$E$2:$E$106,'Additions (monthly)'!$D$2:$D$106,Y$2,'Additions (monthly)'!$B$2:$B$106,"&lt;="&amp;$B165)</f>
        <v>5</v>
      </c>
      <c r="Z165" s="46" t="n">
        <f aca="false">SUMIFS('Additions (monthly)'!$E$2:$E$106,'Additions (monthly)'!$D$2:$D$106,Z$2,'Additions (monthly)'!$B$2:$B$106,"&lt;="&amp;$B165)</f>
        <v>7.2</v>
      </c>
      <c r="AA165" s="46" t="n">
        <f aca="false">SUMIFS('Additions (monthly)'!$E$2:$E$106,'Additions (monthly)'!$D$2:$D$106,AA$2,'Additions (monthly)'!$B$2:$B$106,"&lt;="&amp;$B165)</f>
        <v>3.7</v>
      </c>
      <c r="AB165" s="46" t="n">
        <f aca="false">SUMIFS('Additions (monthly)'!$E$2:$E$106,'Additions (monthly)'!$D$2:$D$106,AB$2,'Additions (monthly)'!$B$2:$B$106,"&lt;="&amp;$B165)</f>
        <v>16.95</v>
      </c>
      <c r="AC165" s="46" t="n">
        <f aca="false">SUMIFS('Additions (monthly)'!$E$2:$E$106,'Additions (monthly)'!$D$2:$D$106,AC$2,'Additions (monthly)'!$B$2:$B$106,"&lt;="&amp;$B165)</f>
        <v>2</v>
      </c>
      <c r="AD165" s="46" t="n">
        <f aca="false">SUMIFS('Additions (monthly)'!$E$2:$E$106,'Additions (monthly)'!$D$2:$D$106,AD$2,'Additions (monthly)'!$B$2:$B$106,"&lt;="&amp;$B165)</f>
        <v>7.6</v>
      </c>
      <c r="AE165" s="46" t="n">
        <f aca="false">SUMIFS('Additions (monthly)'!$E$2:$E$106,'Additions (monthly)'!$D$2:$D$106,AE$2,'Additions (monthly)'!$B$2:$B$106,"&lt;="&amp;$B165)</f>
        <v>29.3</v>
      </c>
      <c r="AF165" s="46" t="n">
        <f aca="false">SUMIFS('Additions (monthly)'!$E$2:$E$106,'Additions (monthly)'!$D$2:$D$106,AF$2,'Additions (monthly)'!$B$2:$B$106,"&lt;="&amp;$B165)</f>
        <v>1.2</v>
      </c>
      <c r="AG165" s="46" t="n">
        <f aca="false">SUMIFS('Additions (monthly)'!$E$2:$E$106,'Additions (monthly)'!$D$2:$D$106,AG$2,'Additions (monthly)'!$B$2:$B$106,"&lt;="&amp;$B165)</f>
        <v>1.5</v>
      </c>
      <c r="AH165" s="46" t="n">
        <f aca="false">SUMIFS('Additions (monthly)'!$E$2:$E$106,'Additions (monthly)'!$D$2:$D$106,AH$2,'Additions (monthly)'!$B$2:$B$106,"&lt;="&amp;$B165)</f>
        <v>0</v>
      </c>
      <c r="AI165" s="46" t="n">
        <f aca="false">SUMIFS('Additions (monthly)'!$E$2:$E$106,'Additions (monthly)'!$D$2:$D$106,AI$2,'Additions (monthly)'!$B$2:$B$106,"&lt;="&amp;$B165)</f>
        <v>0</v>
      </c>
      <c r="AJ165" s="46" t="n">
        <f aca="false">SUMIFS('Additions (monthly)'!$E$2:$E$106,'Additions (monthly)'!$D$2:$D$106,AJ$2,'Additions (monthly)'!$B$2:$B$106,"&lt;="&amp;$B165)</f>
        <v>0</v>
      </c>
      <c r="AK165" s="46" t="n">
        <f aca="false">SUMIFS('Additions (monthly)'!$E$2:$E$106,'Additions (monthly)'!$D$2:$D$106,AK$2,'Additions (monthly)'!$B$2:$B$106,"&lt;="&amp;$B165)</f>
        <v>3.4</v>
      </c>
      <c r="AL165" s="46" t="n">
        <f aca="false">SUMIFS('Additions (monthly)'!$E$2:$E$106,'Additions (monthly)'!$D$2:$D$106,AL$2,'Additions (monthly)'!$B$2:$B$106,"&lt;="&amp;$B165)</f>
        <v>22.2</v>
      </c>
      <c r="AM165" s="46" t="n">
        <f aca="false">SUMIFS('Additions (monthly)'!$E$2:$E$106,'Additions (monthly)'!$D$2:$D$106,AM$2,'Additions (monthly)'!$B$2:$B$106,"&lt;="&amp;$B165)</f>
        <v>0.3</v>
      </c>
      <c r="AN165" s="46" t="n">
        <f aca="false">SUMIFS('Additions (monthly)'!$E$2:$E$106,'Additions (monthly)'!$D$2:$D$106,AN$2,'Additions (monthly)'!$B$2:$B$106,"&lt;="&amp;$B165)</f>
        <v>4.3</v>
      </c>
      <c r="AO165" s="46" t="n">
        <f aca="false">SUMIFS('Additions (monthly)'!$E$2:$E$106,'Additions (monthly)'!$D$2:$D$106,AO$2,'Additions (monthly)'!$B$2:$B$106,"&lt;="&amp;$B165)</f>
        <v>10.4</v>
      </c>
      <c r="AP165" s="46" t="n">
        <f aca="false">SUMIFS('Additions (monthly)'!$E$2:$E$106,'Additions (monthly)'!$D$2:$D$106,AP$2,'Additions (monthly)'!$B$2:$B$106,"&lt;="&amp;$B165)</f>
        <v>6.9</v>
      </c>
      <c r="AQ165" s="46" t="n">
        <f aca="false">SUMIFS('Additions (monthly)'!$E$2:$E$106,'Additions (monthly)'!$D$2:$D$106,AQ$2,'Additions (monthly)'!$B$2:$B$106,"&lt;="&amp;$B165)</f>
        <v>4.45</v>
      </c>
      <c r="AR165" s="46" t="n">
        <f aca="false">SUMIFS('Additions (monthly)'!$E$2:$E$106,'Additions (monthly)'!$D$2:$D$106,AR$2,'Additions (monthly)'!$B$2:$B$106,"&lt;="&amp;$B165)</f>
        <v>77.1</v>
      </c>
      <c r="AS165" s="46" t="n">
        <f aca="false">SUMIFS('Additions (monthly)'!$E$2:$E$106,'Additions (monthly)'!$D$2:$D$106,AS$2,'Additions (monthly)'!$B$2:$B$106,"&lt;="&amp;$B165)</f>
        <v>0</v>
      </c>
      <c r="AT165" s="46" t="n">
        <f aca="false">SUMIFS('Additions (monthly)'!$E$2:$E$106,'Additions (monthly)'!$D$2:$D$106,AT$2,'Additions (monthly)'!$B$2:$B$106,"&lt;="&amp;$B165)</f>
        <v>1.5</v>
      </c>
      <c r="AU165" s="46" t="n">
        <f aca="false">SUMIFS('Additions (monthly)'!$E$2:$E$106,'Additions (monthly)'!$D$2:$D$106,AU$2,'Additions (monthly)'!$B$2:$B$106,"&lt;="&amp;$B165)</f>
        <v>9.6</v>
      </c>
      <c r="AV165" s="46" t="n">
        <f aca="false">SUMIFS('Additions (monthly)'!$E$2:$E$106,'Additions (monthly)'!$D$2:$D$106,AV$2,'Additions (monthly)'!$B$2:$B$106,"&lt;="&amp;$B165)</f>
        <v>0.66</v>
      </c>
      <c r="AW165" s="46" t="n">
        <f aca="false">SUMIFS('Additions (monthly)'!$E$2:$E$106,'Additions (monthly)'!$D$2:$D$106,AW$2,'Additions (monthly)'!$B$2:$B$106,"&lt;="&amp;$B165)</f>
        <v>17.4</v>
      </c>
      <c r="AX165" s="46" t="n">
        <f aca="false">SUMIFS('Additions (monthly)'!$E$2:$E$106,'Additions (monthly)'!$D$2:$D$106,AX$2,'Additions (monthly)'!$B$2:$B$106,"&lt;="&amp;$B165)</f>
        <v>11.8</v>
      </c>
      <c r="AY165" s="46" t="n">
        <f aca="false">SUMIFS('Additions (monthly)'!$E$2:$E$106,'Additions (monthly)'!$D$2:$D$106,AY$2,'Additions (monthly)'!$B$2:$B$106,"&lt;="&amp;$B165)</f>
        <v>5.3</v>
      </c>
      <c r="AZ165" s="46" t="n">
        <f aca="false">SUMIFS('Additions (monthly)'!$E$2:$E$106,'Additions (monthly)'!$D$2:$D$106,AZ$2,'Additions (monthly)'!$B$2:$B$106,"&lt;="&amp;$B165)</f>
        <v>9.97</v>
      </c>
      <c r="BA165" s="46" t="n">
        <f aca="false">SUMIFS('Additions (monthly)'!$E$2:$E$106,'Additions (monthly)'!$D$2:$D$106,BA$2,'Additions (monthly)'!$B$2:$B$106,"&lt;="&amp;$B165)</f>
        <v>13.5</v>
      </c>
      <c r="BB165" s="46" t="n">
        <f aca="false">SUMIFS('Additions (monthly)'!$E$2:$E$106,'Additions (monthly)'!$D$2:$D$106,BB$2,'Additions (monthly)'!$B$2:$B$106,"&lt;="&amp;$B165)</f>
        <v>15</v>
      </c>
      <c r="BC165" s="46" t="n">
        <f aca="false">SUMIFS('Additions (monthly)'!$E$2:$E$106,'Additions (monthly)'!$D$2:$D$106,BC$2,'Additions (monthly)'!$B$2:$B$106,"&lt;="&amp;$B165)</f>
        <v>5.25</v>
      </c>
      <c r="BD165" s="46" t="n">
        <f aca="false">SUMIFS('Additions (monthly)'!$E$2:$E$106,'Additions (monthly)'!$D$2:$D$106,BD$2,'Additions (monthly)'!$B$2:$B$106,"&lt;="&amp;$B165)</f>
        <v>2.5</v>
      </c>
      <c r="BE165" s="46" t="n">
        <f aca="false">SUMIFS('Additions (monthly)'!$E$2:$E$106,'Additions (monthly)'!$D$2:$D$106,BE$2,'Additions (monthly)'!$B$2:$B$106,"&lt;="&amp;$B165)</f>
        <v>15.3</v>
      </c>
      <c r="BF165" s="46" t="n">
        <f aca="false">SUMIFS('Additions (monthly)'!$E$2:$E$106,'Additions (monthly)'!$D$2:$D$106,BF$2,'Additions (monthly)'!$B$2:$B$106,"&lt;="&amp;$B165)</f>
        <v>0</v>
      </c>
      <c r="BG165" s="46" t="n">
        <f aca="false">SUMIFS('Additions (monthly)'!$E$2:$E$106,'Additions (monthly)'!$D$2:$D$106,BG$2,'Additions (monthly)'!$B$2:$B$106,"&lt;="&amp;$B165)</f>
        <v>0</v>
      </c>
      <c r="BH165" s="46" t="n">
        <f aca="false">SUMIFS('Additions (monthly)'!$E$2:$E$106,'Additions (monthly)'!$D$2:$D$106,BH$2,'Additions (monthly)'!$B$2:$B$106,"&lt;="&amp;$B165)</f>
        <v>30</v>
      </c>
      <c r="BI165" s="46" t="n">
        <f aca="false">SUMIFS('Additions (monthly)'!$E$2:$E$106,'Additions (monthly)'!$D$2:$D$106,BI$2,'Additions (monthly)'!$B$2:$B$106,"&lt;="&amp;$B165)</f>
        <v>6.7</v>
      </c>
    </row>
    <row r="166" customFormat="false" ht="15" hidden="false" customHeight="false" outlineLevel="0" collapsed="false">
      <c r="A166" s="44" t="n">
        <v>45139</v>
      </c>
      <c r="B166" s="45" t="n">
        <v>202308</v>
      </c>
      <c r="C166" s="42" t="n">
        <f aca="false">SUMIFS('Additions (monthly)'!$E$2:$E$106,'Additions (monthly)'!$B$2:$B$106,"&lt;="&amp;$B166)</f>
        <v>477.25</v>
      </c>
      <c r="D166" s="46" t="n">
        <f aca="false">SUMIFS('Additions (monthly)'!$E$2:$E$106,'Additions (monthly)'!$D$2:$D$106,D$2,'Additions (monthly)'!$B$2:$B$106,"&lt;="&amp;$B166)</f>
        <v>7.9</v>
      </c>
      <c r="E166" s="46" t="n">
        <f aca="false">SUMIFS('Additions (monthly)'!$E$2:$E$106,'Additions (monthly)'!$D$2:$D$106,E$2,'Additions (monthly)'!$B$2:$B$106,"&lt;="&amp;$B166)</f>
        <v>8.4</v>
      </c>
      <c r="F166" s="46" t="n">
        <f aca="false">SUMIFS('Additions (monthly)'!$E$2:$E$106,'Additions (monthly)'!$D$2:$D$106,F$2,'Additions (monthly)'!$B$2:$B$106,"&lt;="&amp;$B166)</f>
        <v>4.7</v>
      </c>
      <c r="G166" s="46" t="n">
        <f aca="false">SUMIFS('Additions (monthly)'!$E$2:$E$106,'Additions (monthly)'!$D$2:$D$106,G$2,'Additions (monthly)'!$B$2:$B$106,"&lt;="&amp;$B166)</f>
        <v>4.5</v>
      </c>
      <c r="H166" s="46" t="n">
        <f aca="false">SUMIFS('Additions (monthly)'!$E$2:$E$106,'Additions (monthly)'!$D$2:$D$106,H$2,'Additions (monthly)'!$B$2:$B$106,"&lt;="&amp;$B166)</f>
        <v>5.2</v>
      </c>
      <c r="I166" s="46" t="n">
        <f aca="false">SUMIFS('Additions (monthly)'!$E$2:$E$106,'Additions (monthly)'!$D$2:$D$106,I$2,'Additions (monthly)'!$B$2:$B$106,"&lt;="&amp;$B166)</f>
        <v>9</v>
      </c>
      <c r="J166" s="46" t="n">
        <f aca="false">SUMIFS('Additions (monthly)'!$E$2:$E$106,'Additions (monthly)'!$D$2:$D$106,J$2,'Additions (monthly)'!$B$2:$B$106,"&lt;="&amp;$B166)</f>
        <v>3.7</v>
      </c>
      <c r="K166" s="46" t="n">
        <f aca="false">SUMIFS('Additions (monthly)'!$E$2:$E$106,'Additions (monthly)'!$D$2:$D$106,K$2,'Additions (monthly)'!$B$2:$B$106,"&lt;="&amp;$B166)</f>
        <v>7.8</v>
      </c>
      <c r="L166" s="46" t="n">
        <f aca="false">SUMIFS('Additions (monthly)'!$E$2:$E$106,'Additions (monthly)'!$D$2:$D$106,L$2,'Additions (monthly)'!$B$2:$B$106,"&lt;="&amp;$B166)</f>
        <v>15.6</v>
      </c>
      <c r="M166" s="46" t="n">
        <f aca="false">SUMIFS('Additions (monthly)'!$E$2:$E$106,'Additions (monthly)'!$D$2:$D$106,M$2,'Additions (monthly)'!$B$2:$B$106,"&lt;="&amp;$B166)</f>
        <v>8.9</v>
      </c>
      <c r="N166" s="46" t="n">
        <f aca="false">SUMIFS('Additions (monthly)'!$E$2:$E$106,'Additions (monthly)'!$D$2:$D$106,N$2,'Additions (monthly)'!$B$2:$B$106,"&lt;="&amp;$B166)</f>
        <v>14.2</v>
      </c>
      <c r="O166" s="46" t="n">
        <f aca="false">SUMIFS('Additions (monthly)'!$E$2:$E$106,'Additions (monthly)'!$D$2:$D$106,O$2,'Additions (monthly)'!$B$2:$B$106,"&lt;="&amp;$B166)</f>
        <v>4.9</v>
      </c>
      <c r="P166" s="46" t="n">
        <f aca="false">SUMIFS('Additions (monthly)'!$E$2:$E$106,'Additions (monthly)'!$D$2:$D$106,P$2,'Additions (monthly)'!$B$2:$B$106,"&lt;="&amp;$B166)</f>
        <v>3.6</v>
      </c>
      <c r="Q166" s="46" t="n">
        <f aca="false">SUMIFS('Additions (monthly)'!$E$2:$E$106,'Additions (monthly)'!$D$2:$D$106,Q$2,'Additions (monthly)'!$B$2:$B$106,"&lt;="&amp;$B166)</f>
        <v>8.5</v>
      </c>
      <c r="R166" s="46" t="n">
        <f aca="false">SUMIFS('Additions (monthly)'!$E$2:$E$106,'Additions (monthly)'!$D$2:$D$106,R$2,'Additions (monthly)'!$B$2:$B$106,"&lt;="&amp;$B166)</f>
        <v>8.9</v>
      </c>
      <c r="S166" s="46" t="n">
        <f aca="false">SUMIFS('Additions (monthly)'!$E$2:$E$106,'Additions (monthly)'!$D$2:$D$106,S$2,'Additions (monthly)'!$B$2:$B$106,"&lt;="&amp;$B166)</f>
        <v>7.2</v>
      </c>
      <c r="T166" s="46" t="n">
        <f aca="false">SUMIFS('Additions (monthly)'!$E$2:$E$106,'Additions (monthly)'!$D$2:$D$106,T$2,'Additions (monthly)'!$B$2:$B$106,"&lt;="&amp;$B166)</f>
        <v>2.4</v>
      </c>
      <c r="U166" s="46" t="n">
        <f aca="false">SUMIFS('Additions (monthly)'!$E$2:$E$106,'Additions (monthly)'!$D$2:$D$106,U$2,'Additions (monthly)'!$B$2:$B$106,"&lt;="&amp;$B166)</f>
        <v>0</v>
      </c>
      <c r="V166" s="46" t="n">
        <f aca="false">SUMIFS('Additions (monthly)'!$E$2:$E$106,'Additions (monthly)'!$D$2:$D$106,V$2,'Additions (monthly)'!$B$2:$B$106,"&lt;="&amp;$B166)</f>
        <v>3.87</v>
      </c>
      <c r="W166" s="46" t="n">
        <f aca="false">SUMIFS('Additions (monthly)'!$E$2:$E$106,'Additions (monthly)'!$D$2:$D$106,W$2,'Additions (monthly)'!$B$2:$B$106,"&lt;="&amp;$B166)</f>
        <v>0</v>
      </c>
      <c r="X166" s="46" t="n">
        <f aca="false">SUMIFS('Additions (monthly)'!$E$2:$E$106,'Additions (monthly)'!$D$2:$D$106,X$2,'Additions (monthly)'!$B$2:$B$106,"&lt;="&amp;$B166)</f>
        <v>0</v>
      </c>
      <c r="Y166" s="46" t="n">
        <f aca="false">SUMIFS('Additions (monthly)'!$E$2:$E$106,'Additions (monthly)'!$D$2:$D$106,Y$2,'Additions (monthly)'!$B$2:$B$106,"&lt;="&amp;$B166)</f>
        <v>5</v>
      </c>
      <c r="Z166" s="46" t="n">
        <f aca="false">SUMIFS('Additions (monthly)'!$E$2:$E$106,'Additions (monthly)'!$D$2:$D$106,Z$2,'Additions (monthly)'!$B$2:$B$106,"&lt;="&amp;$B166)</f>
        <v>7.2</v>
      </c>
      <c r="AA166" s="46" t="n">
        <f aca="false">SUMIFS('Additions (monthly)'!$E$2:$E$106,'Additions (monthly)'!$D$2:$D$106,AA$2,'Additions (monthly)'!$B$2:$B$106,"&lt;="&amp;$B166)</f>
        <v>3.7</v>
      </c>
      <c r="AB166" s="46" t="n">
        <f aca="false">SUMIFS('Additions (monthly)'!$E$2:$E$106,'Additions (monthly)'!$D$2:$D$106,AB$2,'Additions (monthly)'!$B$2:$B$106,"&lt;="&amp;$B166)</f>
        <v>16.95</v>
      </c>
      <c r="AC166" s="46" t="n">
        <f aca="false">SUMIFS('Additions (monthly)'!$E$2:$E$106,'Additions (monthly)'!$D$2:$D$106,AC$2,'Additions (monthly)'!$B$2:$B$106,"&lt;="&amp;$B166)</f>
        <v>2</v>
      </c>
      <c r="AD166" s="46" t="n">
        <f aca="false">SUMIFS('Additions (monthly)'!$E$2:$E$106,'Additions (monthly)'!$D$2:$D$106,AD$2,'Additions (monthly)'!$B$2:$B$106,"&lt;="&amp;$B166)</f>
        <v>7.6</v>
      </c>
      <c r="AE166" s="46" t="n">
        <f aca="false">SUMIFS('Additions (monthly)'!$E$2:$E$106,'Additions (monthly)'!$D$2:$D$106,AE$2,'Additions (monthly)'!$B$2:$B$106,"&lt;="&amp;$B166)</f>
        <v>29.3</v>
      </c>
      <c r="AF166" s="46" t="n">
        <f aca="false">SUMIFS('Additions (monthly)'!$E$2:$E$106,'Additions (monthly)'!$D$2:$D$106,AF$2,'Additions (monthly)'!$B$2:$B$106,"&lt;="&amp;$B166)</f>
        <v>1.2</v>
      </c>
      <c r="AG166" s="46" t="n">
        <f aca="false">SUMIFS('Additions (monthly)'!$E$2:$E$106,'Additions (monthly)'!$D$2:$D$106,AG$2,'Additions (monthly)'!$B$2:$B$106,"&lt;="&amp;$B166)</f>
        <v>1.5</v>
      </c>
      <c r="AH166" s="46" t="n">
        <f aca="false">SUMIFS('Additions (monthly)'!$E$2:$E$106,'Additions (monthly)'!$D$2:$D$106,AH$2,'Additions (monthly)'!$B$2:$B$106,"&lt;="&amp;$B166)</f>
        <v>0</v>
      </c>
      <c r="AI166" s="46" t="n">
        <f aca="false">SUMIFS('Additions (monthly)'!$E$2:$E$106,'Additions (monthly)'!$D$2:$D$106,AI$2,'Additions (monthly)'!$B$2:$B$106,"&lt;="&amp;$B166)</f>
        <v>0</v>
      </c>
      <c r="AJ166" s="46" t="n">
        <f aca="false">SUMIFS('Additions (monthly)'!$E$2:$E$106,'Additions (monthly)'!$D$2:$D$106,AJ$2,'Additions (monthly)'!$B$2:$B$106,"&lt;="&amp;$B166)</f>
        <v>0</v>
      </c>
      <c r="AK166" s="46" t="n">
        <f aca="false">SUMIFS('Additions (monthly)'!$E$2:$E$106,'Additions (monthly)'!$D$2:$D$106,AK$2,'Additions (monthly)'!$B$2:$B$106,"&lt;="&amp;$B166)</f>
        <v>3.4</v>
      </c>
      <c r="AL166" s="46" t="n">
        <f aca="false">SUMIFS('Additions (monthly)'!$E$2:$E$106,'Additions (monthly)'!$D$2:$D$106,AL$2,'Additions (monthly)'!$B$2:$B$106,"&lt;="&amp;$B166)</f>
        <v>22.2</v>
      </c>
      <c r="AM166" s="46" t="n">
        <f aca="false">SUMIFS('Additions (monthly)'!$E$2:$E$106,'Additions (monthly)'!$D$2:$D$106,AM$2,'Additions (monthly)'!$B$2:$B$106,"&lt;="&amp;$B166)</f>
        <v>0.3</v>
      </c>
      <c r="AN166" s="46" t="n">
        <f aca="false">SUMIFS('Additions (monthly)'!$E$2:$E$106,'Additions (monthly)'!$D$2:$D$106,AN$2,'Additions (monthly)'!$B$2:$B$106,"&lt;="&amp;$B166)</f>
        <v>4.3</v>
      </c>
      <c r="AO166" s="46" t="n">
        <f aca="false">SUMIFS('Additions (monthly)'!$E$2:$E$106,'Additions (monthly)'!$D$2:$D$106,AO$2,'Additions (monthly)'!$B$2:$B$106,"&lt;="&amp;$B166)</f>
        <v>10.4</v>
      </c>
      <c r="AP166" s="46" t="n">
        <f aca="false">SUMIFS('Additions (monthly)'!$E$2:$E$106,'Additions (monthly)'!$D$2:$D$106,AP$2,'Additions (monthly)'!$B$2:$B$106,"&lt;="&amp;$B166)</f>
        <v>6.9</v>
      </c>
      <c r="AQ166" s="46" t="n">
        <f aca="false">SUMIFS('Additions (monthly)'!$E$2:$E$106,'Additions (monthly)'!$D$2:$D$106,AQ$2,'Additions (monthly)'!$B$2:$B$106,"&lt;="&amp;$B166)</f>
        <v>4.45</v>
      </c>
      <c r="AR166" s="46" t="n">
        <f aca="false">SUMIFS('Additions (monthly)'!$E$2:$E$106,'Additions (monthly)'!$D$2:$D$106,AR$2,'Additions (monthly)'!$B$2:$B$106,"&lt;="&amp;$B166)</f>
        <v>77.1</v>
      </c>
      <c r="AS166" s="46" t="n">
        <f aca="false">SUMIFS('Additions (monthly)'!$E$2:$E$106,'Additions (monthly)'!$D$2:$D$106,AS$2,'Additions (monthly)'!$B$2:$B$106,"&lt;="&amp;$B166)</f>
        <v>0</v>
      </c>
      <c r="AT166" s="46" t="n">
        <f aca="false">SUMIFS('Additions (monthly)'!$E$2:$E$106,'Additions (monthly)'!$D$2:$D$106,AT$2,'Additions (monthly)'!$B$2:$B$106,"&lt;="&amp;$B166)</f>
        <v>1.5</v>
      </c>
      <c r="AU166" s="46" t="n">
        <f aca="false">SUMIFS('Additions (monthly)'!$E$2:$E$106,'Additions (monthly)'!$D$2:$D$106,AU$2,'Additions (monthly)'!$B$2:$B$106,"&lt;="&amp;$B166)</f>
        <v>9.6</v>
      </c>
      <c r="AV166" s="46" t="n">
        <f aca="false">SUMIFS('Additions (monthly)'!$E$2:$E$106,'Additions (monthly)'!$D$2:$D$106,AV$2,'Additions (monthly)'!$B$2:$B$106,"&lt;="&amp;$B166)</f>
        <v>0.66</v>
      </c>
      <c r="AW166" s="46" t="n">
        <f aca="false">SUMIFS('Additions (monthly)'!$E$2:$E$106,'Additions (monthly)'!$D$2:$D$106,AW$2,'Additions (monthly)'!$B$2:$B$106,"&lt;="&amp;$B166)</f>
        <v>17.4</v>
      </c>
      <c r="AX166" s="46" t="n">
        <f aca="false">SUMIFS('Additions (monthly)'!$E$2:$E$106,'Additions (monthly)'!$D$2:$D$106,AX$2,'Additions (monthly)'!$B$2:$B$106,"&lt;="&amp;$B166)</f>
        <v>11.8</v>
      </c>
      <c r="AY166" s="46" t="n">
        <f aca="false">SUMIFS('Additions (monthly)'!$E$2:$E$106,'Additions (monthly)'!$D$2:$D$106,AY$2,'Additions (monthly)'!$B$2:$B$106,"&lt;="&amp;$B166)</f>
        <v>5.3</v>
      </c>
      <c r="AZ166" s="46" t="n">
        <f aca="false">SUMIFS('Additions (monthly)'!$E$2:$E$106,'Additions (monthly)'!$D$2:$D$106,AZ$2,'Additions (monthly)'!$B$2:$B$106,"&lt;="&amp;$B166)</f>
        <v>9.97</v>
      </c>
      <c r="BA166" s="46" t="n">
        <f aca="false">SUMIFS('Additions (monthly)'!$E$2:$E$106,'Additions (monthly)'!$D$2:$D$106,BA$2,'Additions (monthly)'!$B$2:$B$106,"&lt;="&amp;$B166)</f>
        <v>13.5</v>
      </c>
      <c r="BB166" s="46" t="n">
        <f aca="false">SUMIFS('Additions (monthly)'!$E$2:$E$106,'Additions (monthly)'!$D$2:$D$106,BB$2,'Additions (monthly)'!$B$2:$B$106,"&lt;="&amp;$B166)</f>
        <v>15</v>
      </c>
      <c r="BC166" s="46" t="n">
        <f aca="false">SUMIFS('Additions (monthly)'!$E$2:$E$106,'Additions (monthly)'!$D$2:$D$106,BC$2,'Additions (monthly)'!$B$2:$B$106,"&lt;="&amp;$B166)</f>
        <v>5.25</v>
      </c>
      <c r="BD166" s="46" t="n">
        <f aca="false">SUMIFS('Additions (monthly)'!$E$2:$E$106,'Additions (monthly)'!$D$2:$D$106,BD$2,'Additions (monthly)'!$B$2:$B$106,"&lt;="&amp;$B166)</f>
        <v>2.5</v>
      </c>
      <c r="BE166" s="46" t="n">
        <f aca="false">SUMIFS('Additions (monthly)'!$E$2:$E$106,'Additions (monthly)'!$D$2:$D$106,BE$2,'Additions (monthly)'!$B$2:$B$106,"&lt;="&amp;$B166)</f>
        <v>15.3</v>
      </c>
      <c r="BF166" s="46" t="n">
        <f aca="false">SUMIFS('Additions (monthly)'!$E$2:$E$106,'Additions (monthly)'!$D$2:$D$106,BF$2,'Additions (monthly)'!$B$2:$B$106,"&lt;="&amp;$B166)</f>
        <v>0</v>
      </c>
      <c r="BG166" s="46" t="n">
        <f aca="false">SUMIFS('Additions (monthly)'!$E$2:$E$106,'Additions (monthly)'!$D$2:$D$106,BG$2,'Additions (monthly)'!$B$2:$B$106,"&lt;="&amp;$B166)</f>
        <v>0</v>
      </c>
      <c r="BH166" s="46" t="n">
        <f aca="false">SUMIFS('Additions (monthly)'!$E$2:$E$106,'Additions (monthly)'!$D$2:$D$106,BH$2,'Additions (monthly)'!$B$2:$B$106,"&lt;="&amp;$B166)</f>
        <v>30</v>
      </c>
      <c r="BI166" s="46" t="n">
        <f aca="false">SUMIFS('Additions (monthly)'!$E$2:$E$106,'Additions (monthly)'!$D$2:$D$106,BI$2,'Additions (monthly)'!$B$2:$B$106,"&lt;="&amp;$B166)</f>
        <v>6.7</v>
      </c>
    </row>
    <row r="167" customFormat="false" ht="15" hidden="false" customHeight="false" outlineLevel="0" collapsed="false">
      <c r="A167" s="44" t="n">
        <v>45170</v>
      </c>
      <c r="B167" s="45" t="n">
        <v>202309</v>
      </c>
      <c r="C167" s="42" t="n">
        <f aca="false">SUMIFS('Additions (monthly)'!$E$2:$E$106,'Additions (monthly)'!$B$2:$B$106,"&lt;="&amp;$B167)</f>
        <v>481.05</v>
      </c>
      <c r="D167" s="46" t="n">
        <f aca="false">SUMIFS('Additions (monthly)'!$E$2:$E$106,'Additions (monthly)'!$D$2:$D$106,D$2,'Additions (monthly)'!$B$2:$B$106,"&lt;="&amp;$B167)</f>
        <v>7.9</v>
      </c>
      <c r="E167" s="46" t="n">
        <f aca="false">SUMIFS('Additions (monthly)'!$E$2:$E$106,'Additions (monthly)'!$D$2:$D$106,E$2,'Additions (monthly)'!$B$2:$B$106,"&lt;="&amp;$B167)</f>
        <v>8.4</v>
      </c>
      <c r="F167" s="46" t="n">
        <f aca="false">SUMIFS('Additions (monthly)'!$E$2:$E$106,'Additions (monthly)'!$D$2:$D$106,F$2,'Additions (monthly)'!$B$2:$B$106,"&lt;="&amp;$B167)</f>
        <v>4.7</v>
      </c>
      <c r="G167" s="46" t="n">
        <f aca="false">SUMIFS('Additions (monthly)'!$E$2:$E$106,'Additions (monthly)'!$D$2:$D$106,G$2,'Additions (monthly)'!$B$2:$B$106,"&lt;="&amp;$B167)</f>
        <v>4.5</v>
      </c>
      <c r="H167" s="46" t="n">
        <f aca="false">SUMIFS('Additions (monthly)'!$E$2:$E$106,'Additions (monthly)'!$D$2:$D$106,H$2,'Additions (monthly)'!$B$2:$B$106,"&lt;="&amp;$B167)</f>
        <v>5.2</v>
      </c>
      <c r="I167" s="46" t="n">
        <f aca="false">SUMIFS('Additions (monthly)'!$E$2:$E$106,'Additions (monthly)'!$D$2:$D$106,I$2,'Additions (monthly)'!$B$2:$B$106,"&lt;="&amp;$B167)</f>
        <v>9</v>
      </c>
      <c r="J167" s="46" t="n">
        <f aca="false">SUMIFS('Additions (monthly)'!$E$2:$E$106,'Additions (monthly)'!$D$2:$D$106,J$2,'Additions (monthly)'!$B$2:$B$106,"&lt;="&amp;$B167)</f>
        <v>3.7</v>
      </c>
      <c r="K167" s="46" t="n">
        <f aca="false">SUMIFS('Additions (monthly)'!$E$2:$E$106,'Additions (monthly)'!$D$2:$D$106,K$2,'Additions (monthly)'!$B$2:$B$106,"&lt;="&amp;$B167)</f>
        <v>7.8</v>
      </c>
      <c r="L167" s="46" t="n">
        <f aca="false">SUMIFS('Additions (monthly)'!$E$2:$E$106,'Additions (monthly)'!$D$2:$D$106,L$2,'Additions (monthly)'!$B$2:$B$106,"&lt;="&amp;$B167)</f>
        <v>15.6</v>
      </c>
      <c r="M167" s="46" t="n">
        <f aca="false">SUMIFS('Additions (monthly)'!$E$2:$E$106,'Additions (monthly)'!$D$2:$D$106,M$2,'Additions (monthly)'!$B$2:$B$106,"&lt;="&amp;$B167)</f>
        <v>8.9</v>
      </c>
      <c r="N167" s="46" t="n">
        <f aca="false">SUMIFS('Additions (monthly)'!$E$2:$E$106,'Additions (monthly)'!$D$2:$D$106,N$2,'Additions (monthly)'!$B$2:$B$106,"&lt;="&amp;$B167)</f>
        <v>14.2</v>
      </c>
      <c r="O167" s="46" t="n">
        <f aca="false">SUMIFS('Additions (monthly)'!$E$2:$E$106,'Additions (monthly)'!$D$2:$D$106,O$2,'Additions (monthly)'!$B$2:$B$106,"&lt;="&amp;$B167)</f>
        <v>4.9</v>
      </c>
      <c r="P167" s="46" t="n">
        <f aca="false">SUMIFS('Additions (monthly)'!$E$2:$E$106,'Additions (monthly)'!$D$2:$D$106,P$2,'Additions (monthly)'!$B$2:$B$106,"&lt;="&amp;$B167)</f>
        <v>3.6</v>
      </c>
      <c r="Q167" s="46" t="n">
        <f aca="false">SUMIFS('Additions (monthly)'!$E$2:$E$106,'Additions (monthly)'!$D$2:$D$106,Q$2,'Additions (monthly)'!$B$2:$B$106,"&lt;="&amp;$B167)</f>
        <v>8.5</v>
      </c>
      <c r="R167" s="46" t="n">
        <f aca="false">SUMIFS('Additions (monthly)'!$E$2:$E$106,'Additions (monthly)'!$D$2:$D$106,R$2,'Additions (monthly)'!$B$2:$B$106,"&lt;="&amp;$B167)</f>
        <v>8.9</v>
      </c>
      <c r="S167" s="46" t="n">
        <f aca="false">SUMIFS('Additions (monthly)'!$E$2:$E$106,'Additions (monthly)'!$D$2:$D$106,S$2,'Additions (monthly)'!$B$2:$B$106,"&lt;="&amp;$B167)</f>
        <v>7.2</v>
      </c>
      <c r="T167" s="46" t="n">
        <f aca="false">SUMIFS('Additions (monthly)'!$E$2:$E$106,'Additions (monthly)'!$D$2:$D$106,T$2,'Additions (monthly)'!$B$2:$B$106,"&lt;="&amp;$B167)</f>
        <v>2.4</v>
      </c>
      <c r="U167" s="46" t="n">
        <f aca="false">SUMIFS('Additions (monthly)'!$E$2:$E$106,'Additions (monthly)'!$D$2:$D$106,U$2,'Additions (monthly)'!$B$2:$B$106,"&lt;="&amp;$B167)</f>
        <v>0</v>
      </c>
      <c r="V167" s="46" t="n">
        <f aca="false">SUMIFS('Additions (monthly)'!$E$2:$E$106,'Additions (monthly)'!$D$2:$D$106,V$2,'Additions (monthly)'!$B$2:$B$106,"&lt;="&amp;$B167)</f>
        <v>3.87</v>
      </c>
      <c r="W167" s="46" t="n">
        <f aca="false">SUMIFS('Additions (monthly)'!$E$2:$E$106,'Additions (monthly)'!$D$2:$D$106,W$2,'Additions (monthly)'!$B$2:$B$106,"&lt;="&amp;$B167)</f>
        <v>0</v>
      </c>
      <c r="X167" s="46" t="n">
        <f aca="false">SUMIFS('Additions (monthly)'!$E$2:$E$106,'Additions (monthly)'!$D$2:$D$106,X$2,'Additions (monthly)'!$B$2:$B$106,"&lt;="&amp;$B167)</f>
        <v>0</v>
      </c>
      <c r="Y167" s="46" t="n">
        <f aca="false">SUMIFS('Additions (monthly)'!$E$2:$E$106,'Additions (monthly)'!$D$2:$D$106,Y$2,'Additions (monthly)'!$B$2:$B$106,"&lt;="&amp;$B167)</f>
        <v>5</v>
      </c>
      <c r="Z167" s="46" t="n">
        <f aca="false">SUMIFS('Additions (monthly)'!$E$2:$E$106,'Additions (monthly)'!$D$2:$D$106,Z$2,'Additions (monthly)'!$B$2:$B$106,"&lt;="&amp;$B167)</f>
        <v>7.2</v>
      </c>
      <c r="AA167" s="46" t="n">
        <f aca="false">SUMIFS('Additions (monthly)'!$E$2:$E$106,'Additions (monthly)'!$D$2:$D$106,AA$2,'Additions (monthly)'!$B$2:$B$106,"&lt;="&amp;$B167)</f>
        <v>3.7</v>
      </c>
      <c r="AB167" s="46" t="n">
        <f aca="false">SUMIFS('Additions (monthly)'!$E$2:$E$106,'Additions (monthly)'!$D$2:$D$106,AB$2,'Additions (monthly)'!$B$2:$B$106,"&lt;="&amp;$B167)</f>
        <v>16.95</v>
      </c>
      <c r="AC167" s="46" t="n">
        <f aca="false">SUMIFS('Additions (monthly)'!$E$2:$E$106,'Additions (monthly)'!$D$2:$D$106,AC$2,'Additions (monthly)'!$B$2:$B$106,"&lt;="&amp;$B167)</f>
        <v>2</v>
      </c>
      <c r="AD167" s="46" t="n">
        <f aca="false">SUMIFS('Additions (monthly)'!$E$2:$E$106,'Additions (monthly)'!$D$2:$D$106,AD$2,'Additions (monthly)'!$B$2:$B$106,"&lt;="&amp;$B167)</f>
        <v>11.4</v>
      </c>
      <c r="AE167" s="46" t="n">
        <f aca="false">SUMIFS('Additions (monthly)'!$E$2:$E$106,'Additions (monthly)'!$D$2:$D$106,AE$2,'Additions (monthly)'!$B$2:$B$106,"&lt;="&amp;$B167)</f>
        <v>29.3</v>
      </c>
      <c r="AF167" s="46" t="n">
        <f aca="false">SUMIFS('Additions (monthly)'!$E$2:$E$106,'Additions (monthly)'!$D$2:$D$106,AF$2,'Additions (monthly)'!$B$2:$B$106,"&lt;="&amp;$B167)</f>
        <v>1.2</v>
      </c>
      <c r="AG167" s="46" t="n">
        <f aca="false">SUMIFS('Additions (monthly)'!$E$2:$E$106,'Additions (monthly)'!$D$2:$D$106,AG$2,'Additions (monthly)'!$B$2:$B$106,"&lt;="&amp;$B167)</f>
        <v>1.5</v>
      </c>
      <c r="AH167" s="46" t="n">
        <f aca="false">SUMIFS('Additions (monthly)'!$E$2:$E$106,'Additions (monthly)'!$D$2:$D$106,AH$2,'Additions (monthly)'!$B$2:$B$106,"&lt;="&amp;$B167)</f>
        <v>0</v>
      </c>
      <c r="AI167" s="46" t="n">
        <f aca="false">SUMIFS('Additions (monthly)'!$E$2:$E$106,'Additions (monthly)'!$D$2:$D$106,AI$2,'Additions (monthly)'!$B$2:$B$106,"&lt;="&amp;$B167)</f>
        <v>0</v>
      </c>
      <c r="AJ167" s="46" t="n">
        <f aca="false">SUMIFS('Additions (monthly)'!$E$2:$E$106,'Additions (monthly)'!$D$2:$D$106,AJ$2,'Additions (monthly)'!$B$2:$B$106,"&lt;="&amp;$B167)</f>
        <v>0</v>
      </c>
      <c r="AK167" s="46" t="n">
        <f aca="false">SUMIFS('Additions (monthly)'!$E$2:$E$106,'Additions (monthly)'!$D$2:$D$106,AK$2,'Additions (monthly)'!$B$2:$B$106,"&lt;="&amp;$B167)</f>
        <v>3.4</v>
      </c>
      <c r="AL167" s="46" t="n">
        <f aca="false">SUMIFS('Additions (monthly)'!$E$2:$E$106,'Additions (monthly)'!$D$2:$D$106,AL$2,'Additions (monthly)'!$B$2:$B$106,"&lt;="&amp;$B167)</f>
        <v>22.2</v>
      </c>
      <c r="AM167" s="46" t="n">
        <f aca="false">SUMIFS('Additions (monthly)'!$E$2:$E$106,'Additions (monthly)'!$D$2:$D$106,AM$2,'Additions (monthly)'!$B$2:$B$106,"&lt;="&amp;$B167)</f>
        <v>0.3</v>
      </c>
      <c r="AN167" s="46" t="n">
        <f aca="false">SUMIFS('Additions (monthly)'!$E$2:$E$106,'Additions (monthly)'!$D$2:$D$106,AN$2,'Additions (monthly)'!$B$2:$B$106,"&lt;="&amp;$B167)</f>
        <v>4.3</v>
      </c>
      <c r="AO167" s="46" t="n">
        <f aca="false">SUMIFS('Additions (monthly)'!$E$2:$E$106,'Additions (monthly)'!$D$2:$D$106,AO$2,'Additions (monthly)'!$B$2:$B$106,"&lt;="&amp;$B167)</f>
        <v>10.4</v>
      </c>
      <c r="AP167" s="46" t="n">
        <f aca="false">SUMIFS('Additions (monthly)'!$E$2:$E$106,'Additions (monthly)'!$D$2:$D$106,AP$2,'Additions (monthly)'!$B$2:$B$106,"&lt;="&amp;$B167)</f>
        <v>6.9</v>
      </c>
      <c r="AQ167" s="46" t="n">
        <f aca="false">SUMIFS('Additions (monthly)'!$E$2:$E$106,'Additions (monthly)'!$D$2:$D$106,AQ$2,'Additions (monthly)'!$B$2:$B$106,"&lt;="&amp;$B167)</f>
        <v>4.45</v>
      </c>
      <c r="AR167" s="46" t="n">
        <f aca="false">SUMIFS('Additions (monthly)'!$E$2:$E$106,'Additions (monthly)'!$D$2:$D$106,AR$2,'Additions (monthly)'!$B$2:$B$106,"&lt;="&amp;$B167)</f>
        <v>77.1</v>
      </c>
      <c r="AS167" s="46" t="n">
        <f aca="false">SUMIFS('Additions (monthly)'!$E$2:$E$106,'Additions (monthly)'!$D$2:$D$106,AS$2,'Additions (monthly)'!$B$2:$B$106,"&lt;="&amp;$B167)</f>
        <v>0</v>
      </c>
      <c r="AT167" s="46" t="n">
        <f aca="false">SUMIFS('Additions (monthly)'!$E$2:$E$106,'Additions (monthly)'!$D$2:$D$106,AT$2,'Additions (monthly)'!$B$2:$B$106,"&lt;="&amp;$B167)</f>
        <v>1.5</v>
      </c>
      <c r="AU167" s="46" t="n">
        <f aca="false">SUMIFS('Additions (monthly)'!$E$2:$E$106,'Additions (monthly)'!$D$2:$D$106,AU$2,'Additions (monthly)'!$B$2:$B$106,"&lt;="&amp;$B167)</f>
        <v>9.6</v>
      </c>
      <c r="AV167" s="46" t="n">
        <f aca="false">SUMIFS('Additions (monthly)'!$E$2:$E$106,'Additions (monthly)'!$D$2:$D$106,AV$2,'Additions (monthly)'!$B$2:$B$106,"&lt;="&amp;$B167)</f>
        <v>0.66</v>
      </c>
      <c r="AW167" s="46" t="n">
        <f aca="false">SUMIFS('Additions (monthly)'!$E$2:$E$106,'Additions (monthly)'!$D$2:$D$106,AW$2,'Additions (monthly)'!$B$2:$B$106,"&lt;="&amp;$B167)</f>
        <v>17.4</v>
      </c>
      <c r="AX167" s="46" t="n">
        <f aca="false">SUMIFS('Additions (monthly)'!$E$2:$E$106,'Additions (monthly)'!$D$2:$D$106,AX$2,'Additions (monthly)'!$B$2:$B$106,"&lt;="&amp;$B167)</f>
        <v>11.8</v>
      </c>
      <c r="AY167" s="46" t="n">
        <f aca="false">SUMIFS('Additions (monthly)'!$E$2:$E$106,'Additions (monthly)'!$D$2:$D$106,AY$2,'Additions (monthly)'!$B$2:$B$106,"&lt;="&amp;$B167)</f>
        <v>5.3</v>
      </c>
      <c r="AZ167" s="46" t="n">
        <f aca="false">SUMIFS('Additions (monthly)'!$E$2:$E$106,'Additions (monthly)'!$D$2:$D$106,AZ$2,'Additions (monthly)'!$B$2:$B$106,"&lt;="&amp;$B167)</f>
        <v>9.97</v>
      </c>
      <c r="BA167" s="46" t="n">
        <f aca="false">SUMIFS('Additions (monthly)'!$E$2:$E$106,'Additions (monthly)'!$D$2:$D$106,BA$2,'Additions (monthly)'!$B$2:$B$106,"&lt;="&amp;$B167)</f>
        <v>13.5</v>
      </c>
      <c r="BB167" s="46" t="n">
        <f aca="false">SUMIFS('Additions (monthly)'!$E$2:$E$106,'Additions (monthly)'!$D$2:$D$106,BB$2,'Additions (monthly)'!$B$2:$B$106,"&lt;="&amp;$B167)</f>
        <v>15</v>
      </c>
      <c r="BC167" s="46" t="n">
        <f aca="false">SUMIFS('Additions (monthly)'!$E$2:$E$106,'Additions (monthly)'!$D$2:$D$106,BC$2,'Additions (monthly)'!$B$2:$B$106,"&lt;="&amp;$B167)</f>
        <v>5.25</v>
      </c>
      <c r="BD167" s="46" t="n">
        <f aca="false">SUMIFS('Additions (monthly)'!$E$2:$E$106,'Additions (monthly)'!$D$2:$D$106,BD$2,'Additions (monthly)'!$B$2:$B$106,"&lt;="&amp;$B167)</f>
        <v>2.5</v>
      </c>
      <c r="BE167" s="46" t="n">
        <f aca="false">SUMIFS('Additions (monthly)'!$E$2:$E$106,'Additions (monthly)'!$D$2:$D$106,BE$2,'Additions (monthly)'!$B$2:$B$106,"&lt;="&amp;$B167)</f>
        <v>15.3</v>
      </c>
      <c r="BF167" s="46" t="n">
        <f aca="false">SUMIFS('Additions (monthly)'!$E$2:$E$106,'Additions (monthly)'!$D$2:$D$106,BF$2,'Additions (monthly)'!$B$2:$B$106,"&lt;="&amp;$B167)</f>
        <v>0</v>
      </c>
      <c r="BG167" s="46" t="n">
        <f aca="false">SUMIFS('Additions (monthly)'!$E$2:$E$106,'Additions (monthly)'!$D$2:$D$106,BG$2,'Additions (monthly)'!$B$2:$B$106,"&lt;="&amp;$B167)</f>
        <v>0</v>
      </c>
      <c r="BH167" s="46" t="n">
        <f aca="false">SUMIFS('Additions (monthly)'!$E$2:$E$106,'Additions (monthly)'!$D$2:$D$106,BH$2,'Additions (monthly)'!$B$2:$B$106,"&lt;="&amp;$B167)</f>
        <v>30</v>
      </c>
      <c r="BI167" s="46" t="n">
        <f aca="false">SUMIFS('Additions (monthly)'!$E$2:$E$106,'Additions (monthly)'!$D$2:$D$106,BI$2,'Additions (monthly)'!$B$2:$B$106,"&lt;="&amp;$B167)</f>
        <v>6.7</v>
      </c>
    </row>
    <row r="168" customFormat="false" ht="15" hidden="false" customHeight="false" outlineLevel="0" collapsed="false">
      <c r="A168" s="44" t="n">
        <v>45200</v>
      </c>
      <c r="B168" s="45" t="n">
        <v>202310</v>
      </c>
      <c r="C168" s="42" t="n">
        <f aca="false">SUMIFS('Additions (monthly)'!$E$2:$E$106,'Additions (monthly)'!$B$2:$B$106,"&lt;="&amp;$B168)</f>
        <v>481.05</v>
      </c>
      <c r="D168" s="46" t="n">
        <f aca="false">SUMIFS('Additions (monthly)'!$E$2:$E$106,'Additions (monthly)'!$D$2:$D$106,D$2,'Additions (monthly)'!$B$2:$B$106,"&lt;="&amp;$B168)</f>
        <v>7.9</v>
      </c>
      <c r="E168" s="46" t="n">
        <f aca="false">SUMIFS('Additions (monthly)'!$E$2:$E$106,'Additions (monthly)'!$D$2:$D$106,E$2,'Additions (monthly)'!$B$2:$B$106,"&lt;="&amp;$B168)</f>
        <v>8.4</v>
      </c>
      <c r="F168" s="46" t="n">
        <f aca="false">SUMIFS('Additions (monthly)'!$E$2:$E$106,'Additions (monthly)'!$D$2:$D$106,F$2,'Additions (monthly)'!$B$2:$B$106,"&lt;="&amp;$B168)</f>
        <v>4.7</v>
      </c>
      <c r="G168" s="46" t="n">
        <f aca="false">SUMIFS('Additions (monthly)'!$E$2:$E$106,'Additions (monthly)'!$D$2:$D$106,G$2,'Additions (monthly)'!$B$2:$B$106,"&lt;="&amp;$B168)</f>
        <v>4.5</v>
      </c>
      <c r="H168" s="46" t="n">
        <f aca="false">SUMIFS('Additions (monthly)'!$E$2:$E$106,'Additions (monthly)'!$D$2:$D$106,H$2,'Additions (monthly)'!$B$2:$B$106,"&lt;="&amp;$B168)</f>
        <v>5.2</v>
      </c>
      <c r="I168" s="46" t="n">
        <f aca="false">SUMIFS('Additions (monthly)'!$E$2:$E$106,'Additions (monthly)'!$D$2:$D$106,I$2,'Additions (monthly)'!$B$2:$B$106,"&lt;="&amp;$B168)</f>
        <v>9</v>
      </c>
      <c r="J168" s="46" t="n">
        <f aca="false">SUMIFS('Additions (monthly)'!$E$2:$E$106,'Additions (monthly)'!$D$2:$D$106,J$2,'Additions (monthly)'!$B$2:$B$106,"&lt;="&amp;$B168)</f>
        <v>3.7</v>
      </c>
      <c r="K168" s="46" t="n">
        <f aca="false">SUMIFS('Additions (monthly)'!$E$2:$E$106,'Additions (monthly)'!$D$2:$D$106,K$2,'Additions (monthly)'!$B$2:$B$106,"&lt;="&amp;$B168)</f>
        <v>7.8</v>
      </c>
      <c r="L168" s="46" t="n">
        <f aca="false">SUMIFS('Additions (monthly)'!$E$2:$E$106,'Additions (monthly)'!$D$2:$D$106,L$2,'Additions (monthly)'!$B$2:$B$106,"&lt;="&amp;$B168)</f>
        <v>15.6</v>
      </c>
      <c r="M168" s="46" t="n">
        <f aca="false">SUMIFS('Additions (monthly)'!$E$2:$E$106,'Additions (monthly)'!$D$2:$D$106,M$2,'Additions (monthly)'!$B$2:$B$106,"&lt;="&amp;$B168)</f>
        <v>8.9</v>
      </c>
      <c r="N168" s="46" t="n">
        <f aca="false">SUMIFS('Additions (monthly)'!$E$2:$E$106,'Additions (monthly)'!$D$2:$D$106,N$2,'Additions (monthly)'!$B$2:$B$106,"&lt;="&amp;$B168)</f>
        <v>14.2</v>
      </c>
      <c r="O168" s="46" t="n">
        <f aca="false">SUMIFS('Additions (monthly)'!$E$2:$E$106,'Additions (monthly)'!$D$2:$D$106,O$2,'Additions (monthly)'!$B$2:$B$106,"&lt;="&amp;$B168)</f>
        <v>4.9</v>
      </c>
      <c r="P168" s="46" t="n">
        <f aca="false">SUMIFS('Additions (monthly)'!$E$2:$E$106,'Additions (monthly)'!$D$2:$D$106,P$2,'Additions (monthly)'!$B$2:$B$106,"&lt;="&amp;$B168)</f>
        <v>3.6</v>
      </c>
      <c r="Q168" s="46" t="n">
        <f aca="false">SUMIFS('Additions (monthly)'!$E$2:$E$106,'Additions (monthly)'!$D$2:$D$106,Q$2,'Additions (monthly)'!$B$2:$B$106,"&lt;="&amp;$B168)</f>
        <v>8.5</v>
      </c>
      <c r="R168" s="46" t="n">
        <f aca="false">SUMIFS('Additions (monthly)'!$E$2:$E$106,'Additions (monthly)'!$D$2:$D$106,R$2,'Additions (monthly)'!$B$2:$B$106,"&lt;="&amp;$B168)</f>
        <v>8.9</v>
      </c>
      <c r="S168" s="46" t="n">
        <f aca="false">SUMIFS('Additions (monthly)'!$E$2:$E$106,'Additions (monthly)'!$D$2:$D$106,S$2,'Additions (monthly)'!$B$2:$B$106,"&lt;="&amp;$B168)</f>
        <v>7.2</v>
      </c>
      <c r="T168" s="46" t="n">
        <f aca="false">SUMIFS('Additions (monthly)'!$E$2:$E$106,'Additions (monthly)'!$D$2:$D$106,T$2,'Additions (monthly)'!$B$2:$B$106,"&lt;="&amp;$B168)</f>
        <v>2.4</v>
      </c>
      <c r="U168" s="46" t="n">
        <f aca="false">SUMIFS('Additions (monthly)'!$E$2:$E$106,'Additions (monthly)'!$D$2:$D$106,U$2,'Additions (monthly)'!$B$2:$B$106,"&lt;="&amp;$B168)</f>
        <v>0</v>
      </c>
      <c r="V168" s="46" t="n">
        <f aca="false">SUMIFS('Additions (monthly)'!$E$2:$E$106,'Additions (monthly)'!$D$2:$D$106,V$2,'Additions (monthly)'!$B$2:$B$106,"&lt;="&amp;$B168)</f>
        <v>3.87</v>
      </c>
      <c r="W168" s="46" t="n">
        <f aca="false">SUMIFS('Additions (monthly)'!$E$2:$E$106,'Additions (monthly)'!$D$2:$D$106,W$2,'Additions (monthly)'!$B$2:$B$106,"&lt;="&amp;$B168)</f>
        <v>0</v>
      </c>
      <c r="X168" s="46" t="n">
        <f aca="false">SUMIFS('Additions (monthly)'!$E$2:$E$106,'Additions (monthly)'!$D$2:$D$106,X$2,'Additions (monthly)'!$B$2:$B$106,"&lt;="&amp;$B168)</f>
        <v>0</v>
      </c>
      <c r="Y168" s="46" t="n">
        <f aca="false">SUMIFS('Additions (monthly)'!$E$2:$E$106,'Additions (monthly)'!$D$2:$D$106,Y$2,'Additions (monthly)'!$B$2:$B$106,"&lt;="&amp;$B168)</f>
        <v>5</v>
      </c>
      <c r="Z168" s="46" t="n">
        <f aca="false">SUMIFS('Additions (monthly)'!$E$2:$E$106,'Additions (monthly)'!$D$2:$D$106,Z$2,'Additions (monthly)'!$B$2:$B$106,"&lt;="&amp;$B168)</f>
        <v>7.2</v>
      </c>
      <c r="AA168" s="46" t="n">
        <f aca="false">SUMIFS('Additions (monthly)'!$E$2:$E$106,'Additions (monthly)'!$D$2:$D$106,AA$2,'Additions (monthly)'!$B$2:$B$106,"&lt;="&amp;$B168)</f>
        <v>3.7</v>
      </c>
      <c r="AB168" s="46" t="n">
        <f aca="false">SUMIFS('Additions (monthly)'!$E$2:$E$106,'Additions (monthly)'!$D$2:$D$106,AB$2,'Additions (monthly)'!$B$2:$B$106,"&lt;="&amp;$B168)</f>
        <v>16.95</v>
      </c>
      <c r="AC168" s="46" t="n">
        <f aca="false">SUMIFS('Additions (monthly)'!$E$2:$E$106,'Additions (monthly)'!$D$2:$D$106,AC$2,'Additions (monthly)'!$B$2:$B$106,"&lt;="&amp;$B168)</f>
        <v>2</v>
      </c>
      <c r="AD168" s="46" t="n">
        <f aca="false">SUMIFS('Additions (monthly)'!$E$2:$E$106,'Additions (monthly)'!$D$2:$D$106,AD$2,'Additions (monthly)'!$B$2:$B$106,"&lt;="&amp;$B168)</f>
        <v>11.4</v>
      </c>
      <c r="AE168" s="46" t="n">
        <f aca="false">SUMIFS('Additions (monthly)'!$E$2:$E$106,'Additions (monthly)'!$D$2:$D$106,AE$2,'Additions (monthly)'!$B$2:$B$106,"&lt;="&amp;$B168)</f>
        <v>29.3</v>
      </c>
      <c r="AF168" s="46" t="n">
        <f aca="false">SUMIFS('Additions (monthly)'!$E$2:$E$106,'Additions (monthly)'!$D$2:$D$106,AF$2,'Additions (monthly)'!$B$2:$B$106,"&lt;="&amp;$B168)</f>
        <v>1.2</v>
      </c>
      <c r="AG168" s="46" t="n">
        <f aca="false">SUMIFS('Additions (monthly)'!$E$2:$E$106,'Additions (monthly)'!$D$2:$D$106,AG$2,'Additions (monthly)'!$B$2:$B$106,"&lt;="&amp;$B168)</f>
        <v>1.5</v>
      </c>
      <c r="AH168" s="46" t="n">
        <f aca="false">SUMIFS('Additions (monthly)'!$E$2:$E$106,'Additions (monthly)'!$D$2:$D$106,AH$2,'Additions (monthly)'!$B$2:$B$106,"&lt;="&amp;$B168)</f>
        <v>0</v>
      </c>
      <c r="AI168" s="46" t="n">
        <f aca="false">SUMIFS('Additions (monthly)'!$E$2:$E$106,'Additions (monthly)'!$D$2:$D$106,AI$2,'Additions (monthly)'!$B$2:$B$106,"&lt;="&amp;$B168)</f>
        <v>0</v>
      </c>
      <c r="AJ168" s="46" t="n">
        <f aca="false">SUMIFS('Additions (monthly)'!$E$2:$E$106,'Additions (monthly)'!$D$2:$D$106,AJ$2,'Additions (monthly)'!$B$2:$B$106,"&lt;="&amp;$B168)</f>
        <v>0</v>
      </c>
      <c r="AK168" s="46" t="n">
        <f aca="false">SUMIFS('Additions (monthly)'!$E$2:$E$106,'Additions (monthly)'!$D$2:$D$106,AK$2,'Additions (monthly)'!$B$2:$B$106,"&lt;="&amp;$B168)</f>
        <v>3.4</v>
      </c>
      <c r="AL168" s="46" t="n">
        <f aca="false">SUMIFS('Additions (monthly)'!$E$2:$E$106,'Additions (monthly)'!$D$2:$D$106,AL$2,'Additions (monthly)'!$B$2:$B$106,"&lt;="&amp;$B168)</f>
        <v>22.2</v>
      </c>
      <c r="AM168" s="46" t="n">
        <f aca="false">SUMIFS('Additions (monthly)'!$E$2:$E$106,'Additions (monthly)'!$D$2:$D$106,AM$2,'Additions (monthly)'!$B$2:$B$106,"&lt;="&amp;$B168)</f>
        <v>0.3</v>
      </c>
      <c r="AN168" s="46" t="n">
        <f aca="false">SUMIFS('Additions (monthly)'!$E$2:$E$106,'Additions (monthly)'!$D$2:$D$106,AN$2,'Additions (monthly)'!$B$2:$B$106,"&lt;="&amp;$B168)</f>
        <v>4.3</v>
      </c>
      <c r="AO168" s="46" t="n">
        <f aca="false">SUMIFS('Additions (monthly)'!$E$2:$E$106,'Additions (monthly)'!$D$2:$D$106,AO$2,'Additions (monthly)'!$B$2:$B$106,"&lt;="&amp;$B168)</f>
        <v>10.4</v>
      </c>
      <c r="AP168" s="46" t="n">
        <f aca="false">SUMIFS('Additions (monthly)'!$E$2:$E$106,'Additions (monthly)'!$D$2:$D$106,AP$2,'Additions (monthly)'!$B$2:$B$106,"&lt;="&amp;$B168)</f>
        <v>6.9</v>
      </c>
      <c r="AQ168" s="46" t="n">
        <f aca="false">SUMIFS('Additions (monthly)'!$E$2:$E$106,'Additions (monthly)'!$D$2:$D$106,AQ$2,'Additions (monthly)'!$B$2:$B$106,"&lt;="&amp;$B168)</f>
        <v>4.45</v>
      </c>
      <c r="AR168" s="46" t="n">
        <f aca="false">SUMIFS('Additions (monthly)'!$E$2:$E$106,'Additions (monthly)'!$D$2:$D$106,AR$2,'Additions (monthly)'!$B$2:$B$106,"&lt;="&amp;$B168)</f>
        <v>77.1</v>
      </c>
      <c r="AS168" s="46" t="n">
        <f aca="false">SUMIFS('Additions (monthly)'!$E$2:$E$106,'Additions (monthly)'!$D$2:$D$106,AS$2,'Additions (monthly)'!$B$2:$B$106,"&lt;="&amp;$B168)</f>
        <v>0</v>
      </c>
      <c r="AT168" s="46" t="n">
        <f aca="false">SUMIFS('Additions (monthly)'!$E$2:$E$106,'Additions (monthly)'!$D$2:$D$106,AT$2,'Additions (monthly)'!$B$2:$B$106,"&lt;="&amp;$B168)</f>
        <v>1.5</v>
      </c>
      <c r="AU168" s="46" t="n">
        <f aca="false">SUMIFS('Additions (monthly)'!$E$2:$E$106,'Additions (monthly)'!$D$2:$D$106,AU$2,'Additions (monthly)'!$B$2:$B$106,"&lt;="&amp;$B168)</f>
        <v>9.6</v>
      </c>
      <c r="AV168" s="46" t="n">
        <f aca="false">SUMIFS('Additions (monthly)'!$E$2:$E$106,'Additions (monthly)'!$D$2:$D$106,AV$2,'Additions (monthly)'!$B$2:$B$106,"&lt;="&amp;$B168)</f>
        <v>0.66</v>
      </c>
      <c r="AW168" s="46" t="n">
        <f aca="false">SUMIFS('Additions (monthly)'!$E$2:$E$106,'Additions (monthly)'!$D$2:$D$106,AW$2,'Additions (monthly)'!$B$2:$B$106,"&lt;="&amp;$B168)</f>
        <v>17.4</v>
      </c>
      <c r="AX168" s="46" t="n">
        <f aca="false">SUMIFS('Additions (monthly)'!$E$2:$E$106,'Additions (monthly)'!$D$2:$D$106,AX$2,'Additions (monthly)'!$B$2:$B$106,"&lt;="&amp;$B168)</f>
        <v>11.8</v>
      </c>
      <c r="AY168" s="46" t="n">
        <f aca="false">SUMIFS('Additions (monthly)'!$E$2:$E$106,'Additions (monthly)'!$D$2:$D$106,AY$2,'Additions (monthly)'!$B$2:$B$106,"&lt;="&amp;$B168)</f>
        <v>5.3</v>
      </c>
      <c r="AZ168" s="46" t="n">
        <f aca="false">SUMIFS('Additions (monthly)'!$E$2:$E$106,'Additions (monthly)'!$D$2:$D$106,AZ$2,'Additions (monthly)'!$B$2:$B$106,"&lt;="&amp;$B168)</f>
        <v>9.97</v>
      </c>
      <c r="BA168" s="46" t="n">
        <f aca="false">SUMIFS('Additions (monthly)'!$E$2:$E$106,'Additions (monthly)'!$D$2:$D$106,BA$2,'Additions (monthly)'!$B$2:$B$106,"&lt;="&amp;$B168)</f>
        <v>13.5</v>
      </c>
      <c r="BB168" s="46" t="n">
        <f aca="false">SUMIFS('Additions (monthly)'!$E$2:$E$106,'Additions (monthly)'!$D$2:$D$106,BB$2,'Additions (monthly)'!$B$2:$B$106,"&lt;="&amp;$B168)</f>
        <v>15</v>
      </c>
      <c r="BC168" s="46" t="n">
        <f aca="false">SUMIFS('Additions (monthly)'!$E$2:$E$106,'Additions (monthly)'!$D$2:$D$106,BC$2,'Additions (monthly)'!$B$2:$B$106,"&lt;="&amp;$B168)</f>
        <v>5.25</v>
      </c>
      <c r="BD168" s="46" t="n">
        <f aca="false">SUMIFS('Additions (monthly)'!$E$2:$E$106,'Additions (monthly)'!$D$2:$D$106,BD$2,'Additions (monthly)'!$B$2:$B$106,"&lt;="&amp;$B168)</f>
        <v>2.5</v>
      </c>
      <c r="BE168" s="46" t="n">
        <f aca="false">SUMIFS('Additions (monthly)'!$E$2:$E$106,'Additions (monthly)'!$D$2:$D$106,BE$2,'Additions (monthly)'!$B$2:$B$106,"&lt;="&amp;$B168)</f>
        <v>15.3</v>
      </c>
      <c r="BF168" s="46" t="n">
        <f aca="false">SUMIFS('Additions (monthly)'!$E$2:$E$106,'Additions (monthly)'!$D$2:$D$106,BF$2,'Additions (monthly)'!$B$2:$B$106,"&lt;="&amp;$B168)</f>
        <v>0</v>
      </c>
      <c r="BG168" s="46" t="n">
        <f aca="false">SUMIFS('Additions (monthly)'!$E$2:$E$106,'Additions (monthly)'!$D$2:$D$106,BG$2,'Additions (monthly)'!$B$2:$B$106,"&lt;="&amp;$B168)</f>
        <v>0</v>
      </c>
      <c r="BH168" s="46" t="n">
        <f aca="false">SUMIFS('Additions (monthly)'!$E$2:$E$106,'Additions (monthly)'!$D$2:$D$106,BH$2,'Additions (monthly)'!$B$2:$B$106,"&lt;="&amp;$B168)</f>
        <v>30</v>
      </c>
      <c r="BI168" s="46" t="n">
        <f aca="false">SUMIFS('Additions (monthly)'!$E$2:$E$106,'Additions (monthly)'!$D$2:$D$106,BI$2,'Additions (monthly)'!$B$2:$B$106,"&lt;="&amp;$B168)</f>
        <v>6.7</v>
      </c>
    </row>
    <row r="169" customFormat="false" ht="15" hidden="false" customHeight="false" outlineLevel="0" collapsed="false">
      <c r="A169" s="44" t="n">
        <v>45231</v>
      </c>
      <c r="B169" s="45" t="n">
        <v>202311</v>
      </c>
      <c r="C169" s="42" t="n">
        <f aca="false">SUMIFS('Additions (monthly)'!$E$2:$E$106,'Additions (monthly)'!$B$2:$B$106,"&lt;="&amp;$B169)</f>
        <v>481.05</v>
      </c>
      <c r="D169" s="46" t="n">
        <f aca="false">SUMIFS('Additions (monthly)'!$E$2:$E$106,'Additions (monthly)'!$D$2:$D$106,D$2,'Additions (monthly)'!$B$2:$B$106,"&lt;="&amp;$B169)</f>
        <v>7.9</v>
      </c>
      <c r="E169" s="46" t="n">
        <f aca="false">SUMIFS('Additions (monthly)'!$E$2:$E$106,'Additions (monthly)'!$D$2:$D$106,E$2,'Additions (monthly)'!$B$2:$B$106,"&lt;="&amp;$B169)</f>
        <v>8.4</v>
      </c>
      <c r="F169" s="46" t="n">
        <f aca="false">SUMIFS('Additions (monthly)'!$E$2:$E$106,'Additions (monthly)'!$D$2:$D$106,F$2,'Additions (monthly)'!$B$2:$B$106,"&lt;="&amp;$B169)</f>
        <v>4.7</v>
      </c>
      <c r="G169" s="46" t="n">
        <f aca="false">SUMIFS('Additions (monthly)'!$E$2:$E$106,'Additions (monthly)'!$D$2:$D$106,G$2,'Additions (monthly)'!$B$2:$B$106,"&lt;="&amp;$B169)</f>
        <v>4.5</v>
      </c>
      <c r="H169" s="46" t="n">
        <f aca="false">SUMIFS('Additions (monthly)'!$E$2:$E$106,'Additions (monthly)'!$D$2:$D$106,H$2,'Additions (monthly)'!$B$2:$B$106,"&lt;="&amp;$B169)</f>
        <v>5.2</v>
      </c>
      <c r="I169" s="46" t="n">
        <f aca="false">SUMIFS('Additions (monthly)'!$E$2:$E$106,'Additions (monthly)'!$D$2:$D$106,I$2,'Additions (monthly)'!$B$2:$B$106,"&lt;="&amp;$B169)</f>
        <v>9</v>
      </c>
      <c r="J169" s="46" t="n">
        <f aca="false">SUMIFS('Additions (monthly)'!$E$2:$E$106,'Additions (monthly)'!$D$2:$D$106,J$2,'Additions (monthly)'!$B$2:$B$106,"&lt;="&amp;$B169)</f>
        <v>3.7</v>
      </c>
      <c r="K169" s="46" t="n">
        <f aca="false">SUMIFS('Additions (monthly)'!$E$2:$E$106,'Additions (monthly)'!$D$2:$D$106,K$2,'Additions (monthly)'!$B$2:$B$106,"&lt;="&amp;$B169)</f>
        <v>7.8</v>
      </c>
      <c r="L169" s="46" t="n">
        <f aca="false">SUMIFS('Additions (monthly)'!$E$2:$E$106,'Additions (monthly)'!$D$2:$D$106,L$2,'Additions (monthly)'!$B$2:$B$106,"&lt;="&amp;$B169)</f>
        <v>15.6</v>
      </c>
      <c r="M169" s="46" t="n">
        <f aca="false">SUMIFS('Additions (monthly)'!$E$2:$E$106,'Additions (monthly)'!$D$2:$D$106,M$2,'Additions (monthly)'!$B$2:$B$106,"&lt;="&amp;$B169)</f>
        <v>8.9</v>
      </c>
      <c r="N169" s="46" t="n">
        <f aca="false">SUMIFS('Additions (monthly)'!$E$2:$E$106,'Additions (monthly)'!$D$2:$D$106,N$2,'Additions (monthly)'!$B$2:$B$106,"&lt;="&amp;$B169)</f>
        <v>14.2</v>
      </c>
      <c r="O169" s="46" t="n">
        <f aca="false">SUMIFS('Additions (monthly)'!$E$2:$E$106,'Additions (monthly)'!$D$2:$D$106,O$2,'Additions (monthly)'!$B$2:$B$106,"&lt;="&amp;$B169)</f>
        <v>4.9</v>
      </c>
      <c r="P169" s="46" t="n">
        <f aca="false">SUMIFS('Additions (monthly)'!$E$2:$E$106,'Additions (monthly)'!$D$2:$D$106,P$2,'Additions (monthly)'!$B$2:$B$106,"&lt;="&amp;$B169)</f>
        <v>3.6</v>
      </c>
      <c r="Q169" s="46" t="n">
        <f aca="false">SUMIFS('Additions (monthly)'!$E$2:$E$106,'Additions (monthly)'!$D$2:$D$106,Q$2,'Additions (monthly)'!$B$2:$B$106,"&lt;="&amp;$B169)</f>
        <v>8.5</v>
      </c>
      <c r="R169" s="46" t="n">
        <f aca="false">SUMIFS('Additions (monthly)'!$E$2:$E$106,'Additions (monthly)'!$D$2:$D$106,R$2,'Additions (monthly)'!$B$2:$B$106,"&lt;="&amp;$B169)</f>
        <v>8.9</v>
      </c>
      <c r="S169" s="46" t="n">
        <f aca="false">SUMIFS('Additions (monthly)'!$E$2:$E$106,'Additions (monthly)'!$D$2:$D$106,S$2,'Additions (monthly)'!$B$2:$B$106,"&lt;="&amp;$B169)</f>
        <v>7.2</v>
      </c>
      <c r="T169" s="46" t="n">
        <f aca="false">SUMIFS('Additions (monthly)'!$E$2:$E$106,'Additions (monthly)'!$D$2:$D$106,T$2,'Additions (monthly)'!$B$2:$B$106,"&lt;="&amp;$B169)</f>
        <v>2.4</v>
      </c>
      <c r="U169" s="46" t="n">
        <f aca="false">SUMIFS('Additions (monthly)'!$E$2:$E$106,'Additions (monthly)'!$D$2:$D$106,U$2,'Additions (monthly)'!$B$2:$B$106,"&lt;="&amp;$B169)</f>
        <v>0</v>
      </c>
      <c r="V169" s="46" t="n">
        <f aca="false">SUMIFS('Additions (monthly)'!$E$2:$E$106,'Additions (monthly)'!$D$2:$D$106,V$2,'Additions (monthly)'!$B$2:$B$106,"&lt;="&amp;$B169)</f>
        <v>3.87</v>
      </c>
      <c r="W169" s="46" t="n">
        <f aca="false">SUMIFS('Additions (monthly)'!$E$2:$E$106,'Additions (monthly)'!$D$2:$D$106,W$2,'Additions (monthly)'!$B$2:$B$106,"&lt;="&amp;$B169)</f>
        <v>0</v>
      </c>
      <c r="X169" s="46" t="n">
        <f aca="false">SUMIFS('Additions (monthly)'!$E$2:$E$106,'Additions (monthly)'!$D$2:$D$106,X$2,'Additions (monthly)'!$B$2:$B$106,"&lt;="&amp;$B169)</f>
        <v>0</v>
      </c>
      <c r="Y169" s="46" t="n">
        <f aca="false">SUMIFS('Additions (monthly)'!$E$2:$E$106,'Additions (monthly)'!$D$2:$D$106,Y$2,'Additions (monthly)'!$B$2:$B$106,"&lt;="&amp;$B169)</f>
        <v>5</v>
      </c>
      <c r="Z169" s="46" t="n">
        <f aca="false">SUMIFS('Additions (monthly)'!$E$2:$E$106,'Additions (monthly)'!$D$2:$D$106,Z$2,'Additions (monthly)'!$B$2:$B$106,"&lt;="&amp;$B169)</f>
        <v>7.2</v>
      </c>
      <c r="AA169" s="46" t="n">
        <f aca="false">SUMIFS('Additions (monthly)'!$E$2:$E$106,'Additions (monthly)'!$D$2:$D$106,AA$2,'Additions (monthly)'!$B$2:$B$106,"&lt;="&amp;$B169)</f>
        <v>3.7</v>
      </c>
      <c r="AB169" s="46" t="n">
        <f aca="false">SUMIFS('Additions (monthly)'!$E$2:$E$106,'Additions (monthly)'!$D$2:$D$106,AB$2,'Additions (monthly)'!$B$2:$B$106,"&lt;="&amp;$B169)</f>
        <v>16.95</v>
      </c>
      <c r="AC169" s="46" t="n">
        <f aca="false">SUMIFS('Additions (monthly)'!$E$2:$E$106,'Additions (monthly)'!$D$2:$D$106,AC$2,'Additions (monthly)'!$B$2:$B$106,"&lt;="&amp;$B169)</f>
        <v>2</v>
      </c>
      <c r="AD169" s="46" t="n">
        <f aca="false">SUMIFS('Additions (monthly)'!$E$2:$E$106,'Additions (monthly)'!$D$2:$D$106,AD$2,'Additions (monthly)'!$B$2:$B$106,"&lt;="&amp;$B169)</f>
        <v>11.4</v>
      </c>
      <c r="AE169" s="46" t="n">
        <f aca="false">SUMIFS('Additions (monthly)'!$E$2:$E$106,'Additions (monthly)'!$D$2:$D$106,AE$2,'Additions (monthly)'!$B$2:$B$106,"&lt;="&amp;$B169)</f>
        <v>29.3</v>
      </c>
      <c r="AF169" s="46" t="n">
        <f aca="false">SUMIFS('Additions (monthly)'!$E$2:$E$106,'Additions (monthly)'!$D$2:$D$106,AF$2,'Additions (monthly)'!$B$2:$B$106,"&lt;="&amp;$B169)</f>
        <v>1.2</v>
      </c>
      <c r="AG169" s="46" t="n">
        <f aca="false">SUMIFS('Additions (monthly)'!$E$2:$E$106,'Additions (monthly)'!$D$2:$D$106,AG$2,'Additions (monthly)'!$B$2:$B$106,"&lt;="&amp;$B169)</f>
        <v>1.5</v>
      </c>
      <c r="AH169" s="46" t="n">
        <f aca="false">SUMIFS('Additions (monthly)'!$E$2:$E$106,'Additions (monthly)'!$D$2:$D$106,AH$2,'Additions (monthly)'!$B$2:$B$106,"&lt;="&amp;$B169)</f>
        <v>0</v>
      </c>
      <c r="AI169" s="46" t="n">
        <f aca="false">SUMIFS('Additions (monthly)'!$E$2:$E$106,'Additions (monthly)'!$D$2:$D$106,AI$2,'Additions (monthly)'!$B$2:$B$106,"&lt;="&amp;$B169)</f>
        <v>0</v>
      </c>
      <c r="AJ169" s="46" t="n">
        <f aca="false">SUMIFS('Additions (monthly)'!$E$2:$E$106,'Additions (monthly)'!$D$2:$D$106,AJ$2,'Additions (monthly)'!$B$2:$B$106,"&lt;="&amp;$B169)</f>
        <v>0</v>
      </c>
      <c r="AK169" s="46" t="n">
        <f aca="false">SUMIFS('Additions (monthly)'!$E$2:$E$106,'Additions (monthly)'!$D$2:$D$106,AK$2,'Additions (monthly)'!$B$2:$B$106,"&lt;="&amp;$B169)</f>
        <v>3.4</v>
      </c>
      <c r="AL169" s="46" t="n">
        <f aca="false">SUMIFS('Additions (monthly)'!$E$2:$E$106,'Additions (monthly)'!$D$2:$D$106,AL$2,'Additions (monthly)'!$B$2:$B$106,"&lt;="&amp;$B169)</f>
        <v>22.2</v>
      </c>
      <c r="AM169" s="46" t="n">
        <f aca="false">SUMIFS('Additions (monthly)'!$E$2:$E$106,'Additions (monthly)'!$D$2:$D$106,AM$2,'Additions (monthly)'!$B$2:$B$106,"&lt;="&amp;$B169)</f>
        <v>0.3</v>
      </c>
      <c r="AN169" s="46" t="n">
        <f aca="false">SUMIFS('Additions (monthly)'!$E$2:$E$106,'Additions (monthly)'!$D$2:$D$106,AN$2,'Additions (monthly)'!$B$2:$B$106,"&lt;="&amp;$B169)</f>
        <v>4.3</v>
      </c>
      <c r="AO169" s="46" t="n">
        <f aca="false">SUMIFS('Additions (monthly)'!$E$2:$E$106,'Additions (monthly)'!$D$2:$D$106,AO$2,'Additions (monthly)'!$B$2:$B$106,"&lt;="&amp;$B169)</f>
        <v>10.4</v>
      </c>
      <c r="AP169" s="46" t="n">
        <f aca="false">SUMIFS('Additions (monthly)'!$E$2:$E$106,'Additions (monthly)'!$D$2:$D$106,AP$2,'Additions (monthly)'!$B$2:$B$106,"&lt;="&amp;$B169)</f>
        <v>6.9</v>
      </c>
      <c r="AQ169" s="46" t="n">
        <f aca="false">SUMIFS('Additions (monthly)'!$E$2:$E$106,'Additions (monthly)'!$D$2:$D$106,AQ$2,'Additions (monthly)'!$B$2:$B$106,"&lt;="&amp;$B169)</f>
        <v>4.45</v>
      </c>
      <c r="AR169" s="46" t="n">
        <f aca="false">SUMIFS('Additions (monthly)'!$E$2:$E$106,'Additions (monthly)'!$D$2:$D$106,AR$2,'Additions (monthly)'!$B$2:$B$106,"&lt;="&amp;$B169)</f>
        <v>77.1</v>
      </c>
      <c r="AS169" s="46" t="n">
        <f aca="false">SUMIFS('Additions (monthly)'!$E$2:$E$106,'Additions (monthly)'!$D$2:$D$106,AS$2,'Additions (monthly)'!$B$2:$B$106,"&lt;="&amp;$B169)</f>
        <v>0</v>
      </c>
      <c r="AT169" s="46" t="n">
        <f aca="false">SUMIFS('Additions (monthly)'!$E$2:$E$106,'Additions (monthly)'!$D$2:$D$106,AT$2,'Additions (monthly)'!$B$2:$B$106,"&lt;="&amp;$B169)</f>
        <v>1.5</v>
      </c>
      <c r="AU169" s="46" t="n">
        <f aca="false">SUMIFS('Additions (monthly)'!$E$2:$E$106,'Additions (monthly)'!$D$2:$D$106,AU$2,'Additions (monthly)'!$B$2:$B$106,"&lt;="&amp;$B169)</f>
        <v>9.6</v>
      </c>
      <c r="AV169" s="46" t="n">
        <f aca="false">SUMIFS('Additions (monthly)'!$E$2:$E$106,'Additions (monthly)'!$D$2:$D$106,AV$2,'Additions (monthly)'!$B$2:$B$106,"&lt;="&amp;$B169)</f>
        <v>0.66</v>
      </c>
      <c r="AW169" s="46" t="n">
        <f aca="false">SUMIFS('Additions (monthly)'!$E$2:$E$106,'Additions (monthly)'!$D$2:$D$106,AW$2,'Additions (monthly)'!$B$2:$B$106,"&lt;="&amp;$B169)</f>
        <v>17.4</v>
      </c>
      <c r="AX169" s="46" t="n">
        <f aca="false">SUMIFS('Additions (monthly)'!$E$2:$E$106,'Additions (monthly)'!$D$2:$D$106,AX$2,'Additions (monthly)'!$B$2:$B$106,"&lt;="&amp;$B169)</f>
        <v>11.8</v>
      </c>
      <c r="AY169" s="46" t="n">
        <f aca="false">SUMIFS('Additions (monthly)'!$E$2:$E$106,'Additions (monthly)'!$D$2:$D$106,AY$2,'Additions (monthly)'!$B$2:$B$106,"&lt;="&amp;$B169)</f>
        <v>5.3</v>
      </c>
      <c r="AZ169" s="46" t="n">
        <f aca="false">SUMIFS('Additions (monthly)'!$E$2:$E$106,'Additions (monthly)'!$D$2:$D$106,AZ$2,'Additions (monthly)'!$B$2:$B$106,"&lt;="&amp;$B169)</f>
        <v>9.97</v>
      </c>
      <c r="BA169" s="46" t="n">
        <f aca="false">SUMIFS('Additions (monthly)'!$E$2:$E$106,'Additions (monthly)'!$D$2:$D$106,BA$2,'Additions (monthly)'!$B$2:$B$106,"&lt;="&amp;$B169)</f>
        <v>13.5</v>
      </c>
      <c r="BB169" s="46" t="n">
        <f aca="false">SUMIFS('Additions (monthly)'!$E$2:$E$106,'Additions (monthly)'!$D$2:$D$106,BB$2,'Additions (monthly)'!$B$2:$B$106,"&lt;="&amp;$B169)</f>
        <v>15</v>
      </c>
      <c r="BC169" s="46" t="n">
        <f aca="false">SUMIFS('Additions (monthly)'!$E$2:$E$106,'Additions (monthly)'!$D$2:$D$106,BC$2,'Additions (monthly)'!$B$2:$B$106,"&lt;="&amp;$B169)</f>
        <v>5.25</v>
      </c>
      <c r="BD169" s="46" t="n">
        <f aca="false">SUMIFS('Additions (monthly)'!$E$2:$E$106,'Additions (monthly)'!$D$2:$D$106,BD$2,'Additions (monthly)'!$B$2:$B$106,"&lt;="&amp;$B169)</f>
        <v>2.5</v>
      </c>
      <c r="BE169" s="46" t="n">
        <f aca="false">SUMIFS('Additions (monthly)'!$E$2:$E$106,'Additions (monthly)'!$D$2:$D$106,BE$2,'Additions (monthly)'!$B$2:$B$106,"&lt;="&amp;$B169)</f>
        <v>15.3</v>
      </c>
      <c r="BF169" s="46" t="n">
        <f aca="false">SUMIFS('Additions (monthly)'!$E$2:$E$106,'Additions (monthly)'!$D$2:$D$106,BF$2,'Additions (monthly)'!$B$2:$B$106,"&lt;="&amp;$B169)</f>
        <v>0</v>
      </c>
      <c r="BG169" s="46" t="n">
        <f aca="false">SUMIFS('Additions (monthly)'!$E$2:$E$106,'Additions (monthly)'!$D$2:$D$106,BG$2,'Additions (monthly)'!$B$2:$B$106,"&lt;="&amp;$B169)</f>
        <v>0</v>
      </c>
      <c r="BH169" s="46" t="n">
        <f aca="false">SUMIFS('Additions (monthly)'!$E$2:$E$106,'Additions (monthly)'!$D$2:$D$106,BH$2,'Additions (monthly)'!$B$2:$B$106,"&lt;="&amp;$B169)</f>
        <v>30</v>
      </c>
      <c r="BI169" s="46" t="n">
        <f aca="false">SUMIFS('Additions (monthly)'!$E$2:$E$106,'Additions (monthly)'!$D$2:$D$106,BI$2,'Additions (monthly)'!$B$2:$B$106,"&lt;="&amp;$B169)</f>
        <v>6.7</v>
      </c>
    </row>
    <row r="170" customFormat="false" ht="15" hidden="false" customHeight="false" outlineLevel="0" collapsed="false">
      <c r="A170" s="44" t="n">
        <v>45261</v>
      </c>
      <c r="B170" s="45" t="n">
        <v>202312</v>
      </c>
      <c r="C170" s="42" t="n">
        <f aca="false">SUMIFS('Additions (monthly)'!$E$2:$E$106,'Additions (monthly)'!$B$2:$B$106,"&lt;="&amp;$B170)</f>
        <v>481.05</v>
      </c>
      <c r="D170" s="46" t="n">
        <f aca="false">SUMIFS('Additions (monthly)'!$E$2:$E$106,'Additions (monthly)'!$D$2:$D$106,D$2,'Additions (monthly)'!$B$2:$B$106,"&lt;="&amp;$B170)</f>
        <v>7.9</v>
      </c>
      <c r="E170" s="46" t="n">
        <f aca="false">SUMIFS('Additions (monthly)'!$E$2:$E$106,'Additions (monthly)'!$D$2:$D$106,E$2,'Additions (monthly)'!$B$2:$B$106,"&lt;="&amp;$B170)</f>
        <v>8.4</v>
      </c>
      <c r="F170" s="46" t="n">
        <f aca="false">SUMIFS('Additions (monthly)'!$E$2:$E$106,'Additions (monthly)'!$D$2:$D$106,F$2,'Additions (monthly)'!$B$2:$B$106,"&lt;="&amp;$B170)</f>
        <v>4.7</v>
      </c>
      <c r="G170" s="46" t="n">
        <f aca="false">SUMIFS('Additions (monthly)'!$E$2:$E$106,'Additions (monthly)'!$D$2:$D$106,G$2,'Additions (monthly)'!$B$2:$B$106,"&lt;="&amp;$B170)</f>
        <v>4.5</v>
      </c>
      <c r="H170" s="46" t="n">
        <f aca="false">SUMIFS('Additions (monthly)'!$E$2:$E$106,'Additions (monthly)'!$D$2:$D$106,H$2,'Additions (monthly)'!$B$2:$B$106,"&lt;="&amp;$B170)</f>
        <v>5.2</v>
      </c>
      <c r="I170" s="46" t="n">
        <f aca="false">SUMIFS('Additions (monthly)'!$E$2:$E$106,'Additions (monthly)'!$D$2:$D$106,I$2,'Additions (monthly)'!$B$2:$B$106,"&lt;="&amp;$B170)</f>
        <v>9</v>
      </c>
      <c r="J170" s="46" t="n">
        <f aca="false">SUMIFS('Additions (monthly)'!$E$2:$E$106,'Additions (monthly)'!$D$2:$D$106,J$2,'Additions (monthly)'!$B$2:$B$106,"&lt;="&amp;$B170)</f>
        <v>3.7</v>
      </c>
      <c r="K170" s="46" t="n">
        <f aca="false">SUMIFS('Additions (monthly)'!$E$2:$E$106,'Additions (monthly)'!$D$2:$D$106,K$2,'Additions (monthly)'!$B$2:$B$106,"&lt;="&amp;$B170)</f>
        <v>7.8</v>
      </c>
      <c r="L170" s="46" t="n">
        <f aca="false">SUMIFS('Additions (monthly)'!$E$2:$E$106,'Additions (monthly)'!$D$2:$D$106,L$2,'Additions (monthly)'!$B$2:$B$106,"&lt;="&amp;$B170)</f>
        <v>15.6</v>
      </c>
      <c r="M170" s="46" t="n">
        <f aca="false">SUMIFS('Additions (monthly)'!$E$2:$E$106,'Additions (monthly)'!$D$2:$D$106,M$2,'Additions (monthly)'!$B$2:$B$106,"&lt;="&amp;$B170)</f>
        <v>8.9</v>
      </c>
      <c r="N170" s="46" t="n">
        <f aca="false">SUMIFS('Additions (monthly)'!$E$2:$E$106,'Additions (monthly)'!$D$2:$D$106,N$2,'Additions (monthly)'!$B$2:$B$106,"&lt;="&amp;$B170)</f>
        <v>14.2</v>
      </c>
      <c r="O170" s="46" t="n">
        <f aca="false">SUMIFS('Additions (monthly)'!$E$2:$E$106,'Additions (monthly)'!$D$2:$D$106,O$2,'Additions (monthly)'!$B$2:$B$106,"&lt;="&amp;$B170)</f>
        <v>4.9</v>
      </c>
      <c r="P170" s="46" t="n">
        <f aca="false">SUMIFS('Additions (monthly)'!$E$2:$E$106,'Additions (monthly)'!$D$2:$D$106,P$2,'Additions (monthly)'!$B$2:$B$106,"&lt;="&amp;$B170)</f>
        <v>3.6</v>
      </c>
      <c r="Q170" s="46" t="n">
        <f aca="false">SUMIFS('Additions (monthly)'!$E$2:$E$106,'Additions (monthly)'!$D$2:$D$106,Q$2,'Additions (monthly)'!$B$2:$B$106,"&lt;="&amp;$B170)</f>
        <v>8.5</v>
      </c>
      <c r="R170" s="46" t="n">
        <f aca="false">SUMIFS('Additions (monthly)'!$E$2:$E$106,'Additions (monthly)'!$D$2:$D$106,R$2,'Additions (monthly)'!$B$2:$B$106,"&lt;="&amp;$B170)</f>
        <v>8.9</v>
      </c>
      <c r="S170" s="46" t="n">
        <f aca="false">SUMIFS('Additions (monthly)'!$E$2:$E$106,'Additions (monthly)'!$D$2:$D$106,S$2,'Additions (monthly)'!$B$2:$B$106,"&lt;="&amp;$B170)</f>
        <v>7.2</v>
      </c>
      <c r="T170" s="46" t="n">
        <f aca="false">SUMIFS('Additions (monthly)'!$E$2:$E$106,'Additions (monthly)'!$D$2:$D$106,T$2,'Additions (monthly)'!$B$2:$B$106,"&lt;="&amp;$B170)</f>
        <v>2.4</v>
      </c>
      <c r="U170" s="46" t="n">
        <f aca="false">SUMIFS('Additions (monthly)'!$E$2:$E$106,'Additions (monthly)'!$D$2:$D$106,U$2,'Additions (monthly)'!$B$2:$B$106,"&lt;="&amp;$B170)</f>
        <v>0</v>
      </c>
      <c r="V170" s="46" t="n">
        <f aca="false">SUMIFS('Additions (monthly)'!$E$2:$E$106,'Additions (monthly)'!$D$2:$D$106,V$2,'Additions (monthly)'!$B$2:$B$106,"&lt;="&amp;$B170)</f>
        <v>3.87</v>
      </c>
      <c r="W170" s="46" t="n">
        <f aca="false">SUMIFS('Additions (monthly)'!$E$2:$E$106,'Additions (monthly)'!$D$2:$D$106,W$2,'Additions (monthly)'!$B$2:$B$106,"&lt;="&amp;$B170)</f>
        <v>0</v>
      </c>
      <c r="X170" s="46" t="n">
        <f aca="false">SUMIFS('Additions (monthly)'!$E$2:$E$106,'Additions (monthly)'!$D$2:$D$106,X$2,'Additions (monthly)'!$B$2:$B$106,"&lt;="&amp;$B170)</f>
        <v>0</v>
      </c>
      <c r="Y170" s="46" t="n">
        <f aca="false">SUMIFS('Additions (monthly)'!$E$2:$E$106,'Additions (monthly)'!$D$2:$D$106,Y$2,'Additions (monthly)'!$B$2:$B$106,"&lt;="&amp;$B170)</f>
        <v>5</v>
      </c>
      <c r="Z170" s="46" t="n">
        <f aca="false">SUMIFS('Additions (monthly)'!$E$2:$E$106,'Additions (monthly)'!$D$2:$D$106,Z$2,'Additions (monthly)'!$B$2:$B$106,"&lt;="&amp;$B170)</f>
        <v>7.2</v>
      </c>
      <c r="AA170" s="46" t="n">
        <f aca="false">SUMIFS('Additions (monthly)'!$E$2:$E$106,'Additions (monthly)'!$D$2:$D$106,AA$2,'Additions (monthly)'!$B$2:$B$106,"&lt;="&amp;$B170)</f>
        <v>3.7</v>
      </c>
      <c r="AB170" s="46" t="n">
        <f aca="false">SUMIFS('Additions (monthly)'!$E$2:$E$106,'Additions (monthly)'!$D$2:$D$106,AB$2,'Additions (monthly)'!$B$2:$B$106,"&lt;="&amp;$B170)</f>
        <v>16.95</v>
      </c>
      <c r="AC170" s="46" t="n">
        <f aca="false">SUMIFS('Additions (monthly)'!$E$2:$E$106,'Additions (monthly)'!$D$2:$D$106,AC$2,'Additions (monthly)'!$B$2:$B$106,"&lt;="&amp;$B170)</f>
        <v>2</v>
      </c>
      <c r="AD170" s="46" t="n">
        <f aca="false">SUMIFS('Additions (monthly)'!$E$2:$E$106,'Additions (monthly)'!$D$2:$D$106,AD$2,'Additions (monthly)'!$B$2:$B$106,"&lt;="&amp;$B170)</f>
        <v>11.4</v>
      </c>
      <c r="AE170" s="46" t="n">
        <f aca="false">SUMIFS('Additions (monthly)'!$E$2:$E$106,'Additions (monthly)'!$D$2:$D$106,AE$2,'Additions (monthly)'!$B$2:$B$106,"&lt;="&amp;$B170)</f>
        <v>29.3</v>
      </c>
      <c r="AF170" s="46" t="n">
        <f aca="false">SUMIFS('Additions (monthly)'!$E$2:$E$106,'Additions (monthly)'!$D$2:$D$106,AF$2,'Additions (monthly)'!$B$2:$B$106,"&lt;="&amp;$B170)</f>
        <v>1.2</v>
      </c>
      <c r="AG170" s="46" t="n">
        <f aca="false">SUMIFS('Additions (monthly)'!$E$2:$E$106,'Additions (monthly)'!$D$2:$D$106,AG$2,'Additions (monthly)'!$B$2:$B$106,"&lt;="&amp;$B170)</f>
        <v>1.5</v>
      </c>
      <c r="AH170" s="46" t="n">
        <f aca="false">SUMIFS('Additions (monthly)'!$E$2:$E$106,'Additions (monthly)'!$D$2:$D$106,AH$2,'Additions (monthly)'!$B$2:$B$106,"&lt;="&amp;$B170)</f>
        <v>0</v>
      </c>
      <c r="AI170" s="46" t="n">
        <f aca="false">SUMIFS('Additions (monthly)'!$E$2:$E$106,'Additions (monthly)'!$D$2:$D$106,AI$2,'Additions (monthly)'!$B$2:$B$106,"&lt;="&amp;$B170)</f>
        <v>0</v>
      </c>
      <c r="AJ170" s="46" t="n">
        <f aca="false">SUMIFS('Additions (monthly)'!$E$2:$E$106,'Additions (monthly)'!$D$2:$D$106,AJ$2,'Additions (monthly)'!$B$2:$B$106,"&lt;="&amp;$B170)</f>
        <v>0</v>
      </c>
      <c r="AK170" s="46" t="n">
        <f aca="false">SUMIFS('Additions (monthly)'!$E$2:$E$106,'Additions (monthly)'!$D$2:$D$106,AK$2,'Additions (monthly)'!$B$2:$B$106,"&lt;="&amp;$B170)</f>
        <v>3.4</v>
      </c>
      <c r="AL170" s="46" t="n">
        <f aca="false">SUMIFS('Additions (monthly)'!$E$2:$E$106,'Additions (monthly)'!$D$2:$D$106,AL$2,'Additions (monthly)'!$B$2:$B$106,"&lt;="&amp;$B170)</f>
        <v>22.2</v>
      </c>
      <c r="AM170" s="46" t="n">
        <f aca="false">SUMIFS('Additions (monthly)'!$E$2:$E$106,'Additions (monthly)'!$D$2:$D$106,AM$2,'Additions (monthly)'!$B$2:$B$106,"&lt;="&amp;$B170)</f>
        <v>0.3</v>
      </c>
      <c r="AN170" s="46" t="n">
        <f aca="false">SUMIFS('Additions (monthly)'!$E$2:$E$106,'Additions (monthly)'!$D$2:$D$106,AN$2,'Additions (monthly)'!$B$2:$B$106,"&lt;="&amp;$B170)</f>
        <v>4.3</v>
      </c>
      <c r="AO170" s="46" t="n">
        <f aca="false">SUMIFS('Additions (monthly)'!$E$2:$E$106,'Additions (monthly)'!$D$2:$D$106,AO$2,'Additions (monthly)'!$B$2:$B$106,"&lt;="&amp;$B170)</f>
        <v>10.4</v>
      </c>
      <c r="AP170" s="46" t="n">
        <f aca="false">SUMIFS('Additions (monthly)'!$E$2:$E$106,'Additions (monthly)'!$D$2:$D$106,AP$2,'Additions (monthly)'!$B$2:$B$106,"&lt;="&amp;$B170)</f>
        <v>6.9</v>
      </c>
      <c r="AQ170" s="46" t="n">
        <f aca="false">SUMIFS('Additions (monthly)'!$E$2:$E$106,'Additions (monthly)'!$D$2:$D$106,AQ$2,'Additions (monthly)'!$B$2:$B$106,"&lt;="&amp;$B170)</f>
        <v>4.45</v>
      </c>
      <c r="AR170" s="46" t="n">
        <f aca="false">SUMIFS('Additions (monthly)'!$E$2:$E$106,'Additions (monthly)'!$D$2:$D$106,AR$2,'Additions (monthly)'!$B$2:$B$106,"&lt;="&amp;$B170)</f>
        <v>77.1</v>
      </c>
      <c r="AS170" s="46" t="n">
        <f aca="false">SUMIFS('Additions (monthly)'!$E$2:$E$106,'Additions (monthly)'!$D$2:$D$106,AS$2,'Additions (monthly)'!$B$2:$B$106,"&lt;="&amp;$B170)</f>
        <v>0</v>
      </c>
      <c r="AT170" s="46" t="n">
        <f aca="false">SUMIFS('Additions (monthly)'!$E$2:$E$106,'Additions (monthly)'!$D$2:$D$106,AT$2,'Additions (monthly)'!$B$2:$B$106,"&lt;="&amp;$B170)</f>
        <v>1.5</v>
      </c>
      <c r="AU170" s="46" t="n">
        <f aca="false">SUMIFS('Additions (monthly)'!$E$2:$E$106,'Additions (monthly)'!$D$2:$D$106,AU$2,'Additions (monthly)'!$B$2:$B$106,"&lt;="&amp;$B170)</f>
        <v>9.6</v>
      </c>
      <c r="AV170" s="46" t="n">
        <f aca="false">SUMIFS('Additions (monthly)'!$E$2:$E$106,'Additions (monthly)'!$D$2:$D$106,AV$2,'Additions (monthly)'!$B$2:$B$106,"&lt;="&amp;$B170)</f>
        <v>0.66</v>
      </c>
      <c r="AW170" s="46" t="n">
        <f aca="false">SUMIFS('Additions (monthly)'!$E$2:$E$106,'Additions (monthly)'!$D$2:$D$106,AW$2,'Additions (monthly)'!$B$2:$B$106,"&lt;="&amp;$B170)</f>
        <v>17.4</v>
      </c>
      <c r="AX170" s="46" t="n">
        <f aca="false">SUMIFS('Additions (monthly)'!$E$2:$E$106,'Additions (monthly)'!$D$2:$D$106,AX$2,'Additions (monthly)'!$B$2:$B$106,"&lt;="&amp;$B170)</f>
        <v>11.8</v>
      </c>
      <c r="AY170" s="46" t="n">
        <f aca="false">SUMIFS('Additions (monthly)'!$E$2:$E$106,'Additions (monthly)'!$D$2:$D$106,AY$2,'Additions (monthly)'!$B$2:$B$106,"&lt;="&amp;$B170)</f>
        <v>5.3</v>
      </c>
      <c r="AZ170" s="46" t="n">
        <f aca="false">SUMIFS('Additions (monthly)'!$E$2:$E$106,'Additions (monthly)'!$D$2:$D$106,AZ$2,'Additions (monthly)'!$B$2:$B$106,"&lt;="&amp;$B170)</f>
        <v>9.97</v>
      </c>
      <c r="BA170" s="46" t="n">
        <f aca="false">SUMIFS('Additions (monthly)'!$E$2:$E$106,'Additions (monthly)'!$D$2:$D$106,BA$2,'Additions (monthly)'!$B$2:$B$106,"&lt;="&amp;$B170)</f>
        <v>13.5</v>
      </c>
      <c r="BB170" s="46" t="n">
        <f aca="false">SUMIFS('Additions (monthly)'!$E$2:$E$106,'Additions (monthly)'!$D$2:$D$106,BB$2,'Additions (monthly)'!$B$2:$B$106,"&lt;="&amp;$B170)</f>
        <v>15</v>
      </c>
      <c r="BC170" s="46" t="n">
        <f aca="false">SUMIFS('Additions (monthly)'!$E$2:$E$106,'Additions (monthly)'!$D$2:$D$106,BC$2,'Additions (monthly)'!$B$2:$B$106,"&lt;="&amp;$B170)</f>
        <v>5.25</v>
      </c>
      <c r="BD170" s="46" t="n">
        <f aca="false">SUMIFS('Additions (monthly)'!$E$2:$E$106,'Additions (monthly)'!$D$2:$D$106,BD$2,'Additions (monthly)'!$B$2:$B$106,"&lt;="&amp;$B170)</f>
        <v>2.5</v>
      </c>
      <c r="BE170" s="46" t="n">
        <f aca="false">SUMIFS('Additions (monthly)'!$E$2:$E$106,'Additions (monthly)'!$D$2:$D$106,BE$2,'Additions (monthly)'!$B$2:$B$106,"&lt;="&amp;$B170)</f>
        <v>15.3</v>
      </c>
      <c r="BF170" s="46" t="n">
        <f aca="false">SUMIFS('Additions (monthly)'!$E$2:$E$106,'Additions (monthly)'!$D$2:$D$106,BF$2,'Additions (monthly)'!$B$2:$B$106,"&lt;="&amp;$B170)</f>
        <v>0</v>
      </c>
      <c r="BG170" s="46" t="n">
        <f aca="false">SUMIFS('Additions (monthly)'!$E$2:$E$106,'Additions (monthly)'!$D$2:$D$106,BG$2,'Additions (monthly)'!$B$2:$B$106,"&lt;="&amp;$B170)</f>
        <v>0</v>
      </c>
      <c r="BH170" s="46" t="n">
        <f aca="false">SUMIFS('Additions (monthly)'!$E$2:$E$106,'Additions (monthly)'!$D$2:$D$106,BH$2,'Additions (monthly)'!$B$2:$B$106,"&lt;="&amp;$B170)</f>
        <v>30</v>
      </c>
      <c r="BI170" s="46" t="n">
        <f aca="false">SUMIFS('Additions (monthly)'!$E$2:$E$106,'Additions (monthly)'!$D$2:$D$106,BI$2,'Additions (monthly)'!$B$2:$B$106,"&lt;="&amp;$B170)</f>
        <v>6.7</v>
      </c>
    </row>
    <row r="171" customFormat="false" ht="15" hidden="false" customHeight="false" outlineLevel="0" collapsed="false">
      <c r="A171" s="23" t="n">
        <v>45292</v>
      </c>
      <c r="B171" s="24" t="n">
        <v>202401</v>
      </c>
      <c r="C171" s="42" t="n">
        <f aca="false">SUMIFS('Additions (monthly)'!$E$2:$E$106,'Additions (monthly)'!$B$2:$B$106,"&lt;="&amp;$B171)</f>
        <v>487.65</v>
      </c>
      <c r="D171" s="43" t="n">
        <f aca="false">SUMIFS('Additions (monthly)'!$E$2:$E$106,'Additions (monthly)'!$D$2:$D$106,D$2,'Additions (monthly)'!$B$2:$B$106,"&lt;="&amp;$B171)</f>
        <v>7.9</v>
      </c>
      <c r="E171" s="43" t="n">
        <f aca="false">SUMIFS('Additions (monthly)'!$E$2:$E$106,'Additions (monthly)'!$D$2:$D$106,E$2,'Additions (monthly)'!$B$2:$B$106,"&lt;="&amp;$B171)</f>
        <v>8.4</v>
      </c>
      <c r="F171" s="43" t="n">
        <f aca="false">SUMIFS('Additions (monthly)'!$E$2:$E$106,'Additions (monthly)'!$D$2:$D$106,F$2,'Additions (monthly)'!$B$2:$B$106,"&lt;="&amp;$B171)</f>
        <v>4.7</v>
      </c>
      <c r="G171" s="43" t="n">
        <f aca="false">SUMIFS('Additions (monthly)'!$E$2:$E$106,'Additions (monthly)'!$D$2:$D$106,G$2,'Additions (monthly)'!$B$2:$B$106,"&lt;="&amp;$B171)</f>
        <v>4.5</v>
      </c>
      <c r="H171" s="43" t="n">
        <f aca="false">SUMIFS('Additions (monthly)'!$E$2:$E$106,'Additions (monthly)'!$D$2:$D$106,H$2,'Additions (monthly)'!$B$2:$B$106,"&lt;="&amp;$B171)</f>
        <v>5.2</v>
      </c>
      <c r="I171" s="43" t="n">
        <f aca="false">SUMIFS('Additions (monthly)'!$E$2:$E$106,'Additions (monthly)'!$D$2:$D$106,I$2,'Additions (monthly)'!$B$2:$B$106,"&lt;="&amp;$B171)</f>
        <v>9</v>
      </c>
      <c r="J171" s="43" t="n">
        <f aca="false">SUMIFS('Additions (monthly)'!$E$2:$E$106,'Additions (monthly)'!$D$2:$D$106,J$2,'Additions (monthly)'!$B$2:$B$106,"&lt;="&amp;$B171)</f>
        <v>3.7</v>
      </c>
      <c r="K171" s="43" t="n">
        <f aca="false">SUMIFS('Additions (monthly)'!$E$2:$E$106,'Additions (monthly)'!$D$2:$D$106,K$2,'Additions (monthly)'!$B$2:$B$106,"&lt;="&amp;$B171)</f>
        <v>7.8</v>
      </c>
      <c r="L171" s="43" t="n">
        <f aca="false">SUMIFS('Additions (monthly)'!$E$2:$E$106,'Additions (monthly)'!$D$2:$D$106,L$2,'Additions (monthly)'!$B$2:$B$106,"&lt;="&amp;$B171)</f>
        <v>15.6</v>
      </c>
      <c r="M171" s="43" t="n">
        <f aca="false">SUMIFS('Additions (monthly)'!$E$2:$E$106,'Additions (monthly)'!$D$2:$D$106,M$2,'Additions (monthly)'!$B$2:$B$106,"&lt;="&amp;$B171)</f>
        <v>8.9</v>
      </c>
      <c r="N171" s="43" t="n">
        <f aca="false">SUMIFS('Additions (monthly)'!$E$2:$E$106,'Additions (monthly)'!$D$2:$D$106,N$2,'Additions (monthly)'!$B$2:$B$106,"&lt;="&amp;$B171)</f>
        <v>14.2</v>
      </c>
      <c r="O171" s="43" t="n">
        <f aca="false">SUMIFS('Additions (monthly)'!$E$2:$E$106,'Additions (monthly)'!$D$2:$D$106,O$2,'Additions (monthly)'!$B$2:$B$106,"&lt;="&amp;$B171)</f>
        <v>4.9</v>
      </c>
      <c r="P171" s="43" t="n">
        <f aca="false">SUMIFS('Additions (monthly)'!$E$2:$E$106,'Additions (monthly)'!$D$2:$D$106,P$2,'Additions (monthly)'!$B$2:$B$106,"&lt;="&amp;$B171)</f>
        <v>3.6</v>
      </c>
      <c r="Q171" s="43" t="n">
        <f aca="false">SUMIFS('Additions (monthly)'!$E$2:$E$106,'Additions (monthly)'!$D$2:$D$106,Q$2,'Additions (monthly)'!$B$2:$B$106,"&lt;="&amp;$B171)</f>
        <v>8.5</v>
      </c>
      <c r="R171" s="43" t="n">
        <f aca="false">SUMIFS('Additions (monthly)'!$E$2:$E$106,'Additions (monthly)'!$D$2:$D$106,R$2,'Additions (monthly)'!$B$2:$B$106,"&lt;="&amp;$B171)</f>
        <v>8.9</v>
      </c>
      <c r="S171" s="43" t="n">
        <f aca="false">SUMIFS('Additions (monthly)'!$E$2:$E$106,'Additions (monthly)'!$D$2:$D$106,S$2,'Additions (monthly)'!$B$2:$B$106,"&lt;="&amp;$B171)</f>
        <v>7.2</v>
      </c>
      <c r="T171" s="43" t="n">
        <f aca="false">SUMIFS('Additions (monthly)'!$E$2:$E$106,'Additions (monthly)'!$D$2:$D$106,T$2,'Additions (monthly)'!$B$2:$B$106,"&lt;="&amp;$B171)</f>
        <v>2.4</v>
      </c>
      <c r="U171" s="43" t="n">
        <f aca="false">SUMIFS('Additions (monthly)'!$E$2:$E$106,'Additions (monthly)'!$D$2:$D$106,U$2,'Additions (monthly)'!$B$2:$B$106,"&lt;="&amp;$B171)</f>
        <v>0</v>
      </c>
      <c r="V171" s="43" t="n">
        <f aca="false">SUMIFS('Additions (monthly)'!$E$2:$E$106,'Additions (monthly)'!$D$2:$D$106,V$2,'Additions (monthly)'!$B$2:$B$106,"&lt;="&amp;$B171)</f>
        <v>3.87</v>
      </c>
      <c r="W171" s="43" t="n">
        <f aca="false">SUMIFS('Additions (monthly)'!$E$2:$E$106,'Additions (monthly)'!$D$2:$D$106,W$2,'Additions (monthly)'!$B$2:$B$106,"&lt;="&amp;$B171)</f>
        <v>0</v>
      </c>
      <c r="X171" s="43" t="n">
        <f aca="false">SUMIFS('Additions (monthly)'!$E$2:$E$106,'Additions (monthly)'!$D$2:$D$106,X$2,'Additions (monthly)'!$B$2:$B$106,"&lt;="&amp;$B171)</f>
        <v>0</v>
      </c>
      <c r="Y171" s="43" t="n">
        <f aca="false">SUMIFS('Additions (monthly)'!$E$2:$E$106,'Additions (monthly)'!$D$2:$D$106,Y$2,'Additions (monthly)'!$B$2:$B$106,"&lt;="&amp;$B171)</f>
        <v>5</v>
      </c>
      <c r="Z171" s="43" t="n">
        <f aca="false">SUMIFS('Additions (monthly)'!$E$2:$E$106,'Additions (monthly)'!$D$2:$D$106,Z$2,'Additions (monthly)'!$B$2:$B$106,"&lt;="&amp;$B171)</f>
        <v>7.2</v>
      </c>
      <c r="AA171" s="43" t="n">
        <f aca="false">SUMIFS('Additions (monthly)'!$E$2:$E$106,'Additions (monthly)'!$D$2:$D$106,AA$2,'Additions (monthly)'!$B$2:$B$106,"&lt;="&amp;$B171)</f>
        <v>3.7</v>
      </c>
      <c r="AB171" s="43" t="n">
        <f aca="false">SUMIFS('Additions (monthly)'!$E$2:$E$106,'Additions (monthly)'!$D$2:$D$106,AB$2,'Additions (monthly)'!$B$2:$B$106,"&lt;="&amp;$B171)</f>
        <v>16.95</v>
      </c>
      <c r="AC171" s="43" t="n">
        <f aca="false">SUMIFS('Additions (monthly)'!$E$2:$E$106,'Additions (monthly)'!$D$2:$D$106,AC$2,'Additions (monthly)'!$B$2:$B$106,"&lt;="&amp;$B171)</f>
        <v>2</v>
      </c>
      <c r="AD171" s="43" t="n">
        <f aca="false">SUMIFS('Additions (monthly)'!$E$2:$E$106,'Additions (monthly)'!$D$2:$D$106,AD$2,'Additions (monthly)'!$B$2:$B$106,"&lt;="&amp;$B171)</f>
        <v>11.4</v>
      </c>
      <c r="AE171" s="43" t="n">
        <f aca="false">SUMIFS('Additions (monthly)'!$E$2:$E$106,'Additions (monthly)'!$D$2:$D$106,AE$2,'Additions (monthly)'!$B$2:$B$106,"&lt;="&amp;$B171)</f>
        <v>29.3</v>
      </c>
      <c r="AF171" s="43" t="n">
        <f aca="false">SUMIFS('Additions (monthly)'!$E$2:$E$106,'Additions (monthly)'!$D$2:$D$106,AF$2,'Additions (monthly)'!$B$2:$B$106,"&lt;="&amp;$B171)</f>
        <v>1.2</v>
      </c>
      <c r="AG171" s="43" t="n">
        <f aca="false">SUMIFS('Additions (monthly)'!$E$2:$E$106,'Additions (monthly)'!$D$2:$D$106,AG$2,'Additions (monthly)'!$B$2:$B$106,"&lt;="&amp;$B171)</f>
        <v>1.5</v>
      </c>
      <c r="AH171" s="43" t="n">
        <f aca="false">SUMIFS('Additions (monthly)'!$E$2:$E$106,'Additions (monthly)'!$D$2:$D$106,AH$2,'Additions (monthly)'!$B$2:$B$106,"&lt;="&amp;$B171)</f>
        <v>0</v>
      </c>
      <c r="AI171" s="43" t="n">
        <f aca="false">SUMIFS('Additions (monthly)'!$E$2:$E$106,'Additions (monthly)'!$D$2:$D$106,AI$2,'Additions (monthly)'!$B$2:$B$106,"&lt;="&amp;$B171)</f>
        <v>0</v>
      </c>
      <c r="AJ171" s="43" t="n">
        <f aca="false">SUMIFS('Additions (monthly)'!$E$2:$E$106,'Additions (monthly)'!$D$2:$D$106,AJ$2,'Additions (monthly)'!$B$2:$B$106,"&lt;="&amp;$B171)</f>
        <v>0</v>
      </c>
      <c r="AK171" s="43" t="n">
        <f aca="false">SUMIFS('Additions (monthly)'!$E$2:$E$106,'Additions (monthly)'!$D$2:$D$106,AK$2,'Additions (monthly)'!$B$2:$B$106,"&lt;="&amp;$B171)</f>
        <v>3.4</v>
      </c>
      <c r="AL171" s="43" t="n">
        <f aca="false">SUMIFS('Additions (monthly)'!$E$2:$E$106,'Additions (monthly)'!$D$2:$D$106,AL$2,'Additions (monthly)'!$B$2:$B$106,"&lt;="&amp;$B171)</f>
        <v>22.2</v>
      </c>
      <c r="AM171" s="43" t="n">
        <f aca="false">SUMIFS('Additions (monthly)'!$E$2:$E$106,'Additions (monthly)'!$D$2:$D$106,AM$2,'Additions (monthly)'!$B$2:$B$106,"&lt;="&amp;$B171)</f>
        <v>0.3</v>
      </c>
      <c r="AN171" s="43" t="n">
        <f aca="false">SUMIFS('Additions (monthly)'!$E$2:$E$106,'Additions (monthly)'!$D$2:$D$106,AN$2,'Additions (monthly)'!$B$2:$B$106,"&lt;="&amp;$B171)</f>
        <v>4.3</v>
      </c>
      <c r="AO171" s="43" t="n">
        <f aca="false">SUMIFS('Additions (monthly)'!$E$2:$E$106,'Additions (monthly)'!$D$2:$D$106,AO$2,'Additions (monthly)'!$B$2:$B$106,"&lt;="&amp;$B171)</f>
        <v>10.4</v>
      </c>
      <c r="AP171" s="43" t="n">
        <f aca="false">SUMIFS('Additions (monthly)'!$E$2:$E$106,'Additions (monthly)'!$D$2:$D$106,AP$2,'Additions (monthly)'!$B$2:$B$106,"&lt;="&amp;$B171)</f>
        <v>6.9</v>
      </c>
      <c r="AQ171" s="43" t="n">
        <f aca="false">SUMIFS('Additions (monthly)'!$E$2:$E$106,'Additions (monthly)'!$D$2:$D$106,AQ$2,'Additions (monthly)'!$B$2:$B$106,"&lt;="&amp;$B171)</f>
        <v>4.45</v>
      </c>
      <c r="AR171" s="43" t="n">
        <f aca="false">SUMIFS('Additions (monthly)'!$E$2:$E$106,'Additions (monthly)'!$D$2:$D$106,AR$2,'Additions (monthly)'!$B$2:$B$106,"&lt;="&amp;$B171)</f>
        <v>77.1</v>
      </c>
      <c r="AS171" s="43" t="n">
        <f aca="false">SUMIFS('Additions (monthly)'!$E$2:$E$106,'Additions (monthly)'!$D$2:$D$106,AS$2,'Additions (monthly)'!$B$2:$B$106,"&lt;="&amp;$B171)</f>
        <v>6.6</v>
      </c>
      <c r="AT171" s="43" t="n">
        <f aca="false">SUMIFS('Additions (monthly)'!$E$2:$E$106,'Additions (monthly)'!$D$2:$D$106,AT$2,'Additions (monthly)'!$B$2:$B$106,"&lt;="&amp;$B171)</f>
        <v>1.5</v>
      </c>
      <c r="AU171" s="43" t="n">
        <f aca="false">SUMIFS('Additions (monthly)'!$E$2:$E$106,'Additions (monthly)'!$D$2:$D$106,AU$2,'Additions (monthly)'!$B$2:$B$106,"&lt;="&amp;$B171)</f>
        <v>9.6</v>
      </c>
      <c r="AV171" s="43" t="n">
        <f aca="false">SUMIFS('Additions (monthly)'!$E$2:$E$106,'Additions (monthly)'!$D$2:$D$106,AV$2,'Additions (monthly)'!$B$2:$B$106,"&lt;="&amp;$B171)</f>
        <v>0.66</v>
      </c>
      <c r="AW171" s="43" t="n">
        <f aca="false">SUMIFS('Additions (monthly)'!$E$2:$E$106,'Additions (monthly)'!$D$2:$D$106,AW$2,'Additions (monthly)'!$B$2:$B$106,"&lt;="&amp;$B171)</f>
        <v>17.4</v>
      </c>
      <c r="AX171" s="43" t="n">
        <f aca="false">SUMIFS('Additions (monthly)'!$E$2:$E$106,'Additions (monthly)'!$D$2:$D$106,AX$2,'Additions (monthly)'!$B$2:$B$106,"&lt;="&amp;$B171)</f>
        <v>11.8</v>
      </c>
      <c r="AY171" s="43" t="n">
        <f aca="false">SUMIFS('Additions (monthly)'!$E$2:$E$106,'Additions (monthly)'!$D$2:$D$106,AY$2,'Additions (monthly)'!$B$2:$B$106,"&lt;="&amp;$B171)</f>
        <v>5.3</v>
      </c>
      <c r="AZ171" s="43" t="n">
        <f aca="false">SUMIFS('Additions (monthly)'!$E$2:$E$106,'Additions (monthly)'!$D$2:$D$106,AZ$2,'Additions (monthly)'!$B$2:$B$106,"&lt;="&amp;$B171)</f>
        <v>9.97</v>
      </c>
      <c r="BA171" s="43" t="n">
        <f aca="false">SUMIFS('Additions (monthly)'!$E$2:$E$106,'Additions (monthly)'!$D$2:$D$106,BA$2,'Additions (monthly)'!$B$2:$B$106,"&lt;="&amp;$B171)</f>
        <v>13.5</v>
      </c>
      <c r="BB171" s="43" t="n">
        <f aca="false">SUMIFS('Additions (monthly)'!$E$2:$E$106,'Additions (monthly)'!$D$2:$D$106,BB$2,'Additions (monthly)'!$B$2:$B$106,"&lt;="&amp;$B171)</f>
        <v>15</v>
      </c>
      <c r="BC171" s="43" t="n">
        <f aca="false">SUMIFS('Additions (monthly)'!$E$2:$E$106,'Additions (monthly)'!$D$2:$D$106,BC$2,'Additions (monthly)'!$B$2:$B$106,"&lt;="&amp;$B171)</f>
        <v>5.25</v>
      </c>
      <c r="BD171" s="43" t="n">
        <f aca="false">SUMIFS('Additions (monthly)'!$E$2:$E$106,'Additions (monthly)'!$D$2:$D$106,BD$2,'Additions (monthly)'!$B$2:$B$106,"&lt;="&amp;$B171)</f>
        <v>2.5</v>
      </c>
      <c r="BE171" s="43" t="n">
        <f aca="false">SUMIFS('Additions (monthly)'!$E$2:$E$106,'Additions (monthly)'!$D$2:$D$106,BE$2,'Additions (monthly)'!$B$2:$B$106,"&lt;="&amp;$B171)</f>
        <v>15.3</v>
      </c>
      <c r="BF171" s="43" t="n">
        <f aca="false">SUMIFS('Additions (monthly)'!$E$2:$E$106,'Additions (monthly)'!$D$2:$D$106,BF$2,'Additions (monthly)'!$B$2:$B$106,"&lt;="&amp;$B171)</f>
        <v>0</v>
      </c>
      <c r="BG171" s="43" t="n">
        <f aca="false">SUMIFS('Additions (monthly)'!$E$2:$E$106,'Additions (monthly)'!$D$2:$D$106,BG$2,'Additions (monthly)'!$B$2:$B$106,"&lt;="&amp;$B171)</f>
        <v>0</v>
      </c>
      <c r="BH171" s="43" t="n">
        <f aca="false">SUMIFS('Additions (monthly)'!$E$2:$E$106,'Additions (monthly)'!$D$2:$D$106,BH$2,'Additions (monthly)'!$B$2:$B$106,"&lt;="&amp;$B171)</f>
        <v>30</v>
      </c>
      <c r="BI171" s="43" t="n">
        <f aca="false">SUMIFS('Additions (monthly)'!$E$2:$E$106,'Additions (monthly)'!$D$2:$D$106,BI$2,'Additions (monthly)'!$B$2:$B$106,"&lt;="&amp;$B171)</f>
        <v>6.7</v>
      </c>
    </row>
    <row r="172" customFormat="false" ht="15" hidden="false" customHeight="false" outlineLevel="0" collapsed="false">
      <c r="A172" s="23" t="n">
        <v>45323</v>
      </c>
      <c r="B172" s="24" t="n">
        <v>202402</v>
      </c>
      <c r="C172" s="42" t="n">
        <f aca="false">SUMIFS('Additions (monthly)'!$E$2:$E$106,'Additions (monthly)'!$B$2:$B$106,"&lt;="&amp;$B172)</f>
        <v>488.25</v>
      </c>
      <c r="D172" s="43" t="n">
        <f aca="false">SUMIFS('Additions (monthly)'!$E$2:$E$106,'Additions (monthly)'!$D$2:$D$106,D$2,'Additions (monthly)'!$B$2:$B$106,"&lt;="&amp;$B172)</f>
        <v>7.9</v>
      </c>
      <c r="E172" s="43" t="n">
        <f aca="false">SUMIFS('Additions (monthly)'!$E$2:$E$106,'Additions (monthly)'!$D$2:$D$106,E$2,'Additions (monthly)'!$B$2:$B$106,"&lt;="&amp;$B172)</f>
        <v>8.4</v>
      </c>
      <c r="F172" s="43" t="n">
        <f aca="false">SUMIFS('Additions (monthly)'!$E$2:$E$106,'Additions (monthly)'!$D$2:$D$106,F$2,'Additions (monthly)'!$B$2:$B$106,"&lt;="&amp;$B172)</f>
        <v>4.7</v>
      </c>
      <c r="G172" s="43" t="n">
        <f aca="false">SUMIFS('Additions (monthly)'!$E$2:$E$106,'Additions (monthly)'!$D$2:$D$106,G$2,'Additions (monthly)'!$B$2:$B$106,"&lt;="&amp;$B172)</f>
        <v>4.5</v>
      </c>
      <c r="H172" s="43" t="n">
        <f aca="false">SUMIFS('Additions (monthly)'!$E$2:$E$106,'Additions (monthly)'!$D$2:$D$106,H$2,'Additions (monthly)'!$B$2:$B$106,"&lt;="&amp;$B172)</f>
        <v>5.2</v>
      </c>
      <c r="I172" s="43" t="n">
        <f aca="false">SUMIFS('Additions (monthly)'!$E$2:$E$106,'Additions (monthly)'!$D$2:$D$106,I$2,'Additions (monthly)'!$B$2:$B$106,"&lt;="&amp;$B172)</f>
        <v>9</v>
      </c>
      <c r="J172" s="43" t="n">
        <f aca="false">SUMIFS('Additions (monthly)'!$E$2:$E$106,'Additions (monthly)'!$D$2:$D$106,J$2,'Additions (monthly)'!$B$2:$B$106,"&lt;="&amp;$B172)</f>
        <v>3.7</v>
      </c>
      <c r="K172" s="43" t="n">
        <f aca="false">SUMIFS('Additions (monthly)'!$E$2:$E$106,'Additions (monthly)'!$D$2:$D$106,K$2,'Additions (monthly)'!$B$2:$B$106,"&lt;="&amp;$B172)</f>
        <v>7.8</v>
      </c>
      <c r="L172" s="43" t="n">
        <f aca="false">SUMIFS('Additions (monthly)'!$E$2:$E$106,'Additions (monthly)'!$D$2:$D$106,L$2,'Additions (monthly)'!$B$2:$B$106,"&lt;="&amp;$B172)</f>
        <v>15.6</v>
      </c>
      <c r="M172" s="43" t="n">
        <f aca="false">SUMIFS('Additions (monthly)'!$E$2:$E$106,'Additions (monthly)'!$D$2:$D$106,M$2,'Additions (monthly)'!$B$2:$B$106,"&lt;="&amp;$B172)</f>
        <v>8.9</v>
      </c>
      <c r="N172" s="43" t="n">
        <f aca="false">SUMIFS('Additions (monthly)'!$E$2:$E$106,'Additions (monthly)'!$D$2:$D$106,N$2,'Additions (monthly)'!$B$2:$B$106,"&lt;="&amp;$B172)</f>
        <v>14.2</v>
      </c>
      <c r="O172" s="43" t="n">
        <f aca="false">SUMIFS('Additions (monthly)'!$E$2:$E$106,'Additions (monthly)'!$D$2:$D$106,O$2,'Additions (monthly)'!$B$2:$B$106,"&lt;="&amp;$B172)</f>
        <v>4.9</v>
      </c>
      <c r="P172" s="43" t="n">
        <f aca="false">SUMIFS('Additions (monthly)'!$E$2:$E$106,'Additions (monthly)'!$D$2:$D$106,P$2,'Additions (monthly)'!$B$2:$B$106,"&lt;="&amp;$B172)</f>
        <v>3.6</v>
      </c>
      <c r="Q172" s="43" t="n">
        <f aca="false">SUMIFS('Additions (monthly)'!$E$2:$E$106,'Additions (monthly)'!$D$2:$D$106,Q$2,'Additions (monthly)'!$B$2:$B$106,"&lt;="&amp;$B172)</f>
        <v>8.5</v>
      </c>
      <c r="R172" s="43" t="n">
        <f aca="false">SUMIFS('Additions (monthly)'!$E$2:$E$106,'Additions (monthly)'!$D$2:$D$106,R$2,'Additions (monthly)'!$B$2:$B$106,"&lt;="&amp;$B172)</f>
        <v>8.9</v>
      </c>
      <c r="S172" s="43" t="n">
        <f aca="false">SUMIFS('Additions (monthly)'!$E$2:$E$106,'Additions (monthly)'!$D$2:$D$106,S$2,'Additions (monthly)'!$B$2:$B$106,"&lt;="&amp;$B172)</f>
        <v>7.2</v>
      </c>
      <c r="T172" s="43" t="n">
        <f aca="false">SUMIFS('Additions (monthly)'!$E$2:$E$106,'Additions (monthly)'!$D$2:$D$106,T$2,'Additions (monthly)'!$B$2:$B$106,"&lt;="&amp;$B172)</f>
        <v>2.4</v>
      </c>
      <c r="U172" s="43" t="n">
        <f aca="false">SUMIFS('Additions (monthly)'!$E$2:$E$106,'Additions (monthly)'!$D$2:$D$106,U$2,'Additions (monthly)'!$B$2:$B$106,"&lt;="&amp;$B172)</f>
        <v>0</v>
      </c>
      <c r="V172" s="43" t="n">
        <f aca="false">SUMIFS('Additions (monthly)'!$E$2:$E$106,'Additions (monthly)'!$D$2:$D$106,V$2,'Additions (monthly)'!$B$2:$B$106,"&lt;="&amp;$B172)</f>
        <v>3.87</v>
      </c>
      <c r="W172" s="43" t="n">
        <f aca="false">SUMIFS('Additions (monthly)'!$E$2:$E$106,'Additions (monthly)'!$D$2:$D$106,W$2,'Additions (monthly)'!$B$2:$B$106,"&lt;="&amp;$B172)</f>
        <v>0.6</v>
      </c>
      <c r="X172" s="43" t="n">
        <f aca="false">SUMIFS('Additions (monthly)'!$E$2:$E$106,'Additions (monthly)'!$D$2:$D$106,X$2,'Additions (monthly)'!$B$2:$B$106,"&lt;="&amp;$B172)</f>
        <v>0</v>
      </c>
      <c r="Y172" s="43" t="n">
        <f aca="false">SUMIFS('Additions (monthly)'!$E$2:$E$106,'Additions (monthly)'!$D$2:$D$106,Y$2,'Additions (monthly)'!$B$2:$B$106,"&lt;="&amp;$B172)</f>
        <v>5</v>
      </c>
      <c r="Z172" s="43" t="n">
        <f aca="false">SUMIFS('Additions (monthly)'!$E$2:$E$106,'Additions (monthly)'!$D$2:$D$106,Z$2,'Additions (monthly)'!$B$2:$B$106,"&lt;="&amp;$B172)</f>
        <v>7.2</v>
      </c>
      <c r="AA172" s="43" t="n">
        <f aca="false">SUMIFS('Additions (monthly)'!$E$2:$E$106,'Additions (monthly)'!$D$2:$D$106,AA$2,'Additions (monthly)'!$B$2:$B$106,"&lt;="&amp;$B172)</f>
        <v>3.7</v>
      </c>
      <c r="AB172" s="43" t="n">
        <f aca="false">SUMIFS('Additions (monthly)'!$E$2:$E$106,'Additions (monthly)'!$D$2:$D$106,AB$2,'Additions (monthly)'!$B$2:$B$106,"&lt;="&amp;$B172)</f>
        <v>16.95</v>
      </c>
      <c r="AC172" s="43" t="n">
        <f aca="false">SUMIFS('Additions (monthly)'!$E$2:$E$106,'Additions (monthly)'!$D$2:$D$106,AC$2,'Additions (monthly)'!$B$2:$B$106,"&lt;="&amp;$B172)</f>
        <v>2</v>
      </c>
      <c r="AD172" s="43" t="n">
        <f aca="false">SUMIFS('Additions (monthly)'!$E$2:$E$106,'Additions (monthly)'!$D$2:$D$106,AD$2,'Additions (monthly)'!$B$2:$B$106,"&lt;="&amp;$B172)</f>
        <v>11.4</v>
      </c>
      <c r="AE172" s="43" t="n">
        <f aca="false">SUMIFS('Additions (monthly)'!$E$2:$E$106,'Additions (monthly)'!$D$2:$D$106,AE$2,'Additions (monthly)'!$B$2:$B$106,"&lt;="&amp;$B172)</f>
        <v>29.3</v>
      </c>
      <c r="AF172" s="43" t="n">
        <f aca="false">SUMIFS('Additions (monthly)'!$E$2:$E$106,'Additions (monthly)'!$D$2:$D$106,AF$2,'Additions (monthly)'!$B$2:$B$106,"&lt;="&amp;$B172)</f>
        <v>1.2</v>
      </c>
      <c r="AG172" s="43" t="n">
        <f aca="false">SUMIFS('Additions (monthly)'!$E$2:$E$106,'Additions (monthly)'!$D$2:$D$106,AG$2,'Additions (monthly)'!$B$2:$B$106,"&lt;="&amp;$B172)</f>
        <v>1.5</v>
      </c>
      <c r="AH172" s="43" t="n">
        <f aca="false">SUMIFS('Additions (monthly)'!$E$2:$E$106,'Additions (monthly)'!$D$2:$D$106,AH$2,'Additions (monthly)'!$B$2:$B$106,"&lt;="&amp;$B172)</f>
        <v>0</v>
      </c>
      <c r="AI172" s="43" t="n">
        <f aca="false">SUMIFS('Additions (monthly)'!$E$2:$E$106,'Additions (monthly)'!$D$2:$D$106,AI$2,'Additions (monthly)'!$B$2:$B$106,"&lt;="&amp;$B172)</f>
        <v>0</v>
      </c>
      <c r="AJ172" s="43" t="n">
        <f aca="false">SUMIFS('Additions (monthly)'!$E$2:$E$106,'Additions (monthly)'!$D$2:$D$106,AJ$2,'Additions (monthly)'!$B$2:$B$106,"&lt;="&amp;$B172)</f>
        <v>0</v>
      </c>
      <c r="AK172" s="43" t="n">
        <f aca="false">SUMIFS('Additions (monthly)'!$E$2:$E$106,'Additions (monthly)'!$D$2:$D$106,AK$2,'Additions (monthly)'!$B$2:$B$106,"&lt;="&amp;$B172)</f>
        <v>3.4</v>
      </c>
      <c r="AL172" s="43" t="n">
        <f aca="false">SUMIFS('Additions (monthly)'!$E$2:$E$106,'Additions (monthly)'!$D$2:$D$106,AL$2,'Additions (monthly)'!$B$2:$B$106,"&lt;="&amp;$B172)</f>
        <v>22.2</v>
      </c>
      <c r="AM172" s="43" t="n">
        <f aca="false">SUMIFS('Additions (monthly)'!$E$2:$E$106,'Additions (monthly)'!$D$2:$D$106,AM$2,'Additions (monthly)'!$B$2:$B$106,"&lt;="&amp;$B172)</f>
        <v>0.3</v>
      </c>
      <c r="AN172" s="43" t="n">
        <f aca="false">SUMIFS('Additions (monthly)'!$E$2:$E$106,'Additions (monthly)'!$D$2:$D$106,AN$2,'Additions (monthly)'!$B$2:$B$106,"&lt;="&amp;$B172)</f>
        <v>4.3</v>
      </c>
      <c r="AO172" s="43" t="n">
        <f aca="false">SUMIFS('Additions (monthly)'!$E$2:$E$106,'Additions (monthly)'!$D$2:$D$106,AO$2,'Additions (monthly)'!$B$2:$B$106,"&lt;="&amp;$B172)</f>
        <v>10.4</v>
      </c>
      <c r="AP172" s="43" t="n">
        <f aca="false">SUMIFS('Additions (monthly)'!$E$2:$E$106,'Additions (monthly)'!$D$2:$D$106,AP$2,'Additions (monthly)'!$B$2:$B$106,"&lt;="&amp;$B172)</f>
        <v>6.9</v>
      </c>
      <c r="AQ172" s="43" t="n">
        <f aca="false">SUMIFS('Additions (monthly)'!$E$2:$E$106,'Additions (monthly)'!$D$2:$D$106,AQ$2,'Additions (monthly)'!$B$2:$B$106,"&lt;="&amp;$B172)</f>
        <v>4.45</v>
      </c>
      <c r="AR172" s="43" t="n">
        <f aca="false">SUMIFS('Additions (monthly)'!$E$2:$E$106,'Additions (monthly)'!$D$2:$D$106,AR$2,'Additions (monthly)'!$B$2:$B$106,"&lt;="&amp;$B172)</f>
        <v>77.1</v>
      </c>
      <c r="AS172" s="43" t="n">
        <f aca="false">SUMIFS('Additions (monthly)'!$E$2:$E$106,'Additions (monthly)'!$D$2:$D$106,AS$2,'Additions (monthly)'!$B$2:$B$106,"&lt;="&amp;$B172)</f>
        <v>6.6</v>
      </c>
      <c r="AT172" s="43" t="n">
        <f aca="false">SUMIFS('Additions (monthly)'!$E$2:$E$106,'Additions (monthly)'!$D$2:$D$106,AT$2,'Additions (monthly)'!$B$2:$B$106,"&lt;="&amp;$B172)</f>
        <v>1.5</v>
      </c>
      <c r="AU172" s="43" t="n">
        <f aca="false">SUMIFS('Additions (monthly)'!$E$2:$E$106,'Additions (monthly)'!$D$2:$D$106,AU$2,'Additions (monthly)'!$B$2:$B$106,"&lt;="&amp;$B172)</f>
        <v>9.6</v>
      </c>
      <c r="AV172" s="43" t="n">
        <f aca="false">SUMIFS('Additions (monthly)'!$E$2:$E$106,'Additions (monthly)'!$D$2:$D$106,AV$2,'Additions (monthly)'!$B$2:$B$106,"&lt;="&amp;$B172)</f>
        <v>0.66</v>
      </c>
      <c r="AW172" s="43" t="n">
        <f aca="false">SUMIFS('Additions (monthly)'!$E$2:$E$106,'Additions (monthly)'!$D$2:$D$106,AW$2,'Additions (monthly)'!$B$2:$B$106,"&lt;="&amp;$B172)</f>
        <v>17.4</v>
      </c>
      <c r="AX172" s="43" t="n">
        <f aca="false">SUMIFS('Additions (monthly)'!$E$2:$E$106,'Additions (monthly)'!$D$2:$D$106,AX$2,'Additions (monthly)'!$B$2:$B$106,"&lt;="&amp;$B172)</f>
        <v>11.8</v>
      </c>
      <c r="AY172" s="43" t="n">
        <f aca="false">SUMIFS('Additions (monthly)'!$E$2:$E$106,'Additions (monthly)'!$D$2:$D$106,AY$2,'Additions (monthly)'!$B$2:$B$106,"&lt;="&amp;$B172)</f>
        <v>5.3</v>
      </c>
      <c r="AZ172" s="43" t="n">
        <f aca="false">SUMIFS('Additions (monthly)'!$E$2:$E$106,'Additions (monthly)'!$D$2:$D$106,AZ$2,'Additions (monthly)'!$B$2:$B$106,"&lt;="&amp;$B172)</f>
        <v>9.97</v>
      </c>
      <c r="BA172" s="43" t="n">
        <f aca="false">SUMIFS('Additions (monthly)'!$E$2:$E$106,'Additions (monthly)'!$D$2:$D$106,BA$2,'Additions (monthly)'!$B$2:$B$106,"&lt;="&amp;$B172)</f>
        <v>13.5</v>
      </c>
      <c r="BB172" s="43" t="n">
        <f aca="false">SUMIFS('Additions (monthly)'!$E$2:$E$106,'Additions (monthly)'!$D$2:$D$106,BB$2,'Additions (monthly)'!$B$2:$B$106,"&lt;="&amp;$B172)</f>
        <v>15</v>
      </c>
      <c r="BC172" s="43" t="n">
        <f aca="false">SUMIFS('Additions (monthly)'!$E$2:$E$106,'Additions (monthly)'!$D$2:$D$106,BC$2,'Additions (monthly)'!$B$2:$B$106,"&lt;="&amp;$B172)</f>
        <v>5.25</v>
      </c>
      <c r="BD172" s="43" t="n">
        <f aca="false">SUMIFS('Additions (monthly)'!$E$2:$E$106,'Additions (monthly)'!$D$2:$D$106,BD$2,'Additions (monthly)'!$B$2:$B$106,"&lt;="&amp;$B172)</f>
        <v>2.5</v>
      </c>
      <c r="BE172" s="43" t="n">
        <f aca="false">SUMIFS('Additions (monthly)'!$E$2:$E$106,'Additions (monthly)'!$D$2:$D$106,BE$2,'Additions (monthly)'!$B$2:$B$106,"&lt;="&amp;$B172)</f>
        <v>15.3</v>
      </c>
      <c r="BF172" s="43" t="n">
        <f aca="false">SUMIFS('Additions (monthly)'!$E$2:$E$106,'Additions (monthly)'!$D$2:$D$106,BF$2,'Additions (monthly)'!$B$2:$B$106,"&lt;="&amp;$B172)</f>
        <v>0</v>
      </c>
      <c r="BG172" s="43" t="n">
        <f aca="false">SUMIFS('Additions (monthly)'!$E$2:$E$106,'Additions (monthly)'!$D$2:$D$106,BG$2,'Additions (monthly)'!$B$2:$B$106,"&lt;="&amp;$B172)</f>
        <v>0</v>
      </c>
      <c r="BH172" s="43" t="n">
        <f aca="false">SUMIFS('Additions (monthly)'!$E$2:$E$106,'Additions (monthly)'!$D$2:$D$106,BH$2,'Additions (monthly)'!$B$2:$B$106,"&lt;="&amp;$B172)</f>
        <v>30</v>
      </c>
      <c r="BI172" s="43" t="n">
        <f aca="false">SUMIFS('Additions (monthly)'!$E$2:$E$106,'Additions (monthly)'!$D$2:$D$106,BI$2,'Additions (monthly)'!$B$2:$B$106,"&lt;="&amp;$B172)</f>
        <v>6.7</v>
      </c>
    </row>
    <row r="173" customFormat="false" ht="15" hidden="false" customHeight="false" outlineLevel="0" collapsed="false">
      <c r="A173" s="23" t="n">
        <v>45352</v>
      </c>
      <c r="B173" s="24" t="n">
        <v>202403</v>
      </c>
      <c r="C173" s="42" t="n">
        <f aca="false">SUMIFS('Additions (monthly)'!$E$2:$E$106,'Additions (monthly)'!$B$2:$B$106,"&lt;="&amp;$B173)</f>
        <v>488.25</v>
      </c>
      <c r="D173" s="43" t="n">
        <f aca="false">SUMIFS('Additions (monthly)'!$E$2:$E$106,'Additions (monthly)'!$D$2:$D$106,D$2,'Additions (monthly)'!$B$2:$B$106,"&lt;="&amp;$B173)</f>
        <v>7.9</v>
      </c>
      <c r="E173" s="43" t="n">
        <f aca="false">SUMIFS('Additions (monthly)'!$E$2:$E$106,'Additions (monthly)'!$D$2:$D$106,E$2,'Additions (monthly)'!$B$2:$B$106,"&lt;="&amp;$B173)</f>
        <v>8.4</v>
      </c>
      <c r="F173" s="43" t="n">
        <f aca="false">SUMIFS('Additions (monthly)'!$E$2:$E$106,'Additions (monthly)'!$D$2:$D$106,F$2,'Additions (monthly)'!$B$2:$B$106,"&lt;="&amp;$B173)</f>
        <v>4.7</v>
      </c>
      <c r="G173" s="43" t="n">
        <f aca="false">SUMIFS('Additions (monthly)'!$E$2:$E$106,'Additions (monthly)'!$D$2:$D$106,G$2,'Additions (monthly)'!$B$2:$B$106,"&lt;="&amp;$B173)</f>
        <v>4.5</v>
      </c>
      <c r="H173" s="43" t="n">
        <f aca="false">SUMIFS('Additions (monthly)'!$E$2:$E$106,'Additions (monthly)'!$D$2:$D$106,H$2,'Additions (monthly)'!$B$2:$B$106,"&lt;="&amp;$B173)</f>
        <v>5.2</v>
      </c>
      <c r="I173" s="43" t="n">
        <f aca="false">SUMIFS('Additions (monthly)'!$E$2:$E$106,'Additions (monthly)'!$D$2:$D$106,I$2,'Additions (monthly)'!$B$2:$B$106,"&lt;="&amp;$B173)</f>
        <v>9</v>
      </c>
      <c r="J173" s="43" t="n">
        <f aca="false">SUMIFS('Additions (monthly)'!$E$2:$E$106,'Additions (monthly)'!$D$2:$D$106,J$2,'Additions (monthly)'!$B$2:$B$106,"&lt;="&amp;$B173)</f>
        <v>3.7</v>
      </c>
      <c r="K173" s="43" t="n">
        <f aca="false">SUMIFS('Additions (monthly)'!$E$2:$E$106,'Additions (monthly)'!$D$2:$D$106,K$2,'Additions (monthly)'!$B$2:$B$106,"&lt;="&amp;$B173)</f>
        <v>7.8</v>
      </c>
      <c r="L173" s="43" t="n">
        <f aca="false">SUMIFS('Additions (monthly)'!$E$2:$E$106,'Additions (monthly)'!$D$2:$D$106,L$2,'Additions (monthly)'!$B$2:$B$106,"&lt;="&amp;$B173)</f>
        <v>15.6</v>
      </c>
      <c r="M173" s="43" t="n">
        <f aca="false">SUMIFS('Additions (monthly)'!$E$2:$E$106,'Additions (monthly)'!$D$2:$D$106,M$2,'Additions (monthly)'!$B$2:$B$106,"&lt;="&amp;$B173)</f>
        <v>8.9</v>
      </c>
      <c r="N173" s="43" t="n">
        <f aca="false">SUMIFS('Additions (monthly)'!$E$2:$E$106,'Additions (monthly)'!$D$2:$D$106,N$2,'Additions (monthly)'!$B$2:$B$106,"&lt;="&amp;$B173)</f>
        <v>14.2</v>
      </c>
      <c r="O173" s="43" t="n">
        <f aca="false">SUMIFS('Additions (monthly)'!$E$2:$E$106,'Additions (monthly)'!$D$2:$D$106,O$2,'Additions (monthly)'!$B$2:$B$106,"&lt;="&amp;$B173)</f>
        <v>4.9</v>
      </c>
      <c r="P173" s="43" t="n">
        <f aca="false">SUMIFS('Additions (monthly)'!$E$2:$E$106,'Additions (monthly)'!$D$2:$D$106,P$2,'Additions (monthly)'!$B$2:$B$106,"&lt;="&amp;$B173)</f>
        <v>3.6</v>
      </c>
      <c r="Q173" s="43" t="n">
        <f aca="false">SUMIFS('Additions (monthly)'!$E$2:$E$106,'Additions (monthly)'!$D$2:$D$106,Q$2,'Additions (monthly)'!$B$2:$B$106,"&lt;="&amp;$B173)</f>
        <v>8.5</v>
      </c>
      <c r="R173" s="43" t="n">
        <f aca="false">SUMIFS('Additions (monthly)'!$E$2:$E$106,'Additions (monthly)'!$D$2:$D$106,R$2,'Additions (monthly)'!$B$2:$B$106,"&lt;="&amp;$B173)</f>
        <v>8.9</v>
      </c>
      <c r="S173" s="43" t="n">
        <f aca="false">SUMIFS('Additions (monthly)'!$E$2:$E$106,'Additions (monthly)'!$D$2:$D$106,S$2,'Additions (monthly)'!$B$2:$B$106,"&lt;="&amp;$B173)</f>
        <v>7.2</v>
      </c>
      <c r="T173" s="43" t="n">
        <f aca="false">SUMIFS('Additions (monthly)'!$E$2:$E$106,'Additions (monthly)'!$D$2:$D$106,T$2,'Additions (monthly)'!$B$2:$B$106,"&lt;="&amp;$B173)</f>
        <v>2.4</v>
      </c>
      <c r="U173" s="43" t="n">
        <f aca="false">SUMIFS('Additions (monthly)'!$E$2:$E$106,'Additions (monthly)'!$D$2:$D$106,U$2,'Additions (monthly)'!$B$2:$B$106,"&lt;="&amp;$B173)</f>
        <v>0</v>
      </c>
      <c r="V173" s="43" t="n">
        <f aca="false">SUMIFS('Additions (monthly)'!$E$2:$E$106,'Additions (monthly)'!$D$2:$D$106,V$2,'Additions (monthly)'!$B$2:$B$106,"&lt;="&amp;$B173)</f>
        <v>3.87</v>
      </c>
      <c r="W173" s="43" t="n">
        <f aca="false">SUMIFS('Additions (monthly)'!$E$2:$E$106,'Additions (monthly)'!$D$2:$D$106,W$2,'Additions (monthly)'!$B$2:$B$106,"&lt;="&amp;$B173)</f>
        <v>0.6</v>
      </c>
      <c r="X173" s="43" t="n">
        <f aca="false">SUMIFS('Additions (monthly)'!$E$2:$E$106,'Additions (monthly)'!$D$2:$D$106,X$2,'Additions (monthly)'!$B$2:$B$106,"&lt;="&amp;$B173)</f>
        <v>0</v>
      </c>
      <c r="Y173" s="43" t="n">
        <f aca="false">SUMIFS('Additions (monthly)'!$E$2:$E$106,'Additions (monthly)'!$D$2:$D$106,Y$2,'Additions (monthly)'!$B$2:$B$106,"&lt;="&amp;$B173)</f>
        <v>5</v>
      </c>
      <c r="Z173" s="43" t="n">
        <f aca="false">SUMIFS('Additions (monthly)'!$E$2:$E$106,'Additions (monthly)'!$D$2:$D$106,Z$2,'Additions (monthly)'!$B$2:$B$106,"&lt;="&amp;$B173)</f>
        <v>7.2</v>
      </c>
      <c r="AA173" s="43" t="n">
        <f aca="false">SUMIFS('Additions (monthly)'!$E$2:$E$106,'Additions (monthly)'!$D$2:$D$106,AA$2,'Additions (monthly)'!$B$2:$B$106,"&lt;="&amp;$B173)</f>
        <v>3.7</v>
      </c>
      <c r="AB173" s="43" t="n">
        <f aca="false">SUMIFS('Additions (monthly)'!$E$2:$E$106,'Additions (monthly)'!$D$2:$D$106,AB$2,'Additions (monthly)'!$B$2:$B$106,"&lt;="&amp;$B173)</f>
        <v>16.95</v>
      </c>
      <c r="AC173" s="43" t="n">
        <f aca="false">SUMIFS('Additions (monthly)'!$E$2:$E$106,'Additions (monthly)'!$D$2:$D$106,AC$2,'Additions (monthly)'!$B$2:$B$106,"&lt;="&amp;$B173)</f>
        <v>2</v>
      </c>
      <c r="AD173" s="43" t="n">
        <f aca="false">SUMIFS('Additions (monthly)'!$E$2:$E$106,'Additions (monthly)'!$D$2:$D$106,AD$2,'Additions (monthly)'!$B$2:$B$106,"&lt;="&amp;$B173)</f>
        <v>11.4</v>
      </c>
      <c r="AE173" s="43" t="n">
        <f aca="false">SUMIFS('Additions (monthly)'!$E$2:$E$106,'Additions (monthly)'!$D$2:$D$106,AE$2,'Additions (monthly)'!$B$2:$B$106,"&lt;="&amp;$B173)</f>
        <v>29.3</v>
      </c>
      <c r="AF173" s="43" t="n">
        <f aca="false">SUMIFS('Additions (monthly)'!$E$2:$E$106,'Additions (monthly)'!$D$2:$D$106,AF$2,'Additions (monthly)'!$B$2:$B$106,"&lt;="&amp;$B173)</f>
        <v>1.2</v>
      </c>
      <c r="AG173" s="43" t="n">
        <f aca="false">SUMIFS('Additions (monthly)'!$E$2:$E$106,'Additions (monthly)'!$D$2:$D$106,AG$2,'Additions (monthly)'!$B$2:$B$106,"&lt;="&amp;$B173)</f>
        <v>1.5</v>
      </c>
      <c r="AH173" s="43" t="n">
        <f aca="false">SUMIFS('Additions (monthly)'!$E$2:$E$106,'Additions (monthly)'!$D$2:$D$106,AH$2,'Additions (monthly)'!$B$2:$B$106,"&lt;="&amp;$B173)</f>
        <v>0</v>
      </c>
      <c r="AI173" s="43" t="n">
        <f aca="false">SUMIFS('Additions (monthly)'!$E$2:$E$106,'Additions (monthly)'!$D$2:$D$106,AI$2,'Additions (monthly)'!$B$2:$B$106,"&lt;="&amp;$B173)</f>
        <v>0</v>
      </c>
      <c r="AJ173" s="43" t="n">
        <f aca="false">SUMIFS('Additions (monthly)'!$E$2:$E$106,'Additions (monthly)'!$D$2:$D$106,AJ$2,'Additions (monthly)'!$B$2:$B$106,"&lt;="&amp;$B173)</f>
        <v>0</v>
      </c>
      <c r="AK173" s="43" t="n">
        <f aca="false">SUMIFS('Additions (monthly)'!$E$2:$E$106,'Additions (monthly)'!$D$2:$D$106,AK$2,'Additions (monthly)'!$B$2:$B$106,"&lt;="&amp;$B173)</f>
        <v>3.4</v>
      </c>
      <c r="AL173" s="43" t="n">
        <f aca="false">SUMIFS('Additions (monthly)'!$E$2:$E$106,'Additions (monthly)'!$D$2:$D$106,AL$2,'Additions (monthly)'!$B$2:$B$106,"&lt;="&amp;$B173)</f>
        <v>22.2</v>
      </c>
      <c r="AM173" s="43" t="n">
        <f aca="false">SUMIFS('Additions (monthly)'!$E$2:$E$106,'Additions (monthly)'!$D$2:$D$106,AM$2,'Additions (monthly)'!$B$2:$B$106,"&lt;="&amp;$B173)</f>
        <v>0.3</v>
      </c>
      <c r="AN173" s="43" t="n">
        <f aca="false">SUMIFS('Additions (monthly)'!$E$2:$E$106,'Additions (monthly)'!$D$2:$D$106,AN$2,'Additions (monthly)'!$B$2:$B$106,"&lt;="&amp;$B173)</f>
        <v>4.3</v>
      </c>
      <c r="AO173" s="43" t="n">
        <f aca="false">SUMIFS('Additions (monthly)'!$E$2:$E$106,'Additions (monthly)'!$D$2:$D$106,AO$2,'Additions (monthly)'!$B$2:$B$106,"&lt;="&amp;$B173)</f>
        <v>10.4</v>
      </c>
      <c r="AP173" s="43" t="n">
        <f aca="false">SUMIFS('Additions (monthly)'!$E$2:$E$106,'Additions (monthly)'!$D$2:$D$106,AP$2,'Additions (monthly)'!$B$2:$B$106,"&lt;="&amp;$B173)</f>
        <v>6.9</v>
      </c>
      <c r="AQ173" s="43" t="n">
        <f aca="false">SUMIFS('Additions (monthly)'!$E$2:$E$106,'Additions (monthly)'!$D$2:$D$106,AQ$2,'Additions (monthly)'!$B$2:$B$106,"&lt;="&amp;$B173)</f>
        <v>4.45</v>
      </c>
      <c r="AR173" s="43" t="n">
        <f aca="false">SUMIFS('Additions (monthly)'!$E$2:$E$106,'Additions (monthly)'!$D$2:$D$106,AR$2,'Additions (monthly)'!$B$2:$B$106,"&lt;="&amp;$B173)</f>
        <v>77.1</v>
      </c>
      <c r="AS173" s="43" t="n">
        <f aca="false">SUMIFS('Additions (monthly)'!$E$2:$E$106,'Additions (monthly)'!$D$2:$D$106,AS$2,'Additions (monthly)'!$B$2:$B$106,"&lt;="&amp;$B173)</f>
        <v>6.6</v>
      </c>
      <c r="AT173" s="43" t="n">
        <f aca="false">SUMIFS('Additions (monthly)'!$E$2:$E$106,'Additions (monthly)'!$D$2:$D$106,AT$2,'Additions (monthly)'!$B$2:$B$106,"&lt;="&amp;$B173)</f>
        <v>1.5</v>
      </c>
      <c r="AU173" s="43" t="n">
        <f aca="false">SUMIFS('Additions (monthly)'!$E$2:$E$106,'Additions (monthly)'!$D$2:$D$106,AU$2,'Additions (monthly)'!$B$2:$B$106,"&lt;="&amp;$B173)</f>
        <v>9.6</v>
      </c>
      <c r="AV173" s="43" t="n">
        <f aca="false">SUMIFS('Additions (monthly)'!$E$2:$E$106,'Additions (monthly)'!$D$2:$D$106,AV$2,'Additions (monthly)'!$B$2:$B$106,"&lt;="&amp;$B173)</f>
        <v>0.66</v>
      </c>
      <c r="AW173" s="43" t="n">
        <f aca="false">SUMIFS('Additions (monthly)'!$E$2:$E$106,'Additions (monthly)'!$D$2:$D$106,AW$2,'Additions (monthly)'!$B$2:$B$106,"&lt;="&amp;$B173)</f>
        <v>17.4</v>
      </c>
      <c r="AX173" s="43" t="n">
        <f aca="false">SUMIFS('Additions (monthly)'!$E$2:$E$106,'Additions (monthly)'!$D$2:$D$106,AX$2,'Additions (monthly)'!$B$2:$B$106,"&lt;="&amp;$B173)</f>
        <v>11.8</v>
      </c>
      <c r="AY173" s="43" t="n">
        <f aca="false">SUMIFS('Additions (monthly)'!$E$2:$E$106,'Additions (monthly)'!$D$2:$D$106,AY$2,'Additions (monthly)'!$B$2:$B$106,"&lt;="&amp;$B173)</f>
        <v>5.3</v>
      </c>
      <c r="AZ173" s="43" t="n">
        <f aca="false">SUMIFS('Additions (monthly)'!$E$2:$E$106,'Additions (monthly)'!$D$2:$D$106,AZ$2,'Additions (monthly)'!$B$2:$B$106,"&lt;="&amp;$B173)</f>
        <v>9.97</v>
      </c>
      <c r="BA173" s="43" t="n">
        <f aca="false">SUMIFS('Additions (monthly)'!$E$2:$E$106,'Additions (monthly)'!$D$2:$D$106,BA$2,'Additions (monthly)'!$B$2:$B$106,"&lt;="&amp;$B173)</f>
        <v>13.5</v>
      </c>
      <c r="BB173" s="43" t="n">
        <f aca="false">SUMIFS('Additions (monthly)'!$E$2:$E$106,'Additions (monthly)'!$D$2:$D$106,BB$2,'Additions (monthly)'!$B$2:$B$106,"&lt;="&amp;$B173)</f>
        <v>15</v>
      </c>
      <c r="BC173" s="43" t="n">
        <f aca="false">SUMIFS('Additions (monthly)'!$E$2:$E$106,'Additions (monthly)'!$D$2:$D$106,BC$2,'Additions (monthly)'!$B$2:$B$106,"&lt;="&amp;$B173)</f>
        <v>5.25</v>
      </c>
      <c r="BD173" s="43" t="n">
        <f aca="false">SUMIFS('Additions (monthly)'!$E$2:$E$106,'Additions (monthly)'!$D$2:$D$106,BD$2,'Additions (monthly)'!$B$2:$B$106,"&lt;="&amp;$B173)</f>
        <v>2.5</v>
      </c>
      <c r="BE173" s="43" t="n">
        <f aca="false">SUMIFS('Additions (monthly)'!$E$2:$E$106,'Additions (monthly)'!$D$2:$D$106,BE$2,'Additions (monthly)'!$B$2:$B$106,"&lt;="&amp;$B173)</f>
        <v>15.3</v>
      </c>
      <c r="BF173" s="43" t="n">
        <f aca="false">SUMIFS('Additions (monthly)'!$E$2:$E$106,'Additions (monthly)'!$D$2:$D$106,BF$2,'Additions (monthly)'!$B$2:$B$106,"&lt;="&amp;$B173)</f>
        <v>0</v>
      </c>
      <c r="BG173" s="43" t="n">
        <f aca="false">SUMIFS('Additions (monthly)'!$E$2:$E$106,'Additions (monthly)'!$D$2:$D$106,BG$2,'Additions (monthly)'!$B$2:$B$106,"&lt;="&amp;$B173)</f>
        <v>0</v>
      </c>
      <c r="BH173" s="43" t="n">
        <f aca="false">SUMIFS('Additions (monthly)'!$E$2:$E$106,'Additions (monthly)'!$D$2:$D$106,BH$2,'Additions (monthly)'!$B$2:$B$106,"&lt;="&amp;$B173)</f>
        <v>30</v>
      </c>
      <c r="BI173" s="43" t="n">
        <f aca="false">SUMIFS('Additions (monthly)'!$E$2:$E$106,'Additions (monthly)'!$D$2:$D$106,BI$2,'Additions (monthly)'!$B$2:$B$106,"&lt;="&amp;$B173)</f>
        <v>6.7</v>
      </c>
    </row>
    <row r="174" customFormat="false" ht="15" hidden="false" customHeight="false" outlineLevel="0" collapsed="false">
      <c r="A174" s="23" t="n">
        <v>45383</v>
      </c>
      <c r="B174" s="24" t="n">
        <v>202404</v>
      </c>
      <c r="C174" s="42" t="n">
        <f aca="false">SUMIFS('Additions (monthly)'!$E$2:$E$106,'Additions (monthly)'!$B$2:$B$106,"&lt;="&amp;$B174)</f>
        <v>488.25</v>
      </c>
      <c r="D174" s="43" t="n">
        <f aca="false">SUMIFS('Additions (monthly)'!$E$2:$E$106,'Additions (monthly)'!$D$2:$D$106,D$2,'Additions (monthly)'!$B$2:$B$106,"&lt;="&amp;$B174)</f>
        <v>7.9</v>
      </c>
      <c r="E174" s="43" t="n">
        <f aca="false">SUMIFS('Additions (monthly)'!$E$2:$E$106,'Additions (monthly)'!$D$2:$D$106,E$2,'Additions (monthly)'!$B$2:$B$106,"&lt;="&amp;$B174)</f>
        <v>8.4</v>
      </c>
      <c r="F174" s="43" t="n">
        <f aca="false">SUMIFS('Additions (monthly)'!$E$2:$E$106,'Additions (monthly)'!$D$2:$D$106,F$2,'Additions (monthly)'!$B$2:$B$106,"&lt;="&amp;$B174)</f>
        <v>4.7</v>
      </c>
      <c r="G174" s="43" t="n">
        <f aca="false">SUMIFS('Additions (monthly)'!$E$2:$E$106,'Additions (monthly)'!$D$2:$D$106,G$2,'Additions (monthly)'!$B$2:$B$106,"&lt;="&amp;$B174)</f>
        <v>4.5</v>
      </c>
      <c r="H174" s="43" t="n">
        <f aca="false">SUMIFS('Additions (monthly)'!$E$2:$E$106,'Additions (monthly)'!$D$2:$D$106,H$2,'Additions (monthly)'!$B$2:$B$106,"&lt;="&amp;$B174)</f>
        <v>5.2</v>
      </c>
      <c r="I174" s="43" t="n">
        <f aca="false">SUMIFS('Additions (monthly)'!$E$2:$E$106,'Additions (monthly)'!$D$2:$D$106,I$2,'Additions (monthly)'!$B$2:$B$106,"&lt;="&amp;$B174)</f>
        <v>9</v>
      </c>
      <c r="J174" s="43" t="n">
        <f aca="false">SUMIFS('Additions (monthly)'!$E$2:$E$106,'Additions (monthly)'!$D$2:$D$106,J$2,'Additions (monthly)'!$B$2:$B$106,"&lt;="&amp;$B174)</f>
        <v>3.7</v>
      </c>
      <c r="K174" s="43" t="n">
        <f aca="false">SUMIFS('Additions (monthly)'!$E$2:$E$106,'Additions (monthly)'!$D$2:$D$106,K$2,'Additions (monthly)'!$B$2:$B$106,"&lt;="&amp;$B174)</f>
        <v>7.8</v>
      </c>
      <c r="L174" s="43" t="n">
        <f aca="false">SUMIFS('Additions (monthly)'!$E$2:$E$106,'Additions (monthly)'!$D$2:$D$106,L$2,'Additions (monthly)'!$B$2:$B$106,"&lt;="&amp;$B174)</f>
        <v>15.6</v>
      </c>
      <c r="M174" s="43" t="n">
        <f aca="false">SUMIFS('Additions (monthly)'!$E$2:$E$106,'Additions (monthly)'!$D$2:$D$106,M$2,'Additions (monthly)'!$B$2:$B$106,"&lt;="&amp;$B174)</f>
        <v>8.9</v>
      </c>
      <c r="N174" s="43" t="n">
        <f aca="false">SUMIFS('Additions (monthly)'!$E$2:$E$106,'Additions (monthly)'!$D$2:$D$106,N$2,'Additions (monthly)'!$B$2:$B$106,"&lt;="&amp;$B174)</f>
        <v>14.2</v>
      </c>
      <c r="O174" s="43" t="n">
        <f aca="false">SUMIFS('Additions (monthly)'!$E$2:$E$106,'Additions (monthly)'!$D$2:$D$106,O$2,'Additions (monthly)'!$B$2:$B$106,"&lt;="&amp;$B174)</f>
        <v>4.9</v>
      </c>
      <c r="P174" s="43" t="n">
        <f aca="false">SUMIFS('Additions (monthly)'!$E$2:$E$106,'Additions (monthly)'!$D$2:$D$106,P$2,'Additions (monthly)'!$B$2:$B$106,"&lt;="&amp;$B174)</f>
        <v>3.6</v>
      </c>
      <c r="Q174" s="43" t="n">
        <f aca="false">SUMIFS('Additions (monthly)'!$E$2:$E$106,'Additions (monthly)'!$D$2:$D$106,Q$2,'Additions (monthly)'!$B$2:$B$106,"&lt;="&amp;$B174)</f>
        <v>8.5</v>
      </c>
      <c r="R174" s="43" t="n">
        <f aca="false">SUMIFS('Additions (monthly)'!$E$2:$E$106,'Additions (monthly)'!$D$2:$D$106,R$2,'Additions (monthly)'!$B$2:$B$106,"&lt;="&amp;$B174)</f>
        <v>8.9</v>
      </c>
      <c r="S174" s="43" t="n">
        <f aca="false">SUMIFS('Additions (monthly)'!$E$2:$E$106,'Additions (monthly)'!$D$2:$D$106,S$2,'Additions (monthly)'!$B$2:$B$106,"&lt;="&amp;$B174)</f>
        <v>7.2</v>
      </c>
      <c r="T174" s="43" t="n">
        <f aca="false">SUMIFS('Additions (monthly)'!$E$2:$E$106,'Additions (monthly)'!$D$2:$D$106,T$2,'Additions (monthly)'!$B$2:$B$106,"&lt;="&amp;$B174)</f>
        <v>2.4</v>
      </c>
      <c r="U174" s="43" t="n">
        <f aca="false">SUMIFS('Additions (monthly)'!$E$2:$E$106,'Additions (monthly)'!$D$2:$D$106,U$2,'Additions (monthly)'!$B$2:$B$106,"&lt;="&amp;$B174)</f>
        <v>0</v>
      </c>
      <c r="V174" s="43" t="n">
        <f aca="false">SUMIFS('Additions (monthly)'!$E$2:$E$106,'Additions (monthly)'!$D$2:$D$106,V$2,'Additions (monthly)'!$B$2:$B$106,"&lt;="&amp;$B174)</f>
        <v>3.87</v>
      </c>
      <c r="W174" s="43" t="n">
        <f aca="false">SUMIFS('Additions (monthly)'!$E$2:$E$106,'Additions (monthly)'!$D$2:$D$106,W$2,'Additions (monthly)'!$B$2:$B$106,"&lt;="&amp;$B174)</f>
        <v>0.6</v>
      </c>
      <c r="X174" s="43" t="n">
        <f aca="false">SUMIFS('Additions (monthly)'!$E$2:$E$106,'Additions (monthly)'!$D$2:$D$106,X$2,'Additions (monthly)'!$B$2:$B$106,"&lt;="&amp;$B174)</f>
        <v>0</v>
      </c>
      <c r="Y174" s="43" t="n">
        <f aca="false">SUMIFS('Additions (monthly)'!$E$2:$E$106,'Additions (monthly)'!$D$2:$D$106,Y$2,'Additions (monthly)'!$B$2:$B$106,"&lt;="&amp;$B174)</f>
        <v>5</v>
      </c>
      <c r="Z174" s="43" t="n">
        <f aca="false">SUMIFS('Additions (monthly)'!$E$2:$E$106,'Additions (monthly)'!$D$2:$D$106,Z$2,'Additions (monthly)'!$B$2:$B$106,"&lt;="&amp;$B174)</f>
        <v>7.2</v>
      </c>
      <c r="AA174" s="43" t="n">
        <f aca="false">SUMIFS('Additions (monthly)'!$E$2:$E$106,'Additions (monthly)'!$D$2:$D$106,AA$2,'Additions (monthly)'!$B$2:$B$106,"&lt;="&amp;$B174)</f>
        <v>3.7</v>
      </c>
      <c r="AB174" s="43" t="n">
        <f aca="false">SUMIFS('Additions (monthly)'!$E$2:$E$106,'Additions (monthly)'!$D$2:$D$106,AB$2,'Additions (monthly)'!$B$2:$B$106,"&lt;="&amp;$B174)</f>
        <v>16.95</v>
      </c>
      <c r="AC174" s="43" t="n">
        <f aca="false">SUMIFS('Additions (monthly)'!$E$2:$E$106,'Additions (monthly)'!$D$2:$D$106,AC$2,'Additions (monthly)'!$B$2:$B$106,"&lt;="&amp;$B174)</f>
        <v>2</v>
      </c>
      <c r="AD174" s="43" t="n">
        <f aca="false">SUMIFS('Additions (monthly)'!$E$2:$E$106,'Additions (monthly)'!$D$2:$D$106,AD$2,'Additions (monthly)'!$B$2:$B$106,"&lt;="&amp;$B174)</f>
        <v>11.4</v>
      </c>
      <c r="AE174" s="43" t="n">
        <f aca="false">SUMIFS('Additions (monthly)'!$E$2:$E$106,'Additions (monthly)'!$D$2:$D$106,AE$2,'Additions (monthly)'!$B$2:$B$106,"&lt;="&amp;$B174)</f>
        <v>29.3</v>
      </c>
      <c r="AF174" s="43" t="n">
        <f aca="false">SUMIFS('Additions (monthly)'!$E$2:$E$106,'Additions (monthly)'!$D$2:$D$106,AF$2,'Additions (monthly)'!$B$2:$B$106,"&lt;="&amp;$B174)</f>
        <v>1.2</v>
      </c>
      <c r="AG174" s="43" t="n">
        <f aca="false">SUMIFS('Additions (monthly)'!$E$2:$E$106,'Additions (monthly)'!$D$2:$D$106,AG$2,'Additions (monthly)'!$B$2:$B$106,"&lt;="&amp;$B174)</f>
        <v>1.5</v>
      </c>
      <c r="AH174" s="43" t="n">
        <f aca="false">SUMIFS('Additions (monthly)'!$E$2:$E$106,'Additions (monthly)'!$D$2:$D$106,AH$2,'Additions (monthly)'!$B$2:$B$106,"&lt;="&amp;$B174)</f>
        <v>0</v>
      </c>
      <c r="AI174" s="43" t="n">
        <f aca="false">SUMIFS('Additions (monthly)'!$E$2:$E$106,'Additions (monthly)'!$D$2:$D$106,AI$2,'Additions (monthly)'!$B$2:$B$106,"&lt;="&amp;$B174)</f>
        <v>0</v>
      </c>
      <c r="AJ174" s="43" t="n">
        <f aca="false">SUMIFS('Additions (monthly)'!$E$2:$E$106,'Additions (monthly)'!$D$2:$D$106,AJ$2,'Additions (monthly)'!$B$2:$B$106,"&lt;="&amp;$B174)</f>
        <v>0</v>
      </c>
      <c r="AK174" s="43" t="n">
        <f aca="false">SUMIFS('Additions (monthly)'!$E$2:$E$106,'Additions (monthly)'!$D$2:$D$106,AK$2,'Additions (monthly)'!$B$2:$B$106,"&lt;="&amp;$B174)</f>
        <v>3.4</v>
      </c>
      <c r="AL174" s="43" t="n">
        <f aca="false">SUMIFS('Additions (monthly)'!$E$2:$E$106,'Additions (monthly)'!$D$2:$D$106,AL$2,'Additions (monthly)'!$B$2:$B$106,"&lt;="&amp;$B174)</f>
        <v>22.2</v>
      </c>
      <c r="AM174" s="43" t="n">
        <f aca="false">SUMIFS('Additions (monthly)'!$E$2:$E$106,'Additions (monthly)'!$D$2:$D$106,AM$2,'Additions (monthly)'!$B$2:$B$106,"&lt;="&amp;$B174)</f>
        <v>0.3</v>
      </c>
      <c r="AN174" s="43" t="n">
        <f aca="false">SUMIFS('Additions (monthly)'!$E$2:$E$106,'Additions (monthly)'!$D$2:$D$106,AN$2,'Additions (monthly)'!$B$2:$B$106,"&lt;="&amp;$B174)</f>
        <v>4.3</v>
      </c>
      <c r="AO174" s="43" t="n">
        <f aca="false">SUMIFS('Additions (monthly)'!$E$2:$E$106,'Additions (monthly)'!$D$2:$D$106,AO$2,'Additions (monthly)'!$B$2:$B$106,"&lt;="&amp;$B174)</f>
        <v>10.4</v>
      </c>
      <c r="AP174" s="43" t="n">
        <f aca="false">SUMIFS('Additions (monthly)'!$E$2:$E$106,'Additions (monthly)'!$D$2:$D$106,AP$2,'Additions (monthly)'!$B$2:$B$106,"&lt;="&amp;$B174)</f>
        <v>6.9</v>
      </c>
      <c r="AQ174" s="43" t="n">
        <f aca="false">SUMIFS('Additions (monthly)'!$E$2:$E$106,'Additions (monthly)'!$D$2:$D$106,AQ$2,'Additions (monthly)'!$B$2:$B$106,"&lt;="&amp;$B174)</f>
        <v>4.45</v>
      </c>
      <c r="AR174" s="43" t="n">
        <f aca="false">SUMIFS('Additions (monthly)'!$E$2:$E$106,'Additions (monthly)'!$D$2:$D$106,AR$2,'Additions (monthly)'!$B$2:$B$106,"&lt;="&amp;$B174)</f>
        <v>77.1</v>
      </c>
      <c r="AS174" s="43" t="n">
        <f aca="false">SUMIFS('Additions (monthly)'!$E$2:$E$106,'Additions (monthly)'!$D$2:$D$106,AS$2,'Additions (monthly)'!$B$2:$B$106,"&lt;="&amp;$B174)</f>
        <v>6.6</v>
      </c>
      <c r="AT174" s="43" t="n">
        <f aca="false">SUMIFS('Additions (monthly)'!$E$2:$E$106,'Additions (monthly)'!$D$2:$D$106,AT$2,'Additions (monthly)'!$B$2:$B$106,"&lt;="&amp;$B174)</f>
        <v>1.5</v>
      </c>
      <c r="AU174" s="43" t="n">
        <f aca="false">SUMIFS('Additions (monthly)'!$E$2:$E$106,'Additions (monthly)'!$D$2:$D$106,AU$2,'Additions (monthly)'!$B$2:$B$106,"&lt;="&amp;$B174)</f>
        <v>9.6</v>
      </c>
      <c r="AV174" s="43" t="n">
        <f aca="false">SUMIFS('Additions (monthly)'!$E$2:$E$106,'Additions (monthly)'!$D$2:$D$106,AV$2,'Additions (monthly)'!$B$2:$B$106,"&lt;="&amp;$B174)</f>
        <v>0.66</v>
      </c>
      <c r="AW174" s="43" t="n">
        <f aca="false">SUMIFS('Additions (monthly)'!$E$2:$E$106,'Additions (monthly)'!$D$2:$D$106,AW$2,'Additions (monthly)'!$B$2:$B$106,"&lt;="&amp;$B174)</f>
        <v>17.4</v>
      </c>
      <c r="AX174" s="43" t="n">
        <f aca="false">SUMIFS('Additions (monthly)'!$E$2:$E$106,'Additions (monthly)'!$D$2:$D$106,AX$2,'Additions (monthly)'!$B$2:$B$106,"&lt;="&amp;$B174)</f>
        <v>11.8</v>
      </c>
      <c r="AY174" s="43" t="n">
        <f aca="false">SUMIFS('Additions (monthly)'!$E$2:$E$106,'Additions (monthly)'!$D$2:$D$106,AY$2,'Additions (monthly)'!$B$2:$B$106,"&lt;="&amp;$B174)</f>
        <v>5.3</v>
      </c>
      <c r="AZ174" s="43" t="n">
        <f aca="false">SUMIFS('Additions (monthly)'!$E$2:$E$106,'Additions (monthly)'!$D$2:$D$106,AZ$2,'Additions (monthly)'!$B$2:$B$106,"&lt;="&amp;$B174)</f>
        <v>9.97</v>
      </c>
      <c r="BA174" s="43" t="n">
        <f aca="false">SUMIFS('Additions (monthly)'!$E$2:$E$106,'Additions (monthly)'!$D$2:$D$106,BA$2,'Additions (monthly)'!$B$2:$B$106,"&lt;="&amp;$B174)</f>
        <v>13.5</v>
      </c>
      <c r="BB174" s="43" t="n">
        <f aca="false">SUMIFS('Additions (monthly)'!$E$2:$E$106,'Additions (monthly)'!$D$2:$D$106,BB$2,'Additions (monthly)'!$B$2:$B$106,"&lt;="&amp;$B174)</f>
        <v>15</v>
      </c>
      <c r="BC174" s="43" t="n">
        <f aca="false">SUMIFS('Additions (monthly)'!$E$2:$E$106,'Additions (monthly)'!$D$2:$D$106,BC$2,'Additions (monthly)'!$B$2:$B$106,"&lt;="&amp;$B174)</f>
        <v>5.25</v>
      </c>
      <c r="BD174" s="43" t="n">
        <f aca="false">SUMIFS('Additions (monthly)'!$E$2:$E$106,'Additions (monthly)'!$D$2:$D$106,BD$2,'Additions (monthly)'!$B$2:$B$106,"&lt;="&amp;$B174)</f>
        <v>2.5</v>
      </c>
      <c r="BE174" s="43" t="n">
        <f aca="false">SUMIFS('Additions (monthly)'!$E$2:$E$106,'Additions (monthly)'!$D$2:$D$106,BE$2,'Additions (monthly)'!$B$2:$B$106,"&lt;="&amp;$B174)</f>
        <v>15.3</v>
      </c>
      <c r="BF174" s="43" t="n">
        <f aca="false">SUMIFS('Additions (monthly)'!$E$2:$E$106,'Additions (monthly)'!$D$2:$D$106,BF$2,'Additions (monthly)'!$B$2:$B$106,"&lt;="&amp;$B174)</f>
        <v>0</v>
      </c>
      <c r="BG174" s="43" t="n">
        <f aca="false">SUMIFS('Additions (monthly)'!$E$2:$E$106,'Additions (monthly)'!$D$2:$D$106,BG$2,'Additions (monthly)'!$B$2:$B$106,"&lt;="&amp;$B174)</f>
        <v>0</v>
      </c>
      <c r="BH174" s="43" t="n">
        <f aca="false">SUMIFS('Additions (monthly)'!$E$2:$E$106,'Additions (monthly)'!$D$2:$D$106,BH$2,'Additions (monthly)'!$B$2:$B$106,"&lt;="&amp;$B174)</f>
        <v>30</v>
      </c>
      <c r="BI174" s="43" t="n">
        <f aca="false">SUMIFS('Additions (monthly)'!$E$2:$E$106,'Additions (monthly)'!$D$2:$D$106,BI$2,'Additions (monthly)'!$B$2:$B$106,"&lt;="&amp;$B174)</f>
        <v>6.7</v>
      </c>
    </row>
    <row r="175" customFormat="false" ht="15" hidden="false" customHeight="false" outlineLevel="0" collapsed="false">
      <c r="A175" s="23" t="n">
        <v>45413</v>
      </c>
      <c r="B175" s="24" t="n">
        <v>202405</v>
      </c>
      <c r="C175" s="42" t="n">
        <f aca="false">SUMIFS('Additions (monthly)'!$E$2:$E$106,'Additions (monthly)'!$B$2:$B$106,"&lt;="&amp;$B175)</f>
        <v>488.25</v>
      </c>
      <c r="D175" s="43" t="n">
        <f aca="false">SUMIFS('Additions (monthly)'!$E$2:$E$106,'Additions (monthly)'!$D$2:$D$106,D$2,'Additions (monthly)'!$B$2:$B$106,"&lt;="&amp;$B175)</f>
        <v>7.9</v>
      </c>
      <c r="E175" s="43" t="n">
        <f aca="false">SUMIFS('Additions (monthly)'!$E$2:$E$106,'Additions (monthly)'!$D$2:$D$106,E$2,'Additions (monthly)'!$B$2:$B$106,"&lt;="&amp;$B175)</f>
        <v>8.4</v>
      </c>
      <c r="F175" s="43" t="n">
        <f aca="false">SUMIFS('Additions (monthly)'!$E$2:$E$106,'Additions (monthly)'!$D$2:$D$106,F$2,'Additions (monthly)'!$B$2:$B$106,"&lt;="&amp;$B175)</f>
        <v>4.7</v>
      </c>
      <c r="G175" s="43" t="n">
        <f aca="false">SUMIFS('Additions (monthly)'!$E$2:$E$106,'Additions (monthly)'!$D$2:$D$106,G$2,'Additions (monthly)'!$B$2:$B$106,"&lt;="&amp;$B175)</f>
        <v>4.5</v>
      </c>
      <c r="H175" s="43" t="n">
        <f aca="false">SUMIFS('Additions (monthly)'!$E$2:$E$106,'Additions (monthly)'!$D$2:$D$106,H$2,'Additions (monthly)'!$B$2:$B$106,"&lt;="&amp;$B175)</f>
        <v>5.2</v>
      </c>
      <c r="I175" s="43" t="n">
        <f aca="false">SUMIFS('Additions (monthly)'!$E$2:$E$106,'Additions (monthly)'!$D$2:$D$106,I$2,'Additions (monthly)'!$B$2:$B$106,"&lt;="&amp;$B175)</f>
        <v>9</v>
      </c>
      <c r="J175" s="43" t="n">
        <f aca="false">SUMIFS('Additions (monthly)'!$E$2:$E$106,'Additions (monthly)'!$D$2:$D$106,J$2,'Additions (monthly)'!$B$2:$B$106,"&lt;="&amp;$B175)</f>
        <v>3.7</v>
      </c>
      <c r="K175" s="43" t="n">
        <f aca="false">SUMIFS('Additions (monthly)'!$E$2:$E$106,'Additions (monthly)'!$D$2:$D$106,K$2,'Additions (monthly)'!$B$2:$B$106,"&lt;="&amp;$B175)</f>
        <v>7.8</v>
      </c>
      <c r="L175" s="43" t="n">
        <f aca="false">SUMIFS('Additions (monthly)'!$E$2:$E$106,'Additions (monthly)'!$D$2:$D$106,L$2,'Additions (monthly)'!$B$2:$B$106,"&lt;="&amp;$B175)</f>
        <v>15.6</v>
      </c>
      <c r="M175" s="43" t="n">
        <f aca="false">SUMIFS('Additions (monthly)'!$E$2:$E$106,'Additions (monthly)'!$D$2:$D$106,M$2,'Additions (monthly)'!$B$2:$B$106,"&lt;="&amp;$B175)</f>
        <v>8.9</v>
      </c>
      <c r="N175" s="43" t="n">
        <f aca="false">SUMIFS('Additions (monthly)'!$E$2:$E$106,'Additions (monthly)'!$D$2:$D$106,N$2,'Additions (monthly)'!$B$2:$B$106,"&lt;="&amp;$B175)</f>
        <v>14.2</v>
      </c>
      <c r="O175" s="43" t="n">
        <f aca="false">SUMIFS('Additions (monthly)'!$E$2:$E$106,'Additions (monthly)'!$D$2:$D$106,O$2,'Additions (monthly)'!$B$2:$B$106,"&lt;="&amp;$B175)</f>
        <v>4.9</v>
      </c>
      <c r="P175" s="43" t="n">
        <f aca="false">SUMIFS('Additions (monthly)'!$E$2:$E$106,'Additions (monthly)'!$D$2:$D$106,P$2,'Additions (monthly)'!$B$2:$B$106,"&lt;="&amp;$B175)</f>
        <v>3.6</v>
      </c>
      <c r="Q175" s="43" t="n">
        <f aca="false">SUMIFS('Additions (monthly)'!$E$2:$E$106,'Additions (monthly)'!$D$2:$D$106,Q$2,'Additions (monthly)'!$B$2:$B$106,"&lt;="&amp;$B175)</f>
        <v>8.5</v>
      </c>
      <c r="R175" s="43" t="n">
        <f aca="false">SUMIFS('Additions (monthly)'!$E$2:$E$106,'Additions (monthly)'!$D$2:$D$106,R$2,'Additions (monthly)'!$B$2:$B$106,"&lt;="&amp;$B175)</f>
        <v>8.9</v>
      </c>
      <c r="S175" s="43" t="n">
        <f aca="false">SUMIFS('Additions (monthly)'!$E$2:$E$106,'Additions (monthly)'!$D$2:$D$106,S$2,'Additions (monthly)'!$B$2:$B$106,"&lt;="&amp;$B175)</f>
        <v>7.2</v>
      </c>
      <c r="T175" s="43" t="n">
        <f aca="false">SUMIFS('Additions (monthly)'!$E$2:$E$106,'Additions (monthly)'!$D$2:$D$106,T$2,'Additions (monthly)'!$B$2:$B$106,"&lt;="&amp;$B175)</f>
        <v>2.4</v>
      </c>
      <c r="U175" s="43" t="n">
        <f aca="false">SUMIFS('Additions (monthly)'!$E$2:$E$106,'Additions (monthly)'!$D$2:$D$106,U$2,'Additions (monthly)'!$B$2:$B$106,"&lt;="&amp;$B175)</f>
        <v>0</v>
      </c>
      <c r="V175" s="43" t="n">
        <f aca="false">SUMIFS('Additions (monthly)'!$E$2:$E$106,'Additions (monthly)'!$D$2:$D$106,V$2,'Additions (monthly)'!$B$2:$B$106,"&lt;="&amp;$B175)</f>
        <v>3.87</v>
      </c>
      <c r="W175" s="43" t="n">
        <f aca="false">SUMIFS('Additions (monthly)'!$E$2:$E$106,'Additions (monthly)'!$D$2:$D$106,W$2,'Additions (monthly)'!$B$2:$B$106,"&lt;="&amp;$B175)</f>
        <v>0.6</v>
      </c>
      <c r="X175" s="43" t="n">
        <f aca="false">SUMIFS('Additions (monthly)'!$E$2:$E$106,'Additions (monthly)'!$D$2:$D$106,X$2,'Additions (monthly)'!$B$2:$B$106,"&lt;="&amp;$B175)</f>
        <v>0</v>
      </c>
      <c r="Y175" s="43" t="n">
        <f aca="false">SUMIFS('Additions (monthly)'!$E$2:$E$106,'Additions (monthly)'!$D$2:$D$106,Y$2,'Additions (monthly)'!$B$2:$B$106,"&lt;="&amp;$B175)</f>
        <v>5</v>
      </c>
      <c r="Z175" s="43" t="n">
        <f aca="false">SUMIFS('Additions (monthly)'!$E$2:$E$106,'Additions (monthly)'!$D$2:$D$106,Z$2,'Additions (monthly)'!$B$2:$B$106,"&lt;="&amp;$B175)</f>
        <v>7.2</v>
      </c>
      <c r="AA175" s="43" t="n">
        <f aca="false">SUMIFS('Additions (monthly)'!$E$2:$E$106,'Additions (monthly)'!$D$2:$D$106,AA$2,'Additions (monthly)'!$B$2:$B$106,"&lt;="&amp;$B175)</f>
        <v>3.7</v>
      </c>
      <c r="AB175" s="43" t="n">
        <f aca="false">SUMIFS('Additions (monthly)'!$E$2:$E$106,'Additions (monthly)'!$D$2:$D$106,AB$2,'Additions (monthly)'!$B$2:$B$106,"&lt;="&amp;$B175)</f>
        <v>16.95</v>
      </c>
      <c r="AC175" s="43" t="n">
        <f aca="false">SUMIFS('Additions (monthly)'!$E$2:$E$106,'Additions (monthly)'!$D$2:$D$106,AC$2,'Additions (monthly)'!$B$2:$B$106,"&lt;="&amp;$B175)</f>
        <v>2</v>
      </c>
      <c r="AD175" s="43" t="n">
        <f aca="false">SUMIFS('Additions (monthly)'!$E$2:$E$106,'Additions (monthly)'!$D$2:$D$106,AD$2,'Additions (monthly)'!$B$2:$B$106,"&lt;="&amp;$B175)</f>
        <v>11.4</v>
      </c>
      <c r="AE175" s="43" t="n">
        <f aca="false">SUMIFS('Additions (monthly)'!$E$2:$E$106,'Additions (monthly)'!$D$2:$D$106,AE$2,'Additions (monthly)'!$B$2:$B$106,"&lt;="&amp;$B175)</f>
        <v>29.3</v>
      </c>
      <c r="AF175" s="43" t="n">
        <f aca="false">SUMIFS('Additions (monthly)'!$E$2:$E$106,'Additions (monthly)'!$D$2:$D$106,AF$2,'Additions (monthly)'!$B$2:$B$106,"&lt;="&amp;$B175)</f>
        <v>1.2</v>
      </c>
      <c r="AG175" s="43" t="n">
        <f aca="false">SUMIFS('Additions (monthly)'!$E$2:$E$106,'Additions (monthly)'!$D$2:$D$106,AG$2,'Additions (monthly)'!$B$2:$B$106,"&lt;="&amp;$B175)</f>
        <v>1.5</v>
      </c>
      <c r="AH175" s="43" t="n">
        <f aca="false">SUMIFS('Additions (monthly)'!$E$2:$E$106,'Additions (monthly)'!$D$2:$D$106,AH$2,'Additions (monthly)'!$B$2:$B$106,"&lt;="&amp;$B175)</f>
        <v>0</v>
      </c>
      <c r="AI175" s="43" t="n">
        <f aca="false">SUMIFS('Additions (monthly)'!$E$2:$E$106,'Additions (monthly)'!$D$2:$D$106,AI$2,'Additions (monthly)'!$B$2:$B$106,"&lt;="&amp;$B175)</f>
        <v>0</v>
      </c>
      <c r="AJ175" s="43" t="n">
        <f aca="false">SUMIFS('Additions (monthly)'!$E$2:$E$106,'Additions (monthly)'!$D$2:$D$106,AJ$2,'Additions (monthly)'!$B$2:$B$106,"&lt;="&amp;$B175)</f>
        <v>0</v>
      </c>
      <c r="AK175" s="43" t="n">
        <f aca="false">SUMIFS('Additions (monthly)'!$E$2:$E$106,'Additions (monthly)'!$D$2:$D$106,AK$2,'Additions (monthly)'!$B$2:$B$106,"&lt;="&amp;$B175)</f>
        <v>3.4</v>
      </c>
      <c r="AL175" s="43" t="n">
        <f aca="false">SUMIFS('Additions (monthly)'!$E$2:$E$106,'Additions (monthly)'!$D$2:$D$106,AL$2,'Additions (monthly)'!$B$2:$B$106,"&lt;="&amp;$B175)</f>
        <v>22.2</v>
      </c>
      <c r="AM175" s="43" t="n">
        <f aca="false">SUMIFS('Additions (monthly)'!$E$2:$E$106,'Additions (monthly)'!$D$2:$D$106,AM$2,'Additions (monthly)'!$B$2:$B$106,"&lt;="&amp;$B175)</f>
        <v>0.3</v>
      </c>
      <c r="AN175" s="43" t="n">
        <f aca="false">SUMIFS('Additions (monthly)'!$E$2:$E$106,'Additions (monthly)'!$D$2:$D$106,AN$2,'Additions (monthly)'!$B$2:$B$106,"&lt;="&amp;$B175)</f>
        <v>4.3</v>
      </c>
      <c r="AO175" s="43" t="n">
        <f aca="false">SUMIFS('Additions (monthly)'!$E$2:$E$106,'Additions (monthly)'!$D$2:$D$106,AO$2,'Additions (monthly)'!$B$2:$B$106,"&lt;="&amp;$B175)</f>
        <v>10.4</v>
      </c>
      <c r="AP175" s="43" t="n">
        <f aca="false">SUMIFS('Additions (monthly)'!$E$2:$E$106,'Additions (monthly)'!$D$2:$D$106,AP$2,'Additions (monthly)'!$B$2:$B$106,"&lt;="&amp;$B175)</f>
        <v>6.9</v>
      </c>
      <c r="AQ175" s="43" t="n">
        <f aca="false">SUMIFS('Additions (monthly)'!$E$2:$E$106,'Additions (monthly)'!$D$2:$D$106,AQ$2,'Additions (monthly)'!$B$2:$B$106,"&lt;="&amp;$B175)</f>
        <v>4.45</v>
      </c>
      <c r="AR175" s="43" t="n">
        <f aca="false">SUMIFS('Additions (monthly)'!$E$2:$E$106,'Additions (monthly)'!$D$2:$D$106,AR$2,'Additions (monthly)'!$B$2:$B$106,"&lt;="&amp;$B175)</f>
        <v>77.1</v>
      </c>
      <c r="AS175" s="43" t="n">
        <f aca="false">SUMIFS('Additions (monthly)'!$E$2:$E$106,'Additions (monthly)'!$D$2:$D$106,AS$2,'Additions (monthly)'!$B$2:$B$106,"&lt;="&amp;$B175)</f>
        <v>6.6</v>
      </c>
      <c r="AT175" s="43" t="n">
        <f aca="false">SUMIFS('Additions (monthly)'!$E$2:$E$106,'Additions (monthly)'!$D$2:$D$106,AT$2,'Additions (monthly)'!$B$2:$B$106,"&lt;="&amp;$B175)</f>
        <v>1.5</v>
      </c>
      <c r="AU175" s="43" t="n">
        <f aca="false">SUMIFS('Additions (monthly)'!$E$2:$E$106,'Additions (monthly)'!$D$2:$D$106,AU$2,'Additions (monthly)'!$B$2:$B$106,"&lt;="&amp;$B175)</f>
        <v>9.6</v>
      </c>
      <c r="AV175" s="43" t="n">
        <f aca="false">SUMIFS('Additions (monthly)'!$E$2:$E$106,'Additions (monthly)'!$D$2:$D$106,AV$2,'Additions (monthly)'!$B$2:$B$106,"&lt;="&amp;$B175)</f>
        <v>0.66</v>
      </c>
      <c r="AW175" s="43" t="n">
        <f aca="false">SUMIFS('Additions (monthly)'!$E$2:$E$106,'Additions (monthly)'!$D$2:$D$106,AW$2,'Additions (monthly)'!$B$2:$B$106,"&lt;="&amp;$B175)</f>
        <v>17.4</v>
      </c>
      <c r="AX175" s="43" t="n">
        <f aca="false">SUMIFS('Additions (monthly)'!$E$2:$E$106,'Additions (monthly)'!$D$2:$D$106,AX$2,'Additions (monthly)'!$B$2:$B$106,"&lt;="&amp;$B175)</f>
        <v>11.8</v>
      </c>
      <c r="AY175" s="43" t="n">
        <f aca="false">SUMIFS('Additions (monthly)'!$E$2:$E$106,'Additions (monthly)'!$D$2:$D$106,AY$2,'Additions (monthly)'!$B$2:$B$106,"&lt;="&amp;$B175)</f>
        <v>5.3</v>
      </c>
      <c r="AZ175" s="43" t="n">
        <f aca="false">SUMIFS('Additions (monthly)'!$E$2:$E$106,'Additions (monthly)'!$D$2:$D$106,AZ$2,'Additions (monthly)'!$B$2:$B$106,"&lt;="&amp;$B175)</f>
        <v>9.97</v>
      </c>
      <c r="BA175" s="43" t="n">
        <f aca="false">SUMIFS('Additions (monthly)'!$E$2:$E$106,'Additions (monthly)'!$D$2:$D$106,BA$2,'Additions (monthly)'!$B$2:$B$106,"&lt;="&amp;$B175)</f>
        <v>13.5</v>
      </c>
      <c r="BB175" s="43" t="n">
        <f aca="false">SUMIFS('Additions (monthly)'!$E$2:$E$106,'Additions (monthly)'!$D$2:$D$106,BB$2,'Additions (monthly)'!$B$2:$B$106,"&lt;="&amp;$B175)</f>
        <v>15</v>
      </c>
      <c r="BC175" s="43" t="n">
        <f aca="false">SUMIFS('Additions (monthly)'!$E$2:$E$106,'Additions (monthly)'!$D$2:$D$106,BC$2,'Additions (monthly)'!$B$2:$B$106,"&lt;="&amp;$B175)</f>
        <v>5.25</v>
      </c>
      <c r="BD175" s="43" t="n">
        <f aca="false">SUMIFS('Additions (monthly)'!$E$2:$E$106,'Additions (monthly)'!$D$2:$D$106,BD$2,'Additions (monthly)'!$B$2:$B$106,"&lt;="&amp;$B175)</f>
        <v>2.5</v>
      </c>
      <c r="BE175" s="43" t="n">
        <f aca="false">SUMIFS('Additions (monthly)'!$E$2:$E$106,'Additions (monthly)'!$D$2:$D$106,BE$2,'Additions (monthly)'!$B$2:$B$106,"&lt;="&amp;$B175)</f>
        <v>15.3</v>
      </c>
      <c r="BF175" s="43" t="n">
        <f aca="false">SUMIFS('Additions (monthly)'!$E$2:$E$106,'Additions (monthly)'!$D$2:$D$106,BF$2,'Additions (monthly)'!$B$2:$B$106,"&lt;="&amp;$B175)</f>
        <v>0</v>
      </c>
      <c r="BG175" s="43" t="n">
        <f aca="false">SUMIFS('Additions (monthly)'!$E$2:$E$106,'Additions (monthly)'!$D$2:$D$106,BG$2,'Additions (monthly)'!$B$2:$B$106,"&lt;="&amp;$B175)</f>
        <v>0</v>
      </c>
      <c r="BH175" s="43" t="n">
        <f aca="false">SUMIFS('Additions (monthly)'!$E$2:$E$106,'Additions (monthly)'!$D$2:$D$106,BH$2,'Additions (monthly)'!$B$2:$B$106,"&lt;="&amp;$B175)</f>
        <v>30</v>
      </c>
      <c r="BI175" s="43" t="n">
        <f aca="false">SUMIFS('Additions (monthly)'!$E$2:$E$106,'Additions (monthly)'!$D$2:$D$106,BI$2,'Additions (monthly)'!$B$2:$B$106,"&lt;="&amp;$B175)</f>
        <v>6.7</v>
      </c>
    </row>
    <row r="176" customFormat="false" ht="15" hidden="false" customHeight="false" outlineLevel="0" collapsed="false">
      <c r="A176" s="23" t="n">
        <v>45444</v>
      </c>
      <c r="B176" s="24" t="n">
        <v>202406</v>
      </c>
      <c r="C176" s="42" t="n">
        <f aca="false">SUMIFS('Additions (monthly)'!$E$2:$E$106,'Additions (monthly)'!$B$2:$B$106,"&lt;="&amp;$B176)</f>
        <v>488.25</v>
      </c>
      <c r="D176" s="43" t="n">
        <f aca="false">SUMIFS('Additions (monthly)'!$E$2:$E$106,'Additions (monthly)'!$D$2:$D$106,D$2,'Additions (monthly)'!$B$2:$B$106,"&lt;="&amp;$B176)</f>
        <v>7.9</v>
      </c>
      <c r="E176" s="43" t="n">
        <f aca="false">SUMIFS('Additions (monthly)'!$E$2:$E$106,'Additions (monthly)'!$D$2:$D$106,E$2,'Additions (monthly)'!$B$2:$B$106,"&lt;="&amp;$B176)</f>
        <v>8.4</v>
      </c>
      <c r="F176" s="43" t="n">
        <f aca="false">SUMIFS('Additions (monthly)'!$E$2:$E$106,'Additions (monthly)'!$D$2:$D$106,F$2,'Additions (monthly)'!$B$2:$B$106,"&lt;="&amp;$B176)</f>
        <v>4.7</v>
      </c>
      <c r="G176" s="43" t="n">
        <f aca="false">SUMIFS('Additions (monthly)'!$E$2:$E$106,'Additions (monthly)'!$D$2:$D$106,G$2,'Additions (monthly)'!$B$2:$B$106,"&lt;="&amp;$B176)</f>
        <v>4.5</v>
      </c>
      <c r="H176" s="43" t="n">
        <f aca="false">SUMIFS('Additions (monthly)'!$E$2:$E$106,'Additions (monthly)'!$D$2:$D$106,H$2,'Additions (monthly)'!$B$2:$B$106,"&lt;="&amp;$B176)</f>
        <v>5.2</v>
      </c>
      <c r="I176" s="43" t="n">
        <f aca="false">SUMIFS('Additions (monthly)'!$E$2:$E$106,'Additions (monthly)'!$D$2:$D$106,I$2,'Additions (monthly)'!$B$2:$B$106,"&lt;="&amp;$B176)</f>
        <v>9</v>
      </c>
      <c r="J176" s="43" t="n">
        <f aca="false">SUMIFS('Additions (monthly)'!$E$2:$E$106,'Additions (monthly)'!$D$2:$D$106,J$2,'Additions (monthly)'!$B$2:$B$106,"&lt;="&amp;$B176)</f>
        <v>3.7</v>
      </c>
      <c r="K176" s="43" t="n">
        <f aca="false">SUMIFS('Additions (monthly)'!$E$2:$E$106,'Additions (monthly)'!$D$2:$D$106,K$2,'Additions (monthly)'!$B$2:$B$106,"&lt;="&amp;$B176)</f>
        <v>7.8</v>
      </c>
      <c r="L176" s="43" t="n">
        <f aca="false">SUMIFS('Additions (monthly)'!$E$2:$E$106,'Additions (monthly)'!$D$2:$D$106,L$2,'Additions (monthly)'!$B$2:$B$106,"&lt;="&amp;$B176)</f>
        <v>15.6</v>
      </c>
      <c r="M176" s="43" t="n">
        <f aca="false">SUMIFS('Additions (monthly)'!$E$2:$E$106,'Additions (monthly)'!$D$2:$D$106,M$2,'Additions (monthly)'!$B$2:$B$106,"&lt;="&amp;$B176)</f>
        <v>8.9</v>
      </c>
      <c r="N176" s="43" t="n">
        <f aca="false">SUMIFS('Additions (monthly)'!$E$2:$E$106,'Additions (monthly)'!$D$2:$D$106,N$2,'Additions (monthly)'!$B$2:$B$106,"&lt;="&amp;$B176)</f>
        <v>14.2</v>
      </c>
      <c r="O176" s="43" t="n">
        <f aca="false">SUMIFS('Additions (monthly)'!$E$2:$E$106,'Additions (monthly)'!$D$2:$D$106,O$2,'Additions (monthly)'!$B$2:$B$106,"&lt;="&amp;$B176)</f>
        <v>4.9</v>
      </c>
      <c r="P176" s="43" t="n">
        <f aca="false">SUMIFS('Additions (monthly)'!$E$2:$E$106,'Additions (monthly)'!$D$2:$D$106,P$2,'Additions (monthly)'!$B$2:$B$106,"&lt;="&amp;$B176)</f>
        <v>3.6</v>
      </c>
      <c r="Q176" s="43" t="n">
        <f aca="false">SUMIFS('Additions (monthly)'!$E$2:$E$106,'Additions (monthly)'!$D$2:$D$106,Q$2,'Additions (monthly)'!$B$2:$B$106,"&lt;="&amp;$B176)</f>
        <v>8.5</v>
      </c>
      <c r="R176" s="43" t="n">
        <f aca="false">SUMIFS('Additions (monthly)'!$E$2:$E$106,'Additions (monthly)'!$D$2:$D$106,R$2,'Additions (monthly)'!$B$2:$B$106,"&lt;="&amp;$B176)</f>
        <v>8.9</v>
      </c>
      <c r="S176" s="43" t="n">
        <f aca="false">SUMIFS('Additions (monthly)'!$E$2:$E$106,'Additions (monthly)'!$D$2:$D$106,S$2,'Additions (monthly)'!$B$2:$B$106,"&lt;="&amp;$B176)</f>
        <v>7.2</v>
      </c>
      <c r="T176" s="43" t="n">
        <f aca="false">SUMIFS('Additions (monthly)'!$E$2:$E$106,'Additions (monthly)'!$D$2:$D$106,T$2,'Additions (monthly)'!$B$2:$B$106,"&lt;="&amp;$B176)</f>
        <v>2.4</v>
      </c>
      <c r="U176" s="43" t="n">
        <f aca="false">SUMIFS('Additions (monthly)'!$E$2:$E$106,'Additions (monthly)'!$D$2:$D$106,U$2,'Additions (monthly)'!$B$2:$B$106,"&lt;="&amp;$B176)</f>
        <v>0</v>
      </c>
      <c r="V176" s="43" t="n">
        <f aca="false">SUMIFS('Additions (monthly)'!$E$2:$E$106,'Additions (monthly)'!$D$2:$D$106,V$2,'Additions (monthly)'!$B$2:$B$106,"&lt;="&amp;$B176)</f>
        <v>3.87</v>
      </c>
      <c r="W176" s="43" t="n">
        <f aca="false">SUMIFS('Additions (monthly)'!$E$2:$E$106,'Additions (monthly)'!$D$2:$D$106,W$2,'Additions (monthly)'!$B$2:$B$106,"&lt;="&amp;$B176)</f>
        <v>0.6</v>
      </c>
      <c r="X176" s="43" t="n">
        <f aca="false">SUMIFS('Additions (monthly)'!$E$2:$E$106,'Additions (monthly)'!$D$2:$D$106,X$2,'Additions (monthly)'!$B$2:$B$106,"&lt;="&amp;$B176)</f>
        <v>0</v>
      </c>
      <c r="Y176" s="43" t="n">
        <f aca="false">SUMIFS('Additions (monthly)'!$E$2:$E$106,'Additions (monthly)'!$D$2:$D$106,Y$2,'Additions (monthly)'!$B$2:$B$106,"&lt;="&amp;$B176)</f>
        <v>5</v>
      </c>
      <c r="Z176" s="43" t="n">
        <f aca="false">SUMIFS('Additions (monthly)'!$E$2:$E$106,'Additions (monthly)'!$D$2:$D$106,Z$2,'Additions (monthly)'!$B$2:$B$106,"&lt;="&amp;$B176)</f>
        <v>7.2</v>
      </c>
      <c r="AA176" s="43" t="n">
        <f aca="false">SUMIFS('Additions (monthly)'!$E$2:$E$106,'Additions (monthly)'!$D$2:$D$106,AA$2,'Additions (monthly)'!$B$2:$B$106,"&lt;="&amp;$B176)</f>
        <v>3.7</v>
      </c>
      <c r="AB176" s="43" t="n">
        <f aca="false">SUMIFS('Additions (monthly)'!$E$2:$E$106,'Additions (monthly)'!$D$2:$D$106,AB$2,'Additions (monthly)'!$B$2:$B$106,"&lt;="&amp;$B176)</f>
        <v>16.95</v>
      </c>
      <c r="AC176" s="43" t="n">
        <f aca="false">SUMIFS('Additions (monthly)'!$E$2:$E$106,'Additions (monthly)'!$D$2:$D$106,AC$2,'Additions (monthly)'!$B$2:$B$106,"&lt;="&amp;$B176)</f>
        <v>2</v>
      </c>
      <c r="AD176" s="43" t="n">
        <f aca="false">SUMIFS('Additions (monthly)'!$E$2:$E$106,'Additions (monthly)'!$D$2:$D$106,AD$2,'Additions (monthly)'!$B$2:$B$106,"&lt;="&amp;$B176)</f>
        <v>11.4</v>
      </c>
      <c r="AE176" s="43" t="n">
        <f aca="false">SUMIFS('Additions (monthly)'!$E$2:$E$106,'Additions (monthly)'!$D$2:$D$106,AE$2,'Additions (monthly)'!$B$2:$B$106,"&lt;="&amp;$B176)</f>
        <v>29.3</v>
      </c>
      <c r="AF176" s="43" t="n">
        <f aca="false">SUMIFS('Additions (monthly)'!$E$2:$E$106,'Additions (monthly)'!$D$2:$D$106,AF$2,'Additions (monthly)'!$B$2:$B$106,"&lt;="&amp;$B176)</f>
        <v>1.2</v>
      </c>
      <c r="AG176" s="43" t="n">
        <f aca="false">SUMIFS('Additions (monthly)'!$E$2:$E$106,'Additions (monthly)'!$D$2:$D$106,AG$2,'Additions (monthly)'!$B$2:$B$106,"&lt;="&amp;$B176)</f>
        <v>1.5</v>
      </c>
      <c r="AH176" s="43" t="n">
        <f aca="false">SUMIFS('Additions (monthly)'!$E$2:$E$106,'Additions (monthly)'!$D$2:$D$106,AH$2,'Additions (monthly)'!$B$2:$B$106,"&lt;="&amp;$B176)</f>
        <v>0</v>
      </c>
      <c r="AI176" s="43" t="n">
        <f aca="false">SUMIFS('Additions (monthly)'!$E$2:$E$106,'Additions (monthly)'!$D$2:$D$106,AI$2,'Additions (monthly)'!$B$2:$B$106,"&lt;="&amp;$B176)</f>
        <v>0</v>
      </c>
      <c r="AJ176" s="43" t="n">
        <f aca="false">SUMIFS('Additions (monthly)'!$E$2:$E$106,'Additions (monthly)'!$D$2:$D$106,AJ$2,'Additions (monthly)'!$B$2:$B$106,"&lt;="&amp;$B176)</f>
        <v>0</v>
      </c>
      <c r="AK176" s="43" t="n">
        <f aca="false">SUMIFS('Additions (monthly)'!$E$2:$E$106,'Additions (monthly)'!$D$2:$D$106,AK$2,'Additions (monthly)'!$B$2:$B$106,"&lt;="&amp;$B176)</f>
        <v>3.4</v>
      </c>
      <c r="AL176" s="43" t="n">
        <f aca="false">SUMIFS('Additions (monthly)'!$E$2:$E$106,'Additions (monthly)'!$D$2:$D$106,AL$2,'Additions (monthly)'!$B$2:$B$106,"&lt;="&amp;$B176)</f>
        <v>22.2</v>
      </c>
      <c r="AM176" s="43" t="n">
        <f aca="false">SUMIFS('Additions (monthly)'!$E$2:$E$106,'Additions (monthly)'!$D$2:$D$106,AM$2,'Additions (monthly)'!$B$2:$B$106,"&lt;="&amp;$B176)</f>
        <v>0.3</v>
      </c>
      <c r="AN176" s="43" t="n">
        <f aca="false">SUMIFS('Additions (monthly)'!$E$2:$E$106,'Additions (monthly)'!$D$2:$D$106,AN$2,'Additions (monthly)'!$B$2:$B$106,"&lt;="&amp;$B176)</f>
        <v>4.3</v>
      </c>
      <c r="AO176" s="43" t="n">
        <f aca="false">SUMIFS('Additions (monthly)'!$E$2:$E$106,'Additions (monthly)'!$D$2:$D$106,AO$2,'Additions (monthly)'!$B$2:$B$106,"&lt;="&amp;$B176)</f>
        <v>10.4</v>
      </c>
      <c r="AP176" s="43" t="n">
        <f aca="false">SUMIFS('Additions (monthly)'!$E$2:$E$106,'Additions (monthly)'!$D$2:$D$106,AP$2,'Additions (monthly)'!$B$2:$B$106,"&lt;="&amp;$B176)</f>
        <v>6.9</v>
      </c>
      <c r="AQ176" s="43" t="n">
        <f aca="false">SUMIFS('Additions (monthly)'!$E$2:$E$106,'Additions (monthly)'!$D$2:$D$106,AQ$2,'Additions (monthly)'!$B$2:$B$106,"&lt;="&amp;$B176)</f>
        <v>4.45</v>
      </c>
      <c r="AR176" s="43" t="n">
        <f aca="false">SUMIFS('Additions (monthly)'!$E$2:$E$106,'Additions (monthly)'!$D$2:$D$106,AR$2,'Additions (monthly)'!$B$2:$B$106,"&lt;="&amp;$B176)</f>
        <v>77.1</v>
      </c>
      <c r="AS176" s="43" t="n">
        <f aca="false">SUMIFS('Additions (monthly)'!$E$2:$E$106,'Additions (monthly)'!$D$2:$D$106,AS$2,'Additions (monthly)'!$B$2:$B$106,"&lt;="&amp;$B176)</f>
        <v>6.6</v>
      </c>
      <c r="AT176" s="43" t="n">
        <f aca="false">SUMIFS('Additions (monthly)'!$E$2:$E$106,'Additions (monthly)'!$D$2:$D$106,AT$2,'Additions (monthly)'!$B$2:$B$106,"&lt;="&amp;$B176)</f>
        <v>1.5</v>
      </c>
      <c r="AU176" s="43" t="n">
        <f aca="false">SUMIFS('Additions (monthly)'!$E$2:$E$106,'Additions (monthly)'!$D$2:$D$106,AU$2,'Additions (monthly)'!$B$2:$B$106,"&lt;="&amp;$B176)</f>
        <v>9.6</v>
      </c>
      <c r="AV176" s="43" t="n">
        <f aca="false">SUMIFS('Additions (monthly)'!$E$2:$E$106,'Additions (monthly)'!$D$2:$D$106,AV$2,'Additions (monthly)'!$B$2:$B$106,"&lt;="&amp;$B176)</f>
        <v>0.66</v>
      </c>
      <c r="AW176" s="43" t="n">
        <f aca="false">SUMIFS('Additions (monthly)'!$E$2:$E$106,'Additions (monthly)'!$D$2:$D$106,AW$2,'Additions (monthly)'!$B$2:$B$106,"&lt;="&amp;$B176)</f>
        <v>17.4</v>
      </c>
      <c r="AX176" s="43" t="n">
        <f aca="false">SUMIFS('Additions (monthly)'!$E$2:$E$106,'Additions (monthly)'!$D$2:$D$106,AX$2,'Additions (monthly)'!$B$2:$B$106,"&lt;="&amp;$B176)</f>
        <v>11.8</v>
      </c>
      <c r="AY176" s="43" t="n">
        <f aca="false">SUMIFS('Additions (monthly)'!$E$2:$E$106,'Additions (monthly)'!$D$2:$D$106,AY$2,'Additions (monthly)'!$B$2:$B$106,"&lt;="&amp;$B176)</f>
        <v>5.3</v>
      </c>
      <c r="AZ176" s="43" t="n">
        <f aca="false">SUMIFS('Additions (monthly)'!$E$2:$E$106,'Additions (monthly)'!$D$2:$D$106,AZ$2,'Additions (monthly)'!$B$2:$B$106,"&lt;="&amp;$B176)</f>
        <v>9.97</v>
      </c>
      <c r="BA176" s="43" t="n">
        <f aca="false">SUMIFS('Additions (monthly)'!$E$2:$E$106,'Additions (monthly)'!$D$2:$D$106,BA$2,'Additions (monthly)'!$B$2:$B$106,"&lt;="&amp;$B176)</f>
        <v>13.5</v>
      </c>
      <c r="BB176" s="43" t="n">
        <f aca="false">SUMIFS('Additions (monthly)'!$E$2:$E$106,'Additions (monthly)'!$D$2:$D$106,BB$2,'Additions (monthly)'!$B$2:$B$106,"&lt;="&amp;$B176)</f>
        <v>15</v>
      </c>
      <c r="BC176" s="43" t="n">
        <f aca="false">SUMIFS('Additions (monthly)'!$E$2:$E$106,'Additions (monthly)'!$D$2:$D$106,BC$2,'Additions (monthly)'!$B$2:$B$106,"&lt;="&amp;$B176)</f>
        <v>5.25</v>
      </c>
      <c r="BD176" s="43" t="n">
        <f aca="false">SUMIFS('Additions (monthly)'!$E$2:$E$106,'Additions (monthly)'!$D$2:$D$106,BD$2,'Additions (monthly)'!$B$2:$B$106,"&lt;="&amp;$B176)</f>
        <v>2.5</v>
      </c>
      <c r="BE176" s="43" t="n">
        <f aca="false">SUMIFS('Additions (monthly)'!$E$2:$E$106,'Additions (monthly)'!$D$2:$D$106,BE$2,'Additions (monthly)'!$B$2:$B$106,"&lt;="&amp;$B176)</f>
        <v>15.3</v>
      </c>
      <c r="BF176" s="43" t="n">
        <f aca="false">SUMIFS('Additions (monthly)'!$E$2:$E$106,'Additions (monthly)'!$D$2:$D$106,BF$2,'Additions (monthly)'!$B$2:$B$106,"&lt;="&amp;$B176)</f>
        <v>0</v>
      </c>
      <c r="BG176" s="43" t="n">
        <f aca="false">SUMIFS('Additions (monthly)'!$E$2:$E$106,'Additions (monthly)'!$D$2:$D$106,BG$2,'Additions (monthly)'!$B$2:$B$106,"&lt;="&amp;$B176)</f>
        <v>0</v>
      </c>
      <c r="BH176" s="43" t="n">
        <f aca="false">SUMIFS('Additions (monthly)'!$E$2:$E$106,'Additions (monthly)'!$D$2:$D$106,BH$2,'Additions (monthly)'!$B$2:$B$106,"&lt;="&amp;$B176)</f>
        <v>30</v>
      </c>
      <c r="BI176" s="43" t="n">
        <f aca="false">SUMIFS('Additions (monthly)'!$E$2:$E$106,'Additions (monthly)'!$D$2:$D$106,BI$2,'Additions (monthly)'!$B$2:$B$106,"&lt;="&amp;$B176)</f>
        <v>6.7</v>
      </c>
    </row>
    <row r="177" customFormat="false" ht="15" hidden="false" customHeight="false" outlineLevel="0" collapsed="false">
      <c r="A177" s="23" t="n">
        <v>45474</v>
      </c>
      <c r="B177" s="24" t="n">
        <v>202407</v>
      </c>
      <c r="C177" s="42" t="n">
        <f aca="false">SUMIFS('Additions (monthly)'!$E$2:$E$106,'Additions (monthly)'!$B$2:$B$106,"&lt;="&amp;$B177)</f>
        <v>489.65</v>
      </c>
      <c r="D177" s="43" t="n">
        <f aca="false">SUMIFS('Additions (monthly)'!$E$2:$E$106,'Additions (monthly)'!$D$2:$D$106,D$2,'Additions (monthly)'!$B$2:$B$106,"&lt;="&amp;$B177)</f>
        <v>7.9</v>
      </c>
      <c r="E177" s="43" t="n">
        <f aca="false">SUMIFS('Additions (monthly)'!$E$2:$E$106,'Additions (monthly)'!$D$2:$D$106,E$2,'Additions (monthly)'!$B$2:$B$106,"&lt;="&amp;$B177)</f>
        <v>8.4</v>
      </c>
      <c r="F177" s="43" t="n">
        <f aca="false">SUMIFS('Additions (monthly)'!$E$2:$E$106,'Additions (monthly)'!$D$2:$D$106,F$2,'Additions (monthly)'!$B$2:$B$106,"&lt;="&amp;$B177)</f>
        <v>4.7</v>
      </c>
      <c r="G177" s="43" t="n">
        <f aca="false">SUMIFS('Additions (monthly)'!$E$2:$E$106,'Additions (monthly)'!$D$2:$D$106,G$2,'Additions (monthly)'!$B$2:$B$106,"&lt;="&amp;$B177)</f>
        <v>4.5</v>
      </c>
      <c r="H177" s="43" t="n">
        <f aca="false">SUMIFS('Additions (monthly)'!$E$2:$E$106,'Additions (monthly)'!$D$2:$D$106,H$2,'Additions (monthly)'!$B$2:$B$106,"&lt;="&amp;$B177)</f>
        <v>5.2</v>
      </c>
      <c r="I177" s="43" t="n">
        <f aca="false">SUMIFS('Additions (monthly)'!$E$2:$E$106,'Additions (monthly)'!$D$2:$D$106,I$2,'Additions (monthly)'!$B$2:$B$106,"&lt;="&amp;$B177)</f>
        <v>9</v>
      </c>
      <c r="J177" s="43" t="n">
        <f aca="false">SUMIFS('Additions (monthly)'!$E$2:$E$106,'Additions (monthly)'!$D$2:$D$106,J$2,'Additions (monthly)'!$B$2:$B$106,"&lt;="&amp;$B177)</f>
        <v>3.7</v>
      </c>
      <c r="K177" s="43" t="n">
        <f aca="false">SUMIFS('Additions (monthly)'!$E$2:$E$106,'Additions (monthly)'!$D$2:$D$106,K$2,'Additions (monthly)'!$B$2:$B$106,"&lt;="&amp;$B177)</f>
        <v>7.8</v>
      </c>
      <c r="L177" s="43" t="n">
        <f aca="false">SUMIFS('Additions (monthly)'!$E$2:$E$106,'Additions (monthly)'!$D$2:$D$106,L$2,'Additions (monthly)'!$B$2:$B$106,"&lt;="&amp;$B177)</f>
        <v>15.6</v>
      </c>
      <c r="M177" s="43" t="n">
        <f aca="false">SUMIFS('Additions (monthly)'!$E$2:$E$106,'Additions (monthly)'!$D$2:$D$106,M$2,'Additions (monthly)'!$B$2:$B$106,"&lt;="&amp;$B177)</f>
        <v>8.9</v>
      </c>
      <c r="N177" s="43" t="n">
        <f aca="false">SUMIFS('Additions (monthly)'!$E$2:$E$106,'Additions (monthly)'!$D$2:$D$106,N$2,'Additions (monthly)'!$B$2:$B$106,"&lt;="&amp;$B177)</f>
        <v>14.2</v>
      </c>
      <c r="O177" s="43" t="n">
        <f aca="false">SUMIFS('Additions (monthly)'!$E$2:$E$106,'Additions (monthly)'!$D$2:$D$106,O$2,'Additions (monthly)'!$B$2:$B$106,"&lt;="&amp;$B177)</f>
        <v>4.9</v>
      </c>
      <c r="P177" s="43" t="n">
        <f aca="false">SUMIFS('Additions (monthly)'!$E$2:$E$106,'Additions (monthly)'!$D$2:$D$106,P$2,'Additions (monthly)'!$B$2:$B$106,"&lt;="&amp;$B177)</f>
        <v>3.6</v>
      </c>
      <c r="Q177" s="43" t="n">
        <f aca="false">SUMIFS('Additions (monthly)'!$E$2:$E$106,'Additions (monthly)'!$D$2:$D$106,Q$2,'Additions (monthly)'!$B$2:$B$106,"&lt;="&amp;$B177)</f>
        <v>8.5</v>
      </c>
      <c r="R177" s="43" t="n">
        <f aca="false">SUMIFS('Additions (monthly)'!$E$2:$E$106,'Additions (monthly)'!$D$2:$D$106,R$2,'Additions (monthly)'!$B$2:$B$106,"&lt;="&amp;$B177)</f>
        <v>8.9</v>
      </c>
      <c r="S177" s="43" t="n">
        <f aca="false">SUMIFS('Additions (monthly)'!$E$2:$E$106,'Additions (monthly)'!$D$2:$D$106,S$2,'Additions (monthly)'!$B$2:$B$106,"&lt;="&amp;$B177)</f>
        <v>7.2</v>
      </c>
      <c r="T177" s="43" t="n">
        <f aca="false">SUMIFS('Additions (monthly)'!$E$2:$E$106,'Additions (monthly)'!$D$2:$D$106,T$2,'Additions (monthly)'!$B$2:$B$106,"&lt;="&amp;$B177)</f>
        <v>2.4</v>
      </c>
      <c r="U177" s="43" t="n">
        <f aca="false">SUMIFS('Additions (monthly)'!$E$2:$E$106,'Additions (monthly)'!$D$2:$D$106,U$2,'Additions (monthly)'!$B$2:$B$106,"&lt;="&amp;$B177)</f>
        <v>0</v>
      </c>
      <c r="V177" s="43" t="n">
        <f aca="false">SUMIFS('Additions (monthly)'!$E$2:$E$106,'Additions (monthly)'!$D$2:$D$106,V$2,'Additions (monthly)'!$B$2:$B$106,"&lt;="&amp;$B177)</f>
        <v>3.87</v>
      </c>
      <c r="W177" s="43" t="n">
        <f aca="false">SUMIFS('Additions (monthly)'!$E$2:$E$106,'Additions (monthly)'!$D$2:$D$106,W$2,'Additions (monthly)'!$B$2:$B$106,"&lt;="&amp;$B177)</f>
        <v>0.6</v>
      </c>
      <c r="X177" s="43" t="n">
        <f aca="false">SUMIFS('Additions (monthly)'!$E$2:$E$106,'Additions (monthly)'!$D$2:$D$106,X$2,'Additions (monthly)'!$B$2:$B$106,"&lt;="&amp;$B177)</f>
        <v>0</v>
      </c>
      <c r="Y177" s="43" t="n">
        <f aca="false">SUMIFS('Additions (monthly)'!$E$2:$E$106,'Additions (monthly)'!$D$2:$D$106,Y$2,'Additions (monthly)'!$B$2:$B$106,"&lt;="&amp;$B177)</f>
        <v>5</v>
      </c>
      <c r="Z177" s="43" t="n">
        <f aca="false">SUMIFS('Additions (monthly)'!$E$2:$E$106,'Additions (monthly)'!$D$2:$D$106,Z$2,'Additions (monthly)'!$B$2:$B$106,"&lt;="&amp;$B177)</f>
        <v>7.2</v>
      </c>
      <c r="AA177" s="43" t="n">
        <f aca="false">SUMIFS('Additions (monthly)'!$E$2:$E$106,'Additions (monthly)'!$D$2:$D$106,AA$2,'Additions (monthly)'!$B$2:$B$106,"&lt;="&amp;$B177)</f>
        <v>3.7</v>
      </c>
      <c r="AB177" s="43" t="n">
        <f aca="false">SUMIFS('Additions (monthly)'!$E$2:$E$106,'Additions (monthly)'!$D$2:$D$106,AB$2,'Additions (monthly)'!$B$2:$B$106,"&lt;="&amp;$B177)</f>
        <v>16.95</v>
      </c>
      <c r="AC177" s="43" t="n">
        <f aca="false">SUMIFS('Additions (monthly)'!$E$2:$E$106,'Additions (monthly)'!$D$2:$D$106,AC$2,'Additions (monthly)'!$B$2:$B$106,"&lt;="&amp;$B177)</f>
        <v>2</v>
      </c>
      <c r="AD177" s="43" t="n">
        <f aca="false">SUMIFS('Additions (monthly)'!$E$2:$E$106,'Additions (monthly)'!$D$2:$D$106,AD$2,'Additions (monthly)'!$B$2:$B$106,"&lt;="&amp;$B177)</f>
        <v>11.4</v>
      </c>
      <c r="AE177" s="43" t="n">
        <f aca="false">SUMIFS('Additions (monthly)'!$E$2:$E$106,'Additions (monthly)'!$D$2:$D$106,AE$2,'Additions (monthly)'!$B$2:$B$106,"&lt;="&amp;$B177)</f>
        <v>29.3</v>
      </c>
      <c r="AF177" s="43" t="n">
        <f aca="false">SUMIFS('Additions (monthly)'!$E$2:$E$106,'Additions (monthly)'!$D$2:$D$106,AF$2,'Additions (monthly)'!$B$2:$B$106,"&lt;="&amp;$B177)</f>
        <v>1.2</v>
      </c>
      <c r="AG177" s="43" t="n">
        <f aca="false">SUMIFS('Additions (monthly)'!$E$2:$E$106,'Additions (monthly)'!$D$2:$D$106,AG$2,'Additions (monthly)'!$B$2:$B$106,"&lt;="&amp;$B177)</f>
        <v>1.5</v>
      </c>
      <c r="AH177" s="43" t="n">
        <f aca="false">SUMIFS('Additions (monthly)'!$E$2:$E$106,'Additions (monthly)'!$D$2:$D$106,AH$2,'Additions (monthly)'!$B$2:$B$106,"&lt;="&amp;$B177)</f>
        <v>0</v>
      </c>
      <c r="AI177" s="43" t="n">
        <f aca="false">SUMIFS('Additions (monthly)'!$E$2:$E$106,'Additions (monthly)'!$D$2:$D$106,AI$2,'Additions (monthly)'!$B$2:$B$106,"&lt;="&amp;$B177)</f>
        <v>1.4</v>
      </c>
      <c r="AJ177" s="43" t="n">
        <f aca="false">SUMIFS('Additions (monthly)'!$E$2:$E$106,'Additions (monthly)'!$D$2:$D$106,AJ$2,'Additions (monthly)'!$B$2:$B$106,"&lt;="&amp;$B177)</f>
        <v>0</v>
      </c>
      <c r="AK177" s="43" t="n">
        <f aca="false">SUMIFS('Additions (monthly)'!$E$2:$E$106,'Additions (monthly)'!$D$2:$D$106,AK$2,'Additions (monthly)'!$B$2:$B$106,"&lt;="&amp;$B177)</f>
        <v>3.4</v>
      </c>
      <c r="AL177" s="43" t="n">
        <f aca="false">SUMIFS('Additions (monthly)'!$E$2:$E$106,'Additions (monthly)'!$D$2:$D$106,AL$2,'Additions (monthly)'!$B$2:$B$106,"&lt;="&amp;$B177)</f>
        <v>22.2</v>
      </c>
      <c r="AM177" s="43" t="n">
        <f aca="false">SUMIFS('Additions (monthly)'!$E$2:$E$106,'Additions (monthly)'!$D$2:$D$106,AM$2,'Additions (monthly)'!$B$2:$B$106,"&lt;="&amp;$B177)</f>
        <v>0.3</v>
      </c>
      <c r="AN177" s="43" t="n">
        <f aca="false">SUMIFS('Additions (monthly)'!$E$2:$E$106,'Additions (monthly)'!$D$2:$D$106,AN$2,'Additions (monthly)'!$B$2:$B$106,"&lt;="&amp;$B177)</f>
        <v>4.3</v>
      </c>
      <c r="AO177" s="43" t="n">
        <f aca="false">SUMIFS('Additions (monthly)'!$E$2:$E$106,'Additions (monthly)'!$D$2:$D$106,AO$2,'Additions (monthly)'!$B$2:$B$106,"&lt;="&amp;$B177)</f>
        <v>10.4</v>
      </c>
      <c r="AP177" s="43" t="n">
        <f aca="false">SUMIFS('Additions (monthly)'!$E$2:$E$106,'Additions (monthly)'!$D$2:$D$106,AP$2,'Additions (monthly)'!$B$2:$B$106,"&lt;="&amp;$B177)</f>
        <v>6.9</v>
      </c>
      <c r="AQ177" s="43" t="n">
        <f aca="false">SUMIFS('Additions (monthly)'!$E$2:$E$106,'Additions (monthly)'!$D$2:$D$106,AQ$2,'Additions (monthly)'!$B$2:$B$106,"&lt;="&amp;$B177)</f>
        <v>4.45</v>
      </c>
      <c r="AR177" s="43" t="n">
        <f aca="false">SUMIFS('Additions (monthly)'!$E$2:$E$106,'Additions (monthly)'!$D$2:$D$106,AR$2,'Additions (monthly)'!$B$2:$B$106,"&lt;="&amp;$B177)</f>
        <v>77.1</v>
      </c>
      <c r="AS177" s="43" t="n">
        <f aca="false">SUMIFS('Additions (monthly)'!$E$2:$E$106,'Additions (monthly)'!$D$2:$D$106,AS$2,'Additions (monthly)'!$B$2:$B$106,"&lt;="&amp;$B177)</f>
        <v>6.6</v>
      </c>
      <c r="AT177" s="43" t="n">
        <f aca="false">SUMIFS('Additions (monthly)'!$E$2:$E$106,'Additions (monthly)'!$D$2:$D$106,AT$2,'Additions (monthly)'!$B$2:$B$106,"&lt;="&amp;$B177)</f>
        <v>1.5</v>
      </c>
      <c r="AU177" s="43" t="n">
        <f aca="false">SUMIFS('Additions (monthly)'!$E$2:$E$106,'Additions (monthly)'!$D$2:$D$106,AU$2,'Additions (monthly)'!$B$2:$B$106,"&lt;="&amp;$B177)</f>
        <v>9.6</v>
      </c>
      <c r="AV177" s="43" t="n">
        <f aca="false">SUMIFS('Additions (monthly)'!$E$2:$E$106,'Additions (monthly)'!$D$2:$D$106,AV$2,'Additions (monthly)'!$B$2:$B$106,"&lt;="&amp;$B177)</f>
        <v>0.66</v>
      </c>
      <c r="AW177" s="43" t="n">
        <f aca="false">SUMIFS('Additions (monthly)'!$E$2:$E$106,'Additions (monthly)'!$D$2:$D$106,AW$2,'Additions (monthly)'!$B$2:$B$106,"&lt;="&amp;$B177)</f>
        <v>17.4</v>
      </c>
      <c r="AX177" s="43" t="n">
        <f aca="false">SUMIFS('Additions (monthly)'!$E$2:$E$106,'Additions (monthly)'!$D$2:$D$106,AX$2,'Additions (monthly)'!$B$2:$B$106,"&lt;="&amp;$B177)</f>
        <v>11.8</v>
      </c>
      <c r="AY177" s="43" t="n">
        <f aca="false">SUMIFS('Additions (monthly)'!$E$2:$E$106,'Additions (monthly)'!$D$2:$D$106,AY$2,'Additions (monthly)'!$B$2:$B$106,"&lt;="&amp;$B177)</f>
        <v>5.3</v>
      </c>
      <c r="AZ177" s="43" t="n">
        <f aca="false">SUMIFS('Additions (monthly)'!$E$2:$E$106,'Additions (monthly)'!$D$2:$D$106,AZ$2,'Additions (monthly)'!$B$2:$B$106,"&lt;="&amp;$B177)</f>
        <v>9.97</v>
      </c>
      <c r="BA177" s="43" t="n">
        <f aca="false">SUMIFS('Additions (monthly)'!$E$2:$E$106,'Additions (monthly)'!$D$2:$D$106,BA$2,'Additions (monthly)'!$B$2:$B$106,"&lt;="&amp;$B177)</f>
        <v>13.5</v>
      </c>
      <c r="BB177" s="43" t="n">
        <f aca="false">SUMIFS('Additions (monthly)'!$E$2:$E$106,'Additions (monthly)'!$D$2:$D$106,BB$2,'Additions (monthly)'!$B$2:$B$106,"&lt;="&amp;$B177)</f>
        <v>15</v>
      </c>
      <c r="BC177" s="43" t="n">
        <f aca="false">SUMIFS('Additions (monthly)'!$E$2:$E$106,'Additions (monthly)'!$D$2:$D$106,BC$2,'Additions (monthly)'!$B$2:$B$106,"&lt;="&amp;$B177)</f>
        <v>5.25</v>
      </c>
      <c r="BD177" s="43" t="n">
        <f aca="false">SUMIFS('Additions (monthly)'!$E$2:$E$106,'Additions (monthly)'!$D$2:$D$106,BD$2,'Additions (monthly)'!$B$2:$B$106,"&lt;="&amp;$B177)</f>
        <v>2.5</v>
      </c>
      <c r="BE177" s="43" t="n">
        <f aca="false">SUMIFS('Additions (monthly)'!$E$2:$E$106,'Additions (monthly)'!$D$2:$D$106,BE$2,'Additions (monthly)'!$B$2:$B$106,"&lt;="&amp;$B177)</f>
        <v>15.3</v>
      </c>
      <c r="BF177" s="43" t="n">
        <f aca="false">SUMIFS('Additions (monthly)'!$E$2:$E$106,'Additions (monthly)'!$D$2:$D$106,BF$2,'Additions (monthly)'!$B$2:$B$106,"&lt;="&amp;$B177)</f>
        <v>0</v>
      </c>
      <c r="BG177" s="43" t="n">
        <f aca="false">SUMIFS('Additions (monthly)'!$E$2:$E$106,'Additions (monthly)'!$D$2:$D$106,BG$2,'Additions (monthly)'!$B$2:$B$106,"&lt;="&amp;$B177)</f>
        <v>0</v>
      </c>
      <c r="BH177" s="43" t="n">
        <f aca="false">SUMIFS('Additions (monthly)'!$E$2:$E$106,'Additions (monthly)'!$D$2:$D$106,BH$2,'Additions (monthly)'!$B$2:$B$106,"&lt;="&amp;$B177)</f>
        <v>30</v>
      </c>
      <c r="BI177" s="43" t="n">
        <f aca="false">SUMIFS('Additions (monthly)'!$E$2:$E$106,'Additions (monthly)'!$D$2:$D$106,BI$2,'Additions (monthly)'!$B$2:$B$106,"&lt;="&amp;$B177)</f>
        <v>6.7</v>
      </c>
    </row>
    <row r="178" customFormat="false" ht="15" hidden="false" customHeight="false" outlineLevel="0" collapsed="false">
      <c r="A178" s="23" t="n">
        <v>45505</v>
      </c>
      <c r="B178" s="24" t="n">
        <v>202408</v>
      </c>
      <c r="C178" s="42" t="n">
        <f aca="false">SUMIFS('Additions (monthly)'!$E$2:$E$106,'Additions (monthly)'!$B$2:$B$106,"&lt;="&amp;$B178)</f>
        <v>489.65</v>
      </c>
      <c r="D178" s="43" t="n">
        <f aca="false">SUMIFS('Additions (monthly)'!$E$2:$E$106,'Additions (monthly)'!$D$2:$D$106,D$2,'Additions (monthly)'!$B$2:$B$106,"&lt;="&amp;$B178)</f>
        <v>7.9</v>
      </c>
      <c r="E178" s="43" t="n">
        <f aca="false">SUMIFS('Additions (monthly)'!$E$2:$E$106,'Additions (monthly)'!$D$2:$D$106,E$2,'Additions (monthly)'!$B$2:$B$106,"&lt;="&amp;$B178)</f>
        <v>8.4</v>
      </c>
      <c r="F178" s="43" t="n">
        <f aca="false">SUMIFS('Additions (monthly)'!$E$2:$E$106,'Additions (monthly)'!$D$2:$D$106,F$2,'Additions (monthly)'!$B$2:$B$106,"&lt;="&amp;$B178)</f>
        <v>4.7</v>
      </c>
      <c r="G178" s="43" t="n">
        <f aca="false">SUMIFS('Additions (monthly)'!$E$2:$E$106,'Additions (monthly)'!$D$2:$D$106,G$2,'Additions (monthly)'!$B$2:$B$106,"&lt;="&amp;$B178)</f>
        <v>4.5</v>
      </c>
      <c r="H178" s="43" t="n">
        <f aca="false">SUMIFS('Additions (monthly)'!$E$2:$E$106,'Additions (monthly)'!$D$2:$D$106,H$2,'Additions (monthly)'!$B$2:$B$106,"&lt;="&amp;$B178)</f>
        <v>5.2</v>
      </c>
      <c r="I178" s="43" t="n">
        <f aca="false">SUMIFS('Additions (monthly)'!$E$2:$E$106,'Additions (monthly)'!$D$2:$D$106,I$2,'Additions (monthly)'!$B$2:$B$106,"&lt;="&amp;$B178)</f>
        <v>9</v>
      </c>
      <c r="J178" s="43" t="n">
        <f aca="false">SUMIFS('Additions (monthly)'!$E$2:$E$106,'Additions (monthly)'!$D$2:$D$106,J$2,'Additions (monthly)'!$B$2:$B$106,"&lt;="&amp;$B178)</f>
        <v>3.7</v>
      </c>
      <c r="K178" s="43" t="n">
        <f aca="false">SUMIFS('Additions (monthly)'!$E$2:$E$106,'Additions (monthly)'!$D$2:$D$106,K$2,'Additions (monthly)'!$B$2:$B$106,"&lt;="&amp;$B178)</f>
        <v>7.8</v>
      </c>
      <c r="L178" s="43" t="n">
        <f aca="false">SUMIFS('Additions (monthly)'!$E$2:$E$106,'Additions (monthly)'!$D$2:$D$106,L$2,'Additions (monthly)'!$B$2:$B$106,"&lt;="&amp;$B178)</f>
        <v>15.6</v>
      </c>
      <c r="M178" s="43" t="n">
        <f aca="false">SUMIFS('Additions (monthly)'!$E$2:$E$106,'Additions (monthly)'!$D$2:$D$106,M$2,'Additions (monthly)'!$B$2:$B$106,"&lt;="&amp;$B178)</f>
        <v>8.9</v>
      </c>
      <c r="N178" s="43" t="n">
        <f aca="false">SUMIFS('Additions (monthly)'!$E$2:$E$106,'Additions (monthly)'!$D$2:$D$106,N$2,'Additions (monthly)'!$B$2:$B$106,"&lt;="&amp;$B178)</f>
        <v>14.2</v>
      </c>
      <c r="O178" s="43" t="n">
        <f aca="false">SUMIFS('Additions (monthly)'!$E$2:$E$106,'Additions (monthly)'!$D$2:$D$106,O$2,'Additions (monthly)'!$B$2:$B$106,"&lt;="&amp;$B178)</f>
        <v>4.9</v>
      </c>
      <c r="P178" s="43" t="n">
        <f aca="false">SUMIFS('Additions (monthly)'!$E$2:$E$106,'Additions (monthly)'!$D$2:$D$106,P$2,'Additions (monthly)'!$B$2:$B$106,"&lt;="&amp;$B178)</f>
        <v>3.6</v>
      </c>
      <c r="Q178" s="43" t="n">
        <f aca="false">SUMIFS('Additions (monthly)'!$E$2:$E$106,'Additions (monthly)'!$D$2:$D$106,Q$2,'Additions (monthly)'!$B$2:$B$106,"&lt;="&amp;$B178)</f>
        <v>8.5</v>
      </c>
      <c r="R178" s="43" t="n">
        <f aca="false">SUMIFS('Additions (monthly)'!$E$2:$E$106,'Additions (monthly)'!$D$2:$D$106,R$2,'Additions (monthly)'!$B$2:$B$106,"&lt;="&amp;$B178)</f>
        <v>8.9</v>
      </c>
      <c r="S178" s="43" t="n">
        <f aca="false">SUMIFS('Additions (monthly)'!$E$2:$E$106,'Additions (monthly)'!$D$2:$D$106,S$2,'Additions (monthly)'!$B$2:$B$106,"&lt;="&amp;$B178)</f>
        <v>7.2</v>
      </c>
      <c r="T178" s="43" t="n">
        <f aca="false">SUMIFS('Additions (monthly)'!$E$2:$E$106,'Additions (monthly)'!$D$2:$D$106,T$2,'Additions (monthly)'!$B$2:$B$106,"&lt;="&amp;$B178)</f>
        <v>2.4</v>
      </c>
      <c r="U178" s="43" t="n">
        <f aca="false">SUMIFS('Additions (monthly)'!$E$2:$E$106,'Additions (monthly)'!$D$2:$D$106,U$2,'Additions (monthly)'!$B$2:$B$106,"&lt;="&amp;$B178)</f>
        <v>0</v>
      </c>
      <c r="V178" s="43" t="n">
        <f aca="false">SUMIFS('Additions (monthly)'!$E$2:$E$106,'Additions (monthly)'!$D$2:$D$106,V$2,'Additions (monthly)'!$B$2:$B$106,"&lt;="&amp;$B178)</f>
        <v>3.87</v>
      </c>
      <c r="W178" s="43" t="n">
        <f aca="false">SUMIFS('Additions (monthly)'!$E$2:$E$106,'Additions (monthly)'!$D$2:$D$106,W$2,'Additions (monthly)'!$B$2:$B$106,"&lt;="&amp;$B178)</f>
        <v>0.6</v>
      </c>
      <c r="X178" s="43" t="n">
        <f aca="false">SUMIFS('Additions (monthly)'!$E$2:$E$106,'Additions (monthly)'!$D$2:$D$106,X$2,'Additions (monthly)'!$B$2:$B$106,"&lt;="&amp;$B178)</f>
        <v>0</v>
      </c>
      <c r="Y178" s="43" t="n">
        <f aca="false">SUMIFS('Additions (monthly)'!$E$2:$E$106,'Additions (monthly)'!$D$2:$D$106,Y$2,'Additions (monthly)'!$B$2:$B$106,"&lt;="&amp;$B178)</f>
        <v>5</v>
      </c>
      <c r="Z178" s="43" t="n">
        <f aca="false">SUMIFS('Additions (monthly)'!$E$2:$E$106,'Additions (monthly)'!$D$2:$D$106,Z$2,'Additions (monthly)'!$B$2:$B$106,"&lt;="&amp;$B178)</f>
        <v>7.2</v>
      </c>
      <c r="AA178" s="43" t="n">
        <f aca="false">SUMIFS('Additions (monthly)'!$E$2:$E$106,'Additions (monthly)'!$D$2:$D$106,AA$2,'Additions (monthly)'!$B$2:$B$106,"&lt;="&amp;$B178)</f>
        <v>3.7</v>
      </c>
      <c r="AB178" s="43" t="n">
        <f aca="false">SUMIFS('Additions (monthly)'!$E$2:$E$106,'Additions (monthly)'!$D$2:$D$106,AB$2,'Additions (monthly)'!$B$2:$B$106,"&lt;="&amp;$B178)</f>
        <v>16.95</v>
      </c>
      <c r="AC178" s="43" t="n">
        <f aca="false">SUMIFS('Additions (monthly)'!$E$2:$E$106,'Additions (monthly)'!$D$2:$D$106,AC$2,'Additions (monthly)'!$B$2:$B$106,"&lt;="&amp;$B178)</f>
        <v>2</v>
      </c>
      <c r="AD178" s="43" t="n">
        <f aca="false">SUMIFS('Additions (monthly)'!$E$2:$E$106,'Additions (monthly)'!$D$2:$D$106,AD$2,'Additions (monthly)'!$B$2:$B$106,"&lt;="&amp;$B178)</f>
        <v>11.4</v>
      </c>
      <c r="AE178" s="43" t="n">
        <f aca="false">SUMIFS('Additions (monthly)'!$E$2:$E$106,'Additions (monthly)'!$D$2:$D$106,AE$2,'Additions (monthly)'!$B$2:$B$106,"&lt;="&amp;$B178)</f>
        <v>29.3</v>
      </c>
      <c r="AF178" s="43" t="n">
        <f aca="false">SUMIFS('Additions (monthly)'!$E$2:$E$106,'Additions (monthly)'!$D$2:$D$106,AF$2,'Additions (monthly)'!$B$2:$B$106,"&lt;="&amp;$B178)</f>
        <v>1.2</v>
      </c>
      <c r="AG178" s="43" t="n">
        <f aca="false">SUMIFS('Additions (monthly)'!$E$2:$E$106,'Additions (monthly)'!$D$2:$D$106,AG$2,'Additions (monthly)'!$B$2:$B$106,"&lt;="&amp;$B178)</f>
        <v>1.5</v>
      </c>
      <c r="AH178" s="43" t="n">
        <f aca="false">SUMIFS('Additions (monthly)'!$E$2:$E$106,'Additions (monthly)'!$D$2:$D$106,AH$2,'Additions (monthly)'!$B$2:$B$106,"&lt;="&amp;$B178)</f>
        <v>0</v>
      </c>
      <c r="AI178" s="43" t="n">
        <f aca="false">SUMIFS('Additions (monthly)'!$E$2:$E$106,'Additions (monthly)'!$D$2:$D$106,AI$2,'Additions (monthly)'!$B$2:$B$106,"&lt;="&amp;$B178)</f>
        <v>1.4</v>
      </c>
      <c r="AJ178" s="43" t="n">
        <f aca="false">SUMIFS('Additions (monthly)'!$E$2:$E$106,'Additions (monthly)'!$D$2:$D$106,AJ$2,'Additions (monthly)'!$B$2:$B$106,"&lt;="&amp;$B178)</f>
        <v>0</v>
      </c>
      <c r="AK178" s="43" t="n">
        <f aca="false">SUMIFS('Additions (monthly)'!$E$2:$E$106,'Additions (monthly)'!$D$2:$D$106,AK$2,'Additions (monthly)'!$B$2:$B$106,"&lt;="&amp;$B178)</f>
        <v>3.4</v>
      </c>
      <c r="AL178" s="43" t="n">
        <f aca="false">SUMIFS('Additions (monthly)'!$E$2:$E$106,'Additions (monthly)'!$D$2:$D$106,AL$2,'Additions (monthly)'!$B$2:$B$106,"&lt;="&amp;$B178)</f>
        <v>22.2</v>
      </c>
      <c r="AM178" s="43" t="n">
        <f aca="false">SUMIFS('Additions (monthly)'!$E$2:$E$106,'Additions (monthly)'!$D$2:$D$106,AM$2,'Additions (monthly)'!$B$2:$B$106,"&lt;="&amp;$B178)</f>
        <v>0.3</v>
      </c>
      <c r="AN178" s="43" t="n">
        <f aca="false">SUMIFS('Additions (monthly)'!$E$2:$E$106,'Additions (monthly)'!$D$2:$D$106,AN$2,'Additions (monthly)'!$B$2:$B$106,"&lt;="&amp;$B178)</f>
        <v>4.3</v>
      </c>
      <c r="AO178" s="43" t="n">
        <f aca="false">SUMIFS('Additions (monthly)'!$E$2:$E$106,'Additions (monthly)'!$D$2:$D$106,AO$2,'Additions (monthly)'!$B$2:$B$106,"&lt;="&amp;$B178)</f>
        <v>10.4</v>
      </c>
      <c r="AP178" s="43" t="n">
        <f aca="false">SUMIFS('Additions (monthly)'!$E$2:$E$106,'Additions (monthly)'!$D$2:$D$106,AP$2,'Additions (monthly)'!$B$2:$B$106,"&lt;="&amp;$B178)</f>
        <v>6.9</v>
      </c>
      <c r="AQ178" s="43" t="n">
        <f aca="false">SUMIFS('Additions (monthly)'!$E$2:$E$106,'Additions (monthly)'!$D$2:$D$106,AQ$2,'Additions (monthly)'!$B$2:$B$106,"&lt;="&amp;$B178)</f>
        <v>4.45</v>
      </c>
      <c r="AR178" s="43" t="n">
        <f aca="false">SUMIFS('Additions (monthly)'!$E$2:$E$106,'Additions (monthly)'!$D$2:$D$106,AR$2,'Additions (monthly)'!$B$2:$B$106,"&lt;="&amp;$B178)</f>
        <v>77.1</v>
      </c>
      <c r="AS178" s="43" t="n">
        <f aca="false">SUMIFS('Additions (monthly)'!$E$2:$E$106,'Additions (monthly)'!$D$2:$D$106,AS$2,'Additions (monthly)'!$B$2:$B$106,"&lt;="&amp;$B178)</f>
        <v>6.6</v>
      </c>
      <c r="AT178" s="43" t="n">
        <f aca="false">SUMIFS('Additions (monthly)'!$E$2:$E$106,'Additions (monthly)'!$D$2:$D$106,AT$2,'Additions (monthly)'!$B$2:$B$106,"&lt;="&amp;$B178)</f>
        <v>1.5</v>
      </c>
      <c r="AU178" s="43" t="n">
        <f aca="false">SUMIFS('Additions (monthly)'!$E$2:$E$106,'Additions (monthly)'!$D$2:$D$106,AU$2,'Additions (monthly)'!$B$2:$B$106,"&lt;="&amp;$B178)</f>
        <v>9.6</v>
      </c>
      <c r="AV178" s="43" t="n">
        <f aca="false">SUMIFS('Additions (monthly)'!$E$2:$E$106,'Additions (monthly)'!$D$2:$D$106,AV$2,'Additions (monthly)'!$B$2:$B$106,"&lt;="&amp;$B178)</f>
        <v>0.66</v>
      </c>
      <c r="AW178" s="43" t="n">
        <f aca="false">SUMIFS('Additions (monthly)'!$E$2:$E$106,'Additions (monthly)'!$D$2:$D$106,AW$2,'Additions (monthly)'!$B$2:$B$106,"&lt;="&amp;$B178)</f>
        <v>17.4</v>
      </c>
      <c r="AX178" s="43" t="n">
        <f aca="false">SUMIFS('Additions (monthly)'!$E$2:$E$106,'Additions (monthly)'!$D$2:$D$106,AX$2,'Additions (monthly)'!$B$2:$B$106,"&lt;="&amp;$B178)</f>
        <v>11.8</v>
      </c>
      <c r="AY178" s="43" t="n">
        <f aca="false">SUMIFS('Additions (monthly)'!$E$2:$E$106,'Additions (monthly)'!$D$2:$D$106,AY$2,'Additions (monthly)'!$B$2:$B$106,"&lt;="&amp;$B178)</f>
        <v>5.3</v>
      </c>
      <c r="AZ178" s="43" t="n">
        <f aca="false">SUMIFS('Additions (monthly)'!$E$2:$E$106,'Additions (monthly)'!$D$2:$D$106,AZ$2,'Additions (monthly)'!$B$2:$B$106,"&lt;="&amp;$B178)</f>
        <v>9.97</v>
      </c>
      <c r="BA178" s="43" t="n">
        <f aca="false">SUMIFS('Additions (monthly)'!$E$2:$E$106,'Additions (monthly)'!$D$2:$D$106,BA$2,'Additions (monthly)'!$B$2:$B$106,"&lt;="&amp;$B178)</f>
        <v>13.5</v>
      </c>
      <c r="BB178" s="43" t="n">
        <f aca="false">SUMIFS('Additions (monthly)'!$E$2:$E$106,'Additions (monthly)'!$D$2:$D$106,BB$2,'Additions (monthly)'!$B$2:$B$106,"&lt;="&amp;$B178)</f>
        <v>15</v>
      </c>
      <c r="BC178" s="43" t="n">
        <f aca="false">SUMIFS('Additions (monthly)'!$E$2:$E$106,'Additions (monthly)'!$D$2:$D$106,BC$2,'Additions (monthly)'!$B$2:$B$106,"&lt;="&amp;$B178)</f>
        <v>5.25</v>
      </c>
      <c r="BD178" s="43" t="n">
        <f aca="false">SUMIFS('Additions (monthly)'!$E$2:$E$106,'Additions (monthly)'!$D$2:$D$106,BD$2,'Additions (monthly)'!$B$2:$B$106,"&lt;="&amp;$B178)</f>
        <v>2.5</v>
      </c>
      <c r="BE178" s="43" t="n">
        <f aca="false">SUMIFS('Additions (monthly)'!$E$2:$E$106,'Additions (monthly)'!$D$2:$D$106,BE$2,'Additions (monthly)'!$B$2:$B$106,"&lt;="&amp;$B178)</f>
        <v>15.3</v>
      </c>
      <c r="BF178" s="43" t="n">
        <f aca="false">SUMIFS('Additions (monthly)'!$E$2:$E$106,'Additions (monthly)'!$D$2:$D$106,BF$2,'Additions (monthly)'!$B$2:$B$106,"&lt;="&amp;$B178)</f>
        <v>0</v>
      </c>
      <c r="BG178" s="43" t="n">
        <f aca="false">SUMIFS('Additions (monthly)'!$E$2:$E$106,'Additions (monthly)'!$D$2:$D$106,BG$2,'Additions (monthly)'!$B$2:$B$106,"&lt;="&amp;$B178)</f>
        <v>0</v>
      </c>
      <c r="BH178" s="43" t="n">
        <f aca="false">SUMIFS('Additions (monthly)'!$E$2:$E$106,'Additions (monthly)'!$D$2:$D$106,BH$2,'Additions (monthly)'!$B$2:$B$106,"&lt;="&amp;$B178)</f>
        <v>30</v>
      </c>
      <c r="BI178" s="43" t="n">
        <f aca="false">SUMIFS('Additions (monthly)'!$E$2:$E$106,'Additions (monthly)'!$D$2:$D$106,BI$2,'Additions (monthly)'!$B$2:$B$106,"&lt;="&amp;$B178)</f>
        <v>6.7</v>
      </c>
    </row>
    <row r="179" customFormat="false" ht="15" hidden="false" customHeight="false" outlineLevel="0" collapsed="false">
      <c r="A179" s="23" t="n">
        <v>45536</v>
      </c>
      <c r="B179" s="24" t="n">
        <v>202409</v>
      </c>
      <c r="C179" s="42" t="n">
        <f aca="false">SUMIFS('Additions (monthly)'!$E$2:$E$106,'Additions (monthly)'!$B$2:$B$106,"&lt;="&amp;$B179)</f>
        <v>489.65</v>
      </c>
      <c r="D179" s="43" t="n">
        <f aca="false">SUMIFS('Additions (monthly)'!$E$2:$E$106,'Additions (monthly)'!$D$2:$D$106,D$2,'Additions (monthly)'!$B$2:$B$106,"&lt;="&amp;$B179)</f>
        <v>7.9</v>
      </c>
      <c r="E179" s="43" t="n">
        <f aca="false">SUMIFS('Additions (monthly)'!$E$2:$E$106,'Additions (monthly)'!$D$2:$D$106,E$2,'Additions (monthly)'!$B$2:$B$106,"&lt;="&amp;$B179)</f>
        <v>8.4</v>
      </c>
      <c r="F179" s="43" t="n">
        <f aca="false">SUMIFS('Additions (monthly)'!$E$2:$E$106,'Additions (monthly)'!$D$2:$D$106,F$2,'Additions (monthly)'!$B$2:$B$106,"&lt;="&amp;$B179)</f>
        <v>4.7</v>
      </c>
      <c r="G179" s="43" t="n">
        <f aca="false">SUMIFS('Additions (monthly)'!$E$2:$E$106,'Additions (monthly)'!$D$2:$D$106,G$2,'Additions (monthly)'!$B$2:$B$106,"&lt;="&amp;$B179)</f>
        <v>4.5</v>
      </c>
      <c r="H179" s="43" t="n">
        <f aca="false">SUMIFS('Additions (monthly)'!$E$2:$E$106,'Additions (monthly)'!$D$2:$D$106,H$2,'Additions (monthly)'!$B$2:$B$106,"&lt;="&amp;$B179)</f>
        <v>5.2</v>
      </c>
      <c r="I179" s="43" t="n">
        <f aca="false">SUMIFS('Additions (monthly)'!$E$2:$E$106,'Additions (monthly)'!$D$2:$D$106,I$2,'Additions (monthly)'!$B$2:$B$106,"&lt;="&amp;$B179)</f>
        <v>9</v>
      </c>
      <c r="J179" s="43" t="n">
        <f aca="false">SUMIFS('Additions (monthly)'!$E$2:$E$106,'Additions (monthly)'!$D$2:$D$106,J$2,'Additions (monthly)'!$B$2:$B$106,"&lt;="&amp;$B179)</f>
        <v>3.7</v>
      </c>
      <c r="K179" s="43" t="n">
        <f aca="false">SUMIFS('Additions (monthly)'!$E$2:$E$106,'Additions (monthly)'!$D$2:$D$106,K$2,'Additions (monthly)'!$B$2:$B$106,"&lt;="&amp;$B179)</f>
        <v>7.8</v>
      </c>
      <c r="L179" s="43" t="n">
        <f aca="false">SUMIFS('Additions (monthly)'!$E$2:$E$106,'Additions (monthly)'!$D$2:$D$106,L$2,'Additions (monthly)'!$B$2:$B$106,"&lt;="&amp;$B179)</f>
        <v>15.6</v>
      </c>
      <c r="M179" s="43" t="n">
        <f aca="false">SUMIFS('Additions (monthly)'!$E$2:$E$106,'Additions (monthly)'!$D$2:$D$106,M$2,'Additions (monthly)'!$B$2:$B$106,"&lt;="&amp;$B179)</f>
        <v>8.9</v>
      </c>
      <c r="N179" s="43" t="n">
        <f aca="false">SUMIFS('Additions (monthly)'!$E$2:$E$106,'Additions (monthly)'!$D$2:$D$106,N$2,'Additions (monthly)'!$B$2:$B$106,"&lt;="&amp;$B179)</f>
        <v>14.2</v>
      </c>
      <c r="O179" s="43" t="n">
        <f aca="false">SUMIFS('Additions (monthly)'!$E$2:$E$106,'Additions (monthly)'!$D$2:$D$106,O$2,'Additions (monthly)'!$B$2:$B$106,"&lt;="&amp;$B179)</f>
        <v>4.9</v>
      </c>
      <c r="P179" s="43" t="n">
        <f aca="false">SUMIFS('Additions (monthly)'!$E$2:$E$106,'Additions (monthly)'!$D$2:$D$106,P$2,'Additions (monthly)'!$B$2:$B$106,"&lt;="&amp;$B179)</f>
        <v>3.6</v>
      </c>
      <c r="Q179" s="43" t="n">
        <f aca="false">SUMIFS('Additions (monthly)'!$E$2:$E$106,'Additions (monthly)'!$D$2:$D$106,Q$2,'Additions (monthly)'!$B$2:$B$106,"&lt;="&amp;$B179)</f>
        <v>8.5</v>
      </c>
      <c r="R179" s="43" t="n">
        <f aca="false">SUMIFS('Additions (monthly)'!$E$2:$E$106,'Additions (monthly)'!$D$2:$D$106,R$2,'Additions (monthly)'!$B$2:$B$106,"&lt;="&amp;$B179)</f>
        <v>8.9</v>
      </c>
      <c r="S179" s="43" t="n">
        <f aca="false">SUMIFS('Additions (monthly)'!$E$2:$E$106,'Additions (monthly)'!$D$2:$D$106,S$2,'Additions (monthly)'!$B$2:$B$106,"&lt;="&amp;$B179)</f>
        <v>7.2</v>
      </c>
      <c r="T179" s="43" t="n">
        <f aca="false">SUMIFS('Additions (monthly)'!$E$2:$E$106,'Additions (monthly)'!$D$2:$D$106,T$2,'Additions (monthly)'!$B$2:$B$106,"&lt;="&amp;$B179)</f>
        <v>2.4</v>
      </c>
      <c r="U179" s="43" t="n">
        <f aca="false">SUMIFS('Additions (monthly)'!$E$2:$E$106,'Additions (monthly)'!$D$2:$D$106,U$2,'Additions (monthly)'!$B$2:$B$106,"&lt;="&amp;$B179)</f>
        <v>0</v>
      </c>
      <c r="V179" s="43" t="n">
        <f aca="false">SUMIFS('Additions (monthly)'!$E$2:$E$106,'Additions (monthly)'!$D$2:$D$106,V$2,'Additions (monthly)'!$B$2:$B$106,"&lt;="&amp;$B179)</f>
        <v>3.87</v>
      </c>
      <c r="W179" s="43" t="n">
        <f aca="false">SUMIFS('Additions (monthly)'!$E$2:$E$106,'Additions (monthly)'!$D$2:$D$106,W$2,'Additions (monthly)'!$B$2:$B$106,"&lt;="&amp;$B179)</f>
        <v>0.6</v>
      </c>
      <c r="X179" s="43" t="n">
        <f aca="false">SUMIFS('Additions (monthly)'!$E$2:$E$106,'Additions (monthly)'!$D$2:$D$106,X$2,'Additions (monthly)'!$B$2:$B$106,"&lt;="&amp;$B179)</f>
        <v>0</v>
      </c>
      <c r="Y179" s="43" t="n">
        <f aca="false">SUMIFS('Additions (monthly)'!$E$2:$E$106,'Additions (monthly)'!$D$2:$D$106,Y$2,'Additions (monthly)'!$B$2:$B$106,"&lt;="&amp;$B179)</f>
        <v>5</v>
      </c>
      <c r="Z179" s="43" t="n">
        <f aca="false">SUMIFS('Additions (monthly)'!$E$2:$E$106,'Additions (monthly)'!$D$2:$D$106,Z$2,'Additions (monthly)'!$B$2:$B$106,"&lt;="&amp;$B179)</f>
        <v>7.2</v>
      </c>
      <c r="AA179" s="43" t="n">
        <f aca="false">SUMIFS('Additions (monthly)'!$E$2:$E$106,'Additions (monthly)'!$D$2:$D$106,AA$2,'Additions (monthly)'!$B$2:$B$106,"&lt;="&amp;$B179)</f>
        <v>3.7</v>
      </c>
      <c r="AB179" s="43" t="n">
        <f aca="false">SUMIFS('Additions (monthly)'!$E$2:$E$106,'Additions (monthly)'!$D$2:$D$106,AB$2,'Additions (monthly)'!$B$2:$B$106,"&lt;="&amp;$B179)</f>
        <v>16.95</v>
      </c>
      <c r="AC179" s="43" t="n">
        <f aca="false">SUMIFS('Additions (monthly)'!$E$2:$E$106,'Additions (monthly)'!$D$2:$D$106,AC$2,'Additions (monthly)'!$B$2:$B$106,"&lt;="&amp;$B179)</f>
        <v>2</v>
      </c>
      <c r="AD179" s="43" t="n">
        <f aca="false">SUMIFS('Additions (monthly)'!$E$2:$E$106,'Additions (monthly)'!$D$2:$D$106,AD$2,'Additions (monthly)'!$B$2:$B$106,"&lt;="&amp;$B179)</f>
        <v>11.4</v>
      </c>
      <c r="AE179" s="43" t="n">
        <f aca="false">SUMIFS('Additions (monthly)'!$E$2:$E$106,'Additions (monthly)'!$D$2:$D$106,AE$2,'Additions (monthly)'!$B$2:$B$106,"&lt;="&amp;$B179)</f>
        <v>29.3</v>
      </c>
      <c r="AF179" s="43" t="n">
        <f aca="false">SUMIFS('Additions (monthly)'!$E$2:$E$106,'Additions (monthly)'!$D$2:$D$106,AF$2,'Additions (monthly)'!$B$2:$B$106,"&lt;="&amp;$B179)</f>
        <v>1.2</v>
      </c>
      <c r="AG179" s="43" t="n">
        <f aca="false">SUMIFS('Additions (monthly)'!$E$2:$E$106,'Additions (monthly)'!$D$2:$D$106,AG$2,'Additions (monthly)'!$B$2:$B$106,"&lt;="&amp;$B179)</f>
        <v>1.5</v>
      </c>
      <c r="AH179" s="43" t="n">
        <f aca="false">SUMIFS('Additions (monthly)'!$E$2:$E$106,'Additions (monthly)'!$D$2:$D$106,AH$2,'Additions (monthly)'!$B$2:$B$106,"&lt;="&amp;$B179)</f>
        <v>0</v>
      </c>
      <c r="AI179" s="43" t="n">
        <f aca="false">SUMIFS('Additions (monthly)'!$E$2:$E$106,'Additions (monthly)'!$D$2:$D$106,AI$2,'Additions (monthly)'!$B$2:$B$106,"&lt;="&amp;$B179)</f>
        <v>1.4</v>
      </c>
      <c r="AJ179" s="43" t="n">
        <f aca="false">SUMIFS('Additions (monthly)'!$E$2:$E$106,'Additions (monthly)'!$D$2:$D$106,AJ$2,'Additions (monthly)'!$B$2:$B$106,"&lt;="&amp;$B179)</f>
        <v>0</v>
      </c>
      <c r="AK179" s="43" t="n">
        <f aca="false">SUMIFS('Additions (monthly)'!$E$2:$E$106,'Additions (monthly)'!$D$2:$D$106,AK$2,'Additions (monthly)'!$B$2:$B$106,"&lt;="&amp;$B179)</f>
        <v>3.4</v>
      </c>
      <c r="AL179" s="43" t="n">
        <f aca="false">SUMIFS('Additions (monthly)'!$E$2:$E$106,'Additions (monthly)'!$D$2:$D$106,AL$2,'Additions (monthly)'!$B$2:$B$106,"&lt;="&amp;$B179)</f>
        <v>22.2</v>
      </c>
      <c r="AM179" s="43" t="n">
        <f aca="false">SUMIFS('Additions (monthly)'!$E$2:$E$106,'Additions (monthly)'!$D$2:$D$106,AM$2,'Additions (monthly)'!$B$2:$B$106,"&lt;="&amp;$B179)</f>
        <v>0.3</v>
      </c>
      <c r="AN179" s="43" t="n">
        <f aca="false">SUMIFS('Additions (monthly)'!$E$2:$E$106,'Additions (monthly)'!$D$2:$D$106,AN$2,'Additions (monthly)'!$B$2:$B$106,"&lt;="&amp;$B179)</f>
        <v>4.3</v>
      </c>
      <c r="AO179" s="43" t="n">
        <f aca="false">SUMIFS('Additions (monthly)'!$E$2:$E$106,'Additions (monthly)'!$D$2:$D$106,AO$2,'Additions (monthly)'!$B$2:$B$106,"&lt;="&amp;$B179)</f>
        <v>10.4</v>
      </c>
      <c r="AP179" s="43" t="n">
        <f aca="false">SUMIFS('Additions (monthly)'!$E$2:$E$106,'Additions (monthly)'!$D$2:$D$106,AP$2,'Additions (monthly)'!$B$2:$B$106,"&lt;="&amp;$B179)</f>
        <v>6.9</v>
      </c>
      <c r="AQ179" s="43" t="n">
        <f aca="false">SUMIFS('Additions (monthly)'!$E$2:$E$106,'Additions (monthly)'!$D$2:$D$106,AQ$2,'Additions (monthly)'!$B$2:$B$106,"&lt;="&amp;$B179)</f>
        <v>4.45</v>
      </c>
      <c r="AR179" s="43" t="n">
        <f aca="false">SUMIFS('Additions (monthly)'!$E$2:$E$106,'Additions (monthly)'!$D$2:$D$106,AR$2,'Additions (monthly)'!$B$2:$B$106,"&lt;="&amp;$B179)</f>
        <v>77.1</v>
      </c>
      <c r="AS179" s="43" t="n">
        <f aca="false">SUMIFS('Additions (monthly)'!$E$2:$E$106,'Additions (monthly)'!$D$2:$D$106,AS$2,'Additions (monthly)'!$B$2:$B$106,"&lt;="&amp;$B179)</f>
        <v>6.6</v>
      </c>
      <c r="AT179" s="43" t="n">
        <f aca="false">SUMIFS('Additions (monthly)'!$E$2:$E$106,'Additions (monthly)'!$D$2:$D$106,AT$2,'Additions (monthly)'!$B$2:$B$106,"&lt;="&amp;$B179)</f>
        <v>1.5</v>
      </c>
      <c r="AU179" s="43" t="n">
        <f aca="false">SUMIFS('Additions (monthly)'!$E$2:$E$106,'Additions (monthly)'!$D$2:$D$106,AU$2,'Additions (monthly)'!$B$2:$B$106,"&lt;="&amp;$B179)</f>
        <v>9.6</v>
      </c>
      <c r="AV179" s="43" t="n">
        <f aca="false">SUMIFS('Additions (monthly)'!$E$2:$E$106,'Additions (monthly)'!$D$2:$D$106,AV$2,'Additions (monthly)'!$B$2:$B$106,"&lt;="&amp;$B179)</f>
        <v>0.66</v>
      </c>
      <c r="AW179" s="43" t="n">
        <f aca="false">SUMIFS('Additions (monthly)'!$E$2:$E$106,'Additions (monthly)'!$D$2:$D$106,AW$2,'Additions (monthly)'!$B$2:$B$106,"&lt;="&amp;$B179)</f>
        <v>17.4</v>
      </c>
      <c r="AX179" s="43" t="n">
        <f aca="false">SUMIFS('Additions (monthly)'!$E$2:$E$106,'Additions (monthly)'!$D$2:$D$106,AX$2,'Additions (monthly)'!$B$2:$B$106,"&lt;="&amp;$B179)</f>
        <v>11.8</v>
      </c>
      <c r="AY179" s="43" t="n">
        <f aca="false">SUMIFS('Additions (monthly)'!$E$2:$E$106,'Additions (monthly)'!$D$2:$D$106,AY$2,'Additions (monthly)'!$B$2:$B$106,"&lt;="&amp;$B179)</f>
        <v>5.3</v>
      </c>
      <c r="AZ179" s="43" t="n">
        <f aca="false">SUMIFS('Additions (monthly)'!$E$2:$E$106,'Additions (monthly)'!$D$2:$D$106,AZ$2,'Additions (monthly)'!$B$2:$B$106,"&lt;="&amp;$B179)</f>
        <v>9.97</v>
      </c>
      <c r="BA179" s="43" t="n">
        <f aca="false">SUMIFS('Additions (monthly)'!$E$2:$E$106,'Additions (monthly)'!$D$2:$D$106,BA$2,'Additions (monthly)'!$B$2:$B$106,"&lt;="&amp;$B179)</f>
        <v>13.5</v>
      </c>
      <c r="BB179" s="43" t="n">
        <f aca="false">SUMIFS('Additions (monthly)'!$E$2:$E$106,'Additions (monthly)'!$D$2:$D$106,BB$2,'Additions (monthly)'!$B$2:$B$106,"&lt;="&amp;$B179)</f>
        <v>15</v>
      </c>
      <c r="BC179" s="43" t="n">
        <f aca="false">SUMIFS('Additions (monthly)'!$E$2:$E$106,'Additions (monthly)'!$D$2:$D$106,BC$2,'Additions (monthly)'!$B$2:$B$106,"&lt;="&amp;$B179)</f>
        <v>5.25</v>
      </c>
      <c r="BD179" s="43" t="n">
        <f aca="false">SUMIFS('Additions (monthly)'!$E$2:$E$106,'Additions (monthly)'!$D$2:$D$106,BD$2,'Additions (monthly)'!$B$2:$B$106,"&lt;="&amp;$B179)</f>
        <v>2.5</v>
      </c>
      <c r="BE179" s="43" t="n">
        <f aca="false">SUMIFS('Additions (monthly)'!$E$2:$E$106,'Additions (monthly)'!$D$2:$D$106,BE$2,'Additions (monthly)'!$B$2:$B$106,"&lt;="&amp;$B179)</f>
        <v>15.3</v>
      </c>
      <c r="BF179" s="43" t="n">
        <f aca="false">SUMIFS('Additions (monthly)'!$E$2:$E$106,'Additions (monthly)'!$D$2:$D$106,BF$2,'Additions (monthly)'!$B$2:$B$106,"&lt;="&amp;$B179)</f>
        <v>0</v>
      </c>
      <c r="BG179" s="43" t="n">
        <f aca="false">SUMIFS('Additions (monthly)'!$E$2:$E$106,'Additions (monthly)'!$D$2:$D$106,BG$2,'Additions (monthly)'!$B$2:$B$106,"&lt;="&amp;$B179)</f>
        <v>0</v>
      </c>
      <c r="BH179" s="43" t="n">
        <f aca="false">SUMIFS('Additions (monthly)'!$E$2:$E$106,'Additions (monthly)'!$D$2:$D$106,BH$2,'Additions (monthly)'!$B$2:$B$106,"&lt;="&amp;$B179)</f>
        <v>30</v>
      </c>
      <c r="BI179" s="43" t="n">
        <f aca="false">SUMIFS('Additions (monthly)'!$E$2:$E$106,'Additions (monthly)'!$D$2:$D$106,BI$2,'Additions (monthly)'!$B$2:$B$106,"&lt;="&amp;$B179)</f>
        <v>6.7</v>
      </c>
    </row>
    <row r="180" customFormat="false" ht="15" hidden="false" customHeight="false" outlineLevel="0" collapsed="false">
      <c r="A180" s="23" t="n">
        <v>45566</v>
      </c>
      <c r="B180" s="24" t="n">
        <v>202410</v>
      </c>
      <c r="C180" s="42" t="n">
        <f aca="false">SUMIFS('Additions (monthly)'!$E$2:$E$106,'Additions (monthly)'!$B$2:$B$106,"&lt;="&amp;$B180)</f>
        <v>489.65</v>
      </c>
      <c r="D180" s="43" t="n">
        <f aca="false">SUMIFS('Additions (monthly)'!$E$2:$E$106,'Additions (monthly)'!$D$2:$D$106,D$2,'Additions (monthly)'!$B$2:$B$106,"&lt;="&amp;$B180)</f>
        <v>7.9</v>
      </c>
      <c r="E180" s="43" t="n">
        <f aca="false">SUMIFS('Additions (monthly)'!$E$2:$E$106,'Additions (monthly)'!$D$2:$D$106,E$2,'Additions (monthly)'!$B$2:$B$106,"&lt;="&amp;$B180)</f>
        <v>8.4</v>
      </c>
      <c r="F180" s="43" t="n">
        <f aca="false">SUMIFS('Additions (monthly)'!$E$2:$E$106,'Additions (monthly)'!$D$2:$D$106,F$2,'Additions (monthly)'!$B$2:$B$106,"&lt;="&amp;$B180)</f>
        <v>4.7</v>
      </c>
      <c r="G180" s="43" t="n">
        <f aca="false">SUMIFS('Additions (monthly)'!$E$2:$E$106,'Additions (monthly)'!$D$2:$D$106,G$2,'Additions (monthly)'!$B$2:$B$106,"&lt;="&amp;$B180)</f>
        <v>4.5</v>
      </c>
      <c r="H180" s="43" t="n">
        <f aca="false">SUMIFS('Additions (monthly)'!$E$2:$E$106,'Additions (monthly)'!$D$2:$D$106,H$2,'Additions (monthly)'!$B$2:$B$106,"&lt;="&amp;$B180)</f>
        <v>5.2</v>
      </c>
      <c r="I180" s="43" t="n">
        <f aca="false">SUMIFS('Additions (monthly)'!$E$2:$E$106,'Additions (monthly)'!$D$2:$D$106,I$2,'Additions (monthly)'!$B$2:$B$106,"&lt;="&amp;$B180)</f>
        <v>9</v>
      </c>
      <c r="J180" s="43" t="n">
        <f aca="false">SUMIFS('Additions (monthly)'!$E$2:$E$106,'Additions (monthly)'!$D$2:$D$106,J$2,'Additions (monthly)'!$B$2:$B$106,"&lt;="&amp;$B180)</f>
        <v>3.7</v>
      </c>
      <c r="K180" s="43" t="n">
        <f aca="false">SUMIFS('Additions (monthly)'!$E$2:$E$106,'Additions (monthly)'!$D$2:$D$106,K$2,'Additions (monthly)'!$B$2:$B$106,"&lt;="&amp;$B180)</f>
        <v>7.8</v>
      </c>
      <c r="L180" s="43" t="n">
        <f aca="false">SUMIFS('Additions (monthly)'!$E$2:$E$106,'Additions (monthly)'!$D$2:$D$106,L$2,'Additions (monthly)'!$B$2:$B$106,"&lt;="&amp;$B180)</f>
        <v>15.6</v>
      </c>
      <c r="M180" s="43" t="n">
        <f aca="false">SUMIFS('Additions (monthly)'!$E$2:$E$106,'Additions (monthly)'!$D$2:$D$106,M$2,'Additions (monthly)'!$B$2:$B$106,"&lt;="&amp;$B180)</f>
        <v>8.9</v>
      </c>
      <c r="N180" s="43" t="n">
        <f aca="false">SUMIFS('Additions (monthly)'!$E$2:$E$106,'Additions (monthly)'!$D$2:$D$106,N$2,'Additions (monthly)'!$B$2:$B$106,"&lt;="&amp;$B180)</f>
        <v>14.2</v>
      </c>
      <c r="O180" s="43" t="n">
        <f aca="false">SUMIFS('Additions (monthly)'!$E$2:$E$106,'Additions (monthly)'!$D$2:$D$106,O$2,'Additions (monthly)'!$B$2:$B$106,"&lt;="&amp;$B180)</f>
        <v>4.9</v>
      </c>
      <c r="P180" s="43" t="n">
        <f aca="false">SUMIFS('Additions (monthly)'!$E$2:$E$106,'Additions (monthly)'!$D$2:$D$106,P$2,'Additions (monthly)'!$B$2:$B$106,"&lt;="&amp;$B180)</f>
        <v>3.6</v>
      </c>
      <c r="Q180" s="43" t="n">
        <f aca="false">SUMIFS('Additions (monthly)'!$E$2:$E$106,'Additions (monthly)'!$D$2:$D$106,Q$2,'Additions (monthly)'!$B$2:$B$106,"&lt;="&amp;$B180)</f>
        <v>8.5</v>
      </c>
      <c r="R180" s="43" t="n">
        <f aca="false">SUMIFS('Additions (monthly)'!$E$2:$E$106,'Additions (monthly)'!$D$2:$D$106,R$2,'Additions (monthly)'!$B$2:$B$106,"&lt;="&amp;$B180)</f>
        <v>8.9</v>
      </c>
      <c r="S180" s="43" t="n">
        <f aca="false">SUMIFS('Additions (monthly)'!$E$2:$E$106,'Additions (monthly)'!$D$2:$D$106,S$2,'Additions (monthly)'!$B$2:$B$106,"&lt;="&amp;$B180)</f>
        <v>7.2</v>
      </c>
      <c r="T180" s="43" t="n">
        <f aca="false">SUMIFS('Additions (monthly)'!$E$2:$E$106,'Additions (monthly)'!$D$2:$D$106,T$2,'Additions (monthly)'!$B$2:$B$106,"&lt;="&amp;$B180)</f>
        <v>2.4</v>
      </c>
      <c r="U180" s="43" t="n">
        <f aca="false">SUMIFS('Additions (monthly)'!$E$2:$E$106,'Additions (monthly)'!$D$2:$D$106,U$2,'Additions (monthly)'!$B$2:$B$106,"&lt;="&amp;$B180)</f>
        <v>0</v>
      </c>
      <c r="V180" s="43" t="n">
        <f aca="false">SUMIFS('Additions (monthly)'!$E$2:$E$106,'Additions (monthly)'!$D$2:$D$106,V$2,'Additions (monthly)'!$B$2:$B$106,"&lt;="&amp;$B180)</f>
        <v>3.87</v>
      </c>
      <c r="W180" s="43" t="n">
        <f aca="false">SUMIFS('Additions (monthly)'!$E$2:$E$106,'Additions (monthly)'!$D$2:$D$106,W$2,'Additions (monthly)'!$B$2:$B$106,"&lt;="&amp;$B180)</f>
        <v>0.6</v>
      </c>
      <c r="X180" s="43" t="n">
        <f aca="false">SUMIFS('Additions (monthly)'!$E$2:$E$106,'Additions (monthly)'!$D$2:$D$106,X$2,'Additions (monthly)'!$B$2:$B$106,"&lt;="&amp;$B180)</f>
        <v>0</v>
      </c>
      <c r="Y180" s="43" t="n">
        <f aca="false">SUMIFS('Additions (monthly)'!$E$2:$E$106,'Additions (monthly)'!$D$2:$D$106,Y$2,'Additions (monthly)'!$B$2:$B$106,"&lt;="&amp;$B180)</f>
        <v>5</v>
      </c>
      <c r="Z180" s="43" t="n">
        <f aca="false">SUMIFS('Additions (monthly)'!$E$2:$E$106,'Additions (monthly)'!$D$2:$D$106,Z$2,'Additions (monthly)'!$B$2:$B$106,"&lt;="&amp;$B180)</f>
        <v>7.2</v>
      </c>
      <c r="AA180" s="43" t="n">
        <f aca="false">SUMIFS('Additions (monthly)'!$E$2:$E$106,'Additions (monthly)'!$D$2:$D$106,AA$2,'Additions (monthly)'!$B$2:$B$106,"&lt;="&amp;$B180)</f>
        <v>3.7</v>
      </c>
      <c r="AB180" s="43" t="n">
        <f aca="false">SUMIFS('Additions (monthly)'!$E$2:$E$106,'Additions (monthly)'!$D$2:$D$106,AB$2,'Additions (monthly)'!$B$2:$B$106,"&lt;="&amp;$B180)</f>
        <v>16.95</v>
      </c>
      <c r="AC180" s="43" t="n">
        <f aca="false">SUMIFS('Additions (monthly)'!$E$2:$E$106,'Additions (monthly)'!$D$2:$D$106,AC$2,'Additions (monthly)'!$B$2:$B$106,"&lt;="&amp;$B180)</f>
        <v>2</v>
      </c>
      <c r="AD180" s="43" t="n">
        <f aca="false">SUMIFS('Additions (monthly)'!$E$2:$E$106,'Additions (monthly)'!$D$2:$D$106,AD$2,'Additions (monthly)'!$B$2:$B$106,"&lt;="&amp;$B180)</f>
        <v>11.4</v>
      </c>
      <c r="AE180" s="43" t="n">
        <f aca="false">SUMIFS('Additions (monthly)'!$E$2:$E$106,'Additions (monthly)'!$D$2:$D$106,AE$2,'Additions (monthly)'!$B$2:$B$106,"&lt;="&amp;$B180)</f>
        <v>29.3</v>
      </c>
      <c r="AF180" s="43" t="n">
        <f aca="false">SUMIFS('Additions (monthly)'!$E$2:$E$106,'Additions (monthly)'!$D$2:$D$106,AF$2,'Additions (monthly)'!$B$2:$B$106,"&lt;="&amp;$B180)</f>
        <v>1.2</v>
      </c>
      <c r="AG180" s="43" t="n">
        <f aca="false">SUMIFS('Additions (monthly)'!$E$2:$E$106,'Additions (monthly)'!$D$2:$D$106,AG$2,'Additions (monthly)'!$B$2:$B$106,"&lt;="&amp;$B180)</f>
        <v>1.5</v>
      </c>
      <c r="AH180" s="43" t="n">
        <f aca="false">SUMIFS('Additions (monthly)'!$E$2:$E$106,'Additions (monthly)'!$D$2:$D$106,AH$2,'Additions (monthly)'!$B$2:$B$106,"&lt;="&amp;$B180)</f>
        <v>0</v>
      </c>
      <c r="AI180" s="43" t="n">
        <f aca="false">SUMIFS('Additions (monthly)'!$E$2:$E$106,'Additions (monthly)'!$D$2:$D$106,AI$2,'Additions (monthly)'!$B$2:$B$106,"&lt;="&amp;$B180)</f>
        <v>1.4</v>
      </c>
      <c r="AJ180" s="43" t="n">
        <f aca="false">SUMIFS('Additions (monthly)'!$E$2:$E$106,'Additions (monthly)'!$D$2:$D$106,AJ$2,'Additions (monthly)'!$B$2:$B$106,"&lt;="&amp;$B180)</f>
        <v>0</v>
      </c>
      <c r="AK180" s="43" t="n">
        <f aca="false">SUMIFS('Additions (monthly)'!$E$2:$E$106,'Additions (monthly)'!$D$2:$D$106,AK$2,'Additions (monthly)'!$B$2:$B$106,"&lt;="&amp;$B180)</f>
        <v>3.4</v>
      </c>
      <c r="AL180" s="43" t="n">
        <f aca="false">SUMIFS('Additions (monthly)'!$E$2:$E$106,'Additions (monthly)'!$D$2:$D$106,AL$2,'Additions (monthly)'!$B$2:$B$106,"&lt;="&amp;$B180)</f>
        <v>22.2</v>
      </c>
      <c r="AM180" s="43" t="n">
        <f aca="false">SUMIFS('Additions (monthly)'!$E$2:$E$106,'Additions (monthly)'!$D$2:$D$106,AM$2,'Additions (monthly)'!$B$2:$B$106,"&lt;="&amp;$B180)</f>
        <v>0.3</v>
      </c>
      <c r="AN180" s="43" t="n">
        <f aca="false">SUMIFS('Additions (monthly)'!$E$2:$E$106,'Additions (monthly)'!$D$2:$D$106,AN$2,'Additions (monthly)'!$B$2:$B$106,"&lt;="&amp;$B180)</f>
        <v>4.3</v>
      </c>
      <c r="AO180" s="43" t="n">
        <f aca="false">SUMIFS('Additions (monthly)'!$E$2:$E$106,'Additions (monthly)'!$D$2:$D$106,AO$2,'Additions (monthly)'!$B$2:$B$106,"&lt;="&amp;$B180)</f>
        <v>10.4</v>
      </c>
      <c r="AP180" s="43" t="n">
        <f aca="false">SUMIFS('Additions (monthly)'!$E$2:$E$106,'Additions (monthly)'!$D$2:$D$106,AP$2,'Additions (monthly)'!$B$2:$B$106,"&lt;="&amp;$B180)</f>
        <v>6.9</v>
      </c>
      <c r="AQ180" s="43" t="n">
        <f aca="false">SUMIFS('Additions (monthly)'!$E$2:$E$106,'Additions (monthly)'!$D$2:$D$106,AQ$2,'Additions (monthly)'!$B$2:$B$106,"&lt;="&amp;$B180)</f>
        <v>4.45</v>
      </c>
      <c r="AR180" s="43" t="n">
        <f aca="false">SUMIFS('Additions (monthly)'!$E$2:$E$106,'Additions (monthly)'!$D$2:$D$106,AR$2,'Additions (monthly)'!$B$2:$B$106,"&lt;="&amp;$B180)</f>
        <v>77.1</v>
      </c>
      <c r="AS180" s="43" t="n">
        <f aca="false">SUMIFS('Additions (monthly)'!$E$2:$E$106,'Additions (monthly)'!$D$2:$D$106,AS$2,'Additions (monthly)'!$B$2:$B$106,"&lt;="&amp;$B180)</f>
        <v>6.6</v>
      </c>
      <c r="AT180" s="43" t="n">
        <f aca="false">SUMIFS('Additions (monthly)'!$E$2:$E$106,'Additions (monthly)'!$D$2:$D$106,AT$2,'Additions (monthly)'!$B$2:$B$106,"&lt;="&amp;$B180)</f>
        <v>1.5</v>
      </c>
      <c r="AU180" s="43" t="n">
        <f aca="false">SUMIFS('Additions (monthly)'!$E$2:$E$106,'Additions (monthly)'!$D$2:$D$106,AU$2,'Additions (monthly)'!$B$2:$B$106,"&lt;="&amp;$B180)</f>
        <v>9.6</v>
      </c>
      <c r="AV180" s="43" t="n">
        <f aca="false">SUMIFS('Additions (monthly)'!$E$2:$E$106,'Additions (monthly)'!$D$2:$D$106,AV$2,'Additions (monthly)'!$B$2:$B$106,"&lt;="&amp;$B180)</f>
        <v>0.66</v>
      </c>
      <c r="AW180" s="43" t="n">
        <f aca="false">SUMIFS('Additions (monthly)'!$E$2:$E$106,'Additions (monthly)'!$D$2:$D$106,AW$2,'Additions (monthly)'!$B$2:$B$106,"&lt;="&amp;$B180)</f>
        <v>17.4</v>
      </c>
      <c r="AX180" s="43" t="n">
        <f aca="false">SUMIFS('Additions (monthly)'!$E$2:$E$106,'Additions (monthly)'!$D$2:$D$106,AX$2,'Additions (monthly)'!$B$2:$B$106,"&lt;="&amp;$B180)</f>
        <v>11.8</v>
      </c>
      <c r="AY180" s="43" t="n">
        <f aca="false">SUMIFS('Additions (monthly)'!$E$2:$E$106,'Additions (monthly)'!$D$2:$D$106,AY$2,'Additions (monthly)'!$B$2:$B$106,"&lt;="&amp;$B180)</f>
        <v>5.3</v>
      </c>
      <c r="AZ180" s="43" t="n">
        <f aca="false">SUMIFS('Additions (monthly)'!$E$2:$E$106,'Additions (monthly)'!$D$2:$D$106,AZ$2,'Additions (monthly)'!$B$2:$B$106,"&lt;="&amp;$B180)</f>
        <v>9.97</v>
      </c>
      <c r="BA180" s="43" t="n">
        <f aca="false">SUMIFS('Additions (monthly)'!$E$2:$E$106,'Additions (monthly)'!$D$2:$D$106,BA$2,'Additions (monthly)'!$B$2:$B$106,"&lt;="&amp;$B180)</f>
        <v>13.5</v>
      </c>
      <c r="BB180" s="43" t="n">
        <f aca="false">SUMIFS('Additions (monthly)'!$E$2:$E$106,'Additions (monthly)'!$D$2:$D$106,BB$2,'Additions (monthly)'!$B$2:$B$106,"&lt;="&amp;$B180)</f>
        <v>15</v>
      </c>
      <c r="BC180" s="43" t="n">
        <f aca="false">SUMIFS('Additions (monthly)'!$E$2:$E$106,'Additions (monthly)'!$D$2:$D$106,BC$2,'Additions (monthly)'!$B$2:$B$106,"&lt;="&amp;$B180)</f>
        <v>5.25</v>
      </c>
      <c r="BD180" s="43" t="n">
        <f aca="false">SUMIFS('Additions (monthly)'!$E$2:$E$106,'Additions (monthly)'!$D$2:$D$106,BD$2,'Additions (monthly)'!$B$2:$B$106,"&lt;="&amp;$B180)</f>
        <v>2.5</v>
      </c>
      <c r="BE180" s="43" t="n">
        <f aca="false">SUMIFS('Additions (monthly)'!$E$2:$E$106,'Additions (monthly)'!$D$2:$D$106,BE$2,'Additions (monthly)'!$B$2:$B$106,"&lt;="&amp;$B180)</f>
        <v>15.3</v>
      </c>
      <c r="BF180" s="43" t="n">
        <f aca="false">SUMIFS('Additions (monthly)'!$E$2:$E$106,'Additions (monthly)'!$D$2:$D$106,BF$2,'Additions (monthly)'!$B$2:$B$106,"&lt;="&amp;$B180)</f>
        <v>0</v>
      </c>
      <c r="BG180" s="43" t="n">
        <f aca="false">SUMIFS('Additions (monthly)'!$E$2:$E$106,'Additions (monthly)'!$D$2:$D$106,BG$2,'Additions (monthly)'!$B$2:$B$106,"&lt;="&amp;$B180)</f>
        <v>0</v>
      </c>
      <c r="BH180" s="43" t="n">
        <f aca="false">SUMIFS('Additions (monthly)'!$E$2:$E$106,'Additions (monthly)'!$D$2:$D$106,BH$2,'Additions (monthly)'!$B$2:$B$106,"&lt;="&amp;$B180)</f>
        <v>30</v>
      </c>
      <c r="BI180" s="43" t="n">
        <f aca="false">SUMIFS('Additions (monthly)'!$E$2:$E$106,'Additions (monthly)'!$D$2:$D$106,BI$2,'Additions (monthly)'!$B$2:$B$106,"&lt;="&amp;$B180)</f>
        <v>6.7</v>
      </c>
    </row>
    <row r="181" customFormat="false" ht="15" hidden="false" customHeight="false" outlineLevel="0" collapsed="false">
      <c r="A181" s="23" t="n">
        <v>45597</v>
      </c>
      <c r="B181" s="24" t="n">
        <v>202411</v>
      </c>
      <c r="C181" s="42" t="n">
        <f aca="false">SUMIFS('Additions (monthly)'!$E$2:$E$106,'Additions (monthly)'!$B$2:$B$106,"&lt;="&amp;$B181)</f>
        <v>489.65</v>
      </c>
      <c r="D181" s="43" t="n">
        <f aca="false">SUMIFS('Additions (monthly)'!$E$2:$E$106,'Additions (monthly)'!$D$2:$D$106,D$2,'Additions (monthly)'!$B$2:$B$106,"&lt;="&amp;$B181)</f>
        <v>7.9</v>
      </c>
      <c r="E181" s="43" t="n">
        <f aca="false">SUMIFS('Additions (monthly)'!$E$2:$E$106,'Additions (monthly)'!$D$2:$D$106,E$2,'Additions (monthly)'!$B$2:$B$106,"&lt;="&amp;$B181)</f>
        <v>8.4</v>
      </c>
      <c r="F181" s="43" t="n">
        <f aca="false">SUMIFS('Additions (monthly)'!$E$2:$E$106,'Additions (monthly)'!$D$2:$D$106,F$2,'Additions (monthly)'!$B$2:$B$106,"&lt;="&amp;$B181)</f>
        <v>4.7</v>
      </c>
      <c r="G181" s="43" t="n">
        <f aca="false">SUMIFS('Additions (monthly)'!$E$2:$E$106,'Additions (monthly)'!$D$2:$D$106,G$2,'Additions (monthly)'!$B$2:$B$106,"&lt;="&amp;$B181)</f>
        <v>4.5</v>
      </c>
      <c r="H181" s="43" t="n">
        <f aca="false">SUMIFS('Additions (monthly)'!$E$2:$E$106,'Additions (monthly)'!$D$2:$D$106,H$2,'Additions (monthly)'!$B$2:$B$106,"&lt;="&amp;$B181)</f>
        <v>5.2</v>
      </c>
      <c r="I181" s="43" t="n">
        <f aca="false">SUMIFS('Additions (monthly)'!$E$2:$E$106,'Additions (monthly)'!$D$2:$D$106,I$2,'Additions (monthly)'!$B$2:$B$106,"&lt;="&amp;$B181)</f>
        <v>9</v>
      </c>
      <c r="J181" s="43" t="n">
        <f aca="false">SUMIFS('Additions (monthly)'!$E$2:$E$106,'Additions (monthly)'!$D$2:$D$106,J$2,'Additions (monthly)'!$B$2:$B$106,"&lt;="&amp;$B181)</f>
        <v>3.7</v>
      </c>
      <c r="K181" s="43" t="n">
        <f aca="false">SUMIFS('Additions (monthly)'!$E$2:$E$106,'Additions (monthly)'!$D$2:$D$106,K$2,'Additions (monthly)'!$B$2:$B$106,"&lt;="&amp;$B181)</f>
        <v>7.8</v>
      </c>
      <c r="L181" s="43" t="n">
        <f aca="false">SUMIFS('Additions (monthly)'!$E$2:$E$106,'Additions (monthly)'!$D$2:$D$106,L$2,'Additions (monthly)'!$B$2:$B$106,"&lt;="&amp;$B181)</f>
        <v>15.6</v>
      </c>
      <c r="M181" s="43" t="n">
        <f aca="false">SUMIFS('Additions (monthly)'!$E$2:$E$106,'Additions (monthly)'!$D$2:$D$106,M$2,'Additions (monthly)'!$B$2:$B$106,"&lt;="&amp;$B181)</f>
        <v>8.9</v>
      </c>
      <c r="N181" s="43" t="n">
        <f aca="false">SUMIFS('Additions (monthly)'!$E$2:$E$106,'Additions (monthly)'!$D$2:$D$106,N$2,'Additions (monthly)'!$B$2:$B$106,"&lt;="&amp;$B181)</f>
        <v>14.2</v>
      </c>
      <c r="O181" s="43" t="n">
        <f aca="false">SUMIFS('Additions (monthly)'!$E$2:$E$106,'Additions (monthly)'!$D$2:$D$106,O$2,'Additions (monthly)'!$B$2:$B$106,"&lt;="&amp;$B181)</f>
        <v>4.9</v>
      </c>
      <c r="P181" s="43" t="n">
        <f aca="false">SUMIFS('Additions (monthly)'!$E$2:$E$106,'Additions (monthly)'!$D$2:$D$106,P$2,'Additions (monthly)'!$B$2:$B$106,"&lt;="&amp;$B181)</f>
        <v>3.6</v>
      </c>
      <c r="Q181" s="43" t="n">
        <f aca="false">SUMIFS('Additions (monthly)'!$E$2:$E$106,'Additions (monthly)'!$D$2:$D$106,Q$2,'Additions (monthly)'!$B$2:$B$106,"&lt;="&amp;$B181)</f>
        <v>8.5</v>
      </c>
      <c r="R181" s="43" t="n">
        <f aca="false">SUMIFS('Additions (monthly)'!$E$2:$E$106,'Additions (monthly)'!$D$2:$D$106,R$2,'Additions (monthly)'!$B$2:$B$106,"&lt;="&amp;$B181)</f>
        <v>8.9</v>
      </c>
      <c r="S181" s="43" t="n">
        <f aca="false">SUMIFS('Additions (monthly)'!$E$2:$E$106,'Additions (monthly)'!$D$2:$D$106,S$2,'Additions (monthly)'!$B$2:$B$106,"&lt;="&amp;$B181)</f>
        <v>7.2</v>
      </c>
      <c r="T181" s="43" t="n">
        <f aca="false">SUMIFS('Additions (monthly)'!$E$2:$E$106,'Additions (monthly)'!$D$2:$D$106,T$2,'Additions (monthly)'!$B$2:$B$106,"&lt;="&amp;$B181)</f>
        <v>2.4</v>
      </c>
      <c r="U181" s="43" t="n">
        <f aca="false">SUMIFS('Additions (monthly)'!$E$2:$E$106,'Additions (monthly)'!$D$2:$D$106,U$2,'Additions (monthly)'!$B$2:$B$106,"&lt;="&amp;$B181)</f>
        <v>0</v>
      </c>
      <c r="V181" s="43" t="n">
        <f aca="false">SUMIFS('Additions (monthly)'!$E$2:$E$106,'Additions (monthly)'!$D$2:$D$106,V$2,'Additions (monthly)'!$B$2:$B$106,"&lt;="&amp;$B181)</f>
        <v>3.87</v>
      </c>
      <c r="W181" s="43" t="n">
        <f aca="false">SUMIFS('Additions (monthly)'!$E$2:$E$106,'Additions (monthly)'!$D$2:$D$106,W$2,'Additions (monthly)'!$B$2:$B$106,"&lt;="&amp;$B181)</f>
        <v>0.6</v>
      </c>
      <c r="X181" s="43" t="n">
        <f aca="false">SUMIFS('Additions (monthly)'!$E$2:$E$106,'Additions (monthly)'!$D$2:$D$106,X$2,'Additions (monthly)'!$B$2:$B$106,"&lt;="&amp;$B181)</f>
        <v>0</v>
      </c>
      <c r="Y181" s="43" t="n">
        <f aca="false">SUMIFS('Additions (monthly)'!$E$2:$E$106,'Additions (monthly)'!$D$2:$D$106,Y$2,'Additions (monthly)'!$B$2:$B$106,"&lt;="&amp;$B181)</f>
        <v>5</v>
      </c>
      <c r="Z181" s="43" t="n">
        <f aca="false">SUMIFS('Additions (monthly)'!$E$2:$E$106,'Additions (monthly)'!$D$2:$D$106,Z$2,'Additions (monthly)'!$B$2:$B$106,"&lt;="&amp;$B181)</f>
        <v>7.2</v>
      </c>
      <c r="AA181" s="43" t="n">
        <f aca="false">SUMIFS('Additions (monthly)'!$E$2:$E$106,'Additions (monthly)'!$D$2:$D$106,AA$2,'Additions (monthly)'!$B$2:$B$106,"&lt;="&amp;$B181)</f>
        <v>3.7</v>
      </c>
      <c r="AB181" s="43" t="n">
        <f aca="false">SUMIFS('Additions (monthly)'!$E$2:$E$106,'Additions (monthly)'!$D$2:$D$106,AB$2,'Additions (monthly)'!$B$2:$B$106,"&lt;="&amp;$B181)</f>
        <v>16.95</v>
      </c>
      <c r="AC181" s="43" t="n">
        <f aca="false">SUMIFS('Additions (monthly)'!$E$2:$E$106,'Additions (monthly)'!$D$2:$D$106,AC$2,'Additions (monthly)'!$B$2:$B$106,"&lt;="&amp;$B181)</f>
        <v>2</v>
      </c>
      <c r="AD181" s="43" t="n">
        <f aca="false">SUMIFS('Additions (monthly)'!$E$2:$E$106,'Additions (monthly)'!$D$2:$D$106,AD$2,'Additions (monthly)'!$B$2:$B$106,"&lt;="&amp;$B181)</f>
        <v>11.4</v>
      </c>
      <c r="AE181" s="43" t="n">
        <f aca="false">SUMIFS('Additions (monthly)'!$E$2:$E$106,'Additions (monthly)'!$D$2:$D$106,AE$2,'Additions (monthly)'!$B$2:$B$106,"&lt;="&amp;$B181)</f>
        <v>29.3</v>
      </c>
      <c r="AF181" s="43" t="n">
        <f aca="false">SUMIFS('Additions (monthly)'!$E$2:$E$106,'Additions (monthly)'!$D$2:$D$106,AF$2,'Additions (monthly)'!$B$2:$B$106,"&lt;="&amp;$B181)</f>
        <v>1.2</v>
      </c>
      <c r="AG181" s="43" t="n">
        <f aca="false">SUMIFS('Additions (monthly)'!$E$2:$E$106,'Additions (monthly)'!$D$2:$D$106,AG$2,'Additions (monthly)'!$B$2:$B$106,"&lt;="&amp;$B181)</f>
        <v>1.5</v>
      </c>
      <c r="AH181" s="43" t="n">
        <f aca="false">SUMIFS('Additions (monthly)'!$E$2:$E$106,'Additions (monthly)'!$D$2:$D$106,AH$2,'Additions (monthly)'!$B$2:$B$106,"&lt;="&amp;$B181)</f>
        <v>0</v>
      </c>
      <c r="AI181" s="43" t="n">
        <f aca="false">SUMIFS('Additions (monthly)'!$E$2:$E$106,'Additions (monthly)'!$D$2:$D$106,AI$2,'Additions (monthly)'!$B$2:$B$106,"&lt;="&amp;$B181)</f>
        <v>1.4</v>
      </c>
      <c r="AJ181" s="43" t="n">
        <f aca="false">SUMIFS('Additions (monthly)'!$E$2:$E$106,'Additions (monthly)'!$D$2:$D$106,AJ$2,'Additions (monthly)'!$B$2:$B$106,"&lt;="&amp;$B181)</f>
        <v>0</v>
      </c>
      <c r="AK181" s="43" t="n">
        <f aca="false">SUMIFS('Additions (monthly)'!$E$2:$E$106,'Additions (monthly)'!$D$2:$D$106,AK$2,'Additions (monthly)'!$B$2:$B$106,"&lt;="&amp;$B181)</f>
        <v>3.4</v>
      </c>
      <c r="AL181" s="43" t="n">
        <f aca="false">SUMIFS('Additions (monthly)'!$E$2:$E$106,'Additions (monthly)'!$D$2:$D$106,AL$2,'Additions (monthly)'!$B$2:$B$106,"&lt;="&amp;$B181)</f>
        <v>22.2</v>
      </c>
      <c r="AM181" s="43" t="n">
        <f aca="false">SUMIFS('Additions (monthly)'!$E$2:$E$106,'Additions (monthly)'!$D$2:$D$106,AM$2,'Additions (monthly)'!$B$2:$B$106,"&lt;="&amp;$B181)</f>
        <v>0.3</v>
      </c>
      <c r="AN181" s="43" t="n">
        <f aca="false">SUMIFS('Additions (monthly)'!$E$2:$E$106,'Additions (monthly)'!$D$2:$D$106,AN$2,'Additions (monthly)'!$B$2:$B$106,"&lt;="&amp;$B181)</f>
        <v>4.3</v>
      </c>
      <c r="AO181" s="43" t="n">
        <f aca="false">SUMIFS('Additions (monthly)'!$E$2:$E$106,'Additions (monthly)'!$D$2:$D$106,AO$2,'Additions (monthly)'!$B$2:$B$106,"&lt;="&amp;$B181)</f>
        <v>10.4</v>
      </c>
      <c r="AP181" s="43" t="n">
        <f aca="false">SUMIFS('Additions (monthly)'!$E$2:$E$106,'Additions (monthly)'!$D$2:$D$106,AP$2,'Additions (monthly)'!$B$2:$B$106,"&lt;="&amp;$B181)</f>
        <v>6.9</v>
      </c>
      <c r="AQ181" s="43" t="n">
        <f aca="false">SUMIFS('Additions (monthly)'!$E$2:$E$106,'Additions (monthly)'!$D$2:$D$106,AQ$2,'Additions (monthly)'!$B$2:$B$106,"&lt;="&amp;$B181)</f>
        <v>4.45</v>
      </c>
      <c r="AR181" s="43" t="n">
        <f aca="false">SUMIFS('Additions (monthly)'!$E$2:$E$106,'Additions (monthly)'!$D$2:$D$106,AR$2,'Additions (monthly)'!$B$2:$B$106,"&lt;="&amp;$B181)</f>
        <v>77.1</v>
      </c>
      <c r="AS181" s="43" t="n">
        <f aca="false">SUMIFS('Additions (monthly)'!$E$2:$E$106,'Additions (monthly)'!$D$2:$D$106,AS$2,'Additions (monthly)'!$B$2:$B$106,"&lt;="&amp;$B181)</f>
        <v>6.6</v>
      </c>
      <c r="AT181" s="43" t="n">
        <f aca="false">SUMIFS('Additions (monthly)'!$E$2:$E$106,'Additions (monthly)'!$D$2:$D$106,AT$2,'Additions (monthly)'!$B$2:$B$106,"&lt;="&amp;$B181)</f>
        <v>1.5</v>
      </c>
      <c r="AU181" s="43" t="n">
        <f aca="false">SUMIFS('Additions (monthly)'!$E$2:$E$106,'Additions (monthly)'!$D$2:$D$106,AU$2,'Additions (monthly)'!$B$2:$B$106,"&lt;="&amp;$B181)</f>
        <v>9.6</v>
      </c>
      <c r="AV181" s="43" t="n">
        <f aca="false">SUMIFS('Additions (monthly)'!$E$2:$E$106,'Additions (monthly)'!$D$2:$D$106,AV$2,'Additions (monthly)'!$B$2:$B$106,"&lt;="&amp;$B181)</f>
        <v>0.66</v>
      </c>
      <c r="AW181" s="43" t="n">
        <f aca="false">SUMIFS('Additions (monthly)'!$E$2:$E$106,'Additions (monthly)'!$D$2:$D$106,AW$2,'Additions (monthly)'!$B$2:$B$106,"&lt;="&amp;$B181)</f>
        <v>17.4</v>
      </c>
      <c r="AX181" s="43" t="n">
        <f aca="false">SUMIFS('Additions (monthly)'!$E$2:$E$106,'Additions (monthly)'!$D$2:$D$106,AX$2,'Additions (monthly)'!$B$2:$B$106,"&lt;="&amp;$B181)</f>
        <v>11.8</v>
      </c>
      <c r="AY181" s="43" t="n">
        <f aca="false">SUMIFS('Additions (monthly)'!$E$2:$E$106,'Additions (monthly)'!$D$2:$D$106,AY$2,'Additions (monthly)'!$B$2:$B$106,"&lt;="&amp;$B181)</f>
        <v>5.3</v>
      </c>
      <c r="AZ181" s="43" t="n">
        <f aca="false">SUMIFS('Additions (monthly)'!$E$2:$E$106,'Additions (monthly)'!$D$2:$D$106,AZ$2,'Additions (monthly)'!$B$2:$B$106,"&lt;="&amp;$B181)</f>
        <v>9.97</v>
      </c>
      <c r="BA181" s="43" t="n">
        <f aca="false">SUMIFS('Additions (monthly)'!$E$2:$E$106,'Additions (monthly)'!$D$2:$D$106,BA$2,'Additions (monthly)'!$B$2:$B$106,"&lt;="&amp;$B181)</f>
        <v>13.5</v>
      </c>
      <c r="BB181" s="43" t="n">
        <f aca="false">SUMIFS('Additions (monthly)'!$E$2:$E$106,'Additions (monthly)'!$D$2:$D$106,BB$2,'Additions (monthly)'!$B$2:$B$106,"&lt;="&amp;$B181)</f>
        <v>15</v>
      </c>
      <c r="BC181" s="43" t="n">
        <f aca="false">SUMIFS('Additions (monthly)'!$E$2:$E$106,'Additions (monthly)'!$D$2:$D$106,BC$2,'Additions (monthly)'!$B$2:$B$106,"&lt;="&amp;$B181)</f>
        <v>5.25</v>
      </c>
      <c r="BD181" s="43" t="n">
        <f aca="false">SUMIFS('Additions (monthly)'!$E$2:$E$106,'Additions (monthly)'!$D$2:$D$106,BD$2,'Additions (monthly)'!$B$2:$B$106,"&lt;="&amp;$B181)</f>
        <v>2.5</v>
      </c>
      <c r="BE181" s="43" t="n">
        <f aca="false">SUMIFS('Additions (monthly)'!$E$2:$E$106,'Additions (monthly)'!$D$2:$D$106,BE$2,'Additions (monthly)'!$B$2:$B$106,"&lt;="&amp;$B181)</f>
        <v>15.3</v>
      </c>
      <c r="BF181" s="43" t="n">
        <f aca="false">SUMIFS('Additions (monthly)'!$E$2:$E$106,'Additions (monthly)'!$D$2:$D$106,BF$2,'Additions (monthly)'!$B$2:$B$106,"&lt;="&amp;$B181)</f>
        <v>0</v>
      </c>
      <c r="BG181" s="43" t="n">
        <f aca="false">SUMIFS('Additions (monthly)'!$E$2:$E$106,'Additions (monthly)'!$D$2:$D$106,BG$2,'Additions (monthly)'!$B$2:$B$106,"&lt;="&amp;$B181)</f>
        <v>0</v>
      </c>
      <c r="BH181" s="43" t="n">
        <f aca="false">SUMIFS('Additions (monthly)'!$E$2:$E$106,'Additions (monthly)'!$D$2:$D$106,BH$2,'Additions (monthly)'!$B$2:$B$106,"&lt;="&amp;$B181)</f>
        <v>30</v>
      </c>
      <c r="BI181" s="43" t="n">
        <f aca="false">SUMIFS('Additions (monthly)'!$E$2:$E$106,'Additions (monthly)'!$D$2:$D$106,BI$2,'Additions (monthly)'!$B$2:$B$106,"&lt;="&amp;$B181)</f>
        <v>6.7</v>
      </c>
    </row>
    <row r="182" customFormat="false" ht="15" hidden="false" customHeight="false" outlineLevel="0" collapsed="false">
      <c r="A182" s="23" t="n">
        <v>45627</v>
      </c>
      <c r="B182" s="24" t="n">
        <v>202412</v>
      </c>
      <c r="C182" s="42" t="n">
        <f aca="false">SUMIFS('Additions (monthly)'!$E$2:$E$106,'Additions (monthly)'!$B$2:$B$106,"&lt;="&amp;$B182)</f>
        <v>492.22</v>
      </c>
      <c r="D182" s="43" t="n">
        <f aca="false">SUMIFS('Additions (monthly)'!$E$2:$E$106,'Additions (monthly)'!$D$2:$D$106,D$2,'Additions (monthly)'!$B$2:$B$106,"&lt;="&amp;$B182)</f>
        <v>7.9</v>
      </c>
      <c r="E182" s="43" t="n">
        <f aca="false">SUMIFS('Additions (monthly)'!$E$2:$E$106,'Additions (monthly)'!$D$2:$D$106,E$2,'Additions (monthly)'!$B$2:$B$106,"&lt;="&amp;$B182)</f>
        <v>8.4</v>
      </c>
      <c r="F182" s="43" t="n">
        <f aca="false">SUMIFS('Additions (monthly)'!$E$2:$E$106,'Additions (monthly)'!$D$2:$D$106,F$2,'Additions (monthly)'!$B$2:$B$106,"&lt;="&amp;$B182)</f>
        <v>4.7</v>
      </c>
      <c r="G182" s="43" t="n">
        <f aca="false">SUMIFS('Additions (monthly)'!$E$2:$E$106,'Additions (monthly)'!$D$2:$D$106,G$2,'Additions (monthly)'!$B$2:$B$106,"&lt;="&amp;$B182)</f>
        <v>4.5</v>
      </c>
      <c r="H182" s="43" t="n">
        <f aca="false">SUMIFS('Additions (monthly)'!$E$2:$E$106,'Additions (monthly)'!$D$2:$D$106,H$2,'Additions (monthly)'!$B$2:$B$106,"&lt;="&amp;$B182)</f>
        <v>5.2</v>
      </c>
      <c r="I182" s="43" t="n">
        <f aca="false">SUMIFS('Additions (monthly)'!$E$2:$E$106,'Additions (monthly)'!$D$2:$D$106,I$2,'Additions (monthly)'!$B$2:$B$106,"&lt;="&amp;$B182)</f>
        <v>9</v>
      </c>
      <c r="J182" s="43" t="n">
        <f aca="false">SUMIFS('Additions (monthly)'!$E$2:$E$106,'Additions (monthly)'!$D$2:$D$106,J$2,'Additions (monthly)'!$B$2:$B$106,"&lt;="&amp;$B182)</f>
        <v>3.7</v>
      </c>
      <c r="K182" s="43" t="n">
        <f aca="false">SUMIFS('Additions (monthly)'!$E$2:$E$106,'Additions (monthly)'!$D$2:$D$106,K$2,'Additions (monthly)'!$B$2:$B$106,"&lt;="&amp;$B182)</f>
        <v>7.8</v>
      </c>
      <c r="L182" s="43" t="n">
        <f aca="false">SUMIFS('Additions (monthly)'!$E$2:$E$106,'Additions (monthly)'!$D$2:$D$106,L$2,'Additions (monthly)'!$B$2:$B$106,"&lt;="&amp;$B182)</f>
        <v>15.6</v>
      </c>
      <c r="M182" s="43" t="n">
        <f aca="false">SUMIFS('Additions (monthly)'!$E$2:$E$106,'Additions (monthly)'!$D$2:$D$106,M$2,'Additions (monthly)'!$B$2:$B$106,"&lt;="&amp;$B182)</f>
        <v>8.9</v>
      </c>
      <c r="N182" s="43" t="n">
        <f aca="false">SUMIFS('Additions (monthly)'!$E$2:$E$106,'Additions (monthly)'!$D$2:$D$106,N$2,'Additions (monthly)'!$B$2:$B$106,"&lt;="&amp;$B182)</f>
        <v>14.2</v>
      </c>
      <c r="O182" s="43" t="n">
        <f aca="false">SUMIFS('Additions (monthly)'!$E$2:$E$106,'Additions (monthly)'!$D$2:$D$106,O$2,'Additions (monthly)'!$B$2:$B$106,"&lt;="&amp;$B182)</f>
        <v>4.9</v>
      </c>
      <c r="P182" s="43" t="n">
        <f aca="false">SUMIFS('Additions (monthly)'!$E$2:$E$106,'Additions (monthly)'!$D$2:$D$106,P$2,'Additions (monthly)'!$B$2:$B$106,"&lt;="&amp;$B182)</f>
        <v>3.6</v>
      </c>
      <c r="Q182" s="43" t="n">
        <f aca="false">SUMIFS('Additions (monthly)'!$E$2:$E$106,'Additions (monthly)'!$D$2:$D$106,Q$2,'Additions (monthly)'!$B$2:$B$106,"&lt;="&amp;$B182)</f>
        <v>8.5</v>
      </c>
      <c r="R182" s="43" t="n">
        <f aca="false">SUMIFS('Additions (monthly)'!$E$2:$E$106,'Additions (monthly)'!$D$2:$D$106,R$2,'Additions (monthly)'!$B$2:$B$106,"&lt;="&amp;$B182)</f>
        <v>8.9</v>
      </c>
      <c r="S182" s="43" t="n">
        <f aca="false">SUMIFS('Additions (monthly)'!$E$2:$E$106,'Additions (monthly)'!$D$2:$D$106,S$2,'Additions (monthly)'!$B$2:$B$106,"&lt;="&amp;$B182)</f>
        <v>7.2</v>
      </c>
      <c r="T182" s="43" t="n">
        <f aca="false">SUMIFS('Additions (monthly)'!$E$2:$E$106,'Additions (monthly)'!$D$2:$D$106,T$2,'Additions (monthly)'!$B$2:$B$106,"&lt;="&amp;$B182)</f>
        <v>2.4</v>
      </c>
      <c r="U182" s="43" t="n">
        <f aca="false">SUMIFS('Additions (monthly)'!$E$2:$E$106,'Additions (monthly)'!$D$2:$D$106,U$2,'Additions (monthly)'!$B$2:$B$106,"&lt;="&amp;$B182)</f>
        <v>0</v>
      </c>
      <c r="V182" s="43" t="n">
        <f aca="false">SUMIFS('Additions (monthly)'!$E$2:$E$106,'Additions (monthly)'!$D$2:$D$106,V$2,'Additions (monthly)'!$B$2:$B$106,"&lt;="&amp;$B182)</f>
        <v>3.87</v>
      </c>
      <c r="W182" s="43" t="n">
        <f aca="false">SUMIFS('Additions (monthly)'!$E$2:$E$106,'Additions (monthly)'!$D$2:$D$106,W$2,'Additions (monthly)'!$B$2:$B$106,"&lt;="&amp;$B182)</f>
        <v>0.6</v>
      </c>
      <c r="X182" s="43" t="n">
        <f aca="false">SUMIFS('Additions (monthly)'!$E$2:$E$106,'Additions (monthly)'!$D$2:$D$106,X$2,'Additions (monthly)'!$B$2:$B$106,"&lt;="&amp;$B182)</f>
        <v>0</v>
      </c>
      <c r="Y182" s="43" t="n">
        <f aca="false">SUMIFS('Additions (monthly)'!$E$2:$E$106,'Additions (monthly)'!$D$2:$D$106,Y$2,'Additions (monthly)'!$B$2:$B$106,"&lt;="&amp;$B182)</f>
        <v>5</v>
      </c>
      <c r="Z182" s="43" t="n">
        <f aca="false">SUMIFS('Additions (monthly)'!$E$2:$E$106,'Additions (monthly)'!$D$2:$D$106,Z$2,'Additions (monthly)'!$B$2:$B$106,"&lt;="&amp;$B182)</f>
        <v>7.2</v>
      </c>
      <c r="AA182" s="43" t="n">
        <f aca="false">SUMIFS('Additions (monthly)'!$E$2:$E$106,'Additions (monthly)'!$D$2:$D$106,AA$2,'Additions (monthly)'!$B$2:$B$106,"&lt;="&amp;$B182)</f>
        <v>3.7</v>
      </c>
      <c r="AB182" s="43" t="n">
        <f aca="false">SUMIFS('Additions (monthly)'!$E$2:$E$106,'Additions (monthly)'!$D$2:$D$106,AB$2,'Additions (monthly)'!$B$2:$B$106,"&lt;="&amp;$B182)</f>
        <v>16.95</v>
      </c>
      <c r="AC182" s="43" t="n">
        <f aca="false">SUMIFS('Additions (monthly)'!$E$2:$E$106,'Additions (monthly)'!$D$2:$D$106,AC$2,'Additions (monthly)'!$B$2:$B$106,"&lt;="&amp;$B182)</f>
        <v>2</v>
      </c>
      <c r="AD182" s="43" t="n">
        <f aca="false">SUMIFS('Additions (monthly)'!$E$2:$E$106,'Additions (monthly)'!$D$2:$D$106,AD$2,'Additions (monthly)'!$B$2:$B$106,"&lt;="&amp;$B182)</f>
        <v>11.4</v>
      </c>
      <c r="AE182" s="43" t="n">
        <f aca="false">SUMIFS('Additions (monthly)'!$E$2:$E$106,'Additions (monthly)'!$D$2:$D$106,AE$2,'Additions (monthly)'!$B$2:$B$106,"&lt;="&amp;$B182)</f>
        <v>29.3</v>
      </c>
      <c r="AF182" s="43" t="n">
        <f aca="false">SUMIFS('Additions (monthly)'!$E$2:$E$106,'Additions (monthly)'!$D$2:$D$106,AF$2,'Additions (monthly)'!$B$2:$B$106,"&lt;="&amp;$B182)</f>
        <v>1.2</v>
      </c>
      <c r="AG182" s="43" t="n">
        <f aca="false">SUMIFS('Additions (monthly)'!$E$2:$E$106,'Additions (monthly)'!$D$2:$D$106,AG$2,'Additions (monthly)'!$B$2:$B$106,"&lt;="&amp;$B182)</f>
        <v>1.5</v>
      </c>
      <c r="AH182" s="43" t="n">
        <f aca="false">SUMIFS('Additions (monthly)'!$E$2:$E$106,'Additions (monthly)'!$D$2:$D$106,AH$2,'Additions (monthly)'!$B$2:$B$106,"&lt;="&amp;$B182)</f>
        <v>0</v>
      </c>
      <c r="AI182" s="43" t="n">
        <f aca="false">SUMIFS('Additions (monthly)'!$E$2:$E$106,'Additions (monthly)'!$D$2:$D$106,AI$2,'Additions (monthly)'!$B$2:$B$106,"&lt;="&amp;$B182)</f>
        <v>1.4</v>
      </c>
      <c r="AJ182" s="43" t="n">
        <f aca="false">SUMIFS('Additions (monthly)'!$E$2:$E$106,'Additions (monthly)'!$D$2:$D$106,AJ$2,'Additions (monthly)'!$B$2:$B$106,"&lt;="&amp;$B182)</f>
        <v>0</v>
      </c>
      <c r="AK182" s="43" t="n">
        <f aca="false">SUMIFS('Additions (monthly)'!$E$2:$E$106,'Additions (monthly)'!$D$2:$D$106,AK$2,'Additions (monthly)'!$B$2:$B$106,"&lt;="&amp;$B182)</f>
        <v>3.4</v>
      </c>
      <c r="AL182" s="43" t="n">
        <f aca="false">SUMIFS('Additions (monthly)'!$E$2:$E$106,'Additions (monthly)'!$D$2:$D$106,AL$2,'Additions (monthly)'!$B$2:$B$106,"&lt;="&amp;$B182)</f>
        <v>22.2</v>
      </c>
      <c r="AM182" s="43" t="n">
        <f aca="false">SUMIFS('Additions (monthly)'!$E$2:$E$106,'Additions (monthly)'!$D$2:$D$106,AM$2,'Additions (monthly)'!$B$2:$B$106,"&lt;="&amp;$B182)</f>
        <v>0.3</v>
      </c>
      <c r="AN182" s="43" t="n">
        <f aca="false">SUMIFS('Additions (monthly)'!$E$2:$E$106,'Additions (monthly)'!$D$2:$D$106,AN$2,'Additions (monthly)'!$B$2:$B$106,"&lt;="&amp;$B182)</f>
        <v>4.3</v>
      </c>
      <c r="AO182" s="43" t="n">
        <f aca="false">SUMIFS('Additions (monthly)'!$E$2:$E$106,'Additions (monthly)'!$D$2:$D$106,AO$2,'Additions (monthly)'!$B$2:$B$106,"&lt;="&amp;$B182)</f>
        <v>10.4</v>
      </c>
      <c r="AP182" s="43" t="n">
        <f aca="false">SUMIFS('Additions (monthly)'!$E$2:$E$106,'Additions (monthly)'!$D$2:$D$106,AP$2,'Additions (monthly)'!$B$2:$B$106,"&lt;="&amp;$B182)</f>
        <v>6.9</v>
      </c>
      <c r="AQ182" s="43" t="n">
        <f aca="false">SUMIFS('Additions (monthly)'!$E$2:$E$106,'Additions (monthly)'!$D$2:$D$106,AQ$2,'Additions (monthly)'!$B$2:$B$106,"&lt;="&amp;$B182)</f>
        <v>4.45</v>
      </c>
      <c r="AR182" s="43" t="n">
        <f aca="false">SUMIFS('Additions (monthly)'!$E$2:$E$106,'Additions (monthly)'!$D$2:$D$106,AR$2,'Additions (monthly)'!$B$2:$B$106,"&lt;="&amp;$B182)</f>
        <v>77.1</v>
      </c>
      <c r="AS182" s="43" t="n">
        <f aca="false">SUMIFS('Additions (monthly)'!$E$2:$E$106,'Additions (monthly)'!$D$2:$D$106,AS$2,'Additions (monthly)'!$B$2:$B$106,"&lt;="&amp;$B182)</f>
        <v>6.6</v>
      </c>
      <c r="AT182" s="43" t="n">
        <f aca="false">SUMIFS('Additions (monthly)'!$E$2:$E$106,'Additions (monthly)'!$D$2:$D$106,AT$2,'Additions (monthly)'!$B$2:$B$106,"&lt;="&amp;$B182)</f>
        <v>1.5</v>
      </c>
      <c r="AU182" s="43" t="n">
        <f aca="false">SUMIFS('Additions (monthly)'!$E$2:$E$106,'Additions (monthly)'!$D$2:$D$106,AU$2,'Additions (monthly)'!$B$2:$B$106,"&lt;="&amp;$B182)</f>
        <v>9.6</v>
      </c>
      <c r="AV182" s="43" t="n">
        <f aca="false">SUMIFS('Additions (monthly)'!$E$2:$E$106,'Additions (monthly)'!$D$2:$D$106,AV$2,'Additions (monthly)'!$B$2:$B$106,"&lt;="&amp;$B182)</f>
        <v>0.66</v>
      </c>
      <c r="AW182" s="43" t="n">
        <f aca="false">SUMIFS('Additions (monthly)'!$E$2:$E$106,'Additions (monthly)'!$D$2:$D$106,AW$2,'Additions (monthly)'!$B$2:$B$106,"&lt;="&amp;$B182)</f>
        <v>17.4</v>
      </c>
      <c r="AX182" s="43" t="n">
        <f aca="false">SUMIFS('Additions (monthly)'!$E$2:$E$106,'Additions (monthly)'!$D$2:$D$106,AX$2,'Additions (monthly)'!$B$2:$B$106,"&lt;="&amp;$B182)</f>
        <v>11.8</v>
      </c>
      <c r="AY182" s="43" t="n">
        <f aca="false">SUMIFS('Additions (monthly)'!$E$2:$E$106,'Additions (monthly)'!$D$2:$D$106,AY$2,'Additions (monthly)'!$B$2:$B$106,"&lt;="&amp;$B182)</f>
        <v>5.3</v>
      </c>
      <c r="AZ182" s="43" t="n">
        <f aca="false">SUMIFS('Additions (monthly)'!$E$2:$E$106,'Additions (monthly)'!$D$2:$D$106,AZ$2,'Additions (monthly)'!$B$2:$B$106,"&lt;="&amp;$B182)</f>
        <v>9.97</v>
      </c>
      <c r="BA182" s="43" t="n">
        <f aca="false">SUMIFS('Additions (monthly)'!$E$2:$E$106,'Additions (monthly)'!$D$2:$D$106,BA$2,'Additions (monthly)'!$B$2:$B$106,"&lt;="&amp;$B182)</f>
        <v>13.5</v>
      </c>
      <c r="BB182" s="43" t="n">
        <f aca="false">SUMIFS('Additions (monthly)'!$E$2:$E$106,'Additions (monthly)'!$D$2:$D$106,BB$2,'Additions (monthly)'!$B$2:$B$106,"&lt;="&amp;$B182)</f>
        <v>16.49</v>
      </c>
      <c r="BC182" s="43" t="n">
        <f aca="false">SUMIFS('Additions (monthly)'!$E$2:$E$106,'Additions (monthly)'!$D$2:$D$106,BC$2,'Additions (monthly)'!$B$2:$B$106,"&lt;="&amp;$B182)</f>
        <v>5.25</v>
      </c>
      <c r="BD182" s="43" t="n">
        <f aca="false">SUMIFS('Additions (monthly)'!$E$2:$E$106,'Additions (monthly)'!$D$2:$D$106,BD$2,'Additions (monthly)'!$B$2:$B$106,"&lt;="&amp;$B182)</f>
        <v>2.5</v>
      </c>
      <c r="BE182" s="43" t="n">
        <f aca="false">SUMIFS('Additions (monthly)'!$E$2:$E$106,'Additions (monthly)'!$D$2:$D$106,BE$2,'Additions (monthly)'!$B$2:$B$106,"&lt;="&amp;$B182)</f>
        <v>15.3</v>
      </c>
      <c r="BF182" s="43" t="n">
        <f aca="false">SUMIFS('Additions (monthly)'!$E$2:$E$106,'Additions (monthly)'!$D$2:$D$106,BF$2,'Additions (monthly)'!$B$2:$B$106,"&lt;="&amp;$B182)</f>
        <v>0</v>
      </c>
      <c r="BG182" s="43" t="n">
        <f aca="false">SUMIFS('Additions (monthly)'!$E$2:$E$106,'Additions (monthly)'!$D$2:$D$106,BG$2,'Additions (monthly)'!$B$2:$B$106,"&lt;="&amp;$B182)</f>
        <v>1.08</v>
      </c>
      <c r="BH182" s="43" t="n">
        <f aca="false">SUMIFS('Additions (monthly)'!$E$2:$E$106,'Additions (monthly)'!$D$2:$D$106,BH$2,'Additions (monthly)'!$B$2:$B$106,"&lt;="&amp;$B182)</f>
        <v>30</v>
      </c>
      <c r="BI182" s="43" t="n">
        <f aca="false">SUMIFS('Additions (monthly)'!$E$2:$E$106,'Additions (monthly)'!$D$2:$D$106,BI$2,'Additions (monthly)'!$B$2:$B$106,"&lt;="&amp;$B182)</f>
        <v>6.7</v>
      </c>
    </row>
    <row r="183" customFormat="false" ht="15" hidden="false" customHeight="false" outlineLevel="0" collapsed="false">
      <c r="A183" s="44" t="n">
        <v>45658</v>
      </c>
      <c r="B183" s="45" t="n">
        <v>202501</v>
      </c>
      <c r="C183" s="42" t="n">
        <f aca="false">SUMIFS('Additions (monthly)'!$E$2:$E$106,'Additions (monthly)'!$B$2:$B$106,"&lt;="&amp;$B183)</f>
        <v>493.84</v>
      </c>
      <c r="D183" s="46" t="n">
        <f aca="false">SUMIFS('Additions (monthly)'!$E$2:$E$106,'Additions (monthly)'!$D$2:$D$106,D$2,'Additions (monthly)'!$B$2:$B$106,"&lt;="&amp;$B183)</f>
        <v>7.9</v>
      </c>
      <c r="E183" s="46" t="n">
        <f aca="false">SUMIFS('Additions (monthly)'!$E$2:$E$106,'Additions (monthly)'!$D$2:$D$106,E$2,'Additions (monthly)'!$B$2:$B$106,"&lt;="&amp;$B183)</f>
        <v>8.4</v>
      </c>
      <c r="F183" s="46" t="n">
        <f aca="false">SUMIFS('Additions (monthly)'!$E$2:$E$106,'Additions (monthly)'!$D$2:$D$106,F$2,'Additions (monthly)'!$B$2:$B$106,"&lt;="&amp;$B183)</f>
        <v>4.7</v>
      </c>
      <c r="G183" s="46" t="n">
        <f aca="false">SUMIFS('Additions (monthly)'!$E$2:$E$106,'Additions (monthly)'!$D$2:$D$106,G$2,'Additions (monthly)'!$B$2:$B$106,"&lt;="&amp;$B183)</f>
        <v>4.5</v>
      </c>
      <c r="H183" s="46" t="n">
        <f aca="false">SUMIFS('Additions (monthly)'!$E$2:$E$106,'Additions (monthly)'!$D$2:$D$106,H$2,'Additions (monthly)'!$B$2:$B$106,"&lt;="&amp;$B183)</f>
        <v>5.2</v>
      </c>
      <c r="I183" s="46" t="n">
        <f aca="false">SUMIFS('Additions (monthly)'!$E$2:$E$106,'Additions (monthly)'!$D$2:$D$106,I$2,'Additions (monthly)'!$B$2:$B$106,"&lt;="&amp;$B183)</f>
        <v>9</v>
      </c>
      <c r="J183" s="46" t="n">
        <f aca="false">SUMIFS('Additions (monthly)'!$E$2:$E$106,'Additions (monthly)'!$D$2:$D$106,J$2,'Additions (monthly)'!$B$2:$B$106,"&lt;="&amp;$B183)</f>
        <v>3.7</v>
      </c>
      <c r="K183" s="46" t="n">
        <f aca="false">SUMIFS('Additions (monthly)'!$E$2:$E$106,'Additions (monthly)'!$D$2:$D$106,K$2,'Additions (monthly)'!$B$2:$B$106,"&lt;="&amp;$B183)</f>
        <v>7.8</v>
      </c>
      <c r="L183" s="46" t="n">
        <f aca="false">SUMIFS('Additions (monthly)'!$E$2:$E$106,'Additions (monthly)'!$D$2:$D$106,L$2,'Additions (monthly)'!$B$2:$B$106,"&lt;="&amp;$B183)</f>
        <v>15.6</v>
      </c>
      <c r="M183" s="46" t="n">
        <f aca="false">SUMIFS('Additions (monthly)'!$E$2:$E$106,'Additions (monthly)'!$D$2:$D$106,M$2,'Additions (monthly)'!$B$2:$B$106,"&lt;="&amp;$B183)</f>
        <v>8.9</v>
      </c>
      <c r="N183" s="46" t="n">
        <f aca="false">SUMIFS('Additions (monthly)'!$E$2:$E$106,'Additions (monthly)'!$D$2:$D$106,N$2,'Additions (monthly)'!$B$2:$B$106,"&lt;="&amp;$B183)</f>
        <v>14.2</v>
      </c>
      <c r="O183" s="46" t="n">
        <f aca="false">SUMIFS('Additions (monthly)'!$E$2:$E$106,'Additions (monthly)'!$D$2:$D$106,O$2,'Additions (monthly)'!$B$2:$B$106,"&lt;="&amp;$B183)</f>
        <v>4.9</v>
      </c>
      <c r="P183" s="46" t="n">
        <f aca="false">SUMIFS('Additions (monthly)'!$E$2:$E$106,'Additions (monthly)'!$D$2:$D$106,P$2,'Additions (monthly)'!$B$2:$B$106,"&lt;="&amp;$B183)</f>
        <v>3.6</v>
      </c>
      <c r="Q183" s="46" t="n">
        <f aca="false">SUMIFS('Additions (monthly)'!$E$2:$E$106,'Additions (monthly)'!$D$2:$D$106,Q$2,'Additions (monthly)'!$B$2:$B$106,"&lt;="&amp;$B183)</f>
        <v>8.5</v>
      </c>
      <c r="R183" s="46" t="n">
        <f aca="false">SUMIFS('Additions (monthly)'!$E$2:$E$106,'Additions (monthly)'!$D$2:$D$106,R$2,'Additions (monthly)'!$B$2:$B$106,"&lt;="&amp;$B183)</f>
        <v>8.9</v>
      </c>
      <c r="S183" s="46" t="n">
        <f aca="false">SUMIFS('Additions (monthly)'!$E$2:$E$106,'Additions (monthly)'!$D$2:$D$106,S$2,'Additions (monthly)'!$B$2:$B$106,"&lt;="&amp;$B183)</f>
        <v>7.2</v>
      </c>
      <c r="T183" s="46" t="n">
        <f aca="false">SUMIFS('Additions (monthly)'!$E$2:$E$106,'Additions (monthly)'!$D$2:$D$106,T$2,'Additions (monthly)'!$B$2:$B$106,"&lt;="&amp;$B183)</f>
        <v>2.4</v>
      </c>
      <c r="U183" s="46" t="n">
        <f aca="false">SUMIFS('Additions (monthly)'!$E$2:$E$106,'Additions (monthly)'!$D$2:$D$106,U$2,'Additions (monthly)'!$B$2:$B$106,"&lt;="&amp;$B183)</f>
        <v>0</v>
      </c>
      <c r="V183" s="46" t="n">
        <f aca="false">SUMIFS('Additions (monthly)'!$E$2:$E$106,'Additions (monthly)'!$D$2:$D$106,V$2,'Additions (monthly)'!$B$2:$B$106,"&lt;="&amp;$B183)</f>
        <v>3.87</v>
      </c>
      <c r="W183" s="46" t="n">
        <f aca="false">SUMIFS('Additions (monthly)'!$E$2:$E$106,'Additions (monthly)'!$D$2:$D$106,W$2,'Additions (monthly)'!$B$2:$B$106,"&lt;="&amp;$B183)</f>
        <v>0.6</v>
      </c>
      <c r="X183" s="46" t="n">
        <f aca="false">SUMIFS('Additions (monthly)'!$E$2:$E$106,'Additions (monthly)'!$D$2:$D$106,X$2,'Additions (monthly)'!$B$2:$B$106,"&lt;="&amp;$B183)</f>
        <v>0</v>
      </c>
      <c r="Y183" s="46" t="n">
        <f aca="false">SUMIFS('Additions (monthly)'!$E$2:$E$106,'Additions (monthly)'!$D$2:$D$106,Y$2,'Additions (monthly)'!$B$2:$B$106,"&lt;="&amp;$B183)</f>
        <v>5</v>
      </c>
      <c r="Z183" s="46" t="n">
        <f aca="false">SUMIFS('Additions (monthly)'!$E$2:$E$106,'Additions (monthly)'!$D$2:$D$106,Z$2,'Additions (monthly)'!$B$2:$B$106,"&lt;="&amp;$B183)</f>
        <v>7.2</v>
      </c>
      <c r="AA183" s="46" t="n">
        <f aca="false">SUMIFS('Additions (monthly)'!$E$2:$E$106,'Additions (monthly)'!$D$2:$D$106,AA$2,'Additions (monthly)'!$B$2:$B$106,"&lt;="&amp;$B183)</f>
        <v>3.7</v>
      </c>
      <c r="AB183" s="46" t="n">
        <f aca="false">SUMIFS('Additions (monthly)'!$E$2:$E$106,'Additions (monthly)'!$D$2:$D$106,AB$2,'Additions (monthly)'!$B$2:$B$106,"&lt;="&amp;$B183)</f>
        <v>16.95</v>
      </c>
      <c r="AC183" s="46" t="n">
        <f aca="false">SUMIFS('Additions (monthly)'!$E$2:$E$106,'Additions (monthly)'!$D$2:$D$106,AC$2,'Additions (monthly)'!$B$2:$B$106,"&lt;="&amp;$B183)</f>
        <v>2</v>
      </c>
      <c r="AD183" s="46" t="n">
        <f aca="false">SUMIFS('Additions (monthly)'!$E$2:$E$106,'Additions (monthly)'!$D$2:$D$106,AD$2,'Additions (monthly)'!$B$2:$B$106,"&lt;="&amp;$B183)</f>
        <v>11.4</v>
      </c>
      <c r="AE183" s="46" t="n">
        <f aca="false">SUMIFS('Additions (monthly)'!$E$2:$E$106,'Additions (monthly)'!$D$2:$D$106,AE$2,'Additions (monthly)'!$B$2:$B$106,"&lt;="&amp;$B183)</f>
        <v>29.3</v>
      </c>
      <c r="AF183" s="46" t="n">
        <f aca="false">SUMIFS('Additions (monthly)'!$E$2:$E$106,'Additions (monthly)'!$D$2:$D$106,AF$2,'Additions (monthly)'!$B$2:$B$106,"&lt;="&amp;$B183)</f>
        <v>1.2</v>
      </c>
      <c r="AG183" s="46" t="n">
        <f aca="false">SUMIFS('Additions (monthly)'!$E$2:$E$106,'Additions (monthly)'!$D$2:$D$106,AG$2,'Additions (monthly)'!$B$2:$B$106,"&lt;="&amp;$B183)</f>
        <v>1.5</v>
      </c>
      <c r="AH183" s="46" t="n">
        <f aca="false">SUMIFS('Additions (monthly)'!$E$2:$E$106,'Additions (monthly)'!$D$2:$D$106,AH$2,'Additions (monthly)'!$B$2:$B$106,"&lt;="&amp;$B183)</f>
        <v>0</v>
      </c>
      <c r="AI183" s="46" t="n">
        <f aca="false">SUMIFS('Additions (monthly)'!$E$2:$E$106,'Additions (monthly)'!$D$2:$D$106,AI$2,'Additions (monthly)'!$B$2:$B$106,"&lt;="&amp;$B183)</f>
        <v>1.4</v>
      </c>
      <c r="AJ183" s="46" t="n">
        <f aca="false">SUMIFS('Additions (monthly)'!$E$2:$E$106,'Additions (monthly)'!$D$2:$D$106,AJ$2,'Additions (monthly)'!$B$2:$B$106,"&lt;="&amp;$B183)</f>
        <v>0</v>
      </c>
      <c r="AK183" s="46" t="n">
        <f aca="false">SUMIFS('Additions (monthly)'!$E$2:$E$106,'Additions (monthly)'!$D$2:$D$106,AK$2,'Additions (monthly)'!$B$2:$B$106,"&lt;="&amp;$B183)</f>
        <v>3.4</v>
      </c>
      <c r="AL183" s="46" t="n">
        <f aca="false">SUMIFS('Additions (monthly)'!$E$2:$E$106,'Additions (monthly)'!$D$2:$D$106,AL$2,'Additions (monthly)'!$B$2:$B$106,"&lt;="&amp;$B183)</f>
        <v>22.2</v>
      </c>
      <c r="AM183" s="46" t="n">
        <f aca="false">SUMIFS('Additions (monthly)'!$E$2:$E$106,'Additions (monthly)'!$D$2:$D$106,AM$2,'Additions (monthly)'!$B$2:$B$106,"&lt;="&amp;$B183)</f>
        <v>0.3</v>
      </c>
      <c r="AN183" s="46" t="n">
        <f aca="false">SUMIFS('Additions (monthly)'!$E$2:$E$106,'Additions (monthly)'!$D$2:$D$106,AN$2,'Additions (monthly)'!$B$2:$B$106,"&lt;="&amp;$B183)</f>
        <v>4.3</v>
      </c>
      <c r="AO183" s="46" t="n">
        <f aca="false">SUMIFS('Additions (monthly)'!$E$2:$E$106,'Additions (monthly)'!$D$2:$D$106,AO$2,'Additions (monthly)'!$B$2:$B$106,"&lt;="&amp;$B183)</f>
        <v>10.4</v>
      </c>
      <c r="AP183" s="46" t="n">
        <f aca="false">SUMIFS('Additions (monthly)'!$E$2:$E$106,'Additions (monthly)'!$D$2:$D$106,AP$2,'Additions (monthly)'!$B$2:$B$106,"&lt;="&amp;$B183)</f>
        <v>6.9</v>
      </c>
      <c r="AQ183" s="46" t="n">
        <f aca="false">SUMIFS('Additions (monthly)'!$E$2:$E$106,'Additions (monthly)'!$D$2:$D$106,AQ$2,'Additions (monthly)'!$B$2:$B$106,"&lt;="&amp;$B183)</f>
        <v>4.45</v>
      </c>
      <c r="AR183" s="46" t="n">
        <f aca="false">SUMIFS('Additions (monthly)'!$E$2:$E$106,'Additions (monthly)'!$D$2:$D$106,AR$2,'Additions (monthly)'!$B$2:$B$106,"&lt;="&amp;$B183)</f>
        <v>77.1</v>
      </c>
      <c r="AS183" s="46" t="n">
        <f aca="false">SUMIFS('Additions (monthly)'!$E$2:$E$106,'Additions (monthly)'!$D$2:$D$106,AS$2,'Additions (monthly)'!$B$2:$B$106,"&lt;="&amp;$B183)</f>
        <v>6.6</v>
      </c>
      <c r="AT183" s="46" t="n">
        <f aca="false">SUMIFS('Additions (monthly)'!$E$2:$E$106,'Additions (monthly)'!$D$2:$D$106,AT$2,'Additions (monthly)'!$B$2:$B$106,"&lt;="&amp;$B183)</f>
        <v>1.5</v>
      </c>
      <c r="AU183" s="46" t="n">
        <f aca="false">SUMIFS('Additions (monthly)'!$E$2:$E$106,'Additions (monthly)'!$D$2:$D$106,AU$2,'Additions (monthly)'!$B$2:$B$106,"&lt;="&amp;$B183)</f>
        <v>9.6</v>
      </c>
      <c r="AV183" s="46" t="n">
        <f aca="false">SUMIFS('Additions (monthly)'!$E$2:$E$106,'Additions (monthly)'!$D$2:$D$106,AV$2,'Additions (monthly)'!$B$2:$B$106,"&lt;="&amp;$B183)</f>
        <v>0.66</v>
      </c>
      <c r="AW183" s="46" t="n">
        <f aca="false">SUMIFS('Additions (monthly)'!$E$2:$E$106,'Additions (monthly)'!$D$2:$D$106,AW$2,'Additions (monthly)'!$B$2:$B$106,"&lt;="&amp;$B183)</f>
        <v>17.4</v>
      </c>
      <c r="AX183" s="46" t="n">
        <f aca="false">SUMIFS('Additions (monthly)'!$E$2:$E$106,'Additions (monthly)'!$D$2:$D$106,AX$2,'Additions (monthly)'!$B$2:$B$106,"&lt;="&amp;$B183)</f>
        <v>11.8</v>
      </c>
      <c r="AY183" s="46" t="n">
        <f aca="false">SUMIFS('Additions (monthly)'!$E$2:$E$106,'Additions (monthly)'!$D$2:$D$106,AY$2,'Additions (monthly)'!$B$2:$B$106,"&lt;="&amp;$B183)</f>
        <v>5.3</v>
      </c>
      <c r="AZ183" s="46" t="n">
        <f aca="false">SUMIFS('Additions (monthly)'!$E$2:$E$106,'Additions (monthly)'!$D$2:$D$106,AZ$2,'Additions (monthly)'!$B$2:$B$106,"&lt;="&amp;$B183)</f>
        <v>9.97</v>
      </c>
      <c r="BA183" s="46" t="n">
        <f aca="false">SUMIFS('Additions (monthly)'!$E$2:$E$106,'Additions (monthly)'!$D$2:$D$106,BA$2,'Additions (monthly)'!$B$2:$B$106,"&lt;="&amp;$B183)</f>
        <v>13.5</v>
      </c>
      <c r="BB183" s="46" t="n">
        <f aca="false">SUMIFS('Additions (monthly)'!$E$2:$E$106,'Additions (monthly)'!$D$2:$D$106,BB$2,'Additions (monthly)'!$B$2:$B$106,"&lt;="&amp;$B183)</f>
        <v>16.49</v>
      </c>
      <c r="BC183" s="46" t="n">
        <f aca="false">SUMIFS('Additions (monthly)'!$E$2:$E$106,'Additions (monthly)'!$D$2:$D$106,BC$2,'Additions (monthly)'!$B$2:$B$106,"&lt;="&amp;$B183)</f>
        <v>5.25</v>
      </c>
      <c r="BD183" s="46" t="n">
        <f aca="false">SUMIFS('Additions (monthly)'!$E$2:$E$106,'Additions (monthly)'!$D$2:$D$106,BD$2,'Additions (monthly)'!$B$2:$B$106,"&lt;="&amp;$B183)</f>
        <v>2.5</v>
      </c>
      <c r="BE183" s="46" t="n">
        <f aca="false">SUMIFS('Additions (monthly)'!$E$2:$E$106,'Additions (monthly)'!$D$2:$D$106,BE$2,'Additions (monthly)'!$B$2:$B$106,"&lt;="&amp;$B183)</f>
        <v>15.3</v>
      </c>
      <c r="BF183" s="46" t="n">
        <f aca="false">SUMIFS('Additions (monthly)'!$E$2:$E$106,'Additions (monthly)'!$D$2:$D$106,BF$2,'Additions (monthly)'!$B$2:$B$106,"&lt;="&amp;$B183)</f>
        <v>0</v>
      </c>
      <c r="BG183" s="46" t="n">
        <f aca="false">SUMIFS('Additions (monthly)'!$E$2:$E$106,'Additions (monthly)'!$D$2:$D$106,BG$2,'Additions (monthly)'!$B$2:$B$106,"&lt;="&amp;$B183)</f>
        <v>2.7</v>
      </c>
      <c r="BH183" s="46" t="n">
        <f aca="false">SUMIFS('Additions (monthly)'!$E$2:$E$106,'Additions (monthly)'!$D$2:$D$106,BH$2,'Additions (monthly)'!$B$2:$B$106,"&lt;="&amp;$B183)</f>
        <v>30</v>
      </c>
      <c r="BI183" s="46" t="n">
        <f aca="false">SUMIFS('Additions (monthly)'!$E$2:$E$106,'Additions (monthly)'!$D$2:$D$106,BI$2,'Additions (monthly)'!$B$2:$B$106,"&lt;="&amp;$B183)</f>
        <v>6.7</v>
      </c>
    </row>
    <row r="184" customFormat="false" ht="15" hidden="false" customHeight="false" outlineLevel="0" collapsed="false">
      <c r="A184" s="44" t="n">
        <v>45689</v>
      </c>
      <c r="B184" s="45" t="n">
        <v>202502</v>
      </c>
      <c r="C184" s="42" t="n">
        <f aca="false">SUMIFS('Additions (monthly)'!$E$2:$E$106,'Additions (monthly)'!$B$2:$B$106,"&lt;="&amp;$B184)</f>
        <v>499.04</v>
      </c>
      <c r="D184" s="46" t="n">
        <f aca="false">SUMIFS('Additions (monthly)'!$E$2:$E$106,'Additions (monthly)'!$D$2:$D$106,D$2,'Additions (monthly)'!$B$2:$B$106,"&lt;="&amp;$B184)</f>
        <v>7.9</v>
      </c>
      <c r="E184" s="46" t="n">
        <f aca="false">SUMIFS('Additions (monthly)'!$E$2:$E$106,'Additions (monthly)'!$D$2:$D$106,E$2,'Additions (monthly)'!$B$2:$B$106,"&lt;="&amp;$B184)</f>
        <v>8.4</v>
      </c>
      <c r="F184" s="46" t="n">
        <f aca="false">SUMIFS('Additions (monthly)'!$E$2:$E$106,'Additions (monthly)'!$D$2:$D$106,F$2,'Additions (monthly)'!$B$2:$B$106,"&lt;="&amp;$B184)</f>
        <v>4.7</v>
      </c>
      <c r="G184" s="46" t="n">
        <f aca="false">SUMIFS('Additions (monthly)'!$E$2:$E$106,'Additions (monthly)'!$D$2:$D$106,G$2,'Additions (monthly)'!$B$2:$B$106,"&lt;="&amp;$B184)</f>
        <v>4.5</v>
      </c>
      <c r="H184" s="46" t="n">
        <f aca="false">SUMIFS('Additions (monthly)'!$E$2:$E$106,'Additions (monthly)'!$D$2:$D$106,H$2,'Additions (monthly)'!$B$2:$B$106,"&lt;="&amp;$B184)</f>
        <v>5.2</v>
      </c>
      <c r="I184" s="46" t="n">
        <f aca="false">SUMIFS('Additions (monthly)'!$E$2:$E$106,'Additions (monthly)'!$D$2:$D$106,I$2,'Additions (monthly)'!$B$2:$B$106,"&lt;="&amp;$B184)</f>
        <v>9</v>
      </c>
      <c r="J184" s="46" t="n">
        <f aca="false">SUMIFS('Additions (monthly)'!$E$2:$E$106,'Additions (monthly)'!$D$2:$D$106,J$2,'Additions (monthly)'!$B$2:$B$106,"&lt;="&amp;$B184)</f>
        <v>3.7</v>
      </c>
      <c r="K184" s="46" t="n">
        <f aca="false">SUMIFS('Additions (monthly)'!$E$2:$E$106,'Additions (monthly)'!$D$2:$D$106,K$2,'Additions (monthly)'!$B$2:$B$106,"&lt;="&amp;$B184)</f>
        <v>7.8</v>
      </c>
      <c r="L184" s="46" t="n">
        <f aca="false">SUMIFS('Additions (monthly)'!$E$2:$E$106,'Additions (monthly)'!$D$2:$D$106,L$2,'Additions (monthly)'!$B$2:$B$106,"&lt;="&amp;$B184)</f>
        <v>15.6</v>
      </c>
      <c r="M184" s="46" t="n">
        <f aca="false">SUMIFS('Additions (monthly)'!$E$2:$E$106,'Additions (monthly)'!$D$2:$D$106,M$2,'Additions (monthly)'!$B$2:$B$106,"&lt;="&amp;$B184)</f>
        <v>8.9</v>
      </c>
      <c r="N184" s="46" t="n">
        <f aca="false">SUMIFS('Additions (monthly)'!$E$2:$E$106,'Additions (monthly)'!$D$2:$D$106,N$2,'Additions (monthly)'!$B$2:$B$106,"&lt;="&amp;$B184)</f>
        <v>14.2</v>
      </c>
      <c r="O184" s="46" t="n">
        <f aca="false">SUMIFS('Additions (monthly)'!$E$2:$E$106,'Additions (monthly)'!$D$2:$D$106,O$2,'Additions (monthly)'!$B$2:$B$106,"&lt;="&amp;$B184)</f>
        <v>4.9</v>
      </c>
      <c r="P184" s="46" t="n">
        <f aca="false">SUMIFS('Additions (monthly)'!$E$2:$E$106,'Additions (monthly)'!$D$2:$D$106,P$2,'Additions (monthly)'!$B$2:$B$106,"&lt;="&amp;$B184)</f>
        <v>3.6</v>
      </c>
      <c r="Q184" s="46" t="n">
        <f aca="false">SUMIFS('Additions (monthly)'!$E$2:$E$106,'Additions (monthly)'!$D$2:$D$106,Q$2,'Additions (monthly)'!$B$2:$B$106,"&lt;="&amp;$B184)</f>
        <v>8.5</v>
      </c>
      <c r="R184" s="46" t="n">
        <f aca="false">SUMIFS('Additions (monthly)'!$E$2:$E$106,'Additions (monthly)'!$D$2:$D$106,R$2,'Additions (monthly)'!$B$2:$B$106,"&lt;="&amp;$B184)</f>
        <v>8.9</v>
      </c>
      <c r="S184" s="46" t="n">
        <f aca="false">SUMIFS('Additions (monthly)'!$E$2:$E$106,'Additions (monthly)'!$D$2:$D$106,S$2,'Additions (monthly)'!$B$2:$B$106,"&lt;="&amp;$B184)</f>
        <v>7.2</v>
      </c>
      <c r="T184" s="46" t="n">
        <f aca="false">SUMIFS('Additions (monthly)'!$E$2:$E$106,'Additions (monthly)'!$D$2:$D$106,T$2,'Additions (monthly)'!$B$2:$B$106,"&lt;="&amp;$B184)</f>
        <v>2.4</v>
      </c>
      <c r="U184" s="46" t="n">
        <f aca="false">SUMIFS('Additions (monthly)'!$E$2:$E$106,'Additions (monthly)'!$D$2:$D$106,U$2,'Additions (monthly)'!$B$2:$B$106,"&lt;="&amp;$B184)</f>
        <v>0</v>
      </c>
      <c r="V184" s="46" t="n">
        <f aca="false">SUMIFS('Additions (monthly)'!$E$2:$E$106,'Additions (monthly)'!$D$2:$D$106,V$2,'Additions (monthly)'!$B$2:$B$106,"&lt;="&amp;$B184)</f>
        <v>3.87</v>
      </c>
      <c r="W184" s="46" t="n">
        <f aca="false">SUMIFS('Additions (monthly)'!$E$2:$E$106,'Additions (monthly)'!$D$2:$D$106,W$2,'Additions (monthly)'!$B$2:$B$106,"&lt;="&amp;$B184)</f>
        <v>0.6</v>
      </c>
      <c r="X184" s="46" t="n">
        <f aca="false">SUMIFS('Additions (monthly)'!$E$2:$E$106,'Additions (monthly)'!$D$2:$D$106,X$2,'Additions (monthly)'!$B$2:$B$106,"&lt;="&amp;$B184)</f>
        <v>0</v>
      </c>
      <c r="Y184" s="46" t="n">
        <f aca="false">SUMIFS('Additions (monthly)'!$E$2:$E$106,'Additions (monthly)'!$D$2:$D$106,Y$2,'Additions (monthly)'!$B$2:$B$106,"&lt;="&amp;$B184)</f>
        <v>5</v>
      </c>
      <c r="Z184" s="46" t="n">
        <f aca="false">SUMIFS('Additions (monthly)'!$E$2:$E$106,'Additions (monthly)'!$D$2:$D$106,Z$2,'Additions (monthly)'!$B$2:$B$106,"&lt;="&amp;$B184)</f>
        <v>7.2</v>
      </c>
      <c r="AA184" s="46" t="n">
        <f aca="false">SUMIFS('Additions (monthly)'!$E$2:$E$106,'Additions (monthly)'!$D$2:$D$106,AA$2,'Additions (monthly)'!$B$2:$B$106,"&lt;="&amp;$B184)</f>
        <v>3.7</v>
      </c>
      <c r="AB184" s="46" t="n">
        <f aca="false">SUMIFS('Additions (monthly)'!$E$2:$E$106,'Additions (monthly)'!$D$2:$D$106,AB$2,'Additions (monthly)'!$B$2:$B$106,"&lt;="&amp;$B184)</f>
        <v>16.95</v>
      </c>
      <c r="AC184" s="46" t="n">
        <f aca="false">SUMIFS('Additions (monthly)'!$E$2:$E$106,'Additions (monthly)'!$D$2:$D$106,AC$2,'Additions (monthly)'!$B$2:$B$106,"&lt;="&amp;$B184)</f>
        <v>2</v>
      </c>
      <c r="AD184" s="46" t="n">
        <f aca="false">SUMIFS('Additions (monthly)'!$E$2:$E$106,'Additions (monthly)'!$D$2:$D$106,AD$2,'Additions (monthly)'!$B$2:$B$106,"&lt;="&amp;$B184)</f>
        <v>11.4</v>
      </c>
      <c r="AE184" s="46" t="n">
        <f aca="false">SUMIFS('Additions (monthly)'!$E$2:$E$106,'Additions (monthly)'!$D$2:$D$106,AE$2,'Additions (monthly)'!$B$2:$B$106,"&lt;="&amp;$B184)</f>
        <v>29.3</v>
      </c>
      <c r="AF184" s="46" t="n">
        <f aca="false">SUMIFS('Additions (monthly)'!$E$2:$E$106,'Additions (monthly)'!$D$2:$D$106,AF$2,'Additions (monthly)'!$B$2:$B$106,"&lt;="&amp;$B184)</f>
        <v>1.2</v>
      </c>
      <c r="AG184" s="46" t="n">
        <f aca="false">SUMIFS('Additions (monthly)'!$E$2:$E$106,'Additions (monthly)'!$D$2:$D$106,AG$2,'Additions (monthly)'!$B$2:$B$106,"&lt;="&amp;$B184)</f>
        <v>1.5</v>
      </c>
      <c r="AH184" s="46" t="n">
        <f aca="false">SUMIFS('Additions (monthly)'!$E$2:$E$106,'Additions (monthly)'!$D$2:$D$106,AH$2,'Additions (monthly)'!$B$2:$B$106,"&lt;="&amp;$B184)</f>
        <v>2.5</v>
      </c>
      <c r="AI184" s="46" t="n">
        <f aca="false">SUMIFS('Additions (monthly)'!$E$2:$E$106,'Additions (monthly)'!$D$2:$D$106,AI$2,'Additions (monthly)'!$B$2:$B$106,"&lt;="&amp;$B184)</f>
        <v>1.4</v>
      </c>
      <c r="AJ184" s="46" t="n">
        <f aca="false">SUMIFS('Additions (monthly)'!$E$2:$E$106,'Additions (monthly)'!$D$2:$D$106,AJ$2,'Additions (monthly)'!$B$2:$B$106,"&lt;="&amp;$B184)</f>
        <v>0</v>
      </c>
      <c r="AK184" s="46" t="n">
        <f aca="false">SUMIFS('Additions (monthly)'!$E$2:$E$106,'Additions (monthly)'!$D$2:$D$106,AK$2,'Additions (monthly)'!$B$2:$B$106,"&lt;="&amp;$B184)</f>
        <v>3.4</v>
      </c>
      <c r="AL184" s="46" t="n">
        <f aca="false">SUMIFS('Additions (monthly)'!$E$2:$E$106,'Additions (monthly)'!$D$2:$D$106,AL$2,'Additions (monthly)'!$B$2:$B$106,"&lt;="&amp;$B184)</f>
        <v>22.2</v>
      </c>
      <c r="AM184" s="46" t="n">
        <f aca="false">SUMIFS('Additions (monthly)'!$E$2:$E$106,'Additions (monthly)'!$D$2:$D$106,AM$2,'Additions (monthly)'!$B$2:$B$106,"&lt;="&amp;$B184)</f>
        <v>0.3</v>
      </c>
      <c r="AN184" s="46" t="n">
        <f aca="false">SUMIFS('Additions (monthly)'!$E$2:$E$106,'Additions (monthly)'!$D$2:$D$106,AN$2,'Additions (monthly)'!$B$2:$B$106,"&lt;="&amp;$B184)</f>
        <v>4.3</v>
      </c>
      <c r="AO184" s="46" t="n">
        <f aca="false">SUMIFS('Additions (monthly)'!$E$2:$E$106,'Additions (monthly)'!$D$2:$D$106,AO$2,'Additions (monthly)'!$B$2:$B$106,"&lt;="&amp;$B184)</f>
        <v>10.4</v>
      </c>
      <c r="AP184" s="46" t="n">
        <f aca="false">SUMIFS('Additions (monthly)'!$E$2:$E$106,'Additions (monthly)'!$D$2:$D$106,AP$2,'Additions (monthly)'!$B$2:$B$106,"&lt;="&amp;$B184)</f>
        <v>6.9</v>
      </c>
      <c r="AQ184" s="46" t="n">
        <f aca="false">SUMIFS('Additions (monthly)'!$E$2:$E$106,'Additions (monthly)'!$D$2:$D$106,AQ$2,'Additions (monthly)'!$B$2:$B$106,"&lt;="&amp;$B184)</f>
        <v>4.45</v>
      </c>
      <c r="AR184" s="46" t="n">
        <f aca="false">SUMIFS('Additions (monthly)'!$E$2:$E$106,'Additions (monthly)'!$D$2:$D$106,AR$2,'Additions (monthly)'!$B$2:$B$106,"&lt;="&amp;$B184)</f>
        <v>77.1</v>
      </c>
      <c r="AS184" s="46" t="n">
        <f aca="false">SUMIFS('Additions (monthly)'!$E$2:$E$106,'Additions (monthly)'!$D$2:$D$106,AS$2,'Additions (monthly)'!$B$2:$B$106,"&lt;="&amp;$B184)</f>
        <v>6.6</v>
      </c>
      <c r="AT184" s="46" t="n">
        <f aca="false">SUMIFS('Additions (monthly)'!$E$2:$E$106,'Additions (monthly)'!$D$2:$D$106,AT$2,'Additions (monthly)'!$B$2:$B$106,"&lt;="&amp;$B184)</f>
        <v>1.5</v>
      </c>
      <c r="AU184" s="46" t="n">
        <f aca="false">SUMIFS('Additions (monthly)'!$E$2:$E$106,'Additions (monthly)'!$D$2:$D$106,AU$2,'Additions (monthly)'!$B$2:$B$106,"&lt;="&amp;$B184)</f>
        <v>9.6</v>
      </c>
      <c r="AV184" s="46" t="n">
        <f aca="false">SUMIFS('Additions (monthly)'!$E$2:$E$106,'Additions (monthly)'!$D$2:$D$106,AV$2,'Additions (monthly)'!$B$2:$B$106,"&lt;="&amp;$B184)</f>
        <v>0.66</v>
      </c>
      <c r="AW184" s="46" t="n">
        <f aca="false">SUMIFS('Additions (monthly)'!$E$2:$E$106,'Additions (monthly)'!$D$2:$D$106,AW$2,'Additions (monthly)'!$B$2:$B$106,"&lt;="&amp;$B184)</f>
        <v>17.4</v>
      </c>
      <c r="AX184" s="46" t="n">
        <f aca="false">SUMIFS('Additions (monthly)'!$E$2:$E$106,'Additions (monthly)'!$D$2:$D$106,AX$2,'Additions (monthly)'!$B$2:$B$106,"&lt;="&amp;$B184)</f>
        <v>11.8</v>
      </c>
      <c r="AY184" s="46" t="n">
        <f aca="false">SUMIFS('Additions (monthly)'!$E$2:$E$106,'Additions (monthly)'!$D$2:$D$106,AY$2,'Additions (monthly)'!$B$2:$B$106,"&lt;="&amp;$B184)</f>
        <v>5.3</v>
      </c>
      <c r="AZ184" s="46" t="n">
        <f aca="false">SUMIFS('Additions (monthly)'!$E$2:$E$106,'Additions (monthly)'!$D$2:$D$106,AZ$2,'Additions (monthly)'!$B$2:$B$106,"&lt;="&amp;$B184)</f>
        <v>9.97</v>
      </c>
      <c r="BA184" s="46" t="n">
        <f aca="false">SUMIFS('Additions (monthly)'!$E$2:$E$106,'Additions (monthly)'!$D$2:$D$106,BA$2,'Additions (monthly)'!$B$2:$B$106,"&lt;="&amp;$B184)</f>
        <v>13.5</v>
      </c>
      <c r="BB184" s="46" t="n">
        <f aca="false">SUMIFS('Additions (monthly)'!$E$2:$E$106,'Additions (monthly)'!$D$2:$D$106,BB$2,'Additions (monthly)'!$B$2:$B$106,"&lt;="&amp;$B184)</f>
        <v>16.49</v>
      </c>
      <c r="BC184" s="46" t="n">
        <f aca="false">SUMIFS('Additions (monthly)'!$E$2:$E$106,'Additions (monthly)'!$D$2:$D$106,BC$2,'Additions (monthly)'!$B$2:$B$106,"&lt;="&amp;$B184)</f>
        <v>5.25</v>
      </c>
      <c r="BD184" s="46" t="n">
        <f aca="false">SUMIFS('Additions (monthly)'!$E$2:$E$106,'Additions (monthly)'!$D$2:$D$106,BD$2,'Additions (monthly)'!$B$2:$B$106,"&lt;="&amp;$B184)</f>
        <v>2.5</v>
      </c>
      <c r="BE184" s="46" t="n">
        <f aca="false">SUMIFS('Additions (monthly)'!$E$2:$E$106,'Additions (monthly)'!$D$2:$D$106,BE$2,'Additions (monthly)'!$B$2:$B$106,"&lt;="&amp;$B184)</f>
        <v>15.3</v>
      </c>
      <c r="BF184" s="46" t="n">
        <f aca="false">SUMIFS('Additions (monthly)'!$E$2:$E$106,'Additions (monthly)'!$D$2:$D$106,BF$2,'Additions (monthly)'!$B$2:$B$106,"&lt;="&amp;$B184)</f>
        <v>0</v>
      </c>
      <c r="BG184" s="46" t="n">
        <f aca="false">SUMIFS('Additions (monthly)'!$E$2:$E$106,'Additions (monthly)'!$D$2:$D$106,BG$2,'Additions (monthly)'!$B$2:$B$106,"&lt;="&amp;$B184)</f>
        <v>5.4</v>
      </c>
      <c r="BH184" s="46" t="n">
        <f aca="false">SUMIFS('Additions (monthly)'!$E$2:$E$106,'Additions (monthly)'!$D$2:$D$106,BH$2,'Additions (monthly)'!$B$2:$B$106,"&lt;="&amp;$B184)</f>
        <v>30</v>
      </c>
      <c r="BI184" s="46" t="n">
        <f aca="false">SUMIFS('Additions (monthly)'!$E$2:$E$106,'Additions (monthly)'!$D$2:$D$106,BI$2,'Additions (monthly)'!$B$2:$B$106,"&lt;="&amp;$B184)</f>
        <v>6.7</v>
      </c>
    </row>
    <row r="185" customFormat="false" ht="15" hidden="false" customHeight="false" outlineLevel="0" collapsed="false">
      <c r="A185" s="44" t="n">
        <v>45717</v>
      </c>
      <c r="B185" s="45" t="n">
        <v>202503</v>
      </c>
      <c r="C185" s="42" t="n">
        <f aca="false">SUMIFS('Additions (monthly)'!$E$2:$E$106,'Additions (monthly)'!$B$2:$B$106,"&lt;="&amp;$B185)</f>
        <v>502.28</v>
      </c>
      <c r="D185" s="46" t="n">
        <f aca="false">SUMIFS('Additions (monthly)'!$E$2:$E$106,'Additions (monthly)'!$D$2:$D$106,D$2,'Additions (monthly)'!$B$2:$B$106,"&lt;="&amp;$B185)</f>
        <v>7.9</v>
      </c>
      <c r="E185" s="46" t="n">
        <f aca="false">SUMIFS('Additions (monthly)'!$E$2:$E$106,'Additions (monthly)'!$D$2:$D$106,E$2,'Additions (monthly)'!$B$2:$B$106,"&lt;="&amp;$B185)</f>
        <v>8.4</v>
      </c>
      <c r="F185" s="46" t="n">
        <f aca="false">SUMIFS('Additions (monthly)'!$E$2:$E$106,'Additions (monthly)'!$D$2:$D$106,F$2,'Additions (monthly)'!$B$2:$B$106,"&lt;="&amp;$B185)</f>
        <v>4.7</v>
      </c>
      <c r="G185" s="46" t="n">
        <f aca="false">SUMIFS('Additions (monthly)'!$E$2:$E$106,'Additions (monthly)'!$D$2:$D$106,G$2,'Additions (monthly)'!$B$2:$B$106,"&lt;="&amp;$B185)</f>
        <v>4.5</v>
      </c>
      <c r="H185" s="46" t="n">
        <f aca="false">SUMIFS('Additions (monthly)'!$E$2:$E$106,'Additions (monthly)'!$D$2:$D$106,H$2,'Additions (monthly)'!$B$2:$B$106,"&lt;="&amp;$B185)</f>
        <v>5.2</v>
      </c>
      <c r="I185" s="46" t="n">
        <f aca="false">SUMIFS('Additions (monthly)'!$E$2:$E$106,'Additions (monthly)'!$D$2:$D$106,I$2,'Additions (monthly)'!$B$2:$B$106,"&lt;="&amp;$B185)</f>
        <v>9</v>
      </c>
      <c r="J185" s="46" t="n">
        <f aca="false">SUMIFS('Additions (monthly)'!$E$2:$E$106,'Additions (monthly)'!$D$2:$D$106,J$2,'Additions (monthly)'!$B$2:$B$106,"&lt;="&amp;$B185)</f>
        <v>3.7</v>
      </c>
      <c r="K185" s="46" t="n">
        <f aca="false">SUMIFS('Additions (monthly)'!$E$2:$E$106,'Additions (monthly)'!$D$2:$D$106,K$2,'Additions (monthly)'!$B$2:$B$106,"&lt;="&amp;$B185)</f>
        <v>7.8</v>
      </c>
      <c r="L185" s="46" t="n">
        <f aca="false">SUMIFS('Additions (monthly)'!$E$2:$E$106,'Additions (monthly)'!$D$2:$D$106,L$2,'Additions (monthly)'!$B$2:$B$106,"&lt;="&amp;$B185)</f>
        <v>15.6</v>
      </c>
      <c r="M185" s="46" t="n">
        <f aca="false">SUMIFS('Additions (monthly)'!$E$2:$E$106,'Additions (monthly)'!$D$2:$D$106,M$2,'Additions (monthly)'!$B$2:$B$106,"&lt;="&amp;$B185)</f>
        <v>8.9</v>
      </c>
      <c r="N185" s="46" t="n">
        <f aca="false">SUMIFS('Additions (monthly)'!$E$2:$E$106,'Additions (monthly)'!$D$2:$D$106,N$2,'Additions (monthly)'!$B$2:$B$106,"&lt;="&amp;$B185)</f>
        <v>14.2</v>
      </c>
      <c r="O185" s="46" t="n">
        <f aca="false">SUMIFS('Additions (monthly)'!$E$2:$E$106,'Additions (monthly)'!$D$2:$D$106,O$2,'Additions (monthly)'!$B$2:$B$106,"&lt;="&amp;$B185)</f>
        <v>4.9</v>
      </c>
      <c r="P185" s="46" t="n">
        <f aca="false">SUMIFS('Additions (monthly)'!$E$2:$E$106,'Additions (monthly)'!$D$2:$D$106,P$2,'Additions (monthly)'!$B$2:$B$106,"&lt;="&amp;$B185)</f>
        <v>3.6</v>
      </c>
      <c r="Q185" s="46" t="n">
        <f aca="false">SUMIFS('Additions (monthly)'!$E$2:$E$106,'Additions (monthly)'!$D$2:$D$106,Q$2,'Additions (monthly)'!$B$2:$B$106,"&lt;="&amp;$B185)</f>
        <v>8.5</v>
      </c>
      <c r="R185" s="46" t="n">
        <f aca="false">SUMIFS('Additions (monthly)'!$E$2:$E$106,'Additions (monthly)'!$D$2:$D$106,R$2,'Additions (monthly)'!$B$2:$B$106,"&lt;="&amp;$B185)</f>
        <v>8.9</v>
      </c>
      <c r="S185" s="46" t="n">
        <f aca="false">SUMIFS('Additions (monthly)'!$E$2:$E$106,'Additions (monthly)'!$D$2:$D$106,S$2,'Additions (monthly)'!$B$2:$B$106,"&lt;="&amp;$B185)</f>
        <v>7.2</v>
      </c>
      <c r="T185" s="46" t="n">
        <f aca="false">SUMIFS('Additions (monthly)'!$E$2:$E$106,'Additions (monthly)'!$D$2:$D$106,T$2,'Additions (monthly)'!$B$2:$B$106,"&lt;="&amp;$B185)</f>
        <v>2.4</v>
      </c>
      <c r="U185" s="46" t="n">
        <f aca="false">SUMIFS('Additions (monthly)'!$E$2:$E$106,'Additions (monthly)'!$D$2:$D$106,U$2,'Additions (monthly)'!$B$2:$B$106,"&lt;="&amp;$B185)</f>
        <v>0</v>
      </c>
      <c r="V185" s="46" t="n">
        <f aca="false">SUMIFS('Additions (monthly)'!$E$2:$E$106,'Additions (monthly)'!$D$2:$D$106,V$2,'Additions (monthly)'!$B$2:$B$106,"&lt;="&amp;$B185)</f>
        <v>3.87</v>
      </c>
      <c r="W185" s="46" t="n">
        <f aca="false">SUMIFS('Additions (monthly)'!$E$2:$E$106,'Additions (monthly)'!$D$2:$D$106,W$2,'Additions (monthly)'!$B$2:$B$106,"&lt;="&amp;$B185)</f>
        <v>0.6</v>
      </c>
      <c r="X185" s="46" t="n">
        <f aca="false">SUMIFS('Additions (monthly)'!$E$2:$E$106,'Additions (monthly)'!$D$2:$D$106,X$2,'Additions (monthly)'!$B$2:$B$106,"&lt;="&amp;$B185)</f>
        <v>0</v>
      </c>
      <c r="Y185" s="46" t="n">
        <f aca="false">SUMIFS('Additions (monthly)'!$E$2:$E$106,'Additions (monthly)'!$D$2:$D$106,Y$2,'Additions (monthly)'!$B$2:$B$106,"&lt;="&amp;$B185)</f>
        <v>5</v>
      </c>
      <c r="Z185" s="46" t="n">
        <f aca="false">SUMIFS('Additions (monthly)'!$E$2:$E$106,'Additions (monthly)'!$D$2:$D$106,Z$2,'Additions (monthly)'!$B$2:$B$106,"&lt;="&amp;$B185)</f>
        <v>7.2</v>
      </c>
      <c r="AA185" s="46" t="n">
        <f aca="false">SUMIFS('Additions (monthly)'!$E$2:$E$106,'Additions (monthly)'!$D$2:$D$106,AA$2,'Additions (monthly)'!$B$2:$B$106,"&lt;="&amp;$B185)</f>
        <v>3.7</v>
      </c>
      <c r="AB185" s="46" t="n">
        <f aca="false">SUMIFS('Additions (monthly)'!$E$2:$E$106,'Additions (monthly)'!$D$2:$D$106,AB$2,'Additions (monthly)'!$B$2:$B$106,"&lt;="&amp;$B185)</f>
        <v>16.95</v>
      </c>
      <c r="AC185" s="46" t="n">
        <f aca="false">SUMIFS('Additions (monthly)'!$E$2:$E$106,'Additions (monthly)'!$D$2:$D$106,AC$2,'Additions (monthly)'!$B$2:$B$106,"&lt;="&amp;$B185)</f>
        <v>2</v>
      </c>
      <c r="AD185" s="46" t="n">
        <f aca="false">SUMIFS('Additions (monthly)'!$E$2:$E$106,'Additions (monthly)'!$D$2:$D$106,AD$2,'Additions (monthly)'!$B$2:$B$106,"&lt;="&amp;$B185)</f>
        <v>11.4</v>
      </c>
      <c r="AE185" s="46" t="n">
        <f aca="false">SUMIFS('Additions (monthly)'!$E$2:$E$106,'Additions (monthly)'!$D$2:$D$106,AE$2,'Additions (monthly)'!$B$2:$B$106,"&lt;="&amp;$B185)</f>
        <v>29.3</v>
      </c>
      <c r="AF185" s="46" t="n">
        <f aca="false">SUMIFS('Additions (monthly)'!$E$2:$E$106,'Additions (monthly)'!$D$2:$D$106,AF$2,'Additions (monthly)'!$B$2:$B$106,"&lt;="&amp;$B185)</f>
        <v>1.2</v>
      </c>
      <c r="AG185" s="46" t="n">
        <f aca="false">SUMIFS('Additions (monthly)'!$E$2:$E$106,'Additions (monthly)'!$D$2:$D$106,AG$2,'Additions (monthly)'!$B$2:$B$106,"&lt;="&amp;$B185)</f>
        <v>1.5</v>
      </c>
      <c r="AH185" s="46" t="n">
        <f aca="false">SUMIFS('Additions (monthly)'!$E$2:$E$106,'Additions (monthly)'!$D$2:$D$106,AH$2,'Additions (monthly)'!$B$2:$B$106,"&lt;="&amp;$B185)</f>
        <v>2.5</v>
      </c>
      <c r="AI185" s="46" t="n">
        <f aca="false">SUMIFS('Additions (monthly)'!$E$2:$E$106,'Additions (monthly)'!$D$2:$D$106,AI$2,'Additions (monthly)'!$B$2:$B$106,"&lt;="&amp;$B185)</f>
        <v>1.4</v>
      </c>
      <c r="AJ185" s="46" t="n">
        <f aca="false">SUMIFS('Additions (monthly)'!$E$2:$E$106,'Additions (monthly)'!$D$2:$D$106,AJ$2,'Additions (monthly)'!$B$2:$B$106,"&lt;="&amp;$B185)</f>
        <v>0</v>
      </c>
      <c r="AK185" s="46" t="n">
        <f aca="false">SUMIFS('Additions (monthly)'!$E$2:$E$106,'Additions (monthly)'!$D$2:$D$106,AK$2,'Additions (monthly)'!$B$2:$B$106,"&lt;="&amp;$B185)</f>
        <v>3.4</v>
      </c>
      <c r="AL185" s="46" t="n">
        <f aca="false">SUMIFS('Additions (monthly)'!$E$2:$E$106,'Additions (monthly)'!$D$2:$D$106,AL$2,'Additions (monthly)'!$B$2:$B$106,"&lt;="&amp;$B185)</f>
        <v>22.2</v>
      </c>
      <c r="AM185" s="46" t="n">
        <f aca="false">SUMIFS('Additions (monthly)'!$E$2:$E$106,'Additions (monthly)'!$D$2:$D$106,AM$2,'Additions (monthly)'!$B$2:$B$106,"&lt;="&amp;$B185)</f>
        <v>0.3</v>
      </c>
      <c r="AN185" s="46" t="n">
        <f aca="false">SUMIFS('Additions (monthly)'!$E$2:$E$106,'Additions (monthly)'!$D$2:$D$106,AN$2,'Additions (monthly)'!$B$2:$B$106,"&lt;="&amp;$B185)</f>
        <v>4.3</v>
      </c>
      <c r="AO185" s="46" t="n">
        <f aca="false">SUMIFS('Additions (monthly)'!$E$2:$E$106,'Additions (monthly)'!$D$2:$D$106,AO$2,'Additions (monthly)'!$B$2:$B$106,"&lt;="&amp;$B185)</f>
        <v>10.4</v>
      </c>
      <c r="AP185" s="46" t="n">
        <f aca="false">SUMIFS('Additions (monthly)'!$E$2:$E$106,'Additions (monthly)'!$D$2:$D$106,AP$2,'Additions (monthly)'!$B$2:$B$106,"&lt;="&amp;$B185)</f>
        <v>6.9</v>
      </c>
      <c r="AQ185" s="46" t="n">
        <f aca="false">SUMIFS('Additions (monthly)'!$E$2:$E$106,'Additions (monthly)'!$D$2:$D$106,AQ$2,'Additions (monthly)'!$B$2:$B$106,"&lt;="&amp;$B185)</f>
        <v>4.45</v>
      </c>
      <c r="AR185" s="46" t="n">
        <f aca="false">SUMIFS('Additions (monthly)'!$E$2:$E$106,'Additions (monthly)'!$D$2:$D$106,AR$2,'Additions (monthly)'!$B$2:$B$106,"&lt;="&amp;$B185)</f>
        <v>77.1</v>
      </c>
      <c r="AS185" s="46" t="n">
        <f aca="false">SUMIFS('Additions (monthly)'!$E$2:$E$106,'Additions (monthly)'!$D$2:$D$106,AS$2,'Additions (monthly)'!$B$2:$B$106,"&lt;="&amp;$B185)</f>
        <v>6.6</v>
      </c>
      <c r="AT185" s="46" t="n">
        <f aca="false">SUMIFS('Additions (monthly)'!$E$2:$E$106,'Additions (monthly)'!$D$2:$D$106,AT$2,'Additions (monthly)'!$B$2:$B$106,"&lt;="&amp;$B185)</f>
        <v>1.5</v>
      </c>
      <c r="AU185" s="46" t="n">
        <f aca="false">SUMIFS('Additions (monthly)'!$E$2:$E$106,'Additions (monthly)'!$D$2:$D$106,AU$2,'Additions (monthly)'!$B$2:$B$106,"&lt;="&amp;$B185)</f>
        <v>9.6</v>
      </c>
      <c r="AV185" s="46" t="n">
        <f aca="false">SUMIFS('Additions (monthly)'!$E$2:$E$106,'Additions (monthly)'!$D$2:$D$106,AV$2,'Additions (monthly)'!$B$2:$B$106,"&lt;="&amp;$B185)</f>
        <v>0.66</v>
      </c>
      <c r="AW185" s="46" t="n">
        <f aca="false">SUMIFS('Additions (monthly)'!$E$2:$E$106,'Additions (monthly)'!$D$2:$D$106,AW$2,'Additions (monthly)'!$B$2:$B$106,"&lt;="&amp;$B185)</f>
        <v>17.4</v>
      </c>
      <c r="AX185" s="46" t="n">
        <f aca="false">SUMIFS('Additions (monthly)'!$E$2:$E$106,'Additions (monthly)'!$D$2:$D$106,AX$2,'Additions (monthly)'!$B$2:$B$106,"&lt;="&amp;$B185)</f>
        <v>11.8</v>
      </c>
      <c r="AY185" s="46" t="n">
        <f aca="false">SUMIFS('Additions (monthly)'!$E$2:$E$106,'Additions (monthly)'!$D$2:$D$106,AY$2,'Additions (monthly)'!$B$2:$B$106,"&lt;="&amp;$B185)</f>
        <v>5.3</v>
      </c>
      <c r="AZ185" s="46" t="n">
        <f aca="false">SUMIFS('Additions (monthly)'!$E$2:$E$106,'Additions (monthly)'!$D$2:$D$106,AZ$2,'Additions (monthly)'!$B$2:$B$106,"&lt;="&amp;$B185)</f>
        <v>9.97</v>
      </c>
      <c r="BA185" s="46" t="n">
        <f aca="false">SUMIFS('Additions (monthly)'!$E$2:$E$106,'Additions (monthly)'!$D$2:$D$106,BA$2,'Additions (monthly)'!$B$2:$B$106,"&lt;="&amp;$B185)</f>
        <v>13.5</v>
      </c>
      <c r="BB185" s="46" t="n">
        <f aca="false">SUMIFS('Additions (monthly)'!$E$2:$E$106,'Additions (monthly)'!$D$2:$D$106,BB$2,'Additions (monthly)'!$B$2:$B$106,"&lt;="&amp;$B185)</f>
        <v>16.49</v>
      </c>
      <c r="BC185" s="46" t="n">
        <f aca="false">SUMIFS('Additions (monthly)'!$E$2:$E$106,'Additions (monthly)'!$D$2:$D$106,BC$2,'Additions (monthly)'!$B$2:$B$106,"&lt;="&amp;$B185)</f>
        <v>5.25</v>
      </c>
      <c r="BD185" s="46" t="n">
        <f aca="false">SUMIFS('Additions (monthly)'!$E$2:$E$106,'Additions (monthly)'!$D$2:$D$106,BD$2,'Additions (monthly)'!$B$2:$B$106,"&lt;="&amp;$B185)</f>
        <v>2.5</v>
      </c>
      <c r="BE185" s="46" t="n">
        <f aca="false">SUMIFS('Additions (monthly)'!$E$2:$E$106,'Additions (monthly)'!$D$2:$D$106,BE$2,'Additions (monthly)'!$B$2:$B$106,"&lt;="&amp;$B185)</f>
        <v>15.3</v>
      </c>
      <c r="BF185" s="46" t="n">
        <f aca="false">SUMIFS('Additions (monthly)'!$E$2:$E$106,'Additions (monthly)'!$D$2:$D$106,BF$2,'Additions (monthly)'!$B$2:$B$106,"&lt;="&amp;$B185)</f>
        <v>0</v>
      </c>
      <c r="BG185" s="46" t="n">
        <f aca="false">SUMIFS('Additions (monthly)'!$E$2:$E$106,'Additions (monthly)'!$D$2:$D$106,BG$2,'Additions (monthly)'!$B$2:$B$106,"&lt;="&amp;$B185)</f>
        <v>8.64</v>
      </c>
      <c r="BH185" s="46" t="n">
        <f aca="false">SUMIFS('Additions (monthly)'!$E$2:$E$106,'Additions (monthly)'!$D$2:$D$106,BH$2,'Additions (monthly)'!$B$2:$B$106,"&lt;="&amp;$B185)</f>
        <v>30</v>
      </c>
      <c r="BI185" s="46" t="n">
        <f aca="false">SUMIFS('Additions (monthly)'!$E$2:$E$106,'Additions (monthly)'!$D$2:$D$106,BI$2,'Additions (monthly)'!$B$2:$B$106,"&lt;="&amp;$B185)</f>
        <v>6.7</v>
      </c>
    </row>
    <row r="186" customFormat="false" ht="15" hidden="false" customHeight="false" outlineLevel="0" collapsed="false">
      <c r="A186" s="44" t="n">
        <v>45748</v>
      </c>
      <c r="B186" s="45" t="n">
        <v>202504</v>
      </c>
      <c r="C186" s="42" t="n">
        <f aca="false">SUMIFS('Additions (monthly)'!$E$2:$E$106,'Additions (monthly)'!$B$2:$B$106,"&lt;="&amp;$B186)</f>
        <v>503.9</v>
      </c>
      <c r="D186" s="46" t="n">
        <f aca="false">SUMIFS('Additions (monthly)'!$E$2:$E$106,'Additions (monthly)'!$D$2:$D$106,D$2,'Additions (monthly)'!$B$2:$B$106,"&lt;="&amp;$B186)</f>
        <v>7.9</v>
      </c>
      <c r="E186" s="46" t="n">
        <f aca="false">SUMIFS('Additions (monthly)'!$E$2:$E$106,'Additions (monthly)'!$D$2:$D$106,E$2,'Additions (monthly)'!$B$2:$B$106,"&lt;="&amp;$B186)</f>
        <v>8.4</v>
      </c>
      <c r="F186" s="46" t="n">
        <f aca="false">SUMIFS('Additions (monthly)'!$E$2:$E$106,'Additions (monthly)'!$D$2:$D$106,F$2,'Additions (monthly)'!$B$2:$B$106,"&lt;="&amp;$B186)</f>
        <v>4.7</v>
      </c>
      <c r="G186" s="46" t="n">
        <f aca="false">SUMIFS('Additions (monthly)'!$E$2:$E$106,'Additions (monthly)'!$D$2:$D$106,G$2,'Additions (monthly)'!$B$2:$B$106,"&lt;="&amp;$B186)</f>
        <v>4.5</v>
      </c>
      <c r="H186" s="46" t="n">
        <f aca="false">SUMIFS('Additions (monthly)'!$E$2:$E$106,'Additions (monthly)'!$D$2:$D$106,H$2,'Additions (monthly)'!$B$2:$B$106,"&lt;="&amp;$B186)</f>
        <v>5.2</v>
      </c>
      <c r="I186" s="46" t="n">
        <f aca="false">SUMIFS('Additions (monthly)'!$E$2:$E$106,'Additions (monthly)'!$D$2:$D$106,I$2,'Additions (monthly)'!$B$2:$B$106,"&lt;="&amp;$B186)</f>
        <v>9</v>
      </c>
      <c r="J186" s="46" t="n">
        <f aca="false">SUMIFS('Additions (monthly)'!$E$2:$E$106,'Additions (monthly)'!$D$2:$D$106,J$2,'Additions (monthly)'!$B$2:$B$106,"&lt;="&amp;$B186)</f>
        <v>3.7</v>
      </c>
      <c r="K186" s="46" t="n">
        <f aca="false">SUMIFS('Additions (monthly)'!$E$2:$E$106,'Additions (monthly)'!$D$2:$D$106,K$2,'Additions (monthly)'!$B$2:$B$106,"&lt;="&amp;$B186)</f>
        <v>7.8</v>
      </c>
      <c r="L186" s="46" t="n">
        <f aca="false">SUMIFS('Additions (monthly)'!$E$2:$E$106,'Additions (monthly)'!$D$2:$D$106,L$2,'Additions (monthly)'!$B$2:$B$106,"&lt;="&amp;$B186)</f>
        <v>15.6</v>
      </c>
      <c r="M186" s="46" t="n">
        <f aca="false">SUMIFS('Additions (monthly)'!$E$2:$E$106,'Additions (monthly)'!$D$2:$D$106,M$2,'Additions (monthly)'!$B$2:$B$106,"&lt;="&amp;$B186)</f>
        <v>8.9</v>
      </c>
      <c r="N186" s="46" t="n">
        <f aca="false">SUMIFS('Additions (monthly)'!$E$2:$E$106,'Additions (monthly)'!$D$2:$D$106,N$2,'Additions (monthly)'!$B$2:$B$106,"&lt;="&amp;$B186)</f>
        <v>14.2</v>
      </c>
      <c r="O186" s="46" t="n">
        <f aca="false">SUMIFS('Additions (monthly)'!$E$2:$E$106,'Additions (monthly)'!$D$2:$D$106,O$2,'Additions (monthly)'!$B$2:$B$106,"&lt;="&amp;$B186)</f>
        <v>4.9</v>
      </c>
      <c r="P186" s="46" t="n">
        <f aca="false">SUMIFS('Additions (monthly)'!$E$2:$E$106,'Additions (monthly)'!$D$2:$D$106,P$2,'Additions (monthly)'!$B$2:$B$106,"&lt;="&amp;$B186)</f>
        <v>3.6</v>
      </c>
      <c r="Q186" s="46" t="n">
        <f aca="false">SUMIFS('Additions (monthly)'!$E$2:$E$106,'Additions (monthly)'!$D$2:$D$106,Q$2,'Additions (monthly)'!$B$2:$B$106,"&lt;="&amp;$B186)</f>
        <v>8.5</v>
      </c>
      <c r="R186" s="46" t="n">
        <f aca="false">SUMIFS('Additions (monthly)'!$E$2:$E$106,'Additions (monthly)'!$D$2:$D$106,R$2,'Additions (monthly)'!$B$2:$B$106,"&lt;="&amp;$B186)</f>
        <v>8.9</v>
      </c>
      <c r="S186" s="46" t="n">
        <f aca="false">SUMIFS('Additions (monthly)'!$E$2:$E$106,'Additions (monthly)'!$D$2:$D$106,S$2,'Additions (monthly)'!$B$2:$B$106,"&lt;="&amp;$B186)</f>
        <v>7.2</v>
      </c>
      <c r="T186" s="46" t="n">
        <f aca="false">SUMIFS('Additions (monthly)'!$E$2:$E$106,'Additions (monthly)'!$D$2:$D$106,T$2,'Additions (monthly)'!$B$2:$B$106,"&lt;="&amp;$B186)</f>
        <v>2.4</v>
      </c>
      <c r="U186" s="46" t="n">
        <f aca="false">SUMIFS('Additions (monthly)'!$E$2:$E$106,'Additions (monthly)'!$D$2:$D$106,U$2,'Additions (monthly)'!$B$2:$B$106,"&lt;="&amp;$B186)</f>
        <v>0</v>
      </c>
      <c r="V186" s="46" t="n">
        <f aca="false">SUMIFS('Additions (monthly)'!$E$2:$E$106,'Additions (monthly)'!$D$2:$D$106,V$2,'Additions (monthly)'!$B$2:$B$106,"&lt;="&amp;$B186)</f>
        <v>3.87</v>
      </c>
      <c r="W186" s="46" t="n">
        <f aca="false">SUMIFS('Additions (monthly)'!$E$2:$E$106,'Additions (monthly)'!$D$2:$D$106,W$2,'Additions (monthly)'!$B$2:$B$106,"&lt;="&amp;$B186)</f>
        <v>0.6</v>
      </c>
      <c r="X186" s="46" t="n">
        <f aca="false">SUMIFS('Additions (monthly)'!$E$2:$E$106,'Additions (monthly)'!$D$2:$D$106,X$2,'Additions (monthly)'!$B$2:$B$106,"&lt;="&amp;$B186)</f>
        <v>0</v>
      </c>
      <c r="Y186" s="46" t="n">
        <f aca="false">SUMIFS('Additions (monthly)'!$E$2:$E$106,'Additions (monthly)'!$D$2:$D$106,Y$2,'Additions (monthly)'!$B$2:$B$106,"&lt;="&amp;$B186)</f>
        <v>5</v>
      </c>
      <c r="Z186" s="46" t="n">
        <f aca="false">SUMIFS('Additions (monthly)'!$E$2:$E$106,'Additions (monthly)'!$D$2:$D$106,Z$2,'Additions (monthly)'!$B$2:$B$106,"&lt;="&amp;$B186)</f>
        <v>7.2</v>
      </c>
      <c r="AA186" s="46" t="n">
        <f aca="false">SUMIFS('Additions (monthly)'!$E$2:$E$106,'Additions (monthly)'!$D$2:$D$106,AA$2,'Additions (monthly)'!$B$2:$B$106,"&lt;="&amp;$B186)</f>
        <v>3.7</v>
      </c>
      <c r="AB186" s="46" t="n">
        <f aca="false">SUMIFS('Additions (monthly)'!$E$2:$E$106,'Additions (monthly)'!$D$2:$D$106,AB$2,'Additions (monthly)'!$B$2:$B$106,"&lt;="&amp;$B186)</f>
        <v>16.95</v>
      </c>
      <c r="AC186" s="46" t="n">
        <f aca="false">SUMIFS('Additions (monthly)'!$E$2:$E$106,'Additions (monthly)'!$D$2:$D$106,AC$2,'Additions (monthly)'!$B$2:$B$106,"&lt;="&amp;$B186)</f>
        <v>2</v>
      </c>
      <c r="AD186" s="46" t="n">
        <f aca="false">SUMIFS('Additions (monthly)'!$E$2:$E$106,'Additions (monthly)'!$D$2:$D$106,AD$2,'Additions (monthly)'!$B$2:$B$106,"&lt;="&amp;$B186)</f>
        <v>11.4</v>
      </c>
      <c r="AE186" s="46" t="n">
        <f aca="false">SUMIFS('Additions (monthly)'!$E$2:$E$106,'Additions (monthly)'!$D$2:$D$106,AE$2,'Additions (monthly)'!$B$2:$B$106,"&lt;="&amp;$B186)</f>
        <v>29.3</v>
      </c>
      <c r="AF186" s="46" t="n">
        <f aca="false">SUMIFS('Additions (monthly)'!$E$2:$E$106,'Additions (monthly)'!$D$2:$D$106,AF$2,'Additions (monthly)'!$B$2:$B$106,"&lt;="&amp;$B186)</f>
        <v>1.2</v>
      </c>
      <c r="AG186" s="46" t="n">
        <f aca="false">SUMIFS('Additions (monthly)'!$E$2:$E$106,'Additions (monthly)'!$D$2:$D$106,AG$2,'Additions (monthly)'!$B$2:$B$106,"&lt;="&amp;$B186)</f>
        <v>1.5</v>
      </c>
      <c r="AH186" s="46" t="n">
        <f aca="false">SUMIFS('Additions (monthly)'!$E$2:$E$106,'Additions (monthly)'!$D$2:$D$106,AH$2,'Additions (monthly)'!$B$2:$B$106,"&lt;="&amp;$B186)</f>
        <v>2.5</v>
      </c>
      <c r="AI186" s="46" t="n">
        <f aca="false">SUMIFS('Additions (monthly)'!$E$2:$E$106,'Additions (monthly)'!$D$2:$D$106,AI$2,'Additions (monthly)'!$B$2:$B$106,"&lt;="&amp;$B186)</f>
        <v>1.4</v>
      </c>
      <c r="AJ186" s="46" t="n">
        <f aca="false">SUMIFS('Additions (monthly)'!$E$2:$E$106,'Additions (monthly)'!$D$2:$D$106,AJ$2,'Additions (monthly)'!$B$2:$B$106,"&lt;="&amp;$B186)</f>
        <v>0</v>
      </c>
      <c r="AK186" s="46" t="n">
        <f aca="false">SUMIFS('Additions (monthly)'!$E$2:$E$106,'Additions (monthly)'!$D$2:$D$106,AK$2,'Additions (monthly)'!$B$2:$B$106,"&lt;="&amp;$B186)</f>
        <v>3.4</v>
      </c>
      <c r="AL186" s="46" t="n">
        <f aca="false">SUMIFS('Additions (monthly)'!$E$2:$E$106,'Additions (monthly)'!$D$2:$D$106,AL$2,'Additions (monthly)'!$B$2:$B$106,"&lt;="&amp;$B186)</f>
        <v>22.2</v>
      </c>
      <c r="AM186" s="46" t="n">
        <f aca="false">SUMIFS('Additions (monthly)'!$E$2:$E$106,'Additions (monthly)'!$D$2:$D$106,AM$2,'Additions (monthly)'!$B$2:$B$106,"&lt;="&amp;$B186)</f>
        <v>0.3</v>
      </c>
      <c r="AN186" s="46" t="n">
        <f aca="false">SUMIFS('Additions (monthly)'!$E$2:$E$106,'Additions (monthly)'!$D$2:$D$106,AN$2,'Additions (monthly)'!$B$2:$B$106,"&lt;="&amp;$B186)</f>
        <v>4.3</v>
      </c>
      <c r="AO186" s="46" t="n">
        <f aca="false">SUMIFS('Additions (monthly)'!$E$2:$E$106,'Additions (monthly)'!$D$2:$D$106,AO$2,'Additions (monthly)'!$B$2:$B$106,"&lt;="&amp;$B186)</f>
        <v>10.4</v>
      </c>
      <c r="AP186" s="46" t="n">
        <f aca="false">SUMIFS('Additions (monthly)'!$E$2:$E$106,'Additions (monthly)'!$D$2:$D$106,AP$2,'Additions (monthly)'!$B$2:$B$106,"&lt;="&amp;$B186)</f>
        <v>6.9</v>
      </c>
      <c r="AQ186" s="46" t="n">
        <f aca="false">SUMIFS('Additions (monthly)'!$E$2:$E$106,'Additions (monthly)'!$D$2:$D$106,AQ$2,'Additions (monthly)'!$B$2:$B$106,"&lt;="&amp;$B186)</f>
        <v>4.45</v>
      </c>
      <c r="AR186" s="46" t="n">
        <f aca="false">SUMIFS('Additions (monthly)'!$E$2:$E$106,'Additions (monthly)'!$D$2:$D$106,AR$2,'Additions (monthly)'!$B$2:$B$106,"&lt;="&amp;$B186)</f>
        <v>77.1</v>
      </c>
      <c r="AS186" s="46" t="n">
        <f aca="false">SUMIFS('Additions (monthly)'!$E$2:$E$106,'Additions (monthly)'!$D$2:$D$106,AS$2,'Additions (monthly)'!$B$2:$B$106,"&lt;="&amp;$B186)</f>
        <v>6.6</v>
      </c>
      <c r="AT186" s="46" t="n">
        <f aca="false">SUMIFS('Additions (monthly)'!$E$2:$E$106,'Additions (monthly)'!$D$2:$D$106,AT$2,'Additions (monthly)'!$B$2:$B$106,"&lt;="&amp;$B186)</f>
        <v>1.5</v>
      </c>
      <c r="AU186" s="46" t="n">
        <f aca="false">SUMIFS('Additions (monthly)'!$E$2:$E$106,'Additions (monthly)'!$D$2:$D$106,AU$2,'Additions (monthly)'!$B$2:$B$106,"&lt;="&amp;$B186)</f>
        <v>9.6</v>
      </c>
      <c r="AV186" s="46" t="n">
        <f aca="false">SUMIFS('Additions (monthly)'!$E$2:$E$106,'Additions (monthly)'!$D$2:$D$106,AV$2,'Additions (monthly)'!$B$2:$B$106,"&lt;="&amp;$B186)</f>
        <v>0.66</v>
      </c>
      <c r="AW186" s="46" t="n">
        <f aca="false">SUMIFS('Additions (monthly)'!$E$2:$E$106,'Additions (monthly)'!$D$2:$D$106,AW$2,'Additions (monthly)'!$B$2:$B$106,"&lt;="&amp;$B186)</f>
        <v>17.4</v>
      </c>
      <c r="AX186" s="46" t="n">
        <f aca="false">SUMIFS('Additions (monthly)'!$E$2:$E$106,'Additions (monthly)'!$D$2:$D$106,AX$2,'Additions (monthly)'!$B$2:$B$106,"&lt;="&amp;$B186)</f>
        <v>11.8</v>
      </c>
      <c r="AY186" s="46" t="n">
        <f aca="false">SUMIFS('Additions (monthly)'!$E$2:$E$106,'Additions (monthly)'!$D$2:$D$106,AY$2,'Additions (monthly)'!$B$2:$B$106,"&lt;="&amp;$B186)</f>
        <v>5.3</v>
      </c>
      <c r="AZ186" s="46" t="n">
        <f aca="false">SUMIFS('Additions (monthly)'!$E$2:$E$106,'Additions (monthly)'!$D$2:$D$106,AZ$2,'Additions (monthly)'!$B$2:$B$106,"&lt;="&amp;$B186)</f>
        <v>9.97</v>
      </c>
      <c r="BA186" s="46" t="n">
        <f aca="false">SUMIFS('Additions (monthly)'!$E$2:$E$106,'Additions (monthly)'!$D$2:$D$106,BA$2,'Additions (monthly)'!$B$2:$B$106,"&lt;="&amp;$B186)</f>
        <v>13.5</v>
      </c>
      <c r="BB186" s="46" t="n">
        <f aca="false">SUMIFS('Additions (monthly)'!$E$2:$E$106,'Additions (monthly)'!$D$2:$D$106,BB$2,'Additions (monthly)'!$B$2:$B$106,"&lt;="&amp;$B186)</f>
        <v>16.49</v>
      </c>
      <c r="BC186" s="46" t="n">
        <f aca="false">SUMIFS('Additions (monthly)'!$E$2:$E$106,'Additions (monthly)'!$D$2:$D$106,BC$2,'Additions (monthly)'!$B$2:$B$106,"&lt;="&amp;$B186)</f>
        <v>5.25</v>
      </c>
      <c r="BD186" s="46" t="n">
        <f aca="false">SUMIFS('Additions (monthly)'!$E$2:$E$106,'Additions (monthly)'!$D$2:$D$106,BD$2,'Additions (monthly)'!$B$2:$B$106,"&lt;="&amp;$B186)</f>
        <v>2.5</v>
      </c>
      <c r="BE186" s="46" t="n">
        <f aca="false">SUMIFS('Additions (monthly)'!$E$2:$E$106,'Additions (monthly)'!$D$2:$D$106,BE$2,'Additions (monthly)'!$B$2:$B$106,"&lt;="&amp;$B186)</f>
        <v>15.3</v>
      </c>
      <c r="BF186" s="46" t="n">
        <f aca="false">SUMIFS('Additions (monthly)'!$E$2:$E$106,'Additions (monthly)'!$D$2:$D$106,BF$2,'Additions (monthly)'!$B$2:$B$106,"&lt;="&amp;$B186)</f>
        <v>0</v>
      </c>
      <c r="BG186" s="46" t="n">
        <f aca="false">SUMIFS('Additions (monthly)'!$E$2:$E$106,'Additions (monthly)'!$D$2:$D$106,BG$2,'Additions (monthly)'!$B$2:$B$106,"&lt;="&amp;$B186)</f>
        <v>10.26</v>
      </c>
      <c r="BH186" s="46" t="n">
        <f aca="false">SUMIFS('Additions (monthly)'!$E$2:$E$106,'Additions (monthly)'!$D$2:$D$106,BH$2,'Additions (monthly)'!$B$2:$B$106,"&lt;="&amp;$B186)</f>
        <v>30</v>
      </c>
      <c r="BI186" s="46" t="n">
        <f aca="false">SUMIFS('Additions (monthly)'!$E$2:$E$106,'Additions (monthly)'!$D$2:$D$106,BI$2,'Additions (monthly)'!$B$2:$B$106,"&lt;="&amp;$B186)</f>
        <v>6.7</v>
      </c>
    </row>
    <row r="187" customFormat="false" ht="15" hidden="false" customHeight="false" outlineLevel="0" collapsed="false">
      <c r="A187" s="44" t="n">
        <v>45778</v>
      </c>
      <c r="B187" s="45" t="n">
        <v>202505</v>
      </c>
      <c r="C187" s="42" t="n">
        <f aca="false">SUMIFS('Additions (monthly)'!$E$2:$E$106,'Additions (monthly)'!$B$2:$B$106,"&lt;="&amp;$B187)</f>
        <v>505.52</v>
      </c>
      <c r="D187" s="46" t="n">
        <f aca="false">SUMIFS('Additions (monthly)'!$E$2:$E$106,'Additions (monthly)'!$D$2:$D$106,D$2,'Additions (monthly)'!$B$2:$B$106,"&lt;="&amp;$B187)</f>
        <v>7.9</v>
      </c>
      <c r="E187" s="46" t="n">
        <f aca="false">SUMIFS('Additions (monthly)'!$E$2:$E$106,'Additions (monthly)'!$D$2:$D$106,E$2,'Additions (monthly)'!$B$2:$B$106,"&lt;="&amp;$B187)</f>
        <v>8.4</v>
      </c>
      <c r="F187" s="46" t="n">
        <f aca="false">SUMIFS('Additions (monthly)'!$E$2:$E$106,'Additions (monthly)'!$D$2:$D$106,F$2,'Additions (monthly)'!$B$2:$B$106,"&lt;="&amp;$B187)</f>
        <v>4.7</v>
      </c>
      <c r="G187" s="46" t="n">
        <f aca="false">SUMIFS('Additions (monthly)'!$E$2:$E$106,'Additions (monthly)'!$D$2:$D$106,G$2,'Additions (monthly)'!$B$2:$B$106,"&lt;="&amp;$B187)</f>
        <v>4.5</v>
      </c>
      <c r="H187" s="46" t="n">
        <f aca="false">SUMIFS('Additions (monthly)'!$E$2:$E$106,'Additions (monthly)'!$D$2:$D$106,H$2,'Additions (monthly)'!$B$2:$B$106,"&lt;="&amp;$B187)</f>
        <v>5.2</v>
      </c>
      <c r="I187" s="46" t="n">
        <f aca="false">SUMIFS('Additions (monthly)'!$E$2:$E$106,'Additions (monthly)'!$D$2:$D$106,I$2,'Additions (monthly)'!$B$2:$B$106,"&lt;="&amp;$B187)</f>
        <v>9</v>
      </c>
      <c r="J187" s="46" t="n">
        <f aca="false">SUMIFS('Additions (monthly)'!$E$2:$E$106,'Additions (monthly)'!$D$2:$D$106,J$2,'Additions (monthly)'!$B$2:$B$106,"&lt;="&amp;$B187)</f>
        <v>3.7</v>
      </c>
      <c r="K187" s="46" t="n">
        <f aca="false">SUMIFS('Additions (monthly)'!$E$2:$E$106,'Additions (monthly)'!$D$2:$D$106,K$2,'Additions (monthly)'!$B$2:$B$106,"&lt;="&amp;$B187)</f>
        <v>7.8</v>
      </c>
      <c r="L187" s="46" t="n">
        <f aca="false">SUMIFS('Additions (monthly)'!$E$2:$E$106,'Additions (monthly)'!$D$2:$D$106,L$2,'Additions (monthly)'!$B$2:$B$106,"&lt;="&amp;$B187)</f>
        <v>15.6</v>
      </c>
      <c r="M187" s="46" t="n">
        <f aca="false">SUMIFS('Additions (monthly)'!$E$2:$E$106,'Additions (monthly)'!$D$2:$D$106,M$2,'Additions (monthly)'!$B$2:$B$106,"&lt;="&amp;$B187)</f>
        <v>8.9</v>
      </c>
      <c r="N187" s="46" t="n">
        <f aca="false">SUMIFS('Additions (monthly)'!$E$2:$E$106,'Additions (monthly)'!$D$2:$D$106,N$2,'Additions (monthly)'!$B$2:$B$106,"&lt;="&amp;$B187)</f>
        <v>14.2</v>
      </c>
      <c r="O187" s="46" t="n">
        <f aca="false">SUMIFS('Additions (monthly)'!$E$2:$E$106,'Additions (monthly)'!$D$2:$D$106,O$2,'Additions (monthly)'!$B$2:$B$106,"&lt;="&amp;$B187)</f>
        <v>4.9</v>
      </c>
      <c r="P187" s="46" t="n">
        <f aca="false">SUMIFS('Additions (monthly)'!$E$2:$E$106,'Additions (monthly)'!$D$2:$D$106,P$2,'Additions (monthly)'!$B$2:$B$106,"&lt;="&amp;$B187)</f>
        <v>3.6</v>
      </c>
      <c r="Q187" s="46" t="n">
        <f aca="false">SUMIFS('Additions (monthly)'!$E$2:$E$106,'Additions (monthly)'!$D$2:$D$106,Q$2,'Additions (monthly)'!$B$2:$B$106,"&lt;="&amp;$B187)</f>
        <v>8.5</v>
      </c>
      <c r="R187" s="46" t="n">
        <f aca="false">SUMIFS('Additions (monthly)'!$E$2:$E$106,'Additions (monthly)'!$D$2:$D$106,R$2,'Additions (monthly)'!$B$2:$B$106,"&lt;="&amp;$B187)</f>
        <v>8.9</v>
      </c>
      <c r="S187" s="46" t="n">
        <f aca="false">SUMIFS('Additions (monthly)'!$E$2:$E$106,'Additions (monthly)'!$D$2:$D$106,S$2,'Additions (monthly)'!$B$2:$B$106,"&lt;="&amp;$B187)</f>
        <v>7.2</v>
      </c>
      <c r="T187" s="46" t="n">
        <f aca="false">SUMIFS('Additions (monthly)'!$E$2:$E$106,'Additions (monthly)'!$D$2:$D$106,T$2,'Additions (monthly)'!$B$2:$B$106,"&lt;="&amp;$B187)</f>
        <v>2.4</v>
      </c>
      <c r="U187" s="46" t="n">
        <f aca="false">SUMIFS('Additions (monthly)'!$E$2:$E$106,'Additions (monthly)'!$D$2:$D$106,U$2,'Additions (monthly)'!$B$2:$B$106,"&lt;="&amp;$B187)</f>
        <v>0</v>
      </c>
      <c r="V187" s="46" t="n">
        <f aca="false">SUMIFS('Additions (monthly)'!$E$2:$E$106,'Additions (monthly)'!$D$2:$D$106,V$2,'Additions (monthly)'!$B$2:$B$106,"&lt;="&amp;$B187)</f>
        <v>3.87</v>
      </c>
      <c r="W187" s="46" t="n">
        <f aca="false">SUMIFS('Additions (monthly)'!$E$2:$E$106,'Additions (monthly)'!$D$2:$D$106,W$2,'Additions (monthly)'!$B$2:$B$106,"&lt;="&amp;$B187)</f>
        <v>0.6</v>
      </c>
      <c r="X187" s="46" t="n">
        <f aca="false">SUMIFS('Additions (monthly)'!$E$2:$E$106,'Additions (monthly)'!$D$2:$D$106,X$2,'Additions (monthly)'!$B$2:$B$106,"&lt;="&amp;$B187)</f>
        <v>0</v>
      </c>
      <c r="Y187" s="46" t="n">
        <f aca="false">SUMIFS('Additions (monthly)'!$E$2:$E$106,'Additions (monthly)'!$D$2:$D$106,Y$2,'Additions (monthly)'!$B$2:$B$106,"&lt;="&amp;$B187)</f>
        <v>5</v>
      </c>
      <c r="Z187" s="46" t="n">
        <f aca="false">SUMIFS('Additions (monthly)'!$E$2:$E$106,'Additions (monthly)'!$D$2:$D$106,Z$2,'Additions (monthly)'!$B$2:$B$106,"&lt;="&amp;$B187)</f>
        <v>7.2</v>
      </c>
      <c r="AA187" s="46" t="n">
        <f aca="false">SUMIFS('Additions (monthly)'!$E$2:$E$106,'Additions (monthly)'!$D$2:$D$106,AA$2,'Additions (monthly)'!$B$2:$B$106,"&lt;="&amp;$B187)</f>
        <v>3.7</v>
      </c>
      <c r="AB187" s="46" t="n">
        <f aca="false">SUMIFS('Additions (monthly)'!$E$2:$E$106,'Additions (monthly)'!$D$2:$D$106,AB$2,'Additions (monthly)'!$B$2:$B$106,"&lt;="&amp;$B187)</f>
        <v>16.95</v>
      </c>
      <c r="AC187" s="46" t="n">
        <f aca="false">SUMIFS('Additions (monthly)'!$E$2:$E$106,'Additions (monthly)'!$D$2:$D$106,AC$2,'Additions (monthly)'!$B$2:$B$106,"&lt;="&amp;$B187)</f>
        <v>2</v>
      </c>
      <c r="AD187" s="46" t="n">
        <f aca="false">SUMIFS('Additions (monthly)'!$E$2:$E$106,'Additions (monthly)'!$D$2:$D$106,AD$2,'Additions (monthly)'!$B$2:$B$106,"&lt;="&amp;$B187)</f>
        <v>11.4</v>
      </c>
      <c r="AE187" s="46" t="n">
        <f aca="false">SUMIFS('Additions (monthly)'!$E$2:$E$106,'Additions (monthly)'!$D$2:$D$106,AE$2,'Additions (monthly)'!$B$2:$B$106,"&lt;="&amp;$B187)</f>
        <v>29.3</v>
      </c>
      <c r="AF187" s="46" t="n">
        <f aca="false">SUMIFS('Additions (monthly)'!$E$2:$E$106,'Additions (monthly)'!$D$2:$D$106,AF$2,'Additions (monthly)'!$B$2:$B$106,"&lt;="&amp;$B187)</f>
        <v>1.2</v>
      </c>
      <c r="AG187" s="46" t="n">
        <f aca="false">SUMIFS('Additions (monthly)'!$E$2:$E$106,'Additions (monthly)'!$D$2:$D$106,AG$2,'Additions (monthly)'!$B$2:$B$106,"&lt;="&amp;$B187)</f>
        <v>1.5</v>
      </c>
      <c r="AH187" s="46" t="n">
        <f aca="false">SUMIFS('Additions (monthly)'!$E$2:$E$106,'Additions (monthly)'!$D$2:$D$106,AH$2,'Additions (monthly)'!$B$2:$B$106,"&lt;="&amp;$B187)</f>
        <v>2.5</v>
      </c>
      <c r="AI187" s="46" t="n">
        <f aca="false">SUMIFS('Additions (monthly)'!$E$2:$E$106,'Additions (monthly)'!$D$2:$D$106,AI$2,'Additions (monthly)'!$B$2:$B$106,"&lt;="&amp;$B187)</f>
        <v>1.4</v>
      </c>
      <c r="AJ187" s="46" t="n">
        <f aca="false">SUMIFS('Additions (monthly)'!$E$2:$E$106,'Additions (monthly)'!$D$2:$D$106,AJ$2,'Additions (monthly)'!$B$2:$B$106,"&lt;="&amp;$B187)</f>
        <v>0</v>
      </c>
      <c r="AK187" s="46" t="n">
        <f aca="false">SUMIFS('Additions (monthly)'!$E$2:$E$106,'Additions (monthly)'!$D$2:$D$106,AK$2,'Additions (monthly)'!$B$2:$B$106,"&lt;="&amp;$B187)</f>
        <v>3.4</v>
      </c>
      <c r="AL187" s="46" t="n">
        <f aca="false">SUMIFS('Additions (monthly)'!$E$2:$E$106,'Additions (monthly)'!$D$2:$D$106,AL$2,'Additions (monthly)'!$B$2:$B$106,"&lt;="&amp;$B187)</f>
        <v>22.2</v>
      </c>
      <c r="AM187" s="46" t="n">
        <f aca="false">SUMIFS('Additions (monthly)'!$E$2:$E$106,'Additions (monthly)'!$D$2:$D$106,AM$2,'Additions (monthly)'!$B$2:$B$106,"&lt;="&amp;$B187)</f>
        <v>0.3</v>
      </c>
      <c r="AN187" s="46" t="n">
        <f aca="false">SUMIFS('Additions (monthly)'!$E$2:$E$106,'Additions (monthly)'!$D$2:$D$106,AN$2,'Additions (monthly)'!$B$2:$B$106,"&lt;="&amp;$B187)</f>
        <v>4.3</v>
      </c>
      <c r="AO187" s="46" t="n">
        <f aca="false">SUMIFS('Additions (monthly)'!$E$2:$E$106,'Additions (monthly)'!$D$2:$D$106,AO$2,'Additions (monthly)'!$B$2:$B$106,"&lt;="&amp;$B187)</f>
        <v>10.4</v>
      </c>
      <c r="AP187" s="46" t="n">
        <f aca="false">SUMIFS('Additions (monthly)'!$E$2:$E$106,'Additions (monthly)'!$D$2:$D$106,AP$2,'Additions (monthly)'!$B$2:$B$106,"&lt;="&amp;$B187)</f>
        <v>6.9</v>
      </c>
      <c r="AQ187" s="46" t="n">
        <f aca="false">SUMIFS('Additions (monthly)'!$E$2:$E$106,'Additions (monthly)'!$D$2:$D$106,AQ$2,'Additions (monthly)'!$B$2:$B$106,"&lt;="&amp;$B187)</f>
        <v>4.45</v>
      </c>
      <c r="AR187" s="46" t="n">
        <f aca="false">SUMIFS('Additions (monthly)'!$E$2:$E$106,'Additions (monthly)'!$D$2:$D$106,AR$2,'Additions (monthly)'!$B$2:$B$106,"&lt;="&amp;$B187)</f>
        <v>77.1</v>
      </c>
      <c r="AS187" s="46" t="n">
        <f aca="false">SUMIFS('Additions (monthly)'!$E$2:$E$106,'Additions (monthly)'!$D$2:$D$106,AS$2,'Additions (monthly)'!$B$2:$B$106,"&lt;="&amp;$B187)</f>
        <v>6.6</v>
      </c>
      <c r="AT187" s="46" t="n">
        <f aca="false">SUMIFS('Additions (monthly)'!$E$2:$E$106,'Additions (monthly)'!$D$2:$D$106,AT$2,'Additions (monthly)'!$B$2:$B$106,"&lt;="&amp;$B187)</f>
        <v>1.5</v>
      </c>
      <c r="AU187" s="46" t="n">
        <f aca="false">SUMIFS('Additions (monthly)'!$E$2:$E$106,'Additions (monthly)'!$D$2:$D$106,AU$2,'Additions (monthly)'!$B$2:$B$106,"&lt;="&amp;$B187)</f>
        <v>9.6</v>
      </c>
      <c r="AV187" s="46" t="n">
        <f aca="false">SUMIFS('Additions (monthly)'!$E$2:$E$106,'Additions (monthly)'!$D$2:$D$106,AV$2,'Additions (monthly)'!$B$2:$B$106,"&lt;="&amp;$B187)</f>
        <v>0.66</v>
      </c>
      <c r="AW187" s="46" t="n">
        <f aca="false">SUMIFS('Additions (monthly)'!$E$2:$E$106,'Additions (monthly)'!$D$2:$D$106,AW$2,'Additions (monthly)'!$B$2:$B$106,"&lt;="&amp;$B187)</f>
        <v>17.4</v>
      </c>
      <c r="AX187" s="46" t="n">
        <f aca="false">SUMIFS('Additions (monthly)'!$E$2:$E$106,'Additions (monthly)'!$D$2:$D$106,AX$2,'Additions (monthly)'!$B$2:$B$106,"&lt;="&amp;$B187)</f>
        <v>11.8</v>
      </c>
      <c r="AY187" s="46" t="n">
        <f aca="false">SUMIFS('Additions (monthly)'!$E$2:$E$106,'Additions (monthly)'!$D$2:$D$106,AY$2,'Additions (monthly)'!$B$2:$B$106,"&lt;="&amp;$B187)</f>
        <v>5.3</v>
      </c>
      <c r="AZ187" s="46" t="n">
        <f aca="false">SUMIFS('Additions (monthly)'!$E$2:$E$106,'Additions (monthly)'!$D$2:$D$106,AZ$2,'Additions (monthly)'!$B$2:$B$106,"&lt;="&amp;$B187)</f>
        <v>9.97</v>
      </c>
      <c r="BA187" s="46" t="n">
        <f aca="false">SUMIFS('Additions (monthly)'!$E$2:$E$106,'Additions (monthly)'!$D$2:$D$106,BA$2,'Additions (monthly)'!$B$2:$B$106,"&lt;="&amp;$B187)</f>
        <v>13.5</v>
      </c>
      <c r="BB187" s="46" t="n">
        <f aca="false">SUMIFS('Additions (monthly)'!$E$2:$E$106,'Additions (monthly)'!$D$2:$D$106,BB$2,'Additions (monthly)'!$B$2:$B$106,"&lt;="&amp;$B187)</f>
        <v>16.49</v>
      </c>
      <c r="BC187" s="46" t="n">
        <f aca="false">SUMIFS('Additions (monthly)'!$E$2:$E$106,'Additions (monthly)'!$D$2:$D$106,BC$2,'Additions (monthly)'!$B$2:$B$106,"&lt;="&amp;$B187)</f>
        <v>5.25</v>
      </c>
      <c r="BD187" s="46" t="n">
        <f aca="false">SUMIFS('Additions (monthly)'!$E$2:$E$106,'Additions (monthly)'!$D$2:$D$106,BD$2,'Additions (monthly)'!$B$2:$B$106,"&lt;="&amp;$B187)</f>
        <v>2.5</v>
      </c>
      <c r="BE187" s="46" t="n">
        <f aca="false">SUMIFS('Additions (monthly)'!$E$2:$E$106,'Additions (monthly)'!$D$2:$D$106,BE$2,'Additions (monthly)'!$B$2:$B$106,"&lt;="&amp;$B187)</f>
        <v>15.3</v>
      </c>
      <c r="BF187" s="46" t="n">
        <f aca="false">SUMIFS('Additions (monthly)'!$E$2:$E$106,'Additions (monthly)'!$D$2:$D$106,BF$2,'Additions (monthly)'!$B$2:$B$106,"&lt;="&amp;$B187)</f>
        <v>0</v>
      </c>
      <c r="BG187" s="46" t="n">
        <f aca="false">SUMIFS('Additions (monthly)'!$E$2:$E$106,'Additions (monthly)'!$D$2:$D$106,BG$2,'Additions (monthly)'!$B$2:$B$106,"&lt;="&amp;$B187)</f>
        <v>11.88</v>
      </c>
      <c r="BH187" s="46" t="n">
        <f aca="false">SUMIFS('Additions (monthly)'!$E$2:$E$106,'Additions (monthly)'!$D$2:$D$106,BH$2,'Additions (monthly)'!$B$2:$B$106,"&lt;="&amp;$B187)</f>
        <v>30</v>
      </c>
      <c r="BI187" s="46" t="n">
        <f aca="false">SUMIFS('Additions (monthly)'!$E$2:$E$106,'Additions (monthly)'!$D$2:$D$106,BI$2,'Additions (monthly)'!$B$2:$B$106,"&lt;="&amp;$B187)</f>
        <v>6.7</v>
      </c>
    </row>
    <row r="188" customFormat="false" ht="15" hidden="false" customHeight="false" outlineLevel="0" collapsed="false">
      <c r="A188" s="44" t="n">
        <v>45809</v>
      </c>
      <c r="B188" s="45" t="n">
        <v>202506</v>
      </c>
      <c r="C188" s="42" t="n">
        <f aca="false">SUMIFS('Additions (monthly)'!$E$2:$E$106,'Additions (monthly)'!$B$2:$B$106,"&lt;="&amp;$B188)</f>
        <v>515.63</v>
      </c>
      <c r="D188" s="46" t="n">
        <f aca="false">SUMIFS('Additions (monthly)'!$E$2:$E$106,'Additions (monthly)'!$D$2:$D$106,D$2,'Additions (monthly)'!$B$2:$B$106,"&lt;="&amp;$B188)</f>
        <v>7.9</v>
      </c>
      <c r="E188" s="46" t="n">
        <f aca="false">SUMIFS('Additions (monthly)'!$E$2:$E$106,'Additions (monthly)'!$D$2:$D$106,E$2,'Additions (monthly)'!$B$2:$B$106,"&lt;="&amp;$B188)</f>
        <v>8.4</v>
      </c>
      <c r="F188" s="46" t="n">
        <f aca="false">SUMIFS('Additions (monthly)'!$E$2:$E$106,'Additions (monthly)'!$D$2:$D$106,F$2,'Additions (monthly)'!$B$2:$B$106,"&lt;="&amp;$B188)</f>
        <v>4.7</v>
      </c>
      <c r="G188" s="46" t="n">
        <f aca="false">SUMIFS('Additions (monthly)'!$E$2:$E$106,'Additions (monthly)'!$D$2:$D$106,G$2,'Additions (monthly)'!$B$2:$B$106,"&lt;="&amp;$B188)</f>
        <v>4.5</v>
      </c>
      <c r="H188" s="46" t="n">
        <f aca="false">SUMIFS('Additions (monthly)'!$E$2:$E$106,'Additions (monthly)'!$D$2:$D$106,H$2,'Additions (monthly)'!$B$2:$B$106,"&lt;="&amp;$B188)</f>
        <v>5.2</v>
      </c>
      <c r="I188" s="46" t="n">
        <f aca="false">SUMIFS('Additions (monthly)'!$E$2:$E$106,'Additions (monthly)'!$D$2:$D$106,I$2,'Additions (monthly)'!$B$2:$B$106,"&lt;="&amp;$B188)</f>
        <v>9</v>
      </c>
      <c r="J188" s="46" t="n">
        <f aca="false">SUMIFS('Additions (monthly)'!$E$2:$E$106,'Additions (monthly)'!$D$2:$D$106,J$2,'Additions (monthly)'!$B$2:$B$106,"&lt;="&amp;$B188)</f>
        <v>3.7</v>
      </c>
      <c r="K188" s="46" t="n">
        <f aca="false">SUMIFS('Additions (monthly)'!$E$2:$E$106,'Additions (monthly)'!$D$2:$D$106,K$2,'Additions (monthly)'!$B$2:$B$106,"&lt;="&amp;$B188)</f>
        <v>7.8</v>
      </c>
      <c r="L188" s="46" t="n">
        <f aca="false">SUMIFS('Additions (monthly)'!$E$2:$E$106,'Additions (monthly)'!$D$2:$D$106,L$2,'Additions (monthly)'!$B$2:$B$106,"&lt;="&amp;$B188)</f>
        <v>15.6</v>
      </c>
      <c r="M188" s="46" t="n">
        <f aca="false">SUMIFS('Additions (monthly)'!$E$2:$E$106,'Additions (monthly)'!$D$2:$D$106,M$2,'Additions (monthly)'!$B$2:$B$106,"&lt;="&amp;$B188)</f>
        <v>8.9</v>
      </c>
      <c r="N188" s="46" t="n">
        <f aca="false">SUMIFS('Additions (monthly)'!$E$2:$E$106,'Additions (monthly)'!$D$2:$D$106,N$2,'Additions (monthly)'!$B$2:$B$106,"&lt;="&amp;$B188)</f>
        <v>14.2</v>
      </c>
      <c r="O188" s="46" t="n">
        <f aca="false">SUMIFS('Additions (monthly)'!$E$2:$E$106,'Additions (monthly)'!$D$2:$D$106,O$2,'Additions (monthly)'!$B$2:$B$106,"&lt;="&amp;$B188)</f>
        <v>4.9</v>
      </c>
      <c r="P188" s="46" t="n">
        <f aca="false">SUMIFS('Additions (monthly)'!$E$2:$E$106,'Additions (monthly)'!$D$2:$D$106,P$2,'Additions (monthly)'!$B$2:$B$106,"&lt;="&amp;$B188)</f>
        <v>3.6</v>
      </c>
      <c r="Q188" s="46" t="n">
        <f aca="false">SUMIFS('Additions (monthly)'!$E$2:$E$106,'Additions (monthly)'!$D$2:$D$106,Q$2,'Additions (monthly)'!$B$2:$B$106,"&lt;="&amp;$B188)</f>
        <v>8.5</v>
      </c>
      <c r="R188" s="46" t="n">
        <f aca="false">SUMIFS('Additions (monthly)'!$E$2:$E$106,'Additions (monthly)'!$D$2:$D$106,R$2,'Additions (monthly)'!$B$2:$B$106,"&lt;="&amp;$B188)</f>
        <v>8.9</v>
      </c>
      <c r="S188" s="46" t="n">
        <f aca="false">SUMIFS('Additions (monthly)'!$E$2:$E$106,'Additions (monthly)'!$D$2:$D$106,S$2,'Additions (monthly)'!$B$2:$B$106,"&lt;="&amp;$B188)</f>
        <v>7.2</v>
      </c>
      <c r="T188" s="46" t="n">
        <f aca="false">SUMIFS('Additions (monthly)'!$E$2:$E$106,'Additions (monthly)'!$D$2:$D$106,T$2,'Additions (monthly)'!$B$2:$B$106,"&lt;="&amp;$B188)</f>
        <v>2.4</v>
      </c>
      <c r="U188" s="46" t="n">
        <f aca="false">SUMIFS('Additions (monthly)'!$E$2:$E$106,'Additions (monthly)'!$D$2:$D$106,U$2,'Additions (monthly)'!$B$2:$B$106,"&lt;="&amp;$B188)</f>
        <v>7</v>
      </c>
      <c r="V188" s="46" t="n">
        <f aca="false">SUMIFS('Additions (monthly)'!$E$2:$E$106,'Additions (monthly)'!$D$2:$D$106,V$2,'Additions (monthly)'!$B$2:$B$106,"&lt;="&amp;$B188)</f>
        <v>3.87</v>
      </c>
      <c r="W188" s="46" t="n">
        <f aca="false">SUMIFS('Additions (monthly)'!$E$2:$E$106,'Additions (monthly)'!$D$2:$D$106,W$2,'Additions (monthly)'!$B$2:$B$106,"&lt;="&amp;$B188)</f>
        <v>0.6</v>
      </c>
      <c r="X188" s="46" t="n">
        <f aca="false">SUMIFS('Additions (monthly)'!$E$2:$E$106,'Additions (monthly)'!$D$2:$D$106,X$2,'Additions (monthly)'!$B$2:$B$106,"&lt;="&amp;$B188)</f>
        <v>0</v>
      </c>
      <c r="Y188" s="46" t="n">
        <f aca="false">SUMIFS('Additions (monthly)'!$E$2:$E$106,'Additions (monthly)'!$D$2:$D$106,Y$2,'Additions (monthly)'!$B$2:$B$106,"&lt;="&amp;$B188)</f>
        <v>5</v>
      </c>
      <c r="Z188" s="46" t="n">
        <f aca="false">SUMIFS('Additions (monthly)'!$E$2:$E$106,'Additions (monthly)'!$D$2:$D$106,Z$2,'Additions (monthly)'!$B$2:$B$106,"&lt;="&amp;$B188)</f>
        <v>7.2</v>
      </c>
      <c r="AA188" s="46" t="n">
        <f aca="false">SUMIFS('Additions (monthly)'!$E$2:$E$106,'Additions (monthly)'!$D$2:$D$106,AA$2,'Additions (monthly)'!$B$2:$B$106,"&lt;="&amp;$B188)</f>
        <v>3.7</v>
      </c>
      <c r="AB188" s="46" t="n">
        <f aca="false">SUMIFS('Additions (monthly)'!$E$2:$E$106,'Additions (monthly)'!$D$2:$D$106,AB$2,'Additions (monthly)'!$B$2:$B$106,"&lt;="&amp;$B188)</f>
        <v>16.95</v>
      </c>
      <c r="AC188" s="46" t="n">
        <f aca="false">SUMIFS('Additions (monthly)'!$E$2:$E$106,'Additions (monthly)'!$D$2:$D$106,AC$2,'Additions (monthly)'!$B$2:$B$106,"&lt;="&amp;$B188)</f>
        <v>2</v>
      </c>
      <c r="AD188" s="46" t="n">
        <f aca="false">SUMIFS('Additions (monthly)'!$E$2:$E$106,'Additions (monthly)'!$D$2:$D$106,AD$2,'Additions (monthly)'!$B$2:$B$106,"&lt;="&amp;$B188)</f>
        <v>11.4</v>
      </c>
      <c r="AE188" s="46" t="n">
        <f aca="false">SUMIFS('Additions (monthly)'!$E$2:$E$106,'Additions (monthly)'!$D$2:$D$106,AE$2,'Additions (monthly)'!$B$2:$B$106,"&lt;="&amp;$B188)</f>
        <v>29.3</v>
      </c>
      <c r="AF188" s="46" t="n">
        <f aca="false">SUMIFS('Additions (monthly)'!$E$2:$E$106,'Additions (monthly)'!$D$2:$D$106,AF$2,'Additions (monthly)'!$B$2:$B$106,"&lt;="&amp;$B188)</f>
        <v>1.2</v>
      </c>
      <c r="AG188" s="46" t="n">
        <f aca="false">SUMIFS('Additions (monthly)'!$E$2:$E$106,'Additions (monthly)'!$D$2:$D$106,AG$2,'Additions (monthly)'!$B$2:$B$106,"&lt;="&amp;$B188)</f>
        <v>1.5</v>
      </c>
      <c r="AH188" s="46" t="n">
        <f aca="false">SUMIFS('Additions (monthly)'!$E$2:$E$106,'Additions (monthly)'!$D$2:$D$106,AH$2,'Additions (monthly)'!$B$2:$B$106,"&lt;="&amp;$B188)</f>
        <v>2.5</v>
      </c>
      <c r="AI188" s="46" t="n">
        <f aca="false">SUMIFS('Additions (monthly)'!$E$2:$E$106,'Additions (monthly)'!$D$2:$D$106,AI$2,'Additions (monthly)'!$B$2:$B$106,"&lt;="&amp;$B188)</f>
        <v>1.4</v>
      </c>
      <c r="AJ188" s="46" t="n">
        <f aca="false">SUMIFS('Additions (monthly)'!$E$2:$E$106,'Additions (monthly)'!$D$2:$D$106,AJ$2,'Additions (monthly)'!$B$2:$B$106,"&lt;="&amp;$B188)</f>
        <v>0</v>
      </c>
      <c r="AK188" s="46" t="n">
        <f aca="false">SUMIFS('Additions (monthly)'!$E$2:$E$106,'Additions (monthly)'!$D$2:$D$106,AK$2,'Additions (monthly)'!$B$2:$B$106,"&lt;="&amp;$B188)</f>
        <v>3.4</v>
      </c>
      <c r="AL188" s="46" t="n">
        <f aca="false">SUMIFS('Additions (monthly)'!$E$2:$E$106,'Additions (monthly)'!$D$2:$D$106,AL$2,'Additions (monthly)'!$B$2:$B$106,"&lt;="&amp;$B188)</f>
        <v>22.2</v>
      </c>
      <c r="AM188" s="46" t="n">
        <f aca="false">SUMIFS('Additions (monthly)'!$E$2:$E$106,'Additions (monthly)'!$D$2:$D$106,AM$2,'Additions (monthly)'!$B$2:$B$106,"&lt;="&amp;$B188)</f>
        <v>0.3</v>
      </c>
      <c r="AN188" s="46" t="n">
        <f aca="false">SUMIFS('Additions (monthly)'!$E$2:$E$106,'Additions (monthly)'!$D$2:$D$106,AN$2,'Additions (monthly)'!$B$2:$B$106,"&lt;="&amp;$B188)</f>
        <v>4.3</v>
      </c>
      <c r="AO188" s="46" t="n">
        <f aca="false">SUMIFS('Additions (monthly)'!$E$2:$E$106,'Additions (monthly)'!$D$2:$D$106,AO$2,'Additions (monthly)'!$B$2:$B$106,"&lt;="&amp;$B188)</f>
        <v>10.4</v>
      </c>
      <c r="AP188" s="46" t="n">
        <f aca="false">SUMIFS('Additions (monthly)'!$E$2:$E$106,'Additions (monthly)'!$D$2:$D$106,AP$2,'Additions (monthly)'!$B$2:$B$106,"&lt;="&amp;$B188)</f>
        <v>6.9</v>
      </c>
      <c r="AQ188" s="46" t="n">
        <f aca="false">SUMIFS('Additions (monthly)'!$E$2:$E$106,'Additions (monthly)'!$D$2:$D$106,AQ$2,'Additions (monthly)'!$B$2:$B$106,"&lt;="&amp;$B188)</f>
        <v>4.45</v>
      </c>
      <c r="AR188" s="46" t="n">
        <f aca="false">SUMIFS('Additions (monthly)'!$E$2:$E$106,'Additions (monthly)'!$D$2:$D$106,AR$2,'Additions (monthly)'!$B$2:$B$106,"&lt;="&amp;$B188)</f>
        <v>77.1</v>
      </c>
      <c r="AS188" s="46" t="n">
        <f aca="false">SUMIFS('Additions (monthly)'!$E$2:$E$106,'Additions (monthly)'!$D$2:$D$106,AS$2,'Additions (monthly)'!$B$2:$B$106,"&lt;="&amp;$B188)</f>
        <v>6.6</v>
      </c>
      <c r="AT188" s="46" t="n">
        <f aca="false">SUMIFS('Additions (monthly)'!$E$2:$E$106,'Additions (monthly)'!$D$2:$D$106,AT$2,'Additions (monthly)'!$B$2:$B$106,"&lt;="&amp;$B188)</f>
        <v>1.5</v>
      </c>
      <c r="AU188" s="46" t="n">
        <f aca="false">SUMIFS('Additions (monthly)'!$E$2:$E$106,'Additions (monthly)'!$D$2:$D$106,AU$2,'Additions (monthly)'!$B$2:$B$106,"&lt;="&amp;$B188)</f>
        <v>9.6</v>
      </c>
      <c r="AV188" s="46" t="n">
        <f aca="false">SUMIFS('Additions (monthly)'!$E$2:$E$106,'Additions (monthly)'!$D$2:$D$106,AV$2,'Additions (monthly)'!$B$2:$B$106,"&lt;="&amp;$B188)</f>
        <v>0.66</v>
      </c>
      <c r="AW188" s="46" t="n">
        <f aca="false">SUMIFS('Additions (monthly)'!$E$2:$E$106,'Additions (monthly)'!$D$2:$D$106,AW$2,'Additions (monthly)'!$B$2:$B$106,"&lt;="&amp;$B188)</f>
        <v>17.4</v>
      </c>
      <c r="AX188" s="46" t="n">
        <f aca="false">SUMIFS('Additions (monthly)'!$E$2:$E$106,'Additions (monthly)'!$D$2:$D$106,AX$2,'Additions (monthly)'!$B$2:$B$106,"&lt;="&amp;$B188)</f>
        <v>11.8</v>
      </c>
      <c r="AY188" s="46" t="n">
        <f aca="false">SUMIFS('Additions (monthly)'!$E$2:$E$106,'Additions (monthly)'!$D$2:$D$106,AY$2,'Additions (monthly)'!$B$2:$B$106,"&lt;="&amp;$B188)</f>
        <v>5.3</v>
      </c>
      <c r="AZ188" s="46" t="n">
        <f aca="false">SUMIFS('Additions (monthly)'!$E$2:$E$106,'Additions (monthly)'!$D$2:$D$106,AZ$2,'Additions (monthly)'!$B$2:$B$106,"&lt;="&amp;$B188)</f>
        <v>9.97</v>
      </c>
      <c r="BA188" s="46" t="n">
        <f aca="false">SUMIFS('Additions (monthly)'!$E$2:$E$106,'Additions (monthly)'!$D$2:$D$106,BA$2,'Additions (monthly)'!$B$2:$B$106,"&lt;="&amp;$B188)</f>
        <v>13.5</v>
      </c>
      <c r="BB188" s="46" t="n">
        <f aca="false">SUMIFS('Additions (monthly)'!$E$2:$E$106,'Additions (monthly)'!$D$2:$D$106,BB$2,'Additions (monthly)'!$B$2:$B$106,"&lt;="&amp;$B188)</f>
        <v>17.98</v>
      </c>
      <c r="BC188" s="46" t="n">
        <f aca="false">SUMIFS('Additions (monthly)'!$E$2:$E$106,'Additions (monthly)'!$D$2:$D$106,BC$2,'Additions (monthly)'!$B$2:$B$106,"&lt;="&amp;$B188)</f>
        <v>5.25</v>
      </c>
      <c r="BD188" s="46" t="n">
        <f aca="false">SUMIFS('Additions (monthly)'!$E$2:$E$106,'Additions (monthly)'!$D$2:$D$106,BD$2,'Additions (monthly)'!$B$2:$B$106,"&lt;="&amp;$B188)</f>
        <v>2.5</v>
      </c>
      <c r="BE188" s="46" t="n">
        <f aca="false">SUMIFS('Additions (monthly)'!$E$2:$E$106,'Additions (monthly)'!$D$2:$D$106,BE$2,'Additions (monthly)'!$B$2:$B$106,"&lt;="&amp;$B188)</f>
        <v>15.3</v>
      </c>
      <c r="BF188" s="46" t="n">
        <f aca="false">SUMIFS('Additions (monthly)'!$E$2:$E$106,'Additions (monthly)'!$D$2:$D$106,BF$2,'Additions (monthly)'!$B$2:$B$106,"&lt;="&amp;$B188)</f>
        <v>0</v>
      </c>
      <c r="BG188" s="46" t="n">
        <f aca="false">SUMIFS('Additions (monthly)'!$E$2:$E$106,'Additions (monthly)'!$D$2:$D$106,BG$2,'Additions (monthly)'!$B$2:$B$106,"&lt;="&amp;$B188)</f>
        <v>13.5</v>
      </c>
      <c r="BH188" s="46" t="n">
        <f aca="false">SUMIFS('Additions (monthly)'!$E$2:$E$106,'Additions (monthly)'!$D$2:$D$106,BH$2,'Additions (monthly)'!$B$2:$B$106,"&lt;="&amp;$B188)</f>
        <v>30</v>
      </c>
      <c r="BI188" s="46" t="n">
        <f aca="false">SUMIFS('Additions (monthly)'!$E$2:$E$106,'Additions (monthly)'!$D$2:$D$106,BI$2,'Additions (monthly)'!$B$2:$B$106,"&lt;="&amp;$B188)</f>
        <v>6.7</v>
      </c>
    </row>
    <row r="189" customFormat="false" ht="15" hidden="false" customHeight="false" outlineLevel="0" collapsed="false">
      <c r="A189" s="44" t="n">
        <v>45839</v>
      </c>
      <c r="B189" s="45" t="n">
        <v>202507</v>
      </c>
      <c r="C189" s="42" t="n">
        <f aca="false">SUMIFS('Additions (monthly)'!$E$2:$E$106,'Additions (monthly)'!$B$2:$B$106,"&lt;="&amp;$B189)</f>
        <v>517.25</v>
      </c>
      <c r="D189" s="46" t="n">
        <f aca="false">SUMIFS('Additions (monthly)'!$E$2:$E$106,'Additions (monthly)'!$D$2:$D$106,D$2,'Additions (monthly)'!$B$2:$B$106,"&lt;="&amp;$B189)</f>
        <v>7.9</v>
      </c>
      <c r="E189" s="46" t="n">
        <f aca="false">SUMIFS('Additions (monthly)'!$E$2:$E$106,'Additions (monthly)'!$D$2:$D$106,E$2,'Additions (monthly)'!$B$2:$B$106,"&lt;="&amp;$B189)</f>
        <v>8.4</v>
      </c>
      <c r="F189" s="46" t="n">
        <f aca="false">SUMIFS('Additions (monthly)'!$E$2:$E$106,'Additions (monthly)'!$D$2:$D$106,F$2,'Additions (monthly)'!$B$2:$B$106,"&lt;="&amp;$B189)</f>
        <v>4.7</v>
      </c>
      <c r="G189" s="46" t="n">
        <f aca="false">SUMIFS('Additions (monthly)'!$E$2:$E$106,'Additions (monthly)'!$D$2:$D$106,G$2,'Additions (monthly)'!$B$2:$B$106,"&lt;="&amp;$B189)</f>
        <v>4.5</v>
      </c>
      <c r="H189" s="46" t="n">
        <f aca="false">SUMIFS('Additions (monthly)'!$E$2:$E$106,'Additions (monthly)'!$D$2:$D$106,H$2,'Additions (monthly)'!$B$2:$B$106,"&lt;="&amp;$B189)</f>
        <v>5.2</v>
      </c>
      <c r="I189" s="46" t="n">
        <f aca="false">SUMIFS('Additions (monthly)'!$E$2:$E$106,'Additions (monthly)'!$D$2:$D$106,I$2,'Additions (monthly)'!$B$2:$B$106,"&lt;="&amp;$B189)</f>
        <v>9</v>
      </c>
      <c r="J189" s="46" t="n">
        <f aca="false">SUMIFS('Additions (monthly)'!$E$2:$E$106,'Additions (monthly)'!$D$2:$D$106,J$2,'Additions (monthly)'!$B$2:$B$106,"&lt;="&amp;$B189)</f>
        <v>3.7</v>
      </c>
      <c r="K189" s="46" t="n">
        <f aca="false">SUMIFS('Additions (monthly)'!$E$2:$E$106,'Additions (monthly)'!$D$2:$D$106,K$2,'Additions (monthly)'!$B$2:$B$106,"&lt;="&amp;$B189)</f>
        <v>7.8</v>
      </c>
      <c r="L189" s="46" t="n">
        <f aca="false">SUMIFS('Additions (monthly)'!$E$2:$E$106,'Additions (monthly)'!$D$2:$D$106,L$2,'Additions (monthly)'!$B$2:$B$106,"&lt;="&amp;$B189)</f>
        <v>15.6</v>
      </c>
      <c r="M189" s="46" t="n">
        <f aca="false">SUMIFS('Additions (monthly)'!$E$2:$E$106,'Additions (monthly)'!$D$2:$D$106,M$2,'Additions (monthly)'!$B$2:$B$106,"&lt;="&amp;$B189)</f>
        <v>8.9</v>
      </c>
      <c r="N189" s="46" t="n">
        <f aca="false">SUMIFS('Additions (monthly)'!$E$2:$E$106,'Additions (monthly)'!$D$2:$D$106,N$2,'Additions (monthly)'!$B$2:$B$106,"&lt;="&amp;$B189)</f>
        <v>14.2</v>
      </c>
      <c r="O189" s="46" t="n">
        <f aca="false">SUMIFS('Additions (monthly)'!$E$2:$E$106,'Additions (monthly)'!$D$2:$D$106,O$2,'Additions (monthly)'!$B$2:$B$106,"&lt;="&amp;$B189)</f>
        <v>4.9</v>
      </c>
      <c r="P189" s="46" t="n">
        <f aca="false">SUMIFS('Additions (monthly)'!$E$2:$E$106,'Additions (monthly)'!$D$2:$D$106,P$2,'Additions (monthly)'!$B$2:$B$106,"&lt;="&amp;$B189)</f>
        <v>3.6</v>
      </c>
      <c r="Q189" s="46" t="n">
        <f aca="false">SUMIFS('Additions (monthly)'!$E$2:$E$106,'Additions (monthly)'!$D$2:$D$106,Q$2,'Additions (monthly)'!$B$2:$B$106,"&lt;="&amp;$B189)</f>
        <v>8.5</v>
      </c>
      <c r="R189" s="46" t="n">
        <f aca="false">SUMIFS('Additions (monthly)'!$E$2:$E$106,'Additions (monthly)'!$D$2:$D$106,R$2,'Additions (monthly)'!$B$2:$B$106,"&lt;="&amp;$B189)</f>
        <v>8.9</v>
      </c>
      <c r="S189" s="46" t="n">
        <f aca="false">SUMIFS('Additions (monthly)'!$E$2:$E$106,'Additions (monthly)'!$D$2:$D$106,S$2,'Additions (monthly)'!$B$2:$B$106,"&lt;="&amp;$B189)</f>
        <v>7.2</v>
      </c>
      <c r="T189" s="46" t="n">
        <f aca="false">SUMIFS('Additions (monthly)'!$E$2:$E$106,'Additions (monthly)'!$D$2:$D$106,T$2,'Additions (monthly)'!$B$2:$B$106,"&lt;="&amp;$B189)</f>
        <v>2.4</v>
      </c>
      <c r="U189" s="46" t="n">
        <f aca="false">SUMIFS('Additions (monthly)'!$E$2:$E$106,'Additions (monthly)'!$D$2:$D$106,U$2,'Additions (monthly)'!$B$2:$B$106,"&lt;="&amp;$B189)</f>
        <v>7</v>
      </c>
      <c r="V189" s="46" t="n">
        <f aca="false">SUMIFS('Additions (monthly)'!$E$2:$E$106,'Additions (monthly)'!$D$2:$D$106,V$2,'Additions (monthly)'!$B$2:$B$106,"&lt;="&amp;$B189)</f>
        <v>3.87</v>
      </c>
      <c r="W189" s="46" t="n">
        <f aca="false">SUMIFS('Additions (monthly)'!$E$2:$E$106,'Additions (monthly)'!$D$2:$D$106,W$2,'Additions (monthly)'!$B$2:$B$106,"&lt;="&amp;$B189)</f>
        <v>0.6</v>
      </c>
      <c r="X189" s="46" t="n">
        <f aca="false">SUMIFS('Additions (monthly)'!$E$2:$E$106,'Additions (monthly)'!$D$2:$D$106,X$2,'Additions (monthly)'!$B$2:$B$106,"&lt;="&amp;$B189)</f>
        <v>0</v>
      </c>
      <c r="Y189" s="46" t="n">
        <f aca="false">SUMIFS('Additions (monthly)'!$E$2:$E$106,'Additions (monthly)'!$D$2:$D$106,Y$2,'Additions (monthly)'!$B$2:$B$106,"&lt;="&amp;$B189)</f>
        <v>5</v>
      </c>
      <c r="Z189" s="46" t="n">
        <f aca="false">SUMIFS('Additions (monthly)'!$E$2:$E$106,'Additions (monthly)'!$D$2:$D$106,Z$2,'Additions (monthly)'!$B$2:$B$106,"&lt;="&amp;$B189)</f>
        <v>7.2</v>
      </c>
      <c r="AA189" s="46" t="n">
        <f aca="false">SUMIFS('Additions (monthly)'!$E$2:$E$106,'Additions (monthly)'!$D$2:$D$106,AA$2,'Additions (monthly)'!$B$2:$B$106,"&lt;="&amp;$B189)</f>
        <v>3.7</v>
      </c>
      <c r="AB189" s="46" t="n">
        <f aca="false">SUMIFS('Additions (monthly)'!$E$2:$E$106,'Additions (monthly)'!$D$2:$D$106,AB$2,'Additions (monthly)'!$B$2:$B$106,"&lt;="&amp;$B189)</f>
        <v>16.95</v>
      </c>
      <c r="AC189" s="46" t="n">
        <f aca="false">SUMIFS('Additions (monthly)'!$E$2:$E$106,'Additions (monthly)'!$D$2:$D$106,AC$2,'Additions (monthly)'!$B$2:$B$106,"&lt;="&amp;$B189)</f>
        <v>2</v>
      </c>
      <c r="AD189" s="46" t="n">
        <f aca="false">SUMIFS('Additions (monthly)'!$E$2:$E$106,'Additions (monthly)'!$D$2:$D$106,AD$2,'Additions (monthly)'!$B$2:$B$106,"&lt;="&amp;$B189)</f>
        <v>11.4</v>
      </c>
      <c r="AE189" s="46" t="n">
        <f aca="false">SUMIFS('Additions (monthly)'!$E$2:$E$106,'Additions (monthly)'!$D$2:$D$106,AE$2,'Additions (monthly)'!$B$2:$B$106,"&lt;="&amp;$B189)</f>
        <v>29.3</v>
      </c>
      <c r="AF189" s="46" t="n">
        <f aca="false">SUMIFS('Additions (monthly)'!$E$2:$E$106,'Additions (monthly)'!$D$2:$D$106,AF$2,'Additions (monthly)'!$B$2:$B$106,"&lt;="&amp;$B189)</f>
        <v>1.2</v>
      </c>
      <c r="AG189" s="46" t="n">
        <f aca="false">SUMIFS('Additions (monthly)'!$E$2:$E$106,'Additions (monthly)'!$D$2:$D$106,AG$2,'Additions (monthly)'!$B$2:$B$106,"&lt;="&amp;$B189)</f>
        <v>1.5</v>
      </c>
      <c r="AH189" s="46" t="n">
        <f aca="false">SUMIFS('Additions (monthly)'!$E$2:$E$106,'Additions (monthly)'!$D$2:$D$106,AH$2,'Additions (monthly)'!$B$2:$B$106,"&lt;="&amp;$B189)</f>
        <v>2.5</v>
      </c>
      <c r="AI189" s="46" t="n">
        <f aca="false">SUMIFS('Additions (monthly)'!$E$2:$E$106,'Additions (monthly)'!$D$2:$D$106,AI$2,'Additions (monthly)'!$B$2:$B$106,"&lt;="&amp;$B189)</f>
        <v>1.4</v>
      </c>
      <c r="AJ189" s="46" t="n">
        <f aca="false">SUMIFS('Additions (monthly)'!$E$2:$E$106,'Additions (monthly)'!$D$2:$D$106,AJ$2,'Additions (monthly)'!$B$2:$B$106,"&lt;="&amp;$B189)</f>
        <v>0</v>
      </c>
      <c r="AK189" s="46" t="n">
        <f aca="false">SUMIFS('Additions (monthly)'!$E$2:$E$106,'Additions (monthly)'!$D$2:$D$106,AK$2,'Additions (monthly)'!$B$2:$B$106,"&lt;="&amp;$B189)</f>
        <v>3.4</v>
      </c>
      <c r="AL189" s="46" t="n">
        <f aca="false">SUMIFS('Additions (monthly)'!$E$2:$E$106,'Additions (monthly)'!$D$2:$D$106,AL$2,'Additions (monthly)'!$B$2:$B$106,"&lt;="&amp;$B189)</f>
        <v>22.2</v>
      </c>
      <c r="AM189" s="46" t="n">
        <f aca="false">SUMIFS('Additions (monthly)'!$E$2:$E$106,'Additions (monthly)'!$D$2:$D$106,AM$2,'Additions (monthly)'!$B$2:$B$106,"&lt;="&amp;$B189)</f>
        <v>0.3</v>
      </c>
      <c r="AN189" s="46" t="n">
        <f aca="false">SUMIFS('Additions (monthly)'!$E$2:$E$106,'Additions (monthly)'!$D$2:$D$106,AN$2,'Additions (monthly)'!$B$2:$B$106,"&lt;="&amp;$B189)</f>
        <v>4.3</v>
      </c>
      <c r="AO189" s="46" t="n">
        <f aca="false">SUMIFS('Additions (monthly)'!$E$2:$E$106,'Additions (monthly)'!$D$2:$D$106,AO$2,'Additions (monthly)'!$B$2:$B$106,"&lt;="&amp;$B189)</f>
        <v>10.4</v>
      </c>
      <c r="AP189" s="46" t="n">
        <f aca="false">SUMIFS('Additions (monthly)'!$E$2:$E$106,'Additions (monthly)'!$D$2:$D$106,AP$2,'Additions (monthly)'!$B$2:$B$106,"&lt;="&amp;$B189)</f>
        <v>6.9</v>
      </c>
      <c r="AQ189" s="46" t="n">
        <f aca="false">SUMIFS('Additions (monthly)'!$E$2:$E$106,'Additions (monthly)'!$D$2:$D$106,AQ$2,'Additions (monthly)'!$B$2:$B$106,"&lt;="&amp;$B189)</f>
        <v>4.45</v>
      </c>
      <c r="AR189" s="46" t="n">
        <f aca="false">SUMIFS('Additions (monthly)'!$E$2:$E$106,'Additions (monthly)'!$D$2:$D$106,AR$2,'Additions (monthly)'!$B$2:$B$106,"&lt;="&amp;$B189)</f>
        <v>77.1</v>
      </c>
      <c r="AS189" s="46" t="n">
        <f aca="false">SUMIFS('Additions (monthly)'!$E$2:$E$106,'Additions (monthly)'!$D$2:$D$106,AS$2,'Additions (monthly)'!$B$2:$B$106,"&lt;="&amp;$B189)</f>
        <v>6.6</v>
      </c>
      <c r="AT189" s="46" t="n">
        <f aca="false">SUMIFS('Additions (monthly)'!$E$2:$E$106,'Additions (monthly)'!$D$2:$D$106,AT$2,'Additions (monthly)'!$B$2:$B$106,"&lt;="&amp;$B189)</f>
        <v>1.5</v>
      </c>
      <c r="AU189" s="46" t="n">
        <f aca="false">SUMIFS('Additions (monthly)'!$E$2:$E$106,'Additions (monthly)'!$D$2:$D$106,AU$2,'Additions (monthly)'!$B$2:$B$106,"&lt;="&amp;$B189)</f>
        <v>9.6</v>
      </c>
      <c r="AV189" s="46" t="n">
        <f aca="false">SUMIFS('Additions (monthly)'!$E$2:$E$106,'Additions (monthly)'!$D$2:$D$106,AV$2,'Additions (monthly)'!$B$2:$B$106,"&lt;="&amp;$B189)</f>
        <v>0.66</v>
      </c>
      <c r="AW189" s="46" t="n">
        <f aca="false">SUMIFS('Additions (monthly)'!$E$2:$E$106,'Additions (monthly)'!$D$2:$D$106,AW$2,'Additions (monthly)'!$B$2:$B$106,"&lt;="&amp;$B189)</f>
        <v>17.4</v>
      </c>
      <c r="AX189" s="46" t="n">
        <f aca="false">SUMIFS('Additions (monthly)'!$E$2:$E$106,'Additions (monthly)'!$D$2:$D$106,AX$2,'Additions (monthly)'!$B$2:$B$106,"&lt;="&amp;$B189)</f>
        <v>11.8</v>
      </c>
      <c r="AY189" s="46" t="n">
        <f aca="false">SUMIFS('Additions (monthly)'!$E$2:$E$106,'Additions (monthly)'!$D$2:$D$106,AY$2,'Additions (monthly)'!$B$2:$B$106,"&lt;="&amp;$B189)</f>
        <v>5.3</v>
      </c>
      <c r="AZ189" s="46" t="n">
        <f aca="false">SUMIFS('Additions (monthly)'!$E$2:$E$106,'Additions (monthly)'!$D$2:$D$106,AZ$2,'Additions (monthly)'!$B$2:$B$106,"&lt;="&amp;$B189)</f>
        <v>9.97</v>
      </c>
      <c r="BA189" s="46" t="n">
        <f aca="false">SUMIFS('Additions (monthly)'!$E$2:$E$106,'Additions (monthly)'!$D$2:$D$106,BA$2,'Additions (monthly)'!$B$2:$B$106,"&lt;="&amp;$B189)</f>
        <v>13.5</v>
      </c>
      <c r="BB189" s="46" t="n">
        <f aca="false">SUMIFS('Additions (monthly)'!$E$2:$E$106,'Additions (monthly)'!$D$2:$D$106,BB$2,'Additions (monthly)'!$B$2:$B$106,"&lt;="&amp;$B189)</f>
        <v>17.98</v>
      </c>
      <c r="BC189" s="46" t="n">
        <f aca="false">SUMIFS('Additions (monthly)'!$E$2:$E$106,'Additions (monthly)'!$D$2:$D$106,BC$2,'Additions (monthly)'!$B$2:$B$106,"&lt;="&amp;$B189)</f>
        <v>5.25</v>
      </c>
      <c r="BD189" s="46" t="n">
        <f aca="false">SUMIFS('Additions (monthly)'!$E$2:$E$106,'Additions (monthly)'!$D$2:$D$106,BD$2,'Additions (monthly)'!$B$2:$B$106,"&lt;="&amp;$B189)</f>
        <v>2.5</v>
      </c>
      <c r="BE189" s="46" t="n">
        <f aca="false">SUMIFS('Additions (monthly)'!$E$2:$E$106,'Additions (monthly)'!$D$2:$D$106,BE$2,'Additions (monthly)'!$B$2:$B$106,"&lt;="&amp;$B189)</f>
        <v>15.3</v>
      </c>
      <c r="BF189" s="46" t="n">
        <f aca="false">SUMIFS('Additions (monthly)'!$E$2:$E$106,'Additions (monthly)'!$D$2:$D$106,BF$2,'Additions (monthly)'!$B$2:$B$106,"&lt;="&amp;$B189)</f>
        <v>0</v>
      </c>
      <c r="BG189" s="46" t="n">
        <f aca="false">SUMIFS('Additions (monthly)'!$E$2:$E$106,'Additions (monthly)'!$D$2:$D$106,BG$2,'Additions (monthly)'!$B$2:$B$106,"&lt;="&amp;$B189)</f>
        <v>15.12</v>
      </c>
      <c r="BH189" s="46" t="n">
        <f aca="false">SUMIFS('Additions (monthly)'!$E$2:$E$106,'Additions (monthly)'!$D$2:$D$106,BH$2,'Additions (monthly)'!$B$2:$B$106,"&lt;="&amp;$B189)</f>
        <v>30</v>
      </c>
      <c r="BI189" s="46" t="n">
        <f aca="false">SUMIFS('Additions (monthly)'!$E$2:$E$106,'Additions (monthly)'!$D$2:$D$106,BI$2,'Additions (monthly)'!$B$2:$B$106,"&lt;="&amp;$B189)</f>
        <v>6.7</v>
      </c>
    </row>
    <row r="190" customFormat="false" ht="15" hidden="false" customHeight="false" outlineLevel="0" collapsed="false">
      <c r="A190" s="44" t="n">
        <v>45870</v>
      </c>
      <c r="B190" s="45" t="n">
        <v>202508</v>
      </c>
      <c r="C190" s="42" t="n">
        <f aca="false">SUMIFS('Additions (monthly)'!$E$2:$E$106,'Additions (monthly)'!$B$2:$B$106,"&lt;="&amp;$B190)</f>
        <v>518.87</v>
      </c>
      <c r="D190" s="46" t="n">
        <f aca="false">SUMIFS('Additions (monthly)'!$E$2:$E$106,'Additions (monthly)'!$D$2:$D$106,D$2,'Additions (monthly)'!$B$2:$B$106,"&lt;="&amp;$B190)</f>
        <v>7.9</v>
      </c>
      <c r="E190" s="46" t="n">
        <f aca="false">SUMIFS('Additions (monthly)'!$E$2:$E$106,'Additions (monthly)'!$D$2:$D$106,E$2,'Additions (monthly)'!$B$2:$B$106,"&lt;="&amp;$B190)</f>
        <v>8.4</v>
      </c>
      <c r="F190" s="46" t="n">
        <f aca="false">SUMIFS('Additions (monthly)'!$E$2:$E$106,'Additions (monthly)'!$D$2:$D$106,F$2,'Additions (monthly)'!$B$2:$B$106,"&lt;="&amp;$B190)</f>
        <v>4.7</v>
      </c>
      <c r="G190" s="46" t="n">
        <f aca="false">SUMIFS('Additions (monthly)'!$E$2:$E$106,'Additions (monthly)'!$D$2:$D$106,G$2,'Additions (monthly)'!$B$2:$B$106,"&lt;="&amp;$B190)</f>
        <v>4.5</v>
      </c>
      <c r="H190" s="46" t="n">
        <f aca="false">SUMIFS('Additions (monthly)'!$E$2:$E$106,'Additions (monthly)'!$D$2:$D$106,H$2,'Additions (monthly)'!$B$2:$B$106,"&lt;="&amp;$B190)</f>
        <v>5.2</v>
      </c>
      <c r="I190" s="46" t="n">
        <f aca="false">SUMIFS('Additions (monthly)'!$E$2:$E$106,'Additions (monthly)'!$D$2:$D$106,I$2,'Additions (monthly)'!$B$2:$B$106,"&lt;="&amp;$B190)</f>
        <v>9</v>
      </c>
      <c r="J190" s="46" t="n">
        <f aca="false">SUMIFS('Additions (monthly)'!$E$2:$E$106,'Additions (monthly)'!$D$2:$D$106,J$2,'Additions (monthly)'!$B$2:$B$106,"&lt;="&amp;$B190)</f>
        <v>3.7</v>
      </c>
      <c r="K190" s="46" t="n">
        <f aca="false">SUMIFS('Additions (monthly)'!$E$2:$E$106,'Additions (monthly)'!$D$2:$D$106,K$2,'Additions (monthly)'!$B$2:$B$106,"&lt;="&amp;$B190)</f>
        <v>7.8</v>
      </c>
      <c r="L190" s="46" t="n">
        <f aca="false">SUMIFS('Additions (monthly)'!$E$2:$E$106,'Additions (monthly)'!$D$2:$D$106,L$2,'Additions (monthly)'!$B$2:$B$106,"&lt;="&amp;$B190)</f>
        <v>15.6</v>
      </c>
      <c r="M190" s="46" t="n">
        <f aca="false">SUMIFS('Additions (monthly)'!$E$2:$E$106,'Additions (monthly)'!$D$2:$D$106,M$2,'Additions (monthly)'!$B$2:$B$106,"&lt;="&amp;$B190)</f>
        <v>8.9</v>
      </c>
      <c r="N190" s="46" t="n">
        <f aca="false">SUMIFS('Additions (monthly)'!$E$2:$E$106,'Additions (monthly)'!$D$2:$D$106,N$2,'Additions (monthly)'!$B$2:$B$106,"&lt;="&amp;$B190)</f>
        <v>14.2</v>
      </c>
      <c r="O190" s="46" t="n">
        <f aca="false">SUMIFS('Additions (monthly)'!$E$2:$E$106,'Additions (monthly)'!$D$2:$D$106,O$2,'Additions (monthly)'!$B$2:$B$106,"&lt;="&amp;$B190)</f>
        <v>4.9</v>
      </c>
      <c r="P190" s="46" t="n">
        <f aca="false">SUMIFS('Additions (monthly)'!$E$2:$E$106,'Additions (monthly)'!$D$2:$D$106,P$2,'Additions (monthly)'!$B$2:$B$106,"&lt;="&amp;$B190)</f>
        <v>3.6</v>
      </c>
      <c r="Q190" s="46" t="n">
        <f aca="false">SUMIFS('Additions (monthly)'!$E$2:$E$106,'Additions (monthly)'!$D$2:$D$106,Q$2,'Additions (monthly)'!$B$2:$B$106,"&lt;="&amp;$B190)</f>
        <v>8.5</v>
      </c>
      <c r="R190" s="46" t="n">
        <f aca="false">SUMIFS('Additions (monthly)'!$E$2:$E$106,'Additions (monthly)'!$D$2:$D$106,R$2,'Additions (monthly)'!$B$2:$B$106,"&lt;="&amp;$B190)</f>
        <v>8.9</v>
      </c>
      <c r="S190" s="46" t="n">
        <f aca="false">SUMIFS('Additions (monthly)'!$E$2:$E$106,'Additions (monthly)'!$D$2:$D$106,S$2,'Additions (monthly)'!$B$2:$B$106,"&lt;="&amp;$B190)</f>
        <v>7.2</v>
      </c>
      <c r="T190" s="46" t="n">
        <f aca="false">SUMIFS('Additions (monthly)'!$E$2:$E$106,'Additions (monthly)'!$D$2:$D$106,T$2,'Additions (monthly)'!$B$2:$B$106,"&lt;="&amp;$B190)</f>
        <v>2.4</v>
      </c>
      <c r="U190" s="46" t="n">
        <f aca="false">SUMIFS('Additions (monthly)'!$E$2:$E$106,'Additions (monthly)'!$D$2:$D$106,U$2,'Additions (monthly)'!$B$2:$B$106,"&lt;="&amp;$B190)</f>
        <v>7</v>
      </c>
      <c r="V190" s="46" t="n">
        <f aca="false">SUMIFS('Additions (monthly)'!$E$2:$E$106,'Additions (monthly)'!$D$2:$D$106,V$2,'Additions (monthly)'!$B$2:$B$106,"&lt;="&amp;$B190)</f>
        <v>3.87</v>
      </c>
      <c r="W190" s="46" t="n">
        <f aca="false">SUMIFS('Additions (monthly)'!$E$2:$E$106,'Additions (monthly)'!$D$2:$D$106,W$2,'Additions (monthly)'!$B$2:$B$106,"&lt;="&amp;$B190)</f>
        <v>0.6</v>
      </c>
      <c r="X190" s="46" t="n">
        <f aca="false">SUMIFS('Additions (monthly)'!$E$2:$E$106,'Additions (monthly)'!$D$2:$D$106,X$2,'Additions (monthly)'!$B$2:$B$106,"&lt;="&amp;$B190)</f>
        <v>0</v>
      </c>
      <c r="Y190" s="46" t="n">
        <f aca="false">SUMIFS('Additions (monthly)'!$E$2:$E$106,'Additions (monthly)'!$D$2:$D$106,Y$2,'Additions (monthly)'!$B$2:$B$106,"&lt;="&amp;$B190)</f>
        <v>5</v>
      </c>
      <c r="Z190" s="46" t="n">
        <f aca="false">SUMIFS('Additions (monthly)'!$E$2:$E$106,'Additions (monthly)'!$D$2:$D$106,Z$2,'Additions (monthly)'!$B$2:$B$106,"&lt;="&amp;$B190)</f>
        <v>7.2</v>
      </c>
      <c r="AA190" s="46" t="n">
        <f aca="false">SUMIFS('Additions (monthly)'!$E$2:$E$106,'Additions (monthly)'!$D$2:$D$106,AA$2,'Additions (monthly)'!$B$2:$B$106,"&lt;="&amp;$B190)</f>
        <v>3.7</v>
      </c>
      <c r="AB190" s="46" t="n">
        <f aca="false">SUMIFS('Additions (monthly)'!$E$2:$E$106,'Additions (monthly)'!$D$2:$D$106,AB$2,'Additions (monthly)'!$B$2:$B$106,"&lt;="&amp;$B190)</f>
        <v>16.95</v>
      </c>
      <c r="AC190" s="46" t="n">
        <f aca="false">SUMIFS('Additions (monthly)'!$E$2:$E$106,'Additions (monthly)'!$D$2:$D$106,AC$2,'Additions (monthly)'!$B$2:$B$106,"&lt;="&amp;$B190)</f>
        <v>2</v>
      </c>
      <c r="AD190" s="46" t="n">
        <f aca="false">SUMIFS('Additions (monthly)'!$E$2:$E$106,'Additions (monthly)'!$D$2:$D$106,AD$2,'Additions (monthly)'!$B$2:$B$106,"&lt;="&amp;$B190)</f>
        <v>11.4</v>
      </c>
      <c r="AE190" s="46" t="n">
        <f aca="false">SUMIFS('Additions (monthly)'!$E$2:$E$106,'Additions (monthly)'!$D$2:$D$106,AE$2,'Additions (monthly)'!$B$2:$B$106,"&lt;="&amp;$B190)</f>
        <v>29.3</v>
      </c>
      <c r="AF190" s="46" t="n">
        <f aca="false">SUMIFS('Additions (monthly)'!$E$2:$E$106,'Additions (monthly)'!$D$2:$D$106,AF$2,'Additions (monthly)'!$B$2:$B$106,"&lt;="&amp;$B190)</f>
        <v>1.2</v>
      </c>
      <c r="AG190" s="46" t="n">
        <f aca="false">SUMIFS('Additions (monthly)'!$E$2:$E$106,'Additions (monthly)'!$D$2:$D$106,AG$2,'Additions (monthly)'!$B$2:$B$106,"&lt;="&amp;$B190)</f>
        <v>1.5</v>
      </c>
      <c r="AH190" s="46" t="n">
        <f aca="false">SUMIFS('Additions (monthly)'!$E$2:$E$106,'Additions (monthly)'!$D$2:$D$106,AH$2,'Additions (monthly)'!$B$2:$B$106,"&lt;="&amp;$B190)</f>
        <v>2.5</v>
      </c>
      <c r="AI190" s="46" t="n">
        <f aca="false">SUMIFS('Additions (monthly)'!$E$2:$E$106,'Additions (monthly)'!$D$2:$D$106,AI$2,'Additions (monthly)'!$B$2:$B$106,"&lt;="&amp;$B190)</f>
        <v>1.4</v>
      </c>
      <c r="AJ190" s="46" t="n">
        <f aca="false">SUMIFS('Additions (monthly)'!$E$2:$E$106,'Additions (monthly)'!$D$2:$D$106,AJ$2,'Additions (monthly)'!$B$2:$B$106,"&lt;="&amp;$B190)</f>
        <v>0</v>
      </c>
      <c r="AK190" s="46" t="n">
        <f aca="false">SUMIFS('Additions (monthly)'!$E$2:$E$106,'Additions (monthly)'!$D$2:$D$106,AK$2,'Additions (monthly)'!$B$2:$B$106,"&lt;="&amp;$B190)</f>
        <v>3.4</v>
      </c>
      <c r="AL190" s="46" t="n">
        <f aca="false">SUMIFS('Additions (monthly)'!$E$2:$E$106,'Additions (monthly)'!$D$2:$D$106,AL$2,'Additions (monthly)'!$B$2:$B$106,"&lt;="&amp;$B190)</f>
        <v>22.2</v>
      </c>
      <c r="AM190" s="46" t="n">
        <f aca="false">SUMIFS('Additions (monthly)'!$E$2:$E$106,'Additions (monthly)'!$D$2:$D$106,AM$2,'Additions (monthly)'!$B$2:$B$106,"&lt;="&amp;$B190)</f>
        <v>0.3</v>
      </c>
      <c r="AN190" s="46" t="n">
        <f aca="false">SUMIFS('Additions (monthly)'!$E$2:$E$106,'Additions (monthly)'!$D$2:$D$106,AN$2,'Additions (monthly)'!$B$2:$B$106,"&lt;="&amp;$B190)</f>
        <v>4.3</v>
      </c>
      <c r="AO190" s="46" t="n">
        <f aca="false">SUMIFS('Additions (monthly)'!$E$2:$E$106,'Additions (monthly)'!$D$2:$D$106,AO$2,'Additions (monthly)'!$B$2:$B$106,"&lt;="&amp;$B190)</f>
        <v>10.4</v>
      </c>
      <c r="AP190" s="46" t="n">
        <f aca="false">SUMIFS('Additions (monthly)'!$E$2:$E$106,'Additions (monthly)'!$D$2:$D$106,AP$2,'Additions (monthly)'!$B$2:$B$106,"&lt;="&amp;$B190)</f>
        <v>6.9</v>
      </c>
      <c r="AQ190" s="46" t="n">
        <f aca="false">SUMIFS('Additions (monthly)'!$E$2:$E$106,'Additions (monthly)'!$D$2:$D$106,AQ$2,'Additions (monthly)'!$B$2:$B$106,"&lt;="&amp;$B190)</f>
        <v>4.45</v>
      </c>
      <c r="AR190" s="46" t="n">
        <f aca="false">SUMIFS('Additions (monthly)'!$E$2:$E$106,'Additions (monthly)'!$D$2:$D$106,AR$2,'Additions (monthly)'!$B$2:$B$106,"&lt;="&amp;$B190)</f>
        <v>77.1</v>
      </c>
      <c r="AS190" s="46" t="n">
        <f aca="false">SUMIFS('Additions (monthly)'!$E$2:$E$106,'Additions (monthly)'!$D$2:$D$106,AS$2,'Additions (monthly)'!$B$2:$B$106,"&lt;="&amp;$B190)</f>
        <v>6.6</v>
      </c>
      <c r="AT190" s="46" t="n">
        <f aca="false">SUMIFS('Additions (monthly)'!$E$2:$E$106,'Additions (monthly)'!$D$2:$D$106,AT$2,'Additions (monthly)'!$B$2:$B$106,"&lt;="&amp;$B190)</f>
        <v>1.5</v>
      </c>
      <c r="AU190" s="46" t="n">
        <f aca="false">SUMIFS('Additions (monthly)'!$E$2:$E$106,'Additions (monthly)'!$D$2:$D$106,AU$2,'Additions (monthly)'!$B$2:$B$106,"&lt;="&amp;$B190)</f>
        <v>9.6</v>
      </c>
      <c r="AV190" s="46" t="n">
        <f aca="false">SUMIFS('Additions (monthly)'!$E$2:$E$106,'Additions (monthly)'!$D$2:$D$106,AV$2,'Additions (monthly)'!$B$2:$B$106,"&lt;="&amp;$B190)</f>
        <v>0.66</v>
      </c>
      <c r="AW190" s="46" t="n">
        <f aca="false">SUMIFS('Additions (monthly)'!$E$2:$E$106,'Additions (monthly)'!$D$2:$D$106,AW$2,'Additions (monthly)'!$B$2:$B$106,"&lt;="&amp;$B190)</f>
        <v>17.4</v>
      </c>
      <c r="AX190" s="46" t="n">
        <f aca="false">SUMIFS('Additions (monthly)'!$E$2:$E$106,'Additions (monthly)'!$D$2:$D$106,AX$2,'Additions (monthly)'!$B$2:$B$106,"&lt;="&amp;$B190)</f>
        <v>11.8</v>
      </c>
      <c r="AY190" s="46" t="n">
        <f aca="false">SUMIFS('Additions (monthly)'!$E$2:$E$106,'Additions (monthly)'!$D$2:$D$106,AY$2,'Additions (monthly)'!$B$2:$B$106,"&lt;="&amp;$B190)</f>
        <v>5.3</v>
      </c>
      <c r="AZ190" s="46" t="n">
        <f aca="false">SUMIFS('Additions (monthly)'!$E$2:$E$106,'Additions (monthly)'!$D$2:$D$106,AZ$2,'Additions (monthly)'!$B$2:$B$106,"&lt;="&amp;$B190)</f>
        <v>9.97</v>
      </c>
      <c r="BA190" s="46" t="n">
        <f aca="false">SUMIFS('Additions (monthly)'!$E$2:$E$106,'Additions (monthly)'!$D$2:$D$106,BA$2,'Additions (monthly)'!$B$2:$B$106,"&lt;="&amp;$B190)</f>
        <v>13.5</v>
      </c>
      <c r="BB190" s="46" t="n">
        <f aca="false">SUMIFS('Additions (monthly)'!$E$2:$E$106,'Additions (monthly)'!$D$2:$D$106,BB$2,'Additions (monthly)'!$B$2:$B$106,"&lt;="&amp;$B190)</f>
        <v>17.98</v>
      </c>
      <c r="BC190" s="46" t="n">
        <f aca="false">SUMIFS('Additions (monthly)'!$E$2:$E$106,'Additions (monthly)'!$D$2:$D$106,BC$2,'Additions (monthly)'!$B$2:$B$106,"&lt;="&amp;$B190)</f>
        <v>5.25</v>
      </c>
      <c r="BD190" s="46" t="n">
        <f aca="false">SUMIFS('Additions (monthly)'!$E$2:$E$106,'Additions (monthly)'!$D$2:$D$106,BD$2,'Additions (monthly)'!$B$2:$B$106,"&lt;="&amp;$B190)</f>
        <v>2.5</v>
      </c>
      <c r="BE190" s="46" t="n">
        <f aca="false">SUMIFS('Additions (monthly)'!$E$2:$E$106,'Additions (monthly)'!$D$2:$D$106,BE$2,'Additions (monthly)'!$B$2:$B$106,"&lt;="&amp;$B190)</f>
        <v>15.3</v>
      </c>
      <c r="BF190" s="46" t="n">
        <f aca="false">SUMIFS('Additions (monthly)'!$E$2:$E$106,'Additions (monthly)'!$D$2:$D$106,BF$2,'Additions (monthly)'!$B$2:$B$106,"&lt;="&amp;$B190)</f>
        <v>0</v>
      </c>
      <c r="BG190" s="46" t="n">
        <f aca="false">SUMIFS('Additions (monthly)'!$E$2:$E$106,'Additions (monthly)'!$D$2:$D$106,BG$2,'Additions (monthly)'!$B$2:$B$106,"&lt;="&amp;$B190)</f>
        <v>16.74</v>
      </c>
      <c r="BH190" s="46" t="n">
        <f aca="false">SUMIFS('Additions (monthly)'!$E$2:$E$106,'Additions (monthly)'!$D$2:$D$106,BH$2,'Additions (monthly)'!$B$2:$B$106,"&lt;="&amp;$B190)</f>
        <v>30</v>
      </c>
      <c r="BI190" s="46" t="n">
        <f aca="false">SUMIFS('Additions (monthly)'!$E$2:$E$106,'Additions (monthly)'!$D$2:$D$106,BI$2,'Additions (monthly)'!$B$2:$B$106,"&lt;="&amp;$B190)</f>
        <v>6.7</v>
      </c>
    </row>
    <row r="191" customFormat="false" ht="15" hidden="false" customHeight="false" outlineLevel="0" collapsed="false">
      <c r="A191" s="44" t="n">
        <v>45901</v>
      </c>
      <c r="B191" s="45" t="n">
        <v>202509</v>
      </c>
      <c r="C191" s="42" t="n">
        <f aca="false">SUMIFS('Additions (monthly)'!$E$2:$E$106,'Additions (monthly)'!$B$2:$B$106,"&lt;="&amp;$B191)</f>
        <v>521.44</v>
      </c>
      <c r="D191" s="46" t="n">
        <f aca="false">SUMIFS('Additions (monthly)'!$E$2:$E$106,'Additions (monthly)'!$D$2:$D$106,D$2,'Additions (monthly)'!$B$2:$B$106,"&lt;="&amp;$B191)</f>
        <v>7.9</v>
      </c>
      <c r="E191" s="46" t="n">
        <f aca="false">SUMIFS('Additions (monthly)'!$E$2:$E$106,'Additions (monthly)'!$D$2:$D$106,E$2,'Additions (monthly)'!$B$2:$B$106,"&lt;="&amp;$B191)</f>
        <v>8.4</v>
      </c>
      <c r="F191" s="46" t="n">
        <f aca="false">SUMIFS('Additions (monthly)'!$E$2:$E$106,'Additions (monthly)'!$D$2:$D$106,F$2,'Additions (monthly)'!$B$2:$B$106,"&lt;="&amp;$B191)</f>
        <v>4.7</v>
      </c>
      <c r="G191" s="46" t="n">
        <f aca="false">SUMIFS('Additions (monthly)'!$E$2:$E$106,'Additions (monthly)'!$D$2:$D$106,G$2,'Additions (monthly)'!$B$2:$B$106,"&lt;="&amp;$B191)</f>
        <v>4.5</v>
      </c>
      <c r="H191" s="46" t="n">
        <f aca="false">SUMIFS('Additions (monthly)'!$E$2:$E$106,'Additions (monthly)'!$D$2:$D$106,H$2,'Additions (monthly)'!$B$2:$B$106,"&lt;="&amp;$B191)</f>
        <v>5.2</v>
      </c>
      <c r="I191" s="46" t="n">
        <f aca="false">SUMIFS('Additions (monthly)'!$E$2:$E$106,'Additions (monthly)'!$D$2:$D$106,I$2,'Additions (monthly)'!$B$2:$B$106,"&lt;="&amp;$B191)</f>
        <v>9</v>
      </c>
      <c r="J191" s="46" t="n">
        <f aca="false">SUMIFS('Additions (monthly)'!$E$2:$E$106,'Additions (monthly)'!$D$2:$D$106,J$2,'Additions (monthly)'!$B$2:$B$106,"&lt;="&amp;$B191)</f>
        <v>3.7</v>
      </c>
      <c r="K191" s="46" t="n">
        <f aca="false">SUMIFS('Additions (monthly)'!$E$2:$E$106,'Additions (monthly)'!$D$2:$D$106,K$2,'Additions (monthly)'!$B$2:$B$106,"&lt;="&amp;$B191)</f>
        <v>7.8</v>
      </c>
      <c r="L191" s="46" t="n">
        <f aca="false">SUMIFS('Additions (monthly)'!$E$2:$E$106,'Additions (monthly)'!$D$2:$D$106,L$2,'Additions (monthly)'!$B$2:$B$106,"&lt;="&amp;$B191)</f>
        <v>15.6</v>
      </c>
      <c r="M191" s="46" t="n">
        <f aca="false">SUMIFS('Additions (monthly)'!$E$2:$E$106,'Additions (monthly)'!$D$2:$D$106,M$2,'Additions (monthly)'!$B$2:$B$106,"&lt;="&amp;$B191)</f>
        <v>8.9</v>
      </c>
      <c r="N191" s="46" t="n">
        <f aca="false">SUMIFS('Additions (monthly)'!$E$2:$E$106,'Additions (monthly)'!$D$2:$D$106,N$2,'Additions (monthly)'!$B$2:$B$106,"&lt;="&amp;$B191)</f>
        <v>14.2</v>
      </c>
      <c r="O191" s="46" t="n">
        <f aca="false">SUMIFS('Additions (monthly)'!$E$2:$E$106,'Additions (monthly)'!$D$2:$D$106,O$2,'Additions (monthly)'!$B$2:$B$106,"&lt;="&amp;$B191)</f>
        <v>4.9</v>
      </c>
      <c r="P191" s="46" t="n">
        <f aca="false">SUMIFS('Additions (monthly)'!$E$2:$E$106,'Additions (monthly)'!$D$2:$D$106,P$2,'Additions (monthly)'!$B$2:$B$106,"&lt;="&amp;$B191)</f>
        <v>3.6</v>
      </c>
      <c r="Q191" s="46" t="n">
        <f aca="false">SUMIFS('Additions (monthly)'!$E$2:$E$106,'Additions (monthly)'!$D$2:$D$106,Q$2,'Additions (monthly)'!$B$2:$B$106,"&lt;="&amp;$B191)</f>
        <v>8.5</v>
      </c>
      <c r="R191" s="46" t="n">
        <f aca="false">SUMIFS('Additions (monthly)'!$E$2:$E$106,'Additions (monthly)'!$D$2:$D$106,R$2,'Additions (monthly)'!$B$2:$B$106,"&lt;="&amp;$B191)</f>
        <v>8.9</v>
      </c>
      <c r="S191" s="46" t="n">
        <f aca="false">SUMIFS('Additions (monthly)'!$E$2:$E$106,'Additions (monthly)'!$D$2:$D$106,S$2,'Additions (monthly)'!$B$2:$B$106,"&lt;="&amp;$B191)</f>
        <v>7.2</v>
      </c>
      <c r="T191" s="46" t="n">
        <f aca="false">SUMIFS('Additions (monthly)'!$E$2:$E$106,'Additions (monthly)'!$D$2:$D$106,T$2,'Additions (monthly)'!$B$2:$B$106,"&lt;="&amp;$B191)</f>
        <v>2.4</v>
      </c>
      <c r="U191" s="46" t="n">
        <f aca="false">SUMIFS('Additions (monthly)'!$E$2:$E$106,'Additions (monthly)'!$D$2:$D$106,U$2,'Additions (monthly)'!$B$2:$B$106,"&lt;="&amp;$B191)</f>
        <v>7</v>
      </c>
      <c r="V191" s="46" t="n">
        <f aca="false">SUMIFS('Additions (monthly)'!$E$2:$E$106,'Additions (monthly)'!$D$2:$D$106,V$2,'Additions (monthly)'!$B$2:$B$106,"&lt;="&amp;$B191)</f>
        <v>3.87</v>
      </c>
      <c r="W191" s="46" t="n">
        <f aca="false">SUMIFS('Additions (monthly)'!$E$2:$E$106,'Additions (monthly)'!$D$2:$D$106,W$2,'Additions (monthly)'!$B$2:$B$106,"&lt;="&amp;$B191)</f>
        <v>0.6</v>
      </c>
      <c r="X191" s="46" t="n">
        <f aca="false">SUMIFS('Additions (monthly)'!$E$2:$E$106,'Additions (monthly)'!$D$2:$D$106,X$2,'Additions (monthly)'!$B$2:$B$106,"&lt;="&amp;$B191)</f>
        <v>0</v>
      </c>
      <c r="Y191" s="46" t="n">
        <f aca="false">SUMIFS('Additions (monthly)'!$E$2:$E$106,'Additions (monthly)'!$D$2:$D$106,Y$2,'Additions (monthly)'!$B$2:$B$106,"&lt;="&amp;$B191)</f>
        <v>5</v>
      </c>
      <c r="Z191" s="46" t="n">
        <f aca="false">SUMIFS('Additions (monthly)'!$E$2:$E$106,'Additions (monthly)'!$D$2:$D$106,Z$2,'Additions (monthly)'!$B$2:$B$106,"&lt;="&amp;$B191)</f>
        <v>7.2</v>
      </c>
      <c r="AA191" s="46" t="n">
        <f aca="false">SUMIFS('Additions (monthly)'!$E$2:$E$106,'Additions (monthly)'!$D$2:$D$106,AA$2,'Additions (monthly)'!$B$2:$B$106,"&lt;="&amp;$B191)</f>
        <v>3.7</v>
      </c>
      <c r="AB191" s="46" t="n">
        <f aca="false">SUMIFS('Additions (monthly)'!$E$2:$E$106,'Additions (monthly)'!$D$2:$D$106,AB$2,'Additions (monthly)'!$B$2:$B$106,"&lt;="&amp;$B191)</f>
        <v>16.95</v>
      </c>
      <c r="AC191" s="46" t="n">
        <f aca="false">SUMIFS('Additions (monthly)'!$E$2:$E$106,'Additions (monthly)'!$D$2:$D$106,AC$2,'Additions (monthly)'!$B$2:$B$106,"&lt;="&amp;$B191)</f>
        <v>2</v>
      </c>
      <c r="AD191" s="46" t="n">
        <f aca="false">SUMIFS('Additions (monthly)'!$E$2:$E$106,'Additions (monthly)'!$D$2:$D$106,AD$2,'Additions (monthly)'!$B$2:$B$106,"&lt;="&amp;$B191)</f>
        <v>11.4</v>
      </c>
      <c r="AE191" s="46" t="n">
        <f aca="false">SUMIFS('Additions (monthly)'!$E$2:$E$106,'Additions (monthly)'!$D$2:$D$106,AE$2,'Additions (monthly)'!$B$2:$B$106,"&lt;="&amp;$B191)</f>
        <v>29.3</v>
      </c>
      <c r="AF191" s="46" t="n">
        <f aca="false">SUMIFS('Additions (monthly)'!$E$2:$E$106,'Additions (monthly)'!$D$2:$D$106,AF$2,'Additions (monthly)'!$B$2:$B$106,"&lt;="&amp;$B191)</f>
        <v>1.2</v>
      </c>
      <c r="AG191" s="46" t="n">
        <f aca="false">SUMIFS('Additions (monthly)'!$E$2:$E$106,'Additions (monthly)'!$D$2:$D$106,AG$2,'Additions (monthly)'!$B$2:$B$106,"&lt;="&amp;$B191)</f>
        <v>1.5</v>
      </c>
      <c r="AH191" s="46" t="n">
        <f aca="false">SUMIFS('Additions (monthly)'!$E$2:$E$106,'Additions (monthly)'!$D$2:$D$106,AH$2,'Additions (monthly)'!$B$2:$B$106,"&lt;="&amp;$B191)</f>
        <v>2.5</v>
      </c>
      <c r="AI191" s="46" t="n">
        <f aca="false">SUMIFS('Additions (monthly)'!$E$2:$E$106,'Additions (monthly)'!$D$2:$D$106,AI$2,'Additions (monthly)'!$B$2:$B$106,"&lt;="&amp;$B191)</f>
        <v>1.4</v>
      </c>
      <c r="AJ191" s="46" t="n">
        <f aca="false">SUMIFS('Additions (monthly)'!$E$2:$E$106,'Additions (monthly)'!$D$2:$D$106,AJ$2,'Additions (monthly)'!$B$2:$B$106,"&lt;="&amp;$B191)</f>
        <v>0</v>
      </c>
      <c r="AK191" s="46" t="n">
        <f aca="false">SUMIFS('Additions (monthly)'!$E$2:$E$106,'Additions (monthly)'!$D$2:$D$106,AK$2,'Additions (monthly)'!$B$2:$B$106,"&lt;="&amp;$B191)</f>
        <v>3.4</v>
      </c>
      <c r="AL191" s="46" t="n">
        <f aca="false">SUMIFS('Additions (monthly)'!$E$2:$E$106,'Additions (monthly)'!$D$2:$D$106,AL$2,'Additions (monthly)'!$B$2:$B$106,"&lt;="&amp;$B191)</f>
        <v>22.2</v>
      </c>
      <c r="AM191" s="46" t="n">
        <f aca="false">SUMIFS('Additions (monthly)'!$E$2:$E$106,'Additions (monthly)'!$D$2:$D$106,AM$2,'Additions (monthly)'!$B$2:$B$106,"&lt;="&amp;$B191)</f>
        <v>0.3</v>
      </c>
      <c r="AN191" s="46" t="n">
        <f aca="false">SUMIFS('Additions (monthly)'!$E$2:$E$106,'Additions (monthly)'!$D$2:$D$106,AN$2,'Additions (monthly)'!$B$2:$B$106,"&lt;="&amp;$B191)</f>
        <v>4.3</v>
      </c>
      <c r="AO191" s="46" t="n">
        <f aca="false">SUMIFS('Additions (monthly)'!$E$2:$E$106,'Additions (monthly)'!$D$2:$D$106,AO$2,'Additions (monthly)'!$B$2:$B$106,"&lt;="&amp;$B191)</f>
        <v>10.4</v>
      </c>
      <c r="AP191" s="46" t="n">
        <f aca="false">SUMIFS('Additions (monthly)'!$E$2:$E$106,'Additions (monthly)'!$D$2:$D$106,AP$2,'Additions (monthly)'!$B$2:$B$106,"&lt;="&amp;$B191)</f>
        <v>6.9</v>
      </c>
      <c r="AQ191" s="46" t="n">
        <f aca="false">SUMIFS('Additions (monthly)'!$E$2:$E$106,'Additions (monthly)'!$D$2:$D$106,AQ$2,'Additions (monthly)'!$B$2:$B$106,"&lt;="&amp;$B191)</f>
        <v>4.45</v>
      </c>
      <c r="AR191" s="46" t="n">
        <f aca="false">SUMIFS('Additions (monthly)'!$E$2:$E$106,'Additions (monthly)'!$D$2:$D$106,AR$2,'Additions (monthly)'!$B$2:$B$106,"&lt;="&amp;$B191)</f>
        <v>77.1</v>
      </c>
      <c r="AS191" s="46" t="n">
        <f aca="false">SUMIFS('Additions (monthly)'!$E$2:$E$106,'Additions (monthly)'!$D$2:$D$106,AS$2,'Additions (monthly)'!$B$2:$B$106,"&lt;="&amp;$B191)</f>
        <v>6.6</v>
      </c>
      <c r="AT191" s="46" t="n">
        <f aca="false">SUMIFS('Additions (monthly)'!$E$2:$E$106,'Additions (monthly)'!$D$2:$D$106,AT$2,'Additions (monthly)'!$B$2:$B$106,"&lt;="&amp;$B191)</f>
        <v>1.5</v>
      </c>
      <c r="AU191" s="46" t="n">
        <f aca="false">SUMIFS('Additions (monthly)'!$E$2:$E$106,'Additions (monthly)'!$D$2:$D$106,AU$2,'Additions (monthly)'!$B$2:$B$106,"&lt;="&amp;$B191)</f>
        <v>9.6</v>
      </c>
      <c r="AV191" s="46" t="n">
        <f aca="false">SUMIFS('Additions (monthly)'!$E$2:$E$106,'Additions (monthly)'!$D$2:$D$106,AV$2,'Additions (monthly)'!$B$2:$B$106,"&lt;="&amp;$B191)</f>
        <v>0.66</v>
      </c>
      <c r="AW191" s="46" t="n">
        <f aca="false">SUMIFS('Additions (monthly)'!$E$2:$E$106,'Additions (monthly)'!$D$2:$D$106,AW$2,'Additions (monthly)'!$B$2:$B$106,"&lt;="&amp;$B191)</f>
        <v>17.4</v>
      </c>
      <c r="AX191" s="46" t="n">
        <f aca="false">SUMIFS('Additions (monthly)'!$E$2:$E$106,'Additions (monthly)'!$D$2:$D$106,AX$2,'Additions (monthly)'!$B$2:$B$106,"&lt;="&amp;$B191)</f>
        <v>11.8</v>
      </c>
      <c r="AY191" s="46" t="n">
        <f aca="false">SUMIFS('Additions (monthly)'!$E$2:$E$106,'Additions (monthly)'!$D$2:$D$106,AY$2,'Additions (monthly)'!$B$2:$B$106,"&lt;="&amp;$B191)</f>
        <v>5.3</v>
      </c>
      <c r="AZ191" s="46" t="n">
        <f aca="false">SUMIFS('Additions (monthly)'!$E$2:$E$106,'Additions (monthly)'!$D$2:$D$106,AZ$2,'Additions (monthly)'!$B$2:$B$106,"&lt;="&amp;$B191)</f>
        <v>9.97</v>
      </c>
      <c r="BA191" s="46" t="n">
        <f aca="false">SUMIFS('Additions (monthly)'!$E$2:$E$106,'Additions (monthly)'!$D$2:$D$106,BA$2,'Additions (monthly)'!$B$2:$B$106,"&lt;="&amp;$B191)</f>
        <v>13.5</v>
      </c>
      <c r="BB191" s="46" t="n">
        <f aca="false">SUMIFS('Additions (monthly)'!$E$2:$E$106,'Additions (monthly)'!$D$2:$D$106,BB$2,'Additions (monthly)'!$B$2:$B$106,"&lt;="&amp;$B191)</f>
        <v>19.47</v>
      </c>
      <c r="BC191" s="46" t="n">
        <f aca="false">SUMIFS('Additions (monthly)'!$E$2:$E$106,'Additions (monthly)'!$D$2:$D$106,BC$2,'Additions (monthly)'!$B$2:$B$106,"&lt;="&amp;$B191)</f>
        <v>5.25</v>
      </c>
      <c r="BD191" s="46" t="n">
        <f aca="false">SUMIFS('Additions (monthly)'!$E$2:$E$106,'Additions (monthly)'!$D$2:$D$106,BD$2,'Additions (monthly)'!$B$2:$B$106,"&lt;="&amp;$B191)</f>
        <v>2.5</v>
      </c>
      <c r="BE191" s="46" t="n">
        <f aca="false">SUMIFS('Additions (monthly)'!$E$2:$E$106,'Additions (monthly)'!$D$2:$D$106,BE$2,'Additions (monthly)'!$B$2:$B$106,"&lt;="&amp;$B191)</f>
        <v>15.3</v>
      </c>
      <c r="BF191" s="46" t="n">
        <f aca="false">SUMIFS('Additions (monthly)'!$E$2:$E$106,'Additions (monthly)'!$D$2:$D$106,BF$2,'Additions (monthly)'!$B$2:$B$106,"&lt;="&amp;$B191)</f>
        <v>0</v>
      </c>
      <c r="BG191" s="46" t="n">
        <f aca="false">SUMIFS('Additions (monthly)'!$E$2:$E$106,'Additions (monthly)'!$D$2:$D$106,BG$2,'Additions (monthly)'!$B$2:$B$106,"&lt;="&amp;$B191)</f>
        <v>17.82</v>
      </c>
      <c r="BH191" s="46" t="n">
        <f aca="false">SUMIFS('Additions (monthly)'!$E$2:$E$106,'Additions (monthly)'!$D$2:$D$106,BH$2,'Additions (monthly)'!$B$2:$B$106,"&lt;="&amp;$B191)</f>
        <v>30</v>
      </c>
      <c r="BI191" s="46" t="n">
        <f aca="false">SUMIFS('Additions (monthly)'!$E$2:$E$106,'Additions (monthly)'!$D$2:$D$106,BI$2,'Additions (monthly)'!$B$2:$B$106,"&lt;="&amp;$B191)</f>
        <v>6.7</v>
      </c>
    </row>
    <row r="192" customFormat="false" ht="15" hidden="false" customHeight="false" outlineLevel="0" collapsed="false">
      <c r="A192" s="44" t="n">
        <v>45931</v>
      </c>
      <c r="B192" s="45" t="n">
        <v>202510</v>
      </c>
      <c r="C192" s="42" t="n">
        <f aca="false">SUMIFS('Additions (monthly)'!$E$2:$E$106,'Additions (monthly)'!$B$2:$B$106,"&lt;="&amp;$B192)</f>
        <v>523.06</v>
      </c>
      <c r="D192" s="46" t="n">
        <f aca="false">SUMIFS('Additions (monthly)'!$E$2:$E$106,'Additions (monthly)'!$D$2:$D$106,D$2,'Additions (monthly)'!$B$2:$B$106,"&lt;="&amp;$B192)</f>
        <v>7.9</v>
      </c>
      <c r="E192" s="46" t="n">
        <f aca="false">SUMIFS('Additions (monthly)'!$E$2:$E$106,'Additions (monthly)'!$D$2:$D$106,E$2,'Additions (monthly)'!$B$2:$B$106,"&lt;="&amp;$B192)</f>
        <v>8.4</v>
      </c>
      <c r="F192" s="46" t="n">
        <f aca="false">SUMIFS('Additions (monthly)'!$E$2:$E$106,'Additions (monthly)'!$D$2:$D$106,F$2,'Additions (monthly)'!$B$2:$B$106,"&lt;="&amp;$B192)</f>
        <v>4.7</v>
      </c>
      <c r="G192" s="46" t="n">
        <f aca="false">SUMIFS('Additions (monthly)'!$E$2:$E$106,'Additions (monthly)'!$D$2:$D$106,G$2,'Additions (monthly)'!$B$2:$B$106,"&lt;="&amp;$B192)</f>
        <v>4.5</v>
      </c>
      <c r="H192" s="46" t="n">
        <f aca="false">SUMIFS('Additions (monthly)'!$E$2:$E$106,'Additions (monthly)'!$D$2:$D$106,H$2,'Additions (monthly)'!$B$2:$B$106,"&lt;="&amp;$B192)</f>
        <v>5.2</v>
      </c>
      <c r="I192" s="46" t="n">
        <f aca="false">SUMIFS('Additions (monthly)'!$E$2:$E$106,'Additions (monthly)'!$D$2:$D$106,I$2,'Additions (monthly)'!$B$2:$B$106,"&lt;="&amp;$B192)</f>
        <v>9</v>
      </c>
      <c r="J192" s="46" t="n">
        <f aca="false">SUMIFS('Additions (monthly)'!$E$2:$E$106,'Additions (monthly)'!$D$2:$D$106,J$2,'Additions (monthly)'!$B$2:$B$106,"&lt;="&amp;$B192)</f>
        <v>3.7</v>
      </c>
      <c r="K192" s="46" t="n">
        <f aca="false">SUMIFS('Additions (monthly)'!$E$2:$E$106,'Additions (monthly)'!$D$2:$D$106,K$2,'Additions (monthly)'!$B$2:$B$106,"&lt;="&amp;$B192)</f>
        <v>7.8</v>
      </c>
      <c r="L192" s="46" t="n">
        <f aca="false">SUMIFS('Additions (monthly)'!$E$2:$E$106,'Additions (monthly)'!$D$2:$D$106,L$2,'Additions (monthly)'!$B$2:$B$106,"&lt;="&amp;$B192)</f>
        <v>15.6</v>
      </c>
      <c r="M192" s="46" t="n">
        <f aca="false">SUMIFS('Additions (monthly)'!$E$2:$E$106,'Additions (monthly)'!$D$2:$D$106,M$2,'Additions (monthly)'!$B$2:$B$106,"&lt;="&amp;$B192)</f>
        <v>8.9</v>
      </c>
      <c r="N192" s="46" t="n">
        <f aca="false">SUMIFS('Additions (monthly)'!$E$2:$E$106,'Additions (monthly)'!$D$2:$D$106,N$2,'Additions (monthly)'!$B$2:$B$106,"&lt;="&amp;$B192)</f>
        <v>14.2</v>
      </c>
      <c r="O192" s="46" t="n">
        <f aca="false">SUMIFS('Additions (monthly)'!$E$2:$E$106,'Additions (monthly)'!$D$2:$D$106,O$2,'Additions (monthly)'!$B$2:$B$106,"&lt;="&amp;$B192)</f>
        <v>4.9</v>
      </c>
      <c r="P192" s="46" t="n">
        <f aca="false">SUMIFS('Additions (monthly)'!$E$2:$E$106,'Additions (monthly)'!$D$2:$D$106,P$2,'Additions (monthly)'!$B$2:$B$106,"&lt;="&amp;$B192)</f>
        <v>3.6</v>
      </c>
      <c r="Q192" s="46" t="n">
        <f aca="false">SUMIFS('Additions (monthly)'!$E$2:$E$106,'Additions (monthly)'!$D$2:$D$106,Q$2,'Additions (monthly)'!$B$2:$B$106,"&lt;="&amp;$B192)</f>
        <v>8.5</v>
      </c>
      <c r="R192" s="46" t="n">
        <f aca="false">SUMIFS('Additions (monthly)'!$E$2:$E$106,'Additions (monthly)'!$D$2:$D$106,R$2,'Additions (monthly)'!$B$2:$B$106,"&lt;="&amp;$B192)</f>
        <v>8.9</v>
      </c>
      <c r="S192" s="46" t="n">
        <f aca="false">SUMIFS('Additions (monthly)'!$E$2:$E$106,'Additions (monthly)'!$D$2:$D$106,S$2,'Additions (monthly)'!$B$2:$B$106,"&lt;="&amp;$B192)</f>
        <v>7.2</v>
      </c>
      <c r="T192" s="46" t="n">
        <f aca="false">SUMIFS('Additions (monthly)'!$E$2:$E$106,'Additions (monthly)'!$D$2:$D$106,T$2,'Additions (monthly)'!$B$2:$B$106,"&lt;="&amp;$B192)</f>
        <v>2.4</v>
      </c>
      <c r="U192" s="46" t="n">
        <f aca="false">SUMIFS('Additions (monthly)'!$E$2:$E$106,'Additions (monthly)'!$D$2:$D$106,U$2,'Additions (monthly)'!$B$2:$B$106,"&lt;="&amp;$B192)</f>
        <v>7</v>
      </c>
      <c r="V192" s="46" t="n">
        <f aca="false">SUMIFS('Additions (monthly)'!$E$2:$E$106,'Additions (monthly)'!$D$2:$D$106,V$2,'Additions (monthly)'!$B$2:$B$106,"&lt;="&amp;$B192)</f>
        <v>3.87</v>
      </c>
      <c r="W192" s="46" t="n">
        <f aca="false">SUMIFS('Additions (monthly)'!$E$2:$E$106,'Additions (monthly)'!$D$2:$D$106,W$2,'Additions (monthly)'!$B$2:$B$106,"&lt;="&amp;$B192)</f>
        <v>0.6</v>
      </c>
      <c r="X192" s="46" t="n">
        <f aca="false">SUMIFS('Additions (monthly)'!$E$2:$E$106,'Additions (monthly)'!$D$2:$D$106,X$2,'Additions (monthly)'!$B$2:$B$106,"&lt;="&amp;$B192)</f>
        <v>0</v>
      </c>
      <c r="Y192" s="46" t="n">
        <f aca="false">SUMIFS('Additions (monthly)'!$E$2:$E$106,'Additions (monthly)'!$D$2:$D$106,Y$2,'Additions (monthly)'!$B$2:$B$106,"&lt;="&amp;$B192)</f>
        <v>5</v>
      </c>
      <c r="Z192" s="46" t="n">
        <f aca="false">SUMIFS('Additions (monthly)'!$E$2:$E$106,'Additions (monthly)'!$D$2:$D$106,Z$2,'Additions (monthly)'!$B$2:$B$106,"&lt;="&amp;$B192)</f>
        <v>7.2</v>
      </c>
      <c r="AA192" s="46" t="n">
        <f aca="false">SUMIFS('Additions (monthly)'!$E$2:$E$106,'Additions (monthly)'!$D$2:$D$106,AA$2,'Additions (monthly)'!$B$2:$B$106,"&lt;="&amp;$B192)</f>
        <v>3.7</v>
      </c>
      <c r="AB192" s="46" t="n">
        <f aca="false">SUMIFS('Additions (monthly)'!$E$2:$E$106,'Additions (monthly)'!$D$2:$D$106,AB$2,'Additions (monthly)'!$B$2:$B$106,"&lt;="&amp;$B192)</f>
        <v>16.95</v>
      </c>
      <c r="AC192" s="46" t="n">
        <f aca="false">SUMIFS('Additions (monthly)'!$E$2:$E$106,'Additions (monthly)'!$D$2:$D$106,AC$2,'Additions (monthly)'!$B$2:$B$106,"&lt;="&amp;$B192)</f>
        <v>2</v>
      </c>
      <c r="AD192" s="46" t="n">
        <f aca="false">SUMIFS('Additions (monthly)'!$E$2:$E$106,'Additions (monthly)'!$D$2:$D$106,AD$2,'Additions (monthly)'!$B$2:$B$106,"&lt;="&amp;$B192)</f>
        <v>11.4</v>
      </c>
      <c r="AE192" s="46" t="n">
        <f aca="false">SUMIFS('Additions (monthly)'!$E$2:$E$106,'Additions (monthly)'!$D$2:$D$106,AE$2,'Additions (monthly)'!$B$2:$B$106,"&lt;="&amp;$B192)</f>
        <v>29.3</v>
      </c>
      <c r="AF192" s="46" t="n">
        <f aca="false">SUMIFS('Additions (monthly)'!$E$2:$E$106,'Additions (monthly)'!$D$2:$D$106,AF$2,'Additions (monthly)'!$B$2:$B$106,"&lt;="&amp;$B192)</f>
        <v>1.2</v>
      </c>
      <c r="AG192" s="46" t="n">
        <f aca="false">SUMIFS('Additions (monthly)'!$E$2:$E$106,'Additions (monthly)'!$D$2:$D$106,AG$2,'Additions (monthly)'!$B$2:$B$106,"&lt;="&amp;$B192)</f>
        <v>1.5</v>
      </c>
      <c r="AH192" s="46" t="n">
        <f aca="false">SUMIFS('Additions (monthly)'!$E$2:$E$106,'Additions (monthly)'!$D$2:$D$106,AH$2,'Additions (monthly)'!$B$2:$B$106,"&lt;="&amp;$B192)</f>
        <v>2.5</v>
      </c>
      <c r="AI192" s="46" t="n">
        <f aca="false">SUMIFS('Additions (monthly)'!$E$2:$E$106,'Additions (monthly)'!$D$2:$D$106,AI$2,'Additions (monthly)'!$B$2:$B$106,"&lt;="&amp;$B192)</f>
        <v>1.4</v>
      </c>
      <c r="AJ192" s="46" t="n">
        <f aca="false">SUMIFS('Additions (monthly)'!$E$2:$E$106,'Additions (monthly)'!$D$2:$D$106,AJ$2,'Additions (monthly)'!$B$2:$B$106,"&lt;="&amp;$B192)</f>
        <v>0</v>
      </c>
      <c r="AK192" s="46" t="n">
        <f aca="false">SUMIFS('Additions (monthly)'!$E$2:$E$106,'Additions (monthly)'!$D$2:$D$106,AK$2,'Additions (monthly)'!$B$2:$B$106,"&lt;="&amp;$B192)</f>
        <v>3.4</v>
      </c>
      <c r="AL192" s="46" t="n">
        <f aca="false">SUMIFS('Additions (monthly)'!$E$2:$E$106,'Additions (monthly)'!$D$2:$D$106,AL$2,'Additions (monthly)'!$B$2:$B$106,"&lt;="&amp;$B192)</f>
        <v>22.2</v>
      </c>
      <c r="AM192" s="46" t="n">
        <f aca="false">SUMIFS('Additions (monthly)'!$E$2:$E$106,'Additions (monthly)'!$D$2:$D$106,AM$2,'Additions (monthly)'!$B$2:$B$106,"&lt;="&amp;$B192)</f>
        <v>0.3</v>
      </c>
      <c r="AN192" s="46" t="n">
        <f aca="false">SUMIFS('Additions (monthly)'!$E$2:$E$106,'Additions (monthly)'!$D$2:$D$106,AN$2,'Additions (monthly)'!$B$2:$B$106,"&lt;="&amp;$B192)</f>
        <v>4.3</v>
      </c>
      <c r="AO192" s="46" t="n">
        <f aca="false">SUMIFS('Additions (monthly)'!$E$2:$E$106,'Additions (monthly)'!$D$2:$D$106,AO$2,'Additions (monthly)'!$B$2:$B$106,"&lt;="&amp;$B192)</f>
        <v>10.4</v>
      </c>
      <c r="AP192" s="46" t="n">
        <f aca="false">SUMIFS('Additions (monthly)'!$E$2:$E$106,'Additions (monthly)'!$D$2:$D$106,AP$2,'Additions (monthly)'!$B$2:$B$106,"&lt;="&amp;$B192)</f>
        <v>6.9</v>
      </c>
      <c r="AQ192" s="46" t="n">
        <f aca="false">SUMIFS('Additions (monthly)'!$E$2:$E$106,'Additions (monthly)'!$D$2:$D$106,AQ$2,'Additions (monthly)'!$B$2:$B$106,"&lt;="&amp;$B192)</f>
        <v>4.45</v>
      </c>
      <c r="AR192" s="46" t="n">
        <f aca="false">SUMIFS('Additions (monthly)'!$E$2:$E$106,'Additions (monthly)'!$D$2:$D$106,AR$2,'Additions (monthly)'!$B$2:$B$106,"&lt;="&amp;$B192)</f>
        <v>77.1</v>
      </c>
      <c r="AS192" s="46" t="n">
        <f aca="false">SUMIFS('Additions (monthly)'!$E$2:$E$106,'Additions (monthly)'!$D$2:$D$106,AS$2,'Additions (monthly)'!$B$2:$B$106,"&lt;="&amp;$B192)</f>
        <v>6.6</v>
      </c>
      <c r="AT192" s="46" t="n">
        <f aca="false">SUMIFS('Additions (monthly)'!$E$2:$E$106,'Additions (monthly)'!$D$2:$D$106,AT$2,'Additions (monthly)'!$B$2:$B$106,"&lt;="&amp;$B192)</f>
        <v>1.5</v>
      </c>
      <c r="AU192" s="46" t="n">
        <f aca="false">SUMIFS('Additions (monthly)'!$E$2:$E$106,'Additions (monthly)'!$D$2:$D$106,AU$2,'Additions (monthly)'!$B$2:$B$106,"&lt;="&amp;$B192)</f>
        <v>9.6</v>
      </c>
      <c r="AV192" s="46" t="n">
        <f aca="false">SUMIFS('Additions (monthly)'!$E$2:$E$106,'Additions (monthly)'!$D$2:$D$106,AV$2,'Additions (monthly)'!$B$2:$B$106,"&lt;="&amp;$B192)</f>
        <v>0.66</v>
      </c>
      <c r="AW192" s="46" t="n">
        <f aca="false">SUMIFS('Additions (monthly)'!$E$2:$E$106,'Additions (monthly)'!$D$2:$D$106,AW$2,'Additions (monthly)'!$B$2:$B$106,"&lt;="&amp;$B192)</f>
        <v>17.4</v>
      </c>
      <c r="AX192" s="46" t="n">
        <f aca="false">SUMIFS('Additions (monthly)'!$E$2:$E$106,'Additions (monthly)'!$D$2:$D$106,AX$2,'Additions (monthly)'!$B$2:$B$106,"&lt;="&amp;$B192)</f>
        <v>11.8</v>
      </c>
      <c r="AY192" s="46" t="n">
        <f aca="false">SUMIFS('Additions (monthly)'!$E$2:$E$106,'Additions (monthly)'!$D$2:$D$106,AY$2,'Additions (monthly)'!$B$2:$B$106,"&lt;="&amp;$B192)</f>
        <v>5.3</v>
      </c>
      <c r="AZ192" s="46" t="n">
        <f aca="false">SUMIFS('Additions (monthly)'!$E$2:$E$106,'Additions (monthly)'!$D$2:$D$106,AZ$2,'Additions (monthly)'!$B$2:$B$106,"&lt;="&amp;$B192)</f>
        <v>9.97</v>
      </c>
      <c r="BA192" s="46" t="n">
        <f aca="false">SUMIFS('Additions (monthly)'!$E$2:$E$106,'Additions (monthly)'!$D$2:$D$106,BA$2,'Additions (monthly)'!$B$2:$B$106,"&lt;="&amp;$B192)</f>
        <v>13.5</v>
      </c>
      <c r="BB192" s="46" t="n">
        <f aca="false">SUMIFS('Additions (monthly)'!$E$2:$E$106,'Additions (monthly)'!$D$2:$D$106,BB$2,'Additions (monthly)'!$B$2:$B$106,"&lt;="&amp;$B192)</f>
        <v>19.47</v>
      </c>
      <c r="BC192" s="46" t="n">
        <f aca="false">SUMIFS('Additions (monthly)'!$E$2:$E$106,'Additions (monthly)'!$D$2:$D$106,BC$2,'Additions (monthly)'!$B$2:$B$106,"&lt;="&amp;$B192)</f>
        <v>5.25</v>
      </c>
      <c r="BD192" s="46" t="n">
        <f aca="false">SUMIFS('Additions (monthly)'!$E$2:$E$106,'Additions (monthly)'!$D$2:$D$106,BD$2,'Additions (monthly)'!$B$2:$B$106,"&lt;="&amp;$B192)</f>
        <v>2.5</v>
      </c>
      <c r="BE192" s="46" t="n">
        <f aca="false">SUMIFS('Additions (monthly)'!$E$2:$E$106,'Additions (monthly)'!$D$2:$D$106,BE$2,'Additions (monthly)'!$B$2:$B$106,"&lt;="&amp;$B192)</f>
        <v>15.3</v>
      </c>
      <c r="BF192" s="46" t="n">
        <f aca="false">SUMIFS('Additions (monthly)'!$E$2:$E$106,'Additions (monthly)'!$D$2:$D$106,BF$2,'Additions (monthly)'!$B$2:$B$106,"&lt;="&amp;$B192)</f>
        <v>0</v>
      </c>
      <c r="BG192" s="46" t="n">
        <f aca="false">SUMIFS('Additions (monthly)'!$E$2:$E$106,'Additions (monthly)'!$D$2:$D$106,BG$2,'Additions (monthly)'!$B$2:$B$106,"&lt;="&amp;$B192)</f>
        <v>19.44</v>
      </c>
      <c r="BH192" s="46" t="n">
        <f aca="false">SUMIFS('Additions (monthly)'!$E$2:$E$106,'Additions (monthly)'!$D$2:$D$106,BH$2,'Additions (monthly)'!$B$2:$B$106,"&lt;="&amp;$B192)</f>
        <v>30</v>
      </c>
      <c r="BI192" s="46" t="n">
        <f aca="false">SUMIFS('Additions (monthly)'!$E$2:$E$106,'Additions (monthly)'!$D$2:$D$106,BI$2,'Additions (monthly)'!$B$2:$B$106,"&lt;="&amp;$B192)</f>
        <v>6.7</v>
      </c>
    </row>
    <row r="193" customFormat="false" ht="15" hidden="false" customHeight="false" outlineLevel="0" collapsed="false">
      <c r="A193" s="44" t="n">
        <v>45962</v>
      </c>
      <c r="B193" s="45" t="n">
        <v>202511</v>
      </c>
      <c r="C193" s="42" t="n">
        <f aca="false">SUMIFS('Additions (monthly)'!$E$2:$E$106,'Additions (monthly)'!$B$2:$B$106,"&lt;="&amp;$B193)</f>
        <v>524.55</v>
      </c>
      <c r="D193" s="46" t="n">
        <f aca="false">SUMIFS('Additions (monthly)'!$E$2:$E$106,'Additions (monthly)'!$D$2:$D$106,D$2,'Additions (monthly)'!$B$2:$B$106,"&lt;="&amp;$B193)</f>
        <v>7.9</v>
      </c>
      <c r="E193" s="46" t="n">
        <f aca="false">SUMIFS('Additions (monthly)'!$E$2:$E$106,'Additions (monthly)'!$D$2:$D$106,E$2,'Additions (monthly)'!$B$2:$B$106,"&lt;="&amp;$B193)</f>
        <v>8.4</v>
      </c>
      <c r="F193" s="46" t="n">
        <f aca="false">SUMIFS('Additions (monthly)'!$E$2:$E$106,'Additions (monthly)'!$D$2:$D$106,F$2,'Additions (monthly)'!$B$2:$B$106,"&lt;="&amp;$B193)</f>
        <v>4.7</v>
      </c>
      <c r="G193" s="46" t="n">
        <f aca="false">SUMIFS('Additions (monthly)'!$E$2:$E$106,'Additions (monthly)'!$D$2:$D$106,G$2,'Additions (monthly)'!$B$2:$B$106,"&lt;="&amp;$B193)</f>
        <v>4.5</v>
      </c>
      <c r="H193" s="46" t="n">
        <f aca="false">SUMIFS('Additions (monthly)'!$E$2:$E$106,'Additions (monthly)'!$D$2:$D$106,H$2,'Additions (monthly)'!$B$2:$B$106,"&lt;="&amp;$B193)</f>
        <v>5.2</v>
      </c>
      <c r="I193" s="46" t="n">
        <f aca="false">SUMIFS('Additions (monthly)'!$E$2:$E$106,'Additions (monthly)'!$D$2:$D$106,I$2,'Additions (monthly)'!$B$2:$B$106,"&lt;="&amp;$B193)</f>
        <v>9</v>
      </c>
      <c r="J193" s="46" t="n">
        <f aca="false">SUMIFS('Additions (monthly)'!$E$2:$E$106,'Additions (monthly)'!$D$2:$D$106,J$2,'Additions (monthly)'!$B$2:$B$106,"&lt;="&amp;$B193)</f>
        <v>3.7</v>
      </c>
      <c r="K193" s="46" t="n">
        <f aca="false">SUMIFS('Additions (monthly)'!$E$2:$E$106,'Additions (monthly)'!$D$2:$D$106,K$2,'Additions (monthly)'!$B$2:$B$106,"&lt;="&amp;$B193)</f>
        <v>7.8</v>
      </c>
      <c r="L193" s="46" t="n">
        <f aca="false">SUMIFS('Additions (monthly)'!$E$2:$E$106,'Additions (monthly)'!$D$2:$D$106,L$2,'Additions (monthly)'!$B$2:$B$106,"&lt;="&amp;$B193)</f>
        <v>15.6</v>
      </c>
      <c r="M193" s="46" t="n">
        <f aca="false">SUMIFS('Additions (monthly)'!$E$2:$E$106,'Additions (monthly)'!$D$2:$D$106,M$2,'Additions (monthly)'!$B$2:$B$106,"&lt;="&amp;$B193)</f>
        <v>8.9</v>
      </c>
      <c r="N193" s="46" t="n">
        <f aca="false">SUMIFS('Additions (monthly)'!$E$2:$E$106,'Additions (monthly)'!$D$2:$D$106,N$2,'Additions (monthly)'!$B$2:$B$106,"&lt;="&amp;$B193)</f>
        <v>14.2</v>
      </c>
      <c r="O193" s="46" t="n">
        <f aca="false">SUMIFS('Additions (monthly)'!$E$2:$E$106,'Additions (monthly)'!$D$2:$D$106,O$2,'Additions (monthly)'!$B$2:$B$106,"&lt;="&amp;$B193)</f>
        <v>4.9</v>
      </c>
      <c r="P193" s="46" t="n">
        <f aca="false">SUMIFS('Additions (monthly)'!$E$2:$E$106,'Additions (monthly)'!$D$2:$D$106,P$2,'Additions (monthly)'!$B$2:$B$106,"&lt;="&amp;$B193)</f>
        <v>3.6</v>
      </c>
      <c r="Q193" s="46" t="n">
        <f aca="false">SUMIFS('Additions (monthly)'!$E$2:$E$106,'Additions (monthly)'!$D$2:$D$106,Q$2,'Additions (monthly)'!$B$2:$B$106,"&lt;="&amp;$B193)</f>
        <v>8.5</v>
      </c>
      <c r="R193" s="46" t="n">
        <f aca="false">SUMIFS('Additions (monthly)'!$E$2:$E$106,'Additions (monthly)'!$D$2:$D$106,R$2,'Additions (monthly)'!$B$2:$B$106,"&lt;="&amp;$B193)</f>
        <v>8.9</v>
      </c>
      <c r="S193" s="46" t="n">
        <f aca="false">SUMIFS('Additions (monthly)'!$E$2:$E$106,'Additions (monthly)'!$D$2:$D$106,S$2,'Additions (monthly)'!$B$2:$B$106,"&lt;="&amp;$B193)</f>
        <v>7.2</v>
      </c>
      <c r="T193" s="46" t="n">
        <f aca="false">SUMIFS('Additions (monthly)'!$E$2:$E$106,'Additions (monthly)'!$D$2:$D$106,T$2,'Additions (monthly)'!$B$2:$B$106,"&lt;="&amp;$B193)</f>
        <v>2.4</v>
      </c>
      <c r="U193" s="46" t="n">
        <f aca="false">SUMIFS('Additions (monthly)'!$E$2:$E$106,'Additions (monthly)'!$D$2:$D$106,U$2,'Additions (monthly)'!$B$2:$B$106,"&lt;="&amp;$B193)</f>
        <v>7</v>
      </c>
      <c r="V193" s="46" t="n">
        <f aca="false">SUMIFS('Additions (monthly)'!$E$2:$E$106,'Additions (monthly)'!$D$2:$D$106,V$2,'Additions (monthly)'!$B$2:$B$106,"&lt;="&amp;$B193)</f>
        <v>3.87</v>
      </c>
      <c r="W193" s="46" t="n">
        <f aca="false">SUMIFS('Additions (monthly)'!$E$2:$E$106,'Additions (monthly)'!$D$2:$D$106,W$2,'Additions (monthly)'!$B$2:$B$106,"&lt;="&amp;$B193)</f>
        <v>0.6</v>
      </c>
      <c r="X193" s="46" t="n">
        <f aca="false">SUMIFS('Additions (monthly)'!$E$2:$E$106,'Additions (monthly)'!$D$2:$D$106,X$2,'Additions (monthly)'!$B$2:$B$106,"&lt;="&amp;$B193)</f>
        <v>0</v>
      </c>
      <c r="Y193" s="46" t="n">
        <f aca="false">SUMIFS('Additions (monthly)'!$E$2:$E$106,'Additions (monthly)'!$D$2:$D$106,Y$2,'Additions (monthly)'!$B$2:$B$106,"&lt;="&amp;$B193)</f>
        <v>5</v>
      </c>
      <c r="Z193" s="46" t="n">
        <f aca="false">SUMIFS('Additions (monthly)'!$E$2:$E$106,'Additions (monthly)'!$D$2:$D$106,Z$2,'Additions (monthly)'!$B$2:$B$106,"&lt;="&amp;$B193)</f>
        <v>7.2</v>
      </c>
      <c r="AA193" s="46" t="n">
        <f aca="false">SUMIFS('Additions (monthly)'!$E$2:$E$106,'Additions (monthly)'!$D$2:$D$106,AA$2,'Additions (monthly)'!$B$2:$B$106,"&lt;="&amp;$B193)</f>
        <v>3.7</v>
      </c>
      <c r="AB193" s="46" t="n">
        <f aca="false">SUMIFS('Additions (monthly)'!$E$2:$E$106,'Additions (monthly)'!$D$2:$D$106,AB$2,'Additions (monthly)'!$B$2:$B$106,"&lt;="&amp;$B193)</f>
        <v>16.95</v>
      </c>
      <c r="AC193" s="46" t="n">
        <f aca="false">SUMIFS('Additions (monthly)'!$E$2:$E$106,'Additions (monthly)'!$D$2:$D$106,AC$2,'Additions (monthly)'!$B$2:$B$106,"&lt;="&amp;$B193)</f>
        <v>2</v>
      </c>
      <c r="AD193" s="46" t="n">
        <f aca="false">SUMIFS('Additions (monthly)'!$E$2:$E$106,'Additions (monthly)'!$D$2:$D$106,AD$2,'Additions (monthly)'!$B$2:$B$106,"&lt;="&amp;$B193)</f>
        <v>11.4</v>
      </c>
      <c r="AE193" s="46" t="n">
        <f aca="false">SUMIFS('Additions (monthly)'!$E$2:$E$106,'Additions (monthly)'!$D$2:$D$106,AE$2,'Additions (monthly)'!$B$2:$B$106,"&lt;="&amp;$B193)</f>
        <v>29.3</v>
      </c>
      <c r="AF193" s="46" t="n">
        <f aca="false">SUMIFS('Additions (monthly)'!$E$2:$E$106,'Additions (monthly)'!$D$2:$D$106,AF$2,'Additions (monthly)'!$B$2:$B$106,"&lt;="&amp;$B193)</f>
        <v>1.2</v>
      </c>
      <c r="AG193" s="46" t="n">
        <f aca="false">SUMIFS('Additions (monthly)'!$E$2:$E$106,'Additions (monthly)'!$D$2:$D$106,AG$2,'Additions (monthly)'!$B$2:$B$106,"&lt;="&amp;$B193)</f>
        <v>1.5</v>
      </c>
      <c r="AH193" s="46" t="n">
        <f aca="false">SUMIFS('Additions (monthly)'!$E$2:$E$106,'Additions (monthly)'!$D$2:$D$106,AH$2,'Additions (monthly)'!$B$2:$B$106,"&lt;="&amp;$B193)</f>
        <v>2.5</v>
      </c>
      <c r="AI193" s="46" t="n">
        <f aca="false">SUMIFS('Additions (monthly)'!$E$2:$E$106,'Additions (monthly)'!$D$2:$D$106,AI$2,'Additions (monthly)'!$B$2:$B$106,"&lt;="&amp;$B193)</f>
        <v>1.4</v>
      </c>
      <c r="AJ193" s="46" t="n">
        <f aca="false">SUMIFS('Additions (monthly)'!$E$2:$E$106,'Additions (monthly)'!$D$2:$D$106,AJ$2,'Additions (monthly)'!$B$2:$B$106,"&lt;="&amp;$B193)</f>
        <v>0</v>
      </c>
      <c r="AK193" s="46" t="n">
        <f aca="false">SUMIFS('Additions (monthly)'!$E$2:$E$106,'Additions (monthly)'!$D$2:$D$106,AK$2,'Additions (monthly)'!$B$2:$B$106,"&lt;="&amp;$B193)</f>
        <v>3.4</v>
      </c>
      <c r="AL193" s="46" t="n">
        <f aca="false">SUMIFS('Additions (monthly)'!$E$2:$E$106,'Additions (monthly)'!$D$2:$D$106,AL$2,'Additions (monthly)'!$B$2:$B$106,"&lt;="&amp;$B193)</f>
        <v>22.2</v>
      </c>
      <c r="AM193" s="46" t="n">
        <f aca="false">SUMIFS('Additions (monthly)'!$E$2:$E$106,'Additions (monthly)'!$D$2:$D$106,AM$2,'Additions (monthly)'!$B$2:$B$106,"&lt;="&amp;$B193)</f>
        <v>0.3</v>
      </c>
      <c r="AN193" s="46" t="n">
        <f aca="false">SUMIFS('Additions (monthly)'!$E$2:$E$106,'Additions (monthly)'!$D$2:$D$106,AN$2,'Additions (monthly)'!$B$2:$B$106,"&lt;="&amp;$B193)</f>
        <v>4.3</v>
      </c>
      <c r="AO193" s="46" t="n">
        <f aca="false">SUMIFS('Additions (monthly)'!$E$2:$E$106,'Additions (monthly)'!$D$2:$D$106,AO$2,'Additions (monthly)'!$B$2:$B$106,"&lt;="&amp;$B193)</f>
        <v>10.4</v>
      </c>
      <c r="AP193" s="46" t="n">
        <f aca="false">SUMIFS('Additions (monthly)'!$E$2:$E$106,'Additions (monthly)'!$D$2:$D$106,AP$2,'Additions (monthly)'!$B$2:$B$106,"&lt;="&amp;$B193)</f>
        <v>6.9</v>
      </c>
      <c r="AQ193" s="46" t="n">
        <f aca="false">SUMIFS('Additions (monthly)'!$E$2:$E$106,'Additions (monthly)'!$D$2:$D$106,AQ$2,'Additions (monthly)'!$B$2:$B$106,"&lt;="&amp;$B193)</f>
        <v>4.45</v>
      </c>
      <c r="AR193" s="46" t="n">
        <f aca="false">SUMIFS('Additions (monthly)'!$E$2:$E$106,'Additions (monthly)'!$D$2:$D$106,AR$2,'Additions (monthly)'!$B$2:$B$106,"&lt;="&amp;$B193)</f>
        <v>77.1</v>
      </c>
      <c r="AS193" s="46" t="n">
        <f aca="false">SUMIFS('Additions (monthly)'!$E$2:$E$106,'Additions (monthly)'!$D$2:$D$106,AS$2,'Additions (monthly)'!$B$2:$B$106,"&lt;="&amp;$B193)</f>
        <v>6.6</v>
      </c>
      <c r="AT193" s="46" t="n">
        <f aca="false">SUMIFS('Additions (monthly)'!$E$2:$E$106,'Additions (monthly)'!$D$2:$D$106,AT$2,'Additions (monthly)'!$B$2:$B$106,"&lt;="&amp;$B193)</f>
        <v>1.5</v>
      </c>
      <c r="AU193" s="46" t="n">
        <f aca="false">SUMIFS('Additions (monthly)'!$E$2:$E$106,'Additions (monthly)'!$D$2:$D$106,AU$2,'Additions (monthly)'!$B$2:$B$106,"&lt;="&amp;$B193)</f>
        <v>9.6</v>
      </c>
      <c r="AV193" s="46" t="n">
        <f aca="false">SUMIFS('Additions (monthly)'!$E$2:$E$106,'Additions (monthly)'!$D$2:$D$106,AV$2,'Additions (monthly)'!$B$2:$B$106,"&lt;="&amp;$B193)</f>
        <v>0.66</v>
      </c>
      <c r="AW193" s="46" t="n">
        <f aca="false">SUMIFS('Additions (monthly)'!$E$2:$E$106,'Additions (monthly)'!$D$2:$D$106,AW$2,'Additions (monthly)'!$B$2:$B$106,"&lt;="&amp;$B193)</f>
        <v>17.4</v>
      </c>
      <c r="AX193" s="46" t="n">
        <f aca="false">SUMIFS('Additions (monthly)'!$E$2:$E$106,'Additions (monthly)'!$D$2:$D$106,AX$2,'Additions (monthly)'!$B$2:$B$106,"&lt;="&amp;$B193)</f>
        <v>11.8</v>
      </c>
      <c r="AY193" s="46" t="n">
        <f aca="false">SUMIFS('Additions (monthly)'!$E$2:$E$106,'Additions (monthly)'!$D$2:$D$106,AY$2,'Additions (monthly)'!$B$2:$B$106,"&lt;="&amp;$B193)</f>
        <v>5.3</v>
      </c>
      <c r="AZ193" s="46" t="n">
        <f aca="false">SUMIFS('Additions (monthly)'!$E$2:$E$106,'Additions (monthly)'!$D$2:$D$106,AZ$2,'Additions (monthly)'!$B$2:$B$106,"&lt;="&amp;$B193)</f>
        <v>9.97</v>
      </c>
      <c r="BA193" s="46" t="n">
        <f aca="false">SUMIFS('Additions (monthly)'!$E$2:$E$106,'Additions (monthly)'!$D$2:$D$106,BA$2,'Additions (monthly)'!$B$2:$B$106,"&lt;="&amp;$B193)</f>
        <v>13.5</v>
      </c>
      <c r="BB193" s="46" t="n">
        <f aca="false">SUMIFS('Additions (monthly)'!$E$2:$E$106,'Additions (monthly)'!$D$2:$D$106,BB$2,'Additions (monthly)'!$B$2:$B$106,"&lt;="&amp;$B193)</f>
        <v>20.96</v>
      </c>
      <c r="BC193" s="46" t="n">
        <f aca="false">SUMIFS('Additions (monthly)'!$E$2:$E$106,'Additions (monthly)'!$D$2:$D$106,BC$2,'Additions (monthly)'!$B$2:$B$106,"&lt;="&amp;$B193)</f>
        <v>5.25</v>
      </c>
      <c r="BD193" s="46" t="n">
        <f aca="false">SUMIFS('Additions (monthly)'!$E$2:$E$106,'Additions (monthly)'!$D$2:$D$106,BD$2,'Additions (monthly)'!$B$2:$B$106,"&lt;="&amp;$B193)</f>
        <v>2.5</v>
      </c>
      <c r="BE193" s="46" t="n">
        <f aca="false">SUMIFS('Additions (monthly)'!$E$2:$E$106,'Additions (monthly)'!$D$2:$D$106,BE$2,'Additions (monthly)'!$B$2:$B$106,"&lt;="&amp;$B193)</f>
        <v>15.3</v>
      </c>
      <c r="BF193" s="46" t="n">
        <f aca="false">SUMIFS('Additions (monthly)'!$E$2:$E$106,'Additions (monthly)'!$D$2:$D$106,BF$2,'Additions (monthly)'!$B$2:$B$106,"&lt;="&amp;$B193)</f>
        <v>0</v>
      </c>
      <c r="BG193" s="46" t="n">
        <f aca="false">SUMIFS('Additions (monthly)'!$E$2:$E$106,'Additions (monthly)'!$D$2:$D$106,BG$2,'Additions (monthly)'!$B$2:$B$106,"&lt;="&amp;$B193)</f>
        <v>19.44</v>
      </c>
      <c r="BH193" s="46" t="n">
        <f aca="false">SUMIFS('Additions (monthly)'!$E$2:$E$106,'Additions (monthly)'!$D$2:$D$106,BH$2,'Additions (monthly)'!$B$2:$B$106,"&lt;="&amp;$B193)</f>
        <v>30</v>
      </c>
      <c r="BI193" s="46" t="n">
        <f aca="false">SUMIFS('Additions (monthly)'!$E$2:$E$106,'Additions (monthly)'!$D$2:$D$106,BI$2,'Additions (monthly)'!$B$2:$B$106,"&lt;="&amp;$B193)</f>
        <v>6.7</v>
      </c>
    </row>
    <row r="194" customFormat="false" ht="15" hidden="false" customHeight="false" outlineLevel="0" collapsed="false">
      <c r="A194" s="44" t="n">
        <v>45992</v>
      </c>
      <c r="B194" s="45" t="n">
        <v>202512</v>
      </c>
      <c r="C194" s="42" t="n">
        <f aca="false">SUMIFS('Additions (monthly)'!$E$2:$E$106,'Additions (monthly)'!$B$2:$B$106,"&lt;="&amp;$B194)</f>
        <v>524.55</v>
      </c>
      <c r="D194" s="46" t="n">
        <f aca="false">SUMIFS('Additions (monthly)'!$E$2:$E$106,'Additions (monthly)'!$D$2:$D$106,D$2,'Additions (monthly)'!$B$2:$B$106,"&lt;="&amp;$B194)</f>
        <v>7.9</v>
      </c>
      <c r="E194" s="46" t="n">
        <f aca="false">SUMIFS('Additions (monthly)'!$E$2:$E$106,'Additions (monthly)'!$D$2:$D$106,E$2,'Additions (monthly)'!$B$2:$B$106,"&lt;="&amp;$B194)</f>
        <v>8.4</v>
      </c>
      <c r="F194" s="46" t="n">
        <f aca="false">SUMIFS('Additions (monthly)'!$E$2:$E$106,'Additions (monthly)'!$D$2:$D$106,F$2,'Additions (monthly)'!$B$2:$B$106,"&lt;="&amp;$B194)</f>
        <v>4.7</v>
      </c>
      <c r="G194" s="46" t="n">
        <f aca="false">SUMIFS('Additions (monthly)'!$E$2:$E$106,'Additions (monthly)'!$D$2:$D$106,G$2,'Additions (monthly)'!$B$2:$B$106,"&lt;="&amp;$B194)</f>
        <v>4.5</v>
      </c>
      <c r="H194" s="46" t="n">
        <f aca="false">SUMIFS('Additions (monthly)'!$E$2:$E$106,'Additions (monthly)'!$D$2:$D$106,H$2,'Additions (monthly)'!$B$2:$B$106,"&lt;="&amp;$B194)</f>
        <v>5.2</v>
      </c>
      <c r="I194" s="46" t="n">
        <f aca="false">SUMIFS('Additions (monthly)'!$E$2:$E$106,'Additions (monthly)'!$D$2:$D$106,I$2,'Additions (monthly)'!$B$2:$B$106,"&lt;="&amp;$B194)</f>
        <v>9</v>
      </c>
      <c r="J194" s="46" t="n">
        <f aca="false">SUMIFS('Additions (monthly)'!$E$2:$E$106,'Additions (monthly)'!$D$2:$D$106,J$2,'Additions (monthly)'!$B$2:$B$106,"&lt;="&amp;$B194)</f>
        <v>3.7</v>
      </c>
      <c r="K194" s="46" t="n">
        <f aca="false">SUMIFS('Additions (monthly)'!$E$2:$E$106,'Additions (monthly)'!$D$2:$D$106,K$2,'Additions (monthly)'!$B$2:$B$106,"&lt;="&amp;$B194)</f>
        <v>7.8</v>
      </c>
      <c r="L194" s="46" t="n">
        <f aca="false">SUMIFS('Additions (monthly)'!$E$2:$E$106,'Additions (monthly)'!$D$2:$D$106,L$2,'Additions (monthly)'!$B$2:$B$106,"&lt;="&amp;$B194)</f>
        <v>15.6</v>
      </c>
      <c r="M194" s="46" t="n">
        <f aca="false">SUMIFS('Additions (monthly)'!$E$2:$E$106,'Additions (monthly)'!$D$2:$D$106,M$2,'Additions (monthly)'!$B$2:$B$106,"&lt;="&amp;$B194)</f>
        <v>8.9</v>
      </c>
      <c r="N194" s="46" t="n">
        <f aca="false">SUMIFS('Additions (monthly)'!$E$2:$E$106,'Additions (monthly)'!$D$2:$D$106,N$2,'Additions (monthly)'!$B$2:$B$106,"&lt;="&amp;$B194)</f>
        <v>14.2</v>
      </c>
      <c r="O194" s="46" t="n">
        <f aca="false">SUMIFS('Additions (monthly)'!$E$2:$E$106,'Additions (monthly)'!$D$2:$D$106,O$2,'Additions (monthly)'!$B$2:$B$106,"&lt;="&amp;$B194)</f>
        <v>4.9</v>
      </c>
      <c r="P194" s="46" t="n">
        <f aca="false">SUMIFS('Additions (monthly)'!$E$2:$E$106,'Additions (monthly)'!$D$2:$D$106,P$2,'Additions (monthly)'!$B$2:$B$106,"&lt;="&amp;$B194)</f>
        <v>3.6</v>
      </c>
      <c r="Q194" s="46" t="n">
        <f aca="false">SUMIFS('Additions (monthly)'!$E$2:$E$106,'Additions (monthly)'!$D$2:$D$106,Q$2,'Additions (monthly)'!$B$2:$B$106,"&lt;="&amp;$B194)</f>
        <v>8.5</v>
      </c>
      <c r="R194" s="46" t="n">
        <f aca="false">SUMIFS('Additions (monthly)'!$E$2:$E$106,'Additions (monthly)'!$D$2:$D$106,R$2,'Additions (monthly)'!$B$2:$B$106,"&lt;="&amp;$B194)</f>
        <v>8.9</v>
      </c>
      <c r="S194" s="46" t="n">
        <f aca="false">SUMIFS('Additions (monthly)'!$E$2:$E$106,'Additions (monthly)'!$D$2:$D$106,S$2,'Additions (monthly)'!$B$2:$B$106,"&lt;="&amp;$B194)</f>
        <v>7.2</v>
      </c>
      <c r="T194" s="46" t="n">
        <f aca="false">SUMIFS('Additions (monthly)'!$E$2:$E$106,'Additions (monthly)'!$D$2:$D$106,T$2,'Additions (monthly)'!$B$2:$B$106,"&lt;="&amp;$B194)</f>
        <v>2.4</v>
      </c>
      <c r="U194" s="46" t="n">
        <f aca="false">SUMIFS('Additions (monthly)'!$E$2:$E$106,'Additions (monthly)'!$D$2:$D$106,U$2,'Additions (monthly)'!$B$2:$B$106,"&lt;="&amp;$B194)</f>
        <v>7</v>
      </c>
      <c r="V194" s="46" t="n">
        <f aca="false">SUMIFS('Additions (monthly)'!$E$2:$E$106,'Additions (monthly)'!$D$2:$D$106,V$2,'Additions (monthly)'!$B$2:$B$106,"&lt;="&amp;$B194)</f>
        <v>3.87</v>
      </c>
      <c r="W194" s="46" t="n">
        <f aca="false">SUMIFS('Additions (monthly)'!$E$2:$E$106,'Additions (monthly)'!$D$2:$D$106,W$2,'Additions (monthly)'!$B$2:$B$106,"&lt;="&amp;$B194)</f>
        <v>0.6</v>
      </c>
      <c r="X194" s="46" t="n">
        <f aca="false">SUMIFS('Additions (monthly)'!$E$2:$E$106,'Additions (monthly)'!$D$2:$D$106,X$2,'Additions (monthly)'!$B$2:$B$106,"&lt;="&amp;$B194)</f>
        <v>0</v>
      </c>
      <c r="Y194" s="46" t="n">
        <f aca="false">SUMIFS('Additions (monthly)'!$E$2:$E$106,'Additions (monthly)'!$D$2:$D$106,Y$2,'Additions (monthly)'!$B$2:$B$106,"&lt;="&amp;$B194)</f>
        <v>5</v>
      </c>
      <c r="Z194" s="46" t="n">
        <f aca="false">SUMIFS('Additions (monthly)'!$E$2:$E$106,'Additions (monthly)'!$D$2:$D$106,Z$2,'Additions (monthly)'!$B$2:$B$106,"&lt;="&amp;$B194)</f>
        <v>7.2</v>
      </c>
      <c r="AA194" s="46" t="n">
        <f aca="false">SUMIFS('Additions (monthly)'!$E$2:$E$106,'Additions (monthly)'!$D$2:$D$106,AA$2,'Additions (monthly)'!$B$2:$B$106,"&lt;="&amp;$B194)</f>
        <v>3.7</v>
      </c>
      <c r="AB194" s="46" t="n">
        <f aca="false">SUMIFS('Additions (monthly)'!$E$2:$E$106,'Additions (monthly)'!$D$2:$D$106,AB$2,'Additions (monthly)'!$B$2:$B$106,"&lt;="&amp;$B194)</f>
        <v>16.95</v>
      </c>
      <c r="AC194" s="46" t="n">
        <f aca="false">SUMIFS('Additions (monthly)'!$E$2:$E$106,'Additions (monthly)'!$D$2:$D$106,AC$2,'Additions (monthly)'!$B$2:$B$106,"&lt;="&amp;$B194)</f>
        <v>2</v>
      </c>
      <c r="AD194" s="46" t="n">
        <f aca="false">SUMIFS('Additions (monthly)'!$E$2:$E$106,'Additions (monthly)'!$D$2:$D$106,AD$2,'Additions (monthly)'!$B$2:$B$106,"&lt;="&amp;$B194)</f>
        <v>11.4</v>
      </c>
      <c r="AE194" s="46" t="n">
        <f aca="false">SUMIFS('Additions (monthly)'!$E$2:$E$106,'Additions (monthly)'!$D$2:$D$106,AE$2,'Additions (monthly)'!$B$2:$B$106,"&lt;="&amp;$B194)</f>
        <v>29.3</v>
      </c>
      <c r="AF194" s="46" t="n">
        <f aca="false">SUMIFS('Additions (monthly)'!$E$2:$E$106,'Additions (monthly)'!$D$2:$D$106,AF$2,'Additions (monthly)'!$B$2:$B$106,"&lt;="&amp;$B194)</f>
        <v>1.2</v>
      </c>
      <c r="AG194" s="46" t="n">
        <f aca="false">SUMIFS('Additions (monthly)'!$E$2:$E$106,'Additions (monthly)'!$D$2:$D$106,AG$2,'Additions (monthly)'!$B$2:$B$106,"&lt;="&amp;$B194)</f>
        <v>1.5</v>
      </c>
      <c r="AH194" s="46" t="n">
        <f aca="false">SUMIFS('Additions (monthly)'!$E$2:$E$106,'Additions (monthly)'!$D$2:$D$106,AH$2,'Additions (monthly)'!$B$2:$B$106,"&lt;="&amp;$B194)</f>
        <v>2.5</v>
      </c>
      <c r="AI194" s="46" t="n">
        <f aca="false">SUMIFS('Additions (monthly)'!$E$2:$E$106,'Additions (monthly)'!$D$2:$D$106,AI$2,'Additions (monthly)'!$B$2:$B$106,"&lt;="&amp;$B194)</f>
        <v>1.4</v>
      </c>
      <c r="AJ194" s="46" t="n">
        <f aca="false">SUMIFS('Additions (monthly)'!$E$2:$E$106,'Additions (monthly)'!$D$2:$D$106,AJ$2,'Additions (monthly)'!$B$2:$B$106,"&lt;="&amp;$B194)</f>
        <v>0</v>
      </c>
      <c r="AK194" s="46" t="n">
        <f aca="false">SUMIFS('Additions (monthly)'!$E$2:$E$106,'Additions (monthly)'!$D$2:$D$106,AK$2,'Additions (monthly)'!$B$2:$B$106,"&lt;="&amp;$B194)</f>
        <v>3.4</v>
      </c>
      <c r="AL194" s="46" t="n">
        <f aca="false">SUMIFS('Additions (monthly)'!$E$2:$E$106,'Additions (monthly)'!$D$2:$D$106,AL$2,'Additions (monthly)'!$B$2:$B$106,"&lt;="&amp;$B194)</f>
        <v>22.2</v>
      </c>
      <c r="AM194" s="46" t="n">
        <f aca="false">SUMIFS('Additions (monthly)'!$E$2:$E$106,'Additions (monthly)'!$D$2:$D$106,AM$2,'Additions (monthly)'!$B$2:$B$106,"&lt;="&amp;$B194)</f>
        <v>0.3</v>
      </c>
      <c r="AN194" s="46" t="n">
        <f aca="false">SUMIFS('Additions (monthly)'!$E$2:$E$106,'Additions (monthly)'!$D$2:$D$106,AN$2,'Additions (monthly)'!$B$2:$B$106,"&lt;="&amp;$B194)</f>
        <v>4.3</v>
      </c>
      <c r="AO194" s="46" t="n">
        <f aca="false">SUMIFS('Additions (monthly)'!$E$2:$E$106,'Additions (monthly)'!$D$2:$D$106,AO$2,'Additions (monthly)'!$B$2:$B$106,"&lt;="&amp;$B194)</f>
        <v>10.4</v>
      </c>
      <c r="AP194" s="46" t="n">
        <f aca="false">SUMIFS('Additions (monthly)'!$E$2:$E$106,'Additions (monthly)'!$D$2:$D$106,AP$2,'Additions (monthly)'!$B$2:$B$106,"&lt;="&amp;$B194)</f>
        <v>6.9</v>
      </c>
      <c r="AQ194" s="46" t="n">
        <f aca="false">SUMIFS('Additions (monthly)'!$E$2:$E$106,'Additions (monthly)'!$D$2:$D$106,AQ$2,'Additions (monthly)'!$B$2:$B$106,"&lt;="&amp;$B194)</f>
        <v>4.45</v>
      </c>
      <c r="AR194" s="46" t="n">
        <f aca="false">SUMIFS('Additions (monthly)'!$E$2:$E$106,'Additions (monthly)'!$D$2:$D$106,AR$2,'Additions (monthly)'!$B$2:$B$106,"&lt;="&amp;$B194)</f>
        <v>77.1</v>
      </c>
      <c r="AS194" s="46" t="n">
        <f aca="false">SUMIFS('Additions (monthly)'!$E$2:$E$106,'Additions (monthly)'!$D$2:$D$106,AS$2,'Additions (monthly)'!$B$2:$B$106,"&lt;="&amp;$B194)</f>
        <v>6.6</v>
      </c>
      <c r="AT194" s="46" t="n">
        <f aca="false">SUMIFS('Additions (monthly)'!$E$2:$E$106,'Additions (monthly)'!$D$2:$D$106,AT$2,'Additions (monthly)'!$B$2:$B$106,"&lt;="&amp;$B194)</f>
        <v>1.5</v>
      </c>
      <c r="AU194" s="46" t="n">
        <f aca="false">SUMIFS('Additions (monthly)'!$E$2:$E$106,'Additions (monthly)'!$D$2:$D$106,AU$2,'Additions (monthly)'!$B$2:$B$106,"&lt;="&amp;$B194)</f>
        <v>9.6</v>
      </c>
      <c r="AV194" s="46" t="n">
        <f aca="false">SUMIFS('Additions (monthly)'!$E$2:$E$106,'Additions (monthly)'!$D$2:$D$106,AV$2,'Additions (monthly)'!$B$2:$B$106,"&lt;="&amp;$B194)</f>
        <v>0.66</v>
      </c>
      <c r="AW194" s="46" t="n">
        <f aca="false">SUMIFS('Additions (monthly)'!$E$2:$E$106,'Additions (monthly)'!$D$2:$D$106,AW$2,'Additions (monthly)'!$B$2:$B$106,"&lt;="&amp;$B194)</f>
        <v>17.4</v>
      </c>
      <c r="AX194" s="46" t="n">
        <f aca="false">SUMIFS('Additions (monthly)'!$E$2:$E$106,'Additions (monthly)'!$D$2:$D$106,AX$2,'Additions (monthly)'!$B$2:$B$106,"&lt;="&amp;$B194)</f>
        <v>11.8</v>
      </c>
      <c r="AY194" s="46" t="n">
        <f aca="false">SUMIFS('Additions (monthly)'!$E$2:$E$106,'Additions (monthly)'!$D$2:$D$106,AY$2,'Additions (monthly)'!$B$2:$B$106,"&lt;="&amp;$B194)</f>
        <v>5.3</v>
      </c>
      <c r="AZ194" s="46" t="n">
        <f aca="false">SUMIFS('Additions (monthly)'!$E$2:$E$106,'Additions (monthly)'!$D$2:$D$106,AZ$2,'Additions (monthly)'!$B$2:$B$106,"&lt;="&amp;$B194)</f>
        <v>9.97</v>
      </c>
      <c r="BA194" s="46" t="n">
        <f aca="false">SUMIFS('Additions (monthly)'!$E$2:$E$106,'Additions (monthly)'!$D$2:$D$106,BA$2,'Additions (monthly)'!$B$2:$B$106,"&lt;="&amp;$B194)</f>
        <v>13.5</v>
      </c>
      <c r="BB194" s="46" t="n">
        <f aca="false">SUMIFS('Additions (monthly)'!$E$2:$E$106,'Additions (monthly)'!$D$2:$D$106,BB$2,'Additions (monthly)'!$B$2:$B$106,"&lt;="&amp;$B194)</f>
        <v>20.96</v>
      </c>
      <c r="BC194" s="46" t="n">
        <f aca="false">SUMIFS('Additions (monthly)'!$E$2:$E$106,'Additions (monthly)'!$D$2:$D$106,BC$2,'Additions (monthly)'!$B$2:$B$106,"&lt;="&amp;$B194)</f>
        <v>5.25</v>
      </c>
      <c r="BD194" s="46" t="n">
        <f aca="false">SUMIFS('Additions (monthly)'!$E$2:$E$106,'Additions (monthly)'!$D$2:$D$106,BD$2,'Additions (monthly)'!$B$2:$B$106,"&lt;="&amp;$B194)</f>
        <v>2.5</v>
      </c>
      <c r="BE194" s="46" t="n">
        <f aca="false">SUMIFS('Additions (monthly)'!$E$2:$E$106,'Additions (monthly)'!$D$2:$D$106,BE$2,'Additions (monthly)'!$B$2:$B$106,"&lt;="&amp;$B194)</f>
        <v>15.3</v>
      </c>
      <c r="BF194" s="46" t="n">
        <f aca="false">SUMIFS('Additions (monthly)'!$E$2:$E$106,'Additions (monthly)'!$D$2:$D$106,BF$2,'Additions (monthly)'!$B$2:$B$106,"&lt;="&amp;$B194)</f>
        <v>0</v>
      </c>
      <c r="BG194" s="46" t="n">
        <f aca="false">SUMIFS('Additions (monthly)'!$E$2:$E$106,'Additions (monthly)'!$D$2:$D$106,BG$2,'Additions (monthly)'!$B$2:$B$106,"&lt;="&amp;$B194)</f>
        <v>19.44</v>
      </c>
      <c r="BH194" s="46" t="n">
        <f aca="false">SUMIFS('Additions (monthly)'!$E$2:$E$106,'Additions (monthly)'!$D$2:$D$106,BH$2,'Additions (monthly)'!$B$2:$B$106,"&lt;="&amp;$B194)</f>
        <v>30</v>
      </c>
      <c r="BI194" s="46" t="n">
        <f aca="false">SUMIFS('Additions (monthly)'!$E$2:$E$106,'Additions (monthly)'!$D$2:$D$106,BI$2,'Additions (monthly)'!$B$2:$B$106,"&lt;="&amp;$B194)</f>
        <v>6.7</v>
      </c>
    </row>
    <row r="195" customFormat="false" ht="15" hidden="false" customHeight="false" outlineLevel="0" collapsed="false">
      <c r="A195" s="23" t="n">
        <v>46023</v>
      </c>
      <c r="B195" s="24" t="n">
        <v>202601</v>
      </c>
      <c r="C195" s="42" t="n">
        <f aca="false">SUMIFS('Additions (monthly)'!$E$2:$E$106,'Additions (monthly)'!$B$2:$B$106,"&lt;="&amp;$B195)</f>
        <v>531.55</v>
      </c>
      <c r="D195" s="43" t="n">
        <f aca="false">SUMIFS('Additions (monthly)'!$E$2:$E$106,'Additions (monthly)'!$D$2:$D$106,D$2,'Additions (monthly)'!$B$2:$B$106,"&lt;="&amp;$B195)</f>
        <v>7.9</v>
      </c>
      <c r="E195" s="43" t="n">
        <f aca="false">SUMIFS('Additions (monthly)'!$E$2:$E$106,'Additions (monthly)'!$D$2:$D$106,E$2,'Additions (monthly)'!$B$2:$B$106,"&lt;="&amp;$B195)</f>
        <v>8.4</v>
      </c>
      <c r="F195" s="43" t="n">
        <f aca="false">SUMIFS('Additions (monthly)'!$E$2:$E$106,'Additions (monthly)'!$D$2:$D$106,F$2,'Additions (monthly)'!$B$2:$B$106,"&lt;="&amp;$B195)</f>
        <v>4.7</v>
      </c>
      <c r="G195" s="43" t="n">
        <f aca="false">SUMIFS('Additions (monthly)'!$E$2:$E$106,'Additions (monthly)'!$D$2:$D$106,G$2,'Additions (monthly)'!$B$2:$B$106,"&lt;="&amp;$B195)</f>
        <v>4.5</v>
      </c>
      <c r="H195" s="43" t="n">
        <f aca="false">SUMIFS('Additions (monthly)'!$E$2:$E$106,'Additions (monthly)'!$D$2:$D$106,H$2,'Additions (monthly)'!$B$2:$B$106,"&lt;="&amp;$B195)</f>
        <v>5.2</v>
      </c>
      <c r="I195" s="43" t="n">
        <f aca="false">SUMIFS('Additions (monthly)'!$E$2:$E$106,'Additions (monthly)'!$D$2:$D$106,I$2,'Additions (monthly)'!$B$2:$B$106,"&lt;="&amp;$B195)</f>
        <v>9</v>
      </c>
      <c r="J195" s="43" t="n">
        <f aca="false">SUMIFS('Additions (monthly)'!$E$2:$E$106,'Additions (monthly)'!$D$2:$D$106,J$2,'Additions (monthly)'!$B$2:$B$106,"&lt;="&amp;$B195)</f>
        <v>3.7</v>
      </c>
      <c r="K195" s="43" t="n">
        <f aca="false">SUMIFS('Additions (monthly)'!$E$2:$E$106,'Additions (monthly)'!$D$2:$D$106,K$2,'Additions (monthly)'!$B$2:$B$106,"&lt;="&amp;$B195)</f>
        <v>7.8</v>
      </c>
      <c r="L195" s="43" t="n">
        <f aca="false">SUMIFS('Additions (monthly)'!$E$2:$E$106,'Additions (monthly)'!$D$2:$D$106,L$2,'Additions (monthly)'!$B$2:$B$106,"&lt;="&amp;$B195)</f>
        <v>15.6</v>
      </c>
      <c r="M195" s="43" t="n">
        <f aca="false">SUMIFS('Additions (monthly)'!$E$2:$E$106,'Additions (monthly)'!$D$2:$D$106,M$2,'Additions (monthly)'!$B$2:$B$106,"&lt;="&amp;$B195)</f>
        <v>8.9</v>
      </c>
      <c r="N195" s="43" t="n">
        <f aca="false">SUMIFS('Additions (monthly)'!$E$2:$E$106,'Additions (monthly)'!$D$2:$D$106,N$2,'Additions (monthly)'!$B$2:$B$106,"&lt;="&amp;$B195)</f>
        <v>14.2</v>
      </c>
      <c r="O195" s="43" t="n">
        <f aca="false">SUMIFS('Additions (monthly)'!$E$2:$E$106,'Additions (monthly)'!$D$2:$D$106,O$2,'Additions (monthly)'!$B$2:$B$106,"&lt;="&amp;$B195)</f>
        <v>4.9</v>
      </c>
      <c r="P195" s="43" t="n">
        <f aca="false">SUMIFS('Additions (monthly)'!$E$2:$E$106,'Additions (monthly)'!$D$2:$D$106,P$2,'Additions (monthly)'!$B$2:$B$106,"&lt;="&amp;$B195)</f>
        <v>3.6</v>
      </c>
      <c r="Q195" s="43" t="n">
        <f aca="false">SUMIFS('Additions (monthly)'!$E$2:$E$106,'Additions (monthly)'!$D$2:$D$106,Q$2,'Additions (monthly)'!$B$2:$B$106,"&lt;="&amp;$B195)</f>
        <v>8.5</v>
      </c>
      <c r="R195" s="43" t="n">
        <f aca="false">SUMIFS('Additions (monthly)'!$E$2:$E$106,'Additions (monthly)'!$D$2:$D$106,R$2,'Additions (monthly)'!$B$2:$B$106,"&lt;="&amp;$B195)</f>
        <v>8.9</v>
      </c>
      <c r="S195" s="43" t="n">
        <f aca="false">SUMIFS('Additions (monthly)'!$E$2:$E$106,'Additions (monthly)'!$D$2:$D$106,S$2,'Additions (monthly)'!$B$2:$B$106,"&lt;="&amp;$B195)</f>
        <v>7.2</v>
      </c>
      <c r="T195" s="43" t="n">
        <f aca="false">SUMIFS('Additions (monthly)'!$E$2:$E$106,'Additions (monthly)'!$D$2:$D$106,T$2,'Additions (monthly)'!$B$2:$B$106,"&lt;="&amp;$B195)</f>
        <v>2.4</v>
      </c>
      <c r="U195" s="43" t="n">
        <f aca="false">SUMIFS('Additions (monthly)'!$E$2:$E$106,'Additions (monthly)'!$D$2:$D$106,U$2,'Additions (monthly)'!$B$2:$B$106,"&lt;="&amp;$B195)</f>
        <v>14</v>
      </c>
      <c r="V195" s="43" t="n">
        <f aca="false">SUMIFS('Additions (monthly)'!$E$2:$E$106,'Additions (monthly)'!$D$2:$D$106,V$2,'Additions (monthly)'!$B$2:$B$106,"&lt;="&amp;$B195)</f>
        <v>3.87</v>
      </c>
      <c r="W195" s="43" t="n">
        <f aca="false">SUMIFS('Additions (monthly)'!$E$2:$E$106,'Additions (monthly)'!$D$2:$D$106,W$2,'Additions (monthly)'!$B$2:$B$106,"&lt;="&amp;$B195)</f>
        <v>0.6</v>
      </c>
      <c r="X195" s="43" t="n">
        <f aca="false">SUMIFS('Additions (monthly)'!$E$2:$E$106,'Additions (monthly)'!$D$2:$D$106,X$2,'Additions (monthly)'!$B$2:$B$106,"&lt;="&amp;$B195)</f>
        <v>0</v>
      </c>
      <c r="Y195" s="43" t="n">
        <f aca="false">SUMIFS('Additions (monthly)'!$E$2:$E$106,'Additions (monthly)'!$D$2:$D$106,Y$2,'Additions (monthly)'!$B$2:$B$106,"&lt;="&amp;$B195)</f>
        <v>5</v>
      </c>
      <c r="Z195" s="43" t="n">
        <f aca="false">SUMIFS('Additions (monthly)'!$E$2:$E$106,'Additions (monthly)'!$D$2:$D$106,Z$2,'Additions (monthly)'!$B$2:$B$106,"&lt;="&amp;$B195)</f>
        <v>7.2</v>
      </c>
      <c r="AA195" s="43" t="n">
        <f aca="false">SUMIFS('Additions (monthly)'!$E$2:$E$106,'Additions (monthly)'!$D$2:$D$106,AA$2,'Additions (monthly)'!$B$2:$B$106,"&lt;="&amp;$B195)</f>
        <v>3.7</v>
      </c>
      <c r="AB195" s="43" t="n">
        <f aca="false">SUMIFS('Additions (monthly)'!$E$2:$E$106,'Additions (monthly)'!$D$2:$D$106,AB$2,'Additions (monthly)'!$B$2:$B$106,"&lt;="&amp;$B195)</f>
        <v>16.95</v>
      </c>
      <c r="AC195" s="43" t="n">
        <f aca="false">SUMIFS('Additions (monthly)'!$E$2:$E$106,'Additions (monthly)'!$D$2:$D$106,AC$2,'Additions (monthly)'!$B$2:$B$106,"&lt;="&amp;$B195)</f>
        <v>2</v>
      </c>
      <c r="AD195" s="43" t="n">
        <f aca="false">SUMIFS('Additions (monthly)'!$E$2:$E$106,'Additions (monthly)'!$D$2:$D$106,AD$2,'Additions (monthly)'!$B$2:$B$106,"&lt;="&amp;$B195)</f>
        <v>11.4</v>
      </c>
      <c r="AE195" s="43" t="n">
        <f aca="false">SUMIFS('Additions (monthly)'!$E$2:$E$106,'Additions (monthly)'!$D$2:$D$106,AE$2,'Additions (monthly)'!$B$2:$B$106,"&lt;="&amp;$B195)</f>
        <v>29.3</v>
      </c>
      <c r="AF195" s="43" t="n">
        <f aca="false">SUMIFS('Additions (monthly)'!$E$2:$E$106,'Additions (monthly)'!$D$2:$D$106,AF$2,'Additions (monthly)'!$B$2:$B$106,"&lt;="&amp;$B195)</f>
        <v>1.2</v>
      </c>
      <c r="AG195" s="43" t="n">
        <f aca="false">SUMIFS('Additions (monthly)'!$E$2:$E$106,'Additions (monthly)'!$D$2:$D$106,AG$2,'Additions (monthly)'!$B$2:$B$106,"&lt;="&amp;$B195)</f>
        <v>1.5</v>
      </c>
      <c r="AH195" s="43" t="n">
        <f aca="false">SUMIFS('Additions (monthly)'!$E$2:$E$106,'Additions (monthly)'!$D$2:$D$106,AH$2,'Additions (monthly)'!$B$2:$B$106,"&lt;="&amp;$B195)</f>
        <v>2.5</v>
      </c>
      <c r="AI195" s="43" t="n">
        <f aca="false">SUMIFS('Additions (monthly)'!$E$2:$E$106,'Additions (monthly)'!$D$2:$D$106,AI$2,'Additions (monthly)'!$B$2:$B$106,"&lt;="&amp;$B195)</f>
        <v>1.4</v>
      </c>
      <c r="AJ195" s="43" t="n">
        <f aca="false">SUMIFS('Additions (monthly)'!$E$2:$E$106,'Additions (monthly)'!$D$2:$D$106,AJ$2,'Additions (monthly)'!$B$2:$B$106,"&lt;="&amp;$B195)</f>
        <v>0</v>
      </c>
      <c r="AK195" s="43" t="n">
        <f aca="false">SUMIFS('Additions (monthly)'!$E$2:$E$106,'Additions (monthly)'!$D$2:$D$106,AK$2,'Additions (monthly)'!$B$2:$B$106,"&lt;="&amp;$B195)</f>
        <v>3.4</v>
      </c>
      <c r="AL195" s="43" t="n">
        <f aca="false">SUMIFS('Additions (monthly)'!$E$2:$E$106,'Additions (monthly)'!$D$2:$D$106,AL$2,'Additions (monthly)'!$B$2:$B$106,"&lt;="&amp;$B195)</f>
        <v>22.2</v>
      </c>
      <c r="AM195" s="43" t="n">
        <f aca="false">SUMIFS('Additions (monthly)'!$E$2:$E$106,'Additions (monthly)'!$D$2:$D$106,AM$2,'Additions (monthly)'!$B$2:$B$106,"&lt;="&amp;$B195)</f>
        <v>0.3</v>
      </c>
      <c r="AN195" s="43" t="n">
        <f aca="false">SUMIFS('Additions (monthly)'!$E$2:$E$106,'Additions (monthly)'!$D$2:$D$106,AN$2,'Additions (monthly)'!$B$2:$B$106,"&lt;="&amp;$B195)</f>
        <v>4.3</v>
      </c>
      <c r="AO195" s="43" t="n">
        <f aca="false">SUMIFS('Additions (monthly)'!$E$2:$E$106,'Additions (monthly)'!$D$2:$D$106,AO$2,'Additions (monthly)'!$B$2:$B$106,"&lt;="&amp;$B195)</f>
        <v>10.4</v>
      </c>
      <c r="AP195" s="43" t="n">
        <f aca="false">SUMIFS('Additions (monthly)'!$E$2:$E$106,'Additions (monthly)'!$D$2:$D$106,AP$2,'Additions (monthly)'!$B$2:$B$106,"&lt;="&amp;$B195)</f>
        <v>6.9</v>
      </c>
      <c r="AQ195" s="43" t="n">
        <f aca="false">SUMIFS('Additions (monthly)'!$E$2:$E$106,'Additions (monthly)'!$D$2:$D$106,AQ$2,'Additions (monthly)'!$B$2:$B$106,"&lt;="&amp;$B195)</f>
        <v>4.45</v>
      </c>
      <c r="AR195" s="43" t="n">
        <f aca="false">SUMIFS('Additions (monthly)'!$E$2:$E$106,'Additions (monthly)'!$D$2:$D$106,AR$2,'Additions (monthly)'!$B$2:$B$106,"&lt;="&amp;$B195)</f>
        <v>77.1</v>
      </c>
      <c r="AS195" s="43" t="n">
        <f aca="false">SUMIFS('Additions (monthly)'!$E$2:$E$106,'Additions (monthly)'!$D$2:$D$106,AS$2,'Additions (monthly)'!$B$2:$B$106,"&lt;="&amp;$B195)</f>
        <v>6.6</v>
      </c>
      <c r="AT195" s="43" t="n">
        <f aca="false">SUMIFS('Additions (monthly)'!$E$2:$E$106,'Additions (monthly)'!$D$2:$D$106,AT$2,'Additions (monthly)'!$B$2:$B$106,"&lt;="&amp;$B195)</f>
        <v>1.5</v>
      </c>
      <c r="AU195" s="43" t="n">
        <f aca="false">SUMIFS('Additions (monthly)'!$E$2:$E$106,'Additions (monthly)'!$D$2:$D$106,AU$2,'Additions (monthly)'!$B$2:$B$106,"&lt;="&amp;$B195)</f>
        <v>9.6</v>
      </c>
      <c r="AV195" s="43" t="n">
        <f aca="false">SUMIFS('Additions (monthly)'!$E$2:$E$106,'Additions (monthly)'!$D$2:$D$106,AV$2,'Additions (monthly)'!$B$2:$B$106,"&lt;="&amp;$B195)</f>
        <v>0.66</v>
      </c>
      <c r="AW195" s="43" t="n">
        <f aca="false">SUMIFS('Additions (monthly)'!$E$2:$E$106,'Additions (monthly)'!$D$2:$D$106,AW$2,'Additions (monthly)'!$B$2:$B$106,"&lt;="&amp;$B195)</f>
        <v>17.4</v>
      </c>
      <c r="AX195" s="43" t="n">
        <f aca="false">SUMIFS('Additions (monthly)'!$E$2:$E$106,'Additions (monthly)'!$D$2:$D$106,AX$2,'Additions (monthly)'!$B$2:$B$106,"&lt;="&amp;$B195)</f>
        <v>11.8</v>
      </c>
      <c r="AY195" s="43" t="n">
        <f aca="false">SUMIFS('Additions (monthly)'!$E$2:$E$106,'Additions (monthly)'!$D$2:$D$106,AY$2,'Additions (monthly)'!$B$2:$B$106,"&lt;="&amp;$B195)</f>
        <v>5.3</v>
      </c>
      <c r="AZ195" s="43" t="n">
        <f aca="false">SUMIFS('Additions (monthly)'!$E$2:$E$106,'Additions (monthly)'!$D$2:$D$106,AZ$2,'Additions (monthly)'!$B$2:$B$106,"&lt;="&amp;$B195)</f>
        <v>9.97</v>
      </c>
      <c r="BA195" s="43" t="n">
        <f aca="false">SUMIFS('Additions (monthly)'!$E$2:$E$106,'Additions (monthly)'!$D$2:$D$106,BA$2,'Additions (monthly)'!$B$2:$B$106,"&lt;="&amp;$B195)</f>
        <v>13.5</v>
      </c>
      <c r="BB195" s="43" t="n">
        <f aca="false">SUMIFS('Additions (monthly)'!$E$2:$E$106,'Additions (monthly)'!$D$2:$D$106,BB$2,'Additions (monthly)'!$B$2:$B$106,"&lt;="&amp;$B195)</f>
        <v>20.96</v>
      </c>
      <c r="BC195" s="43" t="n">
        <f aca="false">SUMIFS('Additions (monthly)'!$E$2:$E$106,'Additions (monthly)'!$D$2:$D$106,BC$2,'Additions (monthly)'!$B$2:$B$106,"&lt;="&amp;$B195)</f>
        <v>5.25</v>
      </c>
      <c r="BD195" s="43" t="n">
        <f aca="false">SUMIFS('Additions (monthly)'!$E$2:$E$106,'Additions (monthly)'!$D$2:$D$106,BD$2,'Additions (monthly)'!$B$2:$B$106,"&lt;="&amp;$B195)</f>
        <v>2.5</v>
      </c>
      <c r="BE195" s="43" t="n">
        <f aca="false">SUMIFS('Additions (monthly)'!$E$2:$E$106,'Additions (monthly)'!$D$2:$D$106,BE$2,'Additions (monthly)'!$B$2:$B$106,"&lt;="&amp;$B195)</f>
        <v>15.3</v>
      </c>
      <c r="BF195" s="43" t="n">
        <f aca="false">SUMIFS('Additions (monthly)'!$E$2:$E$106,'Additions (monthly)'!$D$2:$D$106,BF$2,'Additions (monthly)'!$B$2:$B$106,"&lt;="&amp;$B195)</f>
        <v>0</v>
      </c>
      <c r="BG195" s="43" t="n">
        <f aca="false">SUMIFS('Additions (monthly)'!$E$2:$E$106,'Additions (monthly)'!$D$2:$D$106,BG$2,'Additions (monthly)'!$B$2:$B$106,"&lt;="&amp;$B195)</f>
        <v>19.44</v>
      </c>
      <c r="BH195" s="43" t="n">
        <f aca="false">SUMIFS('Additions (monthly)'!$E$2:$E$106,'Additions (monthly)'!$D$2:$D$106,BH$2,'Additions (monthly)'!$B$2:$B$106,"&lt;="&amp;$B195)</f>
        <v>30</v>
      </c>
      <c r="BI195" s="43" t="n">
        <f aca="false">SUMIFS('Additions (monthly)'!$E$2:$E$106,'Additions (monthly)'!$D$2:$D$106,BI$2,'Additions (monthly)'!$B$2:$B$106,"&lt;="&amp;$B195)</f>
        <v>6.7</v>
      </c>
    </row>
    <row r="196" customFormat="false" ht="15" hidden="false" customHeight="false" outlineLevel="0" collapsed="false">
      <c r="A196" s="23" t="n">
        <v>46054</v>
      </c>
      <c r="B196" s="24" t="n">
        <v>202602</v>
      </c>
      <c r="C196" s="42" t="n">
        <f aca="false">SUMIFS('Additions (monthly)'!$E$2:$E$106,'Additions (monthly)'!$B$2:$B$106,"&lt;="&amp;$B196)</f>
        <v>533.95</v>
      </c>
      <c r="D196" s="43" t="n">
        <f aca="false">SUMIFS('Additions (monthly)'!$E$2:$E$106,'Additions (monthly)'!$D$2:$D$106,D$2,'Additions (monthly)'!$B$2:$B$106,"&lt;="&amp;$B196)</f>
        <v>7.9</v>
      </c>
      <c r="E196" s="43" t="n">
        <f aca="false">SUMIFS('Additions (monthly)'!$E$2:$E$106,'Additions (monthly)'!$D$2:$D$106,E$2,'Additions (monthly)'!$B$2:$B$106,"&lt;="&amp;$B196)</f>
        <v>8.4</v>
      </c>
      <c r="F196" s="43" t="n">
        <f aca="false">SUMIFS('Additions (monthly)'!$E$2:$E$106,'Additions (monthly)'!$D$2:$D$106,F$2,'Additions (monthly)'!$B$2:$B$106,"&lt;="&amp;$B196)</f>
        <v>4.7</v>
      </c>
      <c r="G196" s="43" t="n">
        <f aca="false">SUMIFS('Additions (monthly)'!$E$2:$E$106,'Additions (monthly)'!$D$2:$D$106,G$2,'Additions (monthly)'!$B$2:$B$106,"&lt;="&amp;$B196)</f>
        <v>4.5</v>
      </c>
      <c r="H196" s="43" t="n">
        <f aca="false">SUMIFS('Additions (monthly)'!$E$2:$E$106,'Additions (monthly)'!$D$2:$D$106,H$2,'Additions (monthly)'!$B$2:$B$106,"&lt;="&amp;$B196)</f>
        <v>5.2</v>
      </c>
      <c r="I196" s="43" t="n">
        <f aca="false">SUMIFS('Additions (monthly)'!$E$2:$E$106,'Additions (monthly)'!$D$2:$D$106,I$2,'Additions (monthly)'!$B$2:$B$106,"&lt;="&amp;$B196)</f>
        <v>9</v>
      </c>
      <c r="J196" s="43" t="n">
        <f aca="false">SUMIFS('Additions (monthly)'!$E$2:$E$106,'Additions (monthly)'!$D$2:$D$106,J$2,'Additions (monthly)'!$B$2:$B$106,"&lt;="&amp;$B196)</f>
        <v>3.7</v>
      </c>
      <c r="K196" s="43" t="n">
        <f aca="false">SUMIFS('Additions (monthly)'!$E$2:$E$106,'Additions (monthly)'!$D$2:$D$106,K$2,'Additions (monthly)'!$B$2:$B$106,"&lt;="&amp;$B196)</f>
        <v>7.8</v>
      </c>
      <c r="L196" s="43" t="n">
        <f aca="false">SUMIFS('Additions (monthly)'!$E$2:$E$106,'Additions (monthly)'!$D$2:$D$106,L$2,'Additions (monthly)'!$B$2:$B$106,"&lt;="&amp;$B196)</f>
        <v>15.6</v>
      </c>
      <c r="M196" s="43" t="n">
        <f aca="false">SUMIFS('Additions (monthly)'!$E$2:$E$106,'Additions (monthly)'!$D$2:$D$106,M$2,'Additions (monthly)'!$B$2:$B$106,"&lt;="&amp;$B196)</f>
        <v>8.9</v>
      </c>
      <c r="N196" s="43" t="n">
        <f aca="false">SUMIFS('Additions (monthly)'!$E$2:$E$106,'Additions (monthly)'!$D$2:$D$106,N$2,'Additions (monthly)'!$B$2:$B$106,"&lt;="&amp;$B196)</f>
        <v>14.2</v>
      </c>
      <c r="O196" s="43" t="n">
        <f aca="false">SUMIFS('Additions (monthly)'!$E$2:$E$106,'Additions (monthly)'!$D$2:$D$106,O$2,'Additions (monthly)'!$B$2:$B$106,"&lt;="&amp;$B196)</f>
        <v>4.9</v>
      </c>
      <c r="P196" s="43" t="n">
        <f aca="false">SUMIFS('Additions (monthly)'!$E$2:$E$106,'Additions (monthly)'!$D$2:$D$106,P$2,'Additions (monthly)'!$B$2:$B$106,"&lt;="&amp;$B196)</f>
        <v>3.6</v>
      </c>
      <c r="Q196" s="43" t="n">
        <f aca="false">SUMIFS('Additions (monthly)'!$E$2:$E$106,'Additions (monthly)'!$D$2:$D$106,Q$2,'Additions (monthly)'!$B$2:$B$106,"&lt;="&amp;$B196)</f>
        <v>8.5</v>
      </c>
      <c r="R196" s="43" t="n">
        <f aca="false">SUMIFS('Additions (monthly)'!$E$2:$E$106,'Additions (monthly)'!$D$2:$D$106,R$2,'Additions (monthly)'!$B$2:$B$106,"&lt;="&amp;$B196)</f>
        <v>8.9</v>
      </c>
      <c r="S196" s="43" t="n">
        <f aca="false">SUMIFS('Additions (monthly)'!$E$2:$E$106,'Additions (monthly)'!$D$2:$D$106,S$2,'Additions (monthly)'!$B$2:$B$106,"&lt;="&amp;$B196)</f>
        <v>7.2</v>
      </c>
      <c r="T196" s="43" t="n">
        <f aca="false">SUMIFS('Additions (monthly)'!$E$2:$E$106,'Additions (monthly)'!$D$2:$D$106,T$2,'Additions (monthly)'!$B$2:$B$106,"&lt;="&amp;$B196)</f>
        <v>2.4</v>
      </c>
      <c r="U196" s="43" t="n">
        <f aca="false">SUMIFS('Additions (monthly)'!$E$2:$E$106,'Additions (monthly)'!$D$2:$D$106,U$2,'Additions (monthly)'!$B$2:$B$106,"&lt;="&amp;$B196)</f>
        <v>14</v>
      </c>
      <c r="V196" s="43" t="n">
        <f aca="false">SUMIFS('Additions (monthly)'!$E$2:$E$106,'Additions (monthly)'!$D$2:$D$106,V$2,'Additions (monthly)'!$B$2:$B$106,"&lt;="&amp;$B196)</f>
        <v>3.87</v>
      </c>
      <c r="W196" s="43" t="n">
        <f aca="false">SUMIFS('Additions (monthly)'!$E$2:$E$106,'Additions (monthly)'!$D$2:$D$106,W$2,'Additions (monthly)'!$B$2:$B$106,"&lt;="&amp;$B196)</f>
        <v>0.6</v>
      </c>
      <c r="X196" s="43" t="n">
        <f aca="false">SUMIFS('Additions (monthly)'!$E$2:$E$106,'Additions (monthly)'!$D$2:$D$106,X$2,'Additions (monthly)'!$B$2:$B$106,"&lt;="&amp;$B196)</f>
        <v>2.4</v>
      </c>
      <c r="Y196" s="43" t="n">
        <f aca="false">SUMIFS('Additions (monthly)'!$E$2:$E$106,'Additions (monthly)'!$D$2:$D$106,Y$2,'Additions (monthly)'!$B$2:$B$106,"&lt;="&amp;$B196)</f>
        <v>5</v>
      </c>
      <c r="Z196" s="43" t="n">
        <f aca="false">SUMIFS('Additions (monthly)'!$E$2:$E$106,'Additions (monthly)'!$D$2:$D$106,Z$2,'Additions (monthly)'!$B$2:$B$106,"&lt;="&amp;$B196)</f>
        <v>7.2</v>
      </c>
      <c r="AA196" s="43" t="n">
        <f aca="false">SUMIFS('Additions (monthly)'!$E$2:$E$106,'Additions (monthly)'!$D$2:$D$106,AA$2,'Additions (monthly)'!$B$2:$B$106,"&lt;="&amp;$B196)</f>
        <v>3.7</v>
      </c>
      <c r="AB196" s="43" t="n">
        <f aca="false">SUMIFS('Additions (monthly)'!$E$2:$E$106,'Additions (monthly)'!$D$2:$D$106,AB$2,'Additions (monthly)'!$B$2:$B$106,"&lt;="&amp;$B196)</f>
        <v>16.95</v>
      </c>
      <c r="AC196" s="43" t="n">
        <f aca="false">SUMIFS('Additions (monthly)'!$E$2:$E$106,'Additions (monthly)'!$D$2:$D$106,AC$2,'Additions (monthly)'!$B$2:$B$106,"&lt;="&amp;$B196)</f>
        <v>2</v>
      </c>
      <c r="AD196" s="43" t="n">
        <f aca="false">SUMIFS('Additions (monthly)'!$E$2:$E$106,'Additions (monthly)'!$D$2:$D$106,AD$2,'Additions (monthly)'!$B$2:$B$106,"&lt;="&amp;$B196)</f>
        <v>11.4</v>
      </c>
      <c r="AE196" s="43" t="n">
        <f aca="false">SUMIFS('Additions (monthly)'!$E$2:$E$106,'Additions (monthly)'!$D$2:$D$106,AE$2,'Additions (monthly)'!$B$2:$B$106,"&lt;="&amp;$B196)</f>
        <v>29.3</v>
      </c>
      <c r="AF196" s="43" t="n">
        <f aca="false">SUMIFS('Additions (monthly)'!$E$2:$E$106,'Additions (monthly)'!$D$2:$D$106,AF$2,'Additions (monthly)'!$B$2:$B$106,"&lt;="&amp;$B196)</f>
        <v>1.2</v>
      </c>
      <c r="AG196" s="43" t="n">
        <f aca="false">SUMIFS('Additions (monthly)'!$E$2:$E$106,'Additions (monthly)'!$D$2:$D$106,AG$2,'Additions (monthly)'!$B$2:$B$106,"&lt;="&amp;$B196)</f>
        <v>1.5</v>
      </c>
      <c r="AH196" s="43" t="n">
        <f aca="false">SUMIFS('Additions (monthly)'!$E$2:$E$106,'Additions (monthly)'!$D$2:$D$106,AH$2,'Additions (monthly)'!$B$2:$B$106,"&lt;="&amp;$B196)</f>
        <v>2.5</v>
      </c>
      <c r="AI196" s="43" t="n">
        <f aca="false">SUMIFS('Additions (monthly)'!$E$2:$E$106,'Additions (monthly)'!$D$2:$D$106,AI$2,'Additions (monthly)'!$B$2:$B$106,"&lt;="&amp;$B196)</f>
        <v>1.4</v>
      </c>
      <c r="AJ196" s="43" t="n">
        <f aca="false">SUMIFS('Additions (monthly)'!$E$2:$E$106,'Additions (monthly)'!$D$2:$D$106,AJ$2,'Additions (monthly)'!$B$2:$B$106,"&lt;="&amp;$B196)</f>
        <v>0</v>
      </c>
      <c r="AK196" s="43" t="n">
        <f aca="false">SUMIFS('Additions (monthly)'!$E$2:$E$106,'Additions (monthly)'!$D$2:$D$106,AK$2,'Additions (monthly)'!$B$2:$B$106,"&lt;="&amp;$B196)</f>
        <v>3.4</v>
      </c>
      <c r="AL196" s="43" t="n">
        <f aca="false">SUMIFS('Additions (monthly)'!$E$2:$E$106,'Additions (monthly)'!$D$2:$D$106,AL$2,'Additions (monthly)'!$B$2:$B$106,"&lt;="&amp;$B196)</f>
        <v>22.2</v>
      </c>
      <c r="AM196" s="43" t="n">
        <f aca="false">SUMIFS('Additions (monthly)'!$E$2:$E$106,'Additions (monthly)'!$D$2:$D$106,AM$2,'Additions (monthly)'!$B$2:$B$106,"&lt;="&amp;$B196)</f>
        <v>0.3</v>
      </c>
      <c r="AN196" s="43" t="n">
        <f aca="false">SUMIFS('Additions (monthly)'!$E$2:$E$106,'Additions (monthly)'!$D$2:$D$106,AN$2,'Additions (monthly)'!$B$2:$B$106,"&lt;="&amp;$B196)</f>
        <v>4.3</v>
      </c>
      <c r="AO196" s="43" t="n">
        <f aca="false">SUMIFS('Additions (monthly)'!$E$2:$E$106,'Additions (monthly)'!$D$2:$D$106,AO$2,'Additions (monthly)'!$B$2:$B$106,"&lt;="&amp;$B196)</f>
        <v>10.4</v>
      </c>
      <c r="AP196" s="43" t="n">
        <f aca="false">SUMIFS('Additions (monthly)'!$E$2:$E$106,'Additions (monthly)'!$D$2:$D$106,AP$2,'Additions (monthly)'!$B$2:$B$106,"&lt;="&amp;$B196)</f>
        <v>6.9</v>
      </c>
      <c r="AQ196" s="43" t="n">
        <f aca="false">SUMIFS('Additions (monthly)'!$E$2:$E$106,'Additions (monthly)'!$D$2:$D$106,AQ$2,'Additions (monthly)'!$B$2:$B$106,"&lt;="&amp;$B196)</f>
        <v>4.45</v>
      </c>
      <c r="AR196" s="43" t="n">
        <f aca="false">SUMIFS('Additions (monthly)'!$E$2:$E$106,'Additions (monthly)'!$D$2:$D$106,AR$2,'Additions (monthly)'!$B$2:$B$106,"&lt;="&amp;$B196)</f>
        <v>77.1</v>
      </c>
      <c r="AS196" s="43" t="n">
        <f aca="false">SUMIFS('Additions (monthly)'!$E$2:$E$106,'Additions (monthly)'!$D$2:$D$106,AS$2,'Additions (monthly)'!$B$2:$B$106,"&lt;="&amp;$B196)</f>
        <v>6.6</v>
      </c>
      <c r="AT196" s="43" t="n">
        <f aca="false">SUMIFS('Additions (monthly)'!$E$2:$E$106,'Additions (monthly)'!$D$2:$D$106,AT$2,'Additions (monthly)'!$B$2:$B$106,"&lt;="&amp;$B196)</f>
        <v>1.5</v>
      </c>
      <c r="AU196" s="43" t="n">
        <f aca="false">SUMIFS('Additions (monthly)'!$E$2:$E$106,'Additions (monthly)'!$D$2:$D$106,AU$2,'Additions (monthly)'!$B$2:$B$106,"&lt;="&amp;$B196)</f>
        <v>9.6</v>
      </c>
      <c r="AV196" s="43" t="n">
        <f aca="false">SUMIFS('Additions (monthly)'!$E$2:$E$106,'Additions (monthly)'!$D$2:$D$106,AV$2,'Additions (monthly)'!$B$2:$B$106,"&lt;="&amp;$B196)</f>
        <v>0.66</v>
      </c>
      <c r="AW196" s="43" t="n">
        <f aca="false">SUMIFS('Additions (monthly)'!$E$2:$E$106,'Additions (monthly)'!$D$2:$D$106,AW$2,'Additions (monthly)'!$B$2:$B$106,"&lt;="&amp;$B196)</f>
        <v>17.4</v>
      </c>
      <c r="AX196" s="43" t="n">
        <f aca="false">SUMIFS('Additions (monthly)'!$E$2:$E$106,'Additions (monthly)'!$D$2:$D$106,AX$2,'Additions (monthly)'!$B$2:$B$106,"&lt;="&amp;$B196)</f>
        <v>11.8</v>
      </c>
      <c r="AY196" s="43" t="n">
        <f aca="false">SUMIFS('Additions (monthly)'!$E$2:$E$106,'Additions (monthly)'!$D$2:$D$106,AY$2,'Additions (monthly)'!$B$2:$B$106,"&lt;="&amp;$B196)</f>
        <v>5.3</v>
      </c>
      <c r="AZ196" s="43" t="n">
        <f aca="false">SUMIFS('Additions (monthly)'!$E$2:$E$106,'Additions (monthly)'!$D$2:$D$106,AZ$2,'Additions (monthly)'!$B$2:$B$106,"&lt;="&amp;$B196)</f>
        <v>9.97</v>
      </c>
      <c r="BA196" s="43" t="n">
        <f aca="false">SUMIFS('Additions (monthly)'!$E$2:$E$106,'Additions (monthly)'!$D$2:$D$106,BA$2,'Additions (monthly)'!$B$2:$B$106,"&lt;="&amp;$B196)</f>
        <v>13.5</v>
      </c>
      <c r="BB196" s="43" t="n">
        <f aca="false">SUMIFS('Additions (monthly)'!$E$2:$E$106,'Additions (monthly)'!$D$2:$D$106,BB$2,'Additions (monthly)'!$B$2:$B$106,"&lt;="&amp;$B196)</f>
        <v>20.96</v>
      </c>
      <c r="BC196" s="43" t="n">
        <f aca="false">SUMIFS('Additions (monthly)'!$E$2:$E$106,'Additions (monthly)'!$D$2:$D$106,BC$2,'Additions (monthly)'!$B$2:$B$106,"&lt;="&amp;$B196)</f>
        <v>5.25</v>
      </c>
      <c r="BD196" s="43" t="n">
        <f aca="false">SUMIFS('Additions (monthly)'!$E$2:$E$106,'Additions (monthly)'!$D$2:$D$106,BD$2,'Additions (monthly)'!$B$2:$B$106,"&lt;="&amp;$B196)</f>
        <v>2.5</v>
      </c>
      <c r="BE196" s="43" t="n">
        <f aca="false">SUMIFS('Additions (monthly)'!$E$2:$E$106,'Additions (monthly)'!$D$2:$D$106,BE$2,'Additions (monthly)'!$B$2:$B$106,"&lt;="&amp;$B196)</f>
        <v>15.3</v>
      </c>
      <c r="BF196" s="43" t="n">
        <f aca="false">SUMIFS('Additions (monthly)'!$E$2:$E$106,'Additions (monthly)'!$D$2:$D$106,BF$2,'Additions (monthly)'!$B$2:$B$106,"&lt;="&amp;$B196)</f>
        <v>0</v>
      </c>
      <c r="BG196" s="43" t="n">
        <f aca="false">SUMIFS('Additions (monthly)'!$E$2:$E$106,'Additions (monthly)'!$D$2:$D$106,BG$2,'Additions (monthly)'!$B$2:$B$106,"&lt;="&amp;$B196)</f>
        <v>19.44</v>
      </c>
      <c r="BH196" s="43" t="n">
        <f aca="false">SUMIFS('Additions (monthly)'!$E$2:$E$106,'Additions (monthly)'!$D$2:$D$106,BH$2,'Additions (monthly)'!$B$2:$B$106,"&lt;="&amp;$B196)</f>
        <v>30</v>
      </c>
      <c r="BI196" s="43" t="n">
        <f aca="false">SUMIFS('Additions (monthly)'!$E$2:$E$106,'Additions (monthly)'!$D$2:$D$106,BI$2,'Additions (monthly)'!$B$2:$B$106,"&lt;="&amp;$B196)</f>
        <v>6.7</v>
      </c>
    </row>
    <row r="197" customFormat="false" ht="15" hidden="false" customHeight="false" outlineLevel="0" collapsed="false">
      <c r="A197" s="23" t="n">
        <v>46082</v>
      </c>
      <c r="B197" s="24" t="n">
        <v>202603</v>
      </c>
      <c r="C197" s="42" t="n">
        <f aca="false">SUMIFS('Additions (monthly)'!$E$2:$E$106,'Additions (monthly)'!$B$2:$B$106,"&lt;="&amp;$B197)</f>
        <v>540.64</v>
      </c>
      <c r="D197" s="43" t="n">
        <f aca="false">SUMIFS('Additions (monthly)'!$E$2:$E$106,'Additions (monthly)'!$D$2:$D$106,D$2,'Additions (monthly)'!$B$2:$B$106,"&lt;="&amp;$B197)</f>
        <v>7.9</v>
      </c>
      <c r="E197" s="43" t="n">
        <f aca="false">SUMIFS('Additions (monthly)'!$E$2:$E$106,'Additions (monthly)'!$D$2:$D$106,E$2,'Additions (monthly)'!$B$2:$B$106,"&lt;="&amp;$B197)</f>
        <v>8.4</v>
      </c>
      <c r="F197" s="43" t="n">
        <f aca="false">SUMIFS('Additions (monthly)'!$E$2:$E$106,'Additions (monthly)'!$D$2:$D$106,F$2,'Additions (monthly)'!$B$2:$B$106,"&lt;="&amp;$B197)</f>
        <v>4.7</v>
      </c>
      <c r="G197" s="43" t="n">
        <f aca="false">SUMIFS('Additions (monthly)'!$E$2:$E$106,'Additions (monthly)'!$D$2:$D$106,G$2,'Additions (monthly)'!$B$2:$B$106,"&lt;="&amp;$B197)</f>
        <v>4.5</v>
      </c>
      <c r="H197" s="43" t="n">
        <f aca="false">SUMIFS('Additions (monthly)'!$E$2:$E$106,'Additions (monthly)'!$D$2:$D$106,H$2,'Additions (monthly)'!$B$2:$B$106,"&lt;="&amp;$B197)</f>
        <v>5.2</v>
      </c>
      <c r="I197" s="43" t="n">
        <f aca="false">SUMIFS('Additions (monthly)'!$E$2:$E$106,'Additions (monthly)'!$D$2:$D$106,I$2,'Additions (monthly)'!$B$2:$B$106,"&lt;="&amp;$B197)</f>
        <v>9</v>
      </c>
      <c r="J197" s="43" t="n">
        <f aca="false">SUMIFS('Additions (monthly)'!$E$2:$E$106,'Additions (monthly)'!$D$2:$D$106,J$2,'Additions (monthly)'!$B$2:$B$106,"&lt;="&amp;$B197)</f>
        <v>3.7</v>
      </c>
      <c r="K197" s="43" t="n">
        <f aca="false">SUMIFS('Additions (monthly)'!$E$2:$E$106,'Additions (monthly)'!$D$2:$D$106,K$2,'Additions (monthly)'!$B$2:$B$106,"&lt;="&amp;$B197)</f>
        <v>7.8</v>
      </c>
      <c r="L197" s="43" t="n">
        <f aca="false">SUMIFS('Additions (monthly)'!$E$2:$E$106,'Additions (monthly)'!$D$2:$D$106,L$2,'Additions (monthly)'!$B$2:$B$106,"&lt;="&amp;$B197)</f>
        <v>15.6</v>
      </c>
      <c r="M197" s="43" t="n">
        <f aca="false">SUMIFS('Additions (monthly)'!$E$2:$E$106,'Additions (monthly)'!$D$2:$D$106,M$2,'Additions (monthly)'!$B$2:$B$106,"&lt;="&amp;$B197)</f>
        <v>8.9</v>
      </c>
      <c r="N197" s="43" t="n">
        <f aca="false">SUMIFS('Additions (monthly)'!$E$2:$E$106,'Additions (monthly)'!$D$2:$D$106,N$2,'Additions (monthly)'!$B$2:$B$106,"&lt;="&amp;$B197)</f>
        <v>14.2</v>
      </c>
      <c r="O197" s="43" t="n">
        <f aca="false">SUMIFS('Additions (monthly)'!$E$2:$E$106,'Additions (monthly)'!$D$2:$D$106,O$2,'Additions (monthly)'!$B$2:$B$106,"&lt;="&amp;$B197)</f>
        <v>4.9</v>
      </c>
      <c r="P197" s="43" t="n">
        <f aca="false">SUMIFS('Additions (monthly)'!$E$2:$E$106,'Additions (monthly)'!$D$2:$D$106,P$2,'Additions (monthly)'!$B$2:$B$106,"&lt;="&amp;$B197)</f>
        <v>3.6</v>
      </c>
      <c r="Q197" s="43" t="n">
        <f aca="false">SUMIFS('Additions (monthly)'!$E$2:$E$106,'Additions (monthly)'!$D$2:$D$106,Q$2,'Additions (monthly)'!$B$2:$B$106,"&lt;="&amp;$B197)</f>
        <v>8.5</v>
      </c>
      <c r="R197" s="43" t="n">
        <f aca="false">SUMIFS('Additions (monthly)'!$E$2:$E$106,'Additions (monthly)'!$D$2:$D$106,R$2,'Additions (monthly)'!$B$2:$B$106,"&lt;="&amp;$B197)</f>
        <v>8.9</v>
      </c>
      <c r="S197" s="43" t="n">
        <f aca="false">SUMIFS('Additions (monthly)'!$E$2:$E$106,'Additions (monthly)'!$D$2:$D$106,S$2,'Additions (monthly)'!$B$2:$B$106,"&lt;="&amp;$B197)</f>
        <v>7.2</v>
      </c>
      <c r="T197" s="43" t="n">
        <f aca="false">SUMIFS('Additions (monthly)'!$E$2:$E$106,'Additions (monthly)'!$D$2:$D$106,T$2,'Additions (monthly)'!$B$2:$B$106,"&lt;="&amp;$B197)</f>
        <v>2.4</v>
      </c>
      <c r="U197" s="43" t="n">
        <f aca="false">SUMIFS('Additions (monthly)'!$E$2:$E$106,'Additions (monthly)'!$D$2:$D$106,U$2,'Additions (monthly)'!$B$2:$B$106,"&lt;="&amp;$B197)</f>
        <v>14</v>
      </c>
      <c r="V197" s="43" t="n">
        <f aca="false">SUMIFS('Additions (monthly)'!$E$2:$E$106,'Additions (monthly)'!$D$2:$D$106,V$2,'Additions (monthly)'!$B$2:$B$106,"&lt;="&amp;$B197)</f>
        <v>3.87</v>
      </c>
      <c r="W197" s="43" t="n">
        <f aca="false">SUMIFS('Additions (monthly)'!$E$2:$E$106,'Additions (monthly)'!$D$2:$D$106,W$2,'Additions (monthly)'!$B$2:$B$106,"&lt;="&amp;$B197)</f>
        <v>0.6</v>
      </c>
      <c r="X197" s="43" t="n">
        <f aca="false">SUMIFS('Additions (monthly)'!$E$2:$E$106,'Additions (monthly)'!$D$2:$D$106,X$2,'Additions (monthly)'!$B$2:$B$106,"&lt;="&amp;$B197)</f>
        <v>2.4</v>
      </c>
      <c r="Y197" s="43" t="n">
        <f aca="false">SUMIFS('Additions (monthly)'!$E$2:$E$106,'Additions (monthly)'!$D$2:$D$106,Y$2,'Additions (monthly)'!$B$2:$B$106,"&lt;="&amp;$B197)</f>
        <v>5</v>
      </c>
      <c r="Z197" s="43" t="n">
        <f aca="false">SUMIFS('Additions (monthly)'!$E$2:$E$106,'Additions (monthly)'!$D$2:$D$106,Z$2,'Additions (monthly)'!$B$2:$B$106,"&lt;="&amp;$B197)</f>
        <v>7.2</v>
      </c>
      <c r="AA197" s="43" t="n">
        <f aca="false">SUMIFS('Additions (monthly)'!$E$2:$E$106,'Additions (monthly)'!$D$2:$D$106,AA$2,'Additions (monthly)'!$B$2:$B$106,"&lt;="&amp;$B197)</f>
        <v>3.7</v>
      </c>
      <c r="AB197" s="43" t="n">
        <f aca="false">SUMIFS('Additions (monthly)'!$E$2:$E$106,'Additions (monthly)'!$D$2:$D$106,AB$2,'Additions (monthly)'!$B$2:$B$106,"&lt;="&amp;$B197)</f>
        <v>16.95</v>
      </c>
      <c r="AC197" s="43" t="n">
        <f aca="false">SUMIFS('Additions (monthly)'!$E$2:$E$106,'Additions (monthly)'!$D$2:$D$106,AC$2,'Additions (monthly)'!$B$2:$B$106,"&lt;="&amp;$B197)</f>
        <v>2</v>
      </c>
      <c r="AD197" s="43" t="n">
        <f aca="false">SUMIFS('Additions (monthly)'!$E$2:$E$106,'Additions (monthly)'!$D$2:$D$106,AD$2,'Additions (monthly)'!$B$2:$B$106,"&lt;="&amp;$B197)</f>
        <v>11.4</v>
      </c>
      <c r="AE197" s="43" t="n">
        <f aca="false">SUMIFS('Additions (monthly)'!$E$2:$E$106,'Additions (monthly)'!$D$2:$D$106,AE$2,'Additions (monthly)'!$B$2:$B$106,"&lt;="&amp;$B197)</f>
        <v>29.3</v>
      </c>
      <c r="AF197" s="43" t="n">
        <f aca="false">SUMIFS('Additions (monthly)'!$E$2:$E$106,'Additions (monthly)'!$D$2:$D$106,AF$2,'Additions (monthly)'!$B$2:$B$106,"&lt;="&amp;$B197)</f>
        <v>1.2</v>
      </c>
      <c r="AG197" s="43" t="n">
        <f aca="false">SUMIFS('Additions (monthly)'!$E$2:$E$106,'Additions (monthly)'!$D$2:$D$106,AG$2,'Additions (monthly)'!$B$2:$B$106,"&lt;="&amp;$B197)</f>
        <v>1.5</v>
      </c>
      <c r="AH197" s="43" t="n">
        <f aca="false">SUMIFS('Additions (monthly)'!$E$2:$E$106,'Additions (monthly)'!$D$2:$D$106,AH$2,'Additions (monthly)'!$B$2:$B$106,"&lt;="&amp;$B197)</f>
        <v>2.5</v>
      </c>
      <c r="AI197" s="43" t="n">
        <f aca="false">SUMIFS('Additions (monthly)'!$E$2:$E$106,'Additions (monthly)'!$D$2:$D$106,AI$2,'Additions (monthly)'!$B$2:$B$106,"&lt;="&amp;$B197)</f>
        <v>1.4</v>
      </c>
      <c r="AJ197" s="43" t="n">
        <f aca="false">SUMIFS('Additions (monthly)'!$E$2:$E$106,'Additions (monthly)'!$D$2:$D$106,AJ$2,'Additions (monthly)'!$B$2:$B$106,"&lt;="&amp;$B197)</f>
        <v>0</v>
      </c>
      <c r="AK197" s="43" t="n">
        <f aca="false">SUMIFS('Additions (monthly)'!$E$2:$E$106,'Additions (monthly)'!$D$2:$D$106,AK$2,'Additions (monthly)'!$B$2:$B$106,"&lt;="&amp;$B197)</f>
        <v>3.4</v>
      </c>
      <c r="AL197" s="43" t="n">
        <f aca="false">SUMIFS('Additions (monthly)'!$E$2:$E$106,'Additions (monthly)'!$D$2:$D$106,AL$2,'Additions (monthly)'!$B$2:$B$106,"&lt;="&amp;$B197)</f>
        <v>22.2</v>
      </c>
      <c r="AM197" s="43" t="n">
        <f aca="false">SUMIFS('Additions (monthly)'!$E$2:$E$106,'Additions (monthly)'!$D$2:$D$106,AM$2,'Additions (monthly)'!$B$2:$B$106,"&lt;="&amp;$B197)</f>
        <v>0.3</v>
      </c>
      <c r="AN197" s="43" t="n">
        <f aca="false">SUMIFS('Additions (monthly)'!$E$2:$E$106,'Additions (monthly)'!$D$2:$D$106,AN$2,'Additions (monthly)'!$B$2:$B$106,"&lt;="&amp;$B197)</f>
        <v>4.3</v>
      </c>
      <c r="AO197" s="43" t="n">
        <f aca="false">SUMIFS('Additions (monthly)'!$E$2:$E$106,'Additions (monthly)'!$D$2:$D$106,AO$2,'Additions (monthly)'!$B$2:$B$106,"&lt;="&amp;$B197)</f>
        <v>10.4</v>
      </c>
      <c r="AP197" s="43" t="n">
        <f aca="false">SUMIFS('Additions (monthly)'!$E$2:$E$106,'Additions (monthly)'!$D$2:$D$106,AP$2,'Additions (monthly)'!$B$2:$B$106,"&lt;="&amp;$B197)</f>
        <v>6.9</v>
      </c>
      <c r="AQ197" s="43" t="n">
        <f aca="false">SUMIFS('Additions (monthly)'!$E$2:$E$106,'Additions (monthly)'!$D$2:$D$106,AQ$2,'Additions (monthly)'!$B$2:$B$106,"&lt;="&amp;$B197)</f>
        <v>4.45</v>
      </c>
      <c r="AR197" s="43" t="n">
        <f aca="false">SUMIFS('Additions (monthly)'!$E$2:$E$106,'Additions (monthly)'!$D$2:$D$106,AR$2,'Additions (monthly)'!$B$2:$B$106,"&lt;="&amp;$B197)</f>
        <v>77.1</v>
      </c>
      <c r="AS197" s="43" t="n">
        <f aca="false">SUMIFS('Additions (monthly)'!$E$2:$E$106,'Additions (monthly)'!$D$2:$D$106,AS$2,'Additions (monthly)'!$B$2:$B$106,"&lt;="&amp;$B197)</f>
        <v>6.6</v>
      </c>
      <c r="AT197" s="43" t="n">
        <f aca="false">SUMIFS('Additions (monthly)'!$E$2:$E$106,'Additions (monthly)'!$D$2:$D$106,AT$2,'Additions (monthly)'!$B$2:$B$106,"&lt;="&amp;$B197)</f>
        <v>1.5</v>
      </c>
      <c r="AU197" s="43" t="n">
        <f aca="false">SUMIFS('Additions (monthly)'!$E$2:$E$106,'Additions (monthly)'!$D$2:$D$106,AU$2,'Additions (monthly)'!$B$2:$B$106,"&lt;="&amp;$B197)</f>
        <v>9.6</v>
      </c>
      <c r="AV197" s="43" t="n">
        <f aca="false">SUMIFS('Additions (monthly)'!$E$2:$E$106,'Additions (monthly)'!$D$2:$D$106,AV$2,'Additions (monthly)'!$B$2:$B$106,"&lt;="&amp;$B197)</f>
        <v>0.66</v>
      </c>
      <c r="AW197" s="43" t="n">
        <f aca="false">SUMIFS('Additions (monthly)'!$E$2:$E$106,'Additions (monthly)'!$D$2:$D$106,AW$2,'Additions (monthly)'!$B$2:$B$106,"&lt;="&amp;$B197)</f>
        <v>17.4</v>
      </c>
      <c r="AX197" s="43" t="n">
        <f aca="false">SUMIFS('Additions (monthly)'!$E$2:$E$106,'Additions (monthly)'!$D$2:$D$106,AX$2,'Additions (monthly)'!$B$2:$B$106,"&lt;="&amp;$B197)</f>
        <v>11.8</v>
      </c>
      <c r="AY197" s="43" t="n">
        <f aca="false">SUMIFS('Additions (monthly)'!$E$2:$E$106,'Additions (monthly)'!$D$2:$D$106,AY$2,'Additions (monthly)'!$B$2:$B$106,"&lt;="&amp;$B197)</f>
        <v>5.3</v>
      </c>
      <c r="AZ197" s="43" t="n">
        <f aca="false">SUMIFS('Additions (monthly)'!$E$2:$E$106,'Additions (monthly)'!$D$2:$D$106,AZ$2,'Additions (monthly)'!$B$2:$B$106,"&lt;="&amp;$B197)</f>
        <v>9.97</v>
      </c>
      <c r="BA197" s="43" t="n">
        <f aca="false">SUMIFS('Additions (monthly)'!$E$2:$E$106,'Additions (monthly)'!$D$2:$D$106,BA$2,'Additions (monthly)'!$B$2:$B$106,"&lt;="&amp;$B197)</f>
        <v>13.5</v>
      </c>
      <c r="BB197" s="43" t="n">
        <f aca="false">SUMIFS('Additions (monthly)'!$E$2:$E$106,'Additions (monthly)'!$D$2:$D$106,BB$2,'Additions (monthly)'!$B$2:$B$106,"&lt;="&amp;$B197)</f>
        <v>22.45</v>
      </c>
      <c r="BC197" s="43" t="n">
        <f aca="false">SUMIFS('Additions (monthly)'!$E$2:$E$106,'Additions (monthly)'!$D$2:$D$106,BC$2,'Additions (monthly)'!$B$2:$B$106,"&lt;="&amp;$B197)</f>
        <v>5.25</v>
      </c>
      <c r="BD197" s="43" t="n">
        <f aca="false">SUMIFS('Additions (monthly)'!$E$2:$E$106,'Additions (monthly)'!$D$2:$D$106,BD$2,'Additions (monthly)'!$B$2:$B$106,"&lt;="&amp;$B197)</f>
        <v>2.5</v>
      </c>
      <c r="BE197" s="43" t="n">
        <f aca="false">SUMIFS('Additions (monthly)'!$E$2:$E$106,'Additions (monthly)'!$D$2:$D$106,BE$2,'Additions (monthly)'!$B$2:$B$106,"&lt;="&amp;$B197)</f>
        <v>15.3</v>
      </c>
      <c r="BF197" s="43" t="n">
        <f aca="false">SUMIFS('Additions (monthly)'!$E$2:$E$106,'Additions (monthly)'!$D$2:$D$106,BF$2,'Additions (monthly)'!$B$2:$B$106,"&lt;="&amp;$B197)</f>
        <v>5.2</v>
      </c>
      <c r="BG197" s="43" t="n">
        <f aca="false">SUMIFS('Additions (monthly)'!$E$2:$E$106,'Additions (monthly)'!$D$2:$D$106,BG$2,'Additions (monthly)'!$B$2:$B$106,"&lt;="&amp;$B197)</f>
        <v>19.44</v>
      </c>
      <c r="BH197" s="43" t="n">
        <f aca="false">SUMIFS('Additions (monthly)'!$E$2:$E$106,'Additions (monthly)'!$D$2:$D$106,BH$2,'Additions (monthly)'!$B$2:$B$106,"&lt;="&amp;$B197)</f>
        <v>30</v>
      </c>
      <c r="BI197" s="43" t="n">
        <f aca="false">SUMIFS('Additions (monthly)'!$E$2:$E$106,'Additions (monthly)'!$D$2:$D$106,BI$2,'Additions (monthly)'!$B$2:$B$106,"&lt;="&amp;$B197)</f>
        <v>6.7</v>
      </c>
    </row>
    <row r="198" customFormat="false" ht="15" hidden="false" customHeight="false" outlineLevel="0" collapsed="false">
      <c r="A198" s="23" t="n">
        <v>46113</v>
      </c>
      <c r="B198" s="24" t="n">
        <v>202604</v>
      </c>
      <c r="C198" s="42" t="n">
        <f aca="false">SUMIFS('Additions (monthly)'!$E$2:$E$106,'Additions (monthly)'!$B$2:$B$106,"&lt;="&amp;$B198)</f>
        <v>542.13</v>
      </c>
      <c r="D198" s="43" t="n">
        <f aca="false">SUMIFS('Additions (monthly)'!$E$2:$E$106,'Additions (monthly)'!$D$2:$D$106,D$2,'Additions (monthly)'!$B$2:$B$106,"&lt;="&amp;$B198)</f>
        <v>7.9</v>
      </c>
      <c r="E198" s="43" t="n">
        <f aca="false">SUMIFS('Additions (monthly)'!$E$2:$E$106,'Additions (monthly)'!$D$2:$D$106,E$2,'Additions (monthly)'!$B$2:$B$106,"&lt;="&amp;$B198)</f>
        <v>8.4</v>
      </c>
      <c r="F198" s="43" t="n">
        <f aca="false">SUMIFS('Additions (monthly)'!$E$2:$E$106,'Additions (monthly)'!$D$2:$D$106,F$2,'Additions (monthly)'!$B$2:$B$106,"&lt;="&amp;$B198)</f>
        <v>4.7</v>
      </c>
      <c r="G198" s="43" t="n">
        <f aca="false">SUMIFS('Additions (monthly)'!$E$2:$E$106,'Additions (monthly)'!$D$2:$D$106,G$2,'Additions (monthly)'!$B$2:$B$106,"&lt;="&amp;$B198)</f>
        <v>4.5</v>
      </c>
      <c r="H198" s="43" t="n">
        <f aca="false">SUMIFS('Additions (monthly)'!$E$2:$E$106,'Additions (monthly)'!$D$2:$D$106,H$2,'Additions (monthly)'!$B$2:$B$106,"&lt;="&amp;$B198)</f>
        <v>5.2</v>
      </c>
      <c r="I198" s="43" t="n">
        <f aca="false">SUMIFS('Additions (monthly)'!$E$2:$E$106,'Additions (monthly)'!$D$2:$D$106,I$2,'Additions (monthly)'!$B$2:$B$106,"&lt;="&amp;$B198)</f>
        <v>9</v>
      </c>
      <c r="J198" s="43" t="n">
        <f aca="false">SUMIFS('Additions (monthly)'!$E$2:$E$106,'Additions (monthly)'!$D$2:$D$106,J$2,'Additions (monthly)'!$B$2:$B$106,"&lt;="&amp;$B198)</f>
        <v>3.7</v>
      </c>
      <c r="K198" s="43" t="n">
        <f aca="false">SUMIFS('Additions (monthly)'!$E$2:$E$106,'Additions (monthly)'!$D$2:$D$106,K$2,'Additions (monthly)'!$B$2:$B$106,"&lt;="&amp;$B198)</f>
        <v>7.8</v>
      </c>
      <c r="L198" s="43" t="n">
        <f aca="false">SUMIFS('Additions (monthly)'!$E$2:$E$106,'Additions (monthly)'!$D$2:$D$106,L$2,'Additions (monthly)'!$B$2:$B$106,"&lt;="&amp;$B198)</f>
        <v>15.6</v>
      </c>
      <c r="M198" s="43" t="n">
        <f aca="false">SUMIFS('Additions (monthly)'!$E$2:$E$106,'Additions (monthly)'!$D$2:$D$106,M$2,'Additions (monthly)'!$B$2:$B$106,"&lt;="&amp;$B198)</f>
        <v>8.9</v>
      </c>
      <c r="N198" s="43" t="n">
        <f aca="false">SUMIFS('Additions (monthly)'!$E$2:$E$106,'Additions (monthly)'!$D$2:$D$106,N$2,'Additions (monthly)'!$B$2:$B$106,"&lt;="&amp;$B198)</f>
        <v>14.2</v>
      </c>
      <c r="O198" s="43" t="n">
        <f aca="false">SUMIFS('Additions (monthly)'!$E$2:$E$106,'Additions (monthly)'!$D$2:$D$106,O$2,'Additions (monthly)'!$B$2:$B$106,"&lt;="&amp;$B198)</f>
        <v>4.9</v>
      </c>
      <c r="P198" s="43" t="n">
        <f aca="false">SUMIFS('Additions (monthly)'!$E$2:$E$106,'Additions (monthly)'!$D$2:$D$106,P$2,'Additions (monthly)'!$B$2:$B$106,"&lt;="&amp;$B198)</f>
        <v>3.6</v>
      </c>
      <c r="Q198" s="43" t="n">
        <f aca="false">SUMIFS('Additions (monthly)'!$E$2:$E$106,'Additions (monthly)'!$D$2:$D$106,Q$2,'Additions (monthly)'!$B$2:$B$106,"&lt;="&amp;$B198)</f>
        <v>8.5</v>
      </c>
      <c r="R198" s="43" t="n">
        <f aca="false">SUMIFS('Additions (monthly)'!$E$2:$E$106,'Additions (monthly)'!$D$2:$D$106,R$2,'Additions (monthly)'!$B$2:$B$106,"&lt;="&amp;$B198)</f>
        <v>8.9</v>
      </c>
      <c r="S198" s="43" t="n">
        <f aca="false">SUMIFS('Additions (monthly)'!$E$2:$E$106,'Additions (monthly)'!$D$2:$D$106,S$2,'Additions (monthly)'!$B$2:$B$106,"&lt;="&amp;$B198)</f>
        <v>7.2</v>
      </c>
      <c r="T198" s="43" t="n">
        <f aca="false">SUMIFS('Additions (monthly)'!$E$2:$E$106,'Additions (monthly)'!$D$2:$D$106,T$2,'Additions (monthly)'!$B$2:$B$106,"&lt;="&amp;$B198)</f>
        <v>2.4</v>
      </c>
      <c r="U198" s="43" t="n">
        <f aca="false">SUMIFS('Additions (monthly)'!$E$2:$E$106,'Additions (monthly)'!$D$2:$D$106,U$2,'Additions (monthly)'!$B$2:$B$106,"&lt;="&amp;$B198)</f>
        <v>14</v>
      </c>
      <c r="V198" s="43" t="n">
        <f aca="false">SUMIFS('Additions (monthly)'!$E$2:$E$106,'Additions (monthly)'!$D$2:$D$106,V$2,'Additions (monthly)'!$B$2:$B$106,"&lt;="&amp;$B198)</f>
        <v>3.87</v>
      </c>
      <c r="W198" s="43" t="n">
        <f aca="false">SUMIFS('Additions (monthly)'!$E$2:$E$106,'Additions (monthly)'!$D$2:$D$106,W$2,'Additions (monthly)'!$B$2:$B$106,"&lt;="&amp;$B198)</f>
        <v>0.6</v>
      </c>
      <c r="X198" s="43" t="n">
        <f aca="false">SUMIFS('Additions (monthly)'!$E$2:$E$106,'Additions (monthly)'!$D$2:$D$106,X$2,'Additions (monthly)'!$B$2:$B$106,"&lt;="&amp;$B198)</f>
        <v>2.4</v>
      </c>
      <c r="Y198" s="43" t="n">
        <f aca="false">SUMIFS('Additions (monthly)'!$E$2:$E$106,'Additions (monthly)'!$D$2:$D$106,Y$2,'Additions (monthly)'!$B$2:$B$106,"&lt;="&amp;$B198)</f>
        <v>5</v>
      </c>
      <c r="Z198" s="43" t="n">
        <f aca="false">SUMIFS('Additions (monthly)'!$E$2:$E$106,'Additions (monthly)'!$D$2:$D$106,Z$2,'Additions (monthly)'!$B$2:$B$106,"&lt;="&amp;$B198)</f>
        <v>7.2</v>
      </c>
      <c r="AA198" s="43" t="n">
        <f aca="false">SUMIFS('Additions (monthly)'!$E$2:$E$106,'Additions (monthly)'!$D$2:$D$106,AA$2,'Additions (monthly)'!$B$2:$B$106,"&lt;="&amp;$B198)</f>
        <v>3.7</v>
      </c>
      <c r="AB198" s="43" t="n">
        <f aca="false">SUMIFS('Additions (monthly)'!$E$2:$E$106,'Additions (monthly)'!$D$2:$D$106,AB$2,'Additions (monthly)'!$B$2:$B$106,"&lt;="&amp;$B198)</f>
        <v>16.95</v>
      </c>
      <c r="AC198" s="43" t="n">
        <f aca="false">SUMIFS('Additions (monthly)'!$E$2:$E$106,'Additions (monthly)'!$D$2:$D$106,AC$2,'Additions (monthly)'!$B$2:$B$106,"&lt;="&amp;$B198)</f>
        <v>2</v>
      </c>
      <c r="AD198" s="43" t="n">
        <f aca="false">SUMIFS('Additions (monthly)'!$E$2:$E$106,'Additions (monthly)'!$D$2:$D$106,AD$2,'Additions (monthly)'!$B$2:$B$106,"&lt;="&amp;$B198)</f>
        <v>11.4</v>
      </c>
      <c r="AE198" s="43" t="n">
        <f aca="false">SUMIFS('Additions (monthly)'!$E$2:$E$106,'Additions (monthly)'!$D$2:$D$106,AE$2,'Additions (monthly)'!$B$2:$B$106,"&lt;="&amp;$B198)</f>
        <v>29.3</v>
      </c>
      <c r="AF198" s="43" t="n">
        <f aca="false">SUMIFS('Additions (monthly)'!$E$2:$E$106,'Additions (monthly)'!$D$2:$D$106,AF$2,'Additions (monthly)'!$B$2:$B$106,"&lt;="&amp;$B198)</f>
        <v>1.2</v>
      </c>
      <c r="AG198" s="43" t="n">
        <f aca="false">SUMIFS('Additions (monthly)'!$E$2:$E$106,'Additions (monthly)'!$D$2:$D$106,AG$2,'Additions (monthly)'!$B$2:$B$106,"&lt;="&amp;$B198)</f>
        <v>1.5</v>
      </c>
      <c r="AH198" s="43" t="n">
        <f aca="false">SUMIFS('Additions (monthly)'!$E$2:$E$106,'Additions (monthly)'!$D$2:$D$106,AH$2,'Additions (monthly)'!$B$2:$B$106,"&lt;="&amp;$B198)</f>
        <v>2.5</v>
      </c>
      <c r="AI198" s="43" t="n">
        <f aca="false">SUMIFS('Additions (monthly)'!$E$2:$E$106,'Additions (monthly)'!$D$2:$D$106,AI$2,'Additions (monthly)'!$B$2:$B$106,"&lt;="&amp;$B198)</f>
        <v>1.4</v>
      </c>
      <c r="AJ198" s="43" t="n">
        <f aca="false">SUMIFS('Additions (monthly)'!$E$2:$E$106,'Additions (monthly)'!$D$2:$D$106,AJ$2,'Additions (monthly)'!$B$2:$B$106,"&lt;="&amp;$B198)</f>
        <v>0</v>
      </c>
      <c r="AK198" s="43" t="n">
        <f aca="false">SUMIFS('Additions (monthly)'!$E$2:$E$106,'Additions (monthly)'!$D$2:$D$106,AK$2,'Additions (monthly)'!$B$2:$B$106,"&lt;="&amp;$B198)</f>
        <v>3.4</v>
      </c>
      <c r="AL198" s="43" t="n">
        <f aca="false">SUMIFS('Additions (monthly)'!$E$2:$E$106,'Additions (monthly)'!$D$2:$D$106,AL$2,'Additions (monthly)'!$B$2:$B$106,"&lt;="&amp;$B198)</f>
        <v>22.2</v>
      </c>
      <c r="AM198" s="43" t="n">
        <f aca="false">SUMIFS('Additions (monthly)'!$E$2:$E$106,'Additions (monthly)'!$D$2:$D$106,AM$2,'Additions (monthly)'!$B$2:$B$106,"&lt;="&amp;$B198)</f>
        <v>0.3</v>
      </c>
      <c r="AN198" s="43" t="n">
        <f aca="false">SUMIFS('Additions (monthly)'!$E$2:$E$106,'Additions (monthly)'!$D$2:$D$106,AN$2,'Additions (monthly)'!$B$2:$B$106,"&lt;="&amp;$B198)</f>
        <v>4.3</v>
      </c>
      <c r="AO198" s="43" t="n">
        <f aca="false">SUMIFS('Additions (monthly)'!$E$2:$E$106,'Additions (monthly)'!$D$2:$D$106,AO$2,'Additions (monthly)'!$B$2:$B$106,"&lt;="&amp;$B198)</f>
        <v>10.4</v>
      </c>
      <c r="AP198" s="43" t="n">
        <f aca="false">SUMIFS('Additions (monthly)'!$E$2:$E$106,'Additions (monthly)'!$D$2:$D$106,AP$2,'Additions (monthly)'!$B$2:$B$106,"&lt;="&amp;$B198)</f>
        <v>6.9</v>
      </c>
      <c r="AQ198" s="43" t="n">
        <f aca="false">SUMIFS('Additions (monthly)'!$E$2:$E$106,'Additions (monthly)'!$D$2:$D$106,AQ$2,'Additions (monthly)'!$B$2:$B$106,"&lt;="&amp;$B198)</f>
        <v>4.45</v>
      </c>
      <c r="AR198" s="43" t="n">
        <f aca="false">SUMIFS('Additions (monthly)'!$E$2:$E$106,'Additions (monthly)'!$D$2:$D$106,AR$2,'Additions (monthly)'!$B$2:$B$106,"&lt;="&amp;$B198)</f>
        <v>77.1</v>
      </c>
      <c r="AS198" s="43" t="n">
        <f aca="false">SUMIFS('Additions (monthly)'!$E$2:$E$106,'Additions (monthly)'!$D$2:$D$106,AS$2,'Additions (monthly)'!$B$2:$B$106,"&lt;="&amp;$B198)</f>
        <v>6.6</v>
      </c>
      <c r="AT198" s="43" t="n">
        <f aca="false">SUMIFS('Additions (monthly)'!$E$2:$E$106,'Additions (monthly)'!$D$2:$D$106,AT$2,'Additions (monthly)'!$B$2:$B$106,"&lt;="&amp;$B198)</f>
        <v>1.5</v>
      </c>
      <c r="AU198" s="43" t="n">
        <f aca="false">SUMIFS('Additions (monthly)'!$E$2:$E$106,'Additions (monthly)'!$D$2:$D$106,AU$2,'Additions (monthly)'!$B$2:$B$106,"&lt;="&amp;$B198)</f>
        <v>9.6</v>
      </c>
      <c r="AV198" s="43" t="n">
        <f aca="false">SUMIFS('Additions (monthly)'!$E$2:$E$106,'Additions (monthly)'!$D$2:$D$106,AV$2,'Additions (monthly)'!$B$2:$B$106,"&lt;="&amp;$B198)</f>
        <v>0.66</v>
      </c>
      <c r="AW198" s="43" t="n">
        <f aca="false">SUMIFS('Additions (monthly)'!$E$2:$E$106,'Additions (monthly)'!$D$2:$D$106,AW$2,'Additions (monthly)'!$B$2:$B$106,"&lt;="&amp;$B198)</f>
        <v>17.4</v>
      </c>
      <c r="AX198" s="43" t="n">
        <f aca="false">SUMIFS('Additions (monthly)'!$E$2:$E$106,'Additions (monthly)'!$D$2:$D$106,AX$2,'Additions (monthly)'!$B$2:$B$106,"&lt;="&amp;$B198)</f>
        <v>11.8</v>
      </c>
      <c r="AY198" s="43" t="n">
        <f aca="false">SUMIFS('Additions (monthly)'!$E$2:$E$106,'Additions (monthly)'!$D$2:$D$106,AY$2,'Additions (monthly)'!$B$2:$B$106,"&lt;="&amp;$B198)</f>
        <v>5.3</v>
      </c>
      <c r="AZ198" s="43" t="n">
        <f aca="false">SUMIFS('Additions (monthly)'!$E$2:$E$106,'Additions (monthly)'!$D$2:$D$106,AZ$2,'Additions (monthly)'!$B$2:$B$106,"&lt;="&amp;$B198)</f>
        <v>9.97</v>
      </c>
      <c r="BA198" s="43" t="n">
        <f aca="false">SUMIFS('Additions (monthly)'!$E$2:$E$106,'Additions (monthly)'!$D$2:$D$106,BA$2,'Additions (monthly)'!$B$2:$B$106,"&lt;="&amp;$B198)</f>
        <v>13.5</v>
      </c>
      <c r="BB198" s="43" t="n">
        <f aca="false">SUMIFS('Additions (monthly)'!$E$2:$E$106,'Additions (monthly)'!$D$2:$D$106,BB$2,'Additions (monthly)'!$B$2:$B$106,"&lt;="&amp;$B198)</f>
        <v>23.94</v>
      </c>
      <c r="BC198" s="43" t="n">
        <f aca="false">SUMIFS('Additions (monthly)'!$E$2:$E$106,'Additions (monthly)'!$D$2:$D$106,BC$2,'Additions (monthly)'!$B$2:$B$106,"&lt;="&amp;$B198)</f>
        <v>5.25</v>
      </c>
      <c r="BD198" s="43" t="n">
        <f aca="false">SUMIFS('Additions (monthly)'!$E$2:$E$106,'Additions (monthly)'!$D$2:$D$106,BD$2,'Additions (monthly)'!$B$2:$B$106,"&lt;="&amp;$B198)</f>
        <v>2.5</v>
      </c>
      <c r="BE198" s="43" t="n">
        <f aca="false">SUMIFS('Additions (monthly)'!$E$2:$E$106,'Additions (monthly)'!$D$2:$D$106,BE$2,'Additions (monthly)'!$B$2:$B$106,"&lt;="&amp;$B198)</f>
        <v>15.3</v>
      </c>
      <c r="BF198" s="43" t="n">
        <f aca="false">SUMIFS('Additions (monthly)'!$E$2:$E$106,'Additions (monthly)'!$D$2:$D$106,BF$2,'Additions (monthly)'!$B$2:$B$106,"&lt;="&amp;$B198)</f>
        <v>5.2</v>
      </c>
      <c r="BG198" s="43" t="n">
        <f aca="false">SUMIFS('Additions (monthly)'!$E$2:$E$106,'Additions (monthly)'!$D$2:$D$106,BG$2,'Additions (monthly)'!$B$2:$B$106,"&lt;="&amp;$B198)</f>
        <v>19.44</v>
      </c>
      <c r="BH198" s="43" t="n">
        <f aca="false">SUMIFS('Additions (monthly)'!$E$2:$E$106,'Additions (monthly)'!$D$2:$D$106,BH$2,'Additions (monthly)'!$B$2:$B$106,"&lt;="&amp;$B198)</f>
        <v>30</v>
      </c>
      <c r="BI198" s="43" t="n">
        <f aca="false">SUMIFS('Additions (monthly)'!$E$2:$E$106,'Additions (monthly)'!$D$2:$D$106,BI$2,'Additions (monthly)'!$B$2:$B$106,"&lt;="&amp;$B198)</f>
        <v>6.7</v>
      </c>
    </row>
    <row r="199" customFormat="false" ht="15" hidden="false" customHeight="false" outlineLevel="0" collapsed="false">
      <c r="A199" s="23" t="n">
        <v>46143</v>
      </c>
      <c r="B199" s="24" t="n">
        <v>202605</v>
      </c>
      <c r="C199" s="42" t="n">
        <f aca="false">SUMIFS('Additions (monthly)'!$E$2:$E$106,'Additions (monthly)'!$B$2:$B$106,"&lt;="&amp;$B199)</f>
        <v>542.13</v>
      </c>
      <c r="D199" s="43" t="n">
        <f aca="false">SUMIFS('Additions (monthly)'!$E$2:$E$106,'Additions (monthly)'!$D$2:$D$106,D$2,'Additions (monthly)'!$B$2:$B$106,"&lt;="&amp;$B199)</f>
        <v>7.9</v>
      </c>
      <c r="E199" s="43" t="n">
        <f aca="false">SUMIFS('Additions (monthly)'!$E$2:$E$106,'Additions (monthly)'!$D$2:$D$106,E$2,'Additions (monthly)'!$B$2:$B$106,"&lt;="&amp;$B199)</f>
        <v>8.4</v>
      </c>
      <c r="F199" s="43" t="n">
        <f aca="false">SUMIFS('Additions (monthly)'!$E$2:$E$106,'Additions (monthly)'!$D$2:$D$106,F$2,'Additions (monthly)'!$B$2:$B$106,"&lt;="&amp;$B199)</f>
        <v>4.7</v>
      </c>
      <c r="G199" s="43" t="n">
        <f aca="false">SUMIFS('Additions (monthly)'!$E$2:$E$106,'Additions (monthly)'!$D$2:$D$106,G$2,'Additions (monthly)'!$B$2:$B$106,"&lt;="&amp;$B199)</f>
        <v>4.5</v>
      </c>
      <c r="H199" s="43" t="n">
        <f aca="false">SUMIFS('Additions (monthly)'!$E$2:$E$106,'Additions (monthly)'!$D$2:$D$106,H$2,'Additions (monthly)'!$B$2:$B$106,"&lt;="&amp;$B199)</f>
        <v>5.2</v>
      </c>
      <c r="I199" s="43" t="n">
        <f aca="false">SUMIFS('Additions (monthly)'!$E$2:$E$106,'Additions (monthly)'!$D$2:$D$106,I$2,'Additions (monthly)'!$B$2:$B$106,"&lt;="&amp;$B199)</f>
        <v>9</v>
      </c>
      <c r="J199" s="43" t="n">
        <f aca="false">SUMIFS('Additions (monthly)'!$E$2:$E$106,'Additions (monthly)'!$D$2:$D$106,J$2,'Additions (monthly)'!$B$2:$B$106,"&lt;="&amp;$B199)</f>
        <v>3.7</v>
      </c>
      <c r="K199" s="43" t="n">
        <f aca="false">SUMIFS('Additions (monthly)'!$E$2:$E$106,'Additions (monthly)'!$D$2:$D$106,K$2,'Additions (monthly)'!$B$2:$B$106,"&lt;="&amp;$B199)</f>
        <v>7.8</v>
      </c>
      <c r="L199" s="43" t="n">
        <f aca="false">SUMIFS('Additions (monthly)'!$E$2:$E$106,'Additions (monthly)'!$D$2:$D$106,L$2,'Additions (monthly)'!$B$2:$B$106,"&lt;="&amp;$B199)</f>
        <v>15.6</v>
      </c>
      <c r="M199" s="43" t="n">
        <f aca="false">SUMIFS('Additions (monthly)'!$E$2:$E$106,'Additions (monthly)'!$D$2:$D$106,M$2,'Additions (monthly)'!$B$2:$B$106,"&lt;="&amp;$B199)</f>
        <v>8.9</v>
      </c>
      <c r="N199" s="43" t="n">
        <f aca="false">SUMIFS('Additions (monthly)'!$E$2:$E$106,'Additions (monthly)'!$D$2:$D$106,N$2,'Additions (monthly)'!$B$2:$B$106,"&lt;="&amp;$B199)</f>
        <v>14.2</v>
      </c>
      <c r="O199" s="43" t="n">
        <f aca="false">SUMIFS('Additions (monthly)'!$E$2:$E$106,'Additions (monthly)'!$D$2:$D$106,O$2,'Additions (monthly)'!$B$2:$B$106,"&lt;="&amp;$B199)</f>
        <v>4.9</v>
      </c>
      <c r="P199" s="43" t="n">
        <f aca="false">SUMIFS('Additions (monthly)'!$E$2:$E$106,'Additions (monthly)'!$D$2:$D$106,P$2,'Additions (monthly)'!$B$2:$B$106,"&lt;="&amp;$B199)</f>
        <v>3.6</v>
      </c>
      <c r="Q199" s="43" t="n">
        <f aca="false">SUMIFS('Additions (monthly)'!$E$2:$E$106,'Additions (monthly)'!$D$2:$D$106,Q$2,'Additions (monthly)'!$B$2:$B$106,"&lt;="&amp;$B199)</f>
        <v>8.5</v>
      </c>
      <c r="R199" s="43" t="n">
        <f aca="false">SUMIFS('Additions (monthly)'!$E$2:$E$106,'Additions (monthly)'!$D$2:$D$106,R$2,'Additions (monthly)'!$B$2:$B$106,"&lt;="&amp;$B199)</f>
        <v>8.9</v>
      </c>
      <c r="S199" s="43" t="n">
        <f aca="false">SUMIFS('Additions (monthly)'!$E$2:$E$106,'Additions (monthly)'!$D$2:$D$106,S$2,'Additions (monthly)'!$B$2:$B$106,"&lt;="&amp;$B199)</f>
        <v>7.2</v>
      </c>
      <c r="T199" s="43" t="n">
        <f aca="false">SUMIFS('Additions (monthly)'!$E$2:$E$106,'Additions (monthly)'!$D$2:$D$106,T$2,'Additions (monthly)'!$B$2:$B$106,"&lt;="&amp;$B199)</f>
        <v>2.4</v>
      </c>
      <c r="U199" s="43" t="n">
        <f aca="false">SUMIFS('Additions (monthly)'!$E$2:$E$106,'Additions (monthly)'!$D$2:$D$106,U$2,'Additions (monthly)'!$B$2:$B$106,"&lt;="&amp;$B199)</f>
        <v>14</v>
      </c>
      <c r="V199" s="43" t="n">
        <f aca="false">SUMIFS('Additions (monthly)'!$E$2:$E$106,'Additions (monthly)'!$D$2:$D$106,V$2,'Additions (monthly)'!$B$2:$B$106,"&lt;="&amp;$B199)</f>
        <v>3.87</v>
      </c>
      <c r="W199" s="43" t="n">
        <f aca="false">SUMIFS('Additions (monthly)'!$E$2:$E$106,'Additions (monthly)'!$D$2:$D$106,W$2,'Additions (monthly)'!$B$2:$B$106,"&lt;="&amp;$B199)</f>
        <v>0.6</v>
      </c>
      <c r="X199" s="43" t="n">
        <f aca="false">SUMIFS('Additions (monthly)'!$E$2:$E$106,'Additions (monthly)'!$D$2:$D$106,X$2,'Additions (monthly)'!$B$2:$B$106,"&lt;="&amp;$B199)</f>
        <v>2.4</v>
      </c>
      <c r="Y199" s="43" t="n">
        <f aca="false">SUMIFS('Additions (monthly)'!$E$2:$E$106,'Additions (monthly)'!$D$2:$D$106,Y$2,'Additions (monthly)'!$B$2:$B$106,"&lt;="&amp;$B199)</f>
        <v>5</v>
      </c>
      <c r="Z199" s="43" t="n">
        <f aca="false">SUMIFS('Additions (monthly)'!$E$2:$E$106,'Additions (monthly)'!$D$2:$D$106,Z$2,'Additions (monthly)'!$B$2:$B$106,"&lt;="&amp;$B199)</f>
        <v>7.2</v>
      </c>
      <c r="AA199" s="43" t="n">
        <f aca="false">SUMIFS('Additions (monthly)'!$E$2:$E$106,'Additions (monthly)'!$D$2:$D$106,AA$2,'Additions (monthly)'!$B$2:$B$106,"&lt;="&amp;$B199)</f>
        <v>3.7</v>
      </c>
      <c r="AB199" s="43" t="n">
        <f aca="false">SUMIFS('Additions (monthly)'!$E$2:$E$106,'Additions (monthly)'!$D$2:$D$106,AB$2,'Additions (monthly)'!$B$2:$B$106,"&lt;="&amp;$B199)</f>
        <v>16.95</v>
      </c>
      <c r="AC199" s="43" t="n">
        <f aca="false">SUMIFS('Additions (monthly)'!$E$2:$E$106,'Additions (monthly)'!$D$2:$D$106,AC$2,'Additions (monthly)'!$B$2:$B$106,"&lt;="&amp;$B199)</f>
        <v>2</v>
      </c>
      <c r="AD199" s="43" t="n">
        <f aca="false">SUMIFS('Additions (monthly)'!$E$2:$E$106,'Additions (monthly)'!$D$2:$D$106,AD$2,'Additions (monthly)'!$B$2:$B$106,"&lt;="&amp;$B199)</f>
        <v>11.4</v>
      </c>
      <c r="AE199" s="43" t="n">
        <f aca="false">SUMIFS('Additions (monthly)'!$E$2:$E$106,'Additions (monthly)'!$D$2:$D$106,AE$2,'Additions (monthly)'!$B$2:$B$106,"&lt;="&amp;$B199)</f>
        <v>29.3</v>
      </c>
      <c r="AF199" s="43" t="n">
        <f aca="false">SUMIFS('Additions (monthly)'!$E$2:$E$106,'Additions (monthly)'!$D$2:$D$106,AF$2,'Additions (monthly)'!$B$2:$B$106,"&lt;="&amp;$B199)</f>
        <v>1.2</v>
      </c>
      <c r="AG199" s="43" t="n">
        <f aca="false">SUMIFS('Additions (monthly)'!$E$2:$E$106,'Additions (monthly)'!$D$2:$D$106,AG$2,'Additions (monthly)'!$B$2:$B$106,"&lt;="&amp;$B199)</f>
        <v>1.5</v>
      </c>
      <c r="AH199" s="43" t="n">
        <f aca="false">SUMIFS('Additions (monthly)'!$E$2:$E$106,'Additions (monthly)'!$D$2:$D$106,AH$2,'Additions (monthly)'!$B$2:$B$106,"&lt;="&amp;$B199)</f>
        <v>2.5</v>
      </c>
      <c r="AI199" s="43" t="n">
        <f aca="false">SUMIFS('Additions (monthly)'!$E$2:$E$106,'Additions (monthly)'!$D$2:$D$106,AI$2,'Additions (monthly)'!$B$2:$B$106,"&lt;="&amp;$B199)</f>
        <v>1.4</v>
      </c>
      <c r="AJ199" s="43" t="n">
        <f aca="false">SUMIFS('Additions (monthly)'!$E$2:$E$106,'Additions (monthly)'!$D$2:$D$106,AJ$2,'Additions (monthly)'!$B$2:$B$106,"&lt;="&amp;$B199)</f>
        <v>0</v>
      </c>
      <c r="AK199" s="43" t="n">
        <f aca="false">SUMIFS('Additions (monthly)'!$E$2:$E$106,'Additions (monthly)'!$D$2:$D$106,AK$2,'Additions (monthly)'!$B$2:$B$106,"&lt;="&amp;$B199)</f>
        <v>3.4</v>
      </c>
      <c r="AL199" s="43" t="n">
        <f aca="false">SUMIFS('Additions (monthly)'!$E$2:$E$106,'Additions (monthly)'!$D$2:$D$106,AL$2,'Additions (monthly)'!$B$2:$B$106,"&lt;="&amp;$B199)</f>
        <v>22.2</v>
      </c>
      <c r="AM199" s="43" t="n">
        <f aca="false">SUMIFS('Additions (monthly)'!$E$2:$E$106,'Additions (monthly)'!$D$2:$D$106,AM$2,'Additions (monthly)'!$B$2:$B$106,"&lt;="&amp;$B199)</f>
        <v>0.3</v>
      </c>
      <c r="AN199" s="43" t="n">
        <f aca="false">SUMIFS('Additions (monthly)'!$E$2:$E$106,'Additions (monthly)'!$D$2:$D$106,AN$2,'Additions (monthly)'!$B$2:$B$106,"&lt;="&amp;$B199)</f>
        <v>4.3</v>
      </c>
      <c r="AO199" s="43" t="n">
        <f aca="false">SUMIFS('Additions (monthly)'!$E$2:$E$106,'Additions (monthly)'!$D$2:$D$106,AO$2,'Additions (monthly)'!$B$2:$B$106,"&lt;="&amp;$B199)</f>
        <v>10.4</v>
      </c>
      <c r="AP199" s="43" t="n">
        <f aca="false">SUMIFS('Additions (monthly)'!$E$2:$E$106,'Additions (monthly)'!$D$2:$D$106,AP$2,'Additions (monthly)'!$B$2:$B$106,"&lt;="&amp;$B199)</f>
        <v>6.9</v>
      </c>
      <c r="AQ199" s="43" t="n">
        <f aca="false">SUMIFS('Additions (monthly)'!$E$2:$E$106,'Additions (monthly)'!$D$2:$D$106,AQ$2,'Additions (monthly)'!$B$2:$B$106,"&lt;="&amp;$B199)</f>
        <v>4.45</v>
      </c>
      <c r="AR199" s="43" t="n">
        <f aca="false">SUMIFS('Additions (monthly)'!$E$2:$E$106,'Additions (monthly)'!$D$2:$D$106,AR$2,'Additions (monthly)'!$B$2:$B$106,"&lt;="&amp;$B199)</f>
        <v>77.1</v>
      </c>
      <c r="AS199" s="43" t="n">
        <f aca="false">SUMIFS('Additions (monthly)'!$E$2:$E$106,'Additions (monthly)'!$D$2:$D$106,AS$2,'Additions (monthly)'!$B$2:$B$106,"&lt;="&amp;$B199)</f>
        <v>6.6</v>
      </c>
      <c r="AT199" s="43" t="n">
        <f aca="false">SUMIFS('Additions (monthly)'!$E$2:$E$106,'Additions (monthly)'!$D$2:$D$106,AT$2,'Additions (monthly)'!$B$2:$B$106,"&lt;="&amp;$B199)</f>
        <v>1.5</v>
      </c>
      <c r="AU199" s="43" t="n">
        <f aca="false">SUMIFS('Additions (monthly)'!$E$2:$E$106,'Additions (monthly)'!$D$2:$D$106,AU$2,'Additions (monthly)'!$B$2:$B$106,"&lt;="&amp;$B199)</f>
        <v>9.6</v>
      </c>
      <c r="AV199" s="43" t="n">
        <f aca="false">SUMIFS('Additions (monthly)'!$E$2:$E$106,'Additions (monthly)'!$D$2:$D$106,AV$2,'Additions (monthly)'!$B$2:$B$106,"&lt;="&amp;$B199)</f>
        <v>0.66</v>
      </c>
      <c r="AW199" s="43" t="n">
        <f aca="false">SUMIFS('Additions (monthly)'!$E$2:$E$106,'Additions (monthly)'!$D$2:$D$106,AW$2,'Additions (monthly)'!$B$2:$B$106,"&lt;="&amp;$B199)</f>
        <v>17.4</v>
      </c>
      <c r="AX199" s="43" t="n">
        <f aca="false">SUMIFS('Additions (monthly)'!$E$2:$E$106,'Additions (monthly)'!$D$2:$D$106,AX$2,'Additions (monthly)'!$B$2:$B$106,"&lt;="&amp;$B199)</f>
        <v>11.8</v>
      </c>
      <c r="AY199" s="43" t="n">
        <f aca="false">SUMIFS('Additions (monthly)'!$E$2:$E$106,'Additions (monthly)'!$D$2:$D$106,AY$2,'Additions (monthly)'!$B$2:$B$106,"&lt;="&amp;$B199)</f>
        <v>5.3</v>
      </c>
      <c r="AZ199" s="43" t="n">
        <f aca="false">SUMIFS('Additions (monthly)'!$E$2:$E$106,'Additions (monthly)'!$D$2:$D$106,AZ$2,'Additions (monthly)'!$B$2:$B$106,"&lt;="&amp;$B199)</f>
        <v>9.97</v>
      </c>
      <c r="BA199" s="43" t="n">
        <f aca="false">SUMIFS('Additions (monthly)'!$E$2:$E$106,'Additions (monthly)'!$D$2:$D$106,BA$2,'Additions (monthly)'!$B$2:$B$106,"&lt;="&amp;$B199)</f>
        <v>13.5</v>
      </c>
      <c r="BB199" s="43" t="n">
        <f aca="false">SUMIFS('Additions (monthly)'!$E$2:$E$106,'Additions (monthly)'!$D$2:$D$106,BB$2,'Additions (monthly)'!$B$2:$B$106,"&lt;="&amp;$B199)</f>
        <v>23.94</v>
      </c>
      <c r="BC199" s="43" t="n">
        <f aca="false">SUMIFS('Additions (monthly)'!$E$2:$E$106,'Additions (monthly)'!$D$2:$D$106,BC$2,'Additions (monthly)'!$B$2:$B$106,"&lt;="&amp;$B199)</f>
        <v>5.25</v>
      </c>
      <c r="BD199" s="43" t="n">
        <f aca="false">SUMIFS('Additions (monthly)'!$E$2:$E$106,'Additions (monthly)'!$D$2:$D$106,BD$2,'Additions (monthly)'!$B$2:$B$106,"&lt;="&amp;$B199)</f>
        <v>2.5</v>
      </c>
      <c r="BE199" s="43" t="n">
        <f aca="false">SUMIFS('Additions (monthly)'!$E$2:$E$106,'Additions (monthly)'!$D$2:$D$106,BE$2,'Additions (monthly)'!$B$2:$B$106,"&lt;="&amp;$B199)</f>
        <v>15.3</v>
      </c>
      <c r="BF199" s="43" t="n">
        <f aca="false">SUMIFS('Additions (monthly)'!$E$2:$E$106,'Additions (monthly)'!$D$2:$D$106,BF$2,'Additions (monthly)'!$B$2:$B$106,"&lt;="&amp;$B199)</f>
        <v>5.2</v>
      </c>
      <c r="BG199" s="43" t="n">
        <f aca="false">SUMIFS('Additions (monthly)'!$E$2:$E$106,'Additions (monthly)'!$D$2:$D$106,BG$2,'Additions (monthly)'!$B$2:$B$106,"&lt;="&amp;$B199)</f>
        <v>19.44</v>
      </c>
      <c r="BH199" s="43" t="n">
        <f aca="false">SUMIFS('Additions (monthly)'!$E$2:$E$106,'Additions (monthly)'!$D$2:$D$106,BH$2,'Additions (monthly)'!$B$2:$B$106,"&lt;="&amp;$B199)</f>
        <v>30</v>
      </c>
      <c r="BI199" s="43" t="n">
        <f aca="false">SUMIFS('Additions (monthly)'!$E$2:$E$106,'Additions (monthly)'!$D$2:$D$106,BI$2,'Additions (monthly)'!$B$2:$B$106,"&lt;="&amp;$B199)</f>
        <v>6.7</v>
      </c>
    </row>
    <row r="200" customFormat="false" ht="15" hidden="false" customHeight="false" outlineLevel="0" collapsed="false">
      <c r="A200" s="23" t="n">
        <v>46174</v>
      </c>
      <c r="B200" s="24" t="n">
        <v>202606</v>
      </c>
      <c r="C200" s="42" t="n">
        <f aca="false">SUMIFS('Additions (monthly)'!$E$2:$E$106,'Additions (monthly)'!$B$2:$B$106,"&lt;="&amp;$B200)</f>
        <v>545.38</v>
      </c>
      <c r="D200" s="43" t="n">
        <f aca="false">SUMIFS('Additions (monthly)'!$E$2:$E$106,'Additions (monthly)'!$D$2:$D$106,D$2,'Additions (monthly)'!$B$2:$B$106,"&lt;="&amp;$B200)</f>
        <v>7.9</v>
      </c>
      <c r="E200" s="43" t="n">
        <f aca="false">SUMIFS('Additions (monthly)'!$E$2:$E$106,'Additions (monthly)'!$D$2:$D$106,E$2,'Additions (monthly)'!$B$2:$B$106,"&lt;="&amp;$B200)</f>
        <v>8.4</v>
      </c>
      <c r="F200" s="43" t="n">
        <f aca="false">SUMIFS('Additions (monthly)'!$E$2:$E$106,'Additions (monthly)'!$D$2:$D$106,F$2,'Additions (monthly)'!$B$2:$B$106,"&lt;="&amp;$B200)</f>
        <v>4.7</v>
      </c>
      <c r="G200" s="43" t="n">
        <f aca="false">SUMIFS('Additions (monthly)'!$E$2:$E$106,'Additions (monthly)'!$D$2:$D$106,G$2,'Additions (monthly)'!$B$2:$B$106,"&lt;="&amp;$B200)</f>
        <v>4.5</v>
      </c>
      <c r="H200" s="43" t="n">
        <f aca="false">SUMIFS('Additions (monthly)'!$E$2:$E$106,'Additions (monthly)'!$D$2:$D$106,H$2,'Additions (monthly)'!$B$2:$B$106,"&lt;="&amp;$B200)</f>
        <v>5.2</v>
      </c>
      <c r="I200" s="43" t="n">
        <f aca="false">SUMIFS('Additions (monthly)'!$E$2:$E$106,'Additions (monthly)'!$D$2:$D$106,I$2,'Additions (monthly)'!$B$2:$B$106,"&lt;="&amp;$B200)</f>
        <v>9</v>
      </c>
      <c r="J200" s="43" t="n">
        <f aca="false">SUMIFS('Additions (monthly)'!$E$2:$E$106,'Additions (monthly)'!$D$2:$D$106,J$2,'Additions (monthly)'!$B$2:$B$106,"&lt;="&amp;$B200)</f>
        <v>3.7</v>
      </c>
      <c r="K200" s="43" t="n">
        <f aca="false">SUMIFS('Additions (monthly)'!$E$2:$E$106,'Additions (monthly)'!$D$2:$D$106,K$2,'Additions (monthly)'!$B$2:$B$106,"&lt;="&amp;$B200)</f>
        <v>7.8</v>
      </c>
      <c r="L200" s="43" t="n">
        <f aca="false">SUMIFS('Additions (monthly)'!$E$2:$E$106,'Additions (monthly)'!$D$2:$D$106,L$2,'Additions (monthly)'!$B$2:$B$106,"&lt;="&amp;$B200)</f>
        <v>15.6</v>
      </c>
      <c r="M200" s="43" t="n">
        <f aca="false">SUMIFS('Additions (monthly)'!$E$2:$E$106,'Additions (monthly)'!$D$2:$D$106,M$2,'Additions (monthly)'!$B$2:$B$106,"&lt;="&amp;$B200)</f>
        <v>8.9</v>
      </c>
      <c r="N200" s="43" t="n">
        <f aca="false">SUMIFS('Additions (monthly)'!$E$2:$E$106,'Additions (monthly)'!$D$2:$D$106,N$2,'Additions (monthly)'!$B$2:$B$106,"&lt;="&amp;$B200)</f>
        <v>14.2</v>
      </c>
      <c r="O200" s="43" t="n">
        <f aca="false">SUMIFS('Additions (monthly)'!$E$2:$E$106,'Additions (monthly)'!$D$2:$D$106,O$2,'Additions (monthly)'!$B$2:$B$106,"&lt;="&amp;$B200)</f>
        <v>4.9</v>
      </c>
      <c r="P200" s="43" t="n">
        <f aca="false">SUMIFS('Additions (monthly)'!$E$2:$E$106,'Additions (monthly)'!$D$2:$D$106,P$2,'Additions (monthly)'!$B$2:$B$106,"&lt;="&amp;$B200)</f>
        <v>3.6</v>
      </c>
      <c r="Q200" s="43" t="n">
        <f aca="false">SUMIFS('Additions (monthly)'!$E$2:$E$106,'Additions (monthly)'!$D$2:$D$106,Q$2,'Additions (monthly)'!$B$2:$B$106,"&lt;="&amp;$B200)</f>
        <v>8.5</v>
      </c>
      <c r="R200" s="43" t="n">
        <f aca="false">SUMIFS('Additions (monthly)'!$E$2:$E$106,'Additions (monthly)'!$D$2:$D$106,R$2,'Additions (monthly)'!$B$2:$B$106,"&lt;="&amp;$B200)</f>
        <v>8.9</v>
      </c>
      <c r="S200" s="43" t="n">
        <f aca="false">SUMIFS('Additions (monthly)'!$E$2:$E$106,'Additions (monthly)'!$D$2:$D$106,S$2,'Additions (monthly)'!$B$2:$B$106,"&lt;="&amp;$B200)</f>
        <v>7.2</v>
      </c>
      <c r="T200" s="43" t="n">
        <f aca="false">SUMIFS('Additions (monthly)'!$E$2:$E$106,'Additions (monthly)'!$D$2:$D$106,T$2,'Additions (monthly)'!$B$2:$B$106,"&lt;="&amp;$B200)</f>
        <v>2.4</v>
      </c>
      <c r="U200" s="43" t="n">
        <f aca="false">SUMIFS('Additions (monthly)'!$E$2:$E$106,'Additions (monthly)'!$D$2:$D$106,U$2,'Additions (monthly)'!$B$2:$B$106,"&lt;="&amp;$B200)</f>
        <v>14</v>
      </c>
      <c r="V200" s="43" t="n">
        <f aca="false">SUMIFS('Additions (monthly)'!$E$2:$E$106,'Additions (monthly)'!$D$2:$D$106,V$2,'Additions (monthly)'!$B$2:$B$106,"&lt;="&amp;$B200)</f>
        <v>3.87</v>
      </c>
      <c r="W200" s="43" t="n">
        <f aca="false">SUMIFS('Additions (monthly)'!$E$2:$E$106,'Additions (monthly)'!$D$2:$D$106,W$2,'Additions (monthly)'!$B$2:$B$106,"&lt;="&amp;$B200)</f>
        <v>0.6</v>
      </c>
      <c r="X200" s="43" t="n">
        <f aca="false">SUMIFS('Additions (monthly)'!$E$2:$E$106,'Additions (monthly)'!$D$2:$D$106,X$2,'Additions (monthly)'!$B$2:$B$106,"&lt;="&amp;$B200)</f>
        <v>2.4</v>
      </c>
      <c r="Y200" s="43" t="n">
        <f aca="false">SUMIFS('Additions (monthly)'!$E$2:$E$106,'Additions (monthly)'!$D$2:$D$106,Y$2,'Additions (monthly)'!$B$2:$B$106,"&lt;="&amp;$B200)</f>
        <v>5</v>
      </c>
      <c r="Z200" s="43" t="n">
        <f aca="false">SUMIFS('Additions (monthly)'!$E$2:$E$106,'Additions (monthly)'!$D$2:$D$106,Z$2,'Additions (monthly)'!$B$2:$B$106,"&lt;="&amp;$B200)</f>
        <v>7.2</v>
      </c>
      <c r="AA200" s="43" t="n">
        <f aca="false">SUMIFS('Additions (monthly)'!$E$2:$E$106,'Additions (monthly)'!$D$2:$D$106,AA$2,'Additions (monthly)'!$B$2:$B$106,"&lt;="&amp;$B200)</f>
        <v>3.7</v>
      </c>
      <c r="AB200" s="43" t="n">
        <f aca="false">SUMIFS('Additions (monthly)'!$E$2:$E$106,'Additions (monthly)'!$D$2:$D$106,AB$2,'Additions (monthly)'!$B$2:$B$106,"&lt;="&amp;$B200)</f>
        <v>16.95</v>
      </c>
      <c r="AC200" s="43" t="n">
        <f aca="false">SUMIFS('Additions (monthly)'!$E$2:$E$106,'Additions (monthly)'!$D$2:$D$106,AC$2,'Additions (monthly)'!$B$2:$B$106,"&lt;="&amp;$B200)</f>
        <v>2</v>
      </c>
      <c r="AD200" s="43" t="n">
        <f aca="false">SUMIFS('Additions (monthly)'!$E$2:$E$106,'Additions (monthly)'!$D$2:$D$106,AD$2,'Additions (monthly)'!$B$2:$B$106,"&lt;="&amp;$B200)</f>
        <v>11.4</v>
      </c>
      <c r="AE200" s="43" t="n">
        <f aca="false">SUMIFS('Additions (monthly)'!$E$2:$E$106,'Additions (monthly)'!$D$2:$D$106,AE$2,'Additions (monthly)'!$B$2:$B$106,"&lt;="&amp;$B200)</f>
        <v>29.3</v>
      </c>
      <c r="AF200" s="43" t="n">
        <f aca="false">SUMIFS('Additions (monthly)'!$E$2:$E$106,'Additions (monthly)'!$D$2:$D$106,AF$2,'Additions (monthly)'!$B$2:$B$106,"&lt;="&amp;$B200)</f>
        <v>1.2</v>
      </c>
      <c r="AG200" s="43" t="n">
        <f aca="false">SUMIFS('Additions (monthly)'!$E$2:$E$106,'Additions (monthly)'!$D$2:$D$106,AG$2,'Additions (monthly)'!$B$2:$B$106,"&lt;="&amp;$B200)</f>
        <v>1.5</v>
      </c>
      <c r="AH200" s="43" t="n">
        <f aca="false">SUMIFS('Additions (monthly)'!$E$2:$E$106,'Additions (monthly)'!$D$2:$D$106,AH$2,'Additions (monthly)'!$B$2:$B$106,"&lt;="&amp;$B200)</f>
        <v>2.5</v>
      </c>
      <c r="AI200" s="43" t="n">
        <f aca="false">SUMIFS('Additions (monthly)'!$E$2:$E$106,'Additions (monthly)'!$D$2:$D$106,AI$2,'Additions (monthly)'!$B$2:$B$106,"&lt;="&amp;$B200)</f>
        <v>1.4</v>
      </c>
      <c r="AJ200" s="43" t="n">
        <f aca="false">SUMIFS('Additions (monthly)'!$E$2:$E$106,'Additions (monthly)'!$D$2:$D$106,AJ$2,'Additions (monthly)'!$B$2:$B$106,"&lt;="&amp;$B200)</f>
        <v>3.25</v>
      </c>
      <c r="AK200" s="43" t="n">
        <f aca="false">SUMIFS('Additions (monthly)'!$E$2:$E$106,'Additions (monthly)'!$D$2:$D$106,AK$2,'Additions (monthly)'!$B$2:$B$106,"&lt;="&amp;$B200)</f>
        <v>3.4</v>
      </c>
      <c r="AL200" s="43" t="n">
        <f aca="false">SUMIFS('Additions (monthly)'!$E$2:$E$106,'Additions (monthly)'!$D$2:$D$106,AL$2,'Additions (monthly)'!$B$2:$B$106,"&lt;="&amp;$B200)</f>
        <v>22.2</v>
      </c>
      <c r="AM200" s="43" t="n">
        <f aca="false">SUMIFS('Additions (monthly)'!$E$2:$E$106,'Additions (monthly)'!$D$2:$D$106,AM$2,'Additions (monthly)'!$B$2:$B$106,"&lt;="&amp;$B200)</f>
        <v>0.3</v>
      </c>
      <c r="AN200" s="43" t="n">
        <f aca="false">SUMIFS('Additions (monthly)'!$E$2:$E$106,'Additions (monthly)'!$D$2:$D$106,AN$2,'Additions (monthly)'!$B$2:$B$106,"&lt;="&amp;$B200)</f>
        <v>4.3</v>
      </c>
      <c r="AO200" s="43" t="n">
        <f aca="false">SUMIFS('Additions (monthly)'!$E$2:$E$106,'Additions (monthly)'!$D$2:$D$106,AO$2,'Additions (monthly)'!$B$2:$B$106,"&lt;="&amp;$B200)</f>
        <v>10.4</v>
      </c>
      <c r="AP200" s="43" t="n">
        <f aca="false">SUMIFS('Additions (monthly)'!$E$2:$E$106,'Additions (monthly)'!$D$2:$D$106,AP$2,'Additions (monthly)'!$B$2:$B$106,"&lt;="&amp;$B200)</f>
        <v>6.9</v>
      </c>
      <c r="AQ200" s="43" t="n">
        <f aca="false">SUMIFS('Additions (monthly)'!$E$2:$E$106,'Additions (monthly)'!$D$2:$D$106,AQ$2,'Additions (monthly)'!$B$2:$B$106,"&lt;="&amp;$B200)</f>
        <v>4.45</v>
      </c>
      <c r="AR200" s="43" t="n">
        <f aca="false">SUMIFS('Additions (monthly)'!$E$2:$E$106,'Additions (monthly)'!$D$2:$D$106,AR$2,'Additions (monthly)'!$B$2:$B$106,"&lt;="&amp;$B200)</f>
        <v>77.1</v>
      </c>
      <c r="AS200" s="43" t="n">
        <f aca="false">SUMIFS('Additions (monthly)'!$E$2:$E$106,'Additions (monthly)'!$D$2:$D$106,AS$2,'Additions (monthly)'!$B$2:$B$106,"&lt;="&amp;$B200)</f>
        <v>6.6</v>
      </c>
      <c r="AT200" s="43" t="n">
        <f aca="false">SUMIFS('Additions (monthly)'!$E$2:$E$106,'Additions (monthly)'!$D$2:$D$106,AT$2,'Additions (monthly)'!$B$2:$B$106,"&lt;="&amp;$B200)</f>
        <v>1.5</v>
      </c>
      <c r="AU200" s="43" t="n">
        <f aca="false">SUMIFS('Additions (monthly)'!$E$2:$E$106,'Additions (monthly)'!$D$2:$D$106,AU$2,'Additions (monthly)'!$B$2:$B$106,"&lt;="&amp;$B200)</f>
        <v>9.6</v>
      </c>
      <c r="AV200" s="43" t="n">
        <f aca="false">SUMIFS('Additions (monthly)'!$E$2:$E$106,'Additions (monthly)'!$D$2:$D$106,AV$2,'Additions (monthly)'!$B$2:$B$106,"&lt;="&amp;$B200)</f>
        <v>0.66</v>
      </c>
      <c r="AW200" s="43" t="n">
        <f aca="false">SUMIFS('Additions (monthly)'!$E$2:$E$106,'Additions (monthly)'!$D$2:$D$106,AW$2,'Additions (monthly)'!$B$2:$B$106,"&lt;="&amp;$B200)</f>
        <v>17.4</v>
      </c>
      <c r="AX200" s="43" t="n">
        <f aca="false">SUMIFS('Additions (monthly)'!$E$2:$E$106,'Additions (monthly)'!$D$2:$D$106,AX$2,'Additions (monthly)'!$B$2:$B$106,"&lt;="&amp;$B200)</f>
        <v>11.8</v>
      </c>
      <c r="AY200" s="43" t="n">
        <f aca="false">SUMIFS('Additions (monthly)'!$E$2:$E$106,'Additions (monthly)'!$D$2:$D$106,AY$2,'Additions (monthly)'!$B$2:$B$106,"&lt;="&amp;$B200)</f>
        <v>5.3</v>
      </c>
      <c r="AZ200" s="43" t="n">
        <f aca="false">SUMIFS('Additions (monthly)'!$E$2:$E$106,'Additions (monthly)'!$D$2:$D$106,AZ$2,'Additions (monthly)'!$B$2:$B$106,"&lt;="&amp;$B200)</f>
        <v>9.97</v>
      </c>
      <c r="BA200" s="43" t="n">
        <f aca="false">SUMIFS('Additions (monthly)'!$E$2:$E$106,'Additions (monthly)'!$D$2:$D$106,BA$2,'Additions (monthly)'!$B$2:$B$106,"&lt;="&amp;$B200)</f>
        <v>13.5</v>
      </c>
      <c r="BB200" s="43" t="n">
        <f aca="false">SUMIFS('Additions (monthly)'!$E$2:$E$106,'Additions (monthly)'!$D$2:$D$106,BB$2,'Additions (monthly)'!$B$2:$B$106,"&lt;="&amp;$B200)</f>
        <v>23.94</v>
      </c>
      <c r="BC200" s="43" t="n">
        <f aca="false">SUMIFS('Additions (monthly)'!$E$2:$E$106,'Additions (monthly)'!$D$2:$D$106,BC$2,'Additions (monthly)'!$B$2:$B$106,"&lt;="&amp;$B200)</f>
        <v>5.25</v>
      </c>
      <c r="BD200" s="43" t="n">
        <f aca="false">SUMIFS('Additions (monthly)'!$E$2:$E$106,'Additions (monthly)'!$D$2:$D$106,BD$2,'Additions (monthly)'!$B$2:$B$106,"&lt;="&amp;$B200)</f>
        <v>2.5</v>
      </c>
      <c r="BE200" s="43" t="n">
        <f aca="false">SUMIFS('Additions (monthly)'!$E$2:$E$106,'Additions (monthly)'!$D$2:$D$106,BE$2,'Additions (monthly)'!$B$2:$B$106,"&lt;="&amp;$B200)</f>
        <v>15.3</v>
      </c>
      <c r="BF200" s="43" t="n">
        <f aca="false">SUMIFS('Additions (monthly)'!$E$2:$E$106,'Additions (monthly)'!$D$2:$D$106,BF$2,'Additions (monthly)'!$B$2:$B$106,"&lt;="&amp;$B200)</f>
        <v>5.2</v>
      </c>
      <c r="BG200" s="43" t="n">
        <f aca="false">SUMIFS('Additions (monthly)'!$E$2:$E$106,'Additions (monthly)'!$D$2:$D$106,BG$2,'Additions (monthly)'!$B$2:$B$106,"&lt;="&amp;$B200)</f>
        <v>19.44</v>
      </c>
      <c r="BH200" s="43" t="n">
        <f aca="false">SUMIFS('Additions (monthly)'!$E$2:$E$106,'Additions (monthly)'!$D$2:$D$106,BH$2,'Additions (monthly)'!$B$2:$B$106,"&lt;="&amp;$B200)</f>
        <v>30</v>
      </c>
      <c r="BI200" s="43" t="n">
        <f aca="false">SUMIFS('Additions (monthly)'!$E$2:$E$106,'Additions (monthly)'!$D$2:$D$106,BI$2,'Additions (monthly)'!$B$2:$B$106,"&lt;="&amp;$B200)</f>
        <v>6.7</v>
      </c>
    </row>
    <row r="201" customFormat="false" ht="15" hidden="false" customHeight="false" outlineLevel="0" collapsed="false">
      <c r="A201" s="23" t="n">
        <v>46204</v>
      </c>
      <c r="B201" s="24" t="n">
        <v>202607</v>
      </c>
      <c r="C201" s="42" t="n">
        <f aca="false">SUMIFS('Additions (monthly)'!$E$2:$E$106,'Additions (monthly)'!$B$2:$B$106,"&lt;="&amp;$B201)</f>
        <v>545.38</v>
      </c>
      <c r="D201" s="43" t="n">
        <f aca="false">SUMIFS('Additions (monthly)'!$E$2:$E$106,'Additions (monthly)'!$D$2:$D$106,D$2,'Additions (monthly)'!$B$2:$B$106,"&lt;="&amp;$B201)</f>
        <v>7.9</v>
      </c>
      <c r="E201" s="43" t="n">
        <f aca="false">SUMIFS('Additions (monthly)'!$E$2:$E$106,'Additions (monthly)'!$D$2:$D$106,E$2,'Additions (monthly)'!$B$2:$B$106,"&lt;="&amp;$B201)</f>
        <v>8.4</v>
      </c>
      <c r="F201" s="43" t="n">
        <f aca="false">SUMIFS('Additions (monthly)'!$E$2:$E$106,'Additions (monthly)'!$D$2:$D$106,F$2,'Additions (monthly)'!$B$2:$B$106,"&lt;="&amp;$B201)</f>
        <v>4.7</v>
      </c>
      <c r="G201" s="43" t="n">
        <f aca="false">SUMIFS('Additions (monthly)'!$E$2:$E$106,'Additions (monthly)'!$D$2:$D$106,G$2,'Additions (monthly)'!$B$2:$B$106,"&lt;="&amp;$B201)</f>
        <v>4.5</v>
      </c>
      <c r="H201" s="43" t="n">
        <f aca="false">SUMIFS('Additions (monthly)'!$E$2:$E$106,'Additions (monthly)'!$D$2:$D$106,H$2,'Additions (monthly)'!$B$2:$B$106,"&lt;="&amp;$B201)</f>
        <v>5.2</v>
      </c>
      <c r="I201" s="43" t="n">
        <f aca="false">SUMIFS('Additions (monthly)'!$E$2:$E$106,'Additions (monthly)'!$D$2:$D$106,I$2,'Additions (monthly)'!$B$2:$B$106,"&lt;="&amp;$B201)</f>
        <v>9</v>
      </c>
      <c r="J201" s="43" t="n">
        <f aca="false">SUMIFS('Additions (monthly)'!$E$2:$E$106,'Additions (monthly)'!$D$2:$D$106,J$2,'Additions (monthly)'!$B$2:$B$106,"&lt;="&amp;$B201)</f>
        <v>3.7</v>
      </c>
      <c r="K201" s="43" t="n">
        <f aca="false">SUMIFS('Additions (monthly)'!$E$2:$E$106,'Additions (monthly)'!$D$2:$D$106,K$2,'Additions (monthly)'!$B$2:$B$106,"&lt;="&amp;$B201)</f>
        <v>7.8</v>
      </c>
      <c r="L201" s="43" t="n">
        <f aca="false">SUMIFS('Additions (monthly)'!$E$2:$E$106,'Additions (monthly)'!$D$2:$D$106,L$2,'Additions (monthly)'!$B$2:$B$106,"&lt;="&amp;$B201)</f>
        <v>15.6</v>
      </c>
      <c r="M201" s="43" t="n">
        <f aca="false">SUMIFS('Additions (monthly)'!$E$2:$E$106,'Additions (monthly)'!$D$2:$D$106,M$2,'Additions (monthly)'!$B$2:$B$106,"&lt;="&amp;$B201)</f>
        <v>8.9</v>
      </c>
      <c r="N201" s="43" t="n">
        <f aca="false">SUMIFS('Additions (monthly)'!$E$2:$E$106,'Additions (monthly)'!$D$2:$D$106,N$2,'Additions (monthly)'!$B$2:$B$106,"&lt;="&amp;$B201)</f>
        <v>14.2</v>
      </c>
      <c r="O201" s="43" t="n">
        <f aca="false">SUMIFS('Additions (monthly)'!$E$2:$E$106,'Additions (monthly)'!$D$2:$D$106,O$2,'Additions (monthly)'!$B$2:$B$106,"&lt;="&amp;$B201)</f>
        <v>4.9</v>
      </c>
      <c r="P201" s="43" t="n">
        <f aca="false">SUMIFS('Additions (monthly)'!$E$2:$E$106,'Additions (monthly)'!$D$2:$D$106,P$2,'Additions (monthly)'!$B$2:$B$106,"&lt;="&amp;$B201)</f>
        <v>3.6</v>
      </c>
      <c r="Q201" s="43" t="n">
        <f aca="false">SUMIFS('Additions (monthly)'!$E$2:$E$106,'Additions (monthly)'!$D$2:$D$106,Q$2,'Additions (monthly)'!$B$2:$B$106,"&lt;="&amp;$B201)</f>
        <v>8.5</v>
      </c>
      <c r="R201" s="43" t="n">
        <f aca="false">SUMIFS('Additions (monthly)'!$E$2:$E$106,'Additions (monthly)'!$D$2:$D$106,R$2,'Additions (monthly)'!$B$2:$B$106,"&lt;="&amp;$B201)</f>
        <v>8.9</v>
      </c>
      <c r="S201" s="43" t="n">
        <f aca="false">SUMIFS('Additions (monthly)'!$E$2:$E$106,'Additions (monthly)'!$D$2:$D$106,S$2,'Additions (monthly)'!$B$2:$B$106,"&lt;="&amp;$B201)</f>
        <v>7.2</v>
      </c>
      <c r="T201" s="43" t="n">
        <f aca="false">SUMIFS('Additions (monthly)'!$E$2:$E$106,'Additions (monthly)'!$D$2:$D$106,T$2,'Additions (monthly)'!$B$2:$B$106,"&lt;="&amp;$B201)</f>
        <v>2.4</v>
      </c>
      <c r="U201" s="43" t="n">
        <f aca="false">SUMIFS('Additions (monthly)'!$E$2:$E$106,'Additions (monthly)'!$D$2:$D$106,U$2,'Additions (monthly)'!$B$2:$B$106,"&lt;="&amp;$B201)</f>
        <v>14</v>
      </c>
      <c r="V201" s="43" t="n">
        <f aca="false">SUMIFS('Additions (monthly)'!$E$2:$E$106,'Additions (monthly)'!$D$2:$D$106,V$2,'Additions (monthly)'!$B$2:$B$106,"&lt;="&amp;$B201)</f>
        <v>3.87</v>
      </c>
      <c r="W201" s="43" t="n">
        <f aca="false">SUMIFS('Additions (monthly)'!$E$2:$E$106,'Additions (monthly)'!$D$2:$D$106,W$2,'Additions (monthly)'!$B$2:$B$106,"&lt;="&amp;$B201)</f>
        <v>0.6</v>
      </c>
      <c r="X201" s="43" t="n">
        <f aca="false">SUMIFS('Additions (monthly)'!$E$2:$E$106,'Additions (monthly)'!$D$2:$D$106,X$2,'Additions (monthly)'!$B$2:$B$106,"&lt;="&amp;$B201)</f>
        <v>2.4</v>
      </c>
      <c r="Y201" s="43" t="n">
        <f aca="false">SUMIFS('Additions (monthly)'!$E$2:$E$106,'Additions (monthly)'!$D$2:$D$106,Y$2,'Additions (monthly)'!$B$2:$B$106,"&lt;="&amp;$B201)</f>
        <v>5</v>
      </c>
      <c r="Z201" s="43" t="n">
        <f aca="false">SUMIFS('Additions (monthly)'!$E$2:$E$106,'Additions (monthly)'!$D$2:$D$106,Z$2,'Additions (monthly)'!$B$2:$B$106,"&lt;="&amp;$B201)</f>
        <v>7.2</v>
      </c>
      <c r="AA201" s="43" t="n">
        <f aca="false">SUMIFS('Additions (monthly)'!$E$2:$E$106,'Additions (monthly)'!$D$2:$D$106,AA$2,'Additions (monthly)'!$B$2:$B$106,"&lt;="&amp;$B201)</f>
        <v>3.7</v>
      </c>
      <c r="AB201" s="43" t="n">
        <f aca="false">SUMIFS('Additions (monthly)'!$E$2:$E$106,'Additions (monthly)'!$D$2:$D$106,AB$2,'Additions (monthly)'!$B$2:$B$106,"&lt;="&amp;$B201)</f>
        <v>16.95</v>
      </c>
      <c r="AC201" s="43" t="n">
        <f aca="false">SUMIFS('Additions (monthly)'!$E$2:$E$106,'Additions (monthly)'!$D$2:$D$106,AC$2,'Additions (monthly)'!$B$2:$B$106,"&lt;="&amp;$B201)</f>
        <v>2</v>
      </c>
      <c r="AD201" s="43" t="n">
        <f aca="false">SUMIFS('Additions (monthly)'!$E$2:$E$106,'Additions (monthly)'!$D$2:$D$106,AD$2,'Additions (monthly)'!$B$2:$B$106,"&lt;="&amp;$B201)</f>
        <v>11.4</v>
      </c>
      <c r="AE201" s="43" t="n">
        <f aca="false">SUMIFS('Additions (monthly)'!$E$2:$E$106,'Additions (monthly)'!$D$2:$D$106,AE$2,'Additions (monthly)'!$B$2:$B$106,"&lt;="&amp;$B201)</f>
        <v>29.3</v>
      </c>
      <c r="AF201" s="43" t="n">
        <f aca="false">SUMIFS('Additions (monthly)'!$E$2:$E$106,'Additions (monthly)'!$D$2:$D$106,AF$2,'Additions (monthly)'!$B$2:$B$106,"&lt;="&amp;$B201)</f>
        <v>1.2</v>
      </c>
      <c r="AG201" s="43" t="n">
        <f aca="false">SUMIFS('Additions (monthly)'!$E$2:$E$106,'Additions (monthly)'!$D$2:$D$106,AG$2,'Additions (monthly)'!$B$2:$B$106,"&lt;="&amp;$B201)</f>
        <v>1.5</v>
      </c>
      <c r="AH201" s="43" t="n">
        <f aca="false">SUMIFS('Additions (monthly)'!$E$2:$E$106,'Additions (monthly)'!$D$2:$D$106,AH$2,'Additions (monthly)'!$B$2:$B$106,"&lt;="&amp;$B201)</f>
        <v>2.5</v>
      </c>
      <c r="AI201" s="43" t="n">
        <f aca="false">SUMIFS('Additions (monthly)'!$E$2:$E$106,'Additions (monthly)'!$D$2:$D$106,AI$2,'Additions (monthly)'!$B$2:$B$106,"&lt;="&amp;$B201)</f>
        <v>1.4</v>
      </c>
      <c r="AJ201" s="43" t="n">
        <f aca="false">SUMIFS('Additions (monthly)'!$E$2:$E$106,'Additions (monthly)'!$D$2:$D$106,AJ$2,'Additions (monthly)'!$B$2:$B$106,"&lt;="&amp;$B201)</f>
        <v>3.25</v>
      </c>
      <c r="AK201" s="43" t="n">
        <f aca="false">SUMIFS('Additions (monthly)'!$E$2:$E$106,'Additions (monthly)'!$D$2:$D$106,AK$2,'Additions (monthly)'!$B$2:$B$106,"&lt;="&amp;$B201)</f>
        <v>3.4</v>
      </c>
      <c r="AL201" s="43" t="n">
        <f aca="false">SUMIFS('Additions (monthly)'!$E$2:$E$106,'Additions (monthly)'!$D$2:$D$106,AL$2,'Additions (monthly)'!$B$2:$B$106,"&lt;="&amp;$B201)</f>
        <v>22.2</v>
      </c>
      <c r="AM201" s="43" t="n">
        <f aca="false">SUMIFS('Additions (monthly)'!$E$2:$E$106,'Additions (monthly)'!$D$2:$D$106,AM$2,'Additions (monthly)'!$B$2:$B$106,"&lt;="&amp;$B201)</f>
        <v>0.3</v>
      </c>
      <c r="AN201" s="43" t="n">
        <f aca="false">SUMIFS('Additions (monthly)'!$E$2:$E$106,'Additions (monthly)'!$D$2:$D$106,AN$2,'Additions (monthly)'!$B$2:$B$106,"&lt;="&amp;$B201)</f>
        <v>4.3</v>
      </c>
      <c r="AO201" s="43" t="n">
        <f aca="false">SUMIFS('Additions (monthly)'!$E$2:$E$106,'Additions (monthly)'!$D$2:$D$106,AO$2,'Additions (monthly)'!$B$2:$B$106,"&lt;="&amp;$B201)</f>
        <v>10.4</v>
      </c>
      <c r="AP201" s="43" t="n">
        <f aca="false">SUMIFS('Additions (monthly)'!$E$2:$E$106,'Additions (monthly)'!$D$2:$D$106,AP$2,'Additions (monthly)'!$B$2:$B$106,"&lt;="&amp;$B201)</f>
        <v>6.9</v>
      </c>
      <c r="AQ201" s="43" t="n">
        <f aca="false">SUMIFS('Additions (monthly)'!$E$2:$E$106,'Additions (monthly)'!$D$2:$D$106,AQ$2,'Additions (monthly)'!$B$2:$B$106,"&lt;="&amp;$B201)</f>
        <v>4.45</v>
      </c>
      <c r="AR201" s="43" t="n">
        <f aca="false">SUMIFS('Additions (monthly)'!$E$2:$E$106,'Additions (monthly)'!$D$2:$D$106,AR$2,'Additions (monthly)'!$B$2:$B$106,"&lt;="&amp;$B201)</f>
        <v>77.1</v>
      </c>
      <c r="AS201" s="43" t="n">
        <f aca="false">SUMIFS('Additions (monthly)'!$E$2:$E$106,'Additions (monthly)'!$D$2:$D$106,AS$2,'Additions (monthly)'!$B$2:$B$106,"&lt;="&amp;$B201)</f>
        <v>6.6</v>
      </c>
      <c r="AT201" s="43" t="n">
        <f aca="false">SUMIFS('Additions (monthly)'!$E$2:$E$106,'Additions (monthly)'!$D$2:$D$106,AT$2,'Additions (monthly)'!$B$2:$B$106,"&lt;="&amp;$B201)</f>
        <v>1.5</v>
      </c>
      <c r="AU201" s="43" t="n">
        <f aca="false">SUMIFS('Additions (monthly)'!$E$2:$E$106,'Additions (monthly)'!$D$2:$D$106,AU$2,'Additions (monthly)'!$B$2:$B$106,"&lt;="&amp;$B201)</f>
        <v>9.6</v>
      </c>
      <c r="AV201" s="43" t="n">
        <f aca="false">SUMIFS('Additions (monthly)'!$E$2:$E$106,'Additions (monthly)'!$D$2:$D$106,AV$2,'Additions (monthly)'!$B$2:$B$106,"&lt;="&amp;$B201)</f>
        <v>0.66</v>
      </c>
      <c r="AW201" s="43" t="n">
        <f aca="false">SUMIFS('Additions (monthly)'!$E$2:$E$106,'Additions (monthly)'!$D$2:$D$106,AW$2,'Additions (monthly)'!$B$2:$B$106,"&lt;="&amp;$B201)</f>
        <v>17.4</v>
      </c>
      <c r="AX201" s="43" t="n">
        <f aca="false">SUMIFS('Additions (monthly)'!$E$2:$E$106,'Additions (monthly)'!$D$2:$D$106,AX$2,'Additions (monthly)'!$B$2:$B$106,"&lt;="&amp;$B201)</f>
        <v>11.8</v>
      </c>
      <c r="AY201" s="43" t="n">
        <f aca="false">SUMIFS('Additions (monthly)'!$E$2:$E$106,'Additions (monthly)'!$D$2:$D$106,AY$2,'Additions (monthly)'!$B$2:$B$106,"&lt;="&amp;$B201)</f>
        <v>5.3</v>
      </c>
      <c r="AZ201" s="43" t="n">
        <f aca="false">SUMIFS('Additions (monthly)'!$E$2:$E$106,'Additions (monthly)'!$D$2:$D$106,AZ$2,'Additions (monthly)'!$B$2:$B$106,"&lt;="&amp;$B201)</f>
        <v>9.97</v>
      </c>
      <c r="BA201" s="43" t="n">
        <f aca="false">SUMIFS('Additions (monthly)'!$E$2:$E$106,'Additions (monthly)'!$D$2:$D$106,BA$2,'Additions (monthly)'!$B$2:$B$106,"&lt;="&amp;$B201)</f>
        <v>13.5</v>
      </c>
      <c r="BB201" s="43" t="n">
        <f aca="false">SUMIFS('Additions (monthly)'!$E$2:$E$106,'Additions (monthly)'!$D$2:$D$106,BB$2,'Additions (monthly)'!$B$2:$B$106,"&lt;="&amp;$B201)</f>
        <v>23.94</v>
      </c>
      <c r="BC201" s="43" t="n">
        <f aca="false">SUMIFS('Additions (monthly)'!$E$2:$E$106,'Additions (monthly)'!$D$2:$D$106,BC$2,'Additions (monthly)'!$B$2:$B$106,"&lt;="&amp;$B201)</f>
        <v>5.25</v>
      </c>
      <c r="BD201" s="43" t="n">
        <f aca="false">SUMIFS('Additions (monthly)'!$E$2:$E$106,'Additions (monthly)'!$D$2:$D$106,BD$2,'Additions (monthly)'!$B$2:$B$106,"&lt;="&amp;$B201)</f>
        <v>2.5</v>
      </c>
      <c r="BE201" s="43" t="n">
        <f aca="false">SUMIFS('Additions (monthly)'!$E$2:$E$106,'Additions (monthly)'!$D$2:$D$106,BE$2,'Additions (monthly)'!$B$2:$B$106,"&lt;="&amp;$B201)</f>
        <v>15.3</v>
      </c>
      <c r="BF201" s="43" t="n">
        <f aca="false">SUMIFS('Additions (monthly)'!$E$2:$E$106,'Additions (monthly)'!$D$2:$D$106,BF$2,'Additions (monthly)'!$B$2:$B$106,"&lt;="&amp;$B201)</f>
        <v>5.2</v>
      </c>
      <c r="BG201" s="43" t="n">
        <f aca="false">SUMIFS('Additions (monthly)'!$E$2:$E$106,'Additions (monthly)'!$D$2:$D$106,BG$2,'Additions (monthly)'!$B$2:$B$106,"&lt;="&amp;$B201)</f>
        <v>19.44</v>
      </c>
      <c r="BH201" s="43" t="n">
        <f aca="false">SUMIFS('Additions (monthly)'!$E$2:$E$106,'Additions (monthly)'!$D$2:$D$106,BH$2,'Additions (monthly)'!$B$2:$B$106,"&lt;="&amp;$B201)</f>
        <v>30</v>
      </c>
      <c r="BI201" s="43" t="n">
        <f aca="false">SUMIFS('Additions (monthly)'!$E$2:$E$106,'Additions (monthly)'!$D$2:$D$106,BI$2,'Additions (monthly)'!$B$2:$B$106,"&lt;="&amp;$B201)</f>
        <v>6.7</v>
      </c>
    </row>
    <row r="202" customFormat="false" ht="15" hidden="false" customHeight="false" outlineLevel="0" collapsed="false">
      <c r="A202" s="23" t="n">
        <v>46235</v>
      </c>
      <c r="B202" s="24" t="n">
        <v>202608</v>
      </c>
      <c r="C202" s="42" t="n">
        <f aca="false">SUMIFS('Additions (monthly)'!$E$2:$E$106,'Additions (monthly)'!$B$2:$B$106,"&lt;="&amp;$B202)</f>
        <v>545.38</v>
      </c>
      <c r="D202" s="43" t="n">
        <f aca="false">SUMIFS('Additions (monthly)'!$E$2:$E$106,'Additions (monthly)'!$D$2:$D$106,D$2,'Additions (monthly)'!$B$2:$B$106,"&lt;="&amp;$B202)</f>
        <v>7.9</v>
      </c>
      <c r="E202" s="43" t="n">
        <f aca="false">SUMIFS('Additions (monthly)'!$E$2:$E$106,'Additions (monthly)'!$D$2:$D$106,E$2,'Additions (monthly)'!$B$2:$B$106,"&lt;="&amp;$B202)</f>
        <v>8.4</v>
      </c>
      <c r="F202" s="43" t="n">
        <f aca="false">SUMIFS('Additions (monthly)'!$E$2:$E$106,'Additions (monthly)'!$D$2:$D$106,F$2,'Additions (monthly)'!$B$2:$B$106,"&lt;="&amp;$B202)</f>
        <v>4.7</v>
      </c>
      <c r="G202" s="43" t="n">
        <f aca="false">SUMIFS('Additions (monthly)'!$E$2:$E$106,'Additions (monthly)'!$D$2:$D$106,G$2,'Additions (monthly)'!$B$2:$B$106,"&lt;="&amp;$B202)</f>
        <v>4.5</v>
      </c>
      <c r="H202" s="43" t="n">
        <f aca="false">SUMIFS('Additions (monthly)'!$E$2:$E$106,'Additions (monthly)'!$D$2:$D$106,H$2,'Additions (monthly)'!$B$2:$B$106,"&lt;="&amp;$B202)</f>
        <v>5.2</v>
      </c>
      <c r="I202" s="43" t="n">
        <f aca="false">SUMIFS('Additions (monthly)'!$E$2:$E$106,'Additions (monthly)'!$D$2:$D$106,I$2,'Additions (monthly)'!$B$2:$B$106,"&lt;="&amp;$B202)</f>
        <v>9</v>
      </c>
      <c r="J202" s="43" t="n">
        <f aca="false">SUMIFS('Additions (monthly)'!$E$2:$E$106,'Additions (monthly)'!$D$2:$D$106,J$2,'Additions (monthly)'!$B$2:$B$106,"&lt;="&amp;$B202)</f>
        <v>3.7</v>
      </c>
      <c r="K202" s="43" t="n">
        <f aca="false">SUMIFS('Additions (monthly)'!$E$2:$E$106,'Additions (monthly)'!$D$2:$D$106,K$2,'Additions (monthly)'!$B$2:$B$106,"&lt;="&amp;$B202)</f>
        <v>7.8</v>
      </c>
      <c r="L202" s="43" t="n">
        <f aca="false">SUMIFS('Additions (monthly)'!$E$2:$E$106,'Additions (monthly)'!$D$2:$D$106,L$2,'Additions (monthly)'!$B$2:$B$106,"&lt;="&amp;$B202)</f>
        <v>15.6</v>
      </c>
      <c r="M202" s="43" t="n">
        <f aca="false">SUMIFS('Additions (monthly)'!$E$2:$E$106,'Additions (monthly)'!$D$2:$D$106,M$2,'Additions (monthly)'!$B$2:$B$106,"&lt;="&amp;$B202)</f>
        <v>8.9</v>
      </c>
      <c r="N202" s="43" t="n">
        <f aca="false">SUMIFS('Additions (monthly)'!$E$2:$E$106,'Additions (monthly)'!$D$2:$D$106,N$2,'Additions (monthly)'!$B$2:$B$106,"&lt;="&amp;$B202)</f>
        <v>14.2</v>
      </c>
      <c r="O202" s="43" t="n">
        <f aca="false">SUMIFS('Additions (monthly)'!$E$2:$E$106,'Additions (monthly)'!$D$2:$D$106,O$2,'Additions (monthly)'!$B$2:$B$106,"&lt;="&amp;$B202)</f>
        <v>4.9</v>
      </c>
      <c r="P202" s="43" t="n">
        <f aca="false">SUMIFS('Additions (monthly)'!$E$2:$E$106,'Additions (monthly)'!$D$2:$D$106,P$2,'Additions (monthly)'!$B$2:$B$106,"&lt;="&amp;$B202)</f>
        <v>3.6</v>
      </c>
      <c r="Q202" s="43" t="n">
        <f aca="false">SUMIFS('Additions (monthly)'!$E$2:$E$106,'Additions (monthly)'!$D$2:$D$106,Q$2,'Additions (monthly)'!$B$2:$B$106,"&lt;="&amp;$B202)</f>
        <v>8.5</v>
      </c>
      <c r="R202" s="43" t="n">
        <f aca="false">SUMIFS('Additions (monthly)'!$E$2:$E$106,'Additions (monthly)'!$D$2:$D$106,R$2,'Additions (monthly)'!$B$2:$B$106,"&lt;="&amp;$B202)</f>
        <v>8.9</v>
      </c>
      <c r="S202" s="43" t="n">
        <f aca="false">SUMIFS('Additions (monthly)'!$E$2:$E$106,'Additions (monthly)'!$D$2:$D$106,S$2,'Additions (monthly)'!$B$2:$B$106,"&lt;="&amp;$B202)</f>
        <v>7.2</v>
      </c>
      <c r="T202" s="43" t="n">
        <f aca="false">SUMIFS('Additions (monthly)'!$E$2:$E$106,'Additions (monthly)'!$D$2:$D$106,T$2,'Additions (monthly)'!$B$2:$B$106,"&lt;="&amp;$B202)</f>
        <v>2.4</v>
      </c>
      <c r="U202" s="43" t="n">
        <f aca="false">SUMIFS('Additions (monthly)'!$E$2:$E$106,'Additions (monthly)'!$D$2:$D$106,U$2,'Additions (monthly)'!$B$2:$B$106,"&lt;="&amp;$B202)</f>
        <v>14</v>
      </c>
      <c r="V202" s="43" t="n">
        <f aca="false">SUMIFS('Additions (monthly)'!$E$2:$E$106,'Additions (monthly)'!$D$2:$D$106,V$2,'Additions (monthly)'!$B$2:$B$106,"&lt;="&amp;$B202)</f>
        <v>3.87</v>
      </c>
      <c r="W202" s="43" t="n">
        <f aca="false">SUMIFS('Additions (monthly)'!$E$2:$E$106,'Additions (monthly)'!$D$2:$D$106,W$2,'Additions (monthly)'!$B$2:$B$106,"&lt;="&amp;$B202)</f>
        <v>0.6</v>
      </c>
      <c r="X202" s="43" t="n">
        <f aca="false">SUMIFS('Additions (monthly)'!$E$2:$E$106,'Additions (monthly)'!$D$2:$D$106,X$2,'Additions (monthly)'!$B$2:$B$106,"&lt;="&amp;$B202)</f>
        <v>2.4</v>
      </c>
      <c r="Y202" s="43" t="n">
        <f aca="false">SUMIFS('Additions (monthly)'!$E$2:$E$106,'Additions (monthly)'!$D$2:$D$106,Y$2,'Additions (monthly)'!$B$2:$B$106,"&lt;="&amp;$B202)</f>
        <v>5</v>
      </c>
      <c r="Z202" s="43" t="n">
        <f aca="false">SUMIFS('Additions (monthly)'!$E$2:$E$106,'Additions (monthly)'!$D$2:$D$106,Z$2,'Additions (monthly)'!$B$2:$B$106,"&lt;="&amp;$B202)</f>
        <v>7.2</v>
      </c>
      <c r="AA202" s="43" t="n">
        <f aca="false">SUMIFS('Additions (monthly)'!$E$2:$E$106,'Additions (monthly)'!$D$2:$D$106,AA$2,'Additions (monthly)'!$B$2:$B$106,"&lt;="&amp;$B202)</f>
        <v>3.7</v>
      </c>
      <c r="AB202" s="43" t="n">
        <f aca="false">SUMIFS('Additions (monthly)'!$E$2:$E$106,'Additions (monthly)'!$D$2:$D$106,AB$2,'Additions (monthly)'!$B$2:$B$106,"&lt;="&amp;$B202)</f>
        <v>16.95</v>
      </c>
      <c r="AC202" s="43" t="n">
        <f aca="false">SUMIFS('Additions (monthly)'!$E$2:$E$106,'Additions (monthly)'!$D$2:$D$106,AC$2,'Additions (monthly)'!$B$2:$B$106,"&lt;="&amp;$B202)</f>
        <v>2</v>
      </c>
      <c r="AD202" s="43" t="n">
        <f aca="false">SUMIFS('Additions (monthly)'!$E$2:$E$106,'Additions (monthly)'!$D$2:$D$106,AD$2,'Additions (monthly)'!$B$2:$B$106,"&lt;="&amp;$B202)</f>
        <v>11.4</v>
      </c>
      <c r="AE202" s="43" t="n">
        <f aca="false">SUMIFS('Additions (monthly)'!$E$2:$E$106,'Additions (monthly)'!$D$2:$D$106,AE$2,'Additions (monthly)'!$B$2:$B$106,"&lt;="&amp;$B202)</f>
        <v>29.3</v>
      </c>
      <c r="AF202" s="43" t="n">
        <f aca="false">SUMIFS('Additions (monthly)'!$E$2:$E$106,'Additions (monthly)'!$D$2:$D$106,AF$2,'Additions (monthly)'!$B$2:$B$106,"&lt;="&amp;$B202)</f>
        <v>1.2</v>
      </c>
      <c r="AG202" s="43" t="n">
        <f aca="false">SUMIFS('Additions (monthly)'!$E$2:$E$106,'Additions (monthly)'!$D$2:$D$106,AG$2,'Additions (monthly)'!$B$2:$B$106,"&lt;="&amp;$B202)</f>
        <v>1.5</v>
      </c>
      <c r="AH202" s="43" t="n">
        <f aca="false">SUMIFS('Additions (monthly)'!$E$2:$E$106,'Additions (monthly)'!$D$2:$D$106,AH$2,'Additions (monthly)'!$B$2:$B$106,"&lt;="&amp;$B202)</f>
        <v>2.5</v>
      </c>
      <c r="AI202" s="43" t="n">
        <f aca="false">SUMIFS('Additions (monthly)'!$E$2:$E$106,'Additions (monthly)'!$D$2:$D$106,AI$2,'Additions (monthly)'!$B$2:$B$106,"&lt;="&amp;$B202)</f>
        <v>1.4</v>
      </c>
      <c r="AJ202" s="43" t="n">
        <f aca="false">SUMIFS('Additions (monthly)'!$E$2:$E$106,'Additions (monthly)'!$D$2:$D$106,AJ$2,'Additions (monthly)'!$B$2:$B$106,"&lt;="&amp;$B202)</f>
        <v>3.25</v>
      </c>
      <c r="AK202" s="43" t="n">
        <f aca="false">SUMIFS('Additions (monthly)'!$E$2:$E$106,'Additions (monthly)'!$D$2:$D$106,AK$2,'Additions (monthly)'!$B$2:$B$106,"&lt;="&amp;$B202)</f>
        <v>3.4</v>
      </c>
      <c r="AL202" s="43" t="n">
        <f aca="false">SUMIFS('Additions (monthly)'!$E$2:$E$106,'Additions (monthly)'!$D$2:$D$106,AL$2,'Additions (monthly)'!$B$2:$B$106,"&lt;="&amp;$B202)</f>
        <v>22.2</v>
      </c>
      <c r="AM202" s="43" t="n">
        <f aca="false">SUMIFS('Additions (monthly)'!$E$2:$E$106,'Additions (monthly)'!$D$2:$D$106,AM$2,'Additions (monthly)'!$B$2:$B$106,"&lt;="&amp;$B202)</f>
        <v>0.3</v>
      </c>
      <c r="AN202" s="43" t="n">
        <f aca="false">SUMIFS('Additions (monthly)'!$E$2:$E$106,'Additions (monthly)'!$D$2:$D$106,AN$2,'Additions (monthly)'!$B$2:$B$106,"&lt;="&amp;$B202)</f>
        <v>4.3</v>
      </c>
      <c r="AO202" s="43" t="n">
        <f aca="false">SUMIFS('Additions (monthly)'!$E$2:$E$106,'Additions (monthly)'!$D$2:$D$106,AO$2,'Additions (monthly)'!$B$2:$B$106,"&lt;="&amp;$B202)</f>
        <v>10.4</v>
      </c>
      <c r="AP202" s="43" t="n">
        <f aca="false">SUMIFS('Additions (monthly)'!$E$2:$E$106,'Additions (monthly)'!$D$2:$D$106,AP$2,'Additions (monthly)'!$B$2:$B$106,"&lt;="&amp;$B202)</f>
        <v>6.9</v>
      </c>
      <c r="AQ202" s="43" t="n">
        <f aca="false">SUMIFS('Additions (monthly)'!$E$2:$E$106,'Additions (monthly)'!$D$2:$D$106,AQ$2,'Additions (monthly)'!$B$2:$B$106,"&lt;="&amp;$B202)</f>
        <v>4.45</v>
      </c>
      <c r="AR202" s="43" t="n">
        <f aca="false">SUMIFS('Additions (monthly)'!$E$2:$E$106,'Additions (monthly)'!$D$2:$D$106,AR$2,'Additions (monthly)'!$B$2:$B$106,"&lt;="&amp;$B202)</f>
        <v>77.1</v>
      </c>
      <c r="AS202" s="43" t="n">
        <f aca="false">SUMIFS('Additions (monthly)'!$E$2:$E$106,'Additions (monthly)'!$D$2:$D$106,AS$2,'Additions (monthly)'!$B$2:$B$106,"&lt;="&amp;$B202)</f>
        <v>6.6</v>
      </c>
      <c r="AT202" s="43" t="n">
        <f aca="false">SUMIFS('Additions (monthly)'!$E$2:$E$106,'Additions (monthly)'!$D$2:$D$106,AT$2,'Additions (monthly)'!$B$2:$B$106,"&lt;="&amp;$B202)</f>
        <v>1.5</v>
      </c>
      <c r="AU202" s="43" t="n">
        <f aca="false">SUMIFS('Additions (monthly)'!$E$2:$E$106,'Additions (monthly)'!$D$2:$D$106,AU$2,'Additions (monthly)'!$B$2:$B$106,"&lt;="&amp;$B202)</f>
        <v>9.6</v>
      </c>
      <c r="AV202" s="43" t="n">
        <f aca="false">SUMIFS('Additions (monthly)'!$E$2:$E$106,'Additions (monthly)'!$D$2:$D$106,AV$2,'Additions (monthly)'!$B$2:$B$106,"&lt;="&amp;$B202)</f>
        <v>0.66</v>
      </c>
      <c r="AW202" s="43" t="n">
        <f aca="false">SUMIFS('Additions (monthly)'!$E$2:$E$106,'Additions (monthly)'!$D$2:$D$106,AW$2,'Additions (monthly)'!$B$2:$B$106,"&lt;="&amp;$B202)</f>
        <v>17.4</v>
      </c>
      <c r="AX202" s="43" t="n">
        <f aca="false">SUMIFS('Additions (monthly)'!$E$2:$E$106,'Additions (monthly)'!$D$2:$D$106,AX$2,'Additions (monthly)'!$B$2:$B$106,"&lt;="&amp;$B202)</f>
        <v>11.8</v>
      </c>
      <c r="AY202" s="43" t="n">
        <f aca="false">SUMIFS('Additions (monthly)'!$E$2:$E$106,'Additions (monthly)'!$D$2:$D$106,AY$2,'Additions (monthly)'!$B$2:$B$106,"&lt;="&amp;$B202)</f>
        <v>5.3</v>
      </c>
      <c r="AZ202" s="43" t="n">
        <f aca="false">SUMIFS('Additions (monthly)'!$E$2:$E$106,'Additions (monthly)'!$D$2:$D$106,AZ$2,'Additions (monthly)'!$B$2:$B$106,"&lt;="&amp;$B202)</f>
        <v>9.97</v>
      </c>
      <c r="BA202" s="43" t="n">
        <f aca="false">SUMIFS('Additions (monthly)'!$E$2:$E$106,'Additions (monthly)'!$D$2:$D$106,BA$2,'Additions (monthly)'!$B$2:$B$106,"&lt;="&amp;$B202)</f>
        <v>13.5</v>
      </c>
      <c r="BB202" s="43" t="n">
        <f aca="false">SUMIFS('Additions (monthly)'!$E$2:$E$106,'Additions (monthly)'!$D$2:$D$106,BB$2,'Additions (monthly)'!$B$2:$B$106,"&lt;="&amp;$B202)</f>
        <v>23.94</v>
      </c>
      <c r="BC202" s="43" t="n">
        <f aca="false">SUMIFS('Additions (monthly)'!$E$2:$E$106,'Additions (monthly)'!$D$2:$D$106,BC$2,'Additions (monthly)'!$B$2:$B$106,"&lt;="&amp;$B202)</f>
        <v>5.25</v>
      </c>
      <c r="BD202" s="43" t="n">
        <f aca="false">SUMIFS('Additions (monthly)'!$E$2:$E$106,'Additions (monthly)'!$D$2:$D$106,BD$2,'Additions (monthly)'!$B$2:$B$106,"&lt;="&amp;$B202)</f>
        <v>2.5</v>
      </c>
      <c r="BE202" s="43" t="n">
        <f aca="false">SUMIFS('Additions (monthly)'!$E$2:$E$106,'Additions (monthly)'!$D$2:$D$106,BE$2,'Additions (monthly)'!$B$2:$B$106,"&lt;="&amp;$B202)</f>
        <v>15.3</v>
      </c>
      <c r="BF202" s="43" t="n">
        <f aca="false">SUMIFS('Additions (monthly)'!$E$2:$E$106,'Additions (monthly)'!$D$2:$D$106,BF$2,'Additions (monthly)'!$B$2:$B$106,"&lt;="&amp;$B202)</f>
        <v>5.2</v>
      </c>
      <c r="BG202" s="43" t="n">
        <f aca="false">SUMIFS('Additions (monthly)'!$E$2:$E$106,'Additions (monthly)'!$D$2:$D$106,BG$2,'Additions (monthly)'!$B$2:$B$106,"&lt;="&amp;$B202)</f>
        <v>19.44</v>
      </c>
      <c r="BH202" s="43" t="n">
        <f aca="false">SUMIFS('Additions (monthly)'!$E$2:$E$106,'Additions (monthly)'!$D$2:$D$106,BH$2,'Additions (monthly)'!$B$2:$B$106,"&lt;="&amp;$B202)</f>
        <v>30</v>
      </c>
      <c r="BI202" s="43" t="n">
        <f aca="false">SUMIFS('Additions (monthly)'!$E$2:$E$106,'Additions (monthly)'!$D$2:$D$106,BI$2,'Additions (monthly)'!$B$2:$B$106,"&lt;="&amp;$B202)</f>
        <v>6.7</v>
      </c>
    </row>
    <row r="203" customFormat="false" ht="15" hidden="false" customHeight="false" outlineLevel="0" collapsed="false">
      <c r="A203" s="23" t="n">
        <v>46266</v>
      </c>
      <c r="B203" s="24" t="n">
        <v>202609</v>
      </c>
      <c r="C203" s="42" t="n">
        <f aca="false">SUMIFS('Additions (monthly)'!$E$2:$E$106,'Additions (monthly)'!$B$2:$B$106,"&lt;="&amp;$B203)</f>
        <v>553.38</v>
      </c>
      <c r="D203" s="43" t="n">
        <f aca="false">SUMIFS('Additions (monthly)'!$E$2:$E$106,'Additions (monthly)'!$D$2:$D$106,D$2,'Additions (monthly)'!$B$2:$B$106,"&lt;="&amp;$B203)</f>
        <v>7.9</v>
      </c>
      <c r="E203" s="43" t="n">
        <f aca="false">SUMIFS('Additions (monthly)'!$E$2:$E$106,'Additions (monthly)'!$D$2:$D$106,E$2,'Additions (monthly)'!$B$2:$B$106,"&lt;="&amp;$B203)</f>
        <v>8.4</v>
      </c>
      <c r="F203" s="43" t="n">
        <f aca="false">SUMIFS('Additions (monthly)'!$E$2:$E$106,'Additions (monthly)'!$D$2:$D$106,F$2,'Additions (monthly)'!$B$2:$B$106,"&lt;="&amp;$B203)</f>
        <v>4.7</v>
      </c>
      <c r="G203" s="43" t="n">
        <f aca="false">SUMIFS('Additions (monthly)'!$E$2:$E$106,'Additions (monthly)'!$D$2:$D$106,G$2,'Additions (monthly)'!$B$2:$B$106,"&lt;="&amp;$B203)</f>
        <v>4.5</v>
      </c>
      <c r="H203" s="43" t="n">
        <f aca="false">SUMIFS('Additions (monthly)'!$E$2:$E$106,'Additions (monthly)'!$D$2:$D$106,H$2,'Additions (monthly)'!$B$2:$B$106,"&lt;="&amp;$B203)</f>
        <v>5.2</v>
      </c>
      <c r="I203" s="43" t="n">
        <f aca="false">SUMIFS('Additions (monthly)'!$E$2:$E$106,'Additions (monthly)'!$D$2:$D$106,I$2,'Additions (monthly)'!$B$2:$B$106,"&lt;="&amp;$B203)</f>
        <v>9</v>
      </c>
      <c r="J203" s="43" t="n">
        <f aca="false">SUMIFS('Additions (monthly)'!$E$2:$E$106,'Additions (monthly)'!$D$2:$D$106,J$2,'Additions (monthly)'!$B$2:$B$106,"&lt;="&amp;$B203)</f>
        <v>3.7</v>
      </c>
      <c r="K203" s="43" t="n">
        <f aca="false">SUMIFS('Additions (monthly)'!$E$2:$E$106,'Additions (monthly)'!$D$2:$D$106,K$2,'Additions (monthly)'!$B$2:$B$106,"&lt;="&amp;$B203)</f>
        <v>7.8</v>
      </c>
      <c r="L203" s="43" t="n">
        <f aca="false">SUMIFS('Additions (monthly)'!$E$2:$E$106,'Additions (monthly)'!$D$2:$D$106,L$2,'Additions (monthly)'!$B$2:$B$106,"&lt;="&amp;$B203)</f>
        <v>15.6</v>
      </c>
      <c r="M203" s="43" t="n">
        <f aca="false">SUMIFS('Additions (monthly)'!$E$2:$E$106,'Additions (monthly)'!$D$2:$D$106,M$2,'Additions (monthly)'!$B$2:$B$106,"&lt;="&amp;$B203)</f>
        <v>8.9</v>
      </c>
      <c r="N203" s="43" t="n">
        <f aca="false">SUMIFS('Additions (monthly)'!$E$2:$E$106,'Additions (monthly)'!$D$2:$D$106,N$2,'Additions (monthly)'!$B$2:$B$106,"&lt;="&amp;$B203)</f>
        <v>14.2</v>
      </c>
      <c r="O203" s="43" t="n">
        <f aca="false">SUMIFS('Additions (monthly)'!$E$2:$E$106,'Additions (monthly)'!$D$2:$D$106,O$2,'Additions (monthly)'!$B$2:$B$106,"&lt;="&amp;$B203)</f>
        <v>4.9</v>
      </c>
      <c r="P203" s="43" t="n">
        <f aca="false">SUMIFS('Additions (monthly)'!$E$2:$E$106,'Additions (monthly)'!$D$2:$D$106,P$2,'Additions (monthly)'!$B$2:$B$106,"&lt;="&amp;$B203)</f>
        <v>3.6</v>
      </c>
      <c r="Q203" s="43" t="n">
        <f aca="false">SUMIFS('Additions (monthly)'!$E$2:$E$106,'Additions (monthly)'!$D$2:$D$106,Q$2,'Additions (monthly)'!$B$2:$B$106,"&lt;="&amp;$B203)</f>
        <v>8.5</v>
      </c>
      <c r="R203" s="43" t="n">
        <f aca="false">SUMIFS('Additions (monthly)'!$E$2:$E$106,'Additions (monthly)'!$D$2:$D$106,R$2,'Additions (monthly)'!$B$2:$B$106,"&lt;="&amp;$B203)</f>
        <v>8.9</v>
      </c>
      <c r="S203" s="43" t="n">
        <f aca="false">SUMIFS('Additions (monthly)'!$E$2:$E$106,'Additions (monthly)'!$D$2:$D$106,S$2,'Additions (monthly)'!$B$2:$B$106,"&lt;="&amp;$B203)</f>
        <v>7.2</v>
      </c>
      <c r="T203" s="43" t="n">
        <f aca="false">SUMIFS('Additions (monthly)'!$E$2:$E$106,'Additions (monthly)'!$D$2:$D$106,T$2,'Additions (monthly)'!$B$2:$B$106,"&lt;="&amp;$B203)</f>
        <v>2.4</v>
      </c>
      <c r="U203" s="43" t="n">
        <f aca="false">SUMIFS('Additions (monthly)'!$E$2:$E$106,'Additions (monthly)'!$D$2:$D$106,U$2,'Additions (monthly)'!$B$2:$B$106,"&lt;="&amp;$B203)</f>
        <v>14</v>
      </c>
      <c r="V203" s="43" t="n">
        <f aca="false">SUMIFS('Additions (monthly)'!$E$2:$E$106,'Additions (monthly)'!$D$2:$D$106,V$2,'Additions (monthly)'!$B$2:$B$106,"&lt;="&amp;$B203)</f>
        <v>3.87</v>
      </c>
      <c r="W203" s="43" t="n">
        <f aca="false">SUMIFS('Additions (monthly)'!$E$2:$E$106,'Additions (monthly)'!$D$2:$D$106,W$2,'Additions (monthly)'!$B$2:$B$106,"&lt;="&amp;$B203)</f>
        <v>0.6</v>
      </c>
      <c r="X203" s="43" t="n">
        <f aca="false">SUMIFS('Additions (monthly)'!$E$2:$E$106,'Additions (monthly)'!$D$2:$D$106,X$2,'Additions (monthly)'!$B$2:$B$106,"&lt;="&amp;$B203)</f>
        <v>2.4</v>
      </c>
      <c r="Y203" s="43" t="n">
        <f aca="false">SUMIFS('Additions (monthly)'!$E$2:$E$106,'Additions (monthly)'!$D$2:$D$106,Y$2,'Additions (monthly)'!$B$2:$B$106,"&lt;="&amp;$B203)</f>
        <v>5</v>
      </c>
      <c r="Z203" s="43" t="n">
        <f aca="false">SUMIFS('Additions (monthly)'!$E$2:$E$106,'Additions (monthly)'!$D$2:$D$106,Z$2,'Additions (monthly)'!$B$2:$B$106,"&lt;="&amp;$B203)</f>
        <v>7.2</v>
      </c>
      <c r="AA203" s="43" t="n">
        <f aca="false">SUMIFS('Additions (monthly)'!$E$2:$E$106,'Additions (monthly)'!$D$2:$D$106,AA$2,'Additions (monthly)'!$B$2:$B$106,"&lt;="&amp;$B203)</f>
        <v>3.7</v>
      </c>
      <c r="AB203" s="43" t="n">
        <f aca="false">SUMIFS('Additions (monthly)'!$E$2:$E$106,'Additions (monthly)'!$D$2:$D$106,AB$2,'Additions (monthly)'!$B$2:$B$106,"&lt;="&amp;$B203)</f>
        <v>16.95</v>
      </c>
      <c r="AC203" s="43" t="n">
        <f aca="false">SUMIFS('Additions (monthly)'!$E$2:$E$106,'Additions (monthly)'!$D$2:$D$106,AC$2,'Additions (monthly)'!$B$2:$B$106,"&lt;="&amp;$B203)</f>
        <v>2</v>
      </c>
      <c r="AD203" s="43" t="n">
        <f aca="false">SUMIFS('Additions (monthly)'!$E$2:$E$106,'Additions (monthly)'!$D$2:$D$106,AD$2,'Additions (monthly)'!$B$2:$B$106,"&lt;="&amp;$B203)</f>
        <v>11.4</v>
      </c>
      <c r="AE203" s="43" t="n">
        <f aca="false">SUMIFS('Additions (monthly)'!$E$2:$E$106,'Additions (monthly)'!$D$2:$D$106,AE$2,'Additions (monthly)'!$B$2:$B$106,"&lt;="&amp;$B203)</f>
        <v>29.3</v>
      </c>
      <c r="AF203" s="43" t="n">
        <f aca="false">SUMIFS('Additions (monthly)'!$E$2:$E$106,'Additions (monthly)'!$D$2:$D$106,AF$2,'Additions (monthly)'!$B$2:$B$106,"&lt;="&amp;$B203)</f>
        <v>1.2</v>
      </c>
      <c r="AG203" s="43" t="n">
        <f aca="false">SUMIFS('Additions (monthly)'!$E$2:$E$106,'Additions (monthly)'!$D$2:$D$106,AG$2,'Additions (monthly)'!$B$2:$B$106,"&lt;="&amp;$B203)</f>
        <v>1.5</v>
      </c>
      <c r="AH203" s="43" t="n">
        <f aca="false">SUMIFS('Additions (monthly)'!$E$2:$E$106,'Additions (monthly)'!$D$2:$D$106,AH$2,'Additions (monthly)'!$B$2:$B$106,"&lt;="&amp;$B203)</f>
        <v>2.5</v>
      </c>
      <c r="AI203" s="43" t="n">
        <f aca="false">SUMIFS('Additions (monthly)'!$E$2:$E$106,'Additions (monthly)'!$D$2:$D$106,AI$2,'Additions (monthly)'!$B$2:$B$106,"&lt;="&amp;$B203)</f>
        <v>1.4</v>
      </c>
      <c r="AJ203" s="43" t="n">
        <f aca="false">SUMIFS('Additions (monthly)'!$E$2:$E$106,'Additions (monthly)'!$D$2:$D$106,AJ$2,'Additions (monthly)'!$B$2:$B$106,"&lt;="&amp;$B203)</f>
        <v>3.25</v>
      </c>
      <c r="AK203" s="43" t="n">
        <f aca="false">SUMIFS('Additions (monthly)'!$E$2:$E$106,'Additions (monthly)'!$D$2:$D$106,AK$2,'Additions (monthly)'!$B$2:$B$106,"&lt;="&amp;$B203)</f>
        <v>3.4</v>
      </c>
      <c r="AL203" s="43" t="n">
        <f aca="false">SUMIFS('Additions (monthly)'!$E$2:$E$106,'Additions (monthly)'!$D$2:$D$106,AL$2,'Additions (monthly)'!$B$2:$B$106,"&lt;="&amp;$B203)</f>
        <v>22.2</v>
      </c>
      <c r="AM203" s="43" t="n">
        <f aca="false">SUMIFS('Additions (monthly)'!$E$2:$E$106,'Additions (monthly)'!$D$2:$D$106,AM$2,'Additions (monthly)'!$B$2:$B$106,"&lt;="&amp;$B203)</f>
        <v>0.3</v>
      </c>
      <c r="AN203" s="43" t="n">
        <f aca="false">SUMIFS('Additions (monthly)'!$E$2:$E$106,'Additions (monthly)'!$D$2:$D$106,AN$2,'Additions (monthly)'!$B$2:$B$106,"&lt;="&amp;$B203)</f>
        <v>4.3</v>
      </c>
      <c r="AO203" s="43" t="n">
        <f aca="false">SUMIFS('Additions (monthly)'!$E$2:$E$106,'Additions (monthly)'!$D$2:$D$106,AO$2,'Additions (monthly)'!$B$2:$B$106,"&lt;="&amp;$B203)</f>
        <v>10.4</v>
      </c>
      <c r="AP203" s="43" t="n">
        <f aca="false">SUMIFS('Additions (monthly)'!$E$2:$E$106,'Additions (monthly)'!$D$2:$D$106,AP$2,'Additions (monthly)'!$B$2:$B$106,"&lt;="&amp;$B203)</f>
        <v>6.9</v>
      </c>
      <c r="AQ203" s="43" t="n">
        <f aca="false">SUMIFS('Additions (monthly)'!$E$2:$E$106,'Additions (monthly)'!$D$2:$D$106,AQ$2,'Additions (monthly)'!$B$2:$B$106,"&lt;="&amp;$B203)</f>
        <v>4.45</v>
      </c>
      <c r="AR203" s="43" t="n">
        <f aca="false">SUMIFS('Additions (monthly)'!$E$2:$E$106,'Additions (monthly)'!$D$2:$D$106,AR$2,'Additions (monthly)'!$B$2:$B$106,"&lt;="&amp;$B203)</f>
        <v>85.1</v>
      </c>
      <c r="AS203" s="43" t="n">
        <f aca="false">SUMIFS('Additions (monthly)'!$E$2:$E$106,'Additions (monthly)'!$D$2:$D$106,AS$2,'Additions (monthly)'!$B$2:$B$106,"&lt;="&amp;$B203)</f>
        <v>6.6</v>
      </c>
      <c r="AT203" s="43" t="n">
        <f aca="false">SUMIFS('Additions (monthly)'!$E$2:$E$106,'Additions (monthly)'!$D$2:$D$106,AT$2,'Additions (monthly)'!$B$2:$B$106,"&lt;="&amp;$B203)</f>
        <v>1.5</v>
      </c>
      <c r="AU203" s="43" t="n">
        <f aca="false">SUMIFS('Additions (monthly)'!$E$2:$E$106,'Additions (monthly)'!$D$2:$D$106,AU$2,'Additions (monthly)'!$B$2:$B$106,"&lt;="&amp;$B203)</f>
        <v>9.6</v>
      </c>
      <c r="AV203" s="43" t="n">
        <f aca="false">SUMIFS('Additions (monthly)'!$E$2:$E$106,'Additions (monthly)'!$D$2:$D$106,AV$2,'Additions (monthly)'!$B$2:$B$106,"&lt;="&amp;$B203)</f>
        <v>0.66</v>
      </c>
      <c r="AW203" s="43" t="n">
        <f aca="false">SUMIFS('Additions (monthly)'!$E$2:$E$106,'Additions (monthly)'!$D$2:$D$106,AW$2,'Additions (monthly)'!$B$2:$B$106,"&lt;="&amp;$B203)</f>
        <v>17.4</v>
      </c>
      <c r="AX203" s="43" t="n">
        <f aca="false">SUMIFS('Additions (monthly)'!$E$2:$E$106,'Additions (monthly)'!$D$2:$D$106,AX$2,'Additions (monthly)'!$B$2:$B$106,"&lt;="&amp;$B203)</f>
        <v>11.8</v>
      </c>
      <c r="AY203" s="43" t="n">
        <f aca="false">SUMIFS('Additions (monthly)'!$E$2:$E$106,'Additions (monthly)'!$D$2:$D$106,AY$2,'Additions (monthly)'!$B$2:$B$106,"&lt;="&amp;$B203)</f>
        <v>5.3</v>
      </c>
      <c r="AZ203" s="43" t="n">
        <f aca="false">SUMIFS('Additions (monthly)'!$E$2:$E$106,'Additions (monthly)'!$D$2:$D$106,AZ$2,'Additions (monthly)'!$B$2:$B$106,"&lt;="&amp;$B203)</f>
        <v>9.97</v>
      </c>
      <c r="BA203" s="43" t="n">
        <f aca="false">SUMIFS('Additions (monthly)'!$E$2:$E$106,'Additions (monthly)'!$D$2:$D$106,BA$2,'Additions (monthly)'!$B$2:$B$106,"&lt;="&amp;$B203)</f>
        <v>13.5</v>
      </c>
      <c r="BB203" s="43" t="n">
        <f aca="false">SUMIFS('Additions (monthly)'!$E$2:$E$106,'Additions (monthly)'!$D$2:$D$106,BB$2,'Additions (monthly)'!$B$2:$B$106,"&lt;="&amp;$B203)</f>
        <v>23.94</v>
      </c>
      <c r="BC203" s="43" t="n">
        <f aca="false">SUMIFS('Additions (monthly)'!$E$2:$E$106,'Additions (monthly)'!$D$2:$D$106,BC$2,'Additions (monthly)'!$B$2:$B$106,"&lt;="&amp;$B203)</f>
        <v>5.25</v>
      </c>
      <c r="BD203" s="43" t="n">
        <f aca="false">SUMIFS('Additions (monthly)'!$E$2:$E$106,'Additions (monthly)'!$D$2:$D$106,BD$2,'Additions (monthly)'!$B$2:$B$106,"&lt;="&amp;$B203)</f>
        <v>2.5</v>
      </c>
      <c r="BE203" s="43" t="n">
        <f aca="false">SUMIFS('Additions (monthly)'!$E$2:$E$106,'Additions (monthly)'!$D$2:$D$106,BE$2,'Additions (monthly)'!$B$2:$B$106,"&lt;="&amp;$B203)</f>
        <v>15.3</v>
      </c>
      <c r="BF203" s="43" t="n">
        <f aca="false">SUMIFS('Additions (monthly)'!$E$2:$E$106,'Additions (monthly)'!$D$2:$D$106,BF$2,'Additions (monthly)'!$B$2:$B$106,"&lt;="&amp;$B203)</f>
        <v>5.2</v>
      </c>
      <c r="BG203" s="43" t="n">
        <f aca="false">SUMIFS('Additions (monthly)'!$E$2:$E$106,'Additions (monthly)'!$D$2:$D$106,BG$2,'Additions (monthly)'!$B$2:$B$106,"&lt;="&amp;$B203)</f>
        <v>19.44</v>
      </c>
      <c r="BH203" s="43" t="n">
        <f aca="false">SUMIFS('Additions (monthly)'!$E$2:$E$106,'Additions (monthly)'!$D$2:$D$106,BH$2,'Additions (monthly)'!$B$2:$B$106,"&lt;="&amp;$B203)</f>
        <v>30</v>
      </c>
      <c r="BI203" s="43" t="n">
        <f aca="false">SUMIFS('Additions (monthly)'!$E$2:$E$106,'Additions (monthly)'!$D$2:$D$106,BI$2,'Additions (monthly)'!$B$2:$B$106,"&lt;="&amp;$B203)</f>
        <v>6.7</v>
      </c>
    </row>
    <row r="204" customFormat="false" ht="15" hidden="false" customHeight="false" outlineLevel="0" collapsed="false">
      <c r="A204" s="23" t="n">
        <v>46296</v>
      </c>
      <c r="B204" s="24" t="n">
        <v>202610</v>
      </c>
      <c r="C204" s="42" t="n">
        <f aca="false">SUMIFS('Additions (monthly)'!$E$2:$E$106,'Additions (monthly)'!$B$2:$B$106,"&lt;="&amp;$B204)</f>
        <v>558.58</v>
      </c>
      <c r="D204" s="43" t="n">
        <f aca="false">SUMIFS('Additions (monthly)'!$E$2:$E$106,'Additions (monthly)'!$D$2:$D$106,D$2,'Additions (monthly)'!$B$2:$B$106,"&lt;="&amp;$B204)</f>
        <v>7.9</v>
      </c>
      <c r="E204" s="43" t="n">
        <f aca="false">SUMIFS('Additions (monthly)'!$E$2:$E$106,'Additions (monthly)'!$D$2:$D$106,E$2,'Additions (monthly)'!$B$2:$B$106,"&lt;="&amp;$B204)</f>
        <v>8.4</v>
      </c>
      <c r="F204" s="43" t="n">
        <f aca="false">SUMIFS('Additions (monthly)'!$E$2:$E$106,'Additions (monthly)'!$D$2:$D$106,F$2,'Additions (monthly)'!$B$2:$B$106,"&lt;="&amp;$B204)</f>
        <v>4.7</v>
      </c>
      <c r="G204" s="43" t="n">
        <f aca="false">SUMIFS('Additions (monthly)'!$E$2:$E$106,'Additions (monthly)'!$D$2:$D$106,G$2,'Additions (monthly)'!$B$2:$B$106,"&lt;="&amp;$B204)</f>
        <v>4.5</v>
      </c>
      <c r="H204" s="43" t="n">
        <f aca="false">SUMIFS('Additions (monthly)'!$E$2:$E$106,'Additions (monthly)'!$D$2:$D$106,H$2,'Additions (monthly)'!$B$2:$B$106,"&lt;="&amp;$B204)</f>
        <v>5.2</v>
      </c>
      <c r="I204" s="43" t="n">
        <f aca="false">SUMIFS('Additions (monthly)'!$E$2:$E$106,'Additions (monthly)'!$D$2:$D$106,I$2,'Additions (monthly)'!$B$2:$B$106,"&lt;="&amp;$B204)</f>
        <v>9</v>
      </c>
      <c r="J204" s="43" t="n">
        <f aca="false">SUMIFS('Additions (monthly)'!$E$2:$E$106,'Additions (monthly)'!$D$2:$D$106,J$2,'Additions (monthly)'!$B$2:$B$106,"&lt;="&amp;$B204)</f>
        <v>3.7</v>
      </c>
      <c r="K204" s="43" t="n">
        <f aca="false">SUMIFS('Additions (monthly)'!$E$2:$E$106,'Additions (monthly)'!$D$2:$D$106,K$2,'Additions (monthly)'!$B$2:$B$106,"&lt;="&amp;$B204)</f>
        <v>7.8</v>
      </c>
      <c r="L204" s="43" t="n">
        <f aca="false">SUMIFS('Additions (monthly)'!$E$2:$E$106,'Additions (monthly)'!$D$2:$D$106,L$2,'Additions (monthly)'!$B$2:$B$106,"&lt;="&amp;$B204)</f>
        <v>15.6</v>
      </c>
      <c r="M204" s="43" t="n">
        <f aca="false">SUMIFS('Additions (monthly)'!$E$2:$E$106,'Additions (monthly)'!$D$2:$D$106,M$2,'Additions (monthly)'!$B$2:$B$106,"&lt;="&amp;$B204)</f>
        <v>8.9</v>
      </c>
      <c r="N204" s="43" t="n">
        <f aca="false">SUMIFS('Additions (monthly)'!$E$2:$E$106,'Additions (monthly)'!$D$2:$D$106,N$2,'Additions (monthly)'!$B$2:$B$106,"&lt;="&amp;$B204)</f>
        <v>14.2</v>
      </c>
      <c r="O204" s="43" t="n">
        <f aca="false">SUMIFS('Additions (monthly)'!$E$2:$E$106,'Additions (monthly)'!$D$2:$D$106,O$2,'Additions (monthly)'!$B$2:$B$106,"&lt;="&amp;$B204)</f>
        <v>4.9</v>
      </c>
      <c r="P204" s="43" t="n">
        <f aca="false">SUMIFS('Additions (monthly)'!$E$2:$E$106,'Additions (monthly)'!$D$2:$D$106,P$2,'Additions (monthly)'!$B$2:$B$106,"&lt;="&amp;$B204)</f>
        <v>3.6</v>
      </c>
      <c r="Q204" s="43" t="n">
        <f aca="false">SUMIFS('Additions (monthly)'!$E$2:$E$106,'Additions (monthly)'!$D$2:$D$106,Q$2,'Additions (monthly)'!$B$2:$B$106,"&lt;="&amp;$B204)</f>
        <v>8.5</v>
      </c>
      <c r="R204" s="43" t="n">
        <f aca="false">SUMIFS('Additions (monthly)'!$E$2:$E$106,'Additions (monthly)'!$D$2:$D$106,R$2,'Additions (monthly)'!$B$2:$B$106,"&lt;="&amp;$B204)</f>
        <v>8.9</v>
      </c>
      <c r="S204" s="43" t="n">
        <f aca="false">SUMIFS('Additions (monthly)'!$E$2:$E$106,'Additions (monthly)'!$D$2:$D$106,S$2,'Additions (monthly)'!$B$2:$B$106,"&lt;="&amp;$B204)</f>
        <v>7.2</v>
      </c>
      <c r="T204" s="43" t="n">
        <f aca="false">SUMIFS('Additions (monthly)'!$E$2:$E$106,'Additions (monthly)'!$D$2:$D$106,T$2,'Additions (monthly)'!$B$2:$B$106,"&lt;="&amp;$B204)</f>
        <v>2.4</v>
      </c>
      <c r="U204" s="43" t="n">
        <f aca="false">SUMIFS('Additions (monthly)'!$E$2:$E$106,'Additions (monthly)'!$D$2:$D$106,U$2,'Additions (monthly)'!$B$2:$B$106,"&lt;="&amp;$B204)</f>
        <v>14</v>
      </c>
      <c r="V204" s="43" t="n">
        <f aca="false">SUMIFS('Additions (monthly)'!$E$2:$E$106,'Additions (monthly)'!$D$2:$D$106,V$2,'Additions (monthly)'!$B$2:$B$106,"&lt;="&amp;$B204)</f>
        <v>3.87</v>
      </c>
      <c r="W204" s="43" t="n">
        <f aca="false">SUMIFS('Additions (monthly)'!$E$2:$E$106,'Additions (monthly)'!$D$2:$D$106,W$2,'Additions (monthly)'!$B$2:$B$106,"&lt;="&amp;$B204)</f>
        <v>0.6</v>
      </c>
      <c r="X204" s="43" t="n">
        <f aca="false">SUMIFS('Additions (monthly)'!$E$2:$E$106,'Additions (monthly)'!$D$2:$D$106,X$2,'Additions (monthly)'!$B$2:$B$106,"&lt;="&amp;$B204)</f>
        <v>2.4</v>
      </c>
      <c r="Y204" s="43" t="n">
        <f aca="false">SUMIFS('Additions (monthly)'!$E$2:$E$106,'Additions (monthly)'!$D$2:$D$106,Y$2,'Additions (monthly)'!$B$2:$B$106,"&lt;="&amp;$B204)</f>
        <v>5</v>
      </c>
      <c r="Z204" s="43" t="n">
        <f aca="false">SUMIFS('Additions (monthly)'!$E$2:$E$106,'Additions (monthly)'!$D$2:$D$106,Z$2,'Additions (monthly)'!$B$2:$B$106,"&lt;="&amp;$B204)</f>
        <v>7.2</v>
      </c>
      <c r="AA204" s="43" t="n">
        <f aca="false">SUMIFS('Additions (monthly)'!$E$2:$E$106,'Additions (monthly)'!$D$2:$D$106,AA$2,'Additions (monthly)'!$B$2:$B$106,"&lt;="&amp;$B204)</f>
        <v>3.7</v>
      </c>
      <c r="AB204" s="43" t="n">
        <f aca="false">SUMIFS('Additions (monthly)'!$E$2:$E$106,'Additions (monthly)'!$D$2:$D$106,AB$2,'Additions (monthly)'!$B$2:$B$106,"&lt;="&amp;$B204)</f>
        <v>16.95</v>
      </c>
      <c r="AC204" s="43" t="n">
        <f aca="false">SUMIFS('Additions (monthly)'!$E$2:$E$106,'Additions (monthly)'!$D$2:$D$106,AC$2,'Additions (monthly)'!$B$2:$B$106,"&lt;="&amp;$B204)</f>
        <v>2</v>
      </c>
      <c r="AD204" s="43" t="n">
        <f aca="false">SUMIFS('Additions (monthly)'!$E$2:$E$106,'Additions (monthly)'!$D$2:$D$106,AD$2,'Additions (monthly)'!$B$2:$B$106,"&lt;="&amp;$B204)</f>
        <v>11.4</v>
      </c>
      <c r="AE204" s="43" t="n">
        <f aca="false">SUMIFS('Additions (monthly)'!$E$2:$E$106,'Additions (monthly)'!$D$2:$D$106,AE$2,'Additions (monthly)'!$B$2:$B$106,"&lt;="&amp;$B204)</f>
        <v>29.3</v>
      </c>
      <c r="AF204" s="43" t="n">
        <f aca="false">SUMIFS('Additions (monthly)'!$E$2:$E$106,'Additions (monthly)'!$D$2:$D$106,AF$2,'Additions (monthly)'!$B$2:$B$106,"&lt;="&amp;$B204)</f>
        <v>1.2</v>
      </c>
      <c r="AG204" s="43" t="n">
        <f aca="false">SUMIFS('Additions (monthly)'!$E$2:$E$106,'Additions (monthly)'!$D$2:$D$106,AG$2,'Additions (monthly)'!$B$2:$B$106,"&lt;="&amp;$B204)</f>
        <v>1.5</v>
      </c>
      <c r="AH204" s="43" t="n">
        <f aca="false">SUMIFS('Additions (monthly)'!$E$2:$E$106,'Additions (monthly)'!$D$2:$D$106,AH$2,'Additions (monthly)'!$B$2:$B$106,"&lt;="&amp;$B204)</f>
        <v>2.5</v>
      </c>
      <c r="AI204" s="43" t="n">
        <f aca="false">SUMIFS('Additions (monthly)'!$E$2:$E$106,'Additions (monthly)'!$D$2:$D$106,AI$2,'Additions (monthly)'!$B$2:$B$106,"&lt;="&amp;$B204)</f>
        <v>1.4</v>
      </c>
      <c r="AJ204" s="43" t="n">
        <f aca="false">SUMIFS('Additions (monthly)'!$E$2:$E$106,'Additions (monthly)'!$D$2:$D$106,AJ$2,'Additions (monthly)'!$B$2:$B$106,"&lt;="&amp;$B204)</f>
        <v>3.25</v>
      </c>
      <c r="AK204" s="43" t="n">
        <f aca="false">SUMIFS('Additions (monthly)'!$E$2:$E$106,'Additions (monthly)'!$D$2:$D$106,AK$2,'Additions (monthly)'!$B$2:$B$106,"&lt;="&amp;$B204)</f>
        <v>3.4</v>
      </c>
      <c r="AL204" s="43" t="n">
        <f aca="false">SUMIFS('Additions (monthly)'!$E$2:$E$106,'Additions (monthly)'!$D$2:$D$106,AL$2,'Additions (monthly)'!$B$2:$B$106,"&lt;="&amp;$B204)</f>
        <v>22.2</v>
      </c>
      <c r="AM204" s="43" t="n">
        <f aca="false">SUMIFS('Additions (monthly)'!$E$2:$E$106,'Additions (monthly)'!$D$2:$D$106,AM$2,'Additions (monthly)'!$B$2:$B$106,"&lt;="&amp;$B204)</f>
        <v>0.3</v>
      </c>
      <c r="AN204" s="43" t="n">
        <f aca="false">SUMIFS('Additions (monthly)'!$E$2:$E$106,'Additions (monthly)'!$D$2:$D$106,AN$2,'Additions (monthly)'!$B$2:$B$106,"&lt;="&amp;$B204)</f>
        <v>4.3</v>
      </c>
      <c r="AO204" s="43" t="n">
        <f aca="false">SUMIFS('Additions (monthly)'!$E$2:$E$106,'Additions (monthly)'!$D$2:$D$106,AO$2,'Additions (monthly)'!$B$2:$B$106,"&lt;="&amp;$B204)</f>
        <v>10.4</v>
      </c>
      <c r="AP204" s="43" t="n">
        <f aca="false">SUMIFS('Additions (monthly)'!$E$2:$E$106,'Additions (monthly)'!$D$2:$D$106,AP$2,'Additions (monthly)'!$B$2:$B$106,"&lt;="&amp;$B204)</f>
        <v>6.9</v>
      </c>
      <c r="AQ204" s="43" t="n">
        <f aca="false">SUMIFS('Additions (monthly)'!$E$2:$E$106,'Additions (monthly)'!$D$2:$D$106,AQ$2,'Additions (monthly)'!$B$2:$B$106,"&lt;="&amp;$B204)</f>
        <v>4.45</v>
      </c>
      <c r="AR204" s="43" t="n">
        <f aca="false">SUMIFS('Additions (monthly)'!$E$2:$E$106,'Additions (monthly)'!$D$2:$D$106,AR$2,'Additions (monthly)'!$B$2:$B$106,"&lt;="&amp;$B204)</f>
        <v>85.1</v>
      </c>
      <c r="AS204" s="43" t="n">
        <f aca="false">SUMIFS('Additions (monthly)'!$E$2:$E$106,'Additions (monthly)'!$D$2:$D$106,AS$2,'Additions (monthly)'!$B$2:$B$106,"&lt;="&amp;$B204)</f>
        <v>6.6</v>
      </c>
      <c r="AT204" s="43" t="n">
        <f aca="false">SUMIFS('Additions (monthly)'!$E$2:$E$106,'Additions (monthly)'!$D$2:$D$106,AT$2,'Additions (monthly)'!$B$2:$B$106,"&lt;="&amp;$B204)</f>
        <v>1.5</v>
      </c>
      <c r="AU204" s="43" t="n">
        <f aca="false">SUMIFS('Additions (monthly)'!$E$2:$E$106,'Additions (monthly)'!$D$2:$D$106,AU$2,'Additions (monthly)'!$B$2:$B$106,"&lt;="&amp;$B204)</f>
        <v>9.6</v>
      </c>
      <c r="AV204" s="43" t="n">
        <f aca="false">SUMIFS('Additions (monthly)'!$E$2:$E$106,'Additions (monthly)'!$D$2:$D$106,AV$2,'Additions (monthly)'!$B$2:$B$106,"&lt;="&amp;$B204)</f>
        <v>0.66</v>
      </c>
      <c r="AW204" s="43" t="n">
        <f aca="false">SUMIFS('Additions (monthly)'!$E$2:$E$106,'Additions (monthly)'!$D$2:$D$106,AW$2,'Additions (monthly)'!$B$2:$B$106,"&lt;="&amp;$B204)</f>
        <v>17.4</v>
      </c>
      <c r="AX204" s="43" t="n">
        <f aca="false">SUMIFS('Additions (monthly)'!$E$2:$E$106,'Additions (monthly)'!$D$2:$D$106,AX$2,'Additions (monthly)'!$B$2:$B$106,"&lt;="&amp;$B204)</f>
        <v>11.8</v>
      </c>
      <c r="AY204" s="43" t="n">
        <f aca="false">SUMIFS('Additions (monthly)'!$E$2:$E$106,'Additions (monthly)'!$D$2:$D$106,AY$2,'Additions (monthly)'!$B$2:$B$106,"&lt;="&amp;$B204)</f>
        <v>5.3</v>
      </c>
      <c r="AZ204" s="43" t="n">
        <f aca="false">SUMIFS('Additions (monthly)'!$E$2:$E$106,'Additions (monthly)'!$D$2:$D$106,AZ$2,'Additions (monthly)'!$B$2:$B$106,"&lt;="&amp;$B204)</f>
        <v>9.97</v>
      </c>
      <c r="BA204" s="43" t="n">
        <f aca="false">SUMIFS('Additions (monthly)'!$E$2:$E$106,'Additions (monthly)'!$D$2:$D$106,BA$2,'Additions (monthly)'!$B$2:$B$106,"&lt;="&amp;$B204)</f>
        <v>13.5</v>
      </c>
      <c r="BB204" s="43" t="n">
        <f aca="false">SUMIFS('Additions (monthly)'!$E$2:$E$106,'Additions (monthly)'!$D$2:$D$106,BB$2,'Additions (monthly)'!$B$2:$B$106,"&lt;="&amp;$B204)</f>
        <v>23.94</v>
      </c>
      <c r="BC204" s="43" t="n">
        <f aca="false">SUMIFS('Additions (monthly)'!$E$2:$E$106,'Additions (monthly)'!$D$2:$D$106,BC$2,'Additions (monthly)'!$B$2:$B$106,"&lt;="&amp;$B204)</f>
        <v>5.25</v>
      </c>
      <c r="BD204" s="43" t="n">
        <f aca="false">SUMIFS('Additions (monthly)'!$E$2:$E$106,'Additions (monthly)'!$D$2:$D$106,BD$2,'Additions (monthly)'!$B$2:$B$106,"&lt;="&amp;$B204)</f>
        <v>2.5</v>
      </c>
      <c r="BE204" s="43" t="n">
        <f aca="false">SUMIFS('Additions (monthly)'!$E$2:$E$106,'Additions (monthly)'!$D$2:$D$106,BE$2,'Additions (monthly)'!$B$2:$B$106,"&lt;="&amp;$B204)</f>
        <v>15.3</v>
      </c>
      <c r="BF204" s="43" t="n">
        <f aca="false">SUMIFS('Additions (monthly)'!$E$2:$E$106,'Additions (monthly)'!$D$2:$D$106,BF$2,'Additions (monthly)'!$B$2:$B$106,"&lt;="&amp;$B204)</f>
        <v>10.4</v>
      </c>
      <c r="BG204" s="43" t="n">
        <f aca="false">SUMIFS('Additions (monthly)'!$E$2:$E$106,'Additions (monthly)'!$D$2:$D$106,BG$2,'Additions (monthly)'!$B$2:$B$106,"&lt;="&amp;$B204)</f>
        <v>19.44</v>
      </c>
      <c r="BH204" s="43" t="n">
        <f aca="false">SUMIFS('Additions (monthly)'!$E$2:$E$106,'Additions (monthly)'!$D$2:$D$106,BH$2,'Additions (monthly)'!$B$2:$B$106,"&lt;="&amp;$B204)</f>
        <v>30</v>
      </c>
      <c r="BI204" s="43" t="n">
        <f aca="false">SUMIFS('Additions (monthly)'!$E$2:$E$106,'Additions (monthly)'!$D$2:$D$106,BI$2,'Additions (monthly)'!$B$2:$B$106,"&lt;="&amp;$B204)</f>
        <v>6.7</v>
      </c>
    </row>
    <row r="205" customFormat="false" ht="15" hidden="false" customHeight="false" outlineLevel="0" collapsed="false">
      <c r="A205" s="23" t="n">
        <v>46327</v>
      </c>
      <c r="B205" s="24" t="n">
        <v>202611</v>
      </c>
      <c r="C205" s="42" t="n">
        <f aca="false">SUMIFS('Additions (monthly)'!$E$2:$E$106,'Additions (monthly)'!$B$2:$B$106,"&lt;="&amp;$B205)</f>
        <v>565.07</v>
      </c>
      <c r="D205" s="43" t="n">
        <f aca="false">SUMIFS('Additions (monthly)'!$E$2:$E$106,'Additions (monthly)'!$D$2:$D$106,D$2,'Additions (monthly)'!$B$2:$B$106,"&lt;="&amp;$B205)</f>
        <v>7.9</v>
      </c>
      <c r="E205" s="43" t="n">
        <f aca="false">SUMIFS('Additions (monthly)'!$E$2:$E$106,'Additions (monthly)'!$D$2:$D$106,E$2,'Additions (monthly)'!$B$2:$B$106,"&lt;="&amp;$B205)</f>
        <v>8.4</v>
      </c>
      <c r="F205" s="43" t="n">
        <f aca="false">SUMIFS('Additions (monthly)'!$E$2:$E$106,'Additions (monthly)'!$D$2:$D$106,F$2,'Additions (monthly)'!$B$2:$B$106,"&lt;="&amp;$B205)</f>
        <v>4.7</v>
      </c>
      <c r="G205" s="43" t="n">
        <f aca="false">SUMIFS('Additions (monthly)'!$E$2:$E$106,'Additions (monthly)'!$D$2:$D$106,G$2,'Additions (monthly)'!$B$2:$B$106,"&lt;="&amp;$B205)</f>
        <v>4.5</v>
      </c>
      <c r="H205" s="43" t="n">
        <f aca="false">SUMIFS('Additions (monthly)'!$E$2:$E$106,'Additions (monthly)'!$D$2:$D$106,H$2,'Additions (monthly)'!$B$2:$B$106,"&lt;="&amp;$B205)</f>
        <v>5.2</v>
      </c>
      <c r="I205" s="43" t="n">
        <f aca="false">SUMIFS('Additions (monthly)'!$E$2:$E$106,'Additions (monthly)'!$D$2:$D$106,I$2,'Additions (monthly)'!$B$2:$B$106,"&lt;="&amp;$B205)</f>
        <v>9</v>
      </c>
      <c r="J205" s="43" t="n">
        <f aca="false">SUMIFS('Additions (monthly)'!$E$2:$E$106,'Additions (monthly)'!$D$2:$D$106,J$2,'Additions (monthly)'!$B$2:$B$106,"&lt;="&amp;$B205)</f>
        <v>3.7</v>
      </c>
      <c r="K205" s="43" t="n">
        <f aca="false">SUMIFS('Additions (monthly)'!$E$2:$E$106,'Additions (monthly)'!$D$2:$D$106,K$2,'Additions (monthly)'!$B$2:$B$106,"&lt;="&amp;$B205)</f>
        <v>7.8</v>
      </c>
      <c r="L205" s="43" t="n">
        <f aca="false">SUMIFS('Additions (monthly)'!$E$2:$E$106,'Additions (monthly)'!$D$2:$D$106,L$2,'Additions (monthly)'!$B$2:$B$106,"&lt;="&amp;$B205)</f>
        <v>15.6</v>
      </c>
      <c r="M205" s="43" t="n">
        <f aca="false">SUMIFS('Additions (monthly)'!$E$2:$E$106,'Additions (monthly)'!$D$2:$D$106,M$2,'Additions (monthly)'!$B$2:$B$106,"&lt;="&amp;$B205)</f>
        <v>8.9</v>
      </c>
      <c r="N205" s="43" t="n">
        <f aca="false">SUMIFS('Additions (monthly)'!$E$2:$E$106,'Additions (monthly)'!$D$2:$D$106,N$2,'Additions (monthly)'!$B$2:$B$106,"&lt;="&amp;$B205)</f>
        <v>14.2</v>
      </c>
      <c r="O205" s="43" t="n">
        <f aca="false">SUMIFS('Additions (monthly)'!$E$2:$E$106,'Additions (monthly)'!$D$2:$D$106,O$2,'Additions (monthly)'!$B$2:$B$106,"&lt;="&amp;$B205)</f>
        <v>9.9</v>
      </c>
      <c r="P205" s="43" t="n">
        <f aca="false">SUMIFS('Additions (monthly)'!$E$2:$E$106,'Additions (monthly)'!$D$2:$D$106,P$2,'Additions (monthly)'!$B$2:$B$106,"&lt;="&amp;$B205)</f>
        <v>3.6</v>
      </c>
      <c r="Q205" s="43" t="n">
        <f aca="false">SUMIFS('Additions (monthly)'!$E$2:$E$106,'Additions (monthly)'!$D$2:$D$106,Q$2,'Additions (monthly)'!$B$2:$B$106,"&lt;="&amp;$B205)</f>
        <v>8.5</v>
      </c>
      <c r="R205" s="43" t="n">
        <f aca="false">SUMIFS('Additions (monthly)'!$E$2:$E$106,'Additions (monthly)'!$D$2:$D$106,R$2,'Additions (monthly)'!$B$2:$B$106,"&lt;="&amp;$B205)</f>
        <v>8.9</v>
      </c>
      <c r="S205" s="43" t="n">
        <f aca="false">SUMIFS('Additions (monthly)'!$E$2:$E$106,'Additions (monthly)'!$D$2:$D$106,S$2,'Additions (monthly)'!$B$2:$B$106,"&lt;="&amp;$B205)</f>
        <v>7.2</v>
      </c>
      <c r="T205" s="43" t="n">
        <f aca="false">SUMIFS('Additions (monthly)'!$E$2:$E$106,'Additions (monthly)'!$D$2:$D$106,T$2,'Additions (monthly)'!$B$2:$B$106,"&lt;="&amp;$B205)</f>
        <v>2.4</v>
      </c>
      <c r="U205" s="43" t="n">
        <f aca="false">SUMIFS('Additions (monthly)'!$E$2:$E$106,'Additions (monthly)'!$D$2:$D$106,U$2,'Additions (monthly)'!$B$2:$B$106,"&lt;="&amp;$B205)</f>
        <v>14</v>
      </c>
      <c r="V205" s="43" t="n">
        <f aca="false">SUMIFS('Additions (monthly)'!$E$2:$E$106,'Additions (monthly)'!$D$2:$D$106,V$2,'Additions (monthly)'!$B$2:$B$106,"&lt;="&amp;$B205)</f>
        <v>3.87</v>
      </c>
      <c r="W205" s="43" t="n">
        <f aca="false">SUMIFS('Additions (monthly)'!$E$2:$E$106,'Additions (monthly)'!$D$2:$D$106,W$2,'Additions (monthly)'!$B$2:$B$106,"&lt;="&amp;$B205)</f>
        <v>0.6</v>
      </c>
      <c r="X205" s="43" t="n">
        <f aca="false">SUMIFS('Additions (monthly)'!$E$2:$E$106,'Additions (monthly)'!$D$2:$D$106,X$2,'Additions (monthly)'!$B$2:$B$106,"&lt;="&amp;$B205)</f>
        <v>2.4</v>
      </c>
      <c r="Y205" s="43" t="n">
        <f aca="false">SUMIFS('Additions (monthly)'!$E$2:$E$106,'Additions (monthly)'!$D$2:$D$106,Y$2,'Additions (monthly)'!$B$2:$B$106,"&lt;="&amp;$B205)</f>
        <v>5</v>
      </c>
      <c r="Z205" s="43" t="n">
        <f aca="false">SUMIFS('Additions (monthly)'!$E$2:$E$106,'Additions (monthly)'!$D$2:$D$106,Z$2,'Additions (monthly)'!$B$2:$B$106,"&lt;="&amp;$B205)</f>
        <v>7.2</v>
      </c>
      <c r="AA205" s="43" t="n">
        <f aca="false">SUMIFS('Additions (monthly)'!$E$2:$E$106,'Additions (monthly)'!$D$2:$D$106,AA$2,'Additions (monthly)'!$B$2:$B$106,"&lt;="&amp;$B205)</f>
        <v>3.7</v>
      </c>
      <c r="AB205" s="43" t="n">
        <f aca="false">SUMIFS('Additions (monthly)'!$E$2:$E$106,'Additions (monthly)'!$D$2:$D$106,AB$2,'Additions (monthly)'!$B$2:$B$106,"&lt;="&amp;$B205)</f>
        <v>16.95</v>
      </c>
      <c r="AC205" s="43" t="n">
        <f aca="false">SUMIFS('Additions (monthly)'!$E$2:$E$106,'Additions (monthly)'!$D$2:$D$106,AC$2,'Additions (monthly)'!$B$2:$B$106,"&lt;="&amp;$B205)</f>
        <v>2</v>
      </c>
      <c r="AD205" s="43" t="n">
        <f aca="false">SUMIFS('Additions (monthly)'!$E$2:$E$106,'Additions (monthly)'!$D$2:$D$106,AD$2,'Additions (monthly)'!$B$2:$B$106,"&lt;="&amp;$B205)</f>
        <v>11.4</v>
      </c>
      <c r="AE205" s="43" t="n">
        <f aca="false">SUMIFS('Additions (monthly)'!$E$2:$E$106,'Additions (monthly)'!$D$2:$D$106,AE$2,'Additions (monthly)'!$B$2:$B$106,"&lt;="&amp;$B205)</f>
        <v>29.3</v>
      </c>
      <c r="AF205" s="43" t="n">
        <f aca="false">SUMIFS('Additions (monthly)'!$E$2:$E$106,'Additions (monthly)'!$D$2:$D$106,AF$2,'Additions (monthly)'!$B$2:$B$106,"&lt;="&amp;$B205)</f>
        <v>1.2</v>
      </c>
      <c r="AG205" s="43" t="n">
        <f aca="false">SUMIFS('Additions (monthly)'!$E$2:$E$106,'Additions (monthly)'!$D$2:$D$106,AG$2,'Additions (monthly)'!$B$2:$B$106,"&lt;="&amp;$B205)</f>
        <v>1.5</v>
      </c>
      <c r="AH205" s="43" t="n">
        <f aca="false">SUMIFS('Additions (monthly)'!$E$2:$E$106,'Additions (monthly)'!$D$2:$D$106,AH$2,'Additions (monthly)'!$B$2:$B$106,"&lt;="&amp;$B205)</f>
        <v>2.5</v>
      </c>
      <c r="AI205" s="43" t="n">
        <f aca="false">SUMIFS('Additions (monthly)'!$E$2:$E$106,'Additions (monthly)'!$D$2:$D$106,AI$2,'Additions (monthly)'!$B$2:$B$106,"&lt;="&amp;$B205)</f>
        <v>1.4</v>
      </c>
      <c r="AJ205" s="43" t="n">
        <f aca="false">SUMIFS('Additions (monthly)'!$E$2:$E$106,'Additions (monthly)'!$D$2:$D$106,AJ$2,'Additions (monthly)'!$B$2:$B$106,"&lt;="&amp;$B205)</f>
        <v>3.25</v>
      </c>
      <c r="AK205" s="43" t="n">
        <f aca="false">SUMIFS('Additions (monthly)'!$E$2:$E$106,'Additions (monthly)'!$D$2:$D$106,AK$2,'Additions (monthly)'!$B$2:$B$106,"&lt;="&amp;$B205)</f>
        <v>3.4</v>
      </c>
      <c r="AL205" s="43" t="n">
        <f aca="false">SUMIFS('Additions (monthly)'!$E$2:$E$106,'Additions (monthly)'!$D$2:$D$106,AL$2,'Additions (monthly)'!$B$2:$B$106,"&lt;="&amp;$B205)</f>
        <v>22.2</v>
      </c>
      <c r="AM205" s="43" t="n">
        <f aca="false">SUMIFS('Additions (monthly)'!$E$2:$E$106,'Additions (monthly)'!$D$2:$D$106,AM$2,'Additions (monthly)'!$B$2:$B$106,"&lt;="&amp;$B205)</f>
        <v>0.3</v>
      </c>
      <c r="AN205" s="43" t="n">
        <f aca="false">SUMIFS('Additions (monthly)'!$E$2:$E$106,'Additions (monthly)'!$D$2:$D$106,AN$2,'Additions (monthly)'!$B$2:$B$106,"&lt;="&amp;$B205)</f>
        <v>4.3</v>
      </c>
      <c r="AO205" s="43" t="n">
        <f aca="false">SUMIFS('Additions (monthly)'!$E$2:$E$106,'Additions (monthly)'!$D$2:$D$106,AO$2,'Additions (monthly)'!$B$2:$B$106,"&lt;="&amp;$B205)</f>
        <v>10.4</v>
      </c>
      <c r="AP205" s="43" t="n">
        <f aca="false">SUMIFS('Additions (monthly)'!$E$2:$E$106,'Additions (monthly)'!$D$2:$D$106,AP$2,'Additions (monthly)'!$B$2:$B$106,"&lt;="&amp;$B205)</f>
        <v>6.9</v>
      </c>
      <c r="AQ205" s="43" t="n">
        <f aca="false">SUMIFS('Additions (monthly)'!$E$2:$E$106,'Additions (monthly)'!$D$2:$D$106,AQ$2,'Additions (monthly)'!$B$2:$B$106,"&lt;="&amp;$B205)</f>
        <v>4.45</v>
      </c>
      <c r="AR205" s="43" t="n">
        <f aca="false">SUMIFS('Additions (monthly)'!$E$2:$E$106,'Additions (monthly)'!$D$2:$D$106,AR$2,'Additions (monthly)'!$B$2:$B$106,"&lt;="&amp;$B205)</f>
        <v>85.1</v>
      </c>
      <c r="AS205" s="43" t="n">
        <f aca="false">SUMIFS('Additions (monthly)'!$E$2:$E$106,'Additions (monthly)'!$D$2:$D$106,AS$2,'Additions (monthly)'!$B$2:$B$106,"&lt;="&amp;$B205)</f>
        <v>6.6</v>
      </c>
      <c r="AT205" s="43" t="n">
        <f aca="false">SUMIFS('Additions (monthly)'!$E$2:$E$106,'Additions (monthly)'!$D$2:$D$106,AT$2,'Additions (monthly)'!$B$2:$B$106,"&lt;="&amp;$B205)</f>
        <v>1.5</v>
      </c>
      <c r="AU205" s="43" t="n">
        <f aca="false">SUMIFS('Additions (monthly)'!$E$2:$E$106,'Additions (monthly)'!$D$2:$D$106,AU$2,'Additions (monthly)'!$B$2:$B$106,"&lt;="&amp;$B205)</f>
        <v>9.6</v>
      </c>
      <c r="AV205" s="43" t="n">
        <f aca="false">SUMIFS('Additions (monthly)'!$E$2:$E$106,'Additions (monthly)'!$D$2:$D$106,AV$2,'Additions (monthly)'!$B$2:$B$106,"&lt;="&amp;$B205)</f>
        <v>0.66</v>
      </c>
      <c r="AW205" s="43" t="n">
        <f aca="false">SUMIFS('Additions (monthly)'!$E$2:$E$106,'Additions (monthly)'!$D$2:$D$106,AW$2,'Additions (monthly)'!$B$2:$B$106,"&lt;="&amp;$B205)</f>
        <v>17.4</v>
      </c>
      <c r="AX205" s="43" t="n">
        <f aca="false">SUMIFS('Additions (monthly)'!$E$2:$E$106,'Additions (monthly)'!$D$2:$D$106,AX$2,'Additions (monthly)'!$B$2:$B$106,"&lt;="&amp;$B205)</f>
        <v>11.8</v>
      </c>
      <c r="AY205" s="43" t="n">
        <f aca="false">SUMIFS('Additions (monthly)'!$E$2:$E$106,'Additions (monthly)'!$D$2:$D$106,AY$2,'Additions (monthly)'!$B$2:$B$106,"&lt;="&amp;$B205)</f>
        <v>5.3</v>
      </c>
      <c r="AZ205" s="43" t="n">
        <f aca="false">SUMIFS('Additions (monthly)'!$E$2:$E$106,'Additions (monthly)'!$D$2:$D$106,AZ$2,'Additions (monthly)'!$B$2:$B$106,"&lt;="&amp;$B205)</f>
        <v>9.97</v>
      </c>
      <c r="BA205" s="43" t="n">
        <f aca="false">SUMIFS('Additions (monthly)'!$E$2:$E$106,'Additions (monthly)'!$D$2:$D$106,BA$2,'Additions (monthly)'!$B$2:$B$106,"&lt;="&amp;$B205)</f>
        <v>13.5</v>
      </c>
      <c r="BB205" s="43" t="n">
        <f aca="false">SUMIFS('Additions (monthly)'!$E$2:$E$106,'Additions (monthly)'!$D$2:$D$106,BB$2,'Additions (monthly)'!$B$2:$B$106,"&lt;="&amp;$B205)</f>
        <v>25.43</v>
      </c>
      <c r="BC205" s="43" t="n">
        <f aca="false">SUMIFS('Additions (monthly)'!$E$2:$E$106,'Additions (monthly)'!$D$2:$D$106,BC$2,'Additions (monthly)'!$B$2:$B$106,"&lt;="&amp;$B205)</f>
        <v>5.25</v>
      </c>
      <c r="BD205" s="43" t="n">
        <f aca="false">SUMIFS('Additions (monthly)'!$E$2:$E$106,'Additions (monthly)'!$D$2:$D$106,BD$2,'Additions (monthly)'!$B$2:$B$106,"&lt;="&amp;$B205)</f>
        <v>2.5</v>
      </c>
      <c r="BE205" s="43" t="n">
        <f aca="false">SUMIFS('Additions (monthly)'!$E$2:$E$106,'Additions (monthly)'!$D$2:$D$106,BE$2,'Additions (monthly)'!$B$2:$B$106,"&lt;="&amp;$B205)</f>
        <v>15.3</v>
      </c>
      <c r="BF205" s="43" t="n">
        <f aca="false">SUMIFS('Additions (monthly)'!$E$2:$E$106,'Additions (monthly)'!$D$2:$D$106,BF$2,'Additions (monthly)'!$B$2:$B$106,"&lt;="&amp;$B205)</f>
        <v>10.4</v>
      </c>
      <c r="BG205" s="43" t="n">
        <f aca="false">SUMIFS('Additions (monthly)'!$E$2:$E$106,'Additions (monthly)'!$D$2:$D$106,BG$2,'Additions (monthly)'!$B$2:$B$106,"&lt;="&amp;$B205)</f>
        <v>19.44</v>
      </c>
      <c r="BH205" s="43" t="n">
        <f aca="false">SUMIFS('Additions (monthly)'!$E$2:$E$106,'Additions (monthly)'!$D$2:$D$106,BH$2,'Additions (monthly)'!$B$2:$B$106,"&lt;="&amp;$B205)</f>
        <v>30</v>
      </c>
      <c r="BI205" s="43" t="n">
        <f aca="false">SUMIFS('Additions (monthly)'!$E$2:$E$106,'Additions (monthly)'!$D$2:$D$106,BI$2,'Additions (monthly)'!$B$2:$B$106,"&lt;="&amp;$B205)</f>
        <v>6.7</v>
      </c>
    </row>
    <row r="206" customFormat="false" ht="15" hidden="false" customHeight="false" outlineLevel="0" collapsed="false">
      <c r="A206" s="23" t="n">
        <v>46357</v>
      </c>
      <c r="B206" s="24" t="n">
        <v>202612</v>
      </c>
      <c r="C206" s="42" t="n">
        <f aca="false">SUMIFS('Additions (monthly)'!$E$2:$E$106,'Additions (monthly)'!$B$2:$B$106,"&lt;="&amp;$B206)</f>
        <v>565.07</v>
      </c>
      <c r="D206" s="43" t="n">
        <f aca="false">SUMIFS('Additions (monthly)'!$E$2:$E$106,'Additions (monthly)'!$D$2:$D$106,D$2,'Additions (monthly)'!$B$2:$B$106,"&lt;="&amp;$B206)</f>
        <v>7.9</v>
      </c>
      <c r="E206" s="43" t="n">
        <f aca="false">SUMIFS('Additions (monthly)'!$E$2:$E$106,'Additions (monthly)'!$D$2:$D$106,E$2,'Additions (monthly)'!$B$2:$B$106,"&lt;="&amp;$B206)</f>
        <v>8.4</v>
      </c>
      <c r="F206" s="43" t="n">
        <f aca="false">SUMIFS('Additions (monthly)'!$E$2:$E$106,'Additions (monthly)'!$D$2:$D$106,F$2,'Additions (monthly)'!$B$2:$B$106,"&lt;="&amp;$B206)</f>
        <v>4.7</v>
      </c>
      <c r="G206" s="43" t="n">
        <f aca="false">SUMIFS('Additions (monthly)'!$E$2:$E$106,'Additions (monthly)'!$D$2:$D$106,G$2,'Additions (monthly)'!$B$2:$B$106,"&lt;="&amp;$B206)</f>
        <v>4.5</v>
      </c>
      <c r="H206" s="43" t="n">
        <f aca="false">SUMIFS('Additions (monthly)'!$E$2:$E$106,'Additions (monthly)'!$D$2:$D$106,H$2,'Additions (monthly)'!$B$2:$B$106,"&lt;="&amp;$B206)</f>
        <v>5.2</v>
      </c>
      <c r="I206" s="43" t="n">
        <f aca="false">SUMIFS('Additions (monthly)'!$E$2:$E$106,'Additions (monthly)'!$D$2:$D$106,I$2,'Additions (monthly)'!$B$2:$B$106,"&lt;="&amp;$B206)</f>
        <v>9</v>
      </c>
      <c r="J206" s="43" t="n">
        <f aca="false">SUMIFS('Additions (monthly)'!$E$2:$E$106,'Additions (monthly)'!$D$2:$D$106,J$2,'Additions (monthly)'!$B$2:$B$106,"&lt;="&amp;$B206)</f>
        <v>3.7</v>
      </c>
      <c r="K206" s="43" t="n">
        <f aca="false">SUMIFS('Additions (monthly)'!$E$2:$E$106,'Additions (monthly)'!$D$2:$D$106,K$2,'Additions (monthly)'!$B$2:$B$106,"&lt;="&amp;$B206)</f>
        <v>7.8</v>
      </c>
      <c r="L206" s="43" t="n">
        <f aca="false">SUMIFS('Additions (monthly)'!$E$2:$E$106,'Additions (monthly)'!$D$2:$D$106,L$2,'Additions (monthly)'!$B$2:$B$106,"&lt;="&amp;$B206)</f>
        <v>15.6</v>
      </c>
      <c r="M206" s="43" t="n">
        <f aca="false">SUMIFS('Additions (monthly)'!$E$2:$E$106,'Additions (monthly)'!$D$2:$D$106,M$2,'Additions (monthly)'!$B$2:$B$106,"&lt;="&amp;$B206)</f>
        <v>8.9</v>
      </c>
      <c r="N206" s="43" t="n">
        <f aca="false">SUMIFS('Additions (monthly)'!$E$2:$E$106,'Additions (monthly)'!$D$2:$D$106,N$2,'Additions (monthly)'!$B$2:$B$106,"&lt;="&amp;$B206)</f>
        <v>14.2</v>
      </c>
      <c r="O206" s="43" t="n">
        <f aca="false">SUMIFS('Additions (monthly)'!$E$2:$E$106,'Additions (monthly)'!$D$2:$D$106,O$2,'Additions (monthly)'!$B$2:$B$106,"&lt;="&amp;$B206)</f>
        <v>9.9</v>
      </c>
      <c r="P206" s="43" t="n">
        <f aca="false">SUMIFS('Additions (monthly)'!$E$2:$E$106,'Additions (monthly)'!$D$2:$D$106,P$2,'Additions (monthly)'!$B$2:$B$106,"&lt;="&amp;$B206)</f>
        <v>3.6</v>
      </c>
      <c r="Q206" s="43" t="n">
        <f aca="false">SUMIFS('Additions (monthly)'!$E$2:$E$106,'Additions (monthly)'!$D$2:$D$106,Q$2,'Additions (monthly)'!$B$2:$B$106,"&lt;="&amp;$B206)</f>
        <v>8.5</v>
      </c>
      <c r="R206" s="43" t="n">
        <f aca="false">SUMIFS('Additions (monthly)'!$E$2:$E$106,'Additions (monthly)'!$D$2:$D$106,R$2,'Additions (monthly)'!$B$2:$B$106,"&lt;="&amp;$B206)</f>
        <v>8.9</v>
      </c>
      <c r="S206" s="43" t="n">
        <f aca="false">SUMIFS('Additions (monthly)'!$E$2:$E$106,'Additions (monthly)'!$D$2:$D$106,S$2,'Additions (monthly)'!$B$2:$B$106,"&lt;="&amp;$B206)</f>
        <v>7.2</v>
      </c>
      <c r="T206" s="43" t="n">
        <f aca="false">SUMIFS('Additions (monthly)'!$E$2:$E$106,'Additions (monthly)'!$D$2:$D$106,T$2,'Additions (monthly)'!$B$2:$B$106,"&lt;="&amp;$B206)</f>
        <v>2.4</v>
      </c>
      <c r="U206" s="43" t="n">
        <f aca="false">SUMIFS('Additions (monthly)'!$E$2:$E$106,'Additions (monthly)'!$D$2:$D$106,U$2,'Additions (monthly)'!$B$2:$B$106,"&lt;="&amp;$B206)</f>
        <v>14</v>
      </c>
      <c r="V206" s="43" t="n">
        <f aca="false">SUMIFS('Additions (monthly)'!$E$2:$E$106,'Additions (monthly)'!$D$2:$D$106,V$2,'Additions (monthly)'!$B$2:$B$106,"&lt;="&amp;$B206)</f>
        <v>3.87</v>
      </c>
      <c r="W206" s="43" t="n">
        <f aca="false">SUMIFS('Additions (monthly)'!$E$2:$E$106,'Additions (monthly)'!$D$2:$D$106,W$2,'Additions (monthly)'!$B$2:$B$106,"&lt;="&amp;$B206)</f>
        <v>0.6</v>
      </c>
      <c r="X206" s="43" t="n">
        <f aca="false">SUMIFS('Additions (monthly)'!$E$2:$E$106,'Additions (monthly)'!$D$2:$D$106,X$2,'Additions (monthly)'!$B$2:$B$106,"&lt;="&amp;$B206)</f>
        <v>2.4</v>
      </c>
      <c r="Y206" s="43" t="n">
        <f aca="false">SUMIFS('Additions (monthly)'!$E$2:$E$106,'Additions (monthly)'!$D$2:$D$106,Y$2,'Additions (monthly)'!$B$2:$B$106,"&lt;="&amp;$B206)</f>
        <v>5</v>
      </c>
      <c r="Z206" s="43" t="n">
        <f aca="false">SUMIFS('Additions (monthly)'!$E$2:$E$106,'Additions (monthly)'!$D$2:$D$106,Z$2,'Additions (monthly)'!$B$2:$B$106,"&lt;="&amp;$B206)</f>
        <v>7.2</v>
      </c>
      <c r="AA206" s="43" t="n">
        <f aca="false">SUMIFS('Additions (monthly)'!$E$2:$E$106,'Additions (monthly)'!$D$2:$D$106,AA$2,'Additions (monthly)'!$B$2:$B$106,"&lt;="&amp;$B206)</f>
        <v>3.7</v>
      </c>
      <c r="AB206" s="43" t="n">
        <f aca="false">SUMIFS('Additions (monthly)'!$E$2:$E$106,'Additions (monthly)'!$D$2:$D$106,AB$2,'Additions (monthly)'!$B$2:$B$106,"&lt;="&amp;$B206)</f>
        <v>16.95</v>
      </c>
      <c r="AC206" s="43" t="n">
        <f aca="false">SUMIFS('Additions (monthly)'!$E$2:$E$106,'Additions (monthly)'!$D$2:$D$106,AC$2,'Additions (monthly)'!$B$2:$B$106,"&lt;="&amp;$B206)</f>
        <v>2</v>
      </c>
      <c r="AD206" s="43" t="n">
        <f aca="false">SUMIFS('Additions (monthly)'!$E$2:$E$106,'Additions (monthly)'!$D$2:$D$106,AD$2,'Additions (monthly)'!$B$2:$B$106,"&lt;="&amp;$B206)</f>
        <v>11.4</v>
      </c>
      <c r="AE206" s="43" t="n">
        <f aca="false">SUMIFS('Additions (monthly)'!$E$2:$E$106,'Additions (monthly)'!$D$2:$D$106,AE$2,'Additions (monthly)'!$B$2:$B$106,"&lt;="&amp;$B206)</f>
        <v>29.3</v>
      </c>
      <c r="AF206" s="43" t="n">
        <f aca="false">SUMIFS('Additions (monthly)'!$E$2:$E$106,'Additions (monthly)'!$D$2:$D$106,AF$2,'Additions (monthly)'!$B$2:$B$106,"&lt;="&amp;$B206)</f>
        <v>1.2</v>
      </c>
      <c r="AG206" s="43" t="n">
        <f aca="false">SUMIFS('Additions (monthly)'!$E$2:$E$106,'Additions (monthly)'!$D$2:$D$106,AG$2,'Additions (monthly)'!$B$2:$B$106,"&lt;="&amp;$B206)</f>
        <v>1.5</v>
      </c>
      <c r="AH206" s="43" t="n">
        <f aca="false">SUMIFS('Additions (monthly)'!$E$2:$E$106,'Additions (monthly)'!$D$2:$D$106,AH$2,'Additions (monthly)'!$B$2:$B$106,"&lt;="&amp;$B206)</f>
        <v>2.5</v>
      </c>
      <c r="AI206" s="43" t="n">
        <f aca="false">SUMIFS('Additions (monthly)'!$E$2:$E$106,'Additions (monthly)'!$D$2:$D$106,AI$2,'Additions (monthly)'!$B$2:$B$106,"&lt;="&amp;$B206)</f>
        <v>1.4</v>
      </c>
      <c r="AJ206" s="43" t="n">
        <f aca="false">SUMIFS('Additions (monthly)'!$E$2:$E$106,'Additions (monthly)'!$D$2:$D$106,AJ$2,'Additions (monthly)'!$B$2:$B$106,"&lt;="&amp;$B206)</f>
        <v>3.25</v>
      </c>
      <c r="AK206" s="43" t="n">
        <f aca="false">SUMIFS('Additions (monthly)'!$E$2:$E$106,'Additions (monthly)'!$D$2:$D$106,AK$2,'Additions (monthly)'!$B$2:$B$106,"&lt;="&amp;$B206)</f>
        <v>3.4</v>
      </c>
      <c r="AL206" s="43" t="n">
        <f aca="false">SUMIFS('Additions (monthly)'!$E$2:$E$106,'Additions (monthly)'!$D$2:$D$106,AL$2,'Additions (monthly)'!$B$2:$B$106,"&lt;="&amp;$B206)</f>
        <v>22.2</v>
      </c>
      <c r="AM206" s="43" t="n">
        <f aca="false">SUMIFS('Additions (monthly)'!$E$2:$E$106,'Additions (monthly)'!$D$2:$D$106,AM$2,'Additions (monthly)'!$B$2:$B$106,"&lt;="&amp;$B206)</f>
        <v>0.3</v>
      </c>
      <c r="AN206" s="43" t="n">
        <f aca="false">SUMIFS('Additions (monthly)'!$E$2:$E$106,'Additions (monthly)'!$D$2:$D$106,AN$2,'Additions (monthly)'!$B$2:$B$106,"&lt;="&amp;$B206)</f>
        <v>4.3</v>
      </c>
      <c r="AO206" s="43" t="n">
        <f aca="false">SUMIFS('Additions (monthly)'!$E$2:$E$106,'Additions (monthly)'!$D$2:$D$106,AO$2,'Additions (monthly)'!$B$2:$B$106,"&lt;="&amp;$B206)</f>
        <v>10.4</v>
      </c>
      <c r="AP206" s="43" t="n">
        <f aca="false">SUMIFS('Additions (monthly)'!$E$2:$E$106,'Additions (monthly)'!$D$2:$D$106,AP$2,'Additions (monthly)'!$B$2:$B$106,"&lt;="&amp;$B206)</f>
        <v>6.9</v>
      </c>
      <c r="AQ206" s="43" t="n">
        <f aca="false">SUMIFS('Additions (monthly)'!$E$2:$E$106,'Additions (monthly)'!$D$2:$D$106,AQ$2,'Additions (monthly)'!$B$2:$B$106,"&lt;="&amp;$B206)</f>
        <v>4.45</v>
      </c>
      <c r="AR206" s="43" t="n">
        <f aca="false">SUMIFS('Additions (monthly)'!$E$2:$E$106,'Additions (monthly)'!$D$2:$D$106,AR$2,'Additions (monthly)'!$B$2:$B$106,"&lt;="&amp;$B206)</f>
        <v>85.1</v>
      </c>
      <c r="AS206" s="43" t="n">
        <f aca="false">SUMIFS('Additions (monthly)'!$E$2:$E$106,'Additions (monthly)'!$D$2:$D$106,AS$2,'Additions (monthly)'!$B$2:$B$106,"&lt;="&amp;$B206)</f>
        <v>6.6</v>
      </c>
      <c r="AT206" s="43" t="n">
        <f aca="false">SUMIFS('Additions (monthly)'!$E$2:$E$106,'Additions (monthly)'!$D$2:$D$106,AT$2,'Additions (monthly)'!$B$2:$B$106,"&lt;="&amp;$B206)</f>
        <v>1.5</v>
      </c>
      <c r="AU206" s="43" t="n">
        <f aca="false">SUMIFS('Additions (monthly)'!$E$2:$E$106,'Additions (monthly)'!$D$2:$D$106,AU$2,'Additions (monthly)'!$B$2:$B$106,"&lt;="&amp;$B206)</f>
        <v>9.6</v>
      </c>
      <c r="AV206" s="43" t="n">
        <f aca="false">SUMIFS('Additions (monthly)'!$E$2:$E$106,'Additions (monthly)'!$D$2:$D$106,AV$2,'Additions (monthly)'!$B$2:$B$106,"&lt;="&amp;$B206)</f>
        <v>0.66</v>
      </c>
      <c r="AW206" s="43" t="n">
        <f aca="false">SUMIFS('Additions (monthly)'!$E$2:$E$106,'Additions (monthly)'!$D$2:$D$106,AW$2,'Additions (monthly)'!$B$2:$B$106,"&lt;="&amp;$B206)</f>
        <v>17.4</v>
      </c>
      <c r="AX206" s="43" t="n">
        <f aca="false">SUMIFS('Additions (monthly)'!$E$2:$E$106,'Additions (monthly)'!$D$2:$D$106,AX$2,'Additions (monthly)'!$B$2:$B$106,"&lt;="&amp;$B206)</f>
        <v>11.8</v>
      </c>
      <c r="AY206" s="43" t="n">
        <f aca="false">SUMIFS('Additions (monthly)'!$E$2:$E$106,'Additions (monthly)'!$D$2:$D$106,AY$2,'Additions (monthly)'!$B$2:$B$106,"&lt;="&amp;$B206)</f>
        <v>5.3</v>
      </c>
      <c r="AZ206" s="43" t="n">
        <f aca="false">SUMIFS('Additions (monthly)'!$E$2:$E$106,'Additions (monthly)'!$D$2:$D$106,AZ$2,'Additions (monthly)'!$B$2:$B$106,"&lt;="&amp;$B206)</f>
        <v>9.97</v>
      </c>
      <c r="BA206" s="43" t="n">
        <f aca="false">SUMIFS('Additions (monthly)'!$E$2:$E$106,'Additions (monthly)'!$D$2:$D$106,BA$2,'Additions (monthly)'!$B$2:$B$106,"&lt;="&amp;$B206)</f>
        <v>13.5</v>
      </c>
      <c r="BB206" s="43" t="n">
        <f aca="false">SUMIFS('Additions (monthly)'!$E$2:$E$106,'Additions (monthly)'!$D$2:$D$106,BB$2,'Additions (monthly)'!$B$2:$B$106,"&lt;="&amp;$B206)</f>
        <v>25.43</v>
      </c>
      <c r="BC206" s="43" t="n">
        <f aca="false">SUMIFS('Additions (monthly)'!$E$2:$E$106,'Additions (monthly)'!$D$2:$D$106,BC$2,'Additions (monthly)'!$B$2:$B$106,"&lt;="&amp;$B206)</f>
        <v>5.25</v>
      </c>
      <c r="BD206" s="43" t="n">
        <f aca="false">SUMIFS('Additions (monthly)'!$E$2:$E$106,'Additions (monthly)'!$D$2:$D$106,BD$2,'Additions (monthly)'!$B$2:$B$106,"&lt;="&amp;$B206)</f>
        <v>2.5</v>
      </c>
      <c r="BE206" s="43" t="n">
        <f aca="false">SUMIFS('Additions (monthly)'!$E$2:$E$106,'Additions (monthly)'!$D$2:$D$106,BE$2,'Additions (monthly)'!$B$2:$B$106,"&lt;="&amp;$B206)</f>
        <v>15.3</v>
      </c>
      <c r="BF206" s="43" t="n">
        <f aca="false">SUMIFS('Additions (monthly)'!$E$2:$E$106,'Additions (monthly)'!$D$2:$D$106,BF$2,'Additions (monthly)'!$B$2:$B$106,"&lt;="&amp;$B206)</f>
        <v>10.4</v>
      </c>
      <c r="BG206" s="43" t="n">
        <f aca="false">SUMIFS('Additions (monthly)'!$E$2:$E$106,'Additions (monthly)'!$D$2:$D$106,BG$2,'Additions (monthly)'!$B$2:$B$106,"&lt;="&amp;$B206)</f>
        <v>19.44</v>
      </c>
      <c r="BH206" s="43" t="n">
        <f aca="false">SUMIFS('Additions (monthly)'!$E$2:$E$106,'Additions (monthly)'!$D$2:$D$106,BH$2,'Additions (monthly)'!$B$2:$B$106,"&lt;="&amp;$B206)</f>
        <v>30</v>
      </c>
      <c r="BI206" s="43" t="n">
        <f aca="false">SUMIFS('Additions (monthly)'!$E$2:$E$106,'Additions (monthly)'!$D$2:$D$106,BI$2,'Additions (monthly)'!$B$2:$B$106,"&lt;="&amp;$B206)</f>
        <v>6.7</v>
      </c>
    </row>
    <row r="208" customFormat="false" ht="30" hidden="false" customHeight="true" outlineLevel="0" collapsed="false">
      <c r="A208" s="30" t="s">
        <v>113</v>
      </c>
      <c r="B208" s="30"/>
      <c r="C208" s="30"/>
      <c r="D208" s="30"/>
      <c r="E208" s="30"/>
      <c r="F208" s="30"/>
      <c r="G208" s="30"/>
      <c r="H208" s="30"/>
      <c r="I208" s="30"/>
      <c r="J208" s="30"/>
      <c r="K208" s="30"/>
      <c r="L208" s="30"/>
      <c r="M208" s="30"/>
      <c r="N208" s="30"/>
      <c r="O208" s="30"/>
      <c r="P208" s="30"/>
      <c r="Q208" s="30"/>
      <c r="R208" s="30"/>
      <c r="S208" s="30"/>
      <c r="T208" s="30"/>
    </row>
    <row r="209" customFormat="false" ht="30" hidden="false" customHeight="true" outlineLevel="0" collapsed="false">
      <c r="A209" s="31" t="s">
        <v>114</v>
      </c>
      <c r="B209" s="31"/>
      <c r="C209" s="31"/>
      <c r="D209" s="31"/>
      <c r="E209" s="31"/>
      <c r="F209" s="31"/>
      <c r="G209" s="31"/>
      <c r="H209" s="31"/>
      <c r="I209" s="31"/>
      <c r="J209" s="31"/>
      <c r="K209" s="31"/>
      <c r="L209" s="31"/>
      <c r="M209" s="31"/>
      <c r="N209" s="31"/>
      <c r="O209" s="31"/>
      <c r="P209" s="31"/>
      <c r="Q209" s="31"/>
      <c r="R209" s="31"/>
      <c r="S209" s="31"/>
      <c r="T209" s="31"/>
    </row>
    <row r="210" customFormat="false" ht="30" hidden="false" customHeight="true" outlineLevel="0" collapsed="false">
      <c r="A210" s="31" t="s">
        <v>115</v>
      </c>
      <c r="B210" s="31"/>
      <c r="C210" s="31"/>
      <c r="D210" s="31"/>
      <c r="E210" s="31"/>
      <c r="F210" s="31"/>
      <c r="G210" s="31"/>
      <c r="H210" s="31"/>
      <c r="I210" s="31"/>
      <c r="J210" s="31"/>
      <c r="K210" s="31"/>
      <c r="L210" s="31"/>
      <c r="M210" s="31"/>
      <c r="N210" s="31"/>
      <c r="O210" s="31"/>
      <c r="P210" s="31"/>
      <c r="Q210" s="31"/>
      <c r="R210" s="31"/>
      <c r="S210" s="31"/>
      <c r="T210" s="31"/>
    </row>
    <row r="211" customFormat="false" ht="30" hidden="false" customHeight="true" outlineLevel="0" collapsed="false">
      <c r="A211" s="31" t="s">
        <v>116</v>
      </c>
      <c r="B211" s="31"/>
      <c r="C211" s="31"/>
      <c r="D211" s="31"/>
      <c r="E211" s="31"/>
      <c r="F211" s="31"/>
      <c r="G211" s="31"/>
      <c r="H211" s="31"/>
      <c r="I211" s="31"/>
      <c r="J211" s="31"/>
      <c r="K211" s="31"/>
      <c r="L211" s="31"/>
      <c r="M211" s="31"/>
      <c r="N211" s="31"/>
      <c r="O211" s="31"/>
      <c r="P211" s="31"/>
      <c r="Q211" s="31"/>
      <c r="R211" s="31"/>
      <c r="S211" s="31"/>
      <c r="T211" s="31"/>
    </row>
  </sheetData>
  <mergeCells count="15">
    <mergeCell ref="A1:C1"/>
    <mergeCell ref="D1:G1"/>
    <mergeCell ref="I1:R1"/>
    <mergeCell ref="W1:X1"/>
    <mergeCell ref="Y1:Z1"/>
    <mergeCell ref="AB1:AD1"/>
    <mergeCell ref="AE1:AG1"/>
    <mergeCell ref="AI1:AJ1"/>
    <mergeCell ref="AM1:AN1"/>
    <mergeCell ref="AS1:AW1"/>
    <mergeCell ref="AZ1:BH1"/>
    <mergeCell ref="A208:T208"/>
    <mergeCell ref="A209:T209"/>
    <mergeCell ref="A210:T210"/>
    <mergeCell ref="A211:T2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16"/>
    <col collapsed="false" customWidth="true" hidden="false" outlineLevel="0" max="4" min="4" style="1" width="30"/>
    <col collapsed="false" customWidth="true" hidden="false" outlineLevel="0" max="5" min="5" style="1" width="8"/>
    <col collapsed="false" customWidth="true" hidden="false" outlineLevel="0" max="6" min="6" style="1" width="11"/>
    <col collapsed="false" customWidth="true" hidden="false" outlineLevel="0" max="7" min="7" style="1" width="12"/>
    <col collapsed="false" customWidth="true" hidden="false" outlineLevel="0" max="8" min="8" style="1" width="9"/>
    <col collapsed="false" customWidth="true" hidden="false" outlineLevel="0" max="9" min="9" style="1" width="15"/>
    <col collapsed="false" customWidth="true" hidden="false" outlineLevel="0" max="10" min="10" style="1" width="7"/>
    <col collapsed="false" customWidth="true" hidden="false" outlineLevel="0" max="11" min="11" style="1" width="40"/>
    <col collapsed="false" customWidth="true" hidden="false" outlineLevel="0" max="12" min="12" style="1" width="30"/>
  </cols>
  <sheetData>
    <row r="1" customFormat="false" ht="30" hidden="false" customHeight="true" outlineLevel="0" collapsed="false">
      <c r="A1" s="47" t="s">
        <v>117</v>
      </c>
      <c r="B1" s="47" t="s">
        <v>118</v>
      </c>
      <c r="C1" s="47" t="s">
        <v>119</v>
      </c>
      <c r="D1" s="47" t="s">
        <v>120</v>
      </c>
      <c r="E1" s="47" t="s">
        <v>121</v>
      </c>
      <c r="F1" s="47" t="s">
        <v>122</v>
      </c>
      <c r="G1" s="47" t="s">
        <v>123</v>
      </c>
      <c r="H1" s="47" t="s">
        <v>124</v>
      </c>
      <c r="I1" s="47" t="s">
        <v>125</v>
      </c>
      <c r="J1" s="47" t="s">
        <v>126</v>
      </c>
      <c r="K1" s="47" t="s">
        <v>127</v>
      </c>
      <c r="L1" s="47" t="s">
        <v>128</v>
      </c>
    </row>
    <row r="2" customFormat="false" ht="27.75" hidden="false" customHeight="true" outlineLevel="0" collapsed="false">
      <c r="A2" s="48" t="s">
        <v>129</v>
      </c>
      <c r="B2" s="49" t="n">
        <v>40148</v>
      </c>
      <c r="C2" s="50" t="s">
        <v>130</v>
      </c>
      <c r="D2" s="51" t="s">
        <v>131</v>
      </c>
      <c r="E2" s="50" t="n">
        <v>55</v>
      </c>
      <c r="F2" s="52" t="n">
        <v>239.4</v>
      </c>
      <c r="G2" s="52" t="n">
        <v>239.4</v>
      </c>
      <c r="H2" s="50" t="s">
        <v>132</v>
      </c>
      <c r="I2" s="53" t="s">
        <v>133</v>
      </c>
      <c r="J2" s="50" t="s">
        <v>130</v>
      </c>
      <c r="K2" s="51" t="s">
        <v>134</v>
      </c>
      <c r="L2" s="53" t="s">
        <v>135</v>
      </c>
    </row>
    <row r="3" customFormat="false" ht="23.25" hidden="false" customHeight="true" outlineLevel="0" collapsed="false">
      <c r="A3" s="54" t="s">
        <v>136</v>
      </c>
      <c r="B3" s="55" t="n">
        <v>40179</v>
      </c>
      <c r="C3" s="56" t="s">
        <v>27</v>
      </c>
      <c r="D3" s="56" t="s">
        <v>68</v>
      </c>
      <c r="E3" s="54" t="n">
        <v>1</v>
      </c>
      <c r="F3" s="57" t="n">
        <v>3.87</v>
      </c>
      <c r="G3" s="57" t="n">
        <f aca="false">G2+F3</f>
        <v>243.27</v>
      </c>
      <c r="H3" s="58" t="n">
        <v>2010</v>
      </c>
      <c r="I3" s="54" t="s">
        <v>137</v>
      </c>
      <c r="J3" s="59" t="s">
        <v>138</v>
      </c>
      <c r="K3" s="60" t="s">
        <v>139</v>
      </c>
      <c r="L3" s="61"/>
    </row>
    <row r="4" customFormat="false" ht="15" hidden="false" customHeight="true" outlineLevel="0" collapsed="false">
      <c r="A4" s="62" t="s">
        <v>140</v>
      </c>
      <c r="B4" s="63" t="n">
        <v>40330</v>
      </c>
      <c r="C4" s="64" t="s">
        <v>40</v>
      </c>
      <c r="D4" s="64" t="s">
        <v>89</v>
      </c>
      <c r="E4" s="62" t="n">
        <v>1</v>
      </c>
      <c r="F4" s="65" t="n">
        <v>4.45</v>
      </c>
      <c r="G4" s="65" t="n">
        <f aca="false">G3+F4</f>
        <v>247.72</v>
      </c>
      <c r="H4" s="66" t="n">
        <v>2010</v>
      </c>
      <c r="I4" s="62" t="s">
        <v>141</v>
      </c>
      <c r="J4" s="67" t="s">
        <v>138</v>
      </c>
      <c r="K4" s="48" t="s">
        <v>142</v>
      </c>
      <c r="L4" s="68" t="s">
        <v>143</v>
      </c>
    </row>
    <row r="5" customFormat="false" ht="23.25" hidden="false" customHeight="true" outlineLevel="0" collapsed="false">
      <c r="A5" s="54" t="s">
        <v>144</v>
      </c>
      <c r="B5" s="55" t="n">
        <v>40483</v>
      </c>
      <c r="C5" s="56" t="s">
        <v>37</v>
      </c>
      <c r="D5" s="56" t="s">
        <v>85</v>
      </c>
      <c r="E5" s="54" t="n">
        <v>1</v>
      </c>
      <c r="F5" s="57" t="n">
        <v>0.3</v>
      </c>
      <c r="G5" s="57" t="n">
        <f aca="false">G4+F5</f>
        <v>248.02</v>
      </c>
      <c r="H5" s="58" t="n">
        <v>2010</v>
      </c>
      <c r="I5" s="54" t="s">
        <v>145</v>
      </c>
      <c r="J5" s="69" t="s">
        <v>146</v>
      </c>
      <c r="K5" s="60" t="s">
        <v>147</v>
      </c>
      <c r="L5" s="61" t="s">
        <v>148</v>
      </c>
    </row>
    <row r="6" customFormat="false" ht="15" hidden="false" customHeight="true" outlineLevel="0" collapsed="false">
      <c r="A6" s="62" t="s">
        <v>144</v>
      </c>
      <c r="B6" s="63" t="n">
        <v>40483</v>
      </c>
      <c r="C6" s="64" t="s">
        <v>41</v>
      </c>
      <c r="D6" s="64" t="s">
        <v>90</v>
      </c>
      <c r="E6" s="62" t="n">
        <v>1</v>
      </c>
      <c r="F6" s="65" t="n">
        <v>7.8</v>
      </c>
      <c r="G6" s="65" t="n">
        <f aca="false">G5+F6</f>
        <v>255.82</v>
      </c>
      <c r="H6" s="66" t="n">
        <v>2010</v>
      </c>
      <c r="I6" s="62" t="s">
        <v>145</v>
      </c>
      <c r="J6" s="67" t="s">
        <v>138</v>
      </c>
      <c r="K6" s="48" t="s">
        <v>149</v>
      </c>
      <c r="L6" s="68" t="s">
        <v>150</v>
      </c>
    </row>
    <row r="7" customFormat="false" ht="15" hidden="false" customHeight="true" outlineLevel="0" collapsed="false">
      <c r="A7" s="54" t="s">
        <v>151</v>
      </c>
      <c r="B7" s="55" t="n">
        <v>40575</v>
      </c>
      <c r="C7" s="56" t="s">
        <v>41</v>
      </c>
      <c r="D7" s="56" t="s">
        <v>90</v>
      </c>
      <c r="E7" s="54" t="n">
        <v>1</v>
      </c>
      <c r="F7" s="57" t="n">
        <v>7.8</v>
      </c>
      <c r="G7" s="57" t="n">
        <f aca="false">G6+F7</f>
        <v>263.62</v>
      </c>
      <c r="H7" s="58" t="n">
        <v>2011</v>
      </c>
      <c r="I7" s="54" t="s">
        <v>145</v>
      </c>
      <c r="J7" s="70" t="s">
        <v>152</v>
      </c>
      <c r="K7" s="60" t="s">
        <v>153</v>
      </c>
      <c r="L7" s="61" t="s">
        <v>154</v>
      </c>
    </row>
    <row r="8" customFormat="false" ht="23.25" hidden="false" customHeight="true" outlineLevel="0" collapsed="false">
      <c r="A8" s="62" t="s">
        <v>155</v>
      </c>
      <c r="B8" s="63" t="n">
        <v>41000</v>
      </c>
      <c r="C8" s="64" t="s">
        <v>23</v>
      </c>
      <c r="D8" s="64" t="s">
        <v>61</v>
      </c>
      <c r="E8" s="62" t="n">
        <v>1</v>
      </c>
      <c r="F8" s="65" t="n">
        <v>4.9</v>
      </c>
      <c r="G8" s="65" t="n">
        <f aca="false">G7+F8</f>
        <v>268.52</v>
      </c>
      <c r="H8" s="66" t="n">
        <v>2012</v>
      </c>
      <c r="I8" s="62" t="s">
        <v>145</v>
      </c>
      <c r="J8" s="67" t="s">
        <v>138</v>
      </c>
      <c r="K8" s="48" t="s">
        <v>156</v>
      </c>
      <c r="L8" s="68" t="s">
        <v>157</v>
      </c>
    </row>
    <row r="9" customFormat="false" ht="15" hidden="false" customHeight="true" outlineLevel="0" collapsed="false">
      <c r="A9" s="54" t="s">
        <v>158</v>
      </c>
      <c r="B9" s="55" t="n">
        <v>41334</v>
      </c>
      <c r="C9" s="56" t="s">
        <v>21</v>
      </c>
      <c r="D9" s="56" t="s">
        <v>53</v>
      </c>
      <c r="E9" s="54" t="n">
        <v>1</v>
      </c>
      <c r="F9" s="57" t="n">
        <v>4.5</v>
      </c>
      <c r="G9" s="57" t="n">
        <f aca="false">G8+F9</f>
        <v>273.02</v>
      </c>
      <c r="H9" s="58" t="n">
        <v>2013</v>
      </c>
      <c r="I9" s="54" t="s">
        <v>145</v>
      </c>
      <c r="J9" s="69" t="s">
        <v>146</v>
      </c>
      <c r="K9" s="60" t="s">
        <v>159</v>
      </c>
      <c r="L9" s="61" t="s">
        <v>160</v>
      </c>
    </row>
    <row r="10" customFormat="false" ht="15" hidden="false" customHeight="true" outlineLevel="0" collapsed="false">
      <c r="A10" s="62" t="s">
        <v>161</v>
      </c>
      <c r="B10" s="63" t="n">
        <v>41426</v>
      </c>
      <c r="C10" s="64" t="s">
        <v>22</v>
      </c>
      <c r="D10" s="64" t="s">
        <v>54</v>
      </c>
      <c r="E10" s="62" t="n">
        <v>1</v>
      </c>
      <c r="F10" s="65" t="n">
        <v>5.2</v>
      </c>
      <c r="G10" s="65" t="n">
        <f aca="false">G9+F10</f>
        <v>278.22</v>
      </c>
      <c r="H10" s="66" t="n">
        <v>2013</v>
      </c>
      <c r="I10" s="62" t="s">
        <v>141</v>
      </c>
      <c r="J10" s="67" t="s">
        <v>138</v>
      </c>
      <c r="K10" s="48" t="s">
        <v>162</v>
      </c>
      <c r="L10" s="68" t="s">
        <v>163</v>
      </c>
    </row>
    <row r="11" customFormat="false" ht="15" hidden="false" customHeight="true" outlineLevel="0" collapsed="false">
      <c r="A11" s="54" t="s">
        <v>164</v>
      </c>
      <c r="B11" s="55" t="n">
        <v>41730</v>
      </c>
      <c r="C11" s="56" t="s">
        <v>39</v>
      </c>
      <c r="D11" s="56" t="s">
        <v>88</v>
      </c>
      <c r="E11" s="54" t="n">
        <v>2</v>
      </c>
      <c r="F11" s="57" t="n">
        <v>6.9</v>
      </c>
      <c r="G11" s="57" t="n">
        <f aca="false">G10+F11</f>
        <v>285.12</v>
      </c>
      <c r="H11" s="58" t="n">
        <v>2014</v>
      </c>
      <c r="I11" s="54" t="s">
        <v>145</v>
      </c>
      <c r="J11" s="59" t="s">
        <v>138</v>
      </c>
      <c r="K11" s="60" t="s">
        <v>165</v>
      </c>
      <c r="L11" s="61" t="s">
        <v>166</v>
      </c>
    </row>
    <row r="12" customFormat="false" ht="15" hidden="false" customHeight="true" outlineLevel="0" collapsed="false">
      <c r="A12" s="62" t="s">
        <v>167</v>
      </c>
      <c r="B12" s="63" t="n">
        <v>41944</v>
      </c>
      <c r="C12" s="64" t="s">
        <v>21</v>
      </c>
      <c r="D12" s="64" t="s">
        <v>52</v>
      </c>
      <c r="E12" s="62" t="n">
        <v>1</v>
      </c>
      <c r="F12" s="65" t="n">
        <v>4.7</v>
      </c>
      <c r="G12" s="65" t="n">
        <f aca="false">G11+F12</f>
        <v>289.82</v>
      </c>
      <c r="H12" s="66" t="n">
        <v>2014</v>
      </c>
      <c r="I12" s="62" t="s">
        <v>145</v>
      </c>
      <c r="J12" s="71" t="s">
        <v>152</v>
      </c>
      <c r="K12" s="48" t="s">
        <v>168</v>
      </c>
      <c r="L12" s="68" t="s">
        <v>169</v>
      </c>
    </row>
    <row r="13" customFormat="false" ht="15" hidden="false" customHeight="true" outlineLevel="0" collapsed="false">
      <c r="A13" s="72" t="s">
        <v>170</v>
      </c>
      <c r="B13" s="73" t="n">
        <v>41974</v>
      </c>
      <c r="C13" s="74" t="s">
        <v>23</v>
      </c>
      <c r="D13" s="74" t="s">
        <v>63</v>
      </c>
      <c r="E13" s="72" t="n">
        <v>2</v>
      </c>
      <c r="F13" s="75" t="n">
        <v>8.5</v>
      </c>
      <c r="G13" s="75" t="n">
        <f aca="false">G12+F13</f>
        <v>298.32</v>
      </c>
      <c r="H13" s="76" t="n">
        <v>2015</v>
      </c>
      <c r="I13" s="72" t="s">
        <v>145</v>
      </c>
      <c r="J13" s="77" t="s">
        <v>138</v>
      </c>
      <c r="K13" s="78" t="s">
        <v>171</v>
      </c>
      <c r="L13" s="79" t="s">
        <v>172</v>
      </c>
    </row>
    <row r="14" customFormat="false" ht="15" hidden="false" customHeight="true" outlineLevel="0" collapsed="false">
      <c r="A14" s="62" t="s">
        <v>173</v>
      </c>
      <c r="B14" s="63" t="n">
        <v>42156</v>
      </c>
      <c r="C14" s="64" t="s">
        <v>31</v>
      </c>
      <c r="D14" s="64" t="s">
        <v>75</v>
      </c>
      <c r="E14" s="62" t="n">
        <v>1</v>
      </c>
      <c r="F14" s="65" t="n">
        <v>2</v>
      </c>
      <c r="G14" s="65" t="n">
        <f aca="false">G13+F14</f>
        <v>300.32</v>
      </c>
      <c r="H14" s="66" t="n">
        <v>2015</v>
      </c>
      <c r="I14" s="62" t="s">
        <v>145</v>
      </c>
      <c r="J14" s="71" t="s">
        <v>152</v>
      </c>
      <c r="K14" s="48" t="s">
        <v>174</v>
      </c>
      <c r="L14" s="68" t="s">
        <v>175</v>
      </c>
    </row>
    <row r="15" customFormat="false" ht="15" hidden="false" customHeight="true" outlineLevel="0" collapsed="false">
      <c r="A15" s="54" t="s">
        <v>176</v>
      </c>
      <c r="B15" s="55" t="n">
        <v>42248</v>
      </c>
      <c r="C15" s="56" t="s">
        <v>23</v>
      </c>
      <c r="D15" s="56" t="s">
        <v>57</v>
      </c>
      <c r="E15" s="54" t="n">
        <v>1</v>
      </c>
      <c r="F15" s="57" t="n">
        <v>3.9</v>
      </c>
      <c r="G15" s="57" t="n">
        <f aca="false">G14+F15</f>
        <v>304.22</v>
      </c>
      <c r="H15" s="58" t="n">
        <v>2015</v>
      </c>
      <c r="I15" s="54" t="s">
        <v>145</v>
      </c>
      <c r="J15" s="59" t="s">
        <v>138</v>
      </c>
      <c r="K15" s="60" t="s">
        <v>177</v>
      </c>
      <c r="L15" s="61" t="s">
        <v>178</v>
      </c>
    </row>
    <row r="16" customFormat="false" ht="15" hidden="false" customHeight="true" outlineLevel="0" collapsed="false">
      <c r="A16" s="72" t="s">
        <v>179</v>
      </c>
      <c r="B16" s="73" t="n">
        <v>42339</v>
      </c>
      <c r="C16" s="74" t="s">
        <v>23</v>
      </c>
      <c r="D16" s="74" t="s">
        <v>55</v>
      </c>
      <c r="E16" s="72" t="n">
        <v>2</v>
      </c>
      <c r="F16" s="75" t="n">
        <v>9</v>
      </c>
      <c r="G16" s="75" t="n">
        <f aca="false">G15+F16</f>
        <v>313.22</v>
      </c>
      <c r="H16" s="76" t="n">
        <v>2016</v>
      </c>
      <c r="I16" s="72" t="s">
        <v>145</v>
      </c>
      <c r="J16" s="77" t="s">
        <v>138</v>
      </c>
      <c r="K16" s="78" t="s">
        <v>180</v>
      </c>
      <c r="L16" s="79" t="s">
        <v>181</v>
      </c>
    </row>
    <row r="17" customFormat="false" ht="15" hidden="false" customHeight="true" outlineLevel="0" collapsed="false">
      <c r="A17" s="54" t="s">
        <v>182</v>
      </c>
      <c r="B17" s="55" t="n">
        <v>42370</v>
      </c>
      <c r="C17" s="56" t="s">
        <v>45</v>
      </c>
      <c r="D17" s="56" t="s">
        <v>106</v>
      </c>
      <c r="E17" s="54" t="n">
        <v>1</v>
      </c>
      <c r="F17" s="57" t="n">
        <v>10</v>
      </c>
      <c r="G17" s="57" t="n">
        <f aca="false">G16+F17</f>
        <v>323.22</v>
      </c>
      <c r="H17" s="58" t="n">
        <v>2016</v>
      </c>
      <c r="I17" s="54" t="s">
        <v>145</v>
      </c>
      <c r="J17" s="70" t="s">
        <v>152</v>
      </c>
      <c r="K17" s="60" t="s">
        <v>183</v>
      </c>
      <c r="L17" s="61" t="s">
        <v>184</v>
      </c>
    </row>
    <row r="18" customFormat="false" ht="15" hidden="false" customHeight="true" outlineLevel="0" collapsed="false">
      <c r="A18" s="62" t="s">
        <v>185</v>
      </c>
      <c r="B18" s="63" t="n">
        <v>42430</v>
      </c>
      <c r="C18" s="64" t="s">
        <v>23</v>
      </c>
      <c r="D18" s="64" t="s">
        <v>58</v>
      </c>
      <c r="E18" s="62" t="n">
        <v>3</v>
      </c>
      <c r="F18" s="65" t="n">
        <v>15.6</v>
      </c>
      <c r="G18" s="65" t="n">
        <f aca="false">G17+F18</f>
        <v>338.82</v>
      </c>
      <c r="H18" s="66" t="n">
        <v>2016</v>
      </c>
      <c r="I18" s="62" t="s">
        <v>145</v>
      </c>
      <c r="J18" s="67" t="s">
        <v>138</v>
      </c>
      <c r="K18" s="48" t="s">
        <v>186</v>
      </c>
      <c r="L18" s="68" t="s">
        <v>187</v>
      </c>
    </row>
    <row r="19" customFormat="false" ht="15" hidden="false" customHeight="true" outlineLevel="0" collapsed="false">
      <c r="A19" s="54" t="s">
        <v>188</v>
      </c>
      <c r="B19" s="55" t="n">
        <v>42491</v>
      </c>
      <c r="C19" s="56" t="s">
        <v>23</v>
      </c>
      <c r="D19" s="56" t="s">
        <v>57</v>
      </c>
      <c r="E19" s="54" t="n">
        <v>1</v>
      </c>
      <c r="F19" s="57" t="n">
        <v>3.9</v>
      </c>
      <c r="G19" s="57" t="n">
        <f aca="false">G18+F19</f>
        <v>342.72</v>
      </c>
      <c r="H19" s="58" t="n">
        <v>2016</v>
      </c>
      <c r="I19" s="54" t="s">
        <v>145</v>
      </c>
      <c r="J19" s="59" t="s">
        <v>138</v>
      </c>
      <c r="K19" s="60" t="s">
        <v>189</v>
      </c>
      <c r="L19" s="61" t="s">
        <v>190</v>
      </c>
    </row>
    <row r="20" customFormat="false" ht="15" hidden="false" customHeight="true" outlineLevel="0" collapsed="false">
      <c r="A20" s="72" t="s">
        <v>191</v>
      </c>
      <c r="B20" s="73" t="n">
        <v>42705</v>
      </c>
      <c r="C20" s="74" t="s">
        <v>32</v>
      </c>
      <c r="D20" s="74" t="s">
        <v>78</v>
      </c>
      <c r="E20" s="72" t="n">
        <v>1</v>
      </c>
      <c r="F20" s="75" t="n">
        <v>1.2</v>
      </c>
      <c r="G20" s="75" t="n">
        <f aca="false">G19+F20</f>
        <v>343.92</v>
      </c>
      <c r="H20" s="76" t="n">
        <v>2017</v>
      </c>
      <c r="I20" s="72" t="s">
        <v>145</v>
      </c>
      <c r="J20" s="77" t="s">
        <v>138</v>
      </c>
      <c r="K20" s="78" t="s">
        <v>192</v>
      </c>
      <c r="L20" s="79" t="s">
        <v>193</v>
      </c>
    </row>
    <row r="21" customFormat="false" ht="23.25" hidden="false" customHeight="true" outlineLevel="0" collapsed="false">
      <c r="A21" s="54" t="s">
        <v>194</v>
      </c>
      <c r="B21" s="55" t="n">
        <v>42736</v>
      </c>
      <c r="C21" s="56" t="s">
        <v>32</v>
      </c>
      <c r="D21" s="56" t="s">
        <v>77</v>
      </c>
      <c r="E21" s="54" t="n">
        <v>1</v>
      </c>
      <c r="F21" s="57" t="n">
        <v>3.6</v>
      </c>
      <c r="G21" s="57" t="n">
        <f aca="false">G20+F21</f>
        <v>347.52</v>
      </c>
      <c r="H21" s="58" t="n">
        <v>2017</v>
      </c>
      <c r="I21" s="54" t="s">
        <v>195</v>
      </c>
      <c r="J21" s="70" t="s">
        <v>152</v>
      </c>
      <c r="K21" s="60" t="s">
        <v>196</v>
      </c>
      <c r="L21" s="61" t="s">
        <v>197</v>
      </c>
    </row>
    <row r="22" customFormat="false" ht="15" hidden="false" customHeight="true" outlineLevel="0" collapsed="false">
      <c r="A22" s="62" t="s">
        <v>194</v>
      </c>
      <c r="B22" s="63" t="n">
        <v>42736</v>
      </c>
      <c r="C22" s="64" t="s">
        <v>45</v>
      </c>
      <c r="D22" s="64" t="s">
        <v>106</v>
      </c>
      <c r="E22" s="62" t="n">
        <v>1</v>
      </c>
      <c r="F22" s="65" t="n">
        <v>10</v>
      </c>
      <c r="G22" s="65" t="n">
        <f aca="false">G21+F22</f>
        <v>357.52</v>
      </c>
      <c r="H22" s="66" t="n">
        <v>2017</v>
      </c>
      <c r="I22" s="62" t="s">
        <v>141</v>
      </c>
      <c r="J22" s="71" t="s">
        <v>152</v>
      </c>
      <c r="K22" s="48" t="s">
        <v>198</v>
      </c>
      <c r="L22" s="68" t="s">
        <v>199</v>
      </c>
    </row>
    <row r="23" customFormat="false" ht="15" hidden="false" customHeight="true" outlineLevel="0" collapsed="false">
      <c r="A23" s="54" t="s">
        <v>200</v>
      </c>
      <c r="B23" s="55" t="n">
        <v>43009</v>
      </c>
      <c r="C23" s="56" t="s">
        <v>23</v>
      </c>
      <c r="D23" s="56" t="s">
        <v>64</v>
      </c>
      <c r="E23" s="54" t="n">
        <v>2</v>
      </c>
      <c r="F23" s="57" t="n">
        <v>8.9</v>
      </c>
      <c r="G23" s="57" t="n">
        <f aca="false">G22+F23</f>
        <v>366.42</v>
      </c>
      <c r="H23" s="58" t="n">
        <v>2017</v>
      </c>
      <c r="I23" s="54" t="s">
        <v>145</v>
      </c>
      <c r="J23" s="59" t="s">
        <v>138</v>
      </c>
      <c r="K23" s="60" t="s">
        <v>201</v>
      </c>
      <c r="L23" s="61" t="s">
        <v>202</v>
      </c>
    </row>
    <row r="24" customFormat="false" ht="15" hidden="false" customHeight="true" outlineLevel="0" collapsed="false">
      <c r="A24" s="62" t="s">
        <v>203</v>
      </c>
      <c r="B24" s="63" t="n">
        <v>43070</v>
      </c>
      <c r="C24" s="64" t="s">
        <v>42</v>
      </c>
      <c r="D24" s="64" t="s">
        <v>95</v>
      </c>
      <c r="E24" s="62" t="n">
        <v>1</v>
      </c>
      <c r="F24" s="65" t="n">
        <v>5.5</v>
      </c>
      <c r="G24" s="65" t="n">
        <f aca="false">G23+F24</f>
        <v>371.92</v>
      </c>
      <c r="H24" s="66" t="n">
        <v>2017</v>
      </c>
      <c r="I24" s="62" t="s">
        <v>145</v>
      </c>
      <c r="J24" s="67" t="s">
        <v>138</v>
      </c>
      <c r="K24" s="48" t="s">
        <v>204</v>
      </c>
      <c r="L24" s="68" t="s">
        <v>205</v>
      </c>
    </row>
    <row r="25" customFormat="false" ht="15" hidden="false" customHeight="true" outlineLevel="0" collapsed="false">
      <c r="A25" s="54" t="s">
        <v>206</v>
      </c>
      <c r="B25" s="55" t="n">
        <v>43160</v>
      </c>
      <c r="C25" s="56" t="s">
        <v>25</v>
      </c>
      <c r="D25" s="56" t="s">
        <v>66</v>
      </c>
      <c r="E25" s="54" t="n">
        <v>1</v>
      </c>
      <c r="F25" s="57" t="n">
        <v>2.4</v>
      </c>
      <c r="G25" s="57" t="n">
        <f aca="false">G24+F25</f>
        <v>374.32</v>
      </c>
      <c r="H25" s="58" t="n">
        <v>2018</v>
      </c>
      <c r="I25" s="54" t="s">
        <v>145</v>
      </c>
      <c r="J25" s="59" t="s">
        <v>138</v>
      </c>
      <c r="K25" s="60" t="s">
        <v>207</v>
      </c>
      <c r="L25" s="61" t="s">
        <v>208</v>
      </c>
    </row>
    <row r="26" customFormat="false" ht="23.25" hidden="false" customHeight="true" outlineLevel="0" collapsed="false">
      <c r="A26" s="62" t="s">
        <v>206</v>
      </c>
      <c r="B26" s="63" t="n">
        <v>43160</v>
      </c>
      <c r="C26" s="64" t="s">
        <v>45</v>
      </c>
      <c r="D26" s="64" t="s">
        <v>101</v>
      </c>
      <c r="E26" s="62" t="n">
        <v>1</v>
      </c>
      <c r="F26" s="65" t="n">
        <v>5.25</v>
      </c>
      <c r="G26" s="65" t="n">
        <f aca="false">G25+F26</f>
        <v>379.57</v>
      </c>
      <c r="H26" s="66" t="n">
        <v>2018</v>
      </c>
      <c r="I26" s="62" t="s">
        <v>141</v>
      </c>
      <c r="J26" s="67" t="s">
        <v>138</v>
      </c>
      <c r="K26" s="48" t="s">
        <v>209</v>
      </c>
      <c r="L26" s="68" t="s">
        <v>210</v>
      </c>
    </row>
    <row r="27" customFormat="false" ht="15" hidden="false" customHeight="true" outlineLevel="0" collapsed="false">
      <c r="A27" s="54" t="s">
        <v>211</v>
      </c>
      <c r="B27" s="55" t="n">
        <v>43282</v>
      </c>
      <c r="C27" s="56" t="s">
        <v>42</v>
      </c>
      <c r="D27" s="56" t="s">
        <v>95</v>
      </c>
      <c r="E27" s="54" t="n">
        <v>2</v>
      </c>
      <c r="F27" s="57" t="n">
        <v>11</v>
      </c>
      <c r="G27" s="57" t="n">
        <f aca="false">G26+F27</f>
        <v>390.57</v>
      </c>
      <c r="H27" s="58" t="n">
        <v>2018</v>
      </c>
      <c r="I27" s="54" t="s">
        <v>145</v>
      </c>
      <c r="J27" s="70" t="s">
        <v>152</v>
      </c>
      <c r="K27" s="60" t="s">
        <v>212</v>
      </c>
      <c r="L27" s="61" t="s">
        <v>205</v>
      </c>
    </row>
    <row r="28" customFormat="false" ht="15" hidden="false" customHeight="true" outlineLevel="0" collapsed="false">
      <c r="A28" s="62" t="s">
        <v>213</v>
      </c>
      <c r="B28" s="63" t="n">
        <v>43374</v>
      </c>
      <c r="C28" s="64" t="s">
        <v>23</v>
      </c>
      <c r="D28" s="64" t="s">
        <v>59</v>
      </c>
      <c r="E28" s="62" t="n">
        <v>2</v>
      </c>
      <c r="F28" s="65" t="n">
        <v>8.9</v>
      </c>
      <c r="G28" s="65" t="n">
        <f aca="false">G27+F28</f>
        <v>399.47</v>
      </c>
      <c r="H28" s="66" t="n">
        <v>2018</v>
      </c>
      <c r="I28" s="62" t="s">
        <v>145</v>
      </c>
      <c r="J28" s="67" t="s">
        <v>138</v>
      </c>
      <c r="K28" s="48" t="s">
        <v>214</v>
      </c>
      <c r="L28" s="68" t="s">
        <v>215</v>
      </c>
    </row>
    <row r="29" customFormat="false" ht="15" hidden="false" customHeight="true" outlineLevel="0" collapsed="false">
      <c r="A29" s="72" t="s">
        <v>216</v>
      </c>
      <c r="B29" s="73" t="n">
        <v>43405</v>
      </c>
      <c r="C29" s="74" t="s">
        <v>45</v>
      </c>
      <c r="D29" s="74" t="s">
        <v>100</v>
      </c>
      <c r="E29" s="72" t="n">
        <v>2</v>
      </c>
      <c r="F29" s="75" t="n">
        <v>10</v>
      </c>
      <c r="G29" s="75" t="n">
        <f aca="false">G28+F29</f>
        <v>409.47</v>
      </c>
      <c r="H29" s="76" t="n">
        <v>2019</v>
      </c>
      <c r="I29" s="72" t="s">
        <v>145</v>
      </c>
      <c r="J29" s="77" t="s">
        <v>138</v>
      </c>
      <c r="K29" s="78" t="s">
        <v>217</v>
      </c>
      <c r="L29" s="79" t="s">
        <v>218</v>
      </c>
    </row>
    <row r="30" customFormat="false" ht="23.25" hidden="false" customHeight="true" outlineLevel="0" collapsed="false">
      <c r="A30" s="72" t="s">
        <v>216</v>
      </c>
      <c r="B30" s="73" t="n">
        <v>43405</v>
      </c>
      <c r="C30" s="74" t="s">
        <v>45</v>
      </c>
      <c r="D30" s="74" t="s">
        <v>106</v>
      </c>
      <c r="E30" s="72" t="n">
        <v>1</v>
      </c>
      <c r="F30" s="75" t="n">
        <v>5</v>
      </c>
      <c r="G30" s="75" t="n">
        <f aca="false">G29+F30</f>
        <v>414.47</v>
      </c>
      <c r="H30" s="76" t="n">
        <v>2019</v>
      </c>
      <c r="I30" s="72" t="s">
        <v>141</v>
      </c>
      <c r="J30" s="77" t="s">
        <v>138</v>
      </c>
      <c r="K30" s="78" t="s">
        <v>219</v>
      </c>
      <c r="L30" s="79" t="s">
        <v>220</v>
      </c>
    </row>
    <row r="31" customFormat="false" ht="15" hidden="false" customHeight="true" outlineLevel="0" collapsed="false">
      <c r="A31" s="54" t="s">
        <v>221</v>
      </c>
      <c r="B31" s="55" t="n">
        <v>43556</v>
      </c>
      <c r="C31" s="56" t="s">
        <v>42</v>
      </c>
      <c r="D31" s="56" t="s">
        <v>94</v>
      </c>
      <c r="E31" s="54" t="n">
        <v>1</v>
      </c>
      <c r="F31" s="57" t="n">
        <v>0.66</v>
      </c>
      <c r="G31" s="57" t="n">
        <f aca="false">G30+F31</f>
        <v>415.13</v>
      </c>
      <c r="H31" s="58" t="n">
        <v>2019</v>
      </c>
      <c r="I31" s="54" t="s">
        <v>145</v>
      </c>
      <c r="J31" s="70" t="s">
        <v>152</v>
      </c>
      <c r="K31" s="60" t="s">
        <v>222</v>
      </c>
      <c r="L31" s="61" t="s">
        <v>223</v>
      </c>
    </row>
    <row r="32" customFormat="false" ht="15" hidden="false" customHeight="true" outlineLevel="0" collapsed="false">
      <c r="A32" s="62" t="s">
        <v>224</v>
      </c>
      <c r="B32" s="63" t="n">
        <v>43586</v>
      </c>
      <c r="C32" s="64" t="s">
        <v>45</v>
      </c>
      <c r="D32" s="64" t="s">
        <v>99</v>
      </c>
      <c r="E32" s="62" t="n">
        <v>1</v>
      </c>
      <c r="F32" s="65" t="n">
        <v>4.5</v>
      </c>
      <c r="G32" s="65" t="n">
        <f aca="false">G31+F32</f>
        <v>419.63</v>
      </c>
      <c r="H32" s="66" t="n">
        <v>2019</v>
      </c>
      <c r="I32" s="62" t="s">
        <v>145</v>
      </c>
      <c r="J32" s="67" t="s">
        <v>138</v>
      </c>
      <c r="K32" s="48" t="s">
        <v>225</v>
      </c>
      <c r="L32" s="68" t="s">
        <v>226</v>
      </c>
    </row>
    <row r="33" customFormat="false" ht="15" hidden="false" customHeight="true" outlineLevel="0" collapsed="false">
      <c r="A33" s="54" t="s">
        <v>227</v>
      </c>
      <c r="B33" s="55" t="n">
        <v>43617</v>
      </c>
      <c r="C33" s="56" t="s">
        <v>23</v>
      </c>
      <c r="D33" s="56" t="s">
        <v>62</v>
      </c>
      <c r="E33" s="54" t="n">
        <v>1</v>
      </c>
      <c r="F33" s="57" t="n">
        <v>3.6</v>
      </c>
      <c r="G33" s="57" t="n">
        <f aca="false">G32+F33</f>
        <v>423.23</v>
      </c>
      <c r="H33" s="58" t="n">
        <v>2019</v>
      </c>
      <c r="I33" s="54" t="s">
        <v>141</v>
      </c>
      <c r="J33" s="70" t="s">
        <v>152</v>
      </c>
      <c r="K33" s="60" t="s">
        <v>228</v>
      </c>
      <c r="L33" s="61" t="s">
        <v>229</v>
      </c>
    </row>
    <row r="34" customFormat="false" ht="15" hidden="false" customHeight="true" outlineLevel="0" collapsed="false">
      <c r="A34" s="62" t="s">
        <v>230</v>
      </c>
      <c r="B34" s="63" t="n">
        <v>43678</v>
      </c>
      <c r="C34" s="64" t="s">
        <v>45</v>
      </c>
      <c r="D34" s="64" t="s">
        <v>103</v>
      </c>
      <c r="E34" s="62" t="n">
        <v>1</v>
      </c>
      <c r="F34" s="65" t="n">
        <v>5.1</v>
      </c>
      <c r="G34" s="65" t="n">
        <f aca="false">G33+F34</f>
        <v>428.33</v>
      </c>
      <c r="H34" s="66" t="n">
        <v>2019</v>
      </c>
      <c r="I34" s="62" t="s">
        <v>145</v>
      </c>
      <c r="J34" s="67" t="s">
        <v>138</v>
      </c>
      <c r="K34" s="48" t="s">
        <v>231</v>
      </c>
      <c r="L34" s="68" t="s">
        <v>232</v>
      </c>
    </row>
    <row r="35" customFormat="false" ht="23.25" hidden="false" customHeight="true" outlineLevel="0" collapsed="false">
      <c r="A35" s="54" t="s">
        <v>233</v>
      </c>
      <c r="B35" s="55" t="n">
        <v>43739</v>
      </c>
      <c r="C35" s="56" t="s">
        <v>45</v>
      </c>
      <c r="D35" s="56" t="s">
        <v>102</v>
      </c>
      <c r="E35" s="54" t="n">
        <v>4</v>
      </c>
      <c r="F35" s="57" t="n">
        <v>1</v>
      </c>
      <c r="G35" s="57" t="n">
        <f aca="false">G34+F35</f>
        <v>429.33</v>
      </c>
      <c r="H35" s="58" t="n">
        <v>2019</v>
      </c>
      <c r="I35" s="54" t="s">
        <v>195</v>
      </c>
      <c r="J35" s="70" t="s">
        <v>152</v>
      </c>
      <c r="K35" s="60" t="s">
        <v>234</v>
      </c>
      <c r="L35" s="61" t="s">
        <v>235</v>
      </c>
    </row>
    <row r="36" customFormat="false" ht="15" hidden="false" customHeight="true" outlineLevel="0" collapsed="false">
      <c r="A36" s="72" t="s">
        <v>236</v>
      </c>
      <c r="B36" s="73" t="n">
        <v>43800</v>
      </c>
      <c r="C36" s="74" t="s">
        <v>45</v>
      </c>
      <c r="D36" s="74" t="s">
        <v>99</v>
      </c>
      <c r="E36" s="72" t="n">
        <v>2</v>
      </c>
      <c r="F36" s="75" t="n">
        <v>9</v>
      </c>
      <c r="G36" s="75" t="n">
        <f aca="false">G35+F36</f>
        <v>438.33</v>
      </c>
      <c r="H36" s="76" t="n">
        <v>2020</v>
      </c>
      <c r="I36" s="72" t="s">
        <v>145</v>
      </c>
      <c r="J36" s="77" t="s">
        <v>138</v>
      </c>
      <c r="K36" s="78" t="s">
        <v>237</v>
      </c>
      <c r="L36" s="79" t="s">
        <v>238</v>
      </c>
    </row>
    <row r="37" customFormat="false" ht="15" hidden="false" customHeight="true" outlineLevel="0" collapsed="false">
      <c r="A37" s="72" t="s">
        <v>236</v>
      </c>
      <c r="B37" s="73" t="n">
        <v>43800</v>
      </c>
      <c r="C37" s="74" t="s">
        <v>45</v>
      </c>
      <c r="D37" s="74" t="s">
        <v>103</v>
      </c>
      <c r="E37" s="72" t="n">
        <v>2</v>
      </c>
      <c r="F37" s="75" t="n">
        <v>10.2</v>
      </c>
      <c r="G37" s="75" t="n">
        <f aca="false">G36+F37</f>
        <v>448.53</v>
      </c>
      <c r="H37" s="76" t="n">
        <v>2020</v>
      </c>
      <c r="I37" s="72" t="s">
        <v>145</v>
      </c>
      <c r="J37" s="77" t="s">
        <v>138</v>
      </c>
      <c r="K37" s="78" t="s">
        <v>239</v>
      </c>
      <c r="L37" s="79" t="s">
        <v>240</v>
      </c>
    </row>
    <row r="38" customFormat="false" ht="15" hidden="false" customHeight="true" outlineLevel="0" collapsed="false">
      <c r="A38" s="62" t="s">
        <v>241</v>
      </c>
      <c r="B38" s="63" t="n">
        <v>44044</v>
      </c>
      <c r="C38" s="64" t="s">
        <v>45</v>
      </c>
      <c r="D38" s="64" t="s">
        <v>102</v>
      </c>
      <c r="E38" s="62" t="n">
        <v>6</v>
      </c>
      <c r="F38" s="65" t="n">
        <v>1.5</v>
      </c>
      <c r="G38" s="65" t="n">
        <f aca="false">G37+F38</f>
        <v>450.03</v>
      </c>
      <c r="H38" s="66" t="n">
        <v>2020</v>
      </c>
      <c r="I38" s="62" t="s">
        <v>195</v>
      </c>
      <c r="J38" s="80" t="s">
        <v>146</v>
      </c>
      <c r="K38" s="48" t="s">
        <v>242</v>
      </c>
      <c r="L38" s="68" t="s">
        <v>243</v>
      </c>
    </row>
    <row r="39" customFormat="false" ht="23.25" hidden="false" customHeight="true" outlineLevel="0" collapsed="false">
      <c r="A39" s="72" t="s">
        <v>244</v>
      </c>
      <c r="B39" s="73" t="n">
        <v>44136</v>
      </c>
      <c r="C39" s="74" t="s">
        <v>45</v>
      </c>
      <c r="D39" s="74" t="s">
        <v>100</v>
      </c>
      <c r="E39" s="72" t="n">
        <v>1</v>
      </c>
      <c r="F39" s="75" t="n">
        <v>5</v>
      </c>
      <c r="G39" s="75" t="n">
        <f aca="false">G38+F39</f>
        <v>455.03</v>
      </c>
      <c r="H39" s="76" t="n">
        <v>2021</v>
      </c>
      <c r="I39" s="72" t="s">
        <v>145</v>
      </c>
      <c r="J39" s="81" t="s">
        <v>152</v>
      </c>
      <c r="K39" s="78" t="s">
        <v>245</v>
      </c>
      <c r="L39" s="79" t="s">
        <v>246</v>
      </c>
    </row>
    <row r="40" customFormat="false" ht="15" hidden="false" customHeight="true" outlineLevel="0" collapsed="false">
      <c r="A40" s="62" t="s">
        <v>247</v>
      </c>
      <c r="B40" s="63" t="n">
        <v>44197</v>
      </c>
      <c r="C40" s="64" t="s">
        <v>42</v>
      </c>
      <c r="D40" s="64" t="s">
        <v>95</v>
      </c>
      <c r="E40" s="62" t="n">
        <v>1</v>
      </c>
      <c r="F40" s="65" t="n">
        <v>0.9</v>
      </c>
      <c r="G40" s="65" t="n">
        <f aca="false">G39+F40</f>
        <v>455.93</v>
      </c>
      <c r="H40" s="66" t="n">
        <v>2021</v>
      </c>
      <c r="I40" s="62" t="s">
        <v>145</v>
      </c>
      <c r="J40" s="71" t="s">
        <v>152</v>
      </c>
      <c r="K40" s="48" t="s">
        <v>248</v>
      </c>
      <c r="L40" s="68" t="s">
        <v>249</v>
      </c>
    </row>
    <row r="41" customFormat="false" ht="15" hidden="false" customHeight="true" outlineLevel="0" collapsed="false">
      <c r="A41" s="54" t="s">
        <v>250</v>
      </c>
      <c r="B41" s="55" t="n">
        <v>44228</v>
      </c>
      <c r="C41" s="56" t="s">
        <v>32</v>
      </c>
      <c r="D41" s="56" t="s">
        <v>79</v>
      </c>
      <c r="E41" s="54" t="n">
        <v>1</v>
      </c>
      <c r="F41" s="57" t="n">
        <v>1.5</v>
      </c>
      <c r="G41" s="57" t="n">
        <f aca="false">G40+F41</f>
        <v>457.43</v>
      </c>
      <c r="H41" s="58" t="n">
        <v>2021</v>
      </c>
      <c r="I41" s="54" t="s">
        <v>145</v>
      </c>
      <c r="J41" s="59" t="s">
        <v>138</v>
      </c>
      <c r="K41" s="60" t="s">
        <v>251</v>
      </c>
      <c r="L41" s="61" t="s">
        <v>252</v>
      </c>
    </row>
    <row r="42" customFormat="false" ht="15" hidden="false" customHeight="true" outlineLevel="0" collapsed="false">
      <c r="A42" s="72" t="s">
        <v>253</v>
      </c>
      <c r="B42" s="73" t="n">
        <v>44501</v>
      </c>
      <c r="C42" s="74" t="s">
        <v>45</v>
      </c>
      <c r="D42" s="74" t="s">
        <v>106</v>
      </c>
      <c r="E42" s="72" t="n">
        <v>1</v>
      </c>
      <c r="F42" s="75" t="n">
        <v>5</v>
      </c>
      <c r="G42" s="75" t="n">
        <f aca="false">G41+F42</f>
        <v>462.43</v>
      </c>
      <c r="H42" s="76" t="n">
        <v>2022</v>
      </c>
      <c r="I42" s="72" t="s">
        <v>145</v>
      </c>
      <c r="J42" s="77" t="s">
        <v>138</v>
      </c>
      <c r="K42" s="78" t="s">
        <v>254</v>
      </c>
      <c r="L42" s="79" t="s">
        <v>255</v>
      </c>
    </row>
    <row r="43" customFormat="false" ht="23.25" hidden="false" customHeight="true" outlineLevel="0" collapsed="false">
      <c r="A43" s="54" t="s">
        <v>256</v>
      </c>
      <c r="B43" s="55" t="n">
        <v>44593</v>
      </c>
      <c r="C43" s="56" t="s">
        <v>45</v>
      </c>
      <c r="D43" s="56" t="s">
        <v>98</v>
      </c>
      <c r="E43" s="54" t="n">
        <v>18</v>
      </c>
      <c r="F43" s="57" t="n">
        <v>9.97</v>
      </c>
      <c r="G43" s="57" t="n">
        <f aca="false">G42+F43</f>
        <v>472.4</v>
      </c>
      <c r="H43" s="58" t="n">
        <v>2022</v>
      </c>
      <c r="I43" s="54" t="s">
        <v>145</v>
      </c>
      <c r="J43" s="59" t="s">
        <v>138</v>
      </c>
      <c r="K43" s="60" t="s">
        <v>257</v>
      </c>
      <c r="L43" s="61" t="s">
        <v>258</v>
      </c>
    </row>
    <row r="44" customFormat="false" ht="15" hidden="false" customHeight="true" outlineLevel="0" collapsed="false">
      <c r="A44" s="62" t="s">
        <v>259</v>
      </c>
      <c r="B44" s="63" t="n">
        <v>44805</v>
      </c>
      <c r="C44" s="64" t="s">
        <v>42</v>
      </c>
      <c r="D44" s="64" t="s">
        <v>92</v>
      </c>
      <c r="E44" s="62" t="n">
        <v>1</v>
      </c>
      <c r="F44" s="65" t="n">
        <v>1.5</v>
      </c>
      <c r="G44" s="65" t="n">
        <f aca="false">G43+F44</f>
        <v>473.9</v>
      </c>
      <c r="H44" s="66" t="n">
        <v>2022</v>
      </c>
      <c r="I44" s="62" t="s">
        <v>145</v>
      </c>
      <c r="J44" s="71" t="s">
        <v>152</v>
      </c>
      <c r="K44" s="48" t="s">
        <v>260</v>
      </c>
      <c r="L44" s="68" t="s">
        <v>261</v>
      </c>
    </row>
    <row r="45" customFormat="false" ht="15" hidden="false" customHeight="true" outlineLevel="0" collapsed="false">
      <c r="A45" s="54" t="s">
        <v>262</v>
      </c>
      <c r="B45" s="55" t="n">
        <v>44866</v>
      </c>
      <c r="C45" s="56" t="s">
        <v>35</v>
      </c>
      <c r="D45" s="56" t="s">
        <v>83</v>
      </c>
      <c r="E45" s="54" t="n">
        <v>1</v>
      </c>
      <c r="F45" s="57" t="n">
        <v>3.4</v>
      </c>
      <c r="G45" s="57" t="n">
        <f aca="false">G44+F45</f>
        <v>477.3</v>
      </c>
      <c r="H45" s="58" t="n">
        <v>2022</v>
      </c>
      <c r="I45" s="54" t="s">
        <v>141</v>
      </c>
      <c r="J45" s="70" t="s">
        <v>152</v>
      </c>
      <c r="K45" s="60" t="s">
        <v>263</v>
      </c>
      <c r="L45" s="61" t="s">
        <v>264</v>
      </c>
    </row>
    <row r="46" customFormat="false" ht="15" hidden="false" customHeight="true" outlineLevel="0" collapsed="false">
      <c r="A46" s="62" t="s">
        <v>265</v>
      </c>
      <c r="B46" s="63" t="n">
        <v>45170</v>
      </c>
      <c r="C46" s="64" t="s">
        <v>31</v>
      </c>
      <c r="D46" s="64" t="s">
        <v>76</v>
      </c>
      <c r="E46" s="62" t="n">
        <v>1</v>
      </c>
      <c r="F46" s="65" t="n">
        <v>3.8</v>
      </c>
      <c r="G46" s="65" t="n">
        <f aca="false">G45+F46</f>
        <v>481.1</v>
      </c>
      <c r="H46" s="66" t="n">
        <v>2023</v>
      </c>
      <c r="I46" s="62" t="s">
        <v>145</v>
      </c>
      <c r="J46" s="71" t="s">
        <v>152</v>
      </c>
      <c r="K46" s="48" t="s">
        <v>266</v>
      </c>
      <c r="L46" s="68" t="s">
        <v>267</v>
      </c>
    </row>
    <row r="47" customFormat="false" ht="23.25" hidden="false" customHeight="true" outlineLevel="0" collapsed="false">
      <c r="A47" s="72" t="s">
        <v>268</v>
      </c>
      <c r="B47" s="73" t="n">
        <v>45292</v>
      </c>
      <c r="C47" s="74" t="s">
        <v>42</v>
      </c>
      <c r="D47" s="74" t="s">
        <v>91</v>
      </c>
      <c r="E47" s="72" t="n">
        <v>1</v>
      </c>
      <c r="F47" s="75" t="n">
        <v>6.6</v>
      </c>
      <c r="G47" s="75" t="n">
        <f aca="false">G46+F47</f>
        <v>487.7</v>
      </c>
      <c r="H47" s="76" t="n">
        <v>2025</v>
      </c>
      <c r="I47" s="72" t="s">
        <v>145</v>
      </c>
      <c r="J47" s="81" t="s">
        <v>152</v>
      </c>
      <c r="K47" s="78" t="s">
        <v>269</v>
      </c>
      <c r="L47" s="79" t="s">
        <v>270</v>
      </c>
    </row>
    <row r="48" customFormat="false" ht="15" hidden="false" customHeight="true" outlineLevel="0" collapsed="false">
      <c r="A48" s="62" t="s">
        <v>271</v>
      </c>
      <c r="B48" s="63" t="n">
        <v>45323</v>
      </c>
      <c r="C48" s="64" t="s">
        <v>28</v>
      </c>
      <c r="D48" s="64" t="s">
        <v>69</v>
      </c>
      <c r="E48" s="62" t="n">
        <v>1</v>
      </c>
      <c r="F48" s="65" t="n">
        <v>0.6</v>
      </c>
      <c r="G48" s="65" t="n">
        <f aca="false">G47+F48</f>
        <v>488.3</v>
      </c>
      <c r="H48" s="66" t="n">
        <v>2024</v>
      </c>
      <c r="I48" s="62" t="s">
        <v>141</v>
      </c>
      <c r="J48" s="71" t="s">
        <v>152</v>
      </c>
      <c r="K48" s="48" t="s">
        <v>272</v>
      </c>
      <c r="L48" s="68" t="s">
        <v>273</v>
      </c>
    </row>
    <row r="49" customFormat="false" ht="15" hidden="false" customHeight="true" outlineLevel="0" collapsed="false">
      <c r="A49" s="54" t="s">
        <v>274</v>
      </c>
      <c r="B49" s="55" t="n">
        <v>45474</v>
      </c>
      <c r="C49" s="56" t="s">
        <v>34</v>
      </c>
      <c r="D49" s="56" t="s">
        <v>81</v>
      </c>
      <c r="E49" s="54" t="n">
        <v>1</v>
      </c>
      <c r="F49" s="57" t="n">
        <v>1.4</v>
      </c>
      <c r="G49" s="57" t="n">
        <f aca="false">G48+F49</f>
        <v>489.7</v>
      </c>
      <c r="H49" s="58" t="n">
        <v>2024</v>
      </c>
      <c r="I49" s="54" t="s">
        <v>145</v>
      </c>
      <c r="J49" s="59" t="s">
        <v>138</v>
      </c>
      <c r="K49" s="60" t="s">
        <v>275</v>
      </c>
      <c r="L49" s="61" t="s">
        <v>276</v>
      </c>
    </row>
    <row r="50" customFormat="false" ht="15" hidden="false" customHeight="true" outlineLevel="0" collapsed="false">
      <c r="A50" s="62" t="s">
        <v>277</v>
      </c>
      <c r="B50" s="63" t="n">
        <v>45627</v>
      </c>
      <c r="C50" s="64" t="s">
        <v>45</v>
      </c>
      <c r="D50" s="64" t="s">
        <v>105</v>
      </c>
      <c r="E50" s="62" t="n">
        <v>8</v>
      </c>
      <c r="F50" s="65" t="n">
        <v>4.32</v>
      </c>
      <c r="G50" s="65" t="n">
        <f aca="false">G49+F50</f>
        <v>494.02</v>
      </c>
      <c r="H50" s="66" t="n">
        <v>2024</v>
      </c>
      <c r="I50" s="62" t="s">
        <v>145</v>
      </c>
      <c r="J50" s="67" t="s">
        <v>138</v>
      </c>
      <c r="K50" s="48" t="s">
        <v>278</v>
      </c>
      <c r="L50" s="68" t="s">
        <v>279</v>
      </c>
    </row>
    <row r="51" customFormat="false" ht="15" hidden="false" customHeight="true" outlineLevel="0" collapsed="false">
      <c r="A51" s="72" t="s">
        <v>277</v>
      </c>
      <c r="B51" s="73" t="n">
        <v>45627</v>
      </c>
      <c r="C51" s="74" t="s">
        <v>45</v>
      </c>
      <c r="D51" s="74" t="s">
        <v>100</v>
      </c>
      <c r="E51" s="72" t="n">
        <v>4</v>
      </c>
      <c r="F51" s="75" t="n">
        <v>5.96</v>
      </c>
      <c r="G51" s="75" t="n">
        <f aca="false">G50+F51</f>
        <v>499.98</v>
      </c>
      <c r="H51" s="76" t="n">
        <v>2025</v>
      </c>
      <c r="I51" s="72" t="s">
        <v>145</v>
      </c>
      <c r="J51" s="77" t="s">
        <v>138</v>
      </c>
      <c r="K51" s="78" t="s">
        <v>280</v>
      </c>
      <c r="L51" s="79" t="s">
        <v>281</v>
      </c>
    </row>
    <row r="52" customFormat="false" ht="15" hidden="false" customHeight="true" outlineLevel="0" collapsed="false">
      <c r="A52" s="62" t="s">
        <v>282</v>
      </c>
      <c r="B52" s="63" t="n">
        <v>45689</v>
      </c>
      <c r="C52" s="64" t="s">
        <v>33</v>
      </c>
      <c r="D52" s="64" t="s">
        <v>80</v>
      </c>
      <c r="E52" s="62" t="n">
        <v>1</v>
      </c>
      <c r="F52" s="65" t="n">
        <v>2.5</v>
      </c>
      <c r="G52" s="65" t="n">
        <f aca="false">G51+F52</f>
        <v>502.48</v>
      </c>
      <c r="H52" s="66" t="n">
        <v>2025</v>
      </c>
      <c r="I52" s="62" t="s">
        <v>145</v>
      </c>
      <c r="J52" s="67" t="s">
        <v>138</v>
      </c>
      <c r="K52" s="48" t="s">
        <v>283</v>
      </c>
      <c r="L52" s="68" t="s">
        <v>284</v>
      </c>
    </row>
    <row r="53" customFormat="false" ht="15" hidden="false" customHeight="true" outlineLevel="0" collapsed="false">
      <c r="A53" s="54" t="s">
        <v>285</v>
      </c>
      <c r="B53" s="55" t="n">
        <v>45809</v>
      </c>
      <c r="C53" s="56" t="s">
        <v>26</v>
      </c>
      <c r="D53" s="56" t="s">
        <v>67</v>
      </c>
      <c r="E53" s="54" t="n">
        <v>1</v>
      </c>
      <c r="F53" s="57" t="n">
        <v>7</v>
      </c>
      <c r="G53" s="57" t="n">
        <f aca="false">G52+F53</f>
        <v>509.48</v>
      </c>
      <c r="H53" s="58" t="n">
        <v>2025</v>
      </c>
      <c r="I53" s="54" t="s">
        <v>145</v>
      </c>
      <c r="J53" s="59" t="s">
        <v>138</v>
      </c>
      <c r="K53" s="60" t="s">
        <v>286</v>
      </c>
      <c r="L53" s="61" t="s">
        <v>287</v>
      </c>
    </row>
    <row r="54" customFormat="false" ht="23.25" hidden="false" customHeight="true" outlineLevel="0" collapsed="false">
      <c r="A54" s="62" t="s">
        <v>285</v>
      </c>
      <c r="B54" s="63" t="n">
        <v>45809</v>
      </c>
      <c r="C54" s="64" t="s">
        <v>45</v>
      </c>
      <c r="D54" s="64" t="s">
        <v>105</v>
      </c>
      <c r="E54" s="62" t="n">
        <v>28</v>
      </c>
      <c r="F54" s="65" t="n">
        <v>15.12</v>
      </c>
      <c r="G54" s="65" t="n">
        <f aca="false">G53+F54</f>
        <v>524.6</v>
      </c>
      <c r="H54" s="66" t="n">
        <v>2025</v>
      </c>
      <c r="I54" s="62" t="s">
        <v>195</v>
      </c>
      <c r="J54" s="80" t="s">
        <v>146</v>
      </c>
      <c r="K54" s="48" t="s">
        <v>288</v>
      </c>
      <c r="L54" s="68" t="s">
        <v>289</v>
      </c>
    </row>
    <row r="56" customFormat="false" ht="27.75" hidden="false" customHeight="true" outlineLevel="0" collapsed="false">
      <c r="A56" s="82" t="s">
        <v>290</v>
      </c>
      <c r="B56" s="82"/>
      <c r="C56" s="82"/>
      <c r="D56" s="82"/>
      <c r="E56" s="82"/>
      <c r="F56" s="82"/>
      <c r="G56" s="82"/>
      <c r="H56" s="82"/>
      <c r="I56" s="82"/>
      <c r="J56" s="82"/>
      <c r="K56" s="82"/>
      <c r="L56" s="82"/>
    </row>
    <row r="57" customFormat="false" ht="27.75" hidden="false" customHeight="true" outlineLevel="0" collapsed="false">
      <c r="A57" s="83" t="s">
        <v>291</v>
      </c>
      <c r="B57" s="83"/>
      <c r="C57" s="83"/>
      <c r="D57" s="83"/>
      <c r="E57" s="83"/>
      <c r="F57" s="83"/>
      <c r="G57" s="83"/>
      <c r="H57" s="83"/>
      <c r="I57" s="83"/>
      <c r="J57" s="83"/>
      <c r="K57" s="83"/>
      <c r="L57" s="83"/>
    </row>
    <row r="58" customFormat="false" ht="27.75" hidden="false" customHeight="true" outlineLevel="0" collapsed="false">
      <c r="A58" s="83" t="s">
        <v>292</v>
      </c>
      <c r="B58" s="83"/>
      <c r="C58" s="83"/>
      <c r="D58" s="83"/>
      <c r="E58" s="83"/>
      <c r="F58" s="83"/>
      <c r="G58" s="83"/>
      <c r="H58" s="83"/>
      <c r="I58" s="83"/>
      <c r="J58" s="83"/>
      <c r="K58" s="83"/>
      <c r="L58" s="83"/>
    </row>
    <row r="59" customFormat="false" ht="27.75" hidden="false" customHeight="true" outlineLevel="0" collapsed="false">
      <c r="A59" s="83" t="s">
        <v>293</v>
      </c>
      <c r="B59" s="83"/>
      <c r="C59" s="83"/>
      <c r="D59" s="83"/>
      <c r="E59" s="83"/>
      <c r="F59" s="83"/>
      <c r="G59" s="83"/>
      <c r="H59" s="83"/>
      <c r="I59" s="83"/>
      <c r="J59" s="83"/>
      <c r="K59" s="83"/>
      <c r="L59" s="83"/>
    </row>
    <row r="60" customFormat="false" ht="27.75" hidden="false" customHeight="true" outlineLevel="0" collapsed="false">
      <c r="A60" s="83" t="s">
        <v>294</v>
      </c>
      <c r="B60" s="83"/>
      <c r="C60" s="83"/>
      <c r="D60" s="83"/>
      <c r="E60" s="83"/>
      <c r="F60" s="83"/>
      <c r="G60" s="83"/>
      <c r="H60" s="83"/>
      <c r="I60" s="83"/>
      <c r="J60" s="83"/>
      <c r="K60" s="83"/>
      <c r="L60" s="83"/>
    </row>
  </sheetData>
  <autoFilter ref="A1:L54"/>
  <mergeCells count="5">
    <mergeCell ref="A56:L56"/>
    <mergeCell ref="A57:L57"/>
    <mergeCell ref="A58:L58"/>
    <mergeCell ref="A59:L59"/>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0"/>
    <col collapsed="false" customWidth="true" hidden="false" outlineLevel="0" max="3" min="3" style="1" width="24"/>
    <col collapsed="false" customWidth="true" hidden="false" outlineLevel="0" max="4" min="4" style="1" width="26"/>
    <col collapsed="false" customWidth="true" hidden="false" outlineLevel="0" max="5" min="5" style="1" width="20"/>
    <col collapsed="false" customWidth="true" hidden="false" outlineLevel="0" max="6" min="6" style="1" width="10"/>
    <col collapsed="false" customWidth="true" hidden="false" outlineLevel="0" max="7" min="7" style="1" width="14"/>
    <col collapsed="false" customWidth="true" hidden="false" outlineLevel="0" max="8" min="8" style="1" width="52"/>
    <col collapsed="false" customWidth="true" hidden="false" outlineLevel="0" max="9" min="9" style="1" width="30"/>
  </cols>
  <sheetData>
    <row r="1" customFormat="false" ht="15" hidden="false" customHeight="true" outlineLevel="0" collapsed="false">
      <c r="A1" s="84" t="s">
        <v>295</v>
      </c>
      <c r="B1" s="84" t="s">
        <v>119</v>
      </c>
      <c r="C1" s="84" t="s">
        <v>120</v>
      </c>
      <c r="D1" s="84" t="s">
        <v>296</v>
      </c>
      <c r="E1" s="84" t="s">
        <v>297</v>
      </c>
      <c r="F1" s="84" t="s">
        <v>298</v>
      </c>
      <c r="G1" s="84" t="s">
        <v>299</v>
      </c>
      <c r="H1" s="85" t="s">
        <v>300</v>
      </c>
      <c r="I1" s="84" t="s">
        <v>301</v>
      </c>
    </row>
    <row r="2" customFormat="false" ht="15" hidden="false" customHeight="true" outlineLevel="0" collapsed="false">
      <c r="A2" s="54" t="n">
        <v>1</v>
      </c>
      <c r="B2" s="56" t="s">
        <v>24</v>
      </c>
      <c r="C2" s="56" t="s">
        <v>65</v>
      </c>
      <c r="D2" s="56" t="s">
        <v>302</v>
      </c>
      <c r="E2" s="56" t="s">
        <v>303</v>
      </c>
      <c r="F2" s="54" t="n">
        <v>1972</v>
      </c>
      <c r="G2" s="57" t="n">
        <v>2.88</v>
      </c>
      <c r="H2" s="56" t="s">
        <v>304</v>
      </c>
      <c r="I2" s="56"/>
    </row>
    <row r="3" customFormat="false" ht="15" hidden="false" customHeight="true" outlineLevel="0" collapsed="false">
      <c r="A3" s="62" t="n">
        <v>1</v>
      </c>
      <c r="B3" s="64" t="s">
        <v>24</v>
      </c>
      <c r="C3" s="64" t="s">
        <v>65</v>
      </c>
      <c r="D3" s="64" t="s">
        <v>305</v>
      </c>
      <c r="E3" s="64" t="s">
        <v>303</v>
      </c>
      <c r="F3" s="62" t="n">
        <v>1973</v>
      </c>
      <c r="G3" s="65" t="n">
        <v>2.88</v>
      </c>
      <c r="H3" s="64" t="s">
        <v>304</v>
      </c>
      <c r="I3" s="64"/>
    </row>
    <row r="4" customFormat="false" ht="15" hidden="false" customHeight="true" outlineLevel="0" collapsed="false">
      <c r="A4" s="54" t="n">
        <v>1</v>
      </c>
      <c r="B4" s="56" t="s">
        <v>24</v>
      </c>
      <c r="C4" s="56" t="s">
        <v>65</v>
      </c>
      <c r="D4" s="56" t="s">
        <v>306</v>
      </c>
      <c r="E4" s="56" t="s">
        <v>303</v>
      </c>
      <c r="F4" s="54" t="n">
        <v>1974</v>
      </c>
      <c r="G4" s="57" t="n">
        <v>1.44</v>
      </c>
      <c r="H4" s="56" t="s">
        <v>304</v>
      </c>
      <c r="I4" s="56"/>
    </row>
    <row r="5" customFormat="false" ht="15" hidden="false" customHeight="true" outlineLevel="0" collapsed="false">
      <c r="A5" s="62" t="n">
        <v>2</v>
      </c>
      <c r="B5" s="64" t="s">
        <v>44</v>
      </c>
      <c r="C5" s="64" t="s">
        <v>97</v>
      </c>
      <c r="D5" s="64" t="s">
        <v>307</v>
      </c>
      <c r="E5" s="64" t="s">
        <v>303</v>
      </c>
      <c r="F5" s="62" t="n">
        <v>1977</v>
      </c>
      <c r="G5" s="65" t="n">
        <v>1.15</v>
      </c>
      <c r="H5" s="64" t="s">
        <v>308</v>
      </c>
      <c r="I5" s="64"/>
    </row>
    <row r="6" customFormat="false" ht="15" hidden="false" customHeight="true" outlineLevel="0" collapsed="false">
      <c r="A6" s="54" t="n">
        <v>2</v>
      </c>
      <c r="B6" s="56" t="s">
        <v>44</v>
      </c>
      <c r="C6" s="56" t="s">
        <v>97</v>
      </c>
      <c r="D6" s="56" t="s">
        <v>309</v>
      </c>
      <c r="E6" s="56" t="s">
        <v>303</v>
      </c>
      <c r="F6" s="54" t="n">
        <v>1977</v>
      </c>
      <c r="G6" s="57" t="n">
        <v>1.15</v>
      </c>
      <c r="H6" s="56" t="s">
        <v>308</v>
      </c>
      <c r="I6" s="56"/>
    </row>
    <row r="7" customFormat="false" ht="15" hidden="false" customHeight="true" outlineLevel="0" collapsed="false">
      <c r="A7" s="62" t="n">
        <v>2</v>
      </c>
      <c r="B7" s="64" t="s">
        <v>44</v>
      </c>
      <c r="C7" s="64" t="s">
        <v>97</v>
      </c>
      <c r="D7" s="64" t="s">
        <v>310</v>
      </c>
      <c r="E7" s="64" t="s">
        <v>303</v>
      </c>
      <c r="F7" s="62" t="n">
        <v>1994</v>
      </c>
      <c r="G7" s="65" t="n">
        <v>3</v>
      </c>
      <c r="H7" s="64" t="s">
        <v>308</v>
      </c>
      <c r="I7" s="64"/>
    </row>
    <row r="8" customFormat="false" ht="15" hidden="false" customHeight="true" outlineLevel="0" collapsed="false">
      <c r="A8" s="54" t="n">
        <v>3</v>
      </c>
      <c r="B8" s="56" t="s">
        <v>21</v>
      </c>
      <c r="C8" s="56" t="s">
        <v>50</v>
      </c>
      <c r="D8" s="56" t="s">
        <v>311</v>
      </c>
      <c r="E8" s="56" t="s">
        <v>303</v>
      </c>
      <c r="F8" s="54" t="n">
        <v>1978</v>
      </c>
      <c r="G8" s="57" t="n">
        <v>7.9</v>
      </c>
      <c r="H8" s="56" t="s">
        <v>312</v>
      </c>
      <c r="I8" s="56"/>
    </row>
    <row r="9" customFormat="false" ht="15" hidden="false" customHeight="true" outlineLevel="0" collapsed="false">
      <c r="A9" s="62" t="n">
        <v>4</v>
      </c>
      <c r="B9" s="64" t="s">
        <v>21</v>
      </c>
      <c r="C9" s="64" t="s">
        <v>51</v>
      </c>
      <c r="D9" s="64" t="s">
        <v>313</v>
      </c>
      <c r="E9" s="64" t="s">
        <v>303</v>
      </c>
      <c r="F9" s="62" t="n">
        <v>1981</v>
      </c>
      <c r="G9" s="65" t="n">
        <v>8.4</v>
      </c>
      <c r="H9" s="64" t="s">
        <v>312</v>
      </c>
      <c r="I9" s="64"/>
    </row>
    <row r="10" customFormat="false" ht="15" hidden="false" customHeight="true" outlineLevel="0" collapsed="false">
      <c r="A10" s="54" t="n">
        <v>5</v>
      </c>
      <c r="B10" s="56" t="s">
        <v>32</v>
      </c>
      <c r="C10" s="56" t="s">
        <v>77</v>
      </c>
      <c r="D10" s="56" t="s">
        <v>314</v>
      </c>
      <c r="E10" s="56" t="s">
        <v>303</v>
      </c>
      <c r="F10" s="54" t="n">
        <v>1982</v>
      </c>
      <c r="G10" s="57" t="n">
        <v>8.4</v>
      </c>
      <c r="H10" s="56" t="s">
        <v>315</v>
      </c>
      <c r="I10" s="56"/>
    </row>
    <row r="11" customFormat="false" ht="15" hidden="false" customHeight="true" outlineLevel="0" collapsed="false">
      <c r="A11" s="62" t="n">
        <v>5</v>
      </c>
      <c r="B11" s="64" t="s">
        <v>32</v>
      </c>
      <c r="C11" s="64" t="s">
        <v>77</v>
      </c>
      <c r="D11" s="64" t="s">
        <v>316</v>
      </c>
      <c r="E11" s="64" t="s">
        <v>303</v>
      </c>
      <c r="F11" s="62" t="n">
        <v>1995</v>
      </c>
      <c r="G11" s="65" t="n">
        <v>9.6</v>
      </c>
      <c r="H11" s="64" t="s">
        <v>317</v>
      </c>
      <c r="I11" s="64"/>
    </row>
    <row r="12" customFormat="false" ht="15" hidden="false" customHeight="true" outlineLevel="0" collapsed="false">
      <c r="A12" s="54" t="n">
        <v>5</v>
      </c>
      <c r="B12" s="56" t="s">
        <v>32</v>
      </c>
      <c r="C12" s="56" t="s">
        <v>77</v>
      </c>
      <c r="D12" s="56" t="s">
        <v>318</v>
      </c>
      <c r="E12" s="56" t="s">
        <v>303</v>
      </c>
      <c r="F12" s="54" t="n">
        <v>2003</v>
      </c>
      <c r="G12" s="57" t="n">
        <v>7.7</v>
      </c>
      <c r="H12" s="56" t="s">
        <v>319</v>
      </c>
      <c r="I12" s="56"/>
    </row>
    <row r="13" customFormat="false" ht="15" hidden="false" customHeight="true" outlineLevel="0" collapsed="false">
      <c r="A13" s="62" t="n">
        <v>5</v>
      </c>
      <c r="B13" s="64" t="s">
        <v>32</v>
      </c>
      <c r="C13" s="64" t="s">
        <v>77</v>
      </c>
      <c r="D13" s="64" t="s">
        <v>320</v>
      </c>
      <c r="E13" s="64" t="s">
        <v>321</v>
      </c>
      <c r="F13" s="62" t="n">
        <v>2017</v>
      </c>
      <c r="G13" s="65" t="n">
        <v>3.6</v>
      </c>
      <c r="H13" s="64" t="s">
        <v>322</v>
      </c>
      <c r="I13" s="64"/>
    </row>
    <row r="14" customFormat="false" ht="15" hidden="false" customHeight="true" outlineLevel="0" collapsed="false">
      <c r="A14" s="54" t="n">
        <v>6</v>
      </c>
      <c r="B14" s="56" t="s">
        <v>31</v>
      </c>
      <c r="C14" s="56" t="s">
        <v>74</v>
      </c>
      <c r="D14" s="56" t="s">
        <v>323</v>
      </c>
      <c r="E14" s="56" t="s">
        <v>303</v>
      </c>
      <c r="F14" s="54" t="n">
        <v>1983</v>
      </c>
      <c r="G14" s="57" t="n">
        <v>5.6</v>
      </c>
      <c r="H14" s="56" t="s">
        <v>324</v>
      </c>
      <c r="I14" s="56"/>
    </row>
    <row r="15" customFormat="false" ht="15" hidden="false" customHeight="true" outlineLevel="0" collapsed="false">
      <c r="A15" s="62" t="n">
        <v>6</v>
      </c>
      <c r="B15" s="64" t="s">
        <v>31</v>
      </c>
      <c r="C15" s="64" t="s">
        <v>74</v>
      </c>
      <c r="D15" s="64" t="s">
        <v>325</v>
      </c>
      <c r="E15" s="64" t="s">
        <v>303</v>
      </c>
      <c r="F15" s="62" t="n">
        <v>1989</v>
      </c>
      <c r="G15" s="65" t="n">
        <v>2.8</v>
      </c>
      <c r="H15" s="64" t="s">
        <v>324</v>
      </c>
      <c r="I15" s="64"/>
    </row>
    <row r="16" customFormat="false" ht="15" hidden="false" customHeight="true" outlineLevel="0" collapsed="false">
      <c r="A16" s="54" t="n">
        <v>6</v>
      </c>
      <c r="B16" s="56" t="s">
        <v>31</v>
      </c>
      <c r="C16" s="56" t="s">
        <v>74</v>
      </c>
      <c r="D16" s="56" t="s">
        <v>326</v>
      </c>
      <c r="E16" s="56" t="s">
        <v>303</v>
      </c>
      <c r="F16" s="54" t="n">
        <v>1993</v>
      </c>
      <c r="G16" s="57" t="n">
        <v>2.8</v>
      </c>
      <c r="H16" s="56" t="s">
        <v>324</v>
      </c>
      <c r="I16" s="56"/>
    </row>
    <row r="17" customFormat="false" ht="15" hidden="false" customHeight="true" outlineLevel="0" collapsed="false">
      <c r="A17" s="62" t="n">
        <v>6</v>
      </c>
      <c r="B17" s="64" t="s">
        <v>31</v>
      </c>
      <c r="C17" s="64" t="s">
        <v>74</v>
      </c>
      <c r="D17" s="64" t="s">
        <v>327</v>
      </c>
      <c r="E17" s="64" t="s">
        <v>303</v>
      </c>
      <c r="F17" s="62" t="n">
        <v>1998</v>
      </c>
      <c r="G17" s="65" t="n">
        <v>2.8</v>
      </c>
      <c r="H17" s="64" t="s">
        <v>324</v>
      </c>
      <c r="I17" s="64"/>
    </row>
    <row r="18" customFormat="false" ht="15" hidden="false" customHeight="true" outlineLevel="0" collapsed="false">
      <c r="A18" s="54" t="n">
        <v>6</v>
      </c>
      <c r="B18" s="56" t="s">
        <v>31</v>
      </c>
      <c r="C18" s="56" t="s">
        <v>74</v>
      </c>
      <c r="D18" s="56" t="s">
        <v>328</v>
      </c>
      <c r="E18" s="56" t="s">
        <v>303</v>
      </c>
      <c r="F18" s="54" t="n">
        <v>1999</v>
      </c>
      <c r="G18" s="57" t="n">
        <v>2.95</v>
      </c>
      <c r="H18" s="56" t="s">
        <v>324</v>
      </c>
      <c r="I18" s="56"/>
    </row>
    <row r="19" customFormat="false" ht="15" hidden="false" customHeight="true" outlineLevel="0" collapsed="false">
      <c r="A19" s="62" t="n">
        <v>7</v>
      </c>
      <c r="B19" s="64" t="s">
        <v>23</v>
      </c>
      <c r="C19" s="64" t="s">
        <v>60</v>
      </c>
      <c r="D19" s="64" t="s">
        <v>329</v>
      </c>
      <c r="E19" s="64" t="s">
        <v>303</v>
      </c>
      <c r="F19" s="62" t="n">
        <v>1989</v>
      </c>
      <c r="G19" s="65" t="n">
        <v>2.5</v>
      </c>
      <c r="H19" s="64" t="s">
        <v>330</v>
      </c>
      <c r="I19" s="64"/>
    </row>
    <row r="20" customFormat="false" ht="15" hidden="false" customHeight="true" outlineLevel="0" collapsed="false">
      <c r="A20" s="54" t="n">
        <v>7</v>
      </c>
      <c r="B20" s="56" t="s">
        <v>23</v>
      </c>
      <c r="C20" s="56" t="s">
        <v>60</v>
      </c>
      <c r="D20" s="56" t="s">
        <v>331</v>
      </c>
      <c r="E20" s="56" t="s">
        <v>303</v>
      </c>
      <c r="F20" s="54" t="n">
        <v>1993</v>
      </c>
      <c r="G20" s="57" t="n">
        <v>2.5</v>
      </c>
      <c r="H20" s="56" t="s">
        <v>330</v>
      </c>
      <c r="I20" s="56"/>
    </row>
    <row r="21" customFormat="false" ht="15" hidden="false" customHeight="true" outlineLevel="0" collapsed="false">
      <c r="A21" s="62" t="n">
        <v>7</v>
      </c>
      <c r="B21" s="64" t="s">
        <v>23</v>
      </c>
      <c r="C21" s="64" t="s">
        <v>60</v>
      </c>
      <c r="D21" s="64" t="s">
        <v>332</v>
      </c>
      <c r="E21" s="64" t="s">
        <v>303</v>
      </c>
      <c r="F21" s="62" t="n">
        <v>2004</v>
      </c>
      <c r="G21" s="65" t="n">
        <v>4.6</v>
      </c>
      <c r="H21" s="64" t="s">
        <v>330</v>
      </c>
      <c r="I21" s="64"/>
    </row>
    <row r="22" customFormat="false" ht="15" hidden="false" customHeight="true" outlineLevel="0" collapsed="false">
      <c r="A22" s="54" t="n">
        <v>7</v>
      </c>
      <c r="B22" s="56" t="s">
        <v>23</v>
      </c>
      <c r="C22" s="56" t="s">
        <v>60</v>
      </c>
      <c r="D22" s="56" t="s">
        <v>333</v>
      </c>
      <c r="E22" s="56" t="s">
        <v>303</v>
      </c>
      <c r="F22" s="54" t="n">
        <v>2008</v>
      </c>
      <c r="G22" s="57" t="n">
        <v>4.6</v>
      </c>
      <c r="H22" s="56" t="s">
        <v>330</v>
      </c>
      <c r="I22" s="56"/>
    </row>
    <row r="23" customFormat="false" ht="15" hidden="false" customHeight="true" outlineLevel="0" collapsed="false">
      <c r="A23" s="62" t="n">
        <v>8</v>
      </c>
      <c r="B23" s="64" t="s">
        <v>41</v>
      </c>
      <c r="C23" s="64" t="s">
        <v>90</v>
      </c>
      <c r="D23" s="64" t="s">
        <v>334</v>
      </c>
      <c r="E23" s="64" t="s">
        <v>303</v>
      </c>
      <c r="F23" s="62" t="n">
        <v>1996</v>
      </c>
      <c r="G23" s="65" t="n">
        <v>3.2</v>
      </c>
      <c r="H23" s="64" t="s">
        <v>335</v>
      </c>
      <c r="I23" s="64"/>
    </row>
    <row r="24" customFormat="false" ht="15" hidden="false" customHeight="true" outlineLevel="0" collapsed="false">
      <c r="A24" s="54" t="n">
        <v>8</v>
      </c>
      <c r="B24" s="56" t="s">
        <v>41</v>
      </c>
      <c r="C24" s="56" t="s">
        <v>90</v>
      </c>
      <c r="D24" s="56" t="s">
        <v>336</v>
      </c>
      <c r="E24" s="56" t="s">
        <v>303</v>
      </c>
      <c r="F24" s="54" t="n">
        <v>1996</v>
      </c>
      <c r="G24" s="57" t="n">
        <v>3.2</v>
      </c>
      <c r="H24" s="56" t="s">
        <v>335</v>
      </c>
      <c r="I24" s="56"/>
    </row>
    <row r="25" customFormat="false" ht="15" hidden="false" customHeight="true" outlineLevel="0" collapsed="false">
      <c r="A25" s="62" t="n">
        <v>8</v>
      </c>
      <c r="B25" s="64" t="s">
        <v>41</v>
      </c>
      <c r="C25" s="64" t="s">
        <v>90</v>
      </c>
      <c r="D25" s="64" t="s">
        <v>337</v>
      </c>
      <c r="E25" s="64" t="s">
        <v>303</v>
      </c>
      <c r="F25" s="62" t="n">
        <v>1996</v>
      </c>
      <c r="G25" s="65" t="n">
        <v>3.2</v>
      </c>
      <c r="H25" s="64" t="s">
        <v>335</v>
      </c>
      <c r="I25" s="64"/>
    </row>
    <row r="26" customFormat="false" ht="15" hidden="false" customHeight="true" outlineLevel="0" collapsed="false">
      <c r="A26" s="54" t="n">
        <v>8</v>
      </c>
      <c r="B26" s="56" t="s">
        <v>41</v>
      </c>
      <c r="C26" s="56" t="s">
        <v>90</v>
      </c>
      <c r="D26" s="56" t="s">
        <v>338</v>
      </c>
      <c r="E26" s="56" t="s">
        <v>303</v>
      </c>
      <c r="F26" s="54" t="n">
        <v>1999</v>
      </c>
      <c r="G26" s="57" t="n">
        <v>3.3</v>
      </c>
      <c r="H26" s="56" t="s">
        <v>339</v>
      </c>
      <c r="I26" s="56"/>
    </row>
    <row r="27" customFormat="false" ht="15" hidden="false" customHeight="true" outlineLevel="0" collapsed="false">
      <c r="A27" s="62" t="n">
        <v>8</v>
      </c>
      <c r="B27" s="64" t="s">
        <v>41</v>
      </c>
      <c r="C27" s="64" t="s">
        <v>90</v>
      </c>
      <c r="D27" s="64" t="s">
        <v>340</v>
      </c>
      <c r="E27" s="64" t="s">
        <v>303</v>
      </c>
      <c r="F27" s="62" t="n">
        <v>1999</v>
      </c>
      <c r="G27" s="65" t="n">
        <v>3.3</v>
      </c>
      <c r="H27" s="64" t="s">
        <v>339</v>
      </c>
      <c r="I27" s="64"/>
    </row>
    <row r="28" customFormat="false" ht="15" hidden="false" customHeight="true" outlineLevel="0" collapsed="false">
      <c r="A28" s="54" t="n">
        <v>8</v>
      </c>
      <c r="B28" s="56" t="s">
        <v>41</v>
      </c>
      <c r="C28" s="56" t="s">
        <v>90</v>
      </c>
      <c r="D28" s="56" t="s">
        <v>341</v>
      </c>
      <c r="E28" s="56" t="s">
        <v>321</v>
      </c>
      <c r="F28" s="54" t="n">
        <v>2004</v>
      </c>
      <c r="G28" s="57" t="n">
        <v>4.7</v>
      </c>
      <c r="H28" s="56" t="s">
        <v>342</v>
      </c>
      <c r="I28" s="56"/>
    </row>
    <row r="29" customFormat="false" ht="15" hidden="false" customHeight="true" outlineLevel="0" collapsed="false">
      <c r="A29" s="62" t="n">
        <v>8</v>
      </c>
      <c r="B29" s="64" t="s">
        <v>41</v>
      </c>
      <c r="C29" s="64" t="s">
        <v>90</v>
      </c>
      <c r="D29" s="64" t="s">
        <v>343</v>
      </c>
      <c r="E29" s="64" t="s">
        <v>321</v>
      </c>
      <c r="F29" s="62" t="n">
        <v>2005</v>
      </c>
      <c r="G29" s="65" t="n">
        <v>4.7</v>
      </c>
      <c r="H29" s="64" t="s">
        <v>342</v>
      </c>
      <c r="I29" s="64"/>
    </row>
    <row r="30" customFormat="false" ht="15" hidden="false" customHeight="true" outlineLevel="0" collapsed="false">
      <c r="A30" s="54" t="n">
        <v>8</v>
      </c>
      <c r="B30" s="56" t="s">
        <v>41</v>
      </c>
      <c r="C30" s="56" t="s">
        <v>90</v>
      </c>
      <c r="D30" s="56" t="s">
        <v>344</v>
      </c>
      <c r="E30" s="56" t="s">
        <v>321</v>
      </c>
      <c r="F30" s="54" t="n">
        <v>2007</v>
      </c>
      <c r="G30" s="57" t="n">
        <v>4.7</v>
      </c>
      <c r="H30" s="56" t="s">
        <v>342</v>
      </c>
      <c r="I30" s="56"/>
    </row>
    <row r="31" customFormat="false" ht="15" hidden="false" customHeight="true" outlineLevel="0" collapsed="false">
      <c r="A31" s="62" t="n">
        <v>8</v>
      </c>
      <c r="B31" s="64" t="s">
        <v>41</v>
      </c>
      <c r="C31" s="64" t="s">
        <v>90</v>
      </c>
      <c r="D31" s="64" t="s">
        <v>345</v>
      </c>
      <c r="E31" s="64" t="s">
        <v>346</v>
      </c>
      <c r="F31" s="62" t="n">
        <v>2009</v>
      </c>
      <c r="G31" s="65" t="n">
        <v>7.8</v>
      </c>
      <c r="H31" s="64" t="s">
        <v>347</v>
      </c>
      <c r="I31" s="64"/>
    </row>
    <row r="32" customFormat="false" ht="15" hidden="false" customHeight="true" outlineLevel="0" collapsed="false">
      <c r="A32" s="54" t="n">
        <v>8</v>
      </c>
      <c r="B32" s="56" t="s">
        <v>41</v>
      </c>
      <c r="C32" s="56" t="s">
        <v>90</v>
      </c>
      <c r="D32" s="56" t="s">
        <v>348</v>
      </c>
      <c r="E32" s="56" t="s">
        <v>346</v>
      </c>
      <c r="F32" s="54" t="n">
        <v>2009</v>
      </c>
      <c r="G32" s="57" t="n">
        <v>7.8</v>
      </c>
      <c r="H32" s="56" t="s">
        <v>347</v>
      </c>
      <c r="I32" s="56"/>
    </row>
    <row r="33" customFormat="false" ht="15" hidden="false" customHeight="true" outlineLevel="0" collapsed="false">
      <c r="A33" s="62" t="n">
        <v>8</v>
      </c>
      <c r="B33" s="64" t="s">
        <v>41</v>
      </c>
      <c r="C33" s="64" t="s">
        <v>90</v>
      </c>
      <c r="D33" s="64" t="s">
        <v>349</v>
      </c>
      <c r="E33" s="64" t="s">
        <v>346</v>
      </c>
      <c r="F33" s="62" t="n">
        <v>2009</v>
      </c>
      <c r="G33" s="65" t="n">
        <v>7.8</v>
      </c>
      <c r="H33" s="64" t="s">
        <v>342</v>
      </c>
      <c r="I33" s="64"/>
    </row>
    <row r="34" customFormat="false" ht="15" hidden="false" customHeight="true" outlineLevel="0" collapsed="false">
      <c r="A34" s="54" t="n">
        <v>8</v>
      </c>
      <c r="B34" s="56" t="s">
        <v>41</v>
      </c>
      <c r="C34" s="56" t="s">
        <v>90</v>
      </c>
      <c r="D34" s="56" t="s">
        <v>350</v>
      </c>
      <c r="E34" s="56" t="s">
        <v>346</v>
      </c>
      <c r="F34" s="54" t="n">
        <v>2009</v>
      </c>
      <c r="G34" s="57" t="n">
        <v>7.8</v>
      </c>
      <c r="H34" s="56" t="s">
        <v>342</v>
      </c>
      <c r="I34" s="56"/>
    </row>
    <row r="35" customFormat="false" ht="15" hidden="false" customHeight="true" outlineLevel="0" collapsed="false">
      <c r="A35" s="62" t="n">
        <v>8</v>
      </c>
      <c r="B35" s="64" t="s">
        <v>41</v>
      </c>
      <c r="C35" s="64" t="s">
        <v>90</v>
      </c>
      <c r="D35" s="64" t="s">
        <v>351</v>
      </c>
      <c r="E35" s="64" t="s">
        <v>346</v>
      </c>
      <c r="F35" s="62" t="n">
        <v>2010</v>
      </c>
      <c r="G35" s="65" t="n">
        <v>7.8</v>
      </c>
      <c r="H35" s="64" t="s">
        <v>352</v>
      </c>
      <c r="I35" s="64"/>
    </row>
    <row r="36" customFormat="false" ht="15" hidden="false" customHeight="true" outlineLevel="0" collapsed="false">
      <c r="A36" s="54" t="n">
        <v>8</v>
      </c>
      <c r="B36" s="56" t="s">
        <v>41</v>
      </c>
      <c r="C36" s="56" t="s">
        <v>90</v>
      </c>
      <c r="D36" s="56" t="s">
        <v>353</v>
      </c>
      <c r="E36" s="56" t="s">
        <v>346</v>
      </c>
      <c r="F36" s="54" t="n">
        <v>2011</v>
      </c>
      <c r="G36" s="57" t="n">
        <v>7.8</v>
      </c>
      <c r="H36" s="56" t="s">
        <v>354</v>
      </c>
      <c r="I36" s="56"/>
    </row>
    <row r="37" customFormat="false" ht="15" hidden="false" customHeight="true" outlineLevel="0" collapsed="false">
      <c r="A37" s="62" t="n">
        <v>9</v>
      </c>
      <c r="B37" s="64" t="s">
        <v>43</v>
      </c>
      <c r="C37" s="64" t="s">
        <v>96</v>
      </c>
      <c r="D37" s="64" t="s">
        <v>355</v>
      </c>
      <c r="E37" s="64" t="s">
        <v>356</v>
      </c>
      <c r="F37" s="62" t="n">
        <v>2002</v>
      </c>
      <c r="G37" s="65" t="n">
        <v>3.3</v>
      </c>
      <c r="H37" s="64" t="s">
        <v>357</v>
      </c>
      <c r="I37" s="64"/>
    </row>
    <row r="38" customFormat="false" ht="15" hidden="false" customHeight="true" outlineLevel="0" collapsed="false">
      <c r="A38" s="54" t="n">
        <v>9</v>
      </c>
      <c r="B38" s="56" t="s">
        <v>43</v>
      </c>
      <c r="C38" s="56" t="s">
        <v>96</v>
      </c>
      <c r="D38" s="56" t="s">
        <v>358</v>
      </c>
      <c r="E38" s="56" t="s">
        <v>356</v>
      </c>
      <c r="F38" s="54" t="n">
        <v>2003</v>
      </c>
      <c r="G38" s="57" t="n">
        <v>3.3</v>
      </c>
      <c r="H38" s="56" t="s">
        <v>357</v>
      </c>
      <c r="I38" s="56"/>
    </row>
    <row r="39" customFormat="false" ht="15" hidden="false" customHeight="true" outlineLevel="0" collapsed="false">
      <c r="A39" s="62" t="n">
        <v>9</v>
      </c>
      <c r="B39" s="64" t="s">
        <v>43</v>
      </c>
      <c r="C39" s="64" t="s">
        <v>96</v>
      </c>
      <c r="D39" s="64" t="s">
        <v>359</v>
      </c>
      <c r="E39" s="64" t="s">
        <v>356</v>
      </c>
      <c r="F39" s="62" t="n">
        <v>2005</v>
      </c>
      <c r="G39" s="65" t="n">
        <v>5.2</v>
      </c>
      <c r="H39" s="64" t="s">
        <v>357</v>
      </c>
      <c r="I39" s="64"/>
    </row>
    <row r="40" customFormat="false" ht="15" hidden="false" customHeight="true" outlineLevel="0" collapsed="false">
      <c r="A40" s="54" t="n">
        <v>10</v>
      </c>
      <c r="B40" s="56" t="s">
        <v>36</v>
      </c>
      <c r="C40" s="56" t="s">
        <v>84</v>
      </c>
      <c r="D40" s="56" t="s">
        <v>360</v>
      </c>
      <c r="E40" s="56" t="s">
        <v>303</v>
      </c>
      <c r="F40" s="54" t="n">
        <v>1999</v>
      </c>
      <c r="G40" s="57" t="n">
        <v>3.3</v>
      </c>
      <c r="H40" s="56" t="s">
        <v>361</v>
      </c>
      <c r="I40" s="56"/>
    </row>
    <row r="41" customFormat="false" ht="15" hidden="false" customHeight="true" outlineLevel="0" collapsed="false">
      <c r="A41" s="62" t="n">
        <v>10</v>
      </c>
      <c r="B41" s="64" t="s">
        <v>36</v>
      </c>
      <c r="C41" s="64" t="s">
        <v>84</v>
      </c>
      <c r="D41" s="64" t="s">
        <v>362</v>
      </c>
      <c r="E41" s="64" t="s">
        <v>303</v>
      </c>
      <c r="F41" s="62" t="n">
        <v>1999</v>
      </c>
      <c r="G41" s="65" t="n">
        <v>3.3</v>
      </c>
      <c r="H41" s="64" t="s">
        <v>361</v>
      </c>
      <c r="I41" s="64"/>
    </row>
    <row r="42" customFormat="false" ht="15" hidden="false" customHeight="true" outlineLevel="0" collapsed="false">
      <c r="A42" s="54" t="n">
        <v>10</v>
      </c>
      <c r="B42" s="56" t="s">
        <v>36</v>
      </c>
      <c r="C42" s="56" t="s">
        <v>84</v>
      </c>
      <c r="D42" s="56" t="s">
        <v>363</v>
      </c>
      <c r="E42" s="56" t="s">
        <v>303</v>
      </c>
      <c r="F42" s="54" t="n">
        <v>2002</v>
      </c>
      <c r="G42" s="57" t="n">
        <v>3.3</v>
      </c>
      <c r="H42" s="56" t="s">
        <v>361</v>
      </c>
      <c r="I42" s="56"/>
    </row>
    <row r="43" customFormat="false" ht="15" hidden="false" customHeight="true" outlineLevel="0" collapsed="false">
      <c r="A43" s="62" t="n">
        <v>10</v>
      </c>
      <c r="B43" s="64" t="s">
        <v>36</v>
      </c>
      <c r="C43" s="64" t="s">
        <v>84</v>
      </c>
      <c r="D43" s="64" t="s">
        <v>364</v>
      </c>
      <c r="E43" s="64" t="s">
        <v>303</v>
      </c>
      <c r="F43" s="62" t="n">
        <v>2005</v>
      </c>
      <c r="G43" s="65" t="n">
        <v>4.1</v>
      </c>
      <c r="H43" s="64" t="s">
        <v>361</v>
      </c>
      <c r="I43" s="64"/>
    </row>
    <row r="44" customFormat="false" ht="15" hidden="false" customHeight="true" outlineLevel="0" collapsed="false">
      <c r="A44" s="54" t="n">
        <v>10</v>
      </c>
      <c r="B44" s="56" t="s">
        <v>36</v>
      </c>
      <c r="C44" s="56" t="s">
        <v>84</v>
      </c>
      <c r="D44" s="56" t="s">
        <v>365</v>
      </c>
      <c r="E44" s="56" t="s">
        <v>303</v>
      </c>
      <c r="F44" s="54" t="n">
        <v>2006</v>
      </c>
      <c r="G44" s="57" t="n">
        <v>4.1</v>
      </c>
      <c r="H44" s="56" t="s">
        <v>361</v>
      </c>
      <c r="I44" s="56"/>
    </row>
    <row r="45" customFormat="false" ht="15" hidden="false" customHeight="true" outlineLevel="0" collapsed="false">
      <c r="A45" s="62" t="n">
        <v>10</v>
      </c>
      <c r="B45" s="64" t="s">
        <v>36</v>
      </c>
      <c r="C45" s="64" t="s">
        <v>84</v>
      </c>
      <c r="D45" s="64" t="s">
        <v>366</v>
      </c>
      <c r="E45" s="64" t="s">
        <v>303</v>
      </c>
      <c r="F45" s="62" t="n">
        <v>2007</v>
      </c>
      <c r="G45" s="65" t="n">
        <v>4.1</v>
      </c>
      <c r="H45" s="64" t="s">
        <v>361</v>
      </c>
      <c r="I45" s="64"/>
    </row>
    <row r="46" customFormat="false" ht="15" hidden="false" customHeight="true" outlineLevel="0" collapsed="false">
      <c r="A46" s="54" t="n">
        <v>11</v>
      </c>
      <c r="B46" s="56" t="s">
        <v>38</v>
      </c>
      <c r="C46" s="56" t="s">
        <v>87</v>
      </c>
      <c r="D46" s="56" t="s">
        <v>367</v>
      </c>
      <c r="E46" s="56" t="s">
        <v>303</v>
      </c>
      <c r="F46" s="54" t="n">
        <v>2000</v>
      </c>
      <c r="G46" s="57" t="n">
        <v>3.55</v>
      </c>
      <c r="H46" s="56" t="s">
        <v>368</v>
      </c>
      <c r="I46" s="56"/>
    </row>
    <row r="47" customFormat="false" ht="15" hidden="false" customHeight="true" outlineLevel="0" collapsed="false">
      <c r="A47" s="62" t="n">
        <v>11</v>
      </c>
      <c r="B47" s="64" t="s">
        <v>38</v>
      </c>
      <c r="C47" s="64" t="s">
        <v>87</v>
      </c>
      <c r="D47" s="64" t="s">
        <v>369</v>
      </c>
      <c r="E47" s="64" t="s">
        <v>303</v>
      </c>
      <c r="F47" s="62" t="n">
        <v>2000</v>
      </c>
      <c r="G47" s="65" t="n">
        <v>3.55</v>
      </c>
      <c r="H47" s="64" t="s">
        <v>368</v>
      </c>
      <c r="I47" s="64"/>
    </row>
    <row r="48" customFormat="false" ht="15" hidden="false" customHeight="true" outlineLevel="0" collapsed="false">
      <c r="A48" s="54" t="n">
        <v>11</v>
      </c>
      <c r="B48" s="56" t="s">
        <v>38</v>
      </c>
      <c r="C48" s="56" t="s">
        <v>87</v>
      </c>
      <c r="D48" s="56" t="s">
        <v>370</v>
      </c>
      <c r="E48" s="56" t="s">
        <v>303</v>
      </c>
      <c r="F48" s="54" t="n">
        <v>2006</v>
      </c>
      <c r="G48" s="57" t="n">
        <v>3.3</v>
      </c>
      <c r="H48" s="56" t="s">
        <v>371</v>
      </c>
      <c r="I48" s="56"/>
    </row>
    <row r="49" customFormat="false" ht="15" hidden="false" customHeight="true" outlineLevel="0" collapsed="false">
      <c r="A49" s="62" t="n">
        <v>12</v>
      </c>
      <c r="B49" s="64" t="s">
        <v>29</v>
      </c>
      <c r="C49" s="64" t="s">
        <v>71</v>
      </c>
      <c r="D49" s="64" t="s">
        <v>372</v>
      </c>
      <c r="E49" s="64" t="s">
        <v>321</v>
      </c>
      <c r="F49" s="62" t="n">
        <v>2005</v>
      </c>
      <c r="G49" s="65" t="n">
        <v>5</v>
      </c>
      <c r="H49" s="64" t="s">
        <v>373</v>
      </c>
      <c r="I49" s="64"/>
    </row>
    <row r="50" customFormat="false" ht="15" hidden="false" customHeight="true" outlineLevel="0" collapsed="false">
      <c r="A50" s="54" t="n">
        <v>13</v>
      </c>
      <c r="B50" s="56" t="s">
        <v>29</v>
      </c>
      <c r="C50" s="56" t="s">
        <v>72</v>
      </c>
      <c r="D50" s="56" t="s">
        <v>374</v>
      </c>
      <c r="E50" s="56" t="s">
        <v>356</v>
      </c>
      <c r="F50" s="54" t="n">
        <v>2005</v>
      </c>
      <c r="G50" s="57" t="n">
        <v>3.6</v>
      </c>
      <c r="H50" s="56" t="s">
        <v>375</v>
      </c>
      <c r="I50" s="56"/>
    </row>
    <row r="51" customFormat="false" ht="15" hidden="false" customHeight="true" outlineLevel="0" collapsed="false">
      <c r="A51" s="62" t="n">
        <v>13</v>
      </c>
      <c r="B51" s="64" t="s">
        <v>29</v>
      </c>
      <c r="C51" s="64" t="s">
        <v>72</v>
      </c>
      <c r="D51" s="64" t="s">
        <v>376</v>
      </c>
      <c r="E51" s="64" t="s">
        <v>356</v>
      </c>
      <c r="F51" s="62" t="n">
        <v>2005</v>
      </c>
      <c r="G51" s="65" t="n">
        <v>3.6</v>
      </c>
      <c r="H51" s="64" t="s">
        <v>377</v>
      </c>
      <c r="I51" s="64"/>
    </row>
    <row r="52" customFormat="false" ht="15" hidden="false" customHeight="true" outlineLevel="0" collapsed="false">
      <c r="A52" s="54" t="n">
        <v>14</v>
      </c>
      <c r="B52" s="56" t="s">
        <v>23</v>
      </c>
      <c r="C52" s="56" t="s">
        <v>56</v>
      </c>
      <c r="D52" s="56" t="s">
        <v>378</v>
      </c>
      <c r="E52" s="56" t="s">
        <v>356</v>
      </c>
      <c r="F52" s="54" t="n">
        <v>2006</v>
      </c>
      <c r="G52" s="57" t="n">
        <v>3.7</v>
      </c>
      <c r="H52" s="56" t="s">
        <v>379</v>
      </c>
      <c r="I52" s="56"/>
    </row>
    <row r="53" customFormat="false" ht="15" hidden="false" customHeight="true" outlineLevel="0" collapsed="false">
      <c r="A53" s="62" t="n">
        <v>15</v>
      </c>
      <c r="B53" s="64" t="s">
        <v>30</v>
      </c>
      <c r="C53" s="64" t="s">
        <v>73</v>
      </c>
      <c r="D53" s="64" t="s">
        <v>380</v>
      </c>
      <c r="E53" s="64" t="s">
        <v>356</v>
      </c>
      <c r="F53" s="62" t="n">
        <v>2007</v>
      </c>
      <c r="G53" s="65" t="n">
        <v>3.7</v>
      </c>
      <c r="H53" s="64" t="s">
        <v>381</v>
      </c>
      <c r="I53" s="64"/>
    </row>
    <row r="54" customFormat="false" ht="15" hidden="false" customHeight="true" outlineLevel="0" collapsed="false">
      <c r="A54" s="54" t="n">
        <v>16</v>
      </c>
      <c r="B54" s="56" t="s">
        <v>37</v>
      </c>
      <c r="C54" s="56" t="s">
        <v>86</v>
      </c>
      <c r="D54" s="56" t="s">
        <v>382</v>
      </c>
      <c r="E54" s="56" t="s">
        <v>383</v>
      </c>
      <c r="F54" s="54" t="n">
        <v>2007</v>
      </c>
      <c r="G54" s="57" t="n">
        <v>4.3</v>
      </c>
      <c r="H54" s="56" t="s">
        <v>384</v>
      </c>
      <c r="I54" s="56"/>
    </row>
    <row r="55" customFormat="false" ht="15" hidden="false" customHeight="true" outlineLevel="0" collapsed="false">
      <c r="A55" s="62" t="n">
        <v>16</v>
      </c>
      <c r="B55" s="64" t="s">
        <v>37</v>
      </c>
      <c r="C55" s="64" t="s">
        <v>85</v>
      </c>
      <c r="D55" s="64" t="s">
        <v>385</v>
      </c>
      <c r="E55" s="64" t="s">
        <v>386</v>
      </c>
      <c r="F55" s="62" t="n">
        <v>2010</v>
      </c>
      <c r="G55" s="65" t="n">
        <v>0.3</v>
      </c>
      <c r="H55" s="64" t="s">
        <v>387</v>
      </c>
      <c r="I55" s="64"/>
    </row>
    <row r="56" customFormat="false" ht="15" hidden="false" customHeight="true" outlineLevel="0" collapsed="false">
      <c r="A56" s="54" t="n">
        <v>17</v>
      </c>
      <c r="B56" s="56" t="s">
        <v>46</v>
      </c>
      <c r="C56" s="56" t="s">
        <v>107</v>
      </c>
      <c r="D56" s="56" t="s">
        <v>388</v>
      </c>
      <c r="E56" s="56" t="s">
        <v>321</v>
      </c>
      <c r="F56" s="54" t="n">
        <v>2009</v>
      </c>
      <c r="G56" s="57" t="n">
        <v>6.7</v>
      </c>
      <c r="H56" s="56" t="s">
        <v>389</v>
      </c>
      <c r="I56" s="56"/>
    </row>
    <row r="57" customFormat="false" ht="15" hidden="false" customHeight="true" outlineLevel="0" collapsed="false">
      <c r="A57" s="62" t="n">
        <v>18</v>
      </c>
      <c r="B57" s="64" t="s">
        <v>31</v>
      </c>
      <c r="C57" s="64" t="s">
        <v>76</v>
      </c>
      <c r="D57" s="64" t="s">
        <v>390</v>
      </c>
      <c r="E57" s="64" t="s">
        <v>321</v>
      </c>
      <c r="F57" s="62" t="n">
        <v>2009</v>
      </c>
      <c r="G57" s="65" t="n">
        <v>3.8</v>
      </c>
      <c r="H57" s="64" t="s">
        <v>391</v>
      </c>
      <c r="I57" s="64"/>
    </row>
    <row r="58" customFormat="false" ht="15" hidden="false" customHeight="true" outlineLevel="0" collapsed="false">
      <c r="A58" s="54" t="n">
        <v>18</v>
      </c>
      <c r="B58" s="56" t="s">
        <v>31</v>
      </c>
      <c r="C58" s="56" t="s">
        <v>76</v>
      </c>
      <c r="D58" s="56" t="s">
        <v>392</v>
      </c>
      <c r="E58" s="56" t="s">
        <v>321</v>
      </c>
      <c r="F58" s="54" t="n">
        <v>2009</v>
      </c>
      <c r="G58" s="57" t="n">
        <v>3.8</v>
      </c>
      <c r="H58" s="56" t="s">
        <v>391</v>
      </c>
      <c r="I58" s="56"/>
    </row>
    <row r="59" customFormat="false" ht="15" hidden="false" customHeight="true" outlineLevel="0" collapsed="false">
      <c r="A59" s="62" t="n">
        <v>18</v>
      </c>
      <c r="B59" s="64" t="s">
        <v>31</v>
      </c>
      <c r="C59" s="64" t="s">
        <v>76</v>
      </c>
      <c r="D59" s="64" t="s">
        <v>393</v>
      </c>
      <c r="E59" s="64" t="s">
        <v>321</v>
      </c>
      <c r="F59" s="62" t="n">
        <v>2023</v>
      </c>
      <c r="G59" s="65" t="n">
        <v>3.8</v>
      </c>
      <c r="H59" s="64" t="s">
        <v>391</v>
      </c>
      <c r="I59" s="64"/>
    </row>
    <row r="60" customFormat="false" ht="15" hidden="false" customHeight="true" outlineLevel="0" collapsed="false">
      <c r="A60" s="54" t="n">
        <v>19</v>
      </c>
      <c r="B60" s="56" t="s">
        <v>42</v>
      </c>
      <c r="C60" s="56" t="s">
        <v>93</v>
      </c>
      <c r="D60" s="56" t="s">
        <v>394</v>
      </c>
      <c r="E60" s="56" t="s">
        <v>395</v>
      </c>
      <c r="F60" s="54" t="n">
        <v>2009</v>
      </c>
      <c r="G60" s="57" t="n">
        <v>4.8</v>
      </c>
      <c r="H60" s="56" t="s">
        <v>396</v>
      </c>
      <c r="I60" s="56"/>
    </row>
    <row r="61" customFormat="false" ht="15" hidden="false" customHeight="true" outlineLevel="0" collapsed="false">
      <c r="A61" s="62" t="n">
        <v>19</v>
      </c>
      <c r="B61" s="64" t="s">
        <v>42</v>
      </c>
      <c r="C61" s="64" t="s">
        <v>93</v>
      </c>
      <c r="D61" s="64" t="s">
        <v>397</v>
      </c>
      <c r="E61" s="64" t="s">
        <v>395</v>
      </c>
      <c r="F61" s="62" t="n">
        <v>2009</v>
      </c>
      <c r="G61" s="65" t="n">
        <v>4.8</v>
      </c>
      <c r="H61" s="64" t="s">
        <v>396</v>
      </c>
      <c r="I61" s="64"/>
    </row>
    <row r="62" customFormat="false" ht="15" hidden="false" customHeight="true" outlineLevel="0" collapsed="false">
      <c r="A62" s="54" t="n">
        <v>20</v>
      </c>
      <c r="B62" s="56" t="s">
        <v>40</v>
      </c>
      <c r="C62" s="56" t="s">
        <v>89</v>
      </c>
      <c r="D62" s="56" t="s">
        <v>398</v>
      </c>
      <c r="E62" s="56" t="s">
        <v>321</v>
      </c>
      <c r="F62" s="54" t="n">
        <v>2010</v>
      </c>
      <c r="G62" s="57" t="n">
        <v>4.45</v>
      </c>
      <c r="H62" s="56" t="s">
        <v>399</v>
      </c>
      <c r="I62" s="56"/>
    </row>
    <row r="63" customFormat="false" ht="15" hidden="false" customHeight="true" outlineLevel="0" collapsed="false">
      <c r="A63" s="62" t="n">
        <v>21</v>
      </c>
      <c r="B63" s="64" t="s">
        <v>23</v>
      </c>
      <c r="C63" s="64" t="s">
        <v>61</v>
      </c>
      <c r="D63" s="64" t="s">
        <v>400</v>
      </c>
      <c r="E63" s="64" t="s">
        <v>401</v>
      </c>
      <c r="F63" s="62" t="n">
        <v>2012</v>
      </c>
      <c r="G63" s="65" t="n">
        <v>4.9</v>
      </c>
      <c r="H63" s="64" t="s">
        <v>402</v>
      </c>
      <c r="I63" s="64"/>
    </row>
    <row r="64" customFormat="false" ht="15" hidden="false" customHeight="true" outlineLevel="0" collapsed="false">
      <c r="A64" s="54" t="n">
        <v>22</v>
      </c>
      <c r="B64" s="56" t="s">
        <v>22</v>
      </c>
      <c r="C64" s="56" t="s">
        <v>54</v>
      </c>
      <c r="D64" s="56" t="s">
        <v>403</v>
      </c>
      <c r="E64" s="56" t="s">
        <v>356</v>
      </c>
      <c r="F64" s="54" t="n">
        <v>2013</v>
      </c>
      <c r="G64" s="57" t="n">
        <v>5.2</v>
      </c>
      <c r="H64" s="56" t="s">
        <v>404</v>
      </c>
      <c r="I64" s="56"/>
    </row>
    <row r="65" customFormat="false" ht="15" hidden="false" customHeight="true" outlineLevel="0" collapsed="false">
      <c r="A65" s="62" t="n">
        <v>23</v>
      </c>
      <c r="B65" s="64" t="s">
        <v>21</v>
      </c>
      <c r="C65" s="64" t="s">
        <v>53</v>
      </c>
      <c r="D65" s="64" t="s">
        <v>405</v>
      </c>
      <c r="E65" s="64" t="s">
        <v>321</v>
      </c>
      <c r="F65" s="62" t="n">
        <v>2013</v>
      </c>
      <c r="G65" s="65" t="n">
        <v>4.5</v>
      </c>
      <c r="H65" s="64" t="s">
        <v>312</v>
      </c>
      <c r="I65" s="64"/>
    </row>
    <row r="66" customFormat="false" ht="15" hidden="false" customHeight="true" outlineLevel="0" collapsed="false">
      <c r="A66" s="54" t="n">
        <v>24</v>
      </c>
      <c r="B66" s="56" t="s">
        <v>39</v>
      </c>
      <c r="C66" s="56" t="s">
        <v>88</v>
      </c>
      <c r="D66" s="56" t="s">
        <v>406</v>
      </c>
      <c r="E66" s="56" t="s">
        <v>303</v>
      </c>
      <c r="F66" s="54" t="n">
        <v>2014</v>
      </c>
      <c r="G66" s="57" t="n">
        <v>3.45</v>
      </c>
      <c r="H66" s="56" t="s">
        <v>407</v>
      </c>
      <c r="I66" s="56"/>
    </row>
    <row r="67" customFormat="false" ht="15" hidden="false" customHeight="true" outlineLevel="0" collapsed="false">
      <c r="A67" s="62" t="n">
        <v>24</v>
      </c>
      <c r="B67" s="64" t="s">
        <v>39</v>
      </c>
      <c r="C67" s="64" t="s">
        <v>88</v>
      </c>
      <c r="D67" s="64" t="s">
        <v>408</v>
      </c>
      <c r="E67" s="64" t="s">
        <v>303</v>
      </c>
      <c r="F67" s="62" t="n">
        <v>2014</v>
      </c>
      <c r="G67" s="65" t="n">
        <v>3.45</v>
      </c>
      <c r="H67" s="64" t="s">
        <v>407</v>
      </c>
      <c r="I67" s="64"/>
    </row>
    <row r="68" customFormat="false" ht="15" hidden="false" customHeight="true" outlineLevel="0" collapsed="false">
      <c r="A68" s="54" t="n">
        <v>25</v>
      </c>
      <c r="B68" s="56" t="s">
        <v>21</v>
      </c>
      <c r="C68" s="56" t="s">
        <v>52</v>
      </c>
      <c r="D68" s="56" t="s">
        <v>409</v>
      </c>
      <c r="E68" s="56" t="s">
        <v>321</v>
      </c>
      <c r="F68" s="54" t="n">
        <v>2014</v>
      </c>
      <c r="G68" s="57" t="n">
        <v>4.7</v>
      </c>
      <c r="H68" s="56" t="s">
        <v>312</v>
      </c>
      <c r="I68" s="56"/>
    </row>
    <row r="69" customFormat="false" ht="15" hidden="false" customHeight="true" outlineLevel="0" collapsed="false">
      <c r="A69" s="62" t="n">
        <v>26</v>
      </c>
      <c r="B69" s="64" t="s">
        <v>31</v>
      </c>
      <c r="C69" s="64" t="s">
        <v>75</v>
      </c>
      <c r="D69" s="64" t="s">
        <v>410</v>
      </c>
      <c r="E69" s="64" t="s">
        <v>303</v>
      </c>
      <c r="F69" s="62" t="n">
        <v>2015</v>
      </c>
      <c r="G69" s="65" t="n">
        <v>2</v>
      </c>
      <c r="H69" s="64" t="s">
        <v>411</v>
      </c>
      <c r="I69" s="64"/>
    </row>
    <row r="70" customFormat="false" ht="15" hidden="false" customHeight="true" outlineLevel="0" collapsed="false">
      <c r="A70" s="54" t="n">
        <v>27</v>
      </c>
      <c r="B70" s="56" t="s">
        <v>23</v>
      </c>
      <c r="C70" s="56" t="s">
        <v>57</v>
      </c>
      <c r="D70" s="56" t="s">
        <v>412</v>
      </c>
      <c r="E70" s="56" t="s">
        <v>356</v>
      </c>
      <c r="F70" s="54" t="n">
        <v>2015</v>
      </c>
      <c r="G70" s="57" t="n">
        <v>3.9</v>
      </c>
      <c r="H70" s="56" t="s">
        <v>413</v>
      </c>
      <c r="I70" s="56"/>
    </row>
    <row r="71" customFormat="false" ht="15" hidden="false" customHeight="true" outlineLevel="0" collapsed="false">
      <c r="A71" s="62" t="n">
        <v>27</v>
      </c>
      <c r="B71" s="64" t="s">
        <v>23</v>
      </c>
      <c r="C71" s="64" t="s">
        <v>57</v>
      </c>
      <c r="D71" s="64" t="s">
        <v>414</v>
      </c>
      <c r="E71" s="64" t="s">
        <v>356</v>
      </c>
      <c r="F71" s="62" t="n">
        <v>2016</v>
      </c>
      <c r="G71" s="65" t="n">
        <v>3.9</v>
      </c>
      <c r="H71" s="64" t="s">
        <v>413</v>
      </c>
      <c r="I71" s="64"/>
    </row>
    <row r="72" customFormat="false" ht="15" hidden="false" customHeight="true" outlineLevel="0" collapsed="false">
      <c r="A72" s="54" t="n">
        <v>28</v>
      </c>
      <c r="B72" s="56" t="s">
        <v>23</v>
      </c>
      <c r="C72" s="56" t="s">
        <v>63</v>
      </c>
      <c r="D72" s="56" t="s">
        <v>415</v>
      </c>
      <c r="E72" s="56" t="s">
        <v>356</v>
      </c>
      <c r="F72" s="54" t="n">
        <v>2015</v>
      </c>
      <c r="G72" s="57" t="n">
        <v>4.25</v>
      </c>
      <c r="H72" s="56" t="s">
        <v>416</v>
      </c>
      <c r="I72" s="56"/>
    </row>
    <row r="73" customFormat="false" ht="15" hidden="false" customHeight="true" outlineLevel="0" collapsed="false">
      <c r="A73" s="62" t="n">
        <v>28</v>
      </c>
      <c r="B73" s="64" t="s">
        <v>23</v>
      </c>
      <c r="C73" s="64" t="s">
        <v>63</v>
      </c>
      <c r="D73" s="64" t="s">
        <v>417</v>
      </c>
      <c r="E73" s="64" t="s">
        <v>356</v>
      </c>
      <c r="F73" s="62" t="n">
        <v>2015</v>
      </c>
      <c r="G73" s="65" t="n">
        <v>4.25</v>
      </c>
      <c r="H73" s="64" t="s">
        <v>418</v>
      </c>
      <c r="I73" s="64"/>
    </row>
    <row r="74" customFormat="false" ht="15" hidden="false" customHeight="true" outlineLevel="0" collapsed="false">
      <c r="A74" s="54" t="n">
        <v>29</v>
      </c>
      <c r="B74" s="56" t="s">
        <v>23</v>
      </c>
      <c r="C74" s="56" t="s">
        <v>58</v>
      </c>
      <c r="D74" s="56" t="s">
        <v>419</v>
      </c>
      <c r="E74" s="56" t="s">
        <v>321</v>
      </c>
      <c r="F74" s="54" t="n">
        <v>2016</v>
      </c>
      <c r="G74" s="57" t="n">
        <v>5.2</v>
      </c>
      <c r="H74" s="56" t="s">
        <v>420</v>
      </c>
      <c r="I74" s="56"/>
    </row>
    <row r="75" customFormat="false" ht="15" hidden="false" customHeight="true" outlineLevel="0" collapsed="false">
      <c r="A75" s="62" t="n">
        <v>29</v>
      </c>
      <c r="B75" s="64" t="s">
        <v>23</v>
      </c>
      <c r="C75" s="64" t="s">
        <v>58</v>
      </c>
      <c r="D75" s="64" t="s">
        <v>421</v>
      </c>
      <c r="E75" s="64" t="s">
        <v>321</v>
      </c>
      <c r="F75" s="62" t="n">
        <v>2016</v>
      </c>
      <c r="G75" s="65" t="n">
        <v>5.2</v>
      </c>
      <c r="H75" s="64" t="s">
        <v>420</v>
      </c>
      <c r="I75" s="64"/>
    </row>
    <row r="76" customFormat="false" ht="15" hidden="false" customHeight="true" outlineLevel="0" collapsed="false">
      <c r="A76" s="54" t="n">
        <v>29</v>
      </c>
      <c r="B76" s="56" t="s">
        <v>23</v>
      </c>
      <c r="C76" s="56" t="s">
        <v>58</v>
      </c>
      <c r="D76" s="56" t="s">
        <v>422</v>
      </c>
      <c r="E76" s="56" t="s">
        <v>321</v>
      </c>
      <c r="F76" s="54" t="n">
        <v>2016</v>
      </c>
      <c r="G76" s="57" t="n">
        <v>5.2</v>
      </c>
      <c r="H76" s="56" t="s">
        <v>420</v>
      </c>
      <c r="I76" s="56"/>
    </row>
    <row r="77" customFormat="false" ht="15" hidden="false" customHeight="true" outlineLevel="0" collapsed="false">
      <c r="A77" s="62" t="n">
        <v>30</v>
      </c>
      <c r="B77" s="64" t="s">
        <v>23</v>
      </c>
      <c r="C77" s="64" t="s">
        <v>55</v>
      </c>
      <c r="D77" s="64" t="s">
        <v>423</v>
      </c>
      <c r="E77" s="64" t="s">
        <v>356</v>
      </c>
      <c r="F77" s="62" t="n">
        <v>2016</v>
      </c>
      <c r="G77" s="65" t="n">
        <v>4.5</v>
      </c>
      <c r="H77" s="64" t="s">
        <v>424</v>
      </c>
      <c r="I77" s="64"/>
    </row>
    <row r="78" customFormat="false" ht="15" hidden="false" customHeight="true" outlineLevel="0" collapsed="false">
      <c r="A78" s="54" t="n">
        <v>30</v>
      </c>
      <c r="B78" s="56" t="s">
        <v>23</v>
      </c>
      <c r="C78" s="56" t="s">
        <v>55</v>
      </c>
      <c r="D78" s="56" t="s">
        <v>425</v>
      </c>
      <c r="E78" s="56" t="s">
        <v>356</v>
      </c>
      <c r="F78" s="54" t="n">
        <v>2016</v>
      </c>
      <c r="G78" s="57" t="n">
        <v>4.5</v>
      </c>
      <c r="H78" s="56" t="s">
        <v>424</v>
      </c>
      <c r="I78" s="56"/>
    </row>
    <row r="79" customFormat="false" ht="15" hidden="false" customHeight="true" outlineLevel="0" collapsed="false">
      <c r="A79" s="62" t="n">
        <v>31</v>
      </c>
      <c r="B79" s="64" t="s">
        <v>45</v>
      </c>
      <c r="C79" s="64" t="s">
        <v>106</v>
      </c>
      <c r="D79" s="64" t="s">
        <v>426</v>
      </c>
      <c r="E79" s="64" t="s">
        <v>356</v>
      </c>
      <c r="F79" s="62" t="n">
        <v>2016</v>
      </c>
      <c r="G79" s="65" t="n">
        <v>10</v>
      </c>
      <c r="H79" s="64" t="s">
        <v>427</v>
      </c>
      <c r="I79" s="64"/>
    </row>
    <row r="80" customFormat="false" ht="15" hidden="false" customHeight="true" outlineLevel="0" collapsed="false">
      <c r="A80" s="54" t="n">
        <v>31</v>
      </c>
      <c r="B80" s="56" t="s">
        <v>45</v>
      </c>
      <c r="C80" s="56" t="s">
        <v>106</v>
      </c>
      <c r="D80" s="56" t="s">
        <v>428</v>
      </c>
      <c r="E80" s="56" t="s">
        <v>356</v>
      </c>
      <c r="F80" s="54" t="n">
        <v>2017</v>
      </c>
      <c r="G80" s="57" t="n">
        <v>10</v>
      </c>
      <c r="H80" s="56" t="s">
        <v>427</v>
      </c>
      <c r="I80" s="56"/>
    </row>
    <row r="81" customFormat="false" ht="15" hidden="false" customHeight="true" outlineLevel="0" collapsed="false">
      <c r="A81" s="62" t="n">
        <v>31</v>
      </c>
      <c r="B81" s="64" t="s">
        <v>45</v>
      </c>
      <c r="C81" s="64" t="s">
        <v>106</v>
      </c>
      <c r="D81" s="64" t="s">
        <v>429</v>
      </c>
      <c r="E81" s="64" t="s">
        <v>356</v>
      </c>
      <c r="F81" s="62" t="n">
        <v>2019</v>
      </c>
      <c r="G81" s="65" t="n">
        <v>5</v>
      </c>
      <c r="H81" s="64" t="s">
        <v>427</v>
      </c>
      <c r="I81" s="64"/>
    </row>
    <row r="82" customFormat="false" ht="15" hidden="false" customHeight="true" outlineLevel="0" collapsed="false">
      <c r="A82" s="54" t="n">
        <v>31</v>
      </c>
      <c r="B82" s="56" t="s">
        <v>45</v>
      </c>
      <c r="C82" s="56" t="s">
        <v>106</v>
      </c>
      <c r="D82" s="56" t="s">
        <v>430</v>
      </c>
      <c r="E82" s="56" t="s">
        <v>356</v>
      </c>
      <c r="F82" s="54" t="n">
        <v>2022</v>
      </c>
      <c r="G82" s="57" t="n">
        <v>5</v>
      </c>
      <c r="H82" s="56" t="s">
        <v>427</v>
      </c>
      <c r="I82" s="56"/>
    </row>
    <row r="83" customFormat="false" ht="15" hidden="false" customHeight="true" outlineLevel="0" collapsed="false">
      <c r="A83" s="62" t="n">
        <v>32</v>
      </c>
      <c r="B83" s="64" t="s">
        <v>32</v>
      </c>
      <c r="C83" s="64" t="s">
        <v>78</v>
      </c>
      <c r="D83" s="64" t="s">
        <v>431</v>
      </c>
      <c r="E83" s="64" t="s">
        <v>432</v>
      </c>
      <c r="F83" s="62" t="n">
        <v>2017</v>
      </c>
      <c r="G83" s="65" t="n">
        <v>1.2</v>
      </c>
      <c r="H83" s="64" t="s">
        <v>433</v>
      </c>
      <c r="I83" s="64"/>
    </row>
    <row r="84" customFormat="false" ht="15" hidden="false" customHeight="true" outlineLevel="0" collapsed="false">
      <c r="A84" s="54" t="n">
        <v>33</v>
      </c>
      <c r="B84" s="56" t="s">
        <v>23</v>
      </c>
      <c r="C84" s="56" t="s">
        <v>64</v>
      </c>
      <c r="D84" s="56" t="s">
        <v>434</v>
      </c>
      <c r="E84" s="56" t="s">
        <v>356</v>
      </c>
      <c r="F84" s="54" t="n">
        <v>2017</v>
      </c>
      <c r="G84" s="57" t="n">
        <v>4.45</v>
      </c>
      <c r="H84" s="56" t="s">
        <v>435</v>
      </c>
      <c r="I84" s="56"/>
    </row>
    <row r="85" customFormat="false" ht="15" hidden="false" customHeight="true" outlineLevel="0" collapsed="false">
      <c r="A85" s="62" t="n">
        <v>33</v>
      </c>
      <c r="B85" s="64" t="s">
        <v>23</v>
      </c>
      <c r="C85" s="64" t="s">
        <v>64</v>
      </c>
      <c r="D85" s="64" t="s">
        <v>436</v>
      </c>
      <c r="E85" s="64" t="s">
        <v>356</v>
      </c>
      <c r="F85" s="62" t="n">
        <v>2017</v>
      </c>
      <c r="G85" s="65" t="n">
        <v>4.45</v>
      </c>
      <c r="H85" s="64" t="s">
        <v>435</v>
      </c>
      <c r="I85" s="64"/>
    </row>
    <row r="86" customFormat="false" ht="15" hidden="false" customHeight="true" outlineLevel="0" collapsed="false">
      <c r="A86" s="54" t="n">
        <v>34</v>
      </c>
      <c r="B86" s="56" t="s">
        <v>42</v>
      </c>
      <c r="C86" s="56" t="s">
        <v>95</v>
      </c>
      <c r="D86" s="56" t="s">
        <v>437</v>
      </c>
      <c r="E86" s="56" t="s">
        <v>303</v>
      </c>
      <c r="F86" s="54" t="n">
        <v>2017</v>
      </c>
      <c r="G86" s="57" t="n">
        <v>5.5</v>
      </c>
      <c r="H86" s="56" t="s">
        <v>438</v>
      </c>
      <c r="I86" s="56"/>
    </row>
    <row r="87" customFormat="false" ht="15" hidden="false" customHeight="true" outlineLevel="0" collapsed="false">
      <c r="A87" s="62" t="n">
        <v>34</v>
      </c>
      <c r="B87" s="64" t="s">
        <v>42</v>
      </c>
      <c r="C87" s="64" t="s">
        <v>95</v>
      </c>
      <c r="D87" s="64" t="s">
        <v>439</v>
      </c>
      <c r="E87" s="64" t="s">
        <v>303</v>
      </c>
      <c r="F87" s="62" t="n">
        <v>2018</v>
      </c>
      <c r="G87" s="65" t="n">
        <v>5.5</v>
      </c>
      <c r="H87" s="64" t="s">
        <v>438</v>
      </c>
      <c r="I87" s="64"/>
    </row>
    <row r="88" customFormat="false" ht="15" hidden="false" customHeight="true" outlineLevel="0" collapsed="false">
      <c r="A88" s="54" t="n">
        <v>34</v>
      </c>
      <c r="B88" s="56" t="s">
        <v>42</v>
      </c>
      <c r="C88" s="56" t="s">
        <v>95</v>
      </c>
      <c r="D88" s="56" t="s">
        <v>440</v>
      </c>
      <c r="E88" s="56" t="s">
        <v>303</v>
      </c>
      <c r="F88" s="54" t="n">
        <v>2018</v>
      </c>
      <c r="G88" s="57" t="n">
        <v>5.5</v>
      </c>
      <c r="H88" s="56" t="s">
        <v>438</v>
      </c>
      <c r="I88" s="56"/>
    </row>
    <row r="89" customFormat="false" ht="15" hidden="false" customHeight="true" outlineLevel="0" collapsed="false">
      <c r="A89" s="62" t="n">
        <v>34</v>
      </c>
      <c r="B89" s="64" t="s">
        <v>42</v>
      </c>
      <c r="C89" s="64" t="s">
        <v>95</v>
      </c>
      <c r="D89" s="64" t="s">
        <v>441</v>
      </c>
      <c r="E89" s="64" t="s">
        <v>442</v>
      </c>
      <c r="F89" s="62" t="n">
        <v>2021</v>
      </c>
      <c r="G89" s="65" t="n">
        <v>0.9</v>
      </c>
      <c r="H89" s="64" t="s">
        <v>438</v>
      </c>
      <c r="I89" s="64"/>
    </row>
    <row r="90" customFormat="false" ht="15" hidden="false" customHeight="true" outlineLevel="0" collapsed="false">
      <c r="A90" s="54" t="n">
        <v>35</v>
      </c>
      <c r="B90" s="56" t="s">
        <v>23</v>
      </c>
      <c r="C90" s="56" t="s">
        <v>59</v>
      </c>
      <c r="D90" s="56" t="s">
        <v>443</v>
      </c>
      <c r="E90" s="56" t="s">
        <v>321</v>
      </c>
      <c r="F90" s="54" t="n">
        <v>2018</v>
      </c>
      <c r="G90" s="57" t="n">
        <v>4.45</v>
      </c>
      <c r="H90" s="56" t="s">
        <v>444</v>
      </c>
      <c r="I90" s="56"/>
    </row>
    <row r="91" customFormat="false" ht="15" hidden="false" customHeight="true" outlineLevel="0" collapsed="false">
      <c r="A91" s="62" t="n">
        <v>35</v>
      </c>
      <c r="B91" s="64" t="s">
        <v>23</v>
      </c>
      <c r="C91" s="64" t="s">
        <v>59</v>
      </c>
      <c r="D91" s="64" t="s">
        <v>445</v>
      </c>
      <c r="E91" s="64" t="s">
        <v>321</v>
      </c>
      <c r="F91" s="62" t="n">
        <v>2018</v>
      </c>
      <c r="G91" s="65" t="n">
        <v>4.45</v>
      </c>
      <c r="H91" s="64" t="s">
        <v>444</v>
      </c>
      <c r="I91" s="64"/>
    </row>
    <row r="92" customFormat="false" ht="15" hidden="false" customHeight="true" outlineLevel="0" collapsed="false">
      <c r="A92" s="54" t="n">
        <v>36</v>
      </c>
      <c r="B92" s="56" t="s">
        <v>45</v>
      </c>
      <c r="C92" s="56" t="s">
        <v>101</v>
      </c>
      <c r="D92" s="56" t="s">
        <v>446</v>
      </c>
      <c r="E92" s="56" t="s">
        <v>303</v>
      </c>
      <c r="F92" s="54" t="n">
        <v>2018</v>
      </c>
      <c r="G92" s="57" t="n">
        <v>5.25</v>
      </c>
      <c r="H92" s="56" t="s">
        <v>447</v>
      </c>
      <c r="I92" s="56"/>
    </row>
    <row r="93" customFormat="false" ht="15" hidden="false" customHeight="true" outlineLevel="0" collapsed="false">
      <c r="A93" s="62" t="n">
        <v>37</v>
      </c>
      <c r="B93" s="64" t="s">
        <v>25</v>
      </c>
      <c r="C93" s="64" t="s">
        <v>66</v>
      </c>
      <c r="D93" s="64" t="s">
        <v>66</v>
      </c>
      <c r="E93" s="64" t="s">
        <v>448</v>
      </c>
      <c r="F93" s="62" t="n">
        <v>2018</v>
      </c>
      <c r="G93" s="65" t="n">
        <v>2.4</v>
      </c>
      <c r="H93" s="64" t="s">
        <v>449</v>
      </c>
      <c r="I93" s="64"/>
    </row>
    <row r="94" customFormat="false" ht="15" hidden="false" customHeight="true" outlineLevel="0" collapsed="false">
      <c r="A94" s="54" t="n">
        <v>38</v>
      </c>
      <c r="B94" s="56" t="s">
        <v>23</v>
      </c>
      <c r="C94" s="56" t="s">
        <v>62</v>
      </c>
      <c r="D94" s="56" t="s">
        <v>62</v>
      </c>
      <c r="E94" s="56" t="s">
        <v>395</v>
      </c>
      <c r="F94" s="54" t="n">
        <v>2019</v>
      </c>
      <c r="G94" s="57" t="n">
        <v>3.6</v>
      </c>
      <c r="H94" s="56" t="s">
        <v>450</v>
      </c>
      <c r="I94" s="56"/>
    </row>
    <row r="95" customFormat="false" ht="15" hidden="false" customHeight="true" outlineLevel="0" collapsed="false">
      <c r="A95" s="62" t="n">
        <v>39</v>
      </c>
      <c r="B95" s="64" t="s">
        <v>45</v>
      </c>
      <c r="C95" s="64" t="s">
        <v>99</v>
      </c>
      <c r="D95" s="64" t="s">
        <v>451</v>
      </c>
      <c r="E95" s="64" t="s">
        <v>321</v>
      </c>
      <c r="F95" s="62" t="n">
        <v>2019</v>
      </c>
      <c r="G95" s="65" t="n">
        <v>4.5</v>
      </c>
      <c r="H95" s="64" t="s">
        <v>452</v>
      </c>
      <c r="I95" s="64"/>
    </row>
    <row r="96" customFormat="false" ht="15" hidden="false" customHeight="true" outlineLevel="0" collapsed="false">
      <c r="A96" s="54" t="n">
        <v>39</v>
      </c>
      <c r="B96" s="56" t="s">
        <v>45</v>
      </c>
      <c r="C96" s="56" t="s">
        <v>99</v>
      </c>
      <c r="D96" s="56" t="s">
        <v>453</v>
      </c>
      <c r="E96" s="56" t="s">
        <v>321</v>
      </c>
      <c r="F96" s="54" t="n">
        <v>2020</v>
      </c>
      <c r="G96" s="57" t="n">
        <v>4.5</v>
      </c>
      <c r="H96" s="56" t="s">
        <v>452</v>
      </c>
      <c r="I96" s="56"/>
    </row>
    <row r="97" customFormat="false" ht="15" hidden="false" customHeight="true" outlineLevel="0" collapsed="false">
      <c r="A97" s="62" t="n">
        <v>39</v>
      </c>
      <c r="B97" s="64" t="s">
        <v>45</v>
      </c>
      <c r="C97" s="64" t="s">
        <v>99</v>
      </c>
      <c r="D97" s="64" t="s">
        <v>454</v>
      </c>
      <c r="E97" s="64" t="s">
        <v>321</v>
      </c>
      <c r="F97" s="62" t="n">
        <v>2020</v>
      </c>
      <c r="G97" s="65" t="n">
        <v>4.5</v>
      </c>
      <c r="H97" s="64" t="s">
        <v>452</v>
      </c>
      <c r="I97" s="64"/>
    </row>
    <row r="98" customFormat="false" ht="15" hidden="false" customHeight="true" outlineLevel="0" collapsed="false">
      <c r="A98" s="54" t="n">
        <v>40</v>
      </c>
      <c r="B98" s="56" t="s">
        <v>45</v>
      </c>
      <c r="C98" s="56" t="s">
        <v>102</v>
      </c>
      <c r="D98" s="56" t="s">
        <v>455</v>
      </c>
      <c r="E98" s="56" t="s">
        <v>456</v>
      </c>
      <c r="F98" s="54" t="n">
        <v>2019</v>
      </c>
      <c r="G98" s="57" t="n">
        <v>0.25</v>
      </c>
      <c r="H98" s="56" t="s">
        <v>457</v>
      </c>
      <c r="I98" s="56"/>
    </row>
    <row r="99" customFormat="false" ht="15" hidden="false" customHeight="true" outlineLevel="0" collapsed="false">
      <c r="A99" s="62" t="n">
        <v>40</v>
      </c>
      <c r="B99" s="64" t="s">
        <v>45</v>
      </c>
      <c r="C99" s="64" t="s">
        <v>102</v>
      </c>
      <c r="D99" s="64" t="s">
        <v>458</v>
      </c>
      <c r="E99" s="64" t="s">
        <v>456</v>
      </c>
      <c r="F99" s="62" t="n">
        <v>2019</v>
      </c>
      <c r="G99" s="65" t="n">
        <v>0.25</v>
      </c>
      <c r="H99" s="64" t="s">
        <v>457</v>
      </c>
      <c r="I99" s="64"/>
    </row>
    <row r="100" customFormat="false" ht="15" hidden="false" customHeight="true" outlineLevel="0" collapsed="false">
      <c r="A100" s="54" t="n">
        <v>40</v>
      </c>
      <c r="B100" s="56" t="s">
        <v>45</v>
      </c>
      <c r="C100" s="56" t="s">
        <v>102</v>
      </c>
      <c r="D100" s="56" t="s">
        <v>459</v>
      </c>
      <c r="E100" s="56" t="s">
        <v>456</v>
      </c>
      <c r="F100" s="54" t="n">
        <v>2019</v>
      </c>
      <c r="G100" s="57" t="n">
        <v>0.25</v>
      </c>
      <c r="H100" s="56" t="s">
        <v>457</v>
      </c>
      <c r="I100" s="56"/>
    </row>
    <row r="101" customFormat="false" ht="15" hidden="false" customHeight="true" outlineLevel="0" collapsed="false">
      <c r="A101" s="62" t="n">
        <v>40</v>
      </c>
      <c r="B101" s="64" t="s">
        <v>45</v>
      </c>
      <c r="C101" s="64" t="s">
        <v>102</v>
      </c>
      <c r="D101" s="64" t="s">
        <v>460</v>
      </c>
      <c r="E101" s="64" t="s">
        <v>456</v>
      </c>
      <c r="F101" s="62" t="n">
        <v>2019</v>
      </c>
      <c r="G101" s="65" t="n">
        <v>0.25</v>
      </c>
      <c r="H101" s="64" t="s">
        <v>457</v>
      </c>
      <c r="I101" s="64"/>
    </row>
    <row r="102" customFormat="false" ht="15" hidden="false" customHeight="true" outlineLevel="0" collapsed="false">
      <c r="A102" s="54" t="n">
        <v>40</v>
      </c>
      <c r="B102" s="56" t="s">
        <v>45</v>
      </c>
      <c r="C102" s="56" t="s">
        <v>102</v>
      </c>
      <c r="D102" s="56" t="s">
        <v>461</v>
      </c>
      <c r="E102" s="56" t="s">
        <v>456</v>
      </c>
      <c r="F102" s="54" t="n">
        <v>2020</v>
      </c>
      <c r="G102" s="57" t="n">
        <v>0.25</v>
      </c>
      <c r="H102" s="56" t="s">
        <v>457</v>
      </c>
      <c r="I102" s="56"/>
    </row>
    <row r="103" customFormat="false" ht="15" hidden="false" customHeight="true" outlineLevel="0" collapsed="false">
      <c r="A103" s="62" t="n">
        <v>40</v>
      </c>
      <c r="B103" s="64" t="s">
        <v>45</v>
      </c>
      <c r="C103" s="64" t="s">
        <v>102</v>
      </c>
      <c r="D103" s="64" t="s">
        <v>462</v>
      </c>
      <c r="E103" s="64" t="s">
        <v>456</v>
      </c>
      <c r="F103" s="62" t="n">
        <v>2020</v>
      </c>
      <c r="G103" s="65" t="n">
        <v>0.25</v>
      </c>
      <c r="H103" s="64" t="s">
        <v>457</v>
      </c>
      <c r="I103" s="64"/>
    </row>
    <row r="104" customFormat="false" ht="15" hidden="false" customHeight="true" outlineLevel="0" collapsed="false">
      <c r="A104" s="54" t="n">
        <v>40</v>
      </c>
      <c r="B104" s="56" t="s">
        <v>45</v>
      </c>
      <c r="C104" s="56" t="s">
        <v>102</v>
      </c>
      <c r="D104" s="56" t="s">
        <v>463</v>
      </c>
      <c r="E104" s="56" t="s">
        <v>456</v>
      </c>
      <c r="F104" s="54" t="n">
        <v>2020</v>
      </c>
      <c r="G104" s="57" t="n">
        <v>0.25</v>
      </c>
      <c r="H104" s="56" t="s">
        <v>457</v>
      </c>
      <c r="I104" s="56"/>
    </row>
    <row r="105" customFormat="false" ht="15" hidden="false" customHeight="true" outlineLevel="0" collapsed="false">
      <c r="A105" s="62" t="n">
        <v>40</v>
      </c>
      <c r="B105" s="64" t="s">
        <v>45</v>
      </c>
      <c r="C105" s="64" t="s">
        <v>102</v>
      </c>
      <c r="D105" s="64" t="s">
        <v>464</v>
      </c>
      <c r="E105" s="64" t="s">
        <v>456</v>
      </c>
      <c r="F105" s="62" t="n">
        <v>2020</v>
      </c>
      <c r="G105" s="65" t="n">
        <v>0.25</v>
      </c>
      <c r="H105" s="64" t="s">
        <v>457</v>
      </c>
      <c r="I105" s="64"/>
    </row>
    <row r="106" customFormat="false" ht="15" hidden="false" customHeight="true" outlineLevel="0" collapsed="false">
      <c r="A106" s="54" t="n">
        <v>40</v>
      </c>
      <c r="B106" s="56" t="s">
        <v>45</v>
      </c>
      <c r="C106" s="56" t="s">
        <v>102</v>
      </c>
      <c r="D106" s="56" t="s">
        <v>465</v>
      </c>
      <c r="E106" s="56" t="s">
        <v>456</v>
      </c>
      <c r="F106" s="54" t="n">
        <v>2020</v>
      </c>
      <c r="G106" s="57" t="n">
        <v>0.25</v>
      </c>
      <c r="H106" s="56" t="s">
        <v>457</v>
      </c>
      <c r="I106" s="56"/>
    </row>
    <row r="107" customFormat="false" ht="15" hidden="false" customHeight="true" outlineLevel="0" collapsed="false">
      <c r="A107" s="62" t="n">
        <v>40</v>
      </c>
      <c r="B107" s="64" t="s">
        <v>45</v>
      </c>
      <c r="C107" s="64" t="s">
        <v>102</v>
      </c>
      <c r="D107" s="64" t="s">
        <v>466</v>
      </c>
      <c r="E107" s="64" t="s">
        <v>456</v>
      </c>
      <c r="F107" s="62" t="n">
        <v>2020</v>
      </c>
      <c r="G107" s="65" t="n">
        <v>0.25</v>
      </c>
      <c r="H107" s="64" t="s">
        <v>457</v>
      </c>
      <c r="I107" s="64"/>
    </row>
    <row r="108" customFormat="false" ht="15" hidden="false" customHeight="true" outlineLevel="0" collapsed="false">
      <c r="A108" s="54" t="n">
        <v>41</v>
      </c>
      <c r="B108" s="56" t="s">
        <v>42</v>
      </c>
      <c r="C108" s="56" t="s">
        <v>94</v>
      </c>
      <c r="D108" s="56" t="s">
        <v>467</v>
      </c>
      <c r="E108" s="56" t="s">
        <v>468</v>
      </c>
      <c r="F108" s="54" t="n">
        <v>2019</v>
      </c>
      <c r="G108" s="57" t="n">
        <v>0.66</v>
      </c>
      <c r="H108" s="56" t="s">
        <v>469</v>
      </c>
      <c r="I108" s="56"/>
    </row>
    <row r="109" customFormat="false" ht="15" hidden="false" customHeight="true" outlineLevel="0" collapsed="false">
      <c r="A109" s="62" t="n">
        <v>42</v>
      </c>
      <c r="B109" s="64" t="s">
        <v>45</v>
      </c>
      <c r="C109" s="64" t="s">
        <v>100</v>
      </c>
      <c r="D109" s="64" t="s">
        <v>470</v>
      </c>
      <c r="E109" s="64" t="s">
        <v>356</v>
      </c>
      <c r="F109" s="62" t="n">
        <v>2019</v>
      </c>
      <c r="G109" s="65" t="n">
        <v>5</v>
      </c>
      <c r="H109" s="64" t="s">
        <v>427</v>
      </c>
      <c r="I109" s="64"/>
    </row>
    <row r="110" customFormat="false" ht="15" hidden="false" customHeight="true" outlineLevel="0" collapsed="false">
      <c r="A110" s="54" t="n">
        <v>42</v>
      </c>
      <c r="B110" s="56" t="s">
        <v>45</v>
      </c>
      <c r="C110" s="56" t="s">
        <v>100</v>
      </c>
      <c r="D110" s="56" t="s">
        <v>471</v>
      </c>
      <c r="E110" s="56" t="s">
        <v>356</v>
      </c>
      <c r="F110" s="54" t="n">
        <v>2019</v>
      </c>
      <c r="G110" s="57" t="n">
        <v>5</v>
      </c>
      <c r="H110" s="56" t="s">
        <v>427</v>
      </c>
      <c r="I110" s="56"/>
    </row>
    <row r="111" customFormat="false" ht="15" hidden="false" customHeight="true" outlineLevel="0" collapsed="false">
      <c r="A111" s="62" t="n">
        <v>42</v>
      </c>
      <c r="B111" s="64" t="s">
        <v>45</v>
      </c>
      <c r="C111" s="64" t="s">
        <v>100</v>
      </c>
      <c r="D111" s="64" t="s">
        <v>472</v>
      </c>
      <c r="E111" s="64" t="s">
        <v>356</v>
      </c>
      <c r="F111" s="62" t="n">
        <v>2021</v>
      </c>
      <c r="G111" s="65" t="n">
        <v>5</v>
      </c>
      <c r="H111" s="64" t="s">
        <v>427</v>
      </c>
      <c r="I111" s="64"/>
    </row>
    <row r="112" customFormat="false" ht="15" hidden="false" customHeight="true" outlineLevel="0" collapsed="false">
      <c r="A112" s="54" t="n">
        <v>42</v>
      </c>
      <c r="B112" s="56" t="s">
        <v>45</v>
      </c>
      <c r="C112" s="56" t="s">
        <v>100</v>
      </c>
      <c r="D112" s="56" t="s">
        <v>473</v>
      </c>
      <c r="E112" s="56" t="s">
        <v>474</v>
      </c>
      <c r="F112" s="54" t="n">
        <v>2025</v>
      </c>
      <c r="G112" s="57" t="n">
        <v>1.49</v>
      </c>
      <c r="H112" s="56" t="s">
        <v>427</v>
      </c>
      <c r="I112" s="56"/>
    </row>
    <row r="113" customFormat="false" ht="15" hidden="false" customHeight="true" outlineLevel="0" collapsed="false">
      <c r="A113" s="62" t="n">
        <v>42</v>
      </c>
      <c r="B113" s="64" t="s">
        <v>45</v>
      </c>
      <c r="C113" s="64" t="s">
        <v>100</v>
      </c>
      <c r="D113" s="64" t="s">
        <v>475</v>
      </c>
      <c r="E113" s="64" t="s">
        <v>474</v>
      </c>
      <c r="F113" s="62" t="n">
        <v>2025</v>
      </c>
      <c r="G113" s="65" t="n">
        <v>1.49</v>
      </c>
      <c r="H113" s="64" t="s">
        <v>427</v>
      </c>
      <c r="I113" s="64"/>
    </row>
    <row r="114" customFormat="false" ht="15" hidden="false" customHeight="true" outlineLevel="0" collapsed="false">
      <c r="A114" s="54" t="n">
        <v>42</v>
      </c>
      <c r="B114" s="56" t="s">
        <v>45</v>
      </c>
      <c r="C114" s="56" t="s">
        <v>100</v>
      </c>
      <c r="D114" s="56" t="s">
        <v>476</v>
      </c>
      <c r="E114" s="56" t="s">
        <v>474</v>
      </c>
      <c r="F114" s="54" t="n">
        <v>2025</v>
      </c>
      <c r="G114" s="57" t="n">
        <v>1.49</v>
      </c>
      <c r="H114" s="56" t="s">
        <v>427</v>
      </c>
      <c r="I114" s="56"/>
    </row>
    <row r="115" customFormat="false" ht="15" hidden="false" customHeight="true" outlineLevel="0" collapsed="false">
      <c r="A115" s="62" t="n">
        <v>42</v>
      </c>
      <c r="B115" s="64" t="s">
        <v>45</v>
      </c>
      <c r="C115" s="64" t="s">
        <v>100</v>
      </c>
      <c r="D115" s="64" t="s">
        <v>477</v>
      </c>
      <c r="E115" s="64" t="s">
        <v>474</v>
      </c>
      <c r="F115" s="62" t="n">
        <v>2025</v>
      </c>
      <c r="G115" s="65" t="n">
        <v>1.49</v>
      </c>
      <c r="H115" s="64" t="s">
        <v>427</v>
      </c>
      <c r="I115" s="64"/>
    </row>
    <row r="116" customFormat="false" ht="15" hidden="false" customHeight="true" outlineLevel="0" collapsed="false">
      <c r="A116" s="54" t="n">
        <v>43</v>
      </c>
      <c r="B116" s="56" t="s">
        <v>45</v>
      </c>
      <c r="C116" s="56" t="s">
        <v>103</v>
      </c>
      <c r="D116" s="56" t="s">
        <v>478</v>
      </c>
      <c r="E116" s="56" t="s">
        <v>303</v>
      </c>
      <c r="F116" s="54" t="n">
        <v>2019</v>
      </c>
      <c r="G116" s="57" t="n">
        <v>5.1</v>
      </c>
      <c r="H116" s="56" t="s">
        <v>479</v>
      </c>
      <c r="I116" s="56"/>
    </row>
    <row r="117" customFormat="false" ht="15" hidden="false" customHeight="true" outlineLevel="0" collapsed="false">
      <c r="A117" s="62" t="n">
        <v>43</v>
      </c>
      <c r="B117" s="64" t="s">
        <v>45</v>
      </c>
      <c r="C117" s="64" t="s">
        <v>103</v>
      </c>
      <c r="D117" s="64" t="s">
        <v>480</v>
      </c>
      <c r="E117" s="64" t="s">
        <v>303</v>
      </c>
      <c r="F117" s="62" t="n">
        <v>2020</v>
      </c>
      <c r="G117" s="65" t="n">
        <v>5.1</v>
      </c>
      <c r="H117" s="64" t="s">
        <v>481</v>
      </c>
      <c r="I117" s="64"/>
    </row>
    <row r="118" customFormat="false" ht="15" hidden="false" customHeight="true" outlineLevel="0" collapsed="false">
      <c r="A118" s="54" t="n">
        <v>43</v>
      </c>
      <c r="B118" s="56" t="s">
        <v>45</v>
      </c>
      <c r="C118" s="56" t="s">
        <v>103</v>
      </c>
      <c r="D118" s="56" t="s">
        <v>482</v>
      </c>
      <c r="E118" s="56" t="s">
        <v>303</v>
      </c>
      <c r="F118" s="54" t="n">
        <v>2020</v>
      </c>
      <c r="G118" s="57" t="n">
        <v>5.1</v>
      </c>
      <c r="H118" s="56" t="s">
        <v>481</v>
      </c>
      <c r="I118" s="56"/>
    </row>
    <row r="119" customFormat="false" ht="15" hidden="false" customHeight="true" outlineLevel="0" collapsed="false">
      <c r="A119" s="62" t="n">
        <v>44</v>
      </c>
      <c r="B119" s="64" t="s">
        <v>32</v>
      </c>
      <c r="C119" s="64" t="s">
        <v>79</v>
      </c>
      <c r="D119" s="64" t="s">
        <v>483</v>
      </c>
      <c r="E119" s="64" t="s">
        <v>432</v>
      </c>
      <c r="F119" s="62" t="n">
        <v>2021</v>
      </c>
      <c r="G119" s="65" t="n">
        <v>1.5</v>
      </c>
      <c r="H119" s="64" t="s">
        <v>433</v>
      </c>
      <c r="I119" s="64"/>
    </row>
    <row r="120" customFormat="false" ht="15" hidden="false" customHeight="true" outlineLevel="0" collapsed="false">
      <c r="A120" s="54" t="n">
        <v>45</v>
      </c>
      <c r="B120" s="56" t="s">
        <v>35</v>
      </c>
      <c r="C120" s="56" t="s">
        <v>83</v>
      </c>
      <c r="D120" s="56" t="s">
        <v>83</v>
      </c>
      <c r="E120" s="56" t="s">
        <v>484</v>
      </c>
      <c r="F120" s="54" t="n">
        <v>2022</v>
      </c>
      <c r="G120" s="57" t="n">
        <v>3.4</v>
      </c>
      <c r="H120" s="56" t="s">
        <v>485</v>
      </c>
      <c r="I120" s="56"/>
    </row>
    <row r="121" customFormat="false" ht="15" hidden="false" customHeight="true" outlineLevel="0" collapsed="false">
      <c r="A121" s="62" t="n">
        <v>46</v>
      </c>
      <c r="B121" s="64" t="s">
        <v>45</v>
      </c>
      <c r="C121" s="64" t="s">
        <v>98</v>
      </c>
      <c r="D121" s="64" t="s">
        <v>486</v>
      </c>
      <c r="E121" s="64" t="s">
        <v>487</v>
      </c>
      <c r="F121" s="62" t="n">
        <v>2022</v>
      </c>
      <c r="G121" s="65" t="n">
        <v>0.554</v>
      </c>
      <c r="H121" s="64" t="s">
        <v>488</v>
      </c>
      <c r="I121" s="64"/>
    </row>
    <row r="122" customFormat="false" ht="15" hidden="false" customHeight="true" outlineLevel="0" collapsed="false">
      <c r="A122" s="54" t="n">
        <v>46</v>
      </c>
      <c r="B122" s="56" t="s">
        <v>45</v>
      </c>
      <c r="C122" s="56" t="s">
        <v>98</v>
      </c>
      <c r="D122" s="56" t="s">
        <v>489</v>
      </c>
      <c r="E122" s="56" t="s">
        <v>487</v>
      </c>
      <c r="F122" s="54" t="n">
        <v>2022</v>
      </c>
      <c r="G122" s="57" t="n">
        <v>0.554</v>
      </c>
      <c r="H122" s="56" t="s">
        <v>488</v>
      </c>
      <c r="I122" s="56"/>
    </row>
    <row r="123" customFormat="false" ht="15" hidden="false" customHeight="true" outlineLevel="0" collapsed="false">
      <c r="A123" s="62" t="n">
        <v>46</v>
      </c>
      <c r="B123" s="64" t="s">
        <v>45</v>
      </c>
      <c r="C123" s="64" t="s">
        <v>98</v>
      </c>
      <c r="D123" s="64" t="s">
        <v>490</v>
      </c>
      <c r="E123" s="64" t="s">
        <v>487</v>
      </c>
      <c r="F123" s="62" t="n">
        <v>2022</v>
      </c>
      <c r="G123" s="65" t="n">
        <v>0.554</v>
      </c>
      <c r="H123" s="64" t="s">
        <v>488</v>
      </c>
      <c r="I123" s="64"/>
    </row>
    <row r="124" customFormat="false" ht="15" hidden="false" customHeight="true" outlineLevel="0" collapsed="false">
      <c r="A124" s="54" t="n">
        <v>46</v>
      </c>
      <c r="B124" s="56" t="s">
        <v>45</v>
      </c>
      <c r="C124" s="56" t="s">
        <v>98</v>
      </c>
      <c r="D124" s="56" t="s">
        <v>491</v>
      </c>
      <c r="E124" s="56" t="s">
        <v>487</v>
      </c>
      <c r="F124" s="54" t="n">
        <v>2022</v>
      </c>
      <c r="G124" s="57" t="n">
        <v>0.554</v>
      </c>
      <c r="H124" s="56" t="s">
        <v>488</v>
      </c>
      <c r="I124" s="56"/>
    </row>
    <row r="125" customFormat="false" ht="15" hidden="false" customHeight="true" outlineLevel="0" collapsed="false">
      <c r="A125" s="62" t="n">
        <v>46</v>
      </c>
      <c r="B125" s="64" t="s">
        <v>45</v>
      </c>
      <c r="C125" s="64" t="s">
        <v>98</v>
      </c>
      <c r="D125" s="64" t="s">
        <v>492</v>
      </c>
      <c r="E125" s="64" t="s">
        <v>487</v>
      </c>
      <c r="F125" s="62" t="n">
        <v>2022</v>
      </c>
      <c r="G125" s="65" t="n">
        <v>0.554</v>
      </c>
      <c r="H125" s="64" t="s">
        <v>488</v>
      </c>
      <c r="I125" s="64"/>
    </row>
    <row r="126" customFormat="false" ht="15" hidden="false" customHeight="true" outlineLevel="0" collapsed="false">
      <c r="A126" s="54" t="n">
        <v>46</v>
      </c>
      <c r="B126" s="56" t="s">
        <v>45</v>
      </c>
      <c r="C126" s="56" t="s">
        <v>98</v>
      </c>
      <c r="D126" s="56" t="s">
        <v>493</v>
      </c>
      <c r="E126" s="56" t="s">
        <v>487</v>
      </c>
      <c r="F126" s="54" t="n">
        <v>2022</v>
      </c>
      <c r="G126" s="57" t="n">
        <v>0.554</v>
      </c>
      <c r="H126" s="56" t="s">
        <v>488</v>
      </c>
      <c r="I126" s="56"/>
    </row>
    <row r="127" customFormat="false" ht="15" hidden="false" customHeight="true" outlineLevel="0" collapsed="false">
      <c r="A127" s="62" t="n">
        <v>46</v>
      </c>
      <c r="B127" s="64" t="s">
        <v>45</v>
      </c>
      <c r="C127" s="64" t="s">
        <v>98</v>
      </c>
      <c r="D127" s="64" t="s">
        <v>494</v>
      </c>
      <c r="E127" s="64" t="s">
        <v>487</v>
      </c>
      <c r="F127" s="62" t="n">
        <v>2022</v>
      </c>
      <c r="G127" s="65" t="n">
        <v>0.554</v>
      </c>
      <c r="H127" s="64" t="s">
        <v>488</v>
      </c>
      <c r="I127" s="64"/>
    </row>
    <row r="128" customFormat="false" ht="15" hidden="false" customHeight="true" outlineLevel="0" collapsed="false">
      <c r="A128" s="54" t="n">
        <v>46</v>
      </c>
      <c r="B128" s="56" t="s">
        <v>45</v>
      </c>
      <c r="C128" s="56" t="s">
        <v>98</v>
      </c>
      <c r="D128" s="56" t="s">
        <v>495</v>
      </c>
      <c r="E128" s="56" t="s">
        <v>487</v>
      </c>
      <c r="F128" s="54" t="n">
        <v>2022</v>
      </c>
      <c r="G128" s="57" t="n">
        <v>0.554</v>
      </c>
      <c r="H128" s="56" t="s">
        <v>488</v>
      </c>
      <c r="I128" s="56"/>
    </row>
    <row r="129" customFormat="false" ht="15" hidden="false" customHeight="true" outlineLevel="0" collapsed="false">
      <c r="A129" s="62" t="n">
        <v>46</v>
      </c>
      <c r="B129" s="64" t="s">
        <v>45</v>
      </c>
      <c r="C129" s="64" t="s">
        <v>98</v>
      </c>
      <c r="D129" s="64" t="s">
        <v>496</v>
      </c>
      <c r="E129" s="64" t="s">
        <v>487</v>
      </c>
      <c r="F129" s="62" t="n">
        <v>2022</v>
      </c>
      <c r="G129" s="65" t="n">
        <v>0.554</v>
      </c>
      <c r="H129" s="64" t="s">
        <v>488</v>
      </c>
      <c r="I129" s="64"/>
    </row>
    <row r="130" customFormat="false" ht="15" hidden="false" customHeight="true" outlineLevel="0" collapsed="false">
      <c r="A130" s="54" t="n">
        <v>46</v>
      </c>
      <c r="B130" s="56" t="s">
        <v>45</v>
      </c>
      <c r="C130" s="56" t="s">
        <v>98</v>
      </c>
      <c r="D130" s="56" t="s">
        <v>497</v>
      </c>
      <c r="E130" s="56" t="s">
        <v>487</v>
      </c>
      <c r="F130" s="54" t="n">
        <v>2022</v>
      </c>
      <c r="G130" s="57" t="n">
        <v>0.554</v>
      </c>
      <c r="H130" s="56" t="s">
        <v>488</v>
      </c>
      <c r="I130" s="56"/>
    </row>
    <row r="131" customFormat="false" ht="15" hidden="false" customHeight="true" outlineLevel="0" collapsed="false">
      <c r="A131" s="62" t="n">
        <v>46</v>
      </c>
      <c r="B131" s="64" t="s">
        <v>45</v>
      </c>
      <c r="C131" s="64" t="s">
        <v>98</v>
      </c>
      <c r="D131" s="64" t="s">
        <v>498</v>
      </c>
      <c r="E131" s="64" t="s">
        <v>487</v>
      </c>
      <c r="F131" s="62" t="n">
        <v>2022</v>
      </c>
      <c r="G131" s="65" t="n">
        <v>0.554</v>
      </c>
      <c r="H131" s="64" t="s">
        <v>488</v>
      </c>
      <c r="I131" s="64"/>
    </row>
    <row r="132" customFormat="false" ht="15" hidden="false" customHeight="true" outlineLevel="0" collapsed="false">
      <c r="A132" s="54" t="n">
        <v>46</v>
      </c>
      <c r="B132" s="56" t="s">
        <v>45</v>
      </c>
      <c r="C132" s="56" t="s">
        <v>98</v>
      </c>
      <c r="D132" s="56" t="s">
        <v>499</v>
      </c>
      <c r="E132" s="56" t="s">
        <v>487</v>
      </c>
      <c r="F132" s="54" t="n">
        <v>2022</v>
      </c>
      <c r="G132" s="57" t="n">
        <v>0.554</v>
      </c>
      <c r="H132" s="56" t="s">
        <v>488</v>
      </c>
      <c r="I132" s="56"/>
    </row>
    <row r="133" customFormat="false" ht="15" hidden="false" customHeight="true" outlineLevel="0" collapsed="false">
      <c r="A133" s="62" t="n">
        <v>46</v>
      </c>
      <c r="B133" s="64" t="s">
        <v>45</v>
      </c>
      <c r="C133" s="64" t="s">
        <v>98</v>
      </c>
      <c r="D133" s="64" t="s">
        <v>500</v>
      </c>
      <c r="E133" s="64" t="s">
        <v>487</v>
      </c>
      <c r="F133" s="62" t="n">
        <v>2022</v>
      </c>
      <c r="G133" s="65" t="n">
        <v>0.554</v>
      </c>
      <c r="H133" s="64" t="s">
        <v>488</v>
      </c>
      <c r="I133" s="64"/>
    </row>
    <row r="134" customFormat="false" ht="15" hidden="false" customHeight="true" outlineLevel="0" collapsed="false">
      <c r="A134" s="54" t="n">
        <v>46</v>
      </c>
      <c r="B134" s="56" t="s">
        <v>45</v>
      </c>
      <c r="C134" s="56" t="s">
        <v>98</v>
      </c>
      <c r="D134" s="56" t="s">
        <v>501</v>
      </c>
      <c r="E134" s="56" t="s">
        <v>487</v>
      </c>
      <c r="F134" s="54" t="n">
        <v>2022</v>
      </c>
      <c r="G134" s="57" t="n">
        <v>0.554</v>
      </c>
      <c r="H134" s="56" t="s">
        <v>488</v>
      </c>
      <c r="I134" s="56"/>
    </row>
    <row r="135" customFormat="false" ht="15" hidden="false" customHeight="true" outlineLevel="0" collapsed="false">
      <c r="A135" s="62" t="n">
        <v>46</v>
      </c>
      <c r="B135" s="64" t="s">
        <v>45</v>
      </c>
      <c r="C135" s="64" t="s">
        <v>98</v>
      </c>
      <c r="D135" s="64" t="s">
        <v>502</v>
      </c>
      <c r="E135" s="64" t="s">
        <v>487</v>
      </c>
      <c r="F135" s="62" t="n">
        <v>2022</v>
      </c>
      <c r="G135" s="65" t="n">
        <v>0.554</v>
      </c>
      <c r="H135" s="64" t="s">
        <v>488</v>
      </c>
      <c r="I135" s="64"/>
    </row>
    <row r="136" customFormat="false" ht="15" hidden="false" customHeight="true" outlineLevel="0" collapsed="false">
      <c r="A136" s="54" t="n">
        <v>46</v>
      </c>
      <c r="B136" s="56" t="s">
        <v>45</v>
      </c>
      <c r="C136" s="56" t="s">
        <v>98</v>
      </c>
      <c r="D136" s="56" t="s">
        <v>503</v>
      </c>
      <c r="E136" s="56" t="s">
        <v>487</v>
      </c>
      <c r="F136" s="54" t="n">
        <v>2022</v>
      </c>
      <c r="G136" s="57" t="n">
        <v>0.554</v>
      </c>
      <c r="H136" s="56" t="s">
        <v>488</v>
      </c>
      <c r="I136" s="56"/>
    </row>
    <row r="137" customFormat="false" ht="15" hidden="false" customHeight="true" outlineLevel="0" collapsed="false">
      <c r="A137" s="62" t="n">
        <v>46</v>
      </c>
      <c r="B137" s="64" t="s">
        <v>45</v>
      </c>
      <c r="C137" s="64" t="s">
        <v>98</v>
      </c>
      <c r="D137" s="64" t="s">
        <v>504</v>
      </c>
      <c r="E137" s="64" t="s">
        <v>487</v>
      </c>
      <c r="F137" s="62" t="n">
        <v>2022</v>
      </c>
      <c r="G137" s="65" t="n">
        <v>0.554</v>
      </c>
      <c r="H137" s="64" t="s">
        <v>488</v>
      </c>
      <c r="I137" s="64"/>
    </row>
    <row r="138" customFormat="false" ht="15" hidden="false" customHeight="true" outlineLevel="0" collapsed="false">
      <c r="A138" s="54" t="n">
        <v>46</v>
      </c>
      <c r="B138" s="56" t="s">
        <v>45</v>
      </c>
      <c r="C138" s="56" t="s">
        <v>98</v>
      </c>
      <c r="D138" s="56" t="s">
        <v>505</v>
      </c>
      <c r="E138" s="56" t="s">
        <v>487</v>
      </c>
      <c r="F138" s="54" t="n">
        <v>2022</v>
      </c>
      <c r="G138" s="57" t="n">
        <v>0.554</v>
      </c>
      <c r="H138" s="56" t="s">
        <v>488</v>
      </c>
      <c r="I138" s="56"/>
    </row>
    <row r="139" customFormat="false" ht="15" hidden="false" customHeight="true" outlineLevel="0" collapsed="false">
      <c r="A139" s="62" t="n">
        <v>47</v>
      </c>
      <c r="B139" s="64" t="s">
        <v>42</v>
      </c>
      <c r="C139" s="64" t="s">
        <v>92</v>
      </c>
      <c r="D139" s="64" t="s">
        <v>506</v>
      </c>
      <c r="E139" s="64" t="s">
        <v>507</v>
      </c>
      <c r="F139" s="62" t="n">
        <v>2022</v>
      </c>
      <c r="G139" s="65" t="n">
        <v>1.5</v>
      </c>
      <c r="H139" s="64" t="s">
        <v>508</v>
      </c>
      <c r="I139" s="64"/>
    </row>
    <row r="140" customFormat="false" ht="15" hidden="false" customHeight="true" outlineLevel="0" collapsed="false">
      <c r="A140" s="54" t="n">
        <v>48</v>
      </c>
      <c r="B140" s="56" t="s">
        <v>34</v>
      </c>
      <c r="C140" s="56" t="s">
        <v>81</v>
      </c>
      <c r="D140" s="56" t="s">
        <v>509</v>
      </c>
      <c r="E140" s="56" t="s">
        <v>510</v>
      </c>
      <c r="F140" s="54" t="n">
        <v>2024</v>
      </c>
      <c r="G140" s="57" t="n">
        <v>1.4</v>
      </c>
      <c r="H140" s="56" t="s">
        <v>511</v>
      </c>
      <c r="I140" s="56"/>
    </row>
    <row r="141" customFormat="false" ht="15" hidden="false" customHeight="true" outlineLevel="0" collapsed="false">
      <c r="A141" s="62" t="n">
        <v>49</v>
      </c>
      <c r="B141" s="64" t="s">
        <v>45</v>
      </c>
      <c r="C141" s="64" t="s">
        <v>105</v>
      </c>
      <c r="D141" s="64" t="s">
        <v>512</v>
      </c>
      <c r="E141" s="64" t="s">
        <v>513</v>
      </c>
      <c r="F141" s="62" t="n">
        <v>2024</v>
      </c>
      <c r="G141" s="65" t="n">
        <v>0.54</v>
      </c>
      <c r="H141" s="64" t="s">
        <v>488</v>
      </c>
      <c r="I141" s="64"/>
    </row>
    <row r="142" customFormat="false" ht="15" hidden="false" customHeight="true" outlineLevel="0" collapsed="false">
      <c r="A142" s="54" t="n">
        <v>49</v>
      </c>
      <c r="B142" s="56" t="s">
        <v>45</v>
      </c>
      <c r="C142" s="56" t="s">
        <v>105</v>
      </c>
      <c r="D142" s="56" t="s">
        <v>514</v>
      </c>
      <c r="E142" s="56" t="s">
        <v>513</v>
      </c>
      <c r="F142" s="54" t="n">
        <v>2024</v>
      </c>
      <c r="G142" s="57" t="n">
        <v>0.54</v>
      </c>
      <c r="H142" s="56" t="s">
        <v>488</v>
      </c>
      <c r="I142" s="56"/>
    </row>
    <row r="143" customFormat="false" ht="15" hidden="false" customHeight="true" outlineLevel="0" collapsed="false">
      <c r="A143" s="62" t="n">
        <v>49</v>
      </c>
      <c r="B143" s="64" t="s">
        <v>45</v>
      </c>
      <c r="C143" s="64" t="s">
        <v>105</v>
      </c>
      <c r="D143" s="64" t="s">
        <v>515</v>
      </c>
      <c r="E143" s="64" t="s">
        <v>513</v>
      </c>
      <c r="F143" s="62" t="n">
        <v>2024</v>
      </c>
      <c r="G143" s="65" t="n">
        <v>0.54</v>
      </c>
      <c r="H143" s="64" t="s">
        <v>488</v>
      </c>
      <c r="I143" s="64"/>
    </row>
    <row r="144" customFormat="false" ht="15" hidden="false" customHeight="true" outlineLevel="0" collapsed="false">
      <c r="A144" s="54" t="n">
        <v>49</v>
      </c>
      <c r="B144" s="56" t="s">
        <v>45</v>
      </c>
      <c r="C144" s="56" t="s">
        <v>105</v>
      </c>
      <c r="D144" s="56" t="s">
        <v>516</v>
      </c>
      <c r="E144" s="56" t="s">
        <v>513</v>
      </c>
      <c r="F144" s="54" t="n">
        <v>2024</v>
      </c>
      <c r="G144" s="57" t="n">
        <v>0.54</v>
      </c>
      <c r="H144" s="56" t="s">
        <v>488</v>
      </c>
      <c r="I144" s="56"/>
    </row>
    <row r="145" customFormat="false" ht="15" hidden="false" customHeight="true" outlineLevel="0" collapsed="false">
      <c r="A145" s="62" t="n">
        <v>49</v>
      </c>
      <c r="B145" s="64" t="s">
        <v>45</v>
      </c>
      <c r="C145" s="64" t="s">
        <v>105</v>
      </c>
      <c r="D145" s="64" t="s">
        <v>517</v>
      </c>
      <c r="E145" s="64" t="s">
        <v>513</v>
      </c>
      <c r="F145" s="62" t="n">
        <v>2024</v>
      </c>
      <c r="G145" s="65" t="n">
        <v>0.54</v>
      </c>
      <c r="H145" s="64" t="s">
        <v>488</v>
      </c>
      <c r="I145" s="64"/>
    </row>
    <row r="146" customFormat="false" ht="15" hidden="false" customHeight="true" outlineLevel="0" collapsed="false">
      <c r="A146" s="54" t="n">
        <v>49</v>
      </c>
      <c r="B146" s="56" t="s">
        <v>45</v>
      </c>
      <c r="C146" s="56" t="s">
        <v>105</v>
      </c>
      <c r="D146" s="56" t="s">
        <v>518</v>
      </c>
      <c r="E146" s="56" t="s">
        <v>513</v>
      </c>
      <c r="F146" s="54" t="n">
        <v>2024</v>
      </c>
      <c r="G146" s="57" t="n">
        <v>0.54</v>
      </c>
      <c r="H146" s="56" t="s">
        <v>488</v>
      </c>
      <c r="I146" s="56"/>
    </row>
    <row r="147" customFormat="false" ht="15" hidden="false" customHeight="true" outlineLevel="0" collapsed="false">
      <c r="A147" s="62" t="n">
        <v>49</v>
      </c>
      <c r="B147" s="64" t="s">
        <v>45</v>
      </c>
      <c r="C147" s="64" t="s">
        <v>105</v>
      </c>
      <c r="D147" s="64" t="s">
        <v>519</v>
      </c>
      <c r="E147" s="64" t="s">
        <v>513</v>
      </c>
      <c r="F147" s="62" t="n">
        <v>2024</v>
      </c>
      <c r="G147" s="65" t="n">
        <v>0.54</v>
      </c>
      <c r="H147" s="64" t="s">
        <v>488</v>
      </c>
      <c r="I147" s="64"/>
    </row>
    <row r="148" customFormat="false" ht="15" hidden="false" customHeight="true" outlineLevel="0" collapsed="false">
      <c r="A148" s="54" t="n">
        <v>49</v>
      </c>
      <c r="B148" s="56" t="s">
        <v>45</v>
      </c>
      <c r="C148" s="56" t="s">
        <v>105</v>
      </c>
      <c r="D148" s="56" t="s">
        <v>520</v>
      </c>
      <c r="E148" s="56" t="s">
        <v>513</v>
      </c>
      <c r="F148" s="54" t="n">
        <v>2024</v>
      </c>
      <c r="G148" s="57" t="n">
        <v>0.54</v>
      </c>
      <c r="H148" s="56" t="s">
        <v>488</v>
      </c>
      <c r="I148" s="56"/>
    </row>
    <row r="149" customFormat="false" ht="15" hidden="false" customHeight="true" outlineLevel="0" collapsed="false">
      <c r="A149" s="62" t="n">
        <v>49</v>
      </c>
      <c r="B149" s="64" t="s">
        <v>45</v>
      </c>
      <c r="C149" s="64" t="s">
        <v>105</v>
      </c>
      <c r="D149" s="64" t="s">
        <v>521</v>
      </c>
      <c r="E149" s="64" t="s">
        <v>513</v>
      </c>
      <c r="F149" s="62" t="n">
        <v>2025</v>
      </c>
      <c r="G149" s="65" t="n">
        <v>0.54</v>
      </c>
      <c r="H149" s="64" t="s">
        <v>488</v>
      </c>
      <c r="I149" s="64"/>
    </row>
    <row r="150" customFormat="false" ht="15" hidden="false" customHeight="true" outlineLevel="0" collapsed="false">
      <c r="A150" s="54" t="n">
        <v>49</v>
      </c>
      <c r="B150" s="56" t="s">
        <v>45</v>
      </c>
      <c r="C150" s="56" t="s">
        <v>105</v>
      </c>
      <c r="D150" s="56" t="s">
        <v>522</v>
      </c>
      <c r="E150" s="56" t="s">
        <v>513</v>
      </c>
      <c r="F150" s="54" t="n">
        <v>2025</v>
      </c>
      <c r="G150" s="57" t="n">
        <v>0.54</v>
      </c>
      <c r="H150" s="56" t="s">
        <v>488</v>
      </c>
      <c r="I150" s="56"/>
    </row>
    <row r="151" customFormat="false" ht="15" hidden="false" customHeight="true" outlineLevel="0" collapsed="false">
      <c r="A151" s="62" t="n">
        <v>49</v>
      </c>
      <c r="B151" s="64" t="s">
        <v>45</v>
      </c>
      <c r="C151" s="64" t="s">
        <v>105</v>
      </c>
      <c r="D151" s="64" t="s">
        <v>523</v>
      </c>
      <c r="E151" s="64" t="s">
        <v>513</v>
      </c>
      <c r="F151" s="62" t="n">
        <v>2025</v>
      </c>
      <c r="G151" s="65" t="n">
        <v>0.54</v>
      </c>
      <c r="H151" s="64" t="s">
        <v>488</v>
      </c>
      <c r="I151" s="64"/>
    </row>
    <row r="152" customFormat="false" ht="15" hidden="false" customHeight="true" outlineLevel="0" collapsed="false">
      <c r="A152" s="54" t="n">
        <v>49</v>
      </c>
      <c r="B152" s="56" t="s">
        <v>45</v>
      </c>
      <c r="C152" s="56" t="s">
        <v>105</v>
      </c>
      <c r="D152" s="56" t="s">
        <v>524</v>
      </c>
      <c r="E152" s="56" t="s">
        <v>513</v>
      </c>
      <c r="F152" s="54" t="n">
        <v>2025</v>
      </c>
      <c r="G152" s="57" t="n">
        <v>0.54</v>
      </c>
      <c r="H152" s="56" t="s">
        <v>488</v>
      </c>
      <c r="I152" s="56"/>
    </row>
    <row r="153" customFormat="false" ht="15" hidden="false" customHeight="true" outlineLevel="0" collapsed="false">
      <c r="A153" s="62" t="n">
        <v>49</v>
      </c>
      <c r="B153" s="64" t="s">
        <v>45</v>
      </c>
      <c r="C153" s="64" t="s">
        <v>105</v>
      </c>
      <c r="D153" s="64" t="s">
        <v>525</v>
      </c>
      <c r="E153" s="64" t="s">
        <v>513</v>
      </c>
      <c r="F153" s="62" t="n">
        <v>2025</v>
      </c>
      <c r="G153" s="65" t="n">
        <v>0.54</v>
      </c>
      <c r="H153" s="64" t="s">
        <v>488</v>
      </c>
      <c r="I153" s="64"/>
    </row>
    <row r="154" customFormat="false" ht="15" hidden="false" customHeight="true" outlineLevel="0" collapsed="false">
      <c r="A154" s="54" t="n">
        <v>49</v>
      </c>
      <c r="B154" s="56" t="s">
        <v>45</v>
      </c>
      <c r="C154" s="56" t="s">
        <v>105</v>
      </c>
      <c r="D154" s="56" t="s">
        <v>526</v>
      </c>
      <c r="E154" s="56" t="s">
        <v>513</v>
      </c>
      <c r="F154" s="54" t="n">
        <v>2025</v>
      </c>
      <c r="G154" s="57" t="n">
        <v>0.54</v>
      </c>
      <c r="H154" s="56" t="s">
        <v>488</v>
      </c>
      <c r="I154" s="56"/>
    </row>
    <row r="155" customFormat="false" ht="15" hidden="false" customHeight="true" outlineLevel="0" collapsed="false">
      <c r="A155" s="62" t="n">
        <v>49</v>
      </c>
      <c r="B155" s="64" t="s">
        <v>45</v>
      </c>
      <c r="C155" s="64" t="s">
        <v>105</v>
      </c>
      <c r="D155" s="64" t="s">
        <v>527</v>
      </c>
      <c r="E155" s="64" t="s">
        <v>513</v>
      </c>
      <c r="F155" s="62" t="n">
        <v>2025</v>
      </c>
      <c r="G155" s="65" t="n">
        <v>0.54</v>
      </c>
      <c r="H155" s="64" t="s">
        <v>488</v>
      </c>
      <c r="I155" s="64"/>
    </row>
    <row r="156" customFormat="false" ht="15" hidden="false" customHeight="true" outlineLevel="0" collapsed="false">
      <c r="A156" s="54" t="n">
        <v>49</v>
      </c>
      <c r="B156" s="56" t="s">
        <v>45</v>
      </c>
      <c r="C156" s="56" t="s">
        <v>105</v>
      </c>
      <c r="D156" s="56" t="s">
        <v>528</v>
      </c>
      <c r="E156" s="56" t="s">
        <v>513</v>
      </c>
      <c r="F156" s="54" t="n">
        <v>2025</v>
      </c>
      <c r="G156" s="57" t="n">
        <v>0.54</v>
      </c>
      <c r="H156" s="56" t="s">
        <v>488</v>
      </c>
      <c r="I156" s="56"/>
    </row>
    <row r="157" customFormat="false" ht="15" hidden="false" customHeight="true" outlineLevel="0" collapsed="false">
      <c r="A157" s="62" t="n">
        <v>49</v>
      </c>
      <c r="B157" s="64" t="s">
        <v>45</v>
      </c>
      <c r="C157" s="64" t="s">
        <v>105</v>
      </c>
      <c r="D157" s="64" t="s">
        <v>529</v>
      </c>
      <c r="E157" s="64" t="s">
        <v>513</v>
      </c>
      <c r="F157" s="62" t="n">
        <v>2025</v>
      </c>
      <c r="G157" s="65" t="n">
        <v>0.54</v>
      </c>
      <c r="H157" s="64" t="s">
        <v>488</v>
      </c>
      <c r="I157" s="64"/>
    </row>
    <row r="158" customFormat="false" ht="15" hidden="false" customHeight="true" outlineLevel="0" collapsed="false">
      <c r="A158" s="54" t="n">
        <v>49</v>
      </c>
      <c r="B158" s="56" t="s">
        <v>45</v>
      </c>
      <c r="C158" s="56" t="s">
        <v>105</v>
      </c>
      <c r="D158" s="56" t="s">
        <v>530</v>
      </c>
      <c r="E158" s="56" t="s">
        <v>513</v>
      </c>
      <c r="F158" s="54" t="n">
        <v>2025</v>
      </c>
      <c r="G158" s="57" t="n">
        <v>0.54</v>
      </c>
      <c r="H158" s="56" t="s">
        <v>488</v>
      </c>
      <c r="I158" s="56"/>
    </row>
    <row r="159" customFormat="false" ht="15" hidden="false" customHeight="true" outlineLevel="0" collapsed="false">
      <c r="A159" s="62" t="n">
        <v>49</v>
      </c>
      <c r="B159" s="64" t="s">
        <v>45</v>
      </c>
      <c r="C159" s="64" t="s">
        <v>105</v>
      </c>
      <c r="D159" s="64" t="s">
        <v>531</v>
      </c>
      <c r="E159" s="64" t="s">
        <v>513</v>
      </c>
      <c r="F159" s="62" t="n">
        <v>2025</v>
      </c>
      <c r="G159" s="65" t="n">
        <v>0.54</v>
      </c>
      <c r="H159" s="64" t="s">
        <v>488</v>
      </c>
      <c r="I159" s="64"/>
    </row>
    <row r="160" customFormat="false" ht="15" hidden="false" customHeight="true" outlineLevel="0" collapsed="false">
      <c r="A160" s="54" t="n">
        <v>49</v>
      </c>
      <c r="B160" s="56" t="s">
        <v>45</v>
      </c>
      <c r="C160" s="56" t="s">
        <v>105</v>
      </c>
      <c r="D160" s="56" t="s">
        <v>532</v>
      </c>
      <c r="E160" s="56" t="s">
        <v>513</v>
      </c>
      <c r="F160" s="54" t="n">
        <v>2025</v>
      </c>
      <c r="G160" s="57" t="n">
        <v>0.54</v>
      </c>
      <c r="H160" s="56" t="s">
        <v>488</v>
      </c>
      <c r="I160" s="56"/>
    </row>
    <row r="161" customFormat="false" ht="15" hidden="false" customHeight="true" outlineLevel="0" collapsed="false">
      <c r="A161" s="62" t="n">
        <v>49</v>
      </c>
      <c r="B161" s="64" t="s">
        <v>45</v>
      </c>
      <c r="C161" s="64" t="s">
        <v>105</v>
      </c>
      <c r="D161" s="64" t="s">
        <v>533</v>
      </c>
      <c r="E161" s="64" t="s">
        <v>513</v>
      </c>
      <c r="F161" s="62" t="n">
        <v>2025</v>
      </c>
      <c r="G161" s="65" t="n">
        <v>0.54</v>
      </c>
      <c r="H161" s="64" t="s">
        <v>488</v>
      </c>
      <c r="I161" s="64"/>
    </row>
    <row r="162" customFormat="false" ht="15" hidden="false" customHeight="true" outlineLevel="0" collapsed="false">
      <c r="A162" s="54" t="n">
        <v>49</v>
      </c>
      <c r="B162" s="56" t="s">
        <v>45</v>
      </c>
      <c r="C162" s="56" t="s">
        <v>105</v>
      </c>
      <c r="D162" s="56" t="s">
        <v>534</v>
      </c>
      <c r="E162" s="56" t="s">
        <v>513</v>
      </c>
      <c r="F162" s="54" t="n">
        <v>2025</v>
      </c>
      <c r="G162" s="57" t="n">
        <v>0.54</v>
      </c>
      <c r="H162" s="56" t="s">
        <v>488</v>
      </c>
      <c r="I162" s="56"/>
    </row>
    <row r="163" customFormat="false" ht="15" hidden="false" customHeight="true" outlineLevel="0" collapsed="false">
      <c r="A163" s="62" t="n">
        <v>49</v>
      </c>
      <c r="B163" s="64" t="s">
        <v>45</v>
      </c>
      <c r="C163" s="64" t="s">
        <v>105</v>
      </c>
      <c r="D163" s="64" t="s">
        <v>535</v>
      </c>
      <c r="E163" s="64" t="s">
        <v>513</v>
      </c>
      <c r="F163" s="62" t="n">
        <v>2025</v>
      </c>
      <c r="G163" s="65" t="n">
        <v>0.54</v>
      </c>
      <c r="H163" s="64" t="s">
        <v>488</v>
      </c>
      <c r="I163" s="64"/>
    </row>
    <row r="164" customFormat="false" ht="15" hidden="false" customHeight="true" outlineLevel="0" collapsed="false">
      <c r="A164" s="54" t="n">
        <v>49</v>
      </c>
      <c r="B164" s="56" t="s">
        <v>45</v>
      </c>
      <c r="C164" s="56" t="s">
        <v>105</v>
      </c>
      <c r="D164" s="56" t="s">
        <v>536</v>
      </c>
      <c r="E164" s="56" t="s">
        <v>513</v>
      </c>
      <c r="F164" s="54" t="n">
        <v>2025</v>
      </c>
      <c r="G164" s="57" t="n">
        <v>0.54</v>
      </c>
      <c r="H164" s="56" t="s">
        <v>488</v>
      </c>
      <c r="I164" s="56"/>
    </row>
    <row r="165" customFormat="false" ht="15" hidden="false" customHeight="true" outlineLevel="0" collapsed="false">
      <c r="A165" s="62" t="n">
        <v>49</v>
      </c>
      <c r="B165" s="64" t="s">
        <v>45</v>
      </c>
      <c r="C165" s="64" t="s">
        <v>105</v>
      </c>
      <c r="D165" s="64" t="s">
        <v>537</v>
      </c>
      <c r="E165" s="64" t="s">
        <v>513</v>
      </c>
      <c r="F165" s="62" t="n">
        <v>2025</v>
      </c>
      <c r="G165" s="65" t="n">
        <v>0.54</v>
      </c>
      <c r="H165" s="64" t="s">
        <v>488</v>
      </c>
      <c r="I165" s="64"/>
    </row>
    <row r="166" customFormat="false" ht="15" hidden="false" customHeight="true" outlineLevel="0" collapsed="false">
      <c r="A166" s="54" t="n">
        <v>49</v>
      </c>
      <c r="B166" s="56" t="s">
        <v>45</v>
      </c>
      <c r="C166" s="56" t="s">
        <v>105</v>
      </c>
      <c r="D166" s="56" t="s">
        <v>538</v>
      </c>
      <c r="E166" s="56" t="s">
        <v>513</v>
      </c>
      <c r="F166" s="54" t="n">
        <v>2025</v>
      </c>
      <c r="G166" s="57" t="n">
        <v>0.54</v>
      </c>
      <c r="H166" s="56" t="s">
        <v>488</v>
      </c>
      <c r="I166" s="56"/>
    </row>
    <row r="167" customFormat="false" ht="15" hidden="false" customHeight="true" outlineLevel="0" collapsed="false">
      <c r="A167" s="62" t="n">
        <v>49</v>
      </c>
      <c r="B167" s="64" t="s">
        <v>45</v>
      </c>
      <c r="C167" s="64" t="s">
        <v>105</v>
      </c>
      <c r="D167" s="64" t="s">
        <v>539</v>
      </c>
      <c r="E167" s="64" t="s">
        <v>513</v>
      </c>
      <c r="F167" s="62" t="n">
        <v>2025</v>
      </c>
      <c r="G167" s="65" t="n">
        <v>0.54</v>
      </c>
      <c r="H167" s="64" t="s">
        <v>488</v>
      </c>
      <c r="I167" s="64"/>
    </row>
    <row r="168" customFormat="false" ht="15" hidden="false" customHeight="true" outlineLevel="0" collapsed="false">
      <c r="A168" s="54" t="n">
        <v>49</v>
      </c>
      <c r="B168" s="56" t="s">
        <v>45</v>
      </c>
      <c r="C168" s="56" t="s">
        <v>105</v>
      </c>
      <c r="D168" s="56" t="s">
        <v>540</v>
      </c>
      <c r="E168" s="56" t="s">
        <v>513</v>
      </c>
      <c r="F168" s="54" t="n">
        <v>2025</v>
      </c>
      <c r="G168" s="57" t="n">
        <v>0.54</v>
      </c>
      <c r="H168" s="56" t="s">
        <v>488</v>
      </c>
      <c r="I168" s="56"/>
    </row>
    <row r="169" customFormat="false" ht="15" hidden="false" customHeight="true" outlineLevel="0" collapsed="false">
      <c r="A169" s="62" t="n">
        <v>49</v>
      </c>
      <c r="B169" s="64" t="s">
        <v>45</v>
      </c>
      <c r="C169" s="64" t="s">
        <v>105</v>
      </c>
      <c r="D169" s="64" t="s">
        <v>541</v>
      </c>
      <c r="E169" s="64" t="s">
        <v>513</v>
      </c>
      <c r="F169" s="62" t="n">
        <v>2025</v>
      </c>
      <c r="G169" s="65" t="n">
        <v>0.54</v>
      </c>
      <c r="H169" s="64" t="s">
        <v>488</v>
      </c>
      <c r="I169" s="64"/>
    </row>
    <row r="170" customFormat="false" ht="15" hidden="false" customHeight="true" outlineLevel="0" collapsed="false">
      <c r="A170" s="54" t="n">
        <v>49</v>
      </c>
      <c r="B170" s="56" t="s">
        <v>45</v>
      </c>
      <c r="C170" s="56" t="s">
        <v>105</v>
      </c>
      <c r="D170" s="56" t="s">
        <v>542</v>
      </c>
      <c r="E170" s="56" t="s">
        <v>513</v>
      </c>
      <c r="F170" s="54" t="n">
        <v>2025</v>
      </c>
      <c r="G170" s="57" t="n">
        <v>0.54</v>
      </c>
      <c r="H170" s="56" t="s">
        <v>488</v>
      </c>
      <c r="I170" s="56"/>
    </row>
    <row r="171" customFormat="false" ht="15" hidden="false" customHeight="true" outlineLevel="0" collapsed="false">
      <c r="A171" s="62" t="n">
        <v>49</v>
      </c>
      <c r="B171" s="64" t="s">
        <v>45</v>
      </c>
      <c r="C171" s="64" t="s">
        <v>105</v>
      </c>
      <c r="D171" s="64" t="s">
        <v>543</v>
      </c>
      <c r="E171" s="64" t="s">
        <v>513</v>
      </c>
      <c r="F171" s="62" t="n">
        <v>2025</v>
      </c>
      <c r="G171" s="65" t="n">
        <v>0.54</v>
      </c>
      <c r="H171" s="64" t="s">
        <v>488</v>
      </c>
      <c r="I171" s="64"/>
    </row>
    <row r="172" customFormat="false" ht="15" hidden="false" customHeight="true" outlineLevel="0" collapsed="false">
      <c r="A172" s="54" t="n">
        <v>49</v>
      </c>
      <c r="B172" s="56" t="s">
        <v>45</v>
      </c>
      <c r="C172" s="56" t="s">
        <v>105</v>
      </c>
      <c r="D172" s="56" t="s">
        <v>544</v>
      </c>
      <c r="E172" s="56" t="s">
        <v>513</v>
      </c>
      <c r="F172" s="54" t="n">
        <v>2025</v>
      </c>
      <c r="G172" s="57" t="n">
        <v>0.54</v>
      </c>
      <c r="H172" s="56" t="s">
        <v>488</v>
      </c>
      <c r="I172" s="56"/>
    </row>
    <row r="173" customFormat="false" ht="15" hidden="false" customHeight="true" outlineLevel="0" collapsed="false">
      <c r="A173" s="62" t="n">
        <v>49</v>
      </c>
      <c r="B173" s="64" t="s">
        <v>45</v>
      </c>
      <c r="C173" s="64" t="s">
        <v>105</v>
      </c>
      <c r="D173" s="64" t="s">
        <v>545</v>
      </c>
      <c r="E173" s="64" t="s">
        <v>513</v>
      </c>
      <c r="F173" s="62" t="n">
        <v>2025</v>
      </c>
      <c r="G173" s="65" t="n">
        <v>0.54</v>
      </c>
      <c r="H173" s="64" t="s">
        <v>488</v>
      </c>
      <c r="I173" s="64"/>
    </row>
    <row r="174" customFormat="false" ht="15" hidden="false" customHeight="true" outlineLevel="0" collapsed="false">
      <c r="A174" s="54" t="n">
        <v>49</v>
      </c>
      <c r="B174" s="56" t="s">
        <v>45</v>
      </c>
      <c r="C174" s="56" t="s">
        <v>105</v>
      </c>
      <c r="D174" s="56" t="s">
        <v>546</v>
      </c>
      <c r="E174" s="56" t="s">
        <v>513</v>
      </c>
      <c r="F174" s="54" t="n">
        <v>2025</v>
      </c>
      <c r="G174" s="57" t="n">
        <v>0.54</v>
      </c>
      <c r="H174" s="56" t="s">
        <v>488</v>
      </c>
      <c r="I174" s="56"/>
    </row>
    <row r="175" customFormat="false" ht="15" hidden="false" customHeight="true" outlineLevel="0" collapsed="false">
      <c r="A175" s="62" t="n">
        <v>49</v>
      </c>
      <c r="B175" s="64" t="s">
        <v>45</v>
      </c>
      <c r="C175" s="64" t="s">
        <v>105</v>
      </c>
      <c r="D175" s="64" t="s">
        <v>547</v>
      </c>
      <c r="E175" s="64" t="s">
        <v>513</v>
      </c>
      <c r="F175" s="62" t="n">
        <v>2025</v>
      </c>
      <c r="G175" s="65" t="n">
        <v>0.54</v>
      </c>
      <c r="H175" s="64" t="s">
        <v>488</v>
      </c>
      <c r="I175" s="64"/>
    </row>
    <row r="176" customFormat="false" ht="15" hidden="false" customHeight="true" outlineLevel="0" collapsed="false">
      <c r="A176" s="54" t="n">
        <v>49</v>
      </c>
      <c r="B176" s="56" t="s">
        <v>45</v>
      </c>
      <c r="C176" s="56" t="s">
        <v>105</v>
      </c>
      <c r="D176" s="56" t="s">
        <v>548</v>
      </c>
      <c r="E176" s="56" t="s">
        <v>513</v>
      </c>
      <c r="F176" s="54" t="n">
        <v>2025</v>
      </c>
      <c r="G176" s="57" t="n">
        <v>0.54</v>
      </c>
      <c r="H176" s="56" t="s">
        <v>488</v>
      </c>
      <c r="I176" s="56"/>
    </row>
    <row r="177" customFormat="false" ht="15" hidden="false" customHeight="true" outlineLevel="0" collapsed="false">
      <c r="A177" s="62" t="n">
        <v>50</v>
      </c>
      <c r="B177" s="64" t="s">
        <v>28</v>
      </c>
      <c r="C177" s="64" t="s">
        <v>69</v>
      </c>
      <c r="D177" s="64" t="s">
        <v>69</v>
      </c>
      <c r="E177" s="64" t="s">
        <v>448</v>
      </c>
      <c r="F177" s="62" t="n">
        <v>2024</v>
      </c>
      <c r="G177" s="65" t="n">
        <v>0.6</v>
      </c>
      <c r="H177" s="64" t="s">
        <v>549</v>
      </c>
      <c r="I177" s="64"/>
    </row>
    <row r="178" customFormat="false" ht="15" hidden="false" customHeight="true" outlineLevel="0" collapsed="false">
      <c r="A178" s="54" t="n">
        <v>51</v>
      </c>
      <c r="B178" s="56" t="s">
        <v>33</v>
      </c>
      <c r="C178" s="56" t="s">
        <v>80</v>
      </c>
      <c r="D178" s="56" t="s">
        <v>550</v>
      </c>
      <c r="E178" s="56" t="s">
        <v>448</v>
      </c>
      <c r="F178" s="54" t="n">
        <v>2025</v>
      </c>
      <c r="G178" s="57" t="n">
        <v>2.5</v>
      </c>
      <c r="H178" s="56" t="s">
        <v>551</v>
      </c>
      <c r="I178" s="56"/>
    </row>
    <row r="179" customFormat="false" ht="15" hidden="false" customHeight="true" outlineLevel="0" collapsed="false">
      <c r="A179" s="62" t="n">
        <v>52</v>
      </c>
      <c r="B179" s="64" t="s">
        <v>42</v>
      </c>
      <c r="C179" s="64" t="s">
        <v>91</v>
      </c>
      <c r="D179" s="64" t="s">
        <v>552</v>
      </c>
      <c r="E179" s="64" t="s">
        <v>383</v>
      </c>
      <c r="F179" s="62" t="n">
        <v>2025</v>
      </c>
      <c r="G179" s="65" t="n">
        <v>6.6</v>
      </c>
      <c r="H179" s="64" t="s">
        <v>553</v>
      </c>
      <c r="I179" s="64"/>
    </row>
    <row r="180" customFormat="false" ht="15" hidden="false" customHeight="true" outlineLevel="0" collapsed="false">
      <c r="A180" s="54" t="n">
        <v>53</v>
      </c>
      <c r="B180" s="56" t="s">
        <v>26</v>
      </c>
      <c r="C180" s="56" t="s">
        <v>67</v>
      </c>
      <c r="D180" s="56" t="s">
        <v>554</v>
      </c>
      <c r="E180" s="56" t="s">
        <v>395</v>
      </c>
      <c r="F180" s="54" t="n">
        <v>2025</v>
      </c>
      <c r="G180" s="57" t="n">
        <v>7</v>
      </c>
      <c r="H180" s="56" t="s">
        <v>555</v>
      </c>
      <c r="I180" s="56"/>
    </row>
    <row r="181" customFormat="false" ht="15" hidden="false" customHeight="true" outlineLevel="0" collapsed="false">
      <c r="A181" s="62" t="n">
        <v>54</v>
      </c>
      <c r="B181" s="64" t="s">
        <v>27</v>
      </c>
      <c r="C181" s="64" t="s">
        <v>68</v>
      </c>
      <c r="D181" s="64" t="s">
        <v>556</v>
      </c>
      <c r="E181" s="64" t="s">
        <v>556</v>
      </c>
      <c r="F181" s="62" t="n">
        <v>2010</v>
      </c>
      <c r="G181" s="65" t="n">
        <v>3.87</v>
      </c>
      <c r="H181" s="64" t="s">
        <v>556</v>
      </c>
      <c r="I181" s="64" t="s">
        <v>557</v>
      </c>
    </row>
  </sheetData>
  <autoFilter ref="A1:I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1"/>
    <col collapsed="false" customWidth="true" hidden="false" outlineLevel="0" max="4" min="4" style="1" width="13"/>
    <col collapsed="false" customWidth="true" hidden="false" outlineLevel="0" max="20" min="5" style="1" width="8"/>
  </cols>
  <sheetData>
    <row r="1" customFormat="false" ht="34.5" hidden="false" customHeight="true" outlineLevel="0" collapsed="false">
      <c r="A1" s="47" t="s">
        <v>119</v>
      </c>
      <c r="B1" s="47" t="s">
        <v>120</v>
      </c>
      <c r="C1" s="47" t="s">
        <v>558</v>
      </c>
      <c r="D1" s="47" t="s">
        <v>559</v>
      </c>
      <c r="E1" s="47" t="s">
        <v>560</v>
      </c>
      <c r="F1" s="47" t="s">
        <v>561</v>
      </c>
      <c r="G1" s="47" t="s">
        <v>562</v>
      </c>
      <c r="H1" s="47" t="s">
        <v>563</v>
      </c>
      <c r="I1" s="47" t="s">
        <v>564</v>
      </c>
      <c r="J1" s="47" t="s">
        <v>565</v>
      </c>
      <c r="K1" s="47" t="s">
        <v>566</v>
      </c>
      <c r="L1" s="47" t="s">
        <v>567</v>
      </c>
      <c r="M1" s="47" t="s">
        <v>568</v>
      </c>
      <c r="N1" s="47" t="s">
        <v>569</v>
      </c>
      <c r="O1" s="47" t="s">
        <v>570</v>
      </c>
      <c r="P1" s="47" t="s">
        <v>571</v>
      </c>
      <c r="Q1" s="47" t="s">
        <v>572</v>
      </c>
      <c r="R1" s="47" t="s">
        <v>573</v>
      </c>
      <c r="S1" s="47" t="s">
        <v>574</v>
      </c>
      <c r="T1" s="47" t="s">
        <v>575</v>
      </c>
    </row>
    <row r="2" customFormat="false" ht="15" hidden="false" customHeight="true" outlineLevel="0" collapsed="false">
      <c r="A2" s="56" t="s">
        <v>24</v>
      </c>
      <c r="B2" s="56" t="s">
        <v>65</v>
      </c>
      <c r="C2" s="54" t="n">
        <v>1972</v>
      </c>
      <c r="D2" s="86" t="n">
        <f aca="false">SUMIFS('Train detail'!$G$2:$G$181,'Train detail'!$B$2:$B$181,$A2,'Train detail'!$C$2:$C$181,$B2)</f>
        <v>7.2</v>
      </c>
      <c r="E2" s="57" t="n">
        <f aca="false">SUMIFS('Train detail'!$G$2:$G$181,'Train detail'!$B$2:$B$181,$A2,'Train detail'!$C$2:$C$181,$B2,'Train detail'!$F$2:$F$181,"&lt;="&amp;2010)</f>
        <v>7.2</v>
      </c>
      <c r="F2" s="57" t="n">
        <f aca="false">SUMIFS('Train detail'!$G$2:$G$181,'Train detail'!$B$2:$B$181,$A2,'Train detail'!$C$2:$C$181,$B2,'Train detail'!$F$2:$F$181,"&lt;="&amp;2011)</f>
        <v>7.2</v>
      </c>
      <c r="G2" s="57" t="n">
        <f aca="false">SUMIFS('Train detail'!$G$2:$G$181,'Train detail'!$B$2:$B$181,$A2,'Train detail'!$C$2:$C$181,$B2,'Train detail'!$F$2:$F$181,"&lt;="&amp;2012)</f>
        <v>7.2</v>
      </c>
      <c r="H2" s="57" t="n">
        <f aca="false">SUMIFS('Train detail'!$G$2:$G$181,'Train detail'!$B$2:$B$181,$A2,'Train detail'!$C$2:$C$181,$B2,'Train detail'!$F$2:$F$181,"&lt;="&amp;2013)</f>
        <v>7.2</v>
      </c>
      <c r="I2" s="57" t="n">
        <f aca="false">SUMIFS('Train detail'!$G$2:$G$181,'Train detail'!$B$2:$B$181,$A2,'Train detail'!$C$2:$C$181,$B2,'Train detail'!$F$2:$F$181,"&lt;="&amp;2014)</f>
        <v>7.2</v>
      </c>
      <c r="J2" s="57" t="n">
        <f aca="false">SUMIFS('Train detail'!$G$2:$G$181,'Train detail'!$B$2:$B$181,$A2,'Train detail'!$C$2:$C$181,$B2,'Train detail'!$F$2:$F$181,"&lt;="&amp;2015)</f>
        <v>7.2</v>
      </c>
      <c r="K2" s="57" t="n">
        <f aca="false">SUMIFS('Train detail'!$G$2:$G$181,'Train detail'!$B$2:$B$181,$A2,'Train detail'!$C$2:$C$181,$B2,'Train detail'!$F$2:$F$181,"&lt;="&amp;2016)</f>
        <v>7.2</v>
      </c>
      <c r="L2" s="57" t="n">
        <f aca="false">SUMIFS('Train detail'!$G$2:$G$181,'Train detail'!$B$2:$B$181,$A2,'Train detail'!$C$2:$C$181,$B2,'Train detail'!$F$2:$F$181,"&lt;="&amp;2017)</f>
        <v>7.2</v>
      </c>
      <c r="M2" s="57" t="n">
        <f aca="false">SUMIFS('Train detail'!$G$2:$G$181,'Train detail'!$B$2:$B$181,$A2,'Train detail'!$C$2:$C$181,$B2,'Train detail'!$F$2:$F$181,"&lt;="&amp;2018)</f>
        <v>7.2</v>
      </c>
      <c r="N2" s="57" t="n">
        <f aca="false">SUMIFS('Train detail'!$G$2:$G$181,'Train detail'!$B$2:$B$181,$A2,'Train detail'!$C$2:$C$181,$B2,'Train detail'!$F$2:$F$181,"&lt;="&amp;2019)</f>
        <v>7.2</v>
      </c>
      <c r="O2" s="57" t="n">
        <f aca="false">SUMIFS('Train detail'!$G$2:$G$181,'Train detail'!$B$2:$B$181,$A2,'Train detail'!$C$2:$C$181,$B2,'Train detail'!$F$2:$F$181,"&lt;="&amp;2020)</f>
        <v>7.2</v>
      </c>
      <c r="P2" s="57" t="n">
        <f aca="false">SUMIFS('Train detail'!$G$2:$G$181,'Train detail'!$B$2:$B$181,$A2,'Train detail'!$C$2:$C$181,$B2,'Train detail'!$F$2:$F$181,"&lt;="&amp;2021)</f>
        <v>7.2</v>
      </c>
      <c r="Q2" s="57" t="n">
        <f aca="false">SUMIFS('Train detail'!$G$2:$G$181,'Train detail'!$B$2:$B$181,$A2,'Train detail'!$C$2:$C$181,$B2,'Train detail'!$F$2:$F$181,"&lt;="&amp;2022)</f>
        <v>7.2</v>
      </c>
      <c r="R2" s="57" t="n">
        <f aca="false">SUMIFS('Train detail'!$G$2:$G$181,'Train detail'!$B$2:$B$181,$A2,'Train detail'!$C$2:$C$181,$B2,'Train detail'!$F$2:$F$181,"&lt;="&amp;2023)</f>
        <v>7.2</v>
      </c>
      <c r="S2" s="57" t="n">
        <f aca="false">SUMIFS('Train detail'!$G$2:$G$181,'Train detail'!$B$2:$B$181,$A2,'Train detail'!$C$2:$C$181,$B2,'Train detail'!$F$2:$F$181,"&lt;="&amp;2024)</f>
        <v>7.2</v>
      </c>
      <c r="T2" s="57" t="n">
        <f aca="false">SUMIFS('Train detail'!$G$2:$G$181,'Train detail'!$B$2:$B$181,$A2,'Train detail'!$C$2:$C$181,$B2,'Train detail'!$F$2:$F$181,"&lt;="&amp;2025)</f>
        <v>7.2</v>
      </c>
    </row>
    <row r="3" customFormat="false" ht="15" hidden="false" customHeight="true" outlineLevel="0" collapsed="false">
      <c r="A3" s="64" t="s">
        <v>44</v>
      </c>
      <c r="B3" s="64" t="s">
        <v>97</v>
      </c>
      <c r="C3" s="62" t="n">
        <v>1977</v>
      </c>
      <c r="D3" s="87" t="n">
        <f aca="false">SUMIFS('Train detail'!$G$2:$G$181,'Train detail'!$B$2:$B$181,$A3,'Train detail'!$C$2:$C$181,$B3)</f>
        <v>5.3</v>
      </c>
      <c r="E3" s="65" t="n">
        <f aca="false">SUMIFS('Train detail'!$G$2:$G$181,'Train detail'!$B$2:$B$181,$A3,'Train detail'!$C$2:$C$181,$B3,'Train detail'!$F$2:$F$181,"&lt;="&amp;2010)</f>
        <v>5.3</v>
      </c>
      <c r="F3" s="65" t="n">
        <f aca="false">SUMIFS('Train detail'!$G$2:$G$181,'Train detail'!$B$2:$B$181,$A3,'Train detail'!$C$2:$C$181,$B3,'Train detail'!$F$2:$F$181,"&lt;="&amp;2011)</f>
        <v>5.3</v>
      </c>
      <c r="G3" s="65" t="n">
        <f aca="false">SUMIFS('Train detail'!$G$2:$G$181,'Train detail'!$B$2:$B$181,$A3,'Train detail'!$C$2:$C$181,$B3,'Train detail'!$F$2:$F$181,"&lt;="&amp;2012)</f>
        <v>5.3</v>
      </c>
      <c r="H3" s="65" t="n">
        <f aca="false">SUMIFS('Train detail'!$G$2:$G$181,'Train detail'!$B$2:$B$181,$A3,'Train detail'!$C$2:$C$181,$B3,'Train detail'!$F$2:$F$181,"&lt;="&amp;2013)</f>
        <v>5.3</v>
      </c>
      <c r="I3" s="65" t="n">
        <f aca="false">SUMIFS('Train detail'!$G$2:$G$181,'Train detail'!$B$2:$B$181,$A3,'Train detail'!$C$2:$C$181,$B3,'Train detail'!$F$2:$F$181,"&lt;="&amp;2014)</f>
        <v>5.3</v>
      </c>
      <c r="J3" s="65" t="n">
        <f aca="false">SUMIFS('Train detail'!$G$2:$G$181,'Train detail'!$B$2:$B$181,$A3,'Train detail'!$C$2:$C$181,$B3,'Train detail'!$F$2:$F$181,"&lt;="&amp;2015)</f>
        <v>5.3</v>
      </c>
      <c r="K3" s="65" t="n">
        <f aca="false">SUMIFS('Train detail'!$G$2:$G$181,'Train detail'!$B$2:$B$181,$A3,'Train detail'!$C$2:$C$181,$B3,'Train detail'!$F$2:$F$181,"&lt;="&amp;2016)</f>
        <v>5.3</v>
      </c>
      <c r="L3" s="65" t="n">
        <f aca="false">SUMIFS('Train detail'!$G$2:$G$181,'Train detail'!$B$2:$B$181,$A3,'Train detail'!$C$2:$C$181,$B3,'Train detail'!$F$2:$F$181,"&lt;="&amp;2017)</f>
        <v>5.3</v>
      </c>
      <c r="M3" s="65" t="n">
        <f aca="false">SUMIFS('Train detail'!$G$2:$G$181,'Train detail'!$B$2:$B$181,$A3,'Train detail'!$C$2:$C$181,$B3,'Train detail'!$F$2:$F$181,"&lt;="&amp;2018)</f>
        <v>5.3</v>
      </c>
      <c r="N3" s="65" t="n">
        <f aca="false">SUMIFS('Train detail'!$G$2:$G$181,'Train detail'!$B$2:$B$181,$A3,'Train detail'!$C$2:$C$181,$B3,'Train detail'!$F$2:$F$181,"&lt;="&amp;2019)</f>
        <v>5.3</v>
      </c>
      <c r="O3" s="65" t="n">
        <f aca="false">SUMIFS('Train detail'!$G$2:$G$181,'Train detail'!$B$2:$B$181,$A3,'Train detail'!$C$2:$C$181,$B3,'Train detail'!$F$2:$F$181,"&lt;="&amp;2020)</f>
        <v>5.3</v>
      </c>
      <c r="P3" s="65" t="n">
        <f aca="false">SUMIFS('Train detail'!$G$2:$G$181,'Train detail'!$B$2:$B$181,$A3,'Train detail'!$C$2:$C$181,$B3,'Train detail'!$F$2:$F$181,"&lt;="&amp;2021)</f>
        <v>5.3</v>
      </c>
      <c r="Q3" s="65" t="n">
        <f aca="false">SUMIFS('Train detail'!$G$2:$G$181,'Train detail'!$B$2:$B$181,$A3,'Train detail'!$C$2:$C$181,$B3,'Train detail'!$F$2:$F$181,"&lt;="&amp;2022)</f>
        <v>5.3</v>
      </c>
      <c r="R3" s="65" t="n">
        <f aca="false">SUMIFS('Train detail'!$G$2:$G$181,'Train detail'!$B$2:$B$181,$A3,'Train detail'!$C$2:$C$181,$B3,'Train detail'!$F$2:$F$181,"&lt;="&amp;2023)</f>
        <v>5.3</v>
      </c>
      <c r="S3" s="65" t="n">
        <f aca="false">SUMIFS('Train detail'!$G$2:$G$181,'Train detail'!$B$2:$B$181,$A3,'Train detail'!$C$2:$C$181,$B3,'Train detail'!$F$2:$F$181,"&lt;="&amp;2024)</f>
        <v>5.3</v>
      </c>
      <c r="T3" s="65" t="n">
        <f aca="false">SUMIFS('Train detail'!$G$2:$G$181,'Train detail'!$B$2:$B$181,$A3,'Train detail'!$C$2:$C$181,$B3,'Train detail'!$F$2:$F$181,"&lt;="&amp;2025)</f>
        <v>5.3</v>
      </c>
    </row>
    <row r="4" customFormat="false" ht="15" hidden="false" customHeight="true" outlineLevel="0" collapsed="false">
      <c r="A4" s="56" t="s">
        <v>21</v>
      </c>
      <c r="B4" s="56" t="s">
        <v>50</v>
      </c>
      <c r="C4" s="54" t="n">
        <v>1978</v>
      </c>
      <c r="D4" s="86" t="n">
        <f aca="false">SUMIFS('Train detail'!$G$2:$G$181,'Train detail'!$B$2:$B$181,$A4,'Train detail'!$C$2:$C$181,$B4)</f>
        <v>7.9</v>
      </c>
      <c r="E4" s="57" t="n">
        <f aca="false">SUMIFS('Train detail'!$G$2:$G$181,'Train detail'!$B$2:$B$181,$A4,'Train detail'!$C$2:$C$181,$B4,'Train detail'!$F$2:$F$181,"&lt;="&amp;2010)</f>
        <v>7.9</v>
      </c>
      <c r="F4" s="57" t="n">
        <f aca="false">SUMIFS('Train detail'!$G$2:$G$181,'Train detail'!$B$2:$B$181,$A4,'Train detail'!$C$2:$C$181,$B4,'Train detail'!$F$2:$F$181,"&lt;="&amp;2011)</f>
        <v>7.9</v>
      </c>
      <c r="G4" s="57" t="n">
        <f aca="false">SUMIFS('Train detail'!$G$2:$G$181,'Train detail'!$B$2:$B$181,$A4,'Train detail'!$C$2:$C$181,$B4,'Train detail'!$F$2:$F$181,"&lt;="&amp;2012)</f>
        <v>7.9</v>
      </c>
      <c r="H4" s="57" t="n">
        <f aca="false">SUMIFS('Train detail'!$G$2:$G$181,'Train detail'!$B$2:$B$181,$A4,'Train detail'!$C$2:$C$181,$B4,'Train detail'!$F$2:$F$181,"&lt;="&amp;2013)</f>
        <v>7.9</v>
      </c>
      <c r="I4" s="57" t="n">
        <f aca="false">SUMIFS('Train detail'!$G$2:$G$181,'Train detail'!$B$2:$B$181,$A4,'Train detail'!$C$2:$C$181,$B4,'Train detail'!$F$2:$F$181,"&lt;="&amp;2014)</f>
        <v>7.9</v>
      </c>
      <c r="J4" s="57" t="n">
        <f aca="false">SUMIFS('Train detail'!$G$2:$G$181,'Train detail'!$B$2:$B$181,$A4,'Train detail'!$C$2:$C$181,$B4,'Train detail'!$F$2:$F$181,"&lt;="&amp;2015)</f>
        <v>7.9</v>
      </c>
      <c r="K4" s="57" t="n">
        <f aca="false">SUMIFS('Train detail'!$G$2:$G$181,'Train detail'!$B$2:$B$181,$A4,'Train detail'!$C$2:$C$181,$B4,'Train detail'!$F$2:$F$181,"&lt;="&amp;2016)</f>
        <v>7.9</v>
      </c>
      <c r="L4" s="57" t="n">
        <f aca="false">SUMIFS('Train detail'!$G$2:$G$181,'Train detail'!$B$2:$B$181,$A4,'Train detail'!$C$2:$C$181,$B4,'Train detail'!$F$2:$F$181,"&lt;="&amp;2017)</f>
        <v>7.9</v>
      </c>
      <c r="M4" s="57" t="n">
        <f aca="false">SUMIFS('Train detail'!$G$2:$G$181,'Train detail'!$B$2:$B$181,$A4,'Train detail'!$C$2:$C$181,$B4,'Train detail'!$F$2:$F$181,"&lt;="&amp;2018)</f>
        <v>7.9</v>
      </c>
      <c r="N4" s="57" t="n">
        <f aca="false">SUMIFS('Train detail'!$G$2:$G$181,'Train detail'!$B$2:$B$181,$A4,'Train detail'!$C$2:$C$181,$B4,'Train detail'!$F$2:$F$181,"&lt;="&amp;2019)</f>
        <v>7.9</v>
      </c>
      <c r="O4" s="57" t="n">
        <f aca="false">SUMIFS('Train detail'!$G$2:$G$181,'Train detail'!$B$2:$B$181,$A4,'Train detail'!$C$2:$C$181,$B4,'Train detail'!$F$2:$F$181,"&lt;="&amp;2020)</f>
        <v>7.9</v>
      </c>
      <c r="P4" s="57" t="n">
        <f aca="false">SUMIFS('Train detail'!$G$2:$G$181,'Train detail'!$B$2:$B$181,$A4,'Train detail'!$C$2:$C$181,$B4,'Train detail'!$F$2:$F$181,"&lt;="&amp;2021)</f>
        <v>7.9</v>
      </c>
      <c r="Q4" s="57" t="n">
        <f aca="false">SUMIFS('Train detail'!$G$2:$G$181,'Train detail'!$B$2:$B$181,$A4,'Train detail'!$C$2:$C$181,$B4,'Train detail'!$F$2:$F$181,"&lt;="&amp;2022)</f>
        <v>7.9</v>
      </c>
      <c r="R4" s="57" t="n">
        <f aca="false">SUMIFS('Train detail'!$G$2:$G$181,'Train detail'!$B$2:$B$181,$A4,'Train detail'!$C$2:$C$181,$B4,'Train detail'!$F$2:$F$181,"&lt;="&amp;2023)</f>
        <v>7.9</v>
      </c>
      <c r="S4" s="57" t="n">
        <f aca="false">SUMIFS('Train detail'!$G$2:$G$181,'Train detail'!$B$2:$B$181,$A4,'Train detail'!$C$2:$C$181,$B4,'Train detail'!$F$2:$F$181,"&lt;="&amp;2024)</f>
        <v>7.9</v>
      </c>
      <c r="T4" s="57" t="n">
        <f aca="false">SUMIFS('Train detail'!$G$2:$G$181,'Train detail'!$B$2:$B$181,$A4,'Train detail'!$C$2:$C$181,$B4,'Train detail'!$F$2:$F$181,"&lt;="&amp;2025)</f>
        <v>7.9</v>
      </c>
    </row>
    <row r="5" customFormat="false" ht="15" hidden="false" customHeight="true" outlineLevel="0" collapsed="false">
      <c r="A5" s="64" t="s">
        <v>21</v>
      </c>
      <c r="B5" s="64" t="s">
        <v>51</v>
      </c>
      <c r="C5" s="62" t="n">
        <v>1981</v>
      </c>
      <c r="D5" s="87" t="n">
        <f aca="false">SUMIFS('Train detail'!$G$2:$G$181,'Train detail'!$B$2:$B$181,$A5,'Train detail'!$C$2:$C$181,$B5)</f>
        <v>8.4</v>
      </c>
      <c r="E5" s="65" t="n">
        <f aca="false">SUMIFS('Train detail'!$G$2:$G$181,'Train detail'!$B$2:$B$181,$A5,'Train detail'!$C$2:$C$181,$B5,'Train detail'!$F$2:$F$181,"&lt;="&amp;2010)</f>
        <v>8.4</v>
      </c>
      <c r="F5" s="65" t="n">
        <f aca="false">SUMIFS('Train detail'!$G$2:$G$181,'Train detail'!$B$2:$B$181,$A5,'Train detail'!$C$2:$C$181,$B5,'Train detail'!$F$2:$F$181,"&lt;="&amp;2011)</f>
        <v>8.4</v>
      </c>
      <c r="G5" s="65" t="n">
        <f aca="false">SUMIFS('Train detail'!$G$2:$G$181,'Train detail'!$B$2:$B$181,$A5,'Train detail'!$C$2:$C$181,$B5,'Train detail'!$F$2:$F$181,"&lt;="&amp;2012)</f>
        <v>8.4</v>
      </c>
      <c r="H5" s="65" t="n">
        <f aca="false">SUMIFS('Train detail'!$G$2:$G$181,'Train detail'!$B$2:$B$181,$A5,'Train detail'!$C$2:$C$181,$B5,'Train detail'!$F$2:$F$181,"&lt;="&amp;2013)</f>
        <v>8.4</v>
      </c>
      <c r="I5" s="65" t="n">
        <f aca="false">SUMIFS('Train detail'!$G$2:$G$181,'Train detail'!$B$2:$B$181,$A5,'Train detail'!$C$2:$C$181,$B5,'Train detail'!$F$2:$F$181,"&lt;="&amp;2014)</f>
        <v>8.4</v>
      </c>
      <c r="J5" s="65" t="n">
        <f aca="false">SUMIFS('Train detail'!$G$2:$G$181,'Train detail'!$B$2:$B$181,$A5,'Train detail'!$C$2:$C$181,$B5,'Train detail'!$F$2:$F$181,"&lt;="&amp;2015)</f>
        <v>8.4</v>
      </c>
      <c r="K5" s="65" t="n">
        <f aca="false">SUMIFS('Train detail'!$G$2:$G$181,'Train detail'!$B$2:$B$181,$A5,'Train detail'!$C$2:$C$181,$B5,'Train detail'!$F$2:$F$181,"&lt;="&amp;2016)</f>
        <v>8.4</v>
      </c>
      <c r="L5" s="65" t="n">
        <f aca="false">SUMIFS('Train detail'!$G$2:$G$181,'Train detail'!$B$2:$B$181,$A5,'Train detail'!$C$2:$C$181,$B5,'Train detail'!$F$2:$F$181,"&lt;="&amp;2017)</f>
        <v>8.4</v>
      </c>
      <c r="M5" s="65" t="n">
        <f aca="false">SUMIFS('Train detail'!$G$2:$G$181,'Train detail'!$B$2:$B$181,$A5,'Train detail'!$C$2:$C$181,$B5,'Train detail'!$F$2:$F$181,"&lt;="&amp;2018)</f>
        <v>8.4</v>
      </c>
      <c r="N5" s="65" t="n">
        <f aca="false">SUMIFS('Train detail'!$G$2:$G$181,'Train detail'!$B$2:$B$181,$A5,'Train detail'!$C$2:$C$181,$B5,'Train detail'!$F$2:$F$181,"&lt;="&amp;2019)</f>
        <v>8.4</v>
      </c>
      <c r="O5" s="65" t="n">
        <f aca="false">SUMIFS('Train detail'!$G$2:$G$181,'Train detail'!$B$2:$B$181,$A5,'Train detail'!$C$2:$C$181,$B5,'Train detail'!$F$2:$F$181,"&lt;="&amp;2020)</f>
        <v>8.4</v>
      </c>
      <c r="P5" s="65" t="n">
        <f aca="false">SUMIFS('Train detail'!$G$2:$G$181,'Train detail'!$B$2:$B$181,$A5,'Train detail'!$C$2:$C$181,$B5,'Train detail'!$F$2:$F$181,"&lt;="&amp;2021)</f>
        <v>8.4</v>
      </c>
      <c r="Q5" s="65" t="n">
        <f aca="false">SUMIFS('Train detail'!$G$2:$G$181,'Train detail'!$B$2:$B$181,$A5,'Train detail'!$C$2:$C$181,$B5,'Train detail'!$F$2:$F$181,"&lt;="&amp;2022)</f>
        <v>8.4</v>
      </c>
      <c r="R5" s="65" t="n">
        <f aca="false">SUMIFS('Train detail'!$G$2:$G$181,'Train detail'!$B$2:$B$181,$A5,'Train detail'!$C$2:$C$181,$B5,'Train detail'!$F$2:$F$181,"&lt;="&amp;2023)</f>
        <v>8.4</v>
      </c>
      <c r="S5" s="65" t="n">
        <f aca="false">SUMIFS('Train detail'!$G$2:$G$181,'Train detail'!$B$2:$B$181,$A5,'Train detail'!$C$2:$C$181,$B5,'Train detail'!$F$2:$F$181,"&lt;="&amp;2024)</f>
        <v>8.4</v>
      </c>
      <c r="T5" s="65" t="n">
        <f aca="false">SUMIFS('Train detail'!$G$2:$G$181,'Train detail'!$B$2:$B$181,$A5,'Train detail'!$C$2:$C$181,$B5,'Train detail'!$F$2:$F$181,"&lt;="&amp;2025)</f>
        <v>8.4</v>
      </c>
    </row>
    <row r="6" customFormat="false" ht="15" hidden="false" customHeight="true" outlineLevel="0" collapsed="false">
      <c r="A6" s="56" t="s">
        <v>32</v>
      </c>
      <c r="B6" s="56" t="s">
        <v>77</v>
      </c>
      <c r="C6" s="54" t="n">
        <v>1982</v>
      </c>
      <c r="D6" s="86" t="n">
        <f aca="false">SUMIFS('Train detail'!$G$2:$G$181,'Train detail'!$B$2:$B$181,$A6,'Train detail'!$C$2:$C$181,$B6)</f>
        <v>29.3</v>
      </c>
      <c r="E6" s="57" t="n">
        <f aca="false">SUMIFS('Train detail'!$G$2:$G$181,'Train detail'!$B$2:$B$181,$A6,'Train detail'!$C$2:$C$181,$B6,'Train detail'!$F$2:$F$181,"&lt;="&amp;2010)</f>
        <v>25.7</v>
      </c>
      <c r="F6" s="57" t="n">
        <f aca="false">SUMIFS('Train detail'!$G$2:$G$181,'Train detail'!$B$2:$B$181,$A6,'Train detail'!$C$2:$C$181,$B6,'Train detail'!$F$2:$F$181,"&lt;="&amp;2011)</f>
        <v>25.7</v>
      </c>
      <c r="G6" s="57" t="n">
        <f aca="false">SUMIFS('Train detail'!$G$2:$G$181,'Train detail'!$B$2:$B$181,$A6,'Train detail'!$C$2:$C$181,$B6,'Train detail'!$F$2:$F$181,"&lt;="&amp;2012)</f>
        <v>25.7</v>
      </c>
      <c r="H6" s="57" t="n">
        <f aca="false">SUMIFS('Train detail'!$G$2:$G$181,'Train detail'!$B$2:$B$181,$A6,'Train detail'!$C$2:$C$181,$B6,'Train detail'!$F$2:$F$181,"&lt;="&amp;2013)</f>
        <v>25.7</v>
      </c>
      <c r="I6" s="57" t="n">
        <f aca="false">SUMIFS('Train detail'!$G$2:$G$181,'Train detail'!$B$2:$B$181,$A6,'Train detail'!$C$2:$C$181,$B6,'Train detail'!$F$2:$F$181,"&lt;="&amp;2014)</f>
        <v>25.7</v>
      </c>
      <c r="J6" s="57" t="n">
        <f aca="false">SUMIFS('Train detail'!$G$2:$G$181,'Train detail'!$B$2:$B$181,$A6,'Train detail'!$C$2:$C$181,$B6,'Train detail'!$F$2:$F$181,"&lt;="&amp;2015)</f>
        <v>25.7</v>
      </c>
      <c r="K6" s="57" t="n">
        <f aca="false">SUMIFS('Train detail'!$G$2:$G$181,'Train detail'!$B$2:$B$181,$A6,'Train detail'!$C$2:$C$181,$B6,'Train detail'!$F$2:$F$181,"&lt;="&amp;2016)</f>
        <v>25.7</v>
      </c>
      <c r="L6" s="57" t="n">
        <f aca="false">SUMIFS('Train detail'!$G$2:$G$181,'Train detail'!$B$2:$B$181,$A6,'Train detail'!$C$2:$C$181,$B6,'Train detail'!$F$2:$F$181,"&lt;="&amp;2017)</f>
        <v>29.3</v>
      </c>
      <c r="M6" s="57" t="n">
        <f aca="false">SUMIFS('Train detail'!$G$2:$G$181,'Train detail'!$B$2:$B$181,$A6,'Train detail'!$C$2:$C$181,$B6,'Train detail'!$F$2:$F$181,"&lt;="&amp;2018)</f>
        <v>29.3</v>
      </c>
      <c r="N6" s="57" t="n">
        <f aca="false">SUMIFS('Train detail'!$G$2:$G$181,'Train detail'!$B$2:$B$181,$A6,'Train detail'!$C$2:$C$181,$B6,'Train detail'!$F$2:$F$181,"&lt;="&amp;2019)</f>
        <v>29.3</v>
      </c>
      <c r="O6" s="57" t="n">
        <f aca="false">SUMIFS('Train detail'!$G$2:$G$181,'Train detail'!$B$2:$B$181,$A6,'Train detail'!$C$2:$C$181,$B6,'Train detail'!$F$2:$F$181,"&lt;="&amp;2020)</f>
        <v>29.3</v>
      </c>
      <c r="P6" s="57" t="n">
        <f aca="false">SUMIFS('Train detail'!$G$2:$G$181,'Train detail'!$B$2:$B$181,$A6,'Train detail'!$C$2:$C$181,$B6,'Train detail'!$F$2:$F$181,"&lt;="&amp;2021)</f>
        <v>29.3</v>
      </c>
      <c r="Q6" s="57" t="n">
        <f aca="false">SUMIFS('Train detail'!$G$2:$G$181,'Train detail'!$B$2:$B$181,$A6,'Train detail'!$C$2:$C$181,$B6,'Train detail'!$F$2:$F$181,"&lt;="&amp;2022)</f>
        <v>29.3</v>
      </c>
      <c r="R6" s="57" t="n">
        <f aca="false">SUMIFS('Train detail'!$G$2:$G$181,'Train detail'!$B$2:$B$181,$A6,'Train detail'!$C$2:$C$181,$B6,'Train detail'!$F$2:$F$181,"&lt;="&amp;2023)</f>
        <v>29.3</v>
      </c>
      <c r="S6" s="57" t="n">
        <f aca="false">SUMIFS('Train detail'!$G$2:$G$181,'Train detail'!$B$2:$B$181,$A6,'Train detail'!$C$2:$C$181,$B6,'Train detail'!$F$2:$F$181,"&lt;="&amp;2024)</f>
        <v>29.3</v>
      </c>
      <c r="T6" s="57" t="n">
        <f aca="false">SUMIFS('Train detail'!$G$2:$G$181,'Train detail'!$B$2:$B$181,$A6,'Train detail'!$C$2:$C$181,$B6,'Train detail'!$F$2:$F$181,"&lt;="&amp;2025)</f>
        <v>29.3</v>
      </c>
    </row>
    <row r="7" customFormat="false" ht="15" hidden="false" customHeight="true" outlineLevel="0" collapsed="false">
      <c r="A7" s="64" t="s">
        <v>31</v>
      </c>
      <c r="B7" s="64" t="s">
        <v>74</v>
      </c>
      <c r="C7" s="62" t="n">
        <v>1983</v>
      </c>
      <c r="D7" s="87" t="n">
        <f aca="false">SUMIFS('Train detail'!$G$2:$G$181,'Train detail'!$B$2:$B$181,$A7,'Train detail'!$C$2:$C$181,$B7)</f>
        <v>16.95</v>
      </c>
      <c r="E7" s="65" t="n">
        <f aca="false">SUMIFS('Train detail'!$G$2:$G$181,'Train detail'!$B$2:$B$181,$A7,'Train detail'!$C$2:$C$181,$B7,'Train detail'!$F$2:$F$181,"&lt;="&amp;2010)</f>
        <v>16.95</v>
      </c>
      <c r="F7" s="65" t="n">
        <f aca="false">SUMIFS('Train detail'!$G$2:$G$181,'Train detail'!$B$2:$B$181,$A7,'Train detail'!$C$2:$C$181,$B7,'Train detail'!$F$2:$F$181,"&lt;="&amp;2011)</f>
        <v>16.95</v>
      </c>
      <c r="G7" s="65" t="n">
        <f aca="false">SUMIFS('Train detail'!$G$2:$G$181,'Train detail'!$B$2:$B$181,$A7,'Train detail'!$C$2:$C$181,$B7,'Train detail'!$F$2:$F$181,"&lt;="&amp;2012)</f>
        <v>16.95</v>
      </c>
      <c r="H7" s="65" t="n">
        <f aca="false">SUMIFS('Train detail'!$G$2:$G$181,'Train detail'!$B$2:$B$181,$A7,'Train detail'!$C$2:$C$181,$B7,'Train detail'!$F$2:$F$181,"&lt;="&amp;2013)</f>
        <v>16.95</v>
      </c>
      <c r="I7" s="65" t="n">
        <f aca="false">SUMIFS('Train detail'!$G$2:$G$181,'Train detail'!$B$2:$B$181,$A7,'Train detail'!$C$2:$C$181,$B7,'Train detail'!$F$2:$F$181,"&lt;="&amp;2014)</f>
        <v>16.95</v>
      </c>
      <c r="J7" s="65" t="n">
        <f aca="false">SUMIFS('Train detail'!$G$2:$G$181,'Train detail'!$B$2:$B$181,$A7,'Train detail'!$C$2:$C$181,$B7,'Train detail'!$F$2:$F$181,"&lt;="&amp;2015)</f>
        <v>16.95</v>
      </c>
      <c r="K7" s="65" t="n">
        <f aca="false">SUMIFS('Train detail'!$G$2:$G$181,'Train detail'!$B$2:$B$181,$A7,'Train detail'!$C$2:$C$181,$B7,'Train detail'!$F$2:$F$181,"&lt;="&amp;2016)</f>
        <v>16.95</v>
      </c>
      <c r="L7" s="65" t="n">
        <f aca="false">SUMIFS('Train detail'!$G$2:$G$181,'Train detail'!$B$2:$B$181,$A7,'Train detail'!$C$2:$C$181,$B7,'Train detail'!$F$2:$F$181,"&lt;="&amp;2017)</f>
        <v>16.95</v>
      </c>
      <c r="M7" s="65" t="n">
        <f aca="false">SUMIFS('Train detail'!$G$2:$G$181,'Train detail'!$B$2:$B$181,$A7,'Train detail'!$C$2:$C$181,$B7,'Train detail'!$F$2:$F$181,"&lt;="&amp;2018)</f>
        <v>16.95</v>
      </c>
      <c r="N7" s="65" t="n">
        <f aca="false">SUMIFS('Train detail'!$G$2:$G$181,'Train detail'!$B$2:$B$181,$A7,'Train detail'!$C$2:$C$181,$B7,'Train detail'!$F$2:$F$181,"&lt;="&amp;2019)</f>
        <v>16.95</v>
      </c>
      <c r="O7" s="65" t="n">
        <f aca="false">SUMIFS('Train detail'!$G$2:$G$181,'Train detail'!$B$2:$B$181,$A7,'Train detail'!$C$2:$C$181,$B7,'Train detail'!$F$2:$F$181,"&lt;="&amp;2020)</f>
        <v>16.95</v>
      </c>
      <c r="P7" s="65" t="n">
        <f aca="false">SUMIFS('Train detail'!$G$2:$G$181,'Train detail'!$B$2:$B$181,$A7,'Train detail'!$C$2:$C$181,$B7,'Train detail'!$F$2:$F$181,"&lt;="&amp;2021)</f>
        <v>16.95</v>
      </c>
      <c r="Q7" s="65" t="n">
        <f aca="false">SUMIFS('Train detail'!$G$2:$G$181,'Train detail'!$B$2:$B$181,$A7,'Train detail'!$C$2:$C$181,$B7,'Train detail'!$F$2:$F$181,"&lt;="&amp;2022)</f>
        <v>16.95</v>
      </c>
      <c r="R7" s="65" t="n">
        <f aca="false">SUMIFS('Train detail'!$G$2:$G$181,'Train detail'!$B$2:$B$181,$A7,'Train detail'!$C$2:$C$181,$B7,'Train detail'!$F$2:$F$181,"&lt;="&amp;2023)</f>
        <v>16.95</v>
      </c>
      <c r="S7" s="65" t="n">
        <f aca="false">SUMIFS('Train detail'!$G$2:$G$181,'Train detail'!$B$2:$B$181,$A7,'Train detail'!$C$2:$C$181,$B7,'Train detail'!$F$2:$F$181,"&lt;="&amp;2024)</f>
        <v>16.95</v>
      </c>
      <c r="T7" s="65" t="n">
        <f aca="false">SUMIFS('Train detail'!$G$2:$G$181,'Train detail'!$B$2:$B$181,$A7,'Train detail'!$C$2:$C$181,$B7,'Train detail'!$F$2:$F$181,"&lt;="&amp;2025)</f>
        <v>16.95</v>
      </c>
    </row>
    <row r="8" customFormat="false" ht="15" hidden="false" customHeight="true" outlineLevel="0" collapsed="false">
      <c r="A8" s="56" t="s">
        <v>23</v>
      </c>
      <c r="B8" s="56" t="s">
        <v>60</v>
      </c>
      <c r="C8" s="54" t="n">
        <v>1989</v>
      </c>
      <c r="D8" s="86" t="n">
        <f aca="false">SUMIFS('Train detail'!$G$2:$G$181,'Train detail'!$B$2:$B$181,$A8,'Train detail'!$C$2:$C$181,$B8)</f>
        <v>14.2</v>
      </c>
      <c r="E8" s="57" t="n">
        <f aca="false">SUMIFS('Train detail'!$G$2:$G$181,'Train detail'!$B$2:$B$181,$A8,'Train detail'!$C$2:$C$181,$B8,'Train detail'!$F$2:$F$181,"&lt;="&amp;2010)</f>
        <v>14.2</v>
      </c>
      <c r="F8" s="57" t="n">
        <f aca="false">SUMIFS('Train detail'!$G$2:$G$181,'Train detail'!$B$2:$B$181,$A8,'Train detail'!$C$2:$C$181,$B8,'Train detail'!$F$2:$F$181,"&lt;="&amp;2011)</f>
        <v>14.2</v>
      </c>
      <c r="G8" s="57" t="n">
        <f aca="false">SUMIFS('Train detail'!$G$2:$G$181,'Train detail'!$B$2:$B$181,$A8,'Train detail'!$C$2:$C$181,$B8,'Train detail'!$F$2:$F$181,"&lt;="&amp;2012)</f>
        <v>14.2</v>
      </c>
      <c r="H8" s="57" t="n">
        <f aca="false">SUMIFS('Train detail'!$G$2:$G$181,'Train detail'!$B$2:$B$181,$A8,'Train detail'!$C$2:$C$181,$B8,'Train detail'!$F$2:$F$181,"&lt;="&amp;2013)</f>
        <v>14.2</v>
      </c>
      <c r="I8" s="57" t="n">
        <f aca="false">SUMIFS('Train detail'!$G$2:$G$181,'Train detail'!$B$2:$B$181,$A8,'Train detail'!$C$2:$C$181,$B8,'Train detail'!$F$2:$F$181,"&lt;="&amp;2014)</f>
        <v>14.2</v>
      </c>
      <c r="J8" s="57" t="n">
        <f aca="false">SUMIFS('Train detail'!$G$2:$G$181,'Train detail'!$B$2:$B$181,$A8,'Train detail'!$C$2:$C$181,$B8,'Train detail'!$F$2:$F$181,"&lt;="&amp;2015)</f>
        <v>14.2</v>
      </c>
      <c r="K8" s="57" t="n">
        <f aca="false">SUMIFS('Train detail'!$G$2:$G$181,'Train detail'!$B$2:$B$181,$A8,'Train detail'!$C$2:$C$181,$B8,'Train detail'!$F$2:$F$181,"&lt;="&amp;2016)</f>
        <v>14.2</v>
      </c>
      <c r="L8" s="57" t="n">
        <f aca="false">SUMIFS('Train detail'!$G$2:$G$181,'Train detail'!$B$2:$B$181,$A8,'Train detail'!$C$2:$C$181,$B8,'Train detail'!$F$2:$F$181,"&lt;="&amp;2017)</f>
        <v>14.2</v>
      </c>
      <c r="M8" s="57" t="n">
        <f aca="false">SUMIFS('Train detail'!$G$2:$G$181,'Train detail'!$B$2:$B$181,$A8,'Train detail'!$C$2:$C$181,$B8,'Train detail'!$F$2:$F$181,"&lt;="&amp;2018)</f>
        <v>14.2</v>
      </c>
      <c r="N8" s="57" t="n">
        <f aca="false">SUMIFS('Train detail'!$G$2:$G$181,'Train detail'!$B$2:$B$181,$A8,'Train detail'!$C$2:$C$181,$B8,'Train detail'!$F$2:$F$181,"&lt;="&amp;2019)</f>
        <v>14.2</v>
      </c>
      <c r="O8" s="57" t="n">
        <f aca="false">SUMIFS('Train detail'!$G$2:$G$181,'Train detail'!$B$2:$B$181,$A8,'Train detail'!$C$2:$C$181,$B8,'Train detail'!$F$2:$F$181,"&lt;="&amp;2020)</f>
        <v>14.2</v>
      </c>
      <c r="P8" s="57" t="n">
        <f aca="false">SUMIFS('Train detail'!$G$2:$G$181,'Train detail'!$B$2:$B$181,$A8,'Train detail'!$C$2:$C$181,$B8,'Train detail'!$F$2:$F$181,"&lt;="&amp;2021)</f>
        <v>14.2</v>
      </c>
      <c r="Q8" s="57" t="n">
        <f aca="false">SUMIFS('Train detail'!$G$2:$G$181,'Train detail'!$B$2:$B$181,$A8,'Train detail'!$C$2:$C$181,$B8,'Train detail'!$F$2:$F$181,"&lt;="&amp;2022)</f>
        <v>14.2</v>
      </c>
      <c r="R8" s="57" t="n">
        <f aca="false">SUMIFS('Train detail'!$G$2:$G$181,'Train detail'!$B$2:$B$181,$A8,'Train detail'!$C$2:$C$181,$B8,'Train detail'!$F$2:$F$181,"&lt;="&amp;2023)</f>
        <v>14.2</v>
      </c>
      <c r="S8" s="57" t="n">
        <f aca="false">SUMIFS('Train detail'!$G$2:$G$181,'Train detail'!$B$2:$B$181,$A8,'Train detail'!$C$2:$C$181,$B8,'Train detail'!$F$2:$F$181,"&lt;="&amp;2024)</f>
        <v>14.2</v>
      </c>
      <c r="T8" s="57" t="n">
        <f aca="false">SUMIFS('Train detail'!$G$2:$G$181,'Train detail'!$B$2:$B$181,$A8,'Train detail'!$C$2:$C$181,$B8,'Train detail'!$F$2:$F$181,"&lt;="&amp;2025)</f>
        <v>14.2</v>
      </c>
    </row>
    <row r="9" customFormat="false" ht="15" hidden="false" customHeight="true" outlineLevel="0" collapsed="false">
      <c r="A9" s="64" t="s">
        <v>41</v>
      </c>
      <c r="B9" s="64" t="s">
        <v>90</v>
      </c>
      <c r="C9" s="62" t="n">
        <v>1996</v>
      </c>
      <c r="D9" s="87" t="n">
        <f aca="false">SUMIFS('Train detail'!$G$2:$G$181,'Train detail'!$B$2:$B$181,$A9,'Train detail'!$C$2:$C$181,$B9)</f>
        <v>77.1</v>
      </c>
      <c r="E9" s="65" t="n">
        <f aca="false">SUMIFS('Train detail'!$G$2:$G$181,'Train detail'!$B$2:$B$181,$A9,'Train detail'!$C$2:$C$181,$B9,'Train detail'!$F$2:$F$181,"&lt;="&amp;2010)</f>
        <v>69.3</v>
      </c>
      <c r="F9" s="65" t="n">
        <f aca="false">SUMIFS('Train detail'!$G$2:$G$181,'Train detail'!$B$2:$B$181,$A9,'Train detail'!$C$2:$C$181,$B9,'Train detail'!$F$2:$F$181,"&lt;="&amp;2011)</f>
        <v>77.1</v>
      </c>
      <c r="G9" s="65" t="n">
        <f aca="false">SUMIFS('Train detail'!$G$2:$G$181,'Train detail'!$B$2:$B$181,$A9,'Train detail'!$C$2:$C$181,$B9,'Train detail'!$F$2:$F$181,"&lt;="&amp;2012)</f>
        <v>77.1</v>
      </c>
      <c r="H9" s="65" t="n">
        <f aca="false">SUMIFS('Train detail'!$G$2:$G$181,'Train detail'!$B$2:$B$181,$A9,'Train detail'!$C$2:$C$181,$B9,'Train detail'!$F$2:$F$181,"&lt;="&amp;2013)</f>
        <v>77.1</v>
      </c>
      <c r="I9" s="65" t="n">
        <f aca="false">SUMIFS('Train detail'!$G$2:$G$181,'Train detail'!$B$2:$B$181,$A9,'Train detail'!$C$2:$C$181,$B9,'Train detail'!$F$2:$F$181,"&lt;="&amp;2014)</f>
        <v>77.1</v>
      </c>
      <c r="J9" s="65" t="n">
        <f aca="false">SUMIFS('Train detail'!$G$2:$G$181,'Train detail'!$B$2:$B$181,$A9,'Train detail'!$C$2:$C$181,$B9,'Train detail'!$F$2:$F$181,"&lt;="&amp;2015)</f>
        <v>77.1</v>
      </c>
      <c r="K9" s="65" t="n">
        <f aca="false">SUMIFS('Train detail'!$G$2:$G$181,'Train detail'!$B$2:$B$181,$A9,'Train detail'!$C$2:$C$181,$B9,'Train detail'!$F$2:$F$181,"&lt;="&amp;2016)</f>
        <v>77.1</v>
      </c>
      <c r="L9" s="65" t="n">
        <f aca="false">SUMIFS('Train detail'!$G$2:$G$181,'Train detail'!$B$2:$B$181,$A9,'Train detail'!$C$2:$C$181,$B9,'Train detail'!$F$2:$F$181,"&lt;="&amp;2017)</f>
        <v>77.1</v>
      </c>
      <c r="M9" s="65" t="n">
        <f aca="false">SUMIFS('Train detail'!$G$2:$G$181,'Train detail'!$B$2:$B$181,$A9,'Train detail'!$C$2:$C$181,$B9,'Train detail'!$F$2:$F$181,"&lt;="&amp;2018)</f>
        <v>77.1</v>
      </c>
      <c r="N9" s="65" t="n">
        <f aca="false">SUMIFS('Train detail'!$G$2:$G$181,'Train detail'!$B$2:$B$181,$A9,'Train detail'!$C$2:$C$181,$B9,'Train detail'!$F$2:$F$181,"&lt;="&amp;2019)</f>
        <v>77.1</v>
      </c>
      <c r="O9" s="65" t="n">
        <f aca="false">SUMIFS('Train detail'!$G$2:$G$181,'Train detail'!$B$2:$B$181,$A9,'Train detail'!$C$2:$C$181,$B9,'Train detail'!$F$2:$F$181,"&lt;="&amp;2020)</f>
        <v>77.1</v>
      </c>
      <c r="P9" s="65" t="n">
        <f aca="false">SUMIFS('Train detail'!$G$2:$G$181,'Train detail'!$B$2:$B$181,$A9,'Train detail'!$C$2:$C$181,$B9,'Train detail'!$F$2:$F$181,"&lt;="&amp;2021)</f>
        <v>77.1</v>
      </c>
      <c r="Q9" s="65" t="n">
        <f aca="false">SUMIFS('Train detail'!$G$2:$G$181,'Train detail'!$B$2:$B$181,$A9,'Train detail'!$C$2:$C$181,$B9,'Train detail'!$F$2:$F$181,"&lt;="&amp;2022)</f>
        <v>77.1</v>
      </c>
      <c r="R9" s="65" t="n">
        <f aca="false">SUMIFS('Train detail'!$G$2:$G$181,'Train detail'!$B$2:$B$181,$A9,'Train detail'!$C$2:$C$181,$B9,'Train detail'!$F$2:$F$181,"&lt;="&amp;2023)</f>
        <v>77.1</v>
      </c>
      <c r="S9" s="65" t="n">
        <f aca="false">SUMIFS('Train detail'!$G$2:$G$181,'Train detail'!$B$2:$B$181,$A9,'Train detail'!$C$2:$C$181,$B9,'Train detail'!$F$2:$F$181,"&lt;="&amp;2024)</f>
        <v>77.1</v>
      </c>
      <c r="T9" s="65" t="n">
        <f aca="false">SUMIFS('Train detail'!$G$2:$G$181,'Train detail'!$B$2:$B$181,$A9,'Train detail'!$C$2:$C$181,$B9,'Train detail'!$F$2:$F$181,"&lt;="&amp;2025)</f>
        <v>77.1</v>
      </c>
    </row>
    <row r="10" customFormat="false" ht="15" hidden="false" customHeight="true" outlineLevel="0" collapsed="false">
      <c r="A10" s="56" t="s">
        <v>36</v>
      </c>
      <c r="B10" s="56" t="s">
        <v>84</v>
      </c>
      <c r="C10" s="54" t="n">
        <v>1999</v>
      </c>
      <c r="D10" s="86" t="n">
        <f aca="false">SUMIFS('Train detail'!$G$2:$G$181,'Train detail'!$B$2:$B$181,$A10,'Train detail'!$C$2:$C$181,$B10)</f>
        <v>22.2</v>
      </c>
      <c r="E10" s="57" t="n">
        <f aca="false">SUMIFS('Train detail'!$G$2:$G$181,'Train detail'!$B$2:$B$181,$A10,'Train detail'!$C$2:$C$181,$B10,'Train detail'!$F$2:$F$181,"&lt;="&amp;2010)</f>
        <v>22.2</v>
      </c>
      <c r="F10" s="57" t="n">
        <f aca="false">SUMIFS('Train detail'!$G$2:$G$181,'Train detail'!$B$2:$B$181,$A10,'Train detail'!$C$2:$C$181,$B10,'Train detail'!$F$2:$F$181,"&lt;="&amp;2011)</f>
        <v>22.2</v>
      </c>
      <c r="G10" s="57" t="n">
        <f aca="false">SUMIFS('Train detail'!$G$2:$G$181,'Train detail'!$B$2:$B$181,$A10,'Train detail'!$C$2:$C$181,$B10,'Train detail'!$F$2:$F$181,"&lt;="&amp;2012)</f>
        <v>22.2</v>
      </c>
      <c r="H10" s="57" t="n">
        <f aca="false">SUMIFS('Train detail'!$G$2:$G$181,'Train detail'!$B$2:$B$181,$A10,'Train detail'!$C$2:$C$181,$B10,'Train detail'!$F$2:$F$181,"&lt;="&amp;2013)</f>
        <v>22.2</v>
      </c>
      <c r="I10" s="57" t="n">
        <f aca="false">SUMIFS('Train detail'!$G$2:$G$181,'Train detail'!$B$2:$B$181,$A10,'Train detail'!$C$2:$C$181,$B10,'Train detail'!$F$2:$F$181,"&lt;="&amp;2014)</f>
        <v>22.2</v>
      </c>
      <c r="J10" s="57" t="n">
        <f aca="false">SUMIFS('Train detail'!$G$2:$G$181,'Train detail'!$B$2:$B$181,$A10,'Train detail'!$C$2:$C$181,$B10,'Train detail'!$F$2:$F$181,"&lt;="&amp;2015)</f>
        <v>22.2</v>
      </c>
      <c r="K10" s="57" t="n">
        <f aca="false">SUMIFS('Train detail'!$G$2:$G$181,'Train detail'!$B$2:$B$181,$A10,'Train detail'!$C$2:$C$181,$B10,'Train detail'!$F$2:$F$181,"&lt;="&amp;2016)</f>
        <v>22.2</v>
      </c>
      <c r="L10" s="57" t="n">
        <f aca="false">SUMIFS('Train detail'!$G$2:$G$181,'Train detail'!$B$2:$B$181,$A10,'Train detail'!$C$2:$C$181,$B10,'Train detail'!$F$2:$F$181,"&lt;="&amp;2017)</f>
        <v>22.2</v>
      </c>
      <c r="M10" s="57" t="n">
        <f aca="false">SUMIFS('Train detail'!$G$2:$G$181,'Train detail'!$B$2:$B$181,$A10,'Train detail'!$C$2:$C$181,$B10,'Train detail'!$F$2:$F$181,"&lt;="&amp;2018)</f>
        <v>22.2</v>
      </c>
      <c r="N10" s="57" t="n">
        <f aca="false">SUMIFS('Train detail'!$G$2:$G$181,'Train detail'!$B$2:$B$181,$A10,'Train detail'!$C$2:$C$181,$B10,'Train detail'!$F$2:$F$181,"&lt;="&amp;2019)</f>
        <v>22.2</v>
      </c>
      <c r="O10" s="57" t="n">
        <f aca="false">SUMIFS('Train detail'!$G$2:$G$181,'Train detail'!$B$2:$B$181,$A10,'Train detail'!$C$2:$C$181,$B10,'Train detail'!$F$2:$F$181,"&lt;="&amp;2020)</f>
        <v>22.2</v>
      </c>
      <c r="P10" s="57" t="n">
        <f aca="false">SUMIFS('Train detail'!$G$2:$G$181,'Train detail'!$B$2:$B$181,$A10,'Train detail'!$C$2:$C$181,$B10,'Train detail'!$F$2:$F$181,"&lt;="&amp;2021)</f>
        <v>22.2</v>
      </c>
      <c r="Q10" s="57" t="n">
        <f aca="false">SUMIFS('Train detail'!$G$2:$G$181,'Train detail'!$B$2:$B$181,$A10,'Train detail'!$C$2:$C$181,$B10,'Train detail'!$F$2:$F$181,"&lt;="&amp;2022)</f>
        <v>22.2</v>
      </c>
      <c r="R10" s="57" t="n">
        <f aca="false">SUMIFS('Train detail'!$G$2:$G$181,'Train detail'!$B$2:$B$181,$A10,'Train detail'!$C$2:$C$181,$B10,'Train detail'!$F$2:$F$181,"&lt;="&amp;2023)</f>
        <v>22.2</v>
      </c>
      <c r="S10" s="57" t="n">
        <f aca="false">SUMIFS('Train detail'!$G$2:$G$181,'Train detail'!$B$2:$B$181,$A10,'Train detail'!$C$2:$C$181,$B10,'Train detail'!$F$2:$F$181,"&lt;="&amp;2024)</f>
        <v>22.2</v>
      </c>
      <c r="T10" s="57" t="n">
        <f aca="false">SUMIFS('Train detail'!$G$2:$G$181,'Train detail'!$B$2:$B$181,$A10,'Train detail'!$C$2:$C$181,$B10,'Train detail'!$F$2:$F$181,"&lt;="&amp;2025)</f>
        <v>22.2</v>
      </c>
    </row>
    <row r="11" customFormat="false" ht="15" hidden="false" customHeight="true" outlineLevel="0" collapsed="false">
      <c r="A11" s="64" t="s">
        <v>38</v>
      </c>
      <c r="B11" s="64" t="s">
        <v>87</v>
      </c>
      <c r="C11" s="62" t="n">
        <v>2000</v>
      </c>
      <c r="D11" s="87" t="n">
        <f aca="false">SUMIFS('Train detail'!$G$2:$G$181,'Train detail'!$B$2:$B$181,$A11,'Train detail'!$C$2:$C$181,$B11)</f>
        <v>10.4</v>
      </c>
      <c r="E11" s="65" t="n">
        <f aca="false">SUMIFS('Train detail'!$G$2:$G$181,'Train detail'!$B$2:$B$181,$A11,'Train detail'!$C$2:$C$181,$B11,'Train detail'!$F$2:$F$181,"&lt;="&amp;2010)</f>
        <v>10.4</v>
      </c>
      <c r="F11" s="65" t="n">
        <f aca="false">SUMIFS('Train detail'!$G$2:$G$181,'Train detail'!$B$2:$B$181,$A11,'Train detail'!$C$2:$C$181,$B11,'Train detail'!$F$2:$F$181,"&lt;="&amp;2011)</f>
        <v>10.4</v>
      </c>
      <c r="G11" s="65" t="n">
        <f aca="false">SUMIFS('Train detail'!$G$2:$G$181,'Train detail'!$B$2:$B$181,$A11,'Train detail'!$C$2:$C$181,$B11,'Train detail'!$F$2:$F$181,"&lt;="&amp;2012)</f>
        <v>10.4</v>
      </c>
      <c r="H11" s="65" t="n">
        <f aca="false">SUMIFS('Train detail'!$G$2:$G$181,'Train detail'!$B$2:$B$181,$A11,'Train detail'!$C$2:$C$181,$B11,'Train detail'!$F$2:$F$181,"&lt;="&amp;2013)</f>
        <v>10.4</v>
      </c>
      <c r="I11" s="65" t="n">
        <f aca="false">SUMIFS('Train detail'!$G$2:$G$181,'Train detail'!$B$2:$B$181,$A11,'Train detail'!$C$2:$C$181,$B11,'Train detail'!$F$2:$F$181,"&lt;="&amp;2014)</f>
        <v>10.4</v>
      </c>
      <c r="J11" s="65" t="n">
        <f aca="false">SUMIFS('Train detail'!$G$2:$G$181,'Train detail'!$B$2:$B$181,$A11,'Train detail'!$C$2:$C$181,$B11,'Train detail'!$F$2:$F$181,"&lt;="&amp;2015)</f>
        <v>10.4</v>
      </c>
      <c r="K11" s="65" t="n">
        <f aca="false">SUMIFS('Train detail'!$G$2:$G$181,'Train detail'!$B$2:$B$181,$A11,'Train detail'!$C$2:$C$181,$B11,'Train detail'!$F$2:$F$181,"&lt;="&amp;2016)</f>
        <v>10.4</v>
      </c>
      <c r="L11" s="65" t="n">
        <f aca="false">SUMIFS('Train detail'!$G$2:$G$181,'Train detail'!$B$2:$B$181,$A11,'Train detail'!$C$2:$C$181,$B11,'Train detail'!$F$2:$F$181,"&lt;="&amp;2017)</f>
        <v>10.4</v>
      </c>
      <c r="M11" s="65" t="n">
        <f aca="false">SUMIFS('Train detail'!$G$2:$G$181,'Train detail'!$B$2:$B$181,$A11,'Train detail'!$C$2:$C$181,$B11,'Train detail'!$F$2:$F$181,"&lt;="&amp;2018)</f>
        <v>10.4</v>
      </c>
      <c r="N11" s="65" t="n">
        <f aca="false">SUMIFS('Train detail'!$G$2:$G$181,'Train detail'!$B$2:$B$181,$A11,'Train detail'!$C$2:$C$181,$B11,'Train detail'!$F$2:$F$181,"&lt;="&amp;2019)</f>
        <v>10.4</v>
      </c>
      <c r="O11" s="65" t="n">
        <f aca="false">SUMIFS('Train detail'!$G$2:$G$181,'Train detail'!$B$2:$B$181,$A11,'Train detail'!$C$2:$C$181,$B11,'Train detail'!$F$2:$F$181,"&lt;="&amp;2020)</f>
        <v>10.4</v>
      </c>
      <c r="P11" s="65" t="n">
        <f aca="false">SUMIFS('Train detail'!$G$2:$G$181,'Train detail'!$B$2:$B$181,$A11,'Train detail'!$C$2:$C$181,$B11,'Train detail'!$F$2:$F$181,"&lt;="&amp;2021)</f>
        <v>10.4</v>
      </c>
      <c r="Q11" s="65" t="n">
        <f aca="false">SUMIFS('Train detail'!$G$2:$G$181,'Train detail'!$B$2:$B$181,$A11,'Train detail'!$C$2:$C$181,$B11,'Train detail'!$F$2:$F$181,"&lt;="&amp;2022)</f>
        <v>10.4</v>
      </c>
      <c r="R11" s="65" t="n">
        <f aca="false">SUMIFS('Train detail'!$G$2:$G$181,'Train detail'!$B$2:$B$181,$A11,'Train detail'!$C$2:$C$181,$B11,'Train detail'!$F$2:$F$181,"&lt;="&amp;2023)</f>
        <v>10.4</v>
      </c>
      <c r="S11" s="65" t="n">
        <f aca="false">SUMIFS('Train detail'!$G$2:$G$181,'Train detail'!$B$2:$B$181,$A11,'Train detail'!$C$2:$C$181,$B11,'Train detail'!$F$2:$F$181,"&lt;="&amp;2024)</f>
        <v>10.4</v>
      </c>
      <c r="T11" s="65" t="n">
        <f aca="false">SUMIFS('Train detail'!$G$2:$G$181,'Train detail'!$B$2:$B$181,$A11,'Train detail'!$C$2:$C$181,$B11,'Train detail'!$F$2:$F$181,"&lt;="&amp;2025)</f>
        <v>10.4</v>
      </c>
    </row>
    <row r="12" customFormat="false" ht="15" hidden="false" customHeight="true" outlineLevel="0" collapsed="false">
      <c r="A12" s="56" t="s">
        <v>43</v>
      </c>
      <c r="B12" s="56" t="s">
        <v>96</v>
      </c>
      <c r="C12" s="54" t="n">
        <v>2002</v>
      </c>
      <c r="D12" s="86" t="n">
        <f aca="false">SUMIFS('Train detail'!$G$2:$G$181,'Train detail'!$B$2:$B$181,$A12,'Train detail'!$C$2:$C$181,$B12)</f>
        <v>11.8</v>
      </c>
      <c r="E12" s="57" t="n">
        <f aca="false">SUMIFS('Train detail'!$G$2:$G$181,'Train detail'!$B$2:$B$181,$A12,'Train detail'!$C$2:$C$181,$B12,'Train detail'!$F$2:$F$181,"&lt;="&amp;2010)</f>
        <v>11.8</v>
      </c>
      <c r="F12" s="57" t="n">
        <f aca="false">SUMIFS('Train detail'!$G$2:$G$181,'Train detail'!$B$2:$B$181,$A12,'Train detail'!$C$2:$C$181,$B12,'Train detail'!$F$2:$F$181,"&lt;="&amp;2011)</f>
        <v>11.8</v>
      </c>
      <c r="G12" s="57" t="n">
        <f aca="false">SUMIFS('Train detail'!$G$2:$G$181,'Train detail'!$B$2:$B$181,$A12,'Train detail'!$C$2:$C$181,$B12,'Train detail'!$F$2:$F$181,"&lt;="&amp;2012)</f>
        <v>11.8</v>
      </c>
      <c r="H12" s="57" t="n">
        <f aca="false">SUMIFS('Train detail'!$G$2:$G$181,'Train detail'!$B$2:$B$181,$A12,'Train detail'!$C$2:$C$181,$B12,'Train detail'!$F$2:$F$181,"&lt;="&amp;2013)</f>
        <v>11.8</v>
      </c>
      <c r="I12" s="57" t="n">
        <f aca="false">SUMIFS('Train detail'!$G$2:$G$181,'Train detail'!$B$2:$B$181,$A12,'Train detail'!$C$2:$C$181,$B12,'Train detail'!$F$2:$F$181,"&lt;="&amp;2014)</f>
        <v>11.8</v>
      </c>
      <c r="J12" s="57" t="n">
        <f aca="false">SUMIFS('Train detail'!$G$2:$G$181,'Train detail'!$B$2:$B$181,$A12,'Train detail'!$C$2:$C$181,$B12,'Train detail'!$F$2:$F$181,"&lt;="&amp;2015)</f>
        <v>11.8</v>
      </c>
      <c r="K12" s="57" t="n">
        <f aca="false">SUMIFS('Train detail'!$G$2:$G$181,'Train detail'!$B$2:$B$181,$A12,'Train detail'!$C$2:$C$181,$B12,'Train detail'!$F$2:$F$181,"&lt;="&amp;2016)</f>
        <v>11.8</v>
      </c>
      <c r="L12" s="57" t="n">
        <f aca="false">SUMIFS('Train detail'!$G$2:$G$181,'Train detail'!$B$2:$B$181,$A12,'Train detail'!$C$2:$C$181,$B12,'Train detail'!$F$2:$F$181,"&lt;="&amp;2017)</f>
        <v>11.8</v>
      </c>
      <c r="M12" s="57" t="n">
        <f aca="false">SUMIFS('Train detail'!$G$2:$G$181,'Train detail'!$B$2:$B$181,$A12,'Train detail'!$C$2:$C$181,$B12,'Train detail'!$F$2:$F$181,"&lt;="&amp;2018)</f>
        <v>11.8</v>
      </c>
      <c r="N12" s="57" t="n">
        <f aca="false">SUMIFS('Train detail'!$G$2:$G$181,'Train detail'!$B$2:$B$181,$A12,'Train detail'!$C$2:$C$181,$B12,'Train detail'!$F$2:$F$181,"&lt;="&amp;2019)</f>
        <v>11.8</v>
      </c>
      <c r="O12" s="57" t="n">
        <f aca="false">SUMIFS('Train detail'!$G$2:$G$181,'Train detail'!$B$2:$B$181,$A12,'Train detail'!$C$2:$C$181,$B12,'Train detail'!$F$2:$F$181,"&lt;="&amp;2020)</f>
        <v>11.8</v>
      </c>
      <c r="P12" s="57" t="n">
        <f aca="false">SUMIFS('Train detail'!$G$2:$G$181,'Train detail'!$B$2:$B$181,$A12,'Train detail'!$C$2:$C$181,$B12,'Train detail'!$F$2:$F$181,"&lt;="&amp;2021)</f>
        <v>11.8</v>
      </c>
      <c r="Q12" s="57" t="n">
        <f aca="false">SUMIFS('Train detail'!$G$2:$G$181,'Train detail'!$B$2:$B$181,$A12,'Train detail'!$C$2:$C$181,$B12,'Train detail'!$F$2:$F$181,"&lt;="&amp;2022)</f>
        <v>11.8</v>
      </c>
      <c r="R12" s="57" t="n">
        <f aca="false">SUMIFS('Train detail'!$G$2:$G$181,'Train detail'!$B$2:$B$181,$A12,'Train detail'!$C$2:$C$181,$B12,'Train detail'!$F$2:$F$181,"&lt;="&amp;2023)</f>
        <v>11.8</v>
      </c>
      <c r="S12" s="57" t="n">
        <f aca="false">SUMIFS('Train detail'!$G$2:$G$181,'Train detail'!$B$2:$B$181,$A12,'Train detail'!$C$2:$C$181,$B12,'Train detail'!$F$2:$F$181,"&lt;="&amp;2024)</f>
        <v>11.8</v>
      </c>
      <c r="T12" s="57" t="n">
        <f aca="false">SUMIFS('Train detail'!$G$2:$G$181,'Train detail'!$B$2:$B$181,$A12,'Train detail'!$C$2:$C$181,$B12,'Train detail'!$F$2:$F$181,"&lt;="&amp;2025)</f>
        <v>11.8</v>
      </c>
    </row>
    <row r="13" customFormat="false" ht="15" hidden="false" customHeight="true" outlineLevel="0" collapsed="false">
      <c r="A13" s="64" t="s">
        <v>29</v>
      </c>
      <c r="B13" s="64" t="s">
        <v>71</v>
      </c>
      <c r="C13" s="62" t="n">
        <v>2005</v>
      </c>
      <c r="D13" s="87" t="n">
        <f aca="false">SUMIFS('Train detail'!$G$2:$G$181,'Train detail'!$B$2:$B$181,$A13,'Train detail'!$C$2:$C$181,$B13)</f>
        <v>5</v>
      </c>
      <c r="E13" s="65" t="n">
        <f aca="false">SUMIFS('Train detail'!$G$2:$G$181,'Train detail'!$B$2:$B$181,$A13,'Train detail'!$C$2:$C$181,$B13,'Train detail'!$F$2:$F$181,"&lt;="&amp;2010)</f>
        <v>5</v>
      </c>
      <c r="F13" s="65" t="n">
        <f aca="false">SUMIFS('Train detail'!$G$2:$G$181,'Train detail'!$B$2:$B$181,$A13,'Train detail'!$C$2:$C$181,$B13,'Train detail'!$F$2:$F$181,"&lt;="&amp;2011)</f>
        <v>5</v>
      </c>
      <c r="G13" s="65" t="n">
        <f aca="false">SUMIFS('Train detail'!$G$2:$G$181,'Train detail'!$B$2:$B$181,$A13,'Train detail'!$C$2:$C$181,$B13,'Train detail'!$F$2:$F$181,"&lt;="&amp;2012)</f>
        <v>5</v>
      </c>
      <c r="H13" s="65" t="n">
        <f aca="false">SUMIFS('Train detail'!$G$2:$G$181,'Train detail'!$B$2:$B$181,$A13,'Train detail'!$C$2:$C$181,$B13,'Train detail'!$F$2:$F$181,"&lt;="&amp;2013)</f>
        <v>5</v>
      </c>
      <c r="I13" s="65" t="n">
        <f aca="false">SUMIFS('Train detail'!$G$2:$G$181,'Train detail'!$B$2:$B$181,$A13,'Train detail'!$C$2:$C$181,$B13,'Train detail'!$F$2:$F$181,"&lt;="&amp;2014)</f>
        <v>5</v>
      </c>
      <c r="J13" s="65" t="n">
        <f aca="false">SUMIFS('Train detail'!$G$2:$G$181,'Train detail'!$B$2:$B$181,$A13,'Train detail'!$C$2:$C$181,$B13,'Train detail'!$F$2:$F$181,"&lt;="&amp;2015)</f>
        <v>5</v>
      </c>
      <c r="K13" s="65" t="n">
        <f aca="false">SUMIFS('Train detail'!$G$2:$G$181,'Train detail'!$B$2:$B$181,$A13,'Train detail'!$C$2:$C$181,$B13,'Train detail'!$F$2:$F$181,"&lt;="&amp;2016)</f>
        <v>5</v>
      </c>
      <c r="L13" s="65" t="n">
        <f aca="false">SUMIFS('Train detail'!$G$2:$G$181,'Train detail'!$B$2:$B$181,$A13,'Train detail'!$C$2:$C$181,$B13,'Train detail'!$F$2:$F$181,"&lt;="&amp;2017)</f>
        <v>5</v>
      </c>
      <c r="M13" s="65" t="n">
        <f aca="false">SUMIFS('Train detail'!$G$2:$G$181,'Train detail'!$B$2:$B$181,$A13,'Train detail'!$C$2:$C$181,$B13,'Train detail'!$F$2:$F$181,"&lt;="&amp;2018)</f>
        <v>5</v>
      </c>
      <c r="N13" s="65" t="n">
        <f aca="false">SUMIFS('Train detail'!$G$2:$G$181,'Train detail'!$B$2:$B$181,$A13,'Train detail'!$C$2:$C$181,$B13,'Train detail'!$F$2:$F$181,"&lt;="&amp;2019)</f>
        <v>5</v>
      </c>
      <c r="O13" s="65" t="n">
        <f aca="false">SUMIFS('Train detail'!$G$2:$G$181,'Train detail'!$B$2:$B$181,$A13,'Train detail'!$C$2:$C$181,$B13,'Train detail'!$F$2:$F$181,"&lt;="&amp;2020)</f>
        <v>5</v>
      </c>
      <c r="P13" s="65" t="n">
        <f aca="false">SUMIFS('Train detail'!$G$2:$G$181,'Train detail'!$B$2:$B$181,$A13,'Train detail'!$C$2:$C$181,$B13,'Train detail'!$F$2:$F$181,"&lt;="&amp;2021)</f>
        <v>5</v>
      </c>
      <c r="Q13" s="65" t="n">
        <f aca="false">SUMIFS('Train detail'!$G$2:$G$181,'Train detail'!$B$2:$B$181,$A13,'Train detail'!$C$2:$C$181,$B13,'Train detail'!$F$2:$F$181,"&lt;="&amp;2022)</f>
        <v>5</v>
      </c>
      <c r="R13" s="65" t="n">
        <f aca="false">SUMIFS('Train detail'!$G$2:$G$181,'Train detail'!$B$2:$B$181,$A13,'Train detail'!$C$2:$C$181,$B13,'Train detail'!$F$2:$F$181,"&lt;="&amp;2023)</f>
        <v>5</v>
      </c>
      <c r="S13" s="65" t="n">
        <f aca="false">SUMIFS('Train detail'!$G$2:$G$181,'Train detail'!$B$2:$B$181,$A13,'Train detail'!$C$2:$C$181,$B13,'Train detail'!$F$2:$F$181,"&lt;="&amp;2024)</f>
        <v>5</v>
      </c>
      <c r="T13" s="65" t="n">
        <f aca="false">SUMIFS('Train detail'!$G$2:$G$181,'Train detail'!$B$2:$B$181,$A13,'Train detail'!$C$2:$C$181,$B13,'Train detail'!$F$2:$F$181,"&lt;="&amp;2025)</f>
        <v>5</v>
      </c>
    </row>
    <row r="14" customFormat="false" ht="15" hidden="false" customHeight="true" outlineLevel="0" collapsed="false">
      <c r="A14" s="56" t="s">
        <v>29</v>
      </c>
      <c r="B14" s="56" t="s">
        <v>72</v>
      </c>
      <c r="C14" s="54" t="n">
        <v>2005</v>
      </c>
      <c r="D14" s="86" t="n">
        <f aca="false">SUMIFS('Train detail'!$G$2:$G$181,'Train detail'!$B$2:$B$181,$A14,'Train detail'!$C$2:$C$181,$B14)</f>
        <v>7.2</v>
      </c>
      <c r="E14" s="57" t="n">
        <f aca="false">SUMIFS('Train detail'!$G$2:$G$181,'Train detail'!$B$2:$B$181,$A14,'Train detail'!$C$2:$C$181,$B14,'Train detail'!$F$2:$F$181,"&lt;="&amp;2010)</f>
        <v>7.2</v>
      </c>
      <c r="F14" s="57" t="n">
        <f aca="false">SUMIFS('Train detail'!$G$2:$G$181,'Train detail'!$B$2:$B$181,$A14,'Train detail'!$C$2:$C$181,$B14,'Train detail'!$F$2:$F$181,"&lt;="&amp;2011)</f>
        <v>7.2</v>
      </c>
      <c r="G14" s="57" t="n">
        <f aca="false">SUMIFS('Train detail'!$G$2:$G$181,'Train detail'!$B$2:$B$181,$A14,'Train detail'!$C$2:$C$181,$B14,'Train detail'!$F$2:$F$181,"&lt;="&amp;2012)</f>
        <v>7.2</v>
      </c>
      <c r="H14" s="57" t="n">
        <f aca="false">SUMIFS('Train detail'!$G$2:$G$181,'Train detail'!$B$2:$B$181,$A14,'Train detail'!$C$2:$C$181,$B14,'Train detail'!$F$2:$F$181,"&lt;="&amp;2013)</f>
        <v>7.2</v>
      </c>
      <c r="I14" s="57" t="n">
        <f aca="false">SUMIFS('Train detail'!$G$2:$G$181,'Train detail'!$B$2:$B$181,$A14,'Train detail'!$C$2:$C$181,$B14,'Train detail'!$F$2:$F$181,"&lt;="&amp;2014)</f>
        <v>7.2</v>
      </c>
      <c r="J14" s="57" t="n">
        <f aca="false">SUMIFS('Train detail'!$G$2:$G$181,'Train detail'!$B$2:$B$181,$A14,'Train detail'!$C$2:$C$181,$B14,'Train detail'!$F$2:$F$181,"&lt;="&amp;2015)</f>
        <v>7.2</v>
      </c>
      <c r="K14" s="57" t="n">
        <f aca="false">SUMIFS('Train detail'!$G$2:$G$181,'Train detail'!$B$2:$B$181,$A14,'Train detail'!$C$2:$C$181,$B14,'Train detail'!$F$2:$F$181,"&lt;="&amp;2016)</f>
        <v>7.2</v>
      </c>
      <c r="L14" s="57" t="n">
        <f aca="false">SUMIFS('Train detail'!$G$2:$G$181,'Train detail'!$B$2:$B$181,$A14,'Train detail'!$C$2:$C$181,$B14,'Train detail'!$F$2:$F$181,"&lt;="&amp;2017)</f>
        <v>7.2</v>
      </c>
      <c r="M14" s="57" t="n">
        <f aca="false">SUMIFS('Train detail'!$G$2:$G$181,'Train detail'!$B$2:$B$181,$A14,'Train detail'!$C$2:$C$181,$B14,'Train detail'!$F$2:$F$181,"&lt;="&amp;2018)</f>
        <v>7.2</v>
      </c>
      <c r="N14" s="57" t="n">
        <f aca="false">SUMIFS('Train detail'!$G$2:$G$181,'Train detail'!$B$2:$B$181,$A14,'Train detail'!$C$2:$C$181,$B14,'Train detail'!$F$2:$F$181,"&lt;="&amp;2019)</f>
        <v>7.2</v>
      </c>
      <c r="O14" s="57" t="n">
        <f aca="false">SUMIFS('Train detail'!$G$2:$G$181,'Train detail'!$B$2:$B$181,$A14,'Train detail'!$C$2:$C$181,$B14,'Train detail'!$F$2:$F$181,"&lt;="&amp;2020)</f>
        <v>7.2</v>
      </c>
      <c r="P14" s="57" t="n">
        <f aca="false">SUMIFS('Train detail'!$G$2:$G$181,'Train detail'!$B$2:$B$181,$A14,'Train detail'!$C$2:$C$181,$B14,'Train detail'!$F$2:$F$181,"&lt;="&amp;2021)</f>
        <v>7.2</v>
      </c>
      <c r="Q14" s="57" t="n">
        <f aca="false">SUMIFS('Train detail'!$G$2:$G$181,'Train detail'!$B$2:$B$181,$A14,'Train detail'!$C$2:$C$181,$B14,'Train detail'!$F$2:$F$181,"&lt;="&amp;2022)</f>
        <v>7.2</v>
      </c>
      <c r="R14" s="57" t="n">
        <f aca="false">SUMIFS('Train detail'!$G$2:$G$181,'Train detail'!$B$2:$B$181,$A14,'Train detail'!$C$2:$C$181,$B14,'Train detail'!$F$2:$F$181,"&lt;="&amp;2023)</f>
        <v>7.2</v>
      </c>
      <c r="S14" s="57" t="n">
        <f aca="false">SUMIFS('Train detail'!$G$2:$G$181,'Train detail'!$B$2:$B$181,$A14,'Train detail'!$C$2:$C$181,$B14,'Train detail'!$F$2:$F$181,"&lt;="&amp;2024)</f>
        <v>7.2</v>
      </c>
      <c r="T14" s="57" t="n">
        <f aca="false">SUMIFS('Train detail'!$G$2:$G$181,'Train detail'!$B$2:$B$181,$A14,'Train detail'!$C$2:$C$181,$B14,'Train detail'!$F$2:$F$181,"&lt;="&amp;2025)</f>
        <v>7.2</v>
      </c>
    </row>
    <row r="15" customFormat="false" ht="15" hidden="false" customHeight="true" outlineLevel="0" collapsed="false">
      <c r="A15" s="64" t="s">
        <v>23</v>
      </c>
      <c r="B15" s="64" t="s">
        <v>56</v>
      </c>
      <c r="C15" s="62" t="n">
        <v>2006</v>
      </c>
      <c r="D15" s="87" t="n">
        <f aca="false">SUMIFS('Train detail'!$G$2:$G$181,'Train detail'!$B$2:$B$181,$A15,'Train detail'!$C$2:$C$181,$B15)</f>
        <v>3.7</v>
      </c>
      <c r="E15" s="65" t="n">
        <f aca="false">SUMIFS('Train detail'!$G$2:$G$181,'Train detail'!$B$2:$B$181,$A15,'Train detail'!$C$2:$C$181,$B15,'Train detail'!$F$2:$F$181,"&lt;="&amp;2010)</f>
        <v>3.7</v>
      </c>
      <c r="F15" s="65" t="n">
        <f aca="false">SUMIFS('Train detail'!$G$2:$G$181,'Train detail'!$B$2:$B$181,$A15,'Train detail'!$C$2:$C$181,$B15,'Train detail'!$F$2:$F$181,"&lt;="&amp;2011)</f>
        <v>3.7</v>
      </c>
      <c r="G15" s="65" t="n">
        <f aca="false">SUMIFS('Train detail'!$G$2:$G$181,'Train detail'!$B$2:$B$181,$A15,'Train detail'!$C$2:$C$181,$B15,'Train detail'!$F$2:$F$181,"&lt;="&amp;2012)</f>
        <v>3.7</v>
      </c>
      <c r="H15" s="65" t="n">
        <f aca="false">SUMIFS('Train detail'!$G$2:$G$181,'Train detail'!$B$2:$B$181,$A15,'Train detail'!$C$2:$C$181,$B15,'Train detail'!$F$2:$F$181,"&lt;="&amp;2013)</f>
        <v>3.7</v>
      </c>
      <c r="I15" s="65" t="n">
        <f aca="false">SUMIFS('Train detail'!$G$2:$G$181,'Train detail'!$B$2:$B$181,$A15,'Train detail'!$C$2:$C$181,$B15,'Train detail'!$F$2:$F$181,"&lt;="&amp;2014)</f>
        <v>3.7</v>
      </c>
      <c r="J15" s="65" t="n">
        <f aca="false">SUMIFS('Train detail'!$G$2:$G$181,'Train detail'!$B$2:$B$181,$A15,'Train detail'!$C$2:$C$181,$B15,'Train detail'!$F$2:$F$181,"&lt;="&amp;2015)</f>
        <v>3.7</v>
      </c>
      <c r="K15" s="65" t="n">
        <f aca="false">SUMIFS('Train detail'!$G$2:$G$181,'Train detail'!$B$2:$B$181,$A15,'Train detail'!$C$2:$C$181,$B15,'Train detail'!$F$2:$F$181,"&lt;="&amp;2016)</f>
        <v>3.7</v>
      </c>
      <c r="L15" s="65" t="n">
        <f aca="false">SUMIFS('Train detail'!$G$2:$G$181,'Train detail'!$B$2:$B$181,$A15,'Train detail'!$C$2:$C$181,$B15,'Train detail'!$F$2:$F$181,"&lt;="&amp;2017)</f>
        <v>3.7</v>
      </c>
      <c r="M15" s="65" t="n">
        <f aca="false">SUMIFS('Train detail'!$G$2:$G$181,'Train detail'!$B$2:$B$181,$A15,'Train detail'!$C$2:$C$181,$B15,'Train detail'!$F$2:$F$181,"&lt;="&amp;2018)</f>
        <v>3.7</v>
      </c>
      <c r="N15" s="65" t="n">
        <f aca="false">SUMIFS('Train detail'!$G$2:$G$181,'Train detail'!$B$2:$B$181,$A15,'Train detail'!$C$2:$C$181,$B15,'Train detail'!$F$2:$F$181,"&lt;="&amp;2019)</f>
        <v>3.7</v>
      </c>
      <c r="O15" s="65" t="n">
        <f aca="false">SUMIFS('Train detail'!$G$2:$G$181,'Train detail'!$B$2:$B$181,$A15,'Train detail'!$C$2:$C$181,$B15,'Train detail'!$F$2:$F$181,"&lt;="&amp;2020)</f>
        <v>3.7</v>
      </c>
      <c r="P15" s="65" t="n">
        <f aca="false">SUMIFS('Train detail'!$G$2:$G$181,'Train detail'!$B$2:$B$181,$A15,'Train detail'!$C$2:$C$181,$B15,'Train detail'!$F$2:$F$181,"&lt;="&amp;2021)</f>
        <v>3.7</v>
      </c>
      <c r="Q15" s="65" t="n">
        <f aca="false">SUMIFS('Train detail'!$G$2:$G$181,'Train detail'!$B$2:$B$181,$A15,'Train detail'!$C$2:$C$181,$B15,'Train detail'!$F$2:$F$181,"&lt;="&amp;2022)</f>
        <v>3.7</v>
      </c>
      <c r="R15" s="65" t="n">
        <f aca="false">SUMIFS('Train detail'!$G$2:$G$181,'Train detail'!$B$2:$B$181,$A15,'Train detail'!$C$2:$C$181,$B15,'Train detail'!$F$2:$F$181,"&lt;="&amp;2023)</f>
        <v>3.7</v>
      </c>
      <c r="S15" s="65" t="n">
        <f aca="false">SUMIFS('Train detail'!$G$2:$G$181,'Train detail'!$B$2:$B$181,$A15,'Train detail'!$C$2:$C$181,$B15,'Train detail'!$F$2:$F$181,"&lt;="&amp;2024)</f>
        <v>3.7</v>
      </c>
      <c r="T15" s="65" t="n">
        <f aca="false">SUMIFS('Train detail'!$G$2:$G$181,'Train detail'!$B$2:$B$181,$A15,'Train detail'!$C$2:$C$181,$B15,'Train detail'!$F$2:$F$181,"&lt;="&amp;2025)</f>
        <v>3.7</v>
      </c>
    </row>
    <row r="16" customFormat="false" ht="15" hidden="false" customHeight="true" outlineLevel="0" collapsed="false">
      <c r="A16" s="56" t="s">
        <v>30</v>
      </c>
      <c r="B16" s="56" t="s">
        <v>73</v>
      </c>
      <c r="C16" s="54" t="n">
        <v>2007</v>
      </c>
      <c r="D16" s="86" t="n">
        <f aca="false">SUMIFS('Train detail'!$G$2:$G$181,'Train detail'!$B$2:$B$181,$A16,'Train detail'!$C$2:$C$181,$B16)</f>
        <v>3.7</v>
      </c>
      <c r="E16" s="57" t="n">
        <f aca="false">SUMIFS('Train detail'!$G$2:$G$181,'Train detail'!$B$2:$B$181,$A16,'Train detail'!$C$2:$C$181,$B16,'Train detail'!$F$2:$F$181,"&lt;="&amp;2010)</f>
        <v>3.7</v>
      </c>
      <c r="F16" s="57" t="n">
        <f aca="false">SUMIFS('Train detail'!$G$2:$G$181,'Train detail'!$B$2:$B$181,$A16,'Train detail'!$C$2:$C$181,$B16,'Train detail'!$F$2:$F$181,"&lt;="&amp;2011)</f>
        <v>3.7</v>
      </c>
      <c r="G16" s="57" t="n">
        <f aca="false">SUMIFS('Train detail'!$G$2:$G$181,'Train detail'!$B$2:$B$181,$A16,'Train detail'!$C$2:$C$181,$B16,'Train detail'!$F$2:$F$181,"&lt;="&amp;2012)</f>
        <v>3.7</v>
      </c>
      <c r="H16" s="57" t="n">
        <f aca="false">SUMIFS('Train detail'!$G$2:$G$181,'Train detail'!$B$2:$B$181,$A16,'Train detail'!$C$2:$C$181,$B16,'Train detail'!$F$2:$F$181,"&lt;="&amp;2013)</f>
        <v>3.7</v>
      </c>
      <c r="I16" s="57" t="n">
        <f aca="false">SUMIFS('Train detail'!$G$2:$G$181,'Train detail'!$B$2:$B$181,$A16,'Train detail'!$C$2:$C$181,$B16,'Train detail'!$F$2:$F$181,"&lt;="&amp;2014)</f>
        <v>3.7</v>
      </c>
      <c r="J16" s="57" t="n">
        <f aca="false">SUMIFS('Train detail'!$G$2:$G$181,'Train detail'!$B$2:$B$181,$A16,'Train detail'!$C$2:$C$181,$B16,'Train detail'!$F$2:$F$181,"&lt;="&amp;2015)</f>
        <v>3.7</v>
      </c>
      <c r="K16" s="57" t="n">
        <f aca="false">SUMIFS('Train detail'!$G$2:$G$181,'Train detail'!$B$2:$B$181,$A16,'Train detail'!$C$2:$C$181,$B16,'Train detail'!$F$2:$F$181,"&lt;="&amp;2016)</f>
        <v>3.7</v>
      </c>
      <c r="L16" s="57" t="n">
        <f aca="false">SUMIFS('Train detail'!$G$2:$G$181,'Train detail'!$B$2:$B$181,$A16,'Train detail'!$C$2:$C$181,$B16,'Train detail'!$F$2:$F$181,"&lt;="&amp;2017)</f>
        <v>3.7</v>
      </c>
      <c r="M16" s="57" t="n">
        <f aca="false">SUMIFS('Train detail'!$G$2:$G$181,'Train detail'!$B$2:$B$181,$A16,'Train detail'!$C$2:$C$181,$B16,'Train detail'!$F$2:$F$181,"&lt;="&amp;2018)</f>
        <v>3.7</v>
      </c>
      <c r="N16" s="57" t="n">
        <f aca="false">SUMIFS('Train detail'!$G$2:$G$181,'Train detail'!$B$2:$B$181,$A16,'Train detail'!$C$2:$C$181,$B16,'Train detail'!$F$2:$F$181,"&lt;="&amp;2019)</f>
        <v>3.7</v>
      </c>
      <c r="O16" s="57" t="n">
        <f aca="false">SUMIFS('Train detail'!$G$2:$G$181,'Train detail'!$B$2:$B$181,$A16,'Train detail'!$C$2:$C$181,$B16,'Train detail'!$F$2:$F$181,"&lt;="&amp;2020)</f>
        <v>3.7</v>
      </c>
      <c r="P16" s="57" t="n">
        <f aca="false">SUMIFS('Train detail'!$G$2:$G$181,'Train detail'!$B$2:$B$181,$A16,'Train detail'!$C$2:$C$181,$B16,'Train detail'!$F$2:$F$181,"&lt;="&amp;2021)</f>
        <v>3.7</v>
      </c>
      <c r="Q16" s="57" t="n">
        <f aca="false">SUMIFS('Train detail'!$G$2:$G$181,'Train detail'!$B$2:$B$181,$A16,'Train detail'!$C$2:$C$181,$B16,'Train detail'!$F$2:$F$181,"&lt;="&amp;2022)</f>
        <v>3.7</v>
      </c>
      <c r="R16" s="57" t="n">
        <f aca="false">SUMIFS('Train detail'!$G$2:$G$181,'Train detail'!$B$2:$B$181,$A16,'Train detail'!$C$2:$C$181,$B16,'Train detail'!$F$2:$F$181,"&lt;="&amp;2023)</f>
        <v>3.7</v>
      </c>
      <c r="S16" s="57" t="n">
        <f aca="false">SUMIFS('Train detail'!$G$2:$G$181,'Train detail'!$B$2:$B$181,$A16,'Train detail'!$C$2:$C$181,$B16,'Train detail'!$F$2:$F$181,"&lt;="&amp;2024)</f>
        <v>3.7</v>
      </c>
      <c r="T16" s="57" t="n">
        <f aca="false">SUMIFS('Train detail'!$G$2:$G$181,'Train detail'!$B$2:$B$181,$A16,'Train detail'!$C$2:$C$181,$B16,'Train detail'!$F$2:$F$181,"&lt;="&amp;2025)</f>
        <v>3.7</v>
      </c>
    </row>
    <row r="17" customFormat="false" ht="15" hidden="false" customHeight="true" outlineLevel="0" collapsed="false">
      <c r="A17" s="64" t="s">
        <v>37</v>
      </c>
      <c r="B17" s="64" t="s">
        <v>86</v>
      </c>
      <c r="C17" s="62" t="n">
        <v>2007</v>
      </c>
      <c r="D17" s="87" t="n">
        <f aca="false">SUMIFS('Train detail'!$G$2:$G$181,'Train detail'!$B$2:$B$181,$A17,'Train detail'!$C$2:$C$181,$B17)</f>
        <v>4.3</v>
      </c>
      <c r="E17" s="65" t="n">
        <f aca="false">SUMIFS('Train detail'!$G$2:$G$181,'Train detail'!$B$2:$B$181,$A17,'Train detail'!$C$2:$C$181,$B17,'Train detail'!$F$2:$F$181,"&lt;="&amp;2010)</f>
        <v>4.3</v>
      </c>
      <c r="F17" s="65" t="n">
        <f aca="false">SUMIFS('Train detail'!$G$2:$G$181,'Train detail'!$B$2:$B$181,$A17,'Train detail'!$C$2:$C$181,$B17,'Train detail'!$F$2:$F$181,"&lt;="&amp;2011)</f>
        <v>4.3</v>
      </c>
      <c r="G17" s="65" t="n">
        <f aca="false">SUMIFS('Train detail'!$G$2:$G$181,'Train detail'!$B$2:$B$181,$A17,'Train detail'!$C$2:$C$181,$B17,'Train detail'!$F$2:$F$181,"&lt;="&amp;2012)</f>
        <v>4.3</v>
      </c>
      <c r="H17" s="65" t="n">
        <f aca="false">SUMIFS('Train detail'!$G$2:$G$181,'Train detail'!$B$2:$B$181,$A17,'Train detail'!$C$2:$C$181,$B17,'Train detail'!$F$2:$F$181,"&lt;="&amp;2013)</f>
        <v>4.3</v>
      </c>
      <c r="I17" s="65" t="n">
        <f aca="false">SUMIFS('Train detail'!$G$2:$G$181,'Train detail'!$B$2:$B$181,$A17,'Train detail'!$C$2:$C$181,$B17,'Train detail'!$F$2:$F$181,"&lt;="&amp;2014)</f>
        <v>4.3</v>
      </c>
      <c r="J17" s="65" t="n">
        <f aca="false">SUMIFS('Train detail'!$G$2:$G$181,'Train detail'!$B$2:$B$181,$A17,'Train detail'!$C$2:$C$181,$B17,'Train detail'!$F$2:$F$181,"&lt;="&amp;2015)</f>
        <v>4.3</v>
      </c>
      <c r="K17" s="65" t="n">
        <f aca="false">SUMIFS('Train detail'!$G$2:$G$181,'Train detail'!$B$2:$B$181,$A17,'Train detail'!$C$2:$C$181,$B17,'Train detail'!$F$2:$F$181,"&lt;="&amp;2016)</f>
        <v>4.3</v>
      </c>
      <c r="L17" s="65" t="n">
        <f aca="false">SUMIFS('Train detail'!$G$2:$G$181,'Train detail'!$B$2:$B$181,$A17,'Train detail'!$C$2:$C$181,$B17,'Train detail'!$F$2:$F$181,"&lt;="&amp;2017)</f>
        <v>4.3</v>
      </c>
      <c r="M17" s="65" t="n">
        <f aca="false">SUMIFS('Train detail'!$G$2:$G$181,'Train detail'!$B$2:$B$181,$A17,'Train detail'!$C$2:$C$181,$B17,'Train detail'!$F$2:$F$181,"&lt;="&amp;2018)</f>
        <v>4.3</v>
      </c>
      <c r="N17" s="65" t="n">
        <f aca="false">SUMIFS('Train detail'!$G$2:$G$181,'Train detail'!$B$2:$B$181,$A17,'Train detail'!$C$2:$C$181,$B17,'Train detail'!$F$2:$F$181,"&lt;="&amp;2019)</f>
        <v>4.3</v>
      </c>
      <c r="O17" s="65" t="n">
        <f aca="false">SUMIFS('Train detail'!$G$2:$G$181,'Train detail'!$B$2:$B$181,$A17,'Train detail'!$C$2:$C$181,$B17,'Train detail'!$F$2:$F$181,"&lt;="&amp;2020)</f>
        <v>4.3</v>
      </c>
      <c r="P17" s="65" t="n">
        <f aca="false">SUMIFS('Train detail'!$G$2:$G$181,'Train detail'!$B$2:$B$181,$A17,'Train detail'!$C$2:$C$181,$B17,'Train detail'!$F$2:$F$181,"&lt;="&amp;2021)</f>
        <v>4.3</v>
      </c>
      <c r="Q17" s="65" t="n">
        <f aca="false">SUMIFS('Train detail'!$G$2:$G$181,'Train detail'!$B$2:$B$181,$A17,'Train detail'!$C$2:$C$181,$B17,'Train detail'!$F$2:$F$181,"&lt;="&amp;2022)</f>
        <v>4.3</v>
      </c>
      <c r="R17" s="65" t="n">
        <f aca="false">SUMIFS('Train detail'!$G$2:$G$181,'Train detail'!$B$2:$B$181,$A17,'Train detail'!$C$2:$C$181,$B17,'Train detail'!$F$2:$F$181,"&lt;="&amp;2023)</f>
        <v>4.3</v>
      </c>
      <c r="S17" s="65" t="n">
        <f aca="false">SUMIFS('Train detail'!$G$2:$G$181,'Train detail'!$B$2:$B$181,$A17,'Train detail'!$C$2:$C$181,$B17,'Train detail'!$F$2:$F$181,"&lt;="&amp;2024)</f>
        <v>4.3</v>
      </c>
      <c r="T17" s="65" t="n">
        <f aca="false">SUMIFS('Train detail'!$G$2:$G$181,'Train detail'!$B$2:$B$181,$A17,'Train detail'!$C$2:$C$181,$B17,'Train detail'!$F$2:$F$181,"&lt;="&amp;2025)</f>
        <v>4.3</v>
      </c>
    </row>
    <row r="18" customFormat="false" ht="15" hidden="false" customHeight="true" outlineLevel="0" collapsed="false">
      <c r="A18" s="56" t="s">
        <v>31</v>
      </c>
      <c r="B18" s="56" t="s">
        <v>76</v>
      </c>
      <c r="C18" s="54" t="n">
        <v>2009</v>
      </c>
      <c r="D18" s="86" t="n">
        <f aca="false">SUMIFS('Train detail'!$G$2:$G$181,'Train detail'!$B$2:$B$181,$A18,'Train detail'!$C$2:$C$181,$B18)</f>
        <v>11.4</v>
      </c>
      <c r="E18" s="57" t="n">
        <f aca="false">SUMIFS('Train detail'!$G$2:$G$181,'Train detail'!$B$2:$B$181,$A18,'Train detail'!$C$2:$C$181,$B18,'Train detail'!$F$2:$F$181,"&lt;="&amp;2010)</f>
        <v>7.6</v>
      </c>
      <c r="F18" s="57" t="n">
        <f aca="false">SUMIFS('Train detail'!$G$2:$G$181,'Train detail'!$B$2:$B$181,$A18,'Train detail'!$C$2:$C$181,$B18,'Train detail'!$F$2:$F$181,"&lt;="&amp;2011)</f>
        <v>7.6</v>
      </c>
      <c r="G18" s="57" t="n">
        <f aca="false">SUMIFS('Train detail'!$G$2:$G$181,'Train detail'!$B$2:$B$181,$A18,'Train detail'!$C$2:$C$181,$B18,'Train detail'!$F$2:$F$181,"&lt;="&amp;2012)</f>
        <v>7.6</v>
      </c>
      <c r="H18" s="57" t="n">
        <f aca="false">SUMIFS('Train detail'!$G$2:$G$181,'Train detail'!$B$2:$B$181,$A18,'Train detail'!$C$2:$C$181,$B18,'Train detail'!$F$2:$F$181,"&lt;="&amp;2013)</f>
        <v>7.6</v>
      </c>
      <c r="I18" s="57" t="n">
        <f aca="false">SUMIFS('Train detail'!$G$2:$G$181,'Train detail'!$B$2:$B$181,$A18,'Train detail'!$C$2:$C$181,$B18,'Train detail'!$F$2:$F$181,"&lt;="&amp;2014)</f>
        <v>7.6</v>
      </c>
      <c r="J18" s="57" t="n">
        <f aca="false">SUMIFS('Train detail'!$G$2:$G$181,'Train detail'!$B$2:$B$181,$A18,'Train detail'!$C$2:$C$181,$B18,'Train detail'!$F$2:$F$181,"&lt;="&amp;2015)</f>
        <v>7.6</v>
      </c>
      <c r="K18" s="57" t="n">
        <f aca="false">SUMIFS('Train detail'!$G$2:$G$181,'Train detail'!$B$2:$B$181,$A18,'Train detail'!$C$2:$C$181,$B18,'Train detail'!$F$2:$F$181,"&lt;="&amp;2016)</f>
        <v>7.6</v>
      </c>
      <c r="L18" s="57" t="n">
        <f aca="false">SUMIFS('Train detail'!$G$2:$G$181,'Train detail'!$B$2:$B$181,$A18,'Train detail'!$C$2:$C$181,$B18,'Train detail'!$F$2:$F$181,"&lt;="&amp;2017)</f>
        <v>7.6</v>
      </c>
      <c r="M18" s="57" t="n">
        <f aca="false">SUMIFS('Train detail'!$G$2:$G$181,'Train detail'!$B$2:$B$181,$A18,'Train detail'!$C$2:$C$181,$B18,'Train detail'!$F$2:$F$181,"&lt;="&amp;2018)</f>
        <v>7.6</v>
      </c>
      <c r="N18" s="57" t="n">
        <f aca="false">SUMIFS('Train detail'!$G$2:$G$181,'Train detail'!$B$2:$B$181,$A18,'Train detail'!$C$2:$C$181,$B18,'Train detail'!$F$2:$F$181,"&lt;="&amp;2019)</f>
        <v>7.6</v>
      </c>
      <c r="O18" s="57" t="n">
        <f aca="false">SUMIFS('Train detail'!$G$2:$G$181,'Train detail'!$B$2:$B$181,$A18,'Train detail'!$C$2:$C$181,$B18,'Train detail'!$F$2:$F$181,"&lt;="&amp;2020)</f>
        <v>7.6</v>
      </c>
      <c r="P18" s="57" t="n">
        <f aca="false">SUMIFS('Train detail'!$G$2:$G$181,'Train detail'!$B$2:$B$181,$A18,'Train detail'!$C$2:$C$181,$B18,'Train detail'!$F$2:$F$181,"&lt;="&amp;2021)</f>
        <v>7.6</v>
      </c>
      <c r="Q18" s="57" t="n">
        <f aca="false">SUMIFS('Train detail'!$G$2:$G$181,'Train detail'!$B$2:$B$181,$A18,'Train detail'!$C$2:$C$181,$B18,'Train detail'!$F$2:$F$181,"&lt;="&amp;2022)</f>
        <v>7.6</v>
      </c>
      <c r="R18" s="57" t="n">
        <f aca="false">SUMIFS('Train detail'!$G$2:$G$181,'Train detail'!$B$2:$B$181,$A18,'Train detail'!$C$2:$C$181,$B18,'Train detail'!$F$2:$F$181,"&lt;="&amp;2023)</f>
        <v>11.4</v>
      </c>
      <c r="S18" s="57" t="n">
        <f aca="false">SUMIFS('Train detail'!$G$2:$G$181,'Train detail'!$B$2:$B$181,$A18,'Train detail'!$C$2:$C$181,$B18,'Train detail'!$F$2:$F$181,"&lt;="&amp;2024)</f>
        <v>11.4</v>
      </c>
      <c r="T18" s="57" t="n">
        <f aca="false">SUMIFS('Train detail'!$G$2:$G$181,'Train detail'!$B$2:$B$181,$A18,'Train detail'!$C$2:$C$181,$B18,'Train detail'!$F$2:$F$181,"&lt;="&amp;2025)</f>
        <v>11.4</v>
      </c>
    </row>
    <row r="19" customFormat="false" ht="15" hidden="false" customHeight="true" outlineLevel="0" collapsed="false">
      <c r="A19" s="64" t="s">
        <v>42</v>
      </c>
      <c r="B19" s="64" t="s">
        <v>93</v>
      </c>
      <c r="C19" s="62" t="n">
        <v>2009</v>
      </c>
      <c r="D19" s="87" t="n">
        <f aca="false">SUMIFS('Train detail'!$G$2:$G$181,'Train detail'!$B$2:$B$181,$A19,'Train detail'!$C$2:$C$181,$B19)</f>
        <v>9.6</v>
      </c>
      <c r="E19" s="65" t="n">
        <f aca="false">SUMIFS('Train detail'!$G$2:$G$181,'Train detail'!$B$2:$B$181,$A19,'Train detail'!$C$2:$C$181,$B19,'Train detail'!$F$2:$F$181,"&lt;="&amp;2010)</f>
        <v>9.6</v>
      </c>
      <c r="F19" s="65" t="n">
        <f aca="false">SUMIFS('Train detail'!$G$2:$G$181,'Train detail'!$B$2:$B$181,$A19,'Train detail'!$C$2:$C$181,$B19,'Train detail'!$F$2:$F$181,"&lt;="&amp;2011)</f>
        <v>9.6</v>
      </c>
      <c r="G19" s="65" t="n">
        <f aca="false">SUMIFS('Train detail'!$G$2:$G$181,'Train detail'!$B$2:$B$181,$A19,'Train detail'!$C$2:$C$181,$B19,'Train detail'!$F$2:$F$181,"&lt;="&amp;2012)</f>
        <v>9.6</v>
      </c>
      <c r="H19" s="65" t="n">
        <f aca="false">SUMIFS('Train detail'!$G$2:$G$181,'Train detail'!$B$2:$B$181,$A19,'Train detail'!$C$2:$C$181,$B19,'Train detail'!$F$2:$F$181,"&lt;="&amp;2013)</f>
        <v>9.6</v>
      </c>
      <c r="I19" s="65" t="n">
        <f aca="false">SUMIFS('Train detail'!$G$2:$G$181,'Train detail'!$B$2:$B$181,$A19,'Train detail'!$C$2:$C$181,$B19,'Train detail'!$F$2:$F$181,"&lt;="&amp;2014)</f>
        <v>9.6</v>
      </c>
      <c r="J19" s="65" t="n">
        <f aca="false">SUMIFS('Train detail'!$G$2:$G$181,'Train detail'!$B$2:$B$181,$A19,'Train detail'!$C$2:$C$181,$B19,'Train detail'!$F$2:$F$181,"&lt;="&amp;2015)</f>
        <v>9.6</v>
      </c>
      <c r="K19" s="65" t="n">
        <f aca="false">SUMIFS('Train detail'!$G$2:$G$181,'Train detail'!$B$2:$B$181,$A19,'Train detail'!$C$2:$C$181,$B19,'Train detail'!$F$2:$F$181,"&lt;="&amp;2016)</f>
        <v>9.6</v>
      </c>
      <c r="L19" s="65" t="n">
        <f aca="false">SUMIFS('Train detail'!$G$2:$G$181,'Train detail'!$B$2:$B$181,$A19,'Train detail'!$C$2:$C$181,$B19,'Train detail'!$F$2:$F$181,"&lt;="&amp;2017)</f>
        <v>9.6</v>
      </c>
      <c r="M19" s="65" t="n">
        <f aca="false">SUMIFS('Train detail'!$G$2:$G$181,'Train detail'!$B$2:$B$181,$A19,'Train detail'!$C$2:$C$181,$B19,'Train detail'!$F$2:$F$181,"&lt;="&amp;2018)</f>
        <v>9.6</v>
      </c>
      <c r="N19" s="65" t="n">
        <f aca="false">SUMIFS('Train detail'!$G$2:$G$181,'Train detail'!$B$2:$B$181,$A19,'Train detail'!$C$2:$C$181,$B19,'Train detail'!$F$2:$F$181,"&lt;="&amp;2019)</f>
        <v>9.6</v>
      </c>
      <c r="O19" s="65" t="n">
        <f aca="false">SUMIFS('Train detail'!$G$2:$G$181,'Train detail'!$B$2:$B$181,$A19,'Train detail'!$C$2:$C$181,$B19,'Train detail'!$F$2:$F$181,"&lt;="&amp;2020)</f>
        <v>9.6</v>
      </c>
      <c r="P19" s="65" t="n">
        <f aca="false">SUMIFS('Train detail'!$G$2:$G$181,'Train detail'!$B$2:$B$181,$A19,'Train detail'!$C$2:$C$181,$B19,'Train detail'!$F$2:$F$181,"&lt;="&amp;2021)</f>
        <v>9.6</v>
      </c>
      <c r="Q19" s="65" t="n">
        <f aca="false">SUMIFS('Train detail'!$G$2:$G$181,'Train detail'!$B$2:$B$181,$A19,'Train detail'!$C$2:$C$181,$B19,'Train detail'!$F$2:$F$181,"&lt;="&amp;2022)</f>
        <v>9.6</v>
      </c>
      <c r="R19" s="65" t="n">
        <f aca="false">SUMIFS('Train detail'!$G$2:$G$181,'Train detail'!$B$2:$B$181,$A19,'Train detail'!$C$2:$C$181,$B19,'Train detail'!$F$2:$F$181,"&lt;="&amp;2023)</f>
        <v>9.6</v>
      </c>
      <c r="S19" s="65" t="n">
        <f aca="false">SUMIFS('Train detail'!$G$2:$G$181,'Train detail'!$B$2:$B$181,$A19,'Train detail'!$C$2:$C$181,$B19,'Train detail'!$F$2:$F$181,"&lt;="&amp;2024)</f>
        <v>9.6</v>
      </c>
      <c r="T19" s="65" t="n">
        <f aca="false">SUMIFS('Train detail'!$G$2:$G$181,'Train detail'!$B$2:$B$181,$A19,'Train detail'!$C$2:$C$181,$B19,'Train detail'!$F$2:$F$181,"&lt;="&amp;2025)</f>
        <v>9.6</v>
      </c>
    </row>
    <row r="20" customFormat="false" ht="15" hidden="false" customHeight="true" outlineLevel="0" collapsed="false">
      <c r="A20" s="56" t="s">
        <v>46</v>
      </c>
      <c r="B20" s="56" t="s">
        <v>107</v>
      </c>
      <c r="C20" s="54" t="n">
        <v>2009</v>
      </c>
      <c r="D20" s="86" t="n">
        <f aca="false">SUMIFS('Train detail'!$G$2:$G$181,'Train detail'!$B$2:$B$181,$A20,'Train detail'!$C$2:$C$181,$B20)</f>
        <v>6.7</v>
      </c>
      <c r="E20" s="57" t="n">
        <f aca="false">SUMIFS('Train detail'!$G$2:$G$181,'Train detail'!$B$2:$B$181,$A20,'Train detail'!$C$2:$C$181,$B20,'Train detail'!$F$2:$F$181,"&lt;="&amp;2010)</f>
        <v>6.7</v>
      </c>
      <c r="F20" s="57" t="n">
        <f aca="false">SUMIFS('Train detail'!$G$2:$G$181,'Train detail'!$B$2:$B$181,$A20,'Train detail'!$C$2:$C$181,$B20,'Train detail'!$F$2:$F$181,"&lt;="&amp;2011)</f>
        <v>6.7</v>
      </c>
      <c r="G20" s="57" t="n">
        <f aca="false">SUMIFS('Train detail'!$G$2:$G$181,'Train detail'!$B$2:$B$181,$A20,'Train detail'!$C$2:$C$181,$B20,'Train detail'!$F$2:$F$181,"&lt;="&amp;2012)</f>
        <v>6.7</v>
      </c>
      <c r="H20" s="57" t="n">
        <f aca="false">SUMIFS('Train detail'!$G$2:$G$181,'Train detail'!$B$2:$B$181,$A20,'Train detail'!$C$2:$C$181,$B20,'Train detail'!$F$2:$F$181,"&lt;="&amp;2013)</f>
        <v>6.7</v>
      </c>
      <c r="I20" s="57" t="n">
        <f aca="false">SUMIFS('Train detail'!$G$2:$G$181,'Train detail'!$B$2:$B$181,$A20,'Train detail'!$C$2:$C$181,$B20,'Train detail'!$F$2:$F$181,"&lt;="&amp;2014)</f>
        <v>6.7</v>
      </c>
      <c r="J20" s="57" t="n">
        <f aca="false">SUMIFS('Train detail'!$G$2:$G$181,'Train detail'!$B$2:$B$181,$A20,'Train detail'!$C$2:$C$181,$B20,'Train detail'!$F$2:$F$181,"&lt;="&amp;2015)</f>
        <v>6.7</v>
      </c>
      <c r="K20" s="57" t="n">
        <f aca="false">SUMIFS('Train detail'!$G$2:$G$181,'Train detail'!$B$2:$B$181,$A20,'Train detail'!$C$2:$C$181,$B20,'Train detail'!$F$2:$F$181,"&lt;="&amp;2016)</f>
        <v>6.7</v>
      </c>
      <c r="L20" s="57" t="n">
        <f aca="false">SUMIFS('Train detail'!$G$2:$G$181,'Train detail'!$B$2:$B$181,$A20,'Train detail'!$C$2:$C$181,$B20,'Train detail'!$F$2:$F$181,"&lt;="&amp;2017)</f>
        <v>6.7</v>
      </c>
      <c r="M20" s="57" t="n">
        <f aca="false">SUMIFS('Train detail'!$G$2:$G$181,'Train detail'!$B$2:$B$181,$A20,'Train detail'!$C$2:$C$181,$B20,'Train detail'!$F$2:$F$181,"&lt;="&amp;2018)</f>
        <v>6.7</v>
      </c>
      <c r="N20" s="57" t="n">
        <f aca="false">SUMIFS('Train detail'!$G$2:$G$181,'Train detail'!$B$2:$B$181,$A20,'Train detail'!$C$2:$C$181,$B20,'Train detail'!$F$2:$F$181,"&lt;="&amp;2019)</f>
        <v>6.7</v>
      </c>
      <c r="O20" s="57" t="n">
        <f aca="false">SUMIFS('Train detail'!$G$2:$G$181,'Train detail'!$B$2:$B$181,$A20,'Train detail'!$C$2:$C$181,$B20,'Train detail'!$F$2:$F$181,"&lt;="&amp;2020)</f>
        <v>6.7</v>
      </c>
      <c r="P20" s="57" t="n">
        <f aca="false">SUMIFS('Train detail'!$G$2:$G$181,'Train detail'!$B$2:$B$181,$A20,'Train detail'!$C$2:$C$181,$B20,'Train detail'!$F$2:$F$181,"&lt;="&amp;2021)</f>
        <v>6.7</v>
      </c>
      <c r="Q20" s="57" t="n">
        <f aca="false">SUMIFS('Train detail'!$G$2:$G$181,'Train detail'!$B$2:$B$181,$A20,'Train detail'!$C$2:$C$181,$B20,'Train detail'!$F$2:$F$181,"&lt;="&amp;2022)</f>
        <v>6.7</v>
      </c>
      <c r="R20" s="57" t="n">
        <f aca="false">SUMIFS('Train detail'!$G$2:$G$181,'Train detail'!$B$2:$B$181,$A20,'Train detail'!$C$2:$C$181,$B20,'Train detail'!$F$2:$F$181,"&lt;="&amp;2023)</f>
        <v>6.7</v>
      </c>
      <c r="S20" s="57" t="n">
        <f aca="false">SUMIFS('Train detail'!$G$2:$G$181,'Train detail'!$B$2:$B$181,$A20,'Train detail'!$C$2:$C$181,$B20,'Train detail'!$F$2:$F$181,"&lt;="&amp;2024)</f>
        <v>6.7</v>
      </c>
      <c r="T20" s="57" t="n">
        <f aca="false">SUMIFS('Train detail'!$G$2:$G$181,'Train detail'!$B$2:$B$181,$A20,'Train detail'!$C$2:$C$181,$B20,'Train detail'!$F$2:$F$181,"&lt;="&amp;2025)</f>
        <v>6.7</v>
      </c>
    </row>
    <row r="21" customFormat="false" ht="15" hidden="false" customHeight="true" outlineLevel="0" collapsed="false">
      <c r="A21" s="64" t="s">
        <v>27</v>
      </c>
      <c r="B21" s="64" t="s">
        <v>68</v>
      </c>
      <c r="C21" s="62" t="n">
        <v>2010</v>
      </c>
      <c r="D21" s="87" t="n">
        <f aca="false">SUMIFS('Train detail'!$G$2:$G$181,'Train detail'!$B$2:$B$181,$A21,'Train detail'!$C$2:$C$181,$B21)</f>
        <v>3.87</v>
      </c>
      <c r="E21" s="65" t="n">
        <f aca="false">SUMIFS('Train detail'!$G$2:$G$181,'Train detail'!$B$2:$B$181,$A21,'Train detail'!$C$2:$C$181,$B21,'Train detail'!$F$2:$F$181,"&lt;="&amp;2010)</f>
        <v>3.87</v>
      </c>
      <c r="F21" s="65" t="n">
        <f aca="false">SUMIFS('Train detail'!$G$2:$G$181,'Train detail'!$B$2:$B$181,$A21,'Train detail'!$C$2:$C$181,$B21,'Train detail'!$F$2:$F$181,"&lt;="&amp;2011)</f>
        <v>3.87</v>
      </c>
      <c r="G21" s="65" t="n">
        <f aca="false">SUMIFS('Train detail'!$G$2:$G$181,'Train detail'!$B$2:$B$181,$A21,'Train detail'!$C$2:$C$181,$B21,'Train detail'!$F$2:$F$181,"&lt;="&amp;2012)</f>
        <v>3.87</v>
      </c>
      <c r="H21" s="65" t="n">
        <f aca="false">SUMIFS('Train detail'!$G$2:$G$181,'Train detail'!$B$2:$B$181,$A21,'Train detail'!$C$2:$C$181,$B21,'Train detail'!$F$2:$F$181,"&lt;="&amp;2013)</f>
        <v>3.87</v>
      </c>
      <c r="I21" s="65" t="n">
        <f aca="false">SUMIFS('Train detail'!$G$2:$G$181,'Train detail'!$B$2:$B$181,$A21,'Train detail'!$C$2:$C$181,$B21,'Train detail'!$F$2:$F$181,"&lt;="&amp;2014)</f>
        <v>3.87</v>
      </c>
      <c r="J21" s="65" t="n">
        <f aca="false">SUMIFS('Train detail'!$G$2:$G$181,'Train detail'!$B$2:$B$181,$A21,'Train detail'!$C$2:$C$181,$B21,'Train detail'!$F$2:$F$181,"&lt;="&amp;2015)</f>
        <v>3.87</v>
      </c>
      <c r="K21" s="65" t="n">
        <f aca="false">SUMIFS('Train detail'!$G$2:$G$181,'Train detail'!$B$2:$B$181,$A21,'Train detail'!$C$2:$C$181,$B21,'Train detail'!$F$2:$F$181,"&lt;="&amp;2016)</f>
        <v>3.87</v>
      </c>
      <c r="L21" s="65" t="n">
        <f aca="false">SUMIFS('Train detail'!$G$2:$G$181,'Train detail'!$B$2:$B$181,$A21,'Train detail'!$C$2:$C$181,$B21,'Train detail'!$F$2:$F$181,"&lt;="&amp;2017)</f>
        <v>3.87</v>
      </c>
      <c r="M21" s="65" t="n">
        <f aca="false">SUMIFS('Train detail'!$G$2:$G$181,'Train detail'!$B$2:$B$181,$A21,'Train detail'!$C$2:$C$181,$B21,'Train detail'!$F$2:$F$181,"&lt;="&amp;2018)</f>
        <v>3.87</v>
      </c>
      <c r="N21" s="65" t="n">
        <f aca="false">SUMIFS('Train detail'!$G$2:$G$181,'Train detail'!$B$2:$B$181,$A21,'Train detail'!$C$2:$C$181,$B21,'Train detail'!$F$2:$F$181,"&lt;="&amp;2019)</f>
        <v>3.87</v>
      </c>
      <c r="O21" s="65" t="n">
        <f aca="false">SUMIFS('Train detail'!$G$2:$G$181,'Train detail'!$B$2:$B$181,$A21,'Train detail'!$C$2:$C$181,$B21,'Train detail'!$F$2:$F$181,"&lt;="&amp;2020)</f>
        <v>3.87</v>
      </c>
      <c r="P21" s="65" t="n">
        <f aca="false">SUMIFS('Train detail'!$G$2:$G$181,'Train detail'!$B$2:$B$181,$A21,'Train detail'!$C$2:$C$181,$B21,'Train detail'!$F$2:$F$181,"&lt;="&amp;2021)</f>
        <v>3.87</v>
      </c>
      <c r="Q21" s="65" t="n">
        <f aca="false">SUMIFS('Train detail'!$G$2:$G$181,'Train detail'!$B$2:$B$181,$A21,'Train detail'!$C$2:$C$181,$B21,'Train detail'!$F$2:$F$181,"&lt;="&amp;2022)</f>
        <v>3.87</v>
      </c>
      <c r="R21" s="65" t="n">
        <f aca="false">SUMIFS('Train detail'!$G$2:$G$181,'Train detail'!$B$2:$B$181,$A21,'Train detail'!$C$2:$C$181,$B21,'Train detail'!$F$2:$F$181,"&lt;="&amp;2023)</f>
        <v>3.87</v>
      </c>
      <c r="S21" s="65" t="n">
        <f aca="false">SUMIFS('Train detail'!$G$2:$G$181,'Train detail'!$B$2:$B$181,$A21,'Train detail'!$C$2:$C$181,$B21,'Train detail'!$F$2:$F$181,"&lt;="&amp;2024)</f>
        <v>3.87</v>
      </c>
      <c r="T21" s="65" t="n">
        <f aca="false">SUMIFS('Train detail'!$G$2:$G$181,'Train detail'!$B$2:$B$181,$A21,'Train detail'!$C$2:$C$181,$B21,'Train detail'!$F$2:$F$181,"&lt;="&amp;2025)</f>
        <v>3.87</v>
      </c>
    </row>
    <row r="22" customFormat="false" ht="15" hidden="false" customHeight="true" outlineLevel="0" collapsed="false">
      <c r="A22" s="56" t="s">
        <v>37</v>
      </c>
      <c r="B22" s="56" t="s">
        <v>85</v>
      </c>
      <c r="C22" s="54" t="n">
        <v>2010</v>
      </c>
      <c r="D22" s="86" t="n">
        <f aca="false">SUMIFS('Train detail'!$G$2:$G$181,'Train detail'!$B$2:$B$181,$A22,'Train detail'!$C$2:$C$181,$B22)</f>
        <v>0.3</v>
      </c>
      <c r="E22" s="57" t="n">
        <f aca="false">SUMIFS('Train detail'!$G$2:$G$181,'Train detail'!$B$2:$B$181,$A22,'Train detail'!$C$2:$C$181,$B22,'Train detail'!$F$2:$F$181,"&lt;="&amp;2010)</f>
        <v>0.3</v>
      </c>
      <c r="F22" s="57" t="n">
        <f aca="false">SUMIFS('Train detail'!$G$2:$G$181,'Train detail'!$B$2:$B$181,$A22,'Train detail'!$C$2:$C$181,$B22,'Train detail'!$F$2:$F$181,"&lt;="&amp;2011)</f>
        <v>0.3</v>
      </c>
      <c r="G22" s="57" t="n">
        <f aca="false">SUMIFS('Train detail'!$G$2:$G$181,'Train detail'!$B$2:$B$181,$A22,'Train detail'!$C$2:$C$181,$B22,'Train detail'!$F$2:$F$181,"&lt;="&amp;2012)</f>
        <v>0.3</v>
      </c>
      <c r="H22" s="57" t="n">
        <f aca="false">SUMIFS('Train detail'!$G$2:$G$181,'Train detail'!$B$2:$B$181,$A22,'Train detail'!$C$2:$C$181,$B22,'Train detail'!$F$2:$F$181,"&lt;="&amp;2013)</f>
        <v>0.3</v>
      </c>
      <c r="I22" s="57" t="n">
        <f aca="false">SUMIFS('Train detail'!$G$2:$G$181,'Train detail'!$B$2:$B$181,$A22,'Train detail'!$C$2:$C$181,$B22,'Train detail'!$F$2:$F$181,"&lt;="&amp;2014)</f>
        <v>0.3</v>
      </c>
      <c r="J22" s="57" t="n">
        <f aca="false">SUMIFS('Train detail'!$G$2:$G$181,'Train detail'!$B$2:$B$181,$A22,'Train detail'!$C$2:$C$181,$B22,'Train detail'!$F$2:$F$181,"&lt;="&amp;2015)</f>
        <v>0.3</v>
      </c>
      <c r="K22" s="57" t="n">
        <f aca="false">SUMIFS('Train detail'!$G$2:$G$181,'Train detail'!$B$2:$B$181,$A22,'Train detail'!$C$2:$C$181,$B22,'Train detail'!$F$2:$F$181,"&lt;="&amp;2016)</f>
        <v>0.3</v>
      </c>
      <c r="L22" s="57" t="n">
        <f aca="false">SUMIFS('Train detail'!$G$2:$G$181,'Train detail'!$B$2:$B$181,$A22,'Train detail'!$C$2:$C$181,$B22,'Train detail'!$F$2:$F$181,"&lt;="&amp;2017)</f>
        <v>0.3</v>
      </c>
      <c r="M22" s="57" t="n">
        <f aca="false">SUMIFS('Train detail'!$G$2:$G$181,'Train detail'!$B$2:$B$181,$A22,'Train detail'!$C$2:$C$181,$B22,'Train detail'!$F$2:$F$181,"&lt;="&amp;2018)</f>
        <v>0.3</v>
      </c>
      <c r="N22" s="57" t="n">
        <f aca="false">SUMIFS('Train detail'!$G$2:$G$181,'Train detail'!$B$2:$B$181,$A22,'Train detail'!$C$2:$C$181,$B22,'Train detail'!$F$2:$F$181,"&lt;="&amp;2019)</f>
        <v>0.3</v>
      </c>
      <c r="O22" s="57" t="n">
        <f aca="false">SUMIFS('Train detail'!$G$2:$G$181,'Train detail'!$B$2:$B$181,$A22,'Train detail'!$C$2:$C$181,$B22,'Train detail'!$F$2:$F$181,"&lt;="&amp;2020)</f>
        <v>0.3</v>
      </c>
      <c r="P22" s="57" t="n">
        <f aca="false">SUMIFS('Train detail'!$G$2:$G$181,'Train detail'!$B$2:$B$181,$A22,'Train detail'!$C$2:$C$181,$B22,'Train detail'!$F$2:$F$181,"&lt;="&amp;2021)</f>
        <v>0.3</v>
      </c>
      <c r="Q22" s="57" t="n">
        <f aca="false">SUMIFS('Train detail'!$G$2:$G$181,'Train detail'!$B$2:$B$181,$A22,'Train detail'!$C$2:$C$181,$B22,'Train detail'!$F$2:$F$181,"&lt;="&amp;2022)</f>
        <v>0.3</v>
      </c>
      <c r="R22" s="57" t="n">
        <f aca="false">SUMIFS('Train detail'!$G$2:$G$181,'Train detail'!$B$2:$B$181,$A22,'Train detail'!$C$2:$C$181,$B22,'Train detail'!$F$2:$F$181,"&lt;="&amp;2023)</f>
        <v>0.3</v>
      </c>
      <c r="S22" s="57" t="n">
        <f aca="false">SUMIFS('Train detail'!$G$2:$G$181,'Train detail'!$B$2:$B$181,$A22,'Train detail'!$C$2:$C$181,$B22,'Train detail'!$F$2:$F$181,"&lt;="&amp;2024)</f>
        <v>0.3</v>
      </c>
      <c r="T22" s="57" t="n">
        <f aca="false">SUMIFS('Train detail'!$G$2:$G$181,'Train detail'!$B$2:$B$181,$A22,'Train detail'!$C$2:$C$181,$B22,'Train detail'!$F$2:$F$181,"&lt;="&amp;2025)</f>
        <v>0.3</v>
      </c>
    </row>
    <row r="23" customFormat="false" ht="15" hidden="false" customHeight="true" outlineLevel="0" collapsed="false">
      <c r="A23" s="64" t="s">
        <v>40</v>
      </c>
      <c r="B23" s="64" t="s">
        <v>89</v>
      </c>
      <c r="C23" s="62" t="n">
        <v>2010</v>
      </c>
      <c r="D23" s="87" t="n">
        <f aca="false">SUMIFS('Train detail'!$G$2:$G$181,'Train detail'!$B$2:$B$181,$A23,'Train detail'!$C$2:$C$181,$B23)</f>
        <v>4.45</v>
      </c>
      <c r="E23" s="65" t="n">
        <f aca="false">SUMIFS('Train detail'!$G$2:$G$181,'Train detail'!$B$2:$B$181,$A23,'Train detail'!$C$2:$C$181,$B23,'Train detail'!$F$2:$F$181,"&lt;="&amp;2010)</f>
        <v>4.45</v>
      </c>
      <c r="F23" s="65" t="n">
        <f aca="false">SUMIFS('Train detail'!$G$2:$G$181,'Train detail'!$B$2:$B$181,$A23,'Train detail'!$C$2:$C$181,$B23,'Train detail'!$F$2:$F$181,"&lt;="&amp;2011)</f>
        <v>4.45</v>
      </c>
      <c r="G23" s="65" t="n">
        <f aca="false">SUMIFS('Train detail'!$G$2:$G$181,'Train detail'!$B$2:$B$181,$A23,'Train detail'!$C$2:$C$181,$B23,'Train detail'!$F$2:$F$181,"&lt;="&amp;2012)</f>
        <v>4.45</v>
      </c>
      <c r="H23" s="65" t="n">
        <f aca="false">SUMIFS('Train detail'!$G$2:$G$181,'Train detail'!$B$2:$B$181,$A23,'Train detail'!$C$2:$C$181,$B23,'Train detail'!$F$2:$F$181,"&lt;="&amp;2013)</f>
        <v>4.45</v>
      </c>
      <c r="I23" s="65" t="n">
        <f aca="false">SUMIFS('Train detail'!$G$2:$G$181,'Train detail'!$B$2:$B$181,$A23,'Train detail'!$C$2:$C$181,$B23,'Train detail'!$F$2:$F$181,"&lt;="&amp;2014)</f>
        <v>4.45</v>
      </c>
      <c r="J23" s="65" t="n">
        <f aca="false">SUMIFS('Train detail'!$G$2:$G$181,'Train detail'!$B$2:$B$181,$A23,'Train detail'!$C$2:$C$181,$B23,'Train detail'!$F$2:$F$181,"&lt;="&amp;2015)</f>
        <v>4.45</v>
      </c>
      <c r="K23" s="65" t="n">
        <f aca="false">SUMIFS('Train detail'!$G$2:$G$181,'Train detail'!$B$2:$B$181,$A23,'Train detail'!$C$2:$C$181,$B23,'Train detail'!$F$2:$F$181,"&lt;="&amp;2016)</f>
        <v>4.45</v>
      </c>
      <c r="L23" s="65" t="n">
        <f aca="false">SUMIFS('Train detail'!$G$2:$G$181,'Train detail'!$B$2:$B$181,$A23,'Train detail'!$C$2:$C$181,$B23,'Train detail'!$F$2:$F$181,"&lt;="&amp;2017)</f>
        <v>4.45</v>
      </c>
      <c r="M23" s="65" t="n">
        <f aca="false">SUMIFS('Train detail'!$G$2:$G$181,'Train detail'!$B$2:$B$181,$A23,'Train detail'!$C$2:$C$181,$B23,'Train detail'!$F$2:$F$181,"&lt;="&amp;2018)</f>
        <v>4.45</v>
      </c>
      <c r="N23" s="65" t="n">
        <f aca="false">SUMIFS('Train detail'!$G$2:$G$181,'Train detail'!$B$2:$B$181,$A23,'Train detail'!$C$2:$C$181,$B23,'Train detail'!$F$2:$F$181,"&lt;="&amp;2019)</f>
        <v>4.45</v>
      </c>
      <c r="O23" s="65" t="n">
        <f aca="false">SUMIFS('Train detail'!$G$2:$G$181,'Train detail'!$B$2:$B$181,$A23,'Train detail'!$C$2:$C$181,$B23,'Train detail'!$F$2:$F$181,"&lt;="&amp;2020)</f>
        <v>4.45</v>
      </c>
      <c r="P23" s="65" t="n">
        <f aca="false">SUMIFS('Train detail'!$G$2:$G$181,'Train detail'!$B$2:$B$181,$A23,'Train detail'!$C$2:$C$181,$B23,'Train detail'!$F$2:$F$181,"&lt;="&amp;2021)</f>
        <v>4.45</v>
      </c>
      <c r="Q23" s="65" t="n">
        <f aca="false">SUMIFS('Train detail'!$G$2:$G$181,'Train detail'!$B$2:$B$181,$A23,'Train detail'!$C$2:$C$181,$B23,'Train detail'!$F$2:$F$181,"&lt;="&amp;2022)</f>
        <v>4.45</v>
      </c>
      <c r="R23" s="65" t="n">
        <f aca="false">SUMIFS('Train detail'!$G$2:$G$181,'Train detail'!$B$2:$B$181,$A23,'Train detail'!$C$2:$C$181,$B23,'Train detail'!$F$2:$F$181,"&lt;="&amp;2023)</f>
        <v>4.45</v>
      </c>
      <c r="S23" s="65" t="n">
        <f aca="false">SUMIFS('Train detail'!$G$2:$G$181,'Train detail'!$B$2:$B$181,$A23,'Train detail'!$C$2:$C$181,$B23,'Train detail'!$F$2:$F$181,"&lt;="&amp;2024)</f>
        <v>4.45</v>
      </c>
      <c r="T23" s="65" t="n">
        <f aca="false">SUMIFS('Train detail'!$G$2:$G$181,'Train detail'!$B$2:$B$181,$A23,'Train detail'!$C$2:$C$181,$B23,'Train detail'!$F$2:$F$181,"&lt;="&amp;2025)</f>
        <v>4.45</v>
      </c>
    </row>
    <row r="24" customFormat="false" ht="15" hidden="false" customHeight="true" outlineLevel="0" collapsed="false">
      <c r="A24" s="56" t="s">
        <v>23</v>
      </c>
      <c r="B24" s="56" t="s">
        <v>61</v>
      </c>
      <c r="C24" s="54" t="n">
        <v>2012</v>
      </c>
      <c r="D24" s="86" t="n">
        <f aca="false">SUMIFS('Train detail'!$G$2:$G$181,'Train detail'!$B$2:$B$181,$A24,'Train detail'!$C$2:$C$181,$B24)</f>
        <v>4.9</v>
      </c>
      <c r="E24" s="57" t="n">
        <f aca="false">SUMIFS('Train detail'!$G$2:$G$181,'Train detail'!$B$2:$B$181,$A24,'Train detail'!$C$2:$C$181,$B24,'Train detail'!$F$2:$F$181,"&lt;="&amp;2010)</f>
        <v>0</v>
      </c>
      <c r="F24" s="57" t="n">
        <f aca="false">SUMIFS('Train detail'!$G$2:$G$181,'Train detail'!$B$2:$B$181,$A24,'Train detail'!$C$2:$C$181,$B24,'Train detail'!$F$2:$F$181,"&lt;="&amp;2011)</f>
        <v>0</v>
      </c>
      <c r="G24" s="57" t="n">
        <f aca="false">SUMIFS('Train detail'!$G$2:$G$181,'Train detail'!$B$2:$B$181,$A24,'Train detail'!$C$2:$C$181,$B24,'Train detail'!$F$2:$F$181,"&lt;="&amp;2012)</f>
        <v>4.9</v>
      </c>
      <c r="H24" s="57" t="n">
        <f aca="false">SUMIFS('Train detail'!$G$2:$G$181,'Train detail'!$B$2:$B$181,$A24,'Train detail'!$C$2:$C$181,$B24,'Train detail'!$F$2:$F$181,"&lt;="&amp;2013)</f>
        <v>4.9</v>
      </c>
      <c r="I24" s="57" t="n">
        <f aca="false">SUMIFS('Train detail'!$G$2:$G$181,'Train detail'!$B$2:$B$181,$A24,'Train detail'!$C$2:$C$181,$B24,'Train detail'!$F$2:$F$181,"&lt;="&amp;2014)</f>
        <v>4.9</v>
      </c>
      <c r="J24" s="57" t="n">
        <f aca="false">SUMIFS('Train detail'!$G$2:$G$181,'Train detail'!$B$2:$B$181,$A24,'Train detail'!$C$2:$C$181,$B24,'Train detail'!$F$2:$F$181,"&lt;="&amp;2015)</f>
        <v>4.9</v>
      </c>
      <c r="K24" s="57" t="n">
        <f aca="false">SUMIFS('Train detail'!$G$2:$G$181,'Train detail'!$B$2:$B$181,$A24,'Train detail'!$C$2:$C$181,$B24,'Train detail'!$F$2:$F$181,"&lt;="&amp;2016)</f>
        <v>4.9</v>
      </c>
      <c r="L24" s="57" t="n">
        <f aca="false">SUMIFS('Train detail'!$G$2:$G$181,'Train detail'!$B$2:$B$181,$A24,'Train detail'!$C$2:$C$181,$B24,'Train detail'!$F$2:$F$181,"&lt;="&amp;2017)</f>
        <v>4.9</v>
      </c>
      <c r="M24" s="57" t="n">
        <f aca="false">SUMIFS('Train detail'!$G$2:$G$181,'Train detail'!$B$2:$B$181,$A24,'Train detail'!$C$2:$C$181,$B24,'Train detail'!$F$2:$F$181,"&lt;="&amp;2018)</f>
        <v>4.9</v>
      </c>
      <c r="N24" s="57" t="n">
        <f aca="false">SUMIFS('Train detail'!$G$2:$G$181,'Train detail'!$B$2:$B$181,$A24,'Train detail'!$C$2:$C$181,$B24,'Train detail'!$F$2:$F$181,"&lt;="&amp;2019)</f>
        <v>4.9</v>
      </c>
      <c r="O24" s="57" t="n">
        <f aca="false">SUMIFS('Train detail'!$G$2:$G$181,'Train detail'!$B$2:$B$181,$A24,'Train detail'!$C$2:$C$181,$B24,'Train detail'!$F$2:$F$181,"&lt;="&amp;2020)</f>
        <v>4.9</v>
      </c>
      <c r="P24" s="57" t="n">
        <f aca="false">SUMIFS('Train detail'!$G$2:$G$181,'Train detail'!$B$2:$B$181,$A24,'Train detail'!$C$2:$C$181,$B24,'Train detail'!$F$2:$F$181,"&lt;="&amp;2021)</f>
        <v>4.9</v>
      </c>
      <c r="Q24" s="57" t="n">
        <f aca="false">SUMIFS('Train detail'!$G$2:$G$181,'Train detail'!$B$2:$B$181,$A24,'Train detail'!$C$2:$C$181,$B24,'Train detail'!$F$2:$F$181,"&lt;="&amp;2022)</f>
        <v>4.9</v>
      </c>
      <c r="R24" s="57" t="n">
        <f aca="false">SUMIFS('Train detail'!$G$2:$G$181,'Train detail'!$B$2:$B$181,$A24,'Train detail'!$C$2:$C$181,$B24,'Train detail'!$F$2:$F$181,"&lt;="&amp;2023)</f>
        <v>4.9</v>
      </c>
      <c r="S24" s="57" t="n">
        <f aca="false">SUMIFS('Train detail'!$G$2:$G$181,'Train detail'!$B$2:$B$181,$A24,'Train detail'!$C$2:$C$181,$B24,'Train detail'!$F$2:$F$181,"&lt;="&amp;2024)</f>
        <v>4.9</v>
      </c>
      <c r="T24" s="57" t="n">
        <f aca="false">SUMIFS('Train detail'!$G$2:$G$181,'Train detail'!$B$2:$B$181,$A24,'Train detail'!$C$2:$C$181,$B24,'Train detail'!$F$2:$F$181,"&lt;="&amp;2025)</f>
        <v>4.9</v>
      </c>
    </row>
    <row r="25" customFormat="false" ht="15" hidden="false" customHeight="true" outlineLevel="0" collapsed="false">
      <c r="A25" s="64" t="s">
        <v>21</v>
      </c>
      <c r="B25" s="64" t="s">
        <v>53</v>
      </c>
      <c r="C25" s="62" t="n">
        <v>2013</v>
      </c>
      <c r="D25" s="87" t="n">
        <f aca="false">SUMIFS('Train detail'!$G$2:$G$181,'Train detail'!$B$2:$B$181,$A25,'Train detail'!$C$2:$C$181,$B25)</f>
        <v>4.5</v>
      </c>
      <c r="E25" s="65" t="n">
        <f aca="false">SUMIFS('Train detail'!$G$2:$G$181,'Train detail'!$B$2:$B$181,$A25,'Train detail'!$C$2:$C$181,$B25,'Train detail'!$F$2:$F$181,"&lt;="&amp;2010)</f>
        <v>0</v>
      </c>
      <c r="F25" s="65" t="n">
        <f aca="false">SUMIFS('Train detail'!$G$2:$G$181,'Train detail'!$B$2:$B$181,$A25,'Train detail'!$C$2:$C$181,$B25,'Train detail'!$F$2:$F$181,"&lt;="&amp;2011)</f>
        <v>0</v>
      </c>
      <c r="G25" s="65" t="n">
        <f aca="false">SUMIFS('Train detail'!$G$2:$G$181,'Train detail'!$B$2:$B$181,$A25,'Train detail'!$C$2:$C$181,$B25,'Train detail'!$F$2:$F$181,"&lt;="&amp;2012)</f>
        <v>0</v>
      </c>
      <c r="H25" s="65" t="n">
        <f aca="false">SUMIFS('Train detail'!$G$2:$G$181,'Train detail'!$B$2:$B$181,$A25,'Train detail'!$C$2:$C$181,$B25,'Train detail'!$F$2:$F$181,"&lt;="&amp;2013)</f>
        <v>4.5</v>
      </c>
      <c r="I25" s="65" t="n">
        <f aca="false">SUMIFS('Train detail'!$G$2:$G$181,'Train detail'!$B$2:$B$181,$A25,'Train detail'!$C$2:$C$181,$B25,'Train detail'!$F$2:$F$181,"&lt;="&amp;2014)</f>
        <v>4.5</v>
      </c>
      <c r="J25" s="65" t="n">
        <f aca="false">SUMIFS('Train detail'!$G$2:$G$181,'Train detail'!$B$2:$B$181,$A25,'Train detail'!$C$2:$C$181,$B25,'Train detail'!$F$2:$F$181,"&lt;="&amp;2015)</f>
        <v>4.5</v>
      </c>
      <c r="K25" s="65" t="n">
        <f aca="false">SUMIFS('Train detail'!$G$2:$G$181,'Train detail'!$B$2:$B$181,$A25,'Train detail'!$C$2:$C$181,$B25,'Train detail'!$F$2:$F$181,"&lt;="&amp;2016)</f>
        <v>4.5</v>
      </c>
      <c r="L25" s="65" t="n">
        <f aca="false">SUMIFS('Train detail'!$G$2:$G$181,'Train detail'!$B$2:$B$181,$A25,'Train detail'!$C$2:$C$181,$B25,'Train detail'!$F$2:$F$181,"&lt;="&amp;2017)</f>
        <v>4.5</v>
      </c>
      <c r="M25" s="65" t="n">
        <f aca="false">SUMIFS('Train detail'!$G$2:$G$181,'Train detail'!$B$2:$B$181,$A25,'Train detail'!$C$2:$C$181,$B25,'Train detail'!$F$2:$F$181,"&lt;="&amp;2018)</f>
        <v>4.5</v>
      </c>
      <c r="N25" s="65" t="n">
        <f aca="false">SUMIFS('Train detail'!$G$2:$G$181,'Train detail'!$B$2:$B$181,$A25,'Train detail'!$C$2:$C$181,$B25,'Train detail'!$F$2:$F$181,"&lt;="&amp;2019)</f>
        <v>4.5</v>
      </c>
      <c r="O25" s="65" t="n">
        <f aca="false">SUMIFS('Train detail'!$G$2:$G$181,'Train detail'!$B$2:$B$181,$A25,'Train detail'!$C$2:$C$181,$B25,'Train detail'!$F$2:$F$181,"&lt;="&amp;2020)</f>
        <v>4.5</v>
      </c>
      <c r="P25" s="65" t="n">
        <f aca="false">SUMIFS('Train detail'!$G$2:$G$181,'Train detail'!$B$2:$B$181,$A25,'Train detail'!$C$2:$C$181,$B25,'Train detail'!$F$2:$F$181,"&lt;="&amp;2021)</f>
        <v>4.5</v>
      </c>
      <c r="Q25" s="65" t="n">
        <f aca="false">SUMIFS('Train detail'!$G$2:$G$181,'Train detail'!$B$2:$B$181,$A25,'Train detail'!$C$2:$C$181,$B25,'Train detail'!$F$2:$F$181,"&lt;="&amp;2022)</f>
        <v>4.5</v>
      </c>
      <c r="R25" s="65" t="n">
        <f aca="false">SUMIFS('Train detail'!$G$2:$G$181,'Train detail'!$B$2:$B$181,$A25,'Train detail'!$C$2:$C$181,$B25,'Train detail'!$F$2:$F$181,"&lt;="&amp;2023)</f>
        <v>4.5</v>
      </c>
      <c r="S25" s="65" t="n">
        <f aca="false">SUMIFS('Train detail'!$G$2:$G$181,'Train detail'!$B$2:$B$181,$A25,'Train detail'!$C$2:$C$181,$B25,'Train detail'!$F$2:$F$181,"&lt;="&amp;2024)</f>
        <v>4.5</v>
      </c>
      <c r="T25" s="65" t="n">
        <f aca="false">SUMIFS('Train detail'!$G$2:$G$181,'Train detail'!$B$2:$B$181,$A25,'Train detail'!$C$2:$C$181,$B25,'Train detail'!$F$2:$F$181,"&lt;="&amp;2025)</f>
        <v>4.5</v>
      </c>
    </row>
    <row r="26" customFormat="false" ht="15" hidden="false" customHeight="true" outlineLevel="0" collapsed="false">
      <c r="A26" s="56" t="s">
        <v>22</v>
      </c>
      <c r="B26" s="56" t="s">
        <v>54</v>
      </c>
      <c r="C26" s="54" t="n">
        <v>2013</v>
      </c>
      <c r="D26" s="86" t="n">
        <f aca="false">SUMIFS('Train detail'!$G$2:$G$181,'Train detail'!$B$2:$B$181,$A26,'Train detail'!$C$2:$C$181,$B26)</f>
        <v>5.2</v>
      </c>
      <c r="E26" s="57" t="n">
        <f aca="false">SUMIFS('Train detail'!$G$2:$G$181,'Train detail'!$B$2:$B$181,$A26,'Train detail'!$C$2:$C$181,$B26,'Train detail'!$F$2:$F$181,"&lt;="&amp;2010)</f>
        <v>0</v>
      </c>
      <c r="F26" s="57" t="n">
        <f aca="false">SUMIFS('Train detail'!$G$2:$G$181,'Train detail'!$B$2:$B$181,$A26,'Train detail'!$C$2:$C$181,$B26,'Train detail'!$F$2:$F$181,"&lt;="&amp;2011)</f>
        <v>0</v>
      </c>
      <c r="G26" s="57" t="n">
        <f aca="false">SUMIFS('Train detail'!$G$2:$G$181,'Train detail'!$B$2:$B$181,$A26,'Train detail'!$C$2:$C$181,$B26,'Train detail'!$F$2:$F$181,"&lt;="&amp;2012)</f>
        <v>0</v>
      </c>
      <c r="H26" s="57" t="n">
        <f aca="false">SUMIFS('Train detail'!$G$2:$G$181,'Train detail'!$B$2:$B$181,$A26,'Train detail'!$C$2:$C$181,$B26,'Train detail'!$F$2:$F$181,"&lt;="&amp;2013)</f>
        <v>5.2</v>
      </c>
      <c r="I26" s="57" t="n">
        <f aca="false">SUMIFS('Train detail'!$G$2:$G$181,'Train detail'!$B$2:$B$181,$A26,'Train detail'!$C$2:$C$181,$B26,'Train detail'!$F$2:$F$181,"&lt;="&amp;2014)</f>
        <v>5.2</v>
      </c>
      <c r="J26" s="57" t="n">
        <f aca="false">SUMIFS('Train detail'!$G$2:$G$181,'Train detail'!$B$2:$B$181,$A26,'Train detail'!$C$2:$C$181,$B26,'Train detail'!$F$2:$F$181,"&lt;="&amp;2015)</f>
        <v>5.2</v>
      </c>
      <c r="K26" s="57" t="n">
        <f aca="false">SUMIFS('Train detail'!$G$2:$G$181,'Train detail'!$B$2:$B$181,$A26,'Train detail'!$C$2:$C$181,$B26,'Train detail'!$F$2:$F$181,"&lt;="&amp;2016)</f>
        <v>5.2</v>
      </c>
      <c r="L26" s="57" t="n">
        <f aca="false">SUMIFS('Train detail'!$G$2:$G$181,'Train detail'!$B$2:$B$181,$A26,'Train detail'!$C$2:$C$181,$B26,'Train detail'!$F$2:$F$181,"&lt;="&amp;2017)</f>
        <v>5.2</v>
      </c>
      <c r="M26" s="57" t="n">
        <f aca="false">SUMIFS('Train detail'!$G$2:$G$181,'Train detail'!$B$2:$B$181,$A26,'Train detail'!$C$2:$C$181,$B26,'Train detail'!$F$2:$F$181,"&lt;="&amp;2018)</f>
        <v>5.2</v>
      </c>
      <c r="N26" s="57" t="n">
        <f aca="false">SUMIFS('Train detail'!$G$2:$G$181,'Train detail'!$B$2:$B$181,$A26,'Train detail'!$C$2:$C$181,$B26,'Train detail'!$F$2:$F$181,"&lt;="&amp;2019)</f>
        <v>5.2</v>
      </c>
      <c r="O26" s="57" t="n">
        <f aca="false">SUMIFS('Train detail'!$G$2:$G$181,'Train detail'!$B$2:$B$181,$A26,'Train detail'!$C$2:$C$181,$B26,'Train detail'!$F$2:$F$181,"&lt;="&amp;2020)</f>
        <v>5.2</v>
      </c>
      <c r="P26" s="57" t="n">
        <f aca="false">SUMIFS('Train detail'!$G$2:$G$181,'Train detail'!$B$2:$B$181,$A26,'Train detail'!$C$2:$C$181,$B26,'Train detail'!$F$2:$F$181,"&lt;="&amp;2021)</f>
        <v>5.2</v>
      </c>
      <c r="Q26" s="57" t="n">
        <f aca="false">SUMIFS('Train detail'!$G$2:$G$181,'Train detail'!$B$2:$B$181,$A26,'Train detail'!$C$2:$C$181,$B26,'Train detail'!$F$2:$F$181,"&lt;="&amp;2022)</f>
        <v>5.2</v>
      </c>
      <c r="R26" s="57" t="n">
        <f aca="false">SUMIFS('Train detail'!$G$2:$G$181,'Train detail'!$B$2:$B$181,$A26,'Train detail'!$C$2:$C$181,$B26,'Train detail'!$F$2:$F$181,"&lt;="&amp;2023)</f>
        <v>5.2</v>
      </c>
      <c r="S26" s="57" t="n">
        <f aca="false">SUMIFS('Train detail'!$G$2:$G$181,'Train detail'!$B$2:$B$181,$A26,'Train detail'!$C$2:$C$181,$B26,'Train detail'!$F$2:$F$181,"&lt;="&amp;2024)</f>
        <v>5.2</v>
      </c>
      <c r="T26" s="57" t="n">
        <f aca="false">SUMIFS('Train detail'!$G$2:$G$181,'Train detail'!$B$2:$B$181,$A26,'Train detail'!$C$2:$C$181,$B26,'Train detail'!$F$2:$F$181,"&lt;="&amp;2025)</f>
        <v>5.2</v>
      </c>
    </row>
    <row r="27" customFormat="false" ht="15" hidden="false" customHeight="true" outlineLevel="0" collapsed="false">
      <c r="A27" s="64" t="s">
        <v>21</v>
      </c>
      <c r="B27" s="64" t="s">
        <v>52</v>
      </c>
      <c r="C27" s="62" t="n">
        <v>2014</v>
      </c>
      <c r="D27" s="87" t="n">
        <f aca="false">SUMIFS('Train detail'!$G$2:$G$181,'Train detail'!$B$2:$B$181,$A27,'Train detail'!$C$2:$C$181,$B27)</f>
        <v>4.7</v>
      </c>
      <c r="E27" s="65" t="n">
        <f aca="false">SUMIFS('Train detail'!$G$2:$G$181,'Train detail'!$B$2:$B$181,$A27,'Train detail'!$C$2:$C$181,$B27,'Train detail'!$F$2:$F$181,"&lt;="&amp;2010)</f>
        <v>0</v>
      </c>
      <c r="F27" s="65" t="n">
        <f aca="false">SUMIFS('Train detail'!$G$2:$G$181,'Train detail'!$B$2:$B$181,$A27,'Train detail'!$C$2:$C$181,$B27,'Train detail'!$F$2:$F$181,"&lt;="&amp;2011)</f>
        <v>0</v>
      </c>
      <c r="G27" s="65" t="n">
        <f aca="false">SUMIFS('Train detail'!$G$2:$G$181,'Train detail'!$B$2:$B$181,$A27,'Train detail'!$C$2:$C$181,$B27,'Train detail'!$F$2:$F$181,"&lt;="&amp;2012)</f>
        <v>0</v>
      </c>
      <c r="H27" s="65" t="n">
        <f aca="false">SUMIFS('Train detail'!$G$2:$G$181,'Train detail'!$B$2:$B$181,$A27,'Train detail'!$C$2:$C$181,$B27,'Train detail'!$F$2:$F$181,"&lt;="&amp;2013)</f>
        <v>0</v>
      </c>
      <c r="I27" s="65" t="n">
        <f aca="false">SUMIFS('Train detail'!$G$2:$G$181,'Train detail'!$B$2:$B$181,$A27,'Train detail'!$C$2:$C$181,$B27,'Train detail'!$F$2:$F$181,"&lt;="&amp;2014)</f>
        <v>4.7</v>
      </c>
      <c r="J27" s="65" t="n">
        <f aca="false">SUMIFS('Train detail'!$G$2:$G$181,'Train detail'!$B$2:$B$181,$A27,'Train detail'!$C$2:$C$181,$B27,'Train detail'!$F$2:$F$181,"&lt;="&amp;2015)</f>
        <v>4.7</v>
      </c>
      <c r="K27" s="65" t="n">
        <f aca="false">SUMIFS('Train detail'!$G$2:$G$181,'Train detail'!$B$2:$B$181,$A27,'Train detail'!$C$2:$C$181,$B27,'Train detail'!$F$2:$F$181,"&lt;="&amp;2016)</f>
        <v>4.7</v>
      </c>
      <c r="L27" s="65" t="n">
        <f aca="false">SUMIFS('Train detail'!$G$2:$G$181,'Train detail'!$B$2:$B$181,$A27,'Train detail'!$C$2:$C$181,$B27,'Train detail'!$F$2:$F$181,"&lt;="&amp;2017)</f>
        <v>4.7</v>
      </c>
      <c r="M27" s="65" t="n">
        <f aca="false">SUMIFS('Train detail'!$G$2:$G$181,'Train detail'!$B$2:$B$181,$A27,'Train detail'!$C$2:$C$181,$B27,'Train detail'!$F$2:$F$181,"&lt;="&amp;2018)</f>
        <v>4.7</v>
      </c>
      <c r="N27" s="65" t="n">
        <f aca="false">SUMIFS('Train detail'!$G$2:$G$181,'Train detail'!$B$2:$B$181,$A27,'Train detail'!$C$2:$C$181,$B27,'Train detail'!$F$2:$F$181,"&lt;="&amp;2019)</f>
        <v>4.7</v>
      </c>
      <c r="O27" s="65" t="n">
        <f aca="false">SUMIFS('Train detail'!$G$2:$G$181,'Train detail'!$B$2:$B$181,$A27,'Train detail'!$C$2:$C$181,$B27,'Train detail'!$F$2:$F$181,"&lt;="&amp;2020)</f>
        <v>4.7</v>
      </c>
      <c r="P27" s="65" t="n">
        <f aca="false">SUMIFS('Train detail'!$G$2:$G$181,'Train detail'!$B$2:$B$181,$A27,'Train detail'!$C$2:$C$181,$B27,'Train detail'!$F$2:$F$181,"&lt;="&amp;2021)</f>
        <v>4.7</v>
      </c>
      <c r="Q27" s="65" t="n">
        <f aca="false">SUMIFS('Train detail'!$G$2:$G$181,'Train detail'!$B$2:$B$181,$A27,'Train detail'!$C$2:$C$181,$B27,'Train detail'!$F$2:$F$181,"&lt;="&amp;2022)</f>
        <v>4.7</v>
      </c>
      <c r="R27" s="65" t="n">
        <f aca="false">SUMIFS('Train detail'!$G$2:$G$181,'Train detail'!$B$2:$B$181,$A27,'Train detail'!$C$2:$C$181,$B27,'Train detail'!$F$2:$F$181,"&lt;="&amp;2023)</f>
        <v>4.7</v>
      </c>
      <c r="S27" s="65" t="n">
        <f aca="false">SUMIFS('Train detail'!$G$2:$G$181,'Train detail'!$B$2:$B$181,$A27,'Train detail'!$C$2:$C$181,$B27,'Train detail'!$F$2:$F$181,"&lt;="&amp;2024)</f>
        <v>4.7</v>
      </c>
      <c r="T27" s="65" t="n">
        <f aca="false">SUMIFS('Train detail'!$G$2:$G$181,'Train detail'!$B$2:$B$181,$A27,'Train detail'!$C$2:$C$181,$B27,'Train detail'!$F$2:$F$181,"&lt;="&amp;2025)</f>
        <v>4.7</v>
      </c>
    </row>
    <row r="28" customFormat="false" ht="15" hidden="false" customHeight="true" outlineLevel="0" collapsed="false">
      <c r="A28" s="56" t="s">
        <v>39</v>
      </c>
      <c r="B28" s="56" t="s">
        <v>88</v>
      </c>
      <c r="C28" s="54" t="n">
        <v>2014</v>
      </c>
      <c r="D28" s="86" t="n">
        <f aca="false">SUMIFS('Train detail'!$G$2:$G$181,'Train detail'!$B$2:$B$181,$A28,'Train detail'!$C$2:$C$181,$B28)</f>
        <v>6.9</v>
      </c>
      <c r="E28" s="57" t="n">
        <f aca="false">SUMIFS('Train detail'!$G$2:$G$181,'Train detail'!$B$2:$B$181,$A28,'Train detail'!$C$2:$C$181,$B28,'Train detail'!$F$2:$F$181,"&lt;="&amp;2010)</f>
        <v>0</v>
      </c>
      <c r="F28" s="57" t="n">
        <f aca="false">SUMIFS('Train detail'!$G$2:$G$181,'Train detail'!$B$2:$B$181,$A28,'Train detail'!$C$2:$C$181,$B28,'Train detail'!$F$2:$F$181,"&lt;="&amp;2011)</f>
        <v>0</v>
      </c>
      <c r="G28" s="57" t="n">
        <f aca="false">SUMIFS('Train detail'!$G$2:$G$181,'Train detail'!$B$2:$B$181,$A28,'Train detail'!$C$2:$C$181,$B28,'Train detail'!$F$2:$F$181,"&lt;="&amp;2012)</f>
        <v>0</v>
      </c>
      <c r="H28" s="57" t="n">
        <f aca="false">SUMIFS('Train detail'!$G$2:$G$181,'Train detail'!$B$2:$B$181,$A28,'Train detail'!$C$2:$C$181,$B28,'Train detail'!$F$2:$F$181,"&lt;="&amp;2013)</f>
        <v>0</v>
      </c>
      <c r="I28" s="57" t="n">
        <f aca="false">SUMIFS('Train detail'!$G$2:$G$181,'Train detail'!$B$2:$B$181,$A28,'Train detail'!$C$2:$C$181,$B28,'Train detail'!$F$2:$F$181,"&lt;="&amp;2014)</f>
        <v>6.9</v>
      </c>
      <c r="J28" s="57" t="n">
        <f aca="false">SUMIFS('Train detail'!$G$2:$G$181,'Train detail'!$B$2:$B$181,$A28,'Train detail'!$C$2:$C$181,$B28,'Train detail'!$F$2:$F$181,"&lt;="&amp;2015)</f>
        <v>6.9</v>
      </c>
      <c r="K28" s="57" t="n">
        <f aca="false">SUMIFS('Train detail'!$G$2:$G$181,'Train detail'!$B$2:$B$181,$A28,'Train detail'!$C$2:$C$181,$B28,'Train detail'!$F$2:$F$181,"&lt;="&amp;2016)</f>
        <v>6.9</v>
      </c>
      <c r="L28" s="57" t="n">
        <f aca="false">SUMIFS('Train detail'!$G$2:$G$181,'Train detail'!$B$2:$B$181,$A28,'Train detail'!$C$2:$C$181,$B28,'Train detail'!$F$2:$F$181,"&lt;="&amp;2017)</f>
        <v>6.9</v>
      </c>
      <c r="M28" s="57" t="n">
        <f aca="false">SUMIFS('Train detail'!$G$2:$G$181,'Train detail'!$B$2:$B$181,$A28,'Train detail'!$C$2:$C$181,$B28,'Train detail'!$F$2:$F$181,"&lt;="&amp;2018)</f>
        <v>6.9</v>
      </c>
      <c r="N28" s="57" t="n">
        <f aca="false">SUMIFS('Train detail'!$G$2:$G$181,'Train detail'!$B$2:$B$181,$A28,'Train detail'!$C$2:$C$181,$B28,'Train detail'!$F$2:$F$181,"&lt;="&amp;2019)</f>
        <v>6.9</v>
      </c>
      <c r="O28" s="57" t="n">
        <f aca="false">SUMIFS('Train detail'!$G$2:$G$181,'Train detail'!$B$2:$B$181,$A28,'Train detail'!$C$2:$C$181,$B28,'Train detail'!$F$2:$F$181,"&lt;="&amp;2020)</f>
        <v>6.9</v>
      </c>
      <c r="P28" s="57" t="n">
        <f aca="false">SUMIFS('Train detail'!$G$2:$G$181,'Train detail'!$B$2:$B$181,$A28,'Train detail'!$C$2:$C$181,$B28,'Train detail'!$F$2:$F$181,"&lt;="&amp;2021)</f>
        <v>6.9</v>
      </c>
      <c r="Q28" s="57" t="n">
        <f aca="false">SUMIFS('Train detail'!$G$2:$G$181,'Train detail'!$B$2:$B$181,$A28,'Train detail'!$C$2:$C$181,$B28,'Train detail'!$F$2:$F$181,"&lt;="&amp;2022)</f>
        <v>6.9</v>
      </c>
      <c r="R28" s="57" t="n">
        <f aca="false">SUMIFS('Train detail'!$G$2:$G$181,'Train detail'!$B$2:$B$181,$A28,'Train detail'!$C$2:$C$181,$B28,'Train detail'!$F$2:$F$181,"&lt;="&amp;2023)</f>
        <v>6.9</v>
      </c>
      <c r="S28" s="57" t="n">
        <f aca="false">SUMIFS('Train detail'!$G$2:$G$181,'Train detail'!$B$2:$B$181,$A28,'Train detail'!$C$2:$C$181,$B28,'Train detail'!$F$2:$F$181,"&lt;="&amp;2024)</f>
        <v>6.9</v>
      </c>
      <c r="T28" s="57" t="n">
        <f aca="false">SUMIFS('Train detail'!$G$2:$G$181,'Train detail'!$B$2:$B$181,$A28,'Train detail'!$C$2:$C$181,$B28,'Train detail'!$F$2:$F$181,"&lt;="&amp;2025)</f>
        <v>6.9</v>
      </c>
    </row>
    <row r="29" customFormat="false" ht="15" hidden="false" customHeight="true" outlineLevel="0" collapsed="false">
      <c r="A29" s="64" t="s">
        <v>23</v>
      </c>
      <c r="B29" s="64" t="s">
        <v>57</v>
      </c>
      <c r="C29" s="62" t="n">
        <v>2015</v>
      </c>
      <c r="D29" s="87" t="n">
        <f aca="false">SUMIFS('Train detail'!$G$2:$G$181,'Train detail'!$B$2:$B$181,$A29,'Train detail'!$C$2:$C$181,$B29)</f>
        <v>7.8</v>
      </c>
      <c r="E29" s="65" t="n">
        <f aca="false">SUMIFS('Train detail'!$G$2:$G$181,'Train detail'!$B$2:$B$181,$A29,'Train detail'!$C$2:$C$181,$B29,'Train detail'!$F$2:$F$181,"&lt;="&amp;2010)</f>
        <v>0</v>
      </c>
      <c r="F29" s="65" t="n">
        <f aca="false">SUMIFS('Train detail'!$G$2:$G$181,'Train detail'!$B$2:$B$181,$A29,'Train detail'!$C$2:$C$181,$B29,'Train detail'!$F$2:$F$181,"&lt;="&amp;2011)</f>
        <v>0</v>
      </c>
      <c r="G29" s="65" t="n">
        <f aca="false">SUMIFS('Train detail'!$G$2:$G$181,'Train detail'!$B$2:$B$181,$A29,'Train detail'!$C$2:$C$181,$B29,'Train detail'!$F$2:$F$181,"&lt;="&amp;2012)</f>
        <v>0</v>
      </c>
      <c r="H29" s="65" t="n">
        <f aca="false">SUMIFS('Train detail'!$G$2:$G$181,'Train detail'!$B$2:$B$181,$A29,'Train detail'!$C$2:$C$181,$B29,'Train detail'!$F$2:$F$181,"&lt;="&amp;2013)</f>
        <v>0</v>
      </c>
      <c r="I29" s="65" t="n">
        <f aca="false">SUMIFS('Train detail'!$G$2:$G$181,'Train detail'!$B$2:$B$181,$A29,'Train detail'!$C$2:$C$181,$B29,'Train detail'!$F$2:$F$181,"&lt;="&amp;2014)</f>
        <v>0</v>
      </c>
      <c r="J29" s="65" t="n">
        <f aca="false">SUMIFS('Train detail'!$G$2:$G$181,'Train detail'!$B$2:$B$181,$A29,'Train detail'!$C$2:$C$181,$B29,'Train detail'!$F$2:$F$181,"&lt;="&amp;2015)</f>
        <v>3.9</v>
      </c>
      <c r="K29" s="65" t="n">
        <f aca="false">SUMIFS('Train detail'!$G$2:$G$181,'Train detail'!$B$2:$B$181,$A29,'Train detail'!$C$2:$C$181,$B29,'Train detail'!$F$2:$F$181,"&lt;="&amp;2016)</f>
        <v>7.8</v>
      </c>
      <c r="L29" s="65" t="n">
        <f aca="false">SUMIFS('Train detail'!$G$2:$G$181,'Train detail'!$B$2:$B$181,$A29,'Train detail'!$C$2:$C$181,$B29,'Train detail'!$F$2:$F$181,"&lt;="&amp;2017)</f>
        <v>7.8</v>
      </c>
      <c r="M29" s="65" t="n">
        <f aca="false">SUMIFS('Train detail'!$G$2:$G$181,'Train detail'!$B$2:$B$181,$A29,'Train detail'!$C$2:$C$181,$B29,'Train detail'!$F$2:$F$181,"&lt;="&amp;2018)</f>
        <v>7.8</v>
      </c>
      <c r="N29" s="65" t="n">
        <f aca="false">SUMIFS('Train detail'!$G$2:$G$181,'Train detail'!$B$2:$B$181,$A29,'Train detail'!$C$2:$C$181,$B29,'Train detail'!$F$2:$F$181,"&lt;="&amp;2019)</f>
        <v>7.8</v>
      </c>
      <c r="O29" s="65" t="n">
        <f aca="false">SUMIFS('Train detail'!$G$2:$G$181,'Train detail'!$B$2:$B$181,$A29,'Train detail'!$C$2:$C$181,$B29,'Train detail'!$F$2:$F$181,"&lt;="&amp;2020)</f>
        <v>7.8</v>
      </c>
      <c r="P29" s="65" t="n">
        <f aca="false">SUMIFS('Train detail'!$G$2:$G$181,'Train detail'!$B$2:$B$181,$A29,'Train detail'!$C$2:$C$181,$B29,'Train detail'!$F$2:$F$181,"&lt;="&amp;2021)</f>
        <v>7.8</v>
      </c>
      <c r="Q29" s="65" t="n">
        <f aca="false">SUMIFS('Train detail'!$G$2:$G$181,'Train detail'!$B$2:$B$181,$A29,'Train detail'!$C$2:$C$181,$B29,'Train detail'!$F$2:$F$181,"&lt;="&amp;2022)</f>
        <v>7.8</v>
      </c>
      <c r="R29" s="65" t="n">
        <f aca="false">SUMIFS('Train detail'!$G$2:$G$181,'Train detail'!$B$2:$B$181,$A29,'Train detail'!$C$2:$C$181,$B29,'Train detail'!$F$2:$F$181,"&lt;="&amp;2023)</f>
        <v>7.8</v>
      </c>
      <c r="S29" s="65" t="n">
        <f aca="false">SUMIFS('Train detail'!$G$2:$G$181,'Train detail'!$B$2:$B$181,$A29,'Train detail'!$C$2:$C$181,$B29,'Train detail'!$F$2:$F$181,"&lt;="&amp;2024)</f>
        <v>7.8</v>
      </c>
      <c r="T29" s="65" t="n">
        <f aca="false">SUMIFS('Train detail'!$G$2:$G$181,'Train detail'!$B$2:$B$181,$A29,'Train detail'!$C$2:$C$181,$B29,'Train detail'!$F$2:$F$181,"&lt;="&amp;2025)</f>
        <v>7.8</v>
      </c>
    </row>
    <row r="30" customFormat="false" ht="15" hidden="false" customHeight="true" outlineLevel="0" collapsed="false">
      <c r="A30" s="56" t="s">
        <v>23</v>
      </c>
      <c r="B30" s="56" t="s">
        <v>63</v>
      </c>
      <c r="C30" s="54" t="n">
        <v>2015</v>
      </c>
      <c r="D30" s="86" t="n">
        <f aca="false">SUMIFS('Train detail'!$G$2:$G$181,'Train detail'!$B$2:$B$181,$A30,'Train detail'!$C$2:$C$181,$B30)</f>
        <v>8.5</v>
      </c>
      <c r="E30" s="57" t="n">
        <f aca="false">SUMIFS('Train detail'!$G$2:$G$181,'Train detail'!$B$2:$B$181,$A30,'Train detail'!$C$2:$C$181,$B30,'Train detail'!$F$2:$F$181,"&lt;="&amp;2010)</f>
        <v>0</v>
      </c>
      <c r="F30" s="57" t="n">
        <f aca="false">SUMIFS('Train detail'!$G$2:$G$181,'Train detail'!$B$2:$B$181,$A30,'Train detail'!$C$2:$C$181,$B30,'Train detail'!$F$2:$F$181,"&lt;="&amp;2011)</f>
        <v>0</v>
      </c>
      <c r="G30" s="57" t="n">
        <f aca="false">SUMIFS('Train detail'!$G$2:$G$181,'Train detail'!$B$2:$B$181,$A30,'Train detail'!$C$2:$C$181,$B30,'Train detail'!$F$2:$F$181,"&lt;="&amp;2012)</f>
        <v>0</v>
      </c>
      <c r="H30" s="57" t="n">
        <f aca="false">SUMIFS('Train detail'!$G$2:$G$181,'Train detail'!$B$2:$B$181,$A30,'Train detail'!$C$2:$C$181,$B30,'Train detail'!$F$2:$F$181,"&lt;="&amp;2013)</f>
        <v>0</v>
      </c>
      <c r="I30" s="57" t="n">
        <f aca="false">SUMIFS('Train detail'!$G$2:$G$181,'Train detail'!$B$2:$B$181,$A30,'Train detail'!$C$2:$C$181,$B30,'Train detail'!$F$2:$F$181,"&lt;="&amp;2014)</f>
        <v>0</v>
      </c>
      <c r="J30" s="57" t="n">
        <f aca="false">SUMIFS('Train detail'!$G$2:$G$181,'Train detail'!$B$2:$B$181,$A30,'Train detail'!$C$2:$C$181,$B30,'Train detail'!$F$2:$F$181,"&lt;="&amp;2015)</f>
        <v>8.5</v>
      </c>
      <c r="K30" s="57" t="n">
        <f aca="false">SUMIFS('Train detail'!$G$2:$G$181,'Train detail'!$B$2:$B$181,$A30,'Train detail'!$C$2:$C$181,$B30,'Train detail'!$F$2:$F$181,"&lt;="&amp;2016)</f>
        <v>8.5</v>
      </c>
      <c r="L30" s="57" t="n">
        <f aca="false">SUMIFS('Train detail'!$G$2:$G$181,'Train detail'!$B$2:$B$181,$A30,'Train detail'!$C$2:$C$181,$B30,'Train detail'!$F$2:$F$181,"&lt;="&amp;2017)</f>
        <v>8.5</v>
      </c>
      <c r="M30" s="57" t="n">
        <f aca="false">SUMIFS('Train detail'!$G$2:$G$181,'Train detail'!$B$2:$B$181,$A30,'Train detail'!$C$2:$C$181,$B30,'Train detail'!$F$2:$F$181,"&lt;="&amp;2018)</f>
        <v>8.5</v>
      </c>
      <c r="N30" s="57" t="n">
        <f aca="false">SUMIFS('Train detail'!$G$2:$G$181,'Train detail'!$B$2:$B$181,$A30,'Train detail'!$C$2:$C$181,$B30,'Train detail'!$F$2:$F$181,"&lt;="&amp;2019)</f>
        <v>8.5</v>
      </c>
      <c r="O30" s="57" t="n">
        <f aca="false">SUMIFS('Train detail'!$G$2:$G$181,'Train detail'!$B$2:$B$181,$A30,'Train detail'!$C$2:$C$181,$B30,'Train detail'!$F$2:$F$181,"&lt;="&amp;2020)</f>
        <v>8.5</v>
      </c>
      <c r="P30" s="57" t="n">
        <f aca="false">SUMIFS('Train detail'!$G$2:$G$181,'Train detail'!$B$2:$B$181,$A30,'Train detail'!$C$2:$C$181,$B30,'Train detail'!$F$2:$F$181,"&lt;="&amp;2021)</f>
        <v>8.5</v>
      </c>
      <c r="Q30" s="57" t="n">
        <f aca="false">SUMIFS('Train detail'!$G$2:$G$181,'Train detail'!$B$2:$B$181,$A30,'Train detail'!$C$2:$C$181,$B30,'Train detail'!$F$2:$F$181,"&lt;="&amp;2022)</f>
        <v>8.5</v>
      </c>
      <c r="R30" s="57" t="n">
        <f aca="false">SUMIFS('Train detail'!$G$2:$G$181,'Train detail'!$B$2:$B$181,$A30,'Train detail'!$C$2:$C$181,$B30,'Train detail'!$F$2:$F$181,"&lt;="&amp;2023)</f>
        <v>8.5</v>
      </c>
      <c r="S30" s="57" t="n">
        <f aca="false">SUMIFS('Train detail'!$G$2:$G$181,'Train detail'!$B$2:$B$181,$A30,'Train detail'!$C$2:$C$181,$B30,'Train detail'!$F$2:$F$181,"&lt;="&amp;2024)</f>
        <v>8.5</v>
      </c>
      <c r="T30" s="57" t="n">
        <f aca="false">SUMIFS('Train detail'!$G$2:$G$181,'Train detail'!$B$2:$B$181,$A30,'Train detail'!$C$2:$C$181,$B30,'Train detail'!$F$2:$F$181,"&lt;="&amp;2025)</f>
        <v>8.5</v>
      </c>
    </row>
    <row r="31" customFormat="false" ht="15" hidden="false" customHeight="true" outlineLevel="0" collapsed="false">
      <c r="A31" s="64" t="s">
        <v>31</v>
      </c>
      <c r="B31" s="64" t="s">
        <v>75</v>
      </c>
      <c r="C31" s="62" t="n">
        <v>2015</v>
      </c>
      <c r="D31" s="87" t="n">
        <f aca="false">SUMIFS('Train detail'!$G$2:$G$181,'Train detail'!$B$2:$B$181,$A31,'Train detail'!$C$2:$C$181,$B31)</f>
        <v>2</v>
      </c>
      <c r="E31" s="65" t="n">
        <f aca="false">SUMIFS('Train detail'!$G$2:$G$181,'Train detail'!$B$2:$B$181,$A31,'Train detail'!$C$2:$C$181,$B31,'Train detail'!$F$2:$F$181,"&lt;="&amp;2010)</f>
        <v>0</v>
      </c>
      <c r="F31" s="65" t="n">
        <f aca="false">SUMIFS('Train detail'!$G$2:$G$181,'Train detail'!$B$2:$B$181,$A31,'Train detail'!$C$2:$C$181,$B31,'Train detail'!$F$2:$F$181,"&lt;="&amp;2011)</f>
        <v>0</v>
      </c>
      <c r="G31" s="65" t="n">
        <f aca="false">SUMIFS('Train detail'!$G$2:$G$181,'Train detail'!$B$2:$B$181,$A31,'Train detail'!$C$2:$C$181,$B31,'Train detail'!$F$2:$F$181,"&lt;="&amp;2012)</f>
        <v>0</v>
      </c>
      <c r="H31" s="65" t="n">
        <f aca="false">SUMIFS('Train detail'!$G$2:$G$181,'Train detail'!$B$2:$B$181,$A31,'Train detail'!$C$2:$C$181,$B31,'Train detail'!$F$2:$F$181,"&lt;="&amp;2013)</f>
        <v>0</v>
      </c>
      <c r="I31" s="65" t="n">
        <f aca="false">SUMIFS('Train detail'!$G$2:$G$181,'Train detail'!$B$2:$B$181,$A31,'Train detail'!$C$2:$C$181,$B31,'Train detail'!$F$2:$F$181,"&lt;="&amp;2014)</f>
        <v>0</v>
      </c>
      <c r="J31" s="65" t="n">
        <f aca="false">SUMIFS('Train detail'!$G$2:$G$181,'Train detail'!$B$2:$B$181,$A31,'Train detail'!$C$2:$C$181,$B31,'Train detail'!$F$2:$F$181,"&lt;="&amp;2015)</f>
        <v>2</v>
      </c>
      <c r="K31" s="65" t="n">
        <f aca="false">SUMIFS('Train detail'!$G$2:$G$181,'Train detail'!$B$2:$B$181,$A31,'Train detail'!$C$2:$C$181,$B31,'Train detail'!$F$2:$F$181,"&lt;="&amp;2016)</f>
        <v>2</v>
      </c>
      <c r="L31" s="65" t="n">
        <f aca="false">SUMIFS('Train detail'!$G$2:$G$181,'Train detail'!$B$2:$B$181,$A31,'Train detail'!$C$2:$C$181,$B31,'Train detail'!$F$2:$F$181,"&lt;="&amp;2017)</f>
        <v>2</v>
      </c>
      <c r="M31" s="65" t="n">
        <f aca="false">SUMIFS('Train detail'!$G$2:$G$181,'Train detail'!$B$2:$B$181,$A31,'Train detail'!$C$2:$C$181,$B31,'Train detail'!$F$2:$F$181,"&lt;="&amp;2018)</f>
        <v>2</v>
      </c>
      <c r="N31" s="65" t="n">
        <f aca="false">SUMIFS('Train detail'!$G$2:$G$181,'Train detail'!$B$2:$B$181,$A31,'Train detail'!$C$2:$C$181,$B31,'Train detail'!$F$2:$F$181,"&lt;="&amp;2019)</f>
        <v>2</v>
      </c>
      <c r="O31" s="65" t="n">
        <f aca="false">SUMIFS('Train detail'!$G$2:$G$181,'Train detail'!$B$2:$B$181,$A31,'Train detail'!$C$2:$C$181,$B31,'Train detail'!$F$2:$F$181,"&lt;="&amp;2020)</f>
        <v>2</v>
      </c>
      <c r="P31" s="65" t="n">
        <f aca="false">SUMIFS('Train detail'!$G$2:$G$181,'Train detail'!$B$2:$B$181,$A31,'Train detail'!$C$2:$C$181,$B31,'Train detail'!$F$2:$F$181,"&lt;="&amp;2021)</f>
        <v>2</v>
      </c>
      <c r="Q31" s="65" t="n">
        <f aca="false">SUMIFS('Train detail'!$G$2:$G$181,'Train detail'!$B$2:$B$181,$A31,'Train detail'!$C$2:$C$181,$B31,'Train detail'!$F$2:$F$181,"&lt;="&amp;2022)</f>
        <v>2</v>
      </c>
      <c r="R31" s="65" t="n">
        <f aca="false">SUMIFS('Train detail'!$G$2:$G$181,'Train detail'!$B$2:$B$181,$A31,'Train detail'!$C$2:$C$181,$B31,'Train detail'!$F$2:$F$181,"&lt;="&amp;2023)</f>
        <v>2</v>
      </c>
      <c r="S31" s="65" t="n">
        <f aca="false">SUMIFS('Train detail'!$G$2:$G$181,'Train detail'!$B$2:$B$181,$A31,'Train detail'!$C$2:$C$181,$B31,'Train detail'!$F$2:$F$181,"&lt;="&amp;2024)</f>
        <v>2</v>
      </c>
      <c r="T31" s="65" t="n">
        <f aca="false">SUMIFS('Train detail'!$G$2:$G$181,'Train detail'!$B$2:$B$181,$A31,'Train detail'!$C$2:$C$181,$B31,'Train detail'!$F$2:$F$181,"&lt;="&amp;2025)</f>
        <v>2</v>
      </c>
    </row>
    <row r="32" customFormat="false" ht="15" hidden="false" customHeight="true" outlineLevel="0" collapsed="false">
      <c r="A32" s="56" t="s">
        <v>23</v>
      </c>
      <c r="B32" s="56" t="s">
        <v>55</v>
      </c>
      <c r="C32" s="54" t="n">
        <v>2016</v>
      </c>
      <c r="D32" s="86" t="n">
        <f aca="false">SUMIFS('Train detail'!$G$2:$G$181,'Train detail'!$B$2:$B$181,$A32,'Train detail'!$C$2:$C$181,$B32)</f>
        <v>9</v>
      </c>
      <c r="E32" s="57" t="n">
        <f aca="false">SUMIFS('Train detail'!$G$2:$G$181,'Train detail'!$B$2:$B$181,$A32,'Train detail'!$C$2:$C$181,$B32,'Train detail'!$F$2:$F$181,"&lt;="&amp;2010)</f>
        <v>0</v>
      </c>
      <c r="F32" s="57" t="n">
        <f aca="false">SUMIFS('Train detail'!$G$2:$G$181,'Train detail'!$B$2:$B$181,$A32,'Train detail'!$C$2:$C$181,$B32,'Train detail'!$F$2:$F$181,"&lt;="&amp;2011)</f>
        <v>0</v>
      </c>
      <c r="G32" s="57" t="n">
        <f aca="false">SUMIFS('Train detail'!$G$2:$G$181,'Train detail'!$B$2:$B$181,$A32,'Train detail'!$C$2:$C$181,$B32,'Train detail'!$F$2:$F$181,"&lt;="&amp;2012)</f>
        <v>0</v>
      </c>
      <c r="H32" s="57" t="n">
        <f aca="false">SUMIFS('Train detail'!$G$2:$G$181,'Train detail'!$B$2:$B$181,$A32,'Train detail'!$C$2:$C$181,$B32,'Train detail'!$F$2:$F$181,"&lt;="&amp;2013)</f>
        <v>0</v>
      </c>
      <c r="I32" s="57" t="n">
        <f aca="false">SUMIFS('Train detail'!$G$2:$G$181,'Train detail'!$B$2:$B$181,$A32,'Train detail'!$C$2:$C$181,$B32,'Train detail'!$F$2:$F$181,"&lt;="&amp;2014)</f>
        <v>0</v>
      </c>
      <c r="J32" s="57" t="n">
        <f aca="false">SUMIFS('Train detail'!$G$2:$G$181,'Train detail'!$B$2:$B$181,$A32,'Train detail'!$C$2:$C$181,$B32,'Train detail'!$F$2:$F$181,"&lt;="&amp;2015)</f>
        <v>0</v>
      </c>
      <c r="K32" s="57" t="n">
        <f aca="false">SUMIFS('Train detail'!$G$2:$G$181,'Train detail'!$B$2:$B$181,$A32,'Train detail'!$C$2:$C$181,$B32,'Train detail'!$F$2:$F$181,"&lt;="&amp;2016)</f>
        <v>9</v>
      </c>
      <c r="L32" s="57" t="n">
        <f aca="false">SUMIFS('Train detail'!$G$2:$G$181,'Train detail'!$B$2:$B$181,$A32,'Train detail'!$C$2:$C$181,$B32,'Train detail'!$F$2:$F$181,"&lt;="&amp;2017)</f>
        <v>9</v>
      </c>
      <c r="M32" s="57" t="n">
        <f aca="false">SUMIFS('Train detail'!$G$2:$G$181,'Train detail'!$B$2:$B$181,$A32,'Train detail'!$C$2:$C$181,$B32,'Train detail'!$F$2:$F$181,"&lt;="&amp;2018)</f>
        <v>9</v>
      </c>
      <c r="N32" s="57" t="n">
        <f aca="false">SUMIFS('Train detail'!$G$2:$G$181,'Train detail'!$B$2:$B$181,$A32,'Train detail'!$C$2:$C$181,$B32,'Train detail'!$F$2:$F$181,"&lt;="&amp;2019)</f>
        <v>9</v>
      </c>
      <c r="O32" s="57" t="n">
        <f aca="false">SUMIFS('Train detail'!$G$2:$G$181,'Train detail'!$B$2:$B$181,$A32,'Train detail'!$C$2:$C$181,$B32,'Train detail'!$F$2:$F$181,"&lt;="&amp;2020)</f>
        <v>9</v>
      </c>
      <c r="P32" s="57" t="n">
        <f aca="false">SUMIFS('Train detail'!$G$2:$G$181,'Train detail'!$B$2:$B$181,$A32,'Train detail'!$C$2:$C$181,$B32,'Train detail'!$F$2:$F$181,"&lt;="&amp;2021)</f>
        <v>9</v>
      </c>
      <c r="Q32" s="57" t="n">
        <f aca="false">SUMIFS('Train detail'!$G$2:$G$181,'Train detail'!$B$2:$B$181,$A32,'Train detail'!$C$2:$C$181,$B32,'Train detail'!$F$2:$F$181,"&lt;="&amp;2022)</f>
        <v>9</v>
      </c>
      <c r="R32" s="57" t="n">
        <f aca="false">SUMIFS('Train detail'!$G$2:$G$181,'Train detail'!$B$2:$B$181,$A32,'Train detail'!$C$2:$C$181,$B32,'Train detail'!$F$2:$F$181,"&lt;="&amp;2023)</f>
        <v>9</v>
      </c>
      <c r="S32" s="57" t="n">
        <f aca="false">SUMIFS('Train detail'!$G$2:$G$181,'Train detail'!$B$2:$B$181,$A32,'Train detail'!$C$2:$C$181,$B32,'Train detail'!$F$2:$F$181,"&lt;="&amp;2024)</f>
        <v>9</v>
      </c>
      <c r="T32" s="57" t="n">
        <f aca="false">SUMIFS('Train detail'!$G$2:$G$181,'Train detail'!$B$2:$B$181,$A32,'Train detail'!$C$2:$C$181,$B32,'Train detail'!$F$2:$F$181,"&lt;="&amp;2025)</f>
        <v>9</v>
      </c>
    </row>
    <row r="33" customFormat="false" ht="15" hidden="false" customHeight="true" outlineLevel="0" collapsed="false">
      <c r="A33" s="64" t="s">
        <v>23</v>
      </c>
      <c r="B33" s="64" t="s">
        <v>58</v>
      </c>
      <c r="C33" s="62" t="n">
        <v>2016</v>
      </c>
      <c r="D33" s="87" t="n">
        <f aca="false">SUMIFS('Train detail'!$G$2:$G$181,'Train detail'!$B$2:$B$181,$A33,'Train detail'!$C$2:$C$181,$B33)</f>
        <v>15.6</v>
      </c>
      <c r="E33" s="65" t="n">
        <f aca="false">SUMIFS('Train detail'!$G$2:$G$181,'Train detail'!$B$2:$B$181,$A33,'Train detail'!$C$2:$C$181,$B33,'Train detail'!$F$2:$F$181,"&lt;="&amp;2010)</f>
        <v>0</v>
      </c>
      <c r="F33" s="65" t="n">
        <f aca="false">SUMIFS('Train detail'!$G$2:$G$181,'Train detail'!$B$2:$B$181,$A33,'Train detail'!$C$2:$C$181,$B33,'Train detail'!$F$2:$F$181,"&lt;="&amp;2011)</f>
        <v>0</v>
      </c>
      <c r="G33" s="65" t="n">
        <f aca="false">SUMIFS('Train detail'!$G$2:$G$181,'Train detail'!$B$2:$B$181,$A33,'Train detail'!$C$2:$C$181,$B33,'Train detail'!$F$2:$F$181,"&lt;="&amp;2012)</f>
        <v>0</v>
      </c>
      <c r="H33" s="65" t="n">
        <f aca="false">SUMIFS('Train detail'!$G$2:$G$181,'Train detail'!$B$2:$B$181,$A33,'Train detail'!$C$2:$C$181,$B33,'Train detail'!$F$2:$F$181,"&lt;="&amp;2013)</f>
        <v>0</v>
      </c>
      <c r="I33" s="65" t="n">
        <f aca="false">SUMIFS('Train detail'!$G$2:$G$181,'Train detail'!$B$2:$B$181,$A33,'Train detail'!$C$2:$C$181,$B33,'Train detail'!$F$2:$F$181,"&lt;="&amp;2014)</f>
        <v>0</v>
      </c>
      <c r="J33" s="65" t="n">
        <f aca="false">SUMIFS('Train detail'!$G$2:$G$181,'Train detail'!$B$2:$B$181,$A33,'Train detail'!$C$2:$C$181,$B33,'Train detail'!$F$2:$F$181,"&lt;="&amp;2015)</f>
        <v>0</v>
      </c>
      <c r="K33" s="65" t="n">
        <f aca="false">SUMIFS('Train detail'!$G$2:$G$181,'Train detail'!$B$2:$B$181,$A33,'Train detail'!$C$2:$C$181,$B33,'Train detail'!$F$2:$F$181,"&lt;="&amp;2016)</f>
        <v>15.6</v>
      </c>
      <c r="L33" s="65" t="n">
        <f aca="false">SUMIFS('Train detail'!$G$2:$G$181,'Train detail'!$B$2:$B$181,$A33,'Train detail'!$C$2:$C$181,$B33,'Train detail'!$F$2:$F$181,"&lt;="&amp;2017)</f>
        <v>15.6</v>
      </c>
      <c r="M33" s="65" t="n">
        <f aca="false">SUMIFS('Train detail'!$G$2:$G$181,'Train detail'!$B$2:$B$181,$A33,'Train detail'!$C$2:$C$181,$B33,'Train detail'!$F$2:$F$181,"&lt;="&amp;2018)</f>
        <v>15.6</v>
      </c>
      <c r="N33" s="65" t="n">
        <f aca="false">SUMIFS('Train detail'!$G$2:$G$181,'Train detail'!$B$2:$B$181,$A33,'Train detail'!$C$2:$C$181,$B33,'Train detail'!$F$2:$F$181,"&lt;="&amp;2019)</f>
        <v>15.6</v>
      </c>
      <c r="O33" s="65" t="n">
        <f aca="false">SUMIFS('Train detail'!$G$2:$G$181,'Train detail'!$B$2:$B$181,$A33,'Train detail'!$C$2:$C$181,$B33,'Train detail'!$F$2:$F$181,"&lt;="&amp;2020)</f>
        <v>15.6</v>
      </c>
      <c r="P33" s="65" t="n">
        <f aca="false">SUMIFS('Train detail'!$G$2:$G$181,'Train detail'!$B$2:$B$181,$A33,'Train detail'!$C$2:$C$181,$B33,'Train detail'!$F$2:$F$181,"&lt;="&amp;2021)</f>
        <v>15.6</v>
      </c>
      <c r="Q33" s="65" t="n">
        <f aca="false">SUMIFS('Train detail'!$G$2:$G$181,'Train detail'!$B$2:$B$181,$A33,'Train detail'!$C$2:$C$181,$B33,'Train detail'!$F$2:$F$181,"&lt;="&amp;2022)</f>
        <v>15.6</v>
      </c>
      <c r="R33" s="65" t="n">
        <f aca="false">SUMIFS('Train detail'!$G$2:$G$181,'Train detail'!$B$2:$B$181,$A33,'Train detail'!$C$2:$C$181,$B33,'Train detail'!$F$2:$F$181,"&lt;="&amp;2023)</f>
        <v>15.6</v>
      </c>
      <c r="S33" s="65" t="n">
        <f aca="false">SUMIFS('Train detail'!$G$2:$G$181,'Train detail'!$B$2:$B$181,$A33,'Train detail'!$C$2:$C$181,$B33,'Train detail'!$F$2:$F$181,"&lt;="&amp;2024)</f>
        <v>15.6</v>
      </c>
      <c r="T33" s="65" t="n">
        <f aca="false">SUMIFS('Train detail'!$G$2:$G$181,'Train detail'!$B$2:$B$181,$A33,'Train detail'!$C$2:$C$181,$B33,'Train detail'!$F$2:$F$181,"&lt;="&amp;2025)</f>
        <v>15.6</v>
      </c>
    </row>
    <row r="34" customFormat="false" ht="15" hidden="false" customHeight="true" outlineLevel="0" collapsed="false">
      <c r="A34" s="56" t="s">
        <v>45</v>
      </c>
      <c r="B34" s="56" t="s">
        <v>106</v>
      </c>
      <c r="C34" s="54" t="n">
        <v>2016</v>
      </c>
      <c r="D34" s="86" t="n">
        <f aca="false">SUMIFS('Train detail'!$G$2:$G$181,'Train detail'!$B$2:$B$181,$A34,'Train detail'!$C$2:$C$181,$B34)</f>
        <v>30</v>
      </c>
      <c r="E34" s="57" t="n">
        <f aca="false">SUMIFS('Train detail'!$G$2:$G$181,'Train detail'!$B$2:$B$181,$A34,'Train detail'!$C$2:$C$181,$B34,'Train detail'!$F$2:$F$181,"&lt;="&amp;2010)</f>
        <v>0</v>
      </c>
      <c r="F34" s="57" t="n">
        <f aca="false">SUMIFS('Train detail'!$G$2:$G$181,'Train detail'!$B$2:$B$181,$A34,'Train detail'!$C$2:$C$181,$B34,'Train detail'!$F$2:$F$181,"&lt;="&amp;2011)</f>
        <v>0</v>
      </c>
      <c r="G34" s="57" t="n">
        <f aca="false">SUMIFS('Train detail'!$G$2:$G$181,'Train detail'!$B$2:$B$181,$A34,'Train detail'!$C$2:$C$181,$B34,'Train detail'!$F$2:$F$181,"&lt;="&amp;2012)</f>
        <v>0</v>
      </c>
      <c r="H34" s="57" t="n">
        <f aca="false">SUMIFS('Train detail'!$G$2:$G$181,'Train detail'!$B$2:$B$181,$A34,'Train detail'!$C$2:$C$181,$B34,'Train detail'!$F$2:$F$181,"&lt;="&amp;2013)</f>
        <v>0</v>
      </c>
      <c r="I34" s="57" t="n">
        <f aca="false">SUMIFS('Train detail'!$G$2:$G$181,'Train detail'!$B$2:$B$181,$A34,'Train detail'!$C$2:$C$181,$B34,'Train detail'!$F$2:$F$181,"&lt;="&amp;2014)</f>
        <v>0</v>
      </c>
      <c r="J34" s="57" t="n">
        <f aca="false">SUMIFS('Train detail'!$G$2:$G$181,'Train detail'!$B$2:$B$181,$A34,'Train detail'!$C$2:$C$181,$B34,'Train detail'!$F$2:$F$181,"&lt;="&amp;2015)</f>
        <v>0</v>
      </c>
      <c r="K34" s="57" t="n">
        <f aca="false">SUMIFS('Train detail'!$G$2:$G$181,'Train detail'!$B$2:$B$181,$A34,'Train detail'!$C$2:$C$181,$B34,'Train detail'!$F$2:$F$181,"&lt;="&amp;2016)</f>
        <v>10</v>
      </c>
      <c r="L34" s="57" t="n">
        <f aca="false">SUMIFS('Train detail'!$G$2:$G$181,'Train detail'!$B$2:$B$181,$A34,'Train detail'!$C$2:$C$181,$B34,'Train detail'!$F$2:$F$181,"&lt;="&amp;2017)</f>
        <v>20</v>
      </c>
      <c r="M34" s="57" t="n">
        <f aca="false">SUMIFS('Train detail'!$G$2:$G$181,'Train detail'!$B$2:$B$181,$A34,'Train detail'!$C$2:$C$181,$B34,'Train detail'!$F$2:$F$181,"&lt;="&amp;2018)</f>
        <v>20</v>
      </c>
      <c r="N34" s="57" t="n">
        <f aca="false">SUMIFS('Train detail'!$G$2:$G$181,'Train detail'!$B$2:$B$181,$A34,'Train detail'!$C$2:$C$181,$B34,'Train detail'!$F$2:$F$181,"&lt;="&amp;2019)</f>
        <v>25</v>
      </c>
      <c r="O34" s="57" t="n">
        <f aca="false">SUMIFS('Train detail'!$G$2:$G$181,'Train detail'!$B$2:$B$181,$A34,'Train detail'!$C$2:$C$181,$B34,'Train detail'!$F$2:$F$181,"&lt;="&amp;2020)</f>
        <v>25</v>
      </c>
      <c r="P34" s="57" t="n">
        <f aca="false">SUMIFS('Train detail'!$G$2:$G$181,'Train detail'!$B$2:$B$181,$A34,'Train detail'!$C$2:$C$181,$B34,'Train detail'!$F$2:$F$181,"&lt;="&amp;2021)</f>
        <v>25</v>
      </c>
      <c r="Q34" s="57" t="n">
        <f aca="false">SUMIFS('Train detail'!$G$2:$G$181,'Train detail'!$B$2:$B$181,$A34,'Train detail'!$C$2:$C$181,$B34,'Train detail'!$F$2:$F$181,"&lt;="&amp;2022)</f>
        <v>30</v>
      </c>
      <c r="R34" s="57" t="n">
        <f aca="false">SUMIFS('Train detail'!$G$2:$G$181,'Train detail'!$B$2:$B$181,$A34,'Train detail'!$C$2:$C$181,$B34,'Train detail'!$F$2:$F$181,"&lt;="&amp;2023)</f>
        <v>30</v>
      </c>
      <c r="S34" s="57" t="n">
        <f aca="false">SUMIFS('Train detail'!$G$2:$G$181,'Train detail'!$B$2:$B$181,$A34,'Train detail'!$C$2:$C$181,$B34,'Train detail'!$F$2:$F$181,"&lt;="&amp;2024)</f>
        <v>30</v>
      </c>
      <c r="T34" s="57" t="n">
        <f aca="false">SUMIFS('Train detail'!$G$2:$G$181,'Train detail'!$B$2:$B$181,$A34,'Train detail'!$C$2:$C$181,$B34,'Train detail'!$F$2:$F$181,"&lt;="&amp;2025)</f>
        <v>30</v>
      </c>
    </row>
    <row r="35" customFormat="false" ht="15" hidden="false" customHeight="true" outlineLevel="0" collapsed="false">
      <c r="A35" s="64" t="s">
        <v>23</v>
      </c>
      <c r="B35" s="64" t="s">
        <v>64</v>
      </c>
      <c r="C35" s="62" t="n">
        <v>2017</v>
      </c>
      <c r="D35" s="87" t="n">
        <f aca="false">SUMIFS('Train detail'!$G$2:$G$181,'Train detail'!$B$2:$B$181,$A35,'Train detail'!$C$2:$C$181,$B35)</f>
        <v>8.9</v>
      </c>
      <c r="E35" s="65" t="n">
        <f aca="false">SUMIFS('Train detail'!$G$2:$G$181,'Train detail'!$B$2:$B$181,$A35,'Train detail'!$C$2:$C$181,$B35,'Train detail'!$F$2:$F$181,"&lt;="&amp;2010)</f>
        <v>0</v>
      </c>
      <c r="F35" s="65" t="n">
        <f aca="false">SUMIFS('Train detail'!$G$2:$G$181,'Train detail'!$B$2:$B$181,$A35,'Train detail'!$C$2:$C$181,$B35,'Train detail'!$F$2:$F$181,"&lt;="&amp;2011)</f>
        <v>0</v>
      </c>
      <c r="G35" s="65" t="n">
        <f aca="false">SUMIFS('Train detail'!$G$2:$G$181,'Train detail'!$B$2:$B$181,$A35,'Train detail'!$C$2:$C$181,$B35,'Train detail'!$F$2:$F$181,"&lt;="&amp;2012)</f>
        <v>0</v>
      </c>
      <c r="H35" s="65" t="n">
        <f aca="false">SUMIFS('Train detail'!$G$2:$G$181,'Train detail'!$B$2:$B$181,$A35,'Train detail'!$C$2:$C$181,$B35,'Train detail'!$F$2:$F$181,"&lt;="&amp;2013)</f>
        <v>0</v>
      </c>
      <c r="I35" s="65" t="n">
        <f aca="false">SUMIFS('Train detail'!$G$2:$G$181,'Train detail'!$B$2:$B$181,$A35,'Train detail'!$C$2:$C$181,$B35,'Train detail'!$F$2:$F$181,"&lt;="&amp;2014)</f>
        <v>0</v>
      </c>
      <c r="J35" s="65" t="n">
        <f aca="false">SUMIFS('Train detail'!$G$2:$G$181,'Train detail'!$B$2:$B$181,$A35,'Train detail'!$C$2:$C$181,$B35,'Train detail'!$F$2:$F$181,"&lt;="&amp;2015)</f>
        <v>0</v>
      </c>
      <c r="K35" s="65" t="n">
        <f aca="false">SUMIFS('Train detail'!$G$2:$G$181,'Train detail'!$B$2:$B$181,$A35,'Train detail'!$C$2:$C$181,$B35,'Train detail'!$F$2:$F$181,"&lt;="&amp;2016)</f>
        <v>0</v>
      </c>
      <c r="L35" s="65" t="n">
        <f aca="false">SUMIFS('Train detail'!$G$2:$G$181,'Train detail'!$B$2:$B$181,$A35,'Train detail'!$C$2:$C$181,$B35,'Train detail'!$F$2:$F$181,"&lt;="&amp;2017)</f>
        <v>8.9</v>
      </c>
      <c r="M35" s="65" t="n">
        <f aca="false">SUMIFS('Train detail'!$G$2:$G$181,'Train detail'!$B$2:$B$181,$A35,'Train detail'!$C$2:$C$181,$B35,'Train detail'!$F$2:$F$181,"&lt;="&amp;2018)</f>
        <v>8.9</v>
      </c>
      <c r="N35" s="65" t="n">
        <f aca="false">SUMIFS('Train detail'!$G$2:$G$181,'Train detail'!$B$2:$B$181,$A35,'Train detail'!$C$2:$C$181,$B35,'Train detail'!$F$2:$F$181,"&lt;="&amp;2019)</f>
        <v>8.9</v>
      </c>
      <c r="O35" s="65" t="n">
        <f aca="false">SUMIFS('Train detail'!$G$2:$G$181,'Train detail'!$B$2:$B$181,$A35,'Train detail'!$C$2:$C$181,$B35,'Train detail'!$F$2:$F$181,"&lt;="&amp;2020)</f>
        <v>8.9</v>
      </c>
      <c r="P35" s="65" t="n">
        <f aca="false">SUMIFS('Train detail'!$G$2:$G$181,'Train detail'!$B$2:$B$181,$A35,'Train detail'!$C$2:$C$181,$B35,'Train detail'!$F$2:$F$181,"&lt;="&amp;2021)</f>
        <v>8.9</v>
      </c>
      <c r="Q35" s="65" t="n">
        <f aca="false">SUMIFS('Train detail'!$G$2:$G$181,'Train detail'!$B$2:$B$181,$A35,'Train detail'!$C$2:$C$181,$B35,'Train detail'!$F$2:$F$181,"&lt;="&amp;2022)</f>
        <v>8.9</v>
      </c>
      <c r="R35" s="65" t="n">
        <f aca="false">SUMIFS('Train detail'!$G$2:$G$181,'Train detail'!$B$2:$B$181,$A35,'Train detail'!$C$2:$C$181,$B35,'Train detail'!$F$2:$F$181,"&lt;="&amp;2023)</f>
        <v>8.9</v>
      </c>
      <c r="S35" s="65" t="n">
        <f aca="false">SUMIFS('Train detail'!$G$2:$G$181,'Train detail'!$B$2:$B$181,$A35,'Train detail'!$C$2:$C$181,$B35,'Train detail'!$F$2:$F$181,"&lt;="&amp;2024)</f>
        <v>8.9</v>
      </c>
      <c r="T35" s="65" t="n">
        <f aca="false">SUMIFS('Train detail'!$G$2:$G$181,'Train detail'!$B$2:$B$181,$A35,'Train detail'!$C$2:$C$181,$B35,'Train detail'!$F$2:$F$181,"&lt;="&amp;2025)</f>
        <v>8.9</v>
      </c>
    </row>
    <row r="36" customFormat="false" ht="15" hidden="false" customHeight="true" outlineLevel="0" collapsed="false">
      <c r="A36" s="56" t="s">
        <v>32</v>
      </c>
      <c r="B36" s="56" t="s">
        <v>78</v>
      </c>
      <c r="C36" s="54" t="n">
        <v>2017</v>
      </c>
      <c r="D36" s="86" t="n">
        <f aca="false">SUMIFS('Train detail'!$G$2:$G$181,'Train detail'!$B$2:$B$181,$A36,'Train detail'!$C$2:$C$181,$B36)</f>
        <v>1.2</v>
      </c>
      <c r="E36" s="57" t="n">
        <f aca="false">SUMIFS('Train detail'!$G$2:$G$181,'Train detail'!$B$2:$B$181,$A36,'Train detail'!$C$2:$C$181,$B36,'Train detail'!$F$2:$F$181,"&lt;="&amp;2010)</f>
        <v>0</v>
      </c>
      <c r="F36" s="57" t="n">
        <f aca="false">SUMIFS('Train detail'!$G$2:$G$181,'Train detail'!$B$2:$B$181,$A36,'Train detail'!$C$2:$C$181,$B36,'Train detail'!$F$2:$F$181,"&lt;="&amp;2011)</f>
        <v>0</v>
      </c>
      <c r="G36" s="57" t="n">
        <f aca="false">SUMIFS('Train detail'!$G$2:$G$181,'Train detail'!$B$2:$B$181,$A36,'Train detail'!$C$2:$C$181,$B36,'Train detail'!$F$2:$F$181,"&lt;="&amp;2012)</f>
        <v>0</v>
      </c>
      <c r="H36" s="57" t="n">
        <f aca="false">SUMIFS('Train detail'!$G$2:$G$181,'Train detail'!$B$2:$B$181,$A36,'Train detail'!$C$2:$C$181,$B36,'Train detail'!$F$2:$F$181,"&lt;="&amp;2013)</f>
        <v>0</v>
      </c>
      <c r="I36" s="57" t="n">
        <f aca="false">SUMIFS('Train detail'!$G$2:$G$181,'Train detail'!$B$2:$B$181,$A36,'Train detail'!$C$2:$C$181,$B36,'Train detail'!$F$2:$F$181,"&lt;="&amp;2014)</f>
        <v>0</v>
      </c>
      <c r="J36" s="57" t="n">
        <f aca="false">SUMIFS('Train detail'!$G$2:$G$181,'Train detail'!$B$2:$B$181,$A36,'Train detail'!$C$2:$C$181,$B36,'Train detail'!$F$2:$F$181,"&lt;="&amp;2015)</f>
        <v>0</v>
      </c>
      <c r="K36" s="57" t="n">
        <f aca="false">SUMIFS('Train detail'!$G$2:$G$181,'Train detail'!$B$2:$B$181,$A36,'Train detail'!$C$2:$C$181,$B36,'Train detail'!$F$2:$F$181,"&lt;="&amp;2016)</f>
        <v>0</v>
      </c>
      <c r="L36" s="57" t="n">
        <f aca="false">SUMIFS('Train detail'!$G$2:$G$181,'Train detail'!$B$2:$B$181,$A36,'Train detail'!$C$2:$C$181,$B36,'Train detail'!$F$2:$F$181,"&lt;="&amp;2017)</f>
        <v>1.2</v>
      </c>
      <c r="M36" s="57" t="n">
        <f aca="false">SUMIFS('Train detail'!$G$2:$G$181,'Train detail'!$B$2:$B$181,$A36,'Train detail'!$C$2:$C$181,$B36,'Train detail'!$F$2:$F$181,"&lt;="&amp;2018)</f>
        <v>1.2</v>
      </c>
      <c r="N36" s="57" t="n">
        <f aca="false">SUMIFS('Train detail'!$G$2:$G$181,'Train detail'!$B$2:$B$181,$A36,'Train detail'!$C$2:$C$181,$B36,'Train detail'!$F$2:$F$181,"&lt;="&amp;2019)</f>
        <v>1.2</v>
      </c>
      <c r="O36" s="57" t="n">
        <f aca="false">SUMIFS('Train detail'!$G$2:$G$181,'Train detail'!$B$2:$B$181,$A36,'Train detail'!$C$2:$C$181,$B36,'Train detail'!$F$2:$F$181,"&lt;="&amp;2020)</f>
        <v>1.2</v>
      </c>
      <c r="P36" s="57" t="n">
        <f aca="false">SUMIFS('Train detail'!$G$2:$G$181,'Train detail'!$B$2:$B$181,$A36,'Train detail'!$C$2:$C$181,$B36,'Train detail'!$F$2:$F$181,"&lt;="&amp;2021)</f>
        <v>1.2</v>
      </c>
      <c r="Q36" s="57" t="n">
        <f aca="false">SUMIFS('Train detail'!$G$2:$G$181,'Train detail'!$B$2:$B$181,$A36,'Train detail'!$C$2:$C$181,$B36,'Train detail'!$F$2:$F$181,"&lt;="&amp;2022)</f>
        <v>1.2</v>
      </c>
      <c r="R36" s="57" t="n">
        <f aca="false">SUMIFS('Train detail'!$G$2:$G$181,'Train detail'!$B$2:$B$181,$A36,'Train detail'!$C$2:$C$181,$B36,'Train detail'!$F$2:$F$181,"&lt;="&amp;2023)</f>
        <v>1.2</v>
      </c>
      <c r="S36" s="57" t="n">
        <f aca="false">SUMIFS('Train detail'!$G$2:$G$181,'Train detail'!$B$2:$B$181,$A36,'Train detail'!$C$2:$C$181,$B36,'Train detail'!$F$2:$F$181,"&lt;="&amp;2024)</f>
        <v>1.2</v>
      </c>
      <c r="T36" s="57" t="n">
        <f aca="false">SUMIFS('Train detail'!$G$2:$G$181,'Train detail'!$B$2:$B$181,$A36,'Train detail'!$C$2:$C$181,$B36,'Train detail'!$F$2:$F$181,"&lt;="&amp;2025)</f>
        <v>1.2</v>
      </c>
    </row>
    <row r="37" customFormat="false" ht="15" hidden="false" customHeight="true" outlineLevel="0" collapsed="false">
      <c r="A37" s="64" t="s">
        <v>42</v>
      </c>
      <c r="B37" s="64" t="s">
        <v>95</v>
      </c>
      <c r="C37" s="62" t="n">
        <v>2017</v>
      </c>
      <c r="D37" s="87" t="n">
        <f aca="false">SUMIFS('Train detail'!$G$2:$G$181,'Train detail'!$B$2:$B$181,$A37,'Train detail'!$C$2:$C$181,$B37)</f>
        <v>17.4</v>
      </c>
      <c r="E37" s="65" t="n">
        <f aca="false">SUMIFS('Train detail'!$G$2:$G$181,'Train detail'!$B$2:$B$181,$A37,'Train detail'!$C$2:$C$181,$B37,'Train detail'!$F$2:$F$181,"&lt;="&amp;2010)</f>
        <v>0</v>
      </c>
      <c r="F37" s="65" t="n">
        <f aca="false">SUMIFS('Train detail'!$G$2:$G$181,'Train detail'!$B$2:$B$181,$A37,'Train detail'!$C$2:$C$181,$B37,'Train detail'!$F$2:$F$181,"&lt;="&amp;2011)</f>
        <v>0</v>
      </c>
      <c r="G37" s="65" t="n">
        <f aca="false">SUMIFS('Train detail'!$G$2:$G$181,'Train detail'!$B$2:$B$181,$A37,'Train detail'!$C$2:$C$181,$B37,'Train detail'!$F$2:$F$181,"&lt;="&amp;2012)</f>
        <v>0</v>
      </c>
      <c r="H37" s="65" t="n">
        <f aca="false">SUMIFS('Train detail'!$G$2:$G$181,'Train detail'!$B$2:$B$181,$A37,'Train detail'!$C$2:$C$181,$B37,'Train detail'!$F$2:$F$181,"&lt;="&amp;2013)</f>
        <v>0</v>
      </c>
      <c r="I37" s="65" t="n">
        <f aca="false">SUMIFS('Train detail'!$G$2:$G$181,'Train detail'!$B$2:$B$181,$A37,'Train detail'!$C$2:$C$181,$B37,'Train detail'!$F$2:$F$181,"&lt;="&amp;2014)</f>
        <v>0</v>
      </c>
      <c r="J37" s="65" t="n">
        <f aca="false">SUMIFS('Train detail'!$G$2:$G$181,'Train detail'!$B$2:$B$181,$A37,'Train detail'!$C$2:$C$181,$B37,'Train detail'!$F$2:$F$181,"&lt;="&amp;2015)</f>
        <v>0</v>
      </c>
      <c r="K37" s="65" t="n">
        <f aca="false">SUMIFS('Train detail'!$G$2:$G$181,'Train detail'!$B$2:$B$181,$A37,'Train detail'!$C$2:$C$181,$B37,'Train detail'!$F$2:$F$181,"&lt;="&amp;2016)</f>
        <v>0</v>
      </c>
      <c r="L37" s="65" t="n">
        <f aca="false">SUMIFS('Train detail'!$G$2:$G$181,'Train detail'!$B$2:$B$181,$A37,'Train detail'!$C$2:$C$181,$B37,'Train detail'!$F$2:$F$181,"&lt;="&amp;2017)</f>
        <v>5.5</v>
      </c>
      <c r="M37" s="65" t="n">
        <f aca="false">SUMIFS('Train detail'!$G$2:$G$181,'Train detail'!$B$2:$B$181,$A37,'Train detail'!$C$2:$C$181,$B37,'Train detail'!$F$2:$F$181,"&lt;="&amp;2018)</f>
        <v>16.5</v>
      </c>
      <c r="N37" s="65" t="n">
        <f aca="false">SUMIFS('Train detail'!$G$2:$G$181,'Train detail'!$B$2:$B$181,$A37,'Train detail'!$C$2:$C$181,$B37,'Train detail'!$F$2:$F$181,"&lt;="&amp;2019)</f>
        <v>16.5</v>
      </c>
      <c r="O37" s="65" t="n">
        <f aca="false">SUMIFS('Train detail'!$G$2:$G$181,'Train detail'!$B$2:$B$181,$A37,'Train detail'!$C$2:$C$181,$B37,'Train detail'!$F$2:$F$181,"&lt;="&amp;2020)</f>
        <v>16.5</v>
      </c>
      <c r="P37" s="65" t="n">
        <f aca="false">SUMIFS('Train detail'!$G$2:$G$181,'Train detail'!$B$2:$B$181,$A37,'Train detail'!$C$2:$C$181,$B37,'Train detail'!$F$2:$F$181,"&lt;="&amp;2021)</f>
        <v>17.4</v>
      </c>
      <c r="Q37" s="65" t="n">
        <f aca="false">SUMIFS('Train detail'!$G$2:$G$181,'Train detail'!$B$2:$B$181,$A37,'Train detail'!$C$2:$C$181,$B37,'Train detail'!$F$2:$F$181,"&lt;="&amp;2022)</f>
        <v>17.4</v>
      </c>
      <c r="R37" s="65" t="n">
        <f aca="false">SUMIFS('Train detail'!$G$2:$G$181,'Train detail'!$B$2:$B$181,$A37,'Train detail'!$C$2:$C$181,$B37,'Train detail'!$F$2:$F$181,"&lt;="&amp;2023)</f>
        <v>17.4</v>
      </c>
      <c r="S37" s="65" t="n">
        <f aca="false">SUMIFS('Train detail'!$G$2:$G$181,'Train detail'!$B$2:$B$181,$A37,'Train detail'!$C$2:$C$181,$B37,'Train detail'!$F$2:$F$181,"&lt;="&amp;2024)</f>
        <v>17.4</v>
      </c>
      <c r="T37" s="65" t="n">
        <f aca="false">SUMIFS('Train detail'!$G$2:$G$181,'Train detail'!$B$2:$B$181,$A37,'Train detail'!$C$2:$C$181,$B37,'Train detail'!$F$2:$F$181,"&lt;="&amp;2025)</f>
        <v>17.4</v>
      </c>
    </row>
    <row r="38" customFormat="false" ht="15" hidden="false" customHeight="true" outlineLevel="0" collapsed="false">
      <c r="A38" s="56" t="s">
        <v>23</v>
      </c>
      <c r="B38" s="56" t="s">
        <v>59</v>
      </c>
      <c r="C38" s="54" t="n">
        <v>2018</v>
      </c>
      <c r="D38" s="86" t="n">
        <f aca="false">SUMIFS('Train detail'!$G$2:$G$181,'Train detail'!$B$2:$B$181,$A38,'Train detail'!$C$2:$C$181,$B38)</f>
        <v>8.9</v>
      </c>
      <c r="E38" s="57" t="n">
        <f aca="false">SUMIFS('Train detail'!$G$2:$G$181,'Train detail'!$B$2:$B$181,$A38,'Train detail'!$C$2:$C$181,$B38,'Train detail'!$F$2:$F$181,"&lt;="&amp;2010)</f>
        <v>0</v>
      </c>
      <c r="F38" s="57" t="n">
        <f aca="false">SUMIFS('Train detail'!$G$2:$G$181,'Train detail'!$B$2:$B$181,$A38,'Train detail'!$C$2:$C$181,$B38,'Train detail'!$F$2:$F$181,"&lt;="&amp;2011)</f>
        <v>0</v>
      </c>
      <c r="G38" s="57" t="n">
        <f aca="false">SUMIFS('Train detail'!$G$2:$G$181,'Train detail'!$B$2:$B$181,$A38,'Train detail'!$C$2:$C$181,$B38,'Train detail'!$F$2:$F$181,"&lt;="&amp;2012)</f>
        <v>0</v>
      </c>
      <c r="H38" s="57" t="n">
        <f aca="false">SUMIFS('Train detail'!$G$2:$G$181,'Train detail'!$B$2:$B$181,$A38,'Train detail'!$C$2:$C$181,$B38,'Train detail'!$F$2:$F$181,"&lt;="&amp;2013)</f>
        <v>0</v>
      </c>
      <c r="I38" s="57" t="n">
        <f aca="false">SUMIFS('Train detail'!$G$2:$G$181,'Train detail'!$B$2:$B$181,$A38,'Train detail'!$C$2:$C$181,$B38,'Train detail'!$F$2:$F$181,"&lt;="&amp;2014)</f>
        <v>0</v>
      </c>
      <c r="J38" s="57" t="n">
        <f aca="false">SUMIFS('Train detail'!$G$2:$G$181,'Train detail'!$B$2:$B$181,$A38,'Train detail'!$C$2:$C$181,$B38,'Train detail'!$F$2:$F$181,"&lt;="&amp;2015)</f>
        <v>0</v>
      </c>
      <c r="K38" s="57" t="n">
        <f aca="false">SUMIFS('Train detail'!$G$2:$G$181,'Train detail'!$B$2:$B$181,$A38,'Train detail'!$C$2:$C$181,$B38,'Train detail'!$F$2:$F$181,"&lt;="&amp;2016)</f>
        <v>0</v>
      </c>
      <c r="L38" s="57" t="n">
        <f aca="false">SUMIFS('Train detail'!$G$2:$G$181,'Train detail'!$B$2:$B$181,$A38,'Train detail'!$C$2:$C$181,$B38,'Train detail'!$F$2:$F$181,"&lt;="&amp;2017)</f>
        <v>0</v>
      </c>
      <c r="M38" s="57" t="n">
        <f aca="false">SUMIFS('Train detail'!$G$2:$G$181,'Train detail'!$B$2:$B$181,$A38,'Train detail'!$C$2:$C$181,$B38,'Train detail'!$F$2:$F$181,"&lt;="&amp;2018)</f>
        <v>8.9</v>
      </c>
      <c r="N38" s="57" t="n">
        <f aca="false">SUMIFS('Train detail'!$G$2:$G$181,'Train detail'!$B$2:$B$181,$A38,'Train detail'!$C$2:$C$181,$B38,'Train detail'!$F$2:$F$181,"&lt;="&amp;2019)</f>
        <v>8.9</v>
      </c>
      <c r="O38" s="57" t="n">
        <f aca="false">SUMIFS('Train detail'!$G$2:$G$181,'Train detail'!$B$2:$B$181,$A38,'Train detail'!$C$2:$C$181,$B38,'Train detail'!$F$2:$F$181,"&lt;="&amp;2020)</f>
        <v>8.9</v>
      </c>
      <c r="P38" s="57" t="n">
        <f aca="false">SUMIFS('Train detail'!$G$2:$G$181,'Train detail'!$B$2:$B$181,$A38,'Train detail'!$C$2:$C$181,$B38,'Train detail'!$F$2:$F$181,"&lt;="&amp;2021)</f>
        <v>8.9</v>
      </c>
      <c r="Q38" s="57" t="n">
        <f aca="false">SUMIFS('Train detail'!$G$2:$G$181,'Train detail'!$B$2:$B$181,$A38,'Train detail'!$C$2:$C$181,$B38,'Train detail'!$F$2:$F$181,"&lt;="&amp;2022)</f>
        <v>8.9</v>
      </c>
      <c r="R38" s="57" t="n">
        <f aca="false">SUMIFS('Train detail'!$G$2:$G$181,'Train detail'!$B$2:$B$181,$A38,'Train detail'!$C$2:$C$181,$B38,'Train detail'!$F$2:$F$181,"&lt;="&amp;2023)</f>
        <v>8.9</v>
      </c>
      <c r="S38" s="57" t="n">
        <f aca="false">SUMIFS('Train detail'!$G$2:$G$181,'Train detail'!$B$2:$B$181,$A38,'Train detail'!$C$2:$C$181,$B38,'Train detail'!$F$2:$F$181,"&lt;="&amp;2024)</f>
        <v>8.9</v>
      </c>
      <c r="T38" s="57" t="n">
        <f aca="false">SUMIFS('Train detail'!$G$2:$G$181,'Train detail'!$B$2:$B$181,$A38,'Train detail'!$C$2:$C$181,$B38,'Train detail'!$F$2:$F$181,"&lt;="&amp;2025)</f>
        <v>8.9</v>
      </c>
    </row>
    <row r="39" customFormat="false" ht="15" hidden="false" customHeight="true" outlineLevel="0" collapsed="false">
      <c r="A39" s="64" t="s">
        <v>25</v>
      </c>
      <c r="B39" s="64" t="s">
        <v>66</v>
      </c>
      <c r="C39" s="62" t="n">
        <v>2018</v>
      </c>
      <c r="D39" s="87" t="n">
        <f aca="false">SUMIFS('Train detail'!$G$2:$G$181,'Train detail'!$B$2:$B$181,$A39,'Train detail'!$C$2:$C$181,$B39)</f>
        <v>2.4</v>
      </c>
      <c r="E39" s="65" t="n">
        <f aca="false">SUMIFS('Train detail'!$G$2:$G$181,'Train detail'!$B$2:$B$181,$A39,'Train detail'!$C$2:$C$181,$B39,'Train detail'!$F$2:$F$181,"&lt;="&amp;2010)</f>
        <v>0</v>
      </c>
      <c r="F39" s="65" t="n">
        <f aca="false">SUMIFS('Train detail'!$G$2:$G$181,'Train detail'!$B$2:$B$181,$A39,'Train detail'!$C$2:$C$181,$B39,'Train detail'!$F$2:$F$181,"&lt;="&amp;2011)</f>
        <v>0</v>
      </c>
      <c r="G39" s="65" t="n">
        <f aca="false">SUMIFS('Train detail'!$G$2:$G$181,'Train detail'!$B$2:$B$181,$A39,'Train detail'!$C$2:$C$181,$B39,'Train detail'!$F$2:$F$181,"&lt;="&amp;2012)</f>
        <v>0</v>
      </c>
      <c r="H39" s="65" t="n">
        <f aca="false">SUMIFS('Train detail'!$G$2:$G$181,'Train detail'!$B$2:$B$181,$A39,'Train detail'!$C$2:$C$181,$B39,'Train detail'!$F$2:$F$181,"&lt;="&amp;2013)</f>
        <v>0</v>
      </c>
      <c r="I39" s="65" t="n">
        <f aca="false">SUMIFS('Train detail'!$G$2:$G$181,'Train detail'!$B$2:$B$181,$A39,'Train detail'!$C$2:$C$181,$B39,'Train detail'!$F$2:$F$181,"&lt;="&amp;2014)</f>
        <v>0</v>
      </c>
      <c r="J39" s="65" t="n">
        <f aca="false">SUMIFS('Train detail'!$G$2:$G$181,'Train detail'!$B$2:$B$181,$A39,'Train detail'!$C$2:$C$181,$B39,'Train detail'!$F$2:$F$181,"&lt;="&amp;2015)</f>
        <v>0</v>
      </c>
      <c r="K39" s="65" t="n">
        <f aca="false">SUMIFS('Train detail'!$G$2:$G$181,'Train detail'!$B$2:$B$181,$A39,'Train detail'!$C$2:$C$181,$B39,'Train detail'!$F$2:$F$181,"&lt;="&amp;2016)</f>
        <v>0</v>
      </c>
      <c r="L39" s="65" t="n">
        <f aca="false">SUMIFS('Train detail'!$G$2:$G$181,'Train detail'!$B$2:$B$181,$A39,'Train detail'!$C$2:$C$181,$B39,'Train detail'!$F$2:$F$181,"&lt;="&amp;2017)</f>
        <v>0</v>
      </c>
      <c r="M39" s="65" t="n">
        <f aca="false">SUMIFS('Train detail'!$G$2:$G$181,'Train detail'!$B$2:$B$181,$A39,'Train detail'!$C$2:$C$181,$B39,'Train detail'!$F$2:$F$181,"&lt;="&amp;2018)</f>
        <v>2.4</v>
      </c>
      <c r="N39" s="65" t="n">
        <f aca="false">SUMIFS('Train detail'!$G$2:$G$181,'Train detail'!$B$2:$B$181,$A39,'Train detail'!$C$2:$C$181,$B39,'Train detail'!$F$2:$F$181,"&lt;="&amp;2019)</f>
        <v>2.4</v>
      </c>
      <c r="O39" s="65" t="n">
        <f aca="false">SUMIFS('Train detail'!$G$2:$G$181,'Train detail'!$B$2:$B$181,$A39,'Train detail'!$C$2:$C$181,$B39,'Train detail'!$F$2:$F$181,"&lt;="&amp;2020)</f>
        <v>2.4</v>
      </c>
      <c r="P39" s="65" t="n">
        <f aca="false">SUMIFS('Train detail'!$G$2:$G$181,'Train detail'!$B$2:$B$181,$A39,'Train detail'!$C$2:$C$181,$B39,'Train detail'!$F$2:$F$181,"&lt;="&amp;2021)</f>
        <v>2.4</v>
      </c>
      <c r="Q39" s="65" t="n">
        <f aca="false">SUMIFS('Train detail'!$G$2:$G$181,'Train detail'!$B$2:$B$181,$A39,'Train detail'!$C$2:$C$181,$B39,'Train detail'!$F$2:$F$181,"&lt;="&amp;2022)</f>
        <v>2.4</v>
      </c>
      <c r="R39" s="65" t="n">
        <f aca="false">SUMIFS('Train detail'!$G$2:$G$181,'Train detail'!$B$2:$B$181,$A39,'Train detail'!$C$2:$C$181,$B39,'Train detail'!$F$2:$F$181,"&lt;="&amp;2023)</f>
        <v>2.4</v>
      </c>
      <c r="S39" s="65" t="n">
        <f aca="false">SUMIFS('Train detail'!$G$2:$G$181,'Train detail'!$B$2:$B$181,$A39,'Train detail'!$C$2:$C$181,$B39,'Train detail'!$F$2:$F$181,"&lt;="&amp;2024)</f>
        <v>2.4</v>
      </c>
      <c r="T39" s="65" t="n">
        <f aca="false">SUMIFS('Train detail'!$G$2:$G$181,'Train detail'!$B$2:$B$181,$A39,'Train detail'!$C$2:$C$181,$B39,'Train detail'!$F$2:$F$181,"&lt;="&amp;2025)</f>
        <v>2.4</v>
      </c>
    </row>
    <row r="40" customFormat="false" ht="15" hidden="false" customHeight="true" outlineLevel="0" collapsed="false">
      <c r="A40" s="56" t="s">
        <v>45</v>
      </c>
      <c r="B40" s="56" t="s">
        <v>101</v>
      </c>
      <c r="C40" s="54" t="n">
        <v>2018</v>
      </c>
      <c r="D40" s="86" t="n">
        <f aca="false">SUMIFS('Train detail'!$G$2:$G$181,'Train detail'!$B$2:$B$181,$A40,'Train detail'!$C$2:$C$181,$B40)</f>
        <v>5.25</v>
      </c>
      <c r="E40" s="57" t="n">
        <f aca="false">SUMIFS('Train detail'!$G$2:$G$181,'Train detail'!$B$2:$B$181,$A40,'Train detail'!$C$2:$C$181,$B40,'Train detail'!$F$2:$F$181,"&lt;="&amp;2010)</f>
        <v>0</v>
      </c>
      <c r="F40" s="57" t="n">
        <f aca="false">SUMIFS('Train detail'!$G$2:$G$181,'Train detail'!$B$2:$B$181,$A40,'Train detail'!$C$2:$C$181,$B40,'Train detail'!$F$2:$F$181,"&lt;="&amp;2011)</f>
        <v>0</v>
      </c>
      <c r="G40" s="57" t="n">
        <f aca="false">SUMIFS('Train detail'!$G$2:$G$181,'Train detail'!$B$2:$B$181,$A40,'Train detail'!$C$2:$C$181,$B40,'Train detail'!$F$2:$F$181,"&lt;="&amp;2012)</f>
        <v>0</v>
      </c>
      <c r="H40" s="57" t="n">
        <f aca="false">SUMIFS('Train detail'!$G$2:$G$181,'Train detail'!$B$2:$B$181,$A40,'Train detail'!$C$2:$C$181,$B40,'Train detail'!$F$2:$F$181,"&lt;="&amp;2013)</f>
        <v>0</v>
      </c>
      <c r="I40" s="57" t="n">
        <f aca="false">SUMIFS('Train detail'!$G$2:$G$181,'Train detail'!$B$2:$B$181,$A40,'Train detail'!$C$2:$C$181,$B40,'Train detail'!$F$2:$F$181,"&lt;="&amp;2014)</f>
        <v>0</v>
      </c>
      <c r="J40" s="57" t="n">
        <f aca="false">SUMIFS('Train detail'!$G$2:$G$181,'Train detail'!$B$2:$B$181,$A40,'Train detail'!$C$2:$C$181,$B40,'Train detail'!$F$2:$F$181,"&lt;="&amp;2015)</f>
        <v>0</v>
      </c>
      <c r="K40" s="57" t="n">
        <f aca="false">SUMIFS('Train detail'!$G$2:$G$181,'Train detail'!$B$2:$B$181,$A40,'Train detail'!$C$2:$C$181,$B40,'Train detail'!$F$2:$F$181,"&lt;="&amp;2016)</f>
        <v>0</v>
      </c>
      <c r="L40" s="57" t="n">
        <f aca="false">SUMIFS('Train detail'!$G$2:$G$181,'Train detail'!$B$2:$B$181,$A40,'Train detail'!$C$2:$C$181,$B40,'Train detail'!$F$2:$F$181,"&lt;="&amp;2017)</f>
        <v>0</v>
      </c>
      <c r="M40" s="57" t="n">
        <f aca="false">SUMIFS('Train detail'!$G$2:$G$181,'Train detail'!$B$2:$B$181,$A40,'Train detail'!$C$2:$C$181,$B40,'Train detail'!$F$2:$F$181,"&lt;="&amp;2018)</f>
        <v>5.25</v>
      </c>
      <c r="N40" s="57" t="n">
        <f aca="false">SUMIFS('Train detail'!$G$2:$G$181,'Train detail'!$B$2:$B$181,$A40,'Train detail'!$C$2:$C$181,$B40,'Train detail'!$F$2:$F$181,"&lt;="&amp;2019)</f>
        <v>5.25</v>
      </c>
      <c r="O40" s="57" t="n">
        <f aca="false">SUMIFS('Train detail'!$G$2:$G$181,'Train detail'!$B$2:$B$181,$A40,'Train detail'!$C$2:$C$181,$B40,'Train detail'!$F$2:$F$181,"&lt;="&amp;2020)</f>
        <v>5.25</v>
      </c>
      <c r="P40" s="57" t="n">
        <f aca="false">SUMIFS('Train detail'!$G$2:$G$181,'Train detail'!$B$2:$B$181,$A40,'Train detail'!$C$2:$C$181,$B40,'Train detail'!$F$2:$F$181,"&lt;="&amp;2021)</f>
        <v>5.25</v>
      </c>
      <c r="Q40" s="57" t="n">
        <f aca="false">SUMIFS('Train detail'!$G$2:$G$181,'Train detail'!$B$2:$B$181,$A40,'Train detail'!$C$2:$C$181,$B40,'Train detail'!$F$2:$F$181,"&lt;="&amp;2022)</f>
        <v>5.25</v>
      </c>
      <c r="R40" s="57" t="n">
        <f aca="false">SUMIFS('Train detail'!$G$2:$G$181,'Train detail'!$B$2:$B$181,$A40,'Train detail'!$C$2:$C$181,$B40,'Train detail'!$F$2:$F$181,"&lt;="&amp;2023)</f>
        <v>5.25</v>
      </c>
      <c r="S40" s="57" t="n">
        <f aca="false">SUMIFS('Train detail'!$G$2:$G$181,'Train detail'!$B$2:$B$181,$A40,'Train detail'!$C$2:$C$181,$B40,'Train detail'!$F$2:$F$181,"&lt;="&amp;2024)</f>
        <v>5.25</v>
      </c>
      <c r="T40" s="57" t="n">
        <f aca="false">SUMIFS('Train detail'!$G$2:$G$181,'Train detail'!$B$2:$B$181,$A40,'Train detail'!$C$2:$C$181,$B40,'Train detail'!$F$2:$F$181,"&lt;="&amp;2025)</f>
        <v>5.25</v>
      </c>
    </row>
    <row r="41" customFormat="false" ht="15" hidden="false" customHeight="true" outlineLevel="0" collapsed="false">
      <c r="A41" s="64" t="s">
        <v>23</v>
      </c>
      <c r="B41" s="64" t="s">
        <v>62</v>
      </c>
      <c r="C41" s="62" t="n">
        <v>2019</v>
      </c>
      <c r="D41" s="87" t="n">
        <f aca="false">SUMIFS('Train detail'!$G$2:$G$181,'Train detail'!$B$2:$B$181,$A41,'Train detail'!$C$2:$C$181,$B41)</f>
        <v>3.6</v>
      </c>
      <c r="E41" s="65" t="n">
        <f aca="false">SUMIFS('Train detail'!$G$2:$G$181,'Train detail'!$B$2:$B$181,$A41,'Train detail'!$C$2:$C$181,$B41,'Train detail'!$F$2:$F$181,"&lt;="&amp;2010)</f>
        <v>0</v>
      </c>
      <c r="F41" s="65" t="n">
        <f aca="false">SUMIFS('Train detail'!$G$2:$G$181,'Train detail'!$B$2:$B$181,$A41,'Train detail'!$C$2:$C$181,$B41,'Train detail'!$F$2:$F$181,"&lt;="&amp;2011)</f>
        <v>0</v>
      </c>
      <c r="G41" s="65" t="n">
        <f aca="false">SUMIFS('Train detail'!$G$2:$G$181,'Train detail'!$B$2:$B$181,$A41,'Train detail'!$C$2:$C$181,$B41,'Train detail'!$F$2:$F$181,"&lt;="&amp;2012)</f>
        <v>0</v>
      </c>
      <c r="H41" s="65" t="n">
        <f aca="false">SUMIFS('Train detail'!$G$2:$G$181,'Train detail'!$B$2:$B$181,$A41,'Train detail'!$C$2:$C$181,$B41,'Train detail'!$F$2:$F$181,"&lt;="&amp;2013)</f>
        <v>0</v>
      </c>
      <c r="I41" s="65" t="n">
        <f aca="false">SUMIFS('Train detail'!$G$2:$G$181,'Train detail'!$B$2:$B$181,$A41,'Train detail'!$C$2:$C$181,$B41,'Train detail'!$F$2:$F$181,"&lt;="&amp;2014)</f>
        <v>0</v>
      </c>
      <c r="J41" s="65" t="n">
        <f aca="false">SUMIFS('Train detail'!$G$2:$G$181,'Train detail'!$B$2:$B$181,$A41,'Train detail'!$C$2:$C$181,$B41,'Train detail'!$F$2:$F$181,"&lt;="&amp;2015)</f>
        <v>0</v>
      </c>
      <c r="K41" s="65" t="n">
        <f aca="false">SUMIFS('Train detail'!$G$2:$G$181,'Train detail'!$B$2:$B$181,$A41,'Train detail'!$C$2:$C$181,$B41,'Train detail'!$F$2:$F$181,"&lt;="&amp;2016)</f>
        <v>0</v>
      </c>
      <c r="L41" s="65" t="n">
        <f aca="false">SUMIFS('Train detail'!$G$2:$G$181,'Train detail'!$B$2:$B$181,$A41,'Train detail'!$C$2:$C$181,$B41,'Train detail'!$F$2:$F$181,"&lt;="&amp;2017)</f>
        <v>0</v>
      </c>
      <c r="M41" s="65" t="n">
        <f aca="false">SUMIFS('Train detail'!$G$2:$G$181,'Train detail'!$B$2:$B$181,$A41,'Train detail'!$C$2:$C$181,$B41,'Train detail'!$F$2:$F$181,"&lt;="&amp;2018)</f>
        <v>0</v>
      </c>
      <c r="N41" s="65" t="n">
        <f aca="false">SUMIFS('Train detail'!$G$2:$G$181,'Train detail'!$B$2:$B$181,$A41,'Train detail'!$C$2:$C$181,$B41,'Train detail'!$F$2:$F$181,"&lt;="&amp;2019)</f>
        <v>3.6</v>
      </c>
      <c r="O41" s="65" t="n">
        <f aca="false">SUMIFS('Train detail'!$G$2:$G$181,'Train detail'!$B$2:$B$181,$A41,'Train detail'!$C$2:$C$181,$B41,'Train detail'!$F$2:$F$181,"&lt;="&amp;2020)</f>
        <v>3.6</v>
      </c>
      <c r="P41" s="65" t="n">
        <f aca="false">SUMIFS('Train detail'!$G$2:$G$181,'Train detail'!$B$2:$B$181,$A41,'Train detail'!$C$2:$C$181,$B41,'Train detail'!$F$2:$F$181,"&lt;="&amp;2021)</f>
        <v>3.6</v>
      </c>
      <c r="Q41" s="65" t="n">
        <f aca="false">SUMIFS('Train detail'!$G$2:$G$181,'Train detail'!$B$2:$B$181,$A41,'Train detail'!$C$2:$C$181,$B41,'Train detail'!$F$2:$F$181,"&lt;="&amp;2022)</f>
        <v>3.6</v>
      </c>
      <c r="R41" s="65" t="n">
        <f aca="false">SUMIFS('Train detail'!$G$2:$G$181,'Train detail'!$B$2:$B$181,$A41,'Train detail'!$C$2:$C$181,$B41,'Train detail'!$F$2:$F$181,"&lt;="&amp;2023)</f>
        <v>3.6</v>
      </c>
      <c r="S41" s="65" t="n">
        <f aca="false">SUMIFS('Train detail'!$G$2:$G$181,'Train detail'!$B$2:$B$181,$A41,'Train detail'!$C$2:$C$181,$B41,'Train detail'!$F$2:$F$181,"&lt;="&amp;2024)</f>
        <v>3.6</v>
      </c>
      <c r="T41" s="65" t="n">
        <f aca="false">SUMIFS('Train detail'!$G$2:$G$181,'Train detail'!$B$2:$B$181,$A41,'Train detail'!$C$2:$C$181,$B41,'Train detail'!$F$2:$F$181,"&lt;="&amp;2025)</f>
        <v>3.6</v>
      </c>
    </row>
    <row r="42" customFormat="false" ht="15" hidden="false" customHeight="true" outlineLevel="0" collapsed="false">
      <c r="A42" s="56" t="s">
        <v>42</v>
      </c>
      <c r="B42" s="56" t="s">
        <v>94</v>
      </c>
      <c r="C42" s="54" t="n">
        <v>2019</v>
      </c>
      <c r="D42" s="86" t="n">
        <f aca="false">SUMIFS('Train detail'!$G$2:$G$181,'Train detail'!$B$2:$B$181,$A42,'Train detail'!$C$2:$C$181,$B42)</f>
        <v>0.66</v>
      </c>
      <c r="E42" s="57" t="n">
        <f aca="false">SUMIFS('Train detail'!$G$2:$G$181,'Train detail'!$B$2:$B$181,$A42,'Train detail'!$C$2:$C$181,$B42,'Train detail'!$F$2:$F$181,"&lt;="&amp;2010)</f>
        <v>0</v>
      </c>
      <c r="F42" s="57" t="n">
        <f aca="false">SUMIFS('Train detail'!$G$2:$G$181,'Train detail'!$B$2:$B$181,$A42,'Train detail'!$C$2:$C$181,$B42,'Train detail'!$F$2:$F$181,"&lt;="&amp;2011)</f>
        <v>0</v>
      </c>
      <c r="G42" s="57" t="n">
        <f aca="false">SUMIFS('Train detail'!$G$2:$G$181,'Train detail'!$B$2:$B$181,$A42,'Train detail'!$C$2:$C$181,$B42,'Train detail'!$F$2:$F$181,"&lt;="&amp;2012)</f>
        <v>0</v>
      </c>
      <c r="H42" s="57" t="n">
        <f aca="false">SUMIFS('Train detail'!$G$2:$G$181,'Train detail'!$B$2:$B$181,$A42,'Train detail'!$C$2:$C$181,$B42,'Train detail'!$F$2:$F$181,"&lt;="&amp;2013)</f>
        <v>0</v>
      </c>
      <c r="I42" s="57" t="n">
        <f aca="false">SUMIFS('Train detail'!$G$2:$G$181,'Train detail'!$B$2:$B$181,$A42,'Train detail'!$C$2:$C$181,$B42,'Train detail'!$F$2:$F$181,"&lt;="&amp;2014)</f>
        <v>0</v>
      </c>
      <c r="J42" s="57" t="n">
        <f aca="false">SUMIFS('Train detail'!$G$2:$G$181,'Train detail'!$B$2:$B$181,$A42,'Train detail'!$C$2:$C$181,$B42,'Train detail'!$F$2:$F$181,"&lt;="&amp;2015)</f>
        <v>0</v>
      </c>
      <c r="K42" s="57" t="n">
        <f aca="false">SUMIFS('Train detail'!$G$2:$G$181,'Train detail'!$B$2:$B$181,$A42,'Train detail'!$C$2:$C$181,$B42,'Train detail'!$F$2:$F$181,"&lt;="&amp;2016)</f>
        <v>0</v>
      </c>
      <c r="L42" s="57" t="n">
        <f aca="false">SUMIFS('Train detail'!$G$2:$G$181,'Train detail'!$B$2:$B$181,$A42,'Train detail'!$C$2:$C$181,$B42,'Train detail'!$F$2:$F$181,"&lt;="&amp;2017)</f>
        <v>0</v>
      </c>
      <c r="M42" s="57" t="n">
        <f aca="false">SUMIFS('Train detail'!$G$2:$G$181,'Train detail'!$B$2:$B$181,$A42,'Train detail'!$C$2:$C$181,$B42,'Train detail'!$F$2:$F$181,"&lt;="&amp;2018)</f>
        <v>0</v>
      </c>
      <c r="N42" s="57" t="n">
        <f aca="false">SUMIFS('Train detail'!$G$2:$G$181,'Train detail'!$B$2:$B$181,$A42,'Train detail'!$C$2:$C$181,$B42,'Train detail'!$F$2:$F$181,"&lt;="&amp;2019)</f>
        <v>0.66</v>
      </c>
      <c r="O42" s="57" t="n">
        <f aca="false">SUMIFS('Train detail'!$G$2:$G$181,'Train detail'!$B$2:$B$181,$A42,'Train detail'!$C$2:$C$181,$B42,'Train detail'!$F$2:$F$181,"&lt;="&amp;2020)</f>
        <v>0.66</v>
      </c>
      <c r="P42" s="57" t="n">
        <f aca="false">SUMIFS('Train detail'!$G$2:$G$181,'Train detail'!$B$2:$B$181,$A42,'Train detail'!$C$2:$C$181,$B42,'Train detail'!$F$2:$F$181,"&lt;="&amp;2021)</f>
        <v>0.66</v>
      </c>
      <c r="Q42" s="57" t="n">
        <f aca="false">SUMIFS('Train detail'!$G$2:$G$181,'Train detail'!$B$2:$B$181,$A42,'Train detail'!$C$2:$C$181,$B42,'Train detail'!$F$2:$F$181,"&lt;="&amp;2022)</f>
        <v>0.66</v>
      </c>
      <c r="R42" s="57" t="n">
        <f aca="false">SUMIFS('Train detail'!$G$2:$G$181,'Train detail'!$B$2:$B$181,$A42,'Train detail'!$C$2:$C$181,$B42,'Train detail'!$F$2:$F$181,"&lt;="&amp;2023)</f>
        <v>0.66</v>
      </c>
      <c r="S42" s="57" t="n">
        <f aca="false">SUMIFS('Train detail'!$G$2:$G$181,'Train detail'!$B$2:$B$181,$A42,'Train detail'!$C$2:$C$181,$B42,'Train detail'!$F$2:$F$181,"&lt;="&amp;2024)</f>
        <v>0.66</v>
      </c>
      <c r="T42" s="57" t="n">
        <f aca="false">SUMIFS('Train detail'!$G$2:$G$181,'Train detail'!$B$2:$B$181,$A42,'Train detail'!$C$2:$C$181,$B42,'Train detail'!$F$2:$F$181,"&lt;="&amp;2025)</f>
        <v>0.66</v>
      </c>
    </row>
    <row r="43" customFormat="false" ht="15" hidden="false" customHeight="true" outlineLevel="0" collapsed="false">
      <c r="A43" s="64" t="s">
        <v>45</v>
      </c>
      <c r="B43" s="64" t="s">
        <v>99</v>
      </c>
      <c r="C43" s="62" t="n">
        <v>2019</v>
      </c>
      <c r="D43" s="87" t="n">
        <f aca="false">SUMIFS('Train detail'!$G$2:$G$181,'Train detail'!$B$2:$B$181,$A43,'Train detail'!$C$2:$C$181,$B43)</f>
        <v>13.5</v>
      </c>
      <c r="E43" s="65" t="n">
        <f aca="false">SUMIFS('Train detail'!$G$2:$G$181,'Train detail'!$B$2:$B$181,$A43,'Train detail'!$C$2:$C$181,$B43,'Train detail'!$F$2:$F$181,"&lt;="&amp;2010)</f>
        <v>0</v>
      </c>
      <c r="F43" s="65" t="n">
        <f aca="false">SUMIFS('Train detail'!$G$2:$G$181,'Train detail'!$B$2:$B$181,$A43,'Train detail'!$C$2:$C$181,$B43,'Train detail'!$F$2:$F$181,"&lt;="&amp;2011)</f>
        <v>0</v>
      </c>
      <c r="G43" s="65" t="n">
        <f aca="false">SUMIFS('Train detail'!$G$2:$G$181,'Train detail'!$B$2:$B$181,$A43,'Train detail'!$C$2:$C$181,$B43,'Train detail'!$F$2:$F$181,"&lt;="&amp;2012)</f>
        <v>0</v>
      </c>
      <c r="H43" s="65" t="n">
        <f aca="false">SUMIFS('Train detail'!$G$2:$G$181,'Train detail'!$B$2:$B$181,$A43,'Train detail'!$C$2:$C$181,$B43,'Train detail'!$F$2:$F$181,"&lt;="&amp;2013)</f>
        <v>0</v>
      </c>
      <c r="I43" s="65" t="n">
        <f aca="false">SUMIFS('Train detail'!$G$2:$G$181,'Train detail'!$B$2:$B$181,$A43,'Train detail'!$C$2:$C$181,$B43,'Train detail'!$F$2:$F$181,"&lt;="&amp;2014)</f>
        <v>0</v>
      </c>
      <c r="J43" s="65" t="n">
        <f aca="false">SUMIFS('Train detail'!$G$2:$G$181,'Train detail'!$B$2:$B$181,$A43,'Train detail'!$C$2:$C$181,$B43,'Train detail'!$F$2:$F$181,"&lt;="&amp;2015)</f>
        <v>0</v>
      </c>
      <c r="K43" s="65" t="n">
        <f aca="false">SUMIFS('Train detail'!$G$2:$G$181,'Train detail'!$B$2:$B$181,$A43,'Train detail'!$C$2:$C$181,$B43,'Train detail'!$F$2:$F$181,"&lt;="&amp;2016)</f>
        <v>0</v>
      </c>
      <c r="L43" s="65" t="n">
        <f aca="false">SUMIFS('Train detail'!$G$2:$G$181,'Train detail'!$B$2:$B$181,$A43,'Train detail'!$C$2:$C$181,$B43,'Train detail'!$F$2:$F$181,"&lt;="&amp;2017)</f>
        <v>0</v>
      </c>
      <c r="M43" s="65" t="n">
        <f aca="false">SUMIFS('Train detail'!$G$2:$G$181,'Train detail'!$B$2:$B$181,$A43,'Train detail'!$C$2:$C$181,$B43,'Train detail'!$F$2:$F$181,"&lt;="&amp;2018)</f>
        <v>0</v>
      </c>
      <c r="N43" s="65" t="n">
        <f aca="false">SUMIFS('Train detail'!$G$2:$G$181,'Train detail'!$B$2:$B$181,$A43,'Train detail'!$C$2:$C$181,$B43,'Train detail'!$F$2:$F$181,"&lt;="&amp;2019)</f>
        <v>4.5</v>
      </c>
      <c r="O43" s="65" t="n">
        <f aca="false">SUMIFS('Train detail'!$G$2:$G$181,'Train detail'!$B$2:$B$181,$A43,'Train detail'!$C$2:$C$181,$B43,'Train detail'!$F$2:$F$181,"&lt;="&amp;2020)</f>
        <v>13.5</v>
      </c>
      <c r="P43" s="65" t="n">
        <f aca="false">SUMIFS('Train detail'!$G$2:$G$181,'Train detail'!$B$2:$B$181,$A43,'Train detail'!$C$2:$C$181,$B43,'Train detail'!$F$2:$F$181,"&lt;="&amp;2021)</f>
        <v>13.5</v>
      </c>
      <c r="Q43" s="65" t="n">
        <f aca="false">SUMIFS('Train detail'!$G$2:$G$181,'Train detail'!$B$2:$B$181,$A43,'Train detail'!$C$2:$C$181,$B43,'Train detail'!$F$2:$F$181,"&lt;="&amp;2022)</f>
        <v>13.5</v>
      </c>
      <c r="R43" s="65" t="n">
        <f aca="false">SUMIFS('Train detail'!$G$2:$G$181,'Train detail'!$B$2:$B$181,$A43,'Train detail'!$C$2:$C$181,$B43,'Train detail'!$F$2:$F$181,"&lt;="&amp;2023)</f>
        <v>13.5</v>
      </c>
      <c r="S43" s="65" t="n">
        <f aca="false">SUMIFS('Train detail'!$G$2:$G$181,'Train detail'!$B$2:$B$181,$A43,'Train detail'!$C$2:$C$181,$B43,'Train detail'!$F$2:$F$181,"&lt;="&amp;2024)</f>
        <v>13.5</v>
      </c>
      <c r="T43" s="65" t="n">
        <f aca="false">SUMIFS('Train detail'!$G$2:$G$181,'Train detail'!$B$2:$B$181,$A43,'Train detail'!$C$2:$C$181,$B43,'Train detail'!$F$2:$F$181,"&lt;="&amp;2025)</f>
        <v>13.5</v>
      </c>
    </row>
    <row r="44" customFormat="false" ht="15" hidden="false" customHeight="true" outlineLevel="0" collapsed="false">
      <c r="A44" s="56" t="s">
        <v>45</v>
      </c>
      <c r="B44" s="56" t="s">
        <v>100</v>
      </c>
      <c r="C44" s="54" t="n">
        <v>2019</v>
      </c>
      <c r="D44" s="86" t="n">
        <f aca="false">SUMIFS('Train detail'!$G$2:$G$181,'Train detail'!$B$2:$B$181,$A44,'Train detail'!$C$2:$C$181,$B44)</f>
        <v>20.96</v>
      </c>
      <c r="E44" s="57" t="n">
        <f aca="false">SUMIFS('Train detail'!$G$2:$G$181,'Train detail'!$B$2:$B$181,$A44,'Train detail'!$C$2:$C$181,$B44,'Train detail'!$F$2:$F$181,"&lt;="&amp;2010)</f>
        <v>0</v>
      </c>
      <c r="F44" s="57" t="n">
        <f aca="false">SUMIFS('Train detail'!$G$2:$G$181,'Train detail'!$B$2:$B$181,$A44,'Train detail'!$C$2:$C$181,$B44,'Train detail'!$F$2:$F$181,"&lt;="&amp;2011)</f>
        <v>0</v>
      </c>
      <c r="G44" s="57" t="n">
        <f aca="false">SUMIFS('Train detail'!$G$2:$G$181,'Train detail'!$B$2:$B$181,$A44,'Train detail'!$C$2:$C$181,$B44,'Train detail'!$F$2:$F$181,"&lt;="&amp;2012)</f>
        <v>0</v>
      </c>
      <c r="H44" s="57" t="n">
        <f aca="false">SUMIFS('Train detail'!$G$2:$G$181,'Train detail'!$B$2:$B$181,$A44,'Train detail'!$C$2:$C$181,$B44,'Train detail'!$F$2:$F$181,"&lt;="&amp;2013)</f>
        <v>0</v>
      </c>
      <c r="I44" s="57" t="n">
        <f aca="false">SUMIFS('Train detail'!$G$2:$G$181,'Train detail'!$B$2:$B$181,$A44,'Train detail'!$C$2:$C$181,$B44,'Train detail'!$F$2:$F$181,"&lt;="&amp;2014)</f>
        <v>0</v>
      </c>
      <c r="J44" s="57" t="n">
        <f aca="false">SUMIFS('Train detail'!$G$2:$G$181,'Train detail'!$B$2:$B$181,$A44,'Train detail'!$C$2:$C$181,$B44,'Train detail'!$F$2:$F$181,"&lt;="&amp;2015)</f>
        <v>0</v>
      </c>
      <c r="K44" s="57" t="n">
        <f aca="false">SUMIFS('Train detail'!$G$2:$G$181,'Train detail'!$B$2:$B$181,$A44,'Train detail'!$C$2:$C$181,$B44,'Train detail'!$F$2:$F$181,"&lt;="&amp;2016)</f>
        <v>0</v>
      </c>
      <c r="L44" s="57" t="n">
        <f aca="false">SUMIFS('Train detail'!$G$2:$G$181,'Train detail'!$B$2:$B$181,$A44,'Train detail'!$C$2:$C$181,$B44,'Train detail'!$F$2:$F$181,"&lt;="&amp;2017)</f>
        <v>0</v>
      </c>
      <c r="M44" s="57" t="n">
        <f aca="false">SUMIFS('Train detail'!$G$2:$G$181,'Train detail'!$B$2:$B$181,$A44,'Train detail'!$C$2:$C$181,$B44,'Train detail'!$F$2:$F$181,"&lt;="&amp;2018)</f>
        <v>0</v>
      </c>
      <c r="N44" s="57" t="n">
        <f aca="false">SUMIFS('Train detail'!$G$2:$G$181,'Train detail'!$B$2:$B$181,$A44,'Train detail'!$C$2:$C$181,$B44,'Train detail'!$F$2:$F$181,"&lt;="&amp;2019)</f>
        <v>10</v>
      </c>
      <c r="O44" s="57" t="n">
        <f aca="false">SUMIFS('Train detail'!$G$2:$G$181,'Train detail'!$B$2:$B$181,$A44,'Train detail'!$C$2:$C$181,$B44,'Train detail'!$F$2:$F$181,"&lt;="&amp;2020)</f>
        <v>10</v>
      </c>
      <c r="P44" s="57" t="n">
        <f aca="false">SUMIFS('Train detail'!$G$2:$G$181,'Train detail'!$B$2:$B$181,$A44,'Train detail'!$C$2:$C$181,$B44,'Train detail'!$F$2:$F$181,"&lt;="&amp;2021)</f>
        <v>15</v>
      </c>
      <c r="Q44" s="57" t="n">
        <f aca="false">SUMIFS('Train detail'!$G$2:$G$181,'Train detail'!$B$2:$B$181,$A44,'Train detail'!$C$2:$C$181,$B44,'Train detail'!$F$2:$F$181,"&lt;="&amp;2022)</f>
        <v>15</v>
      </c>
      <c r="R44" s="57" t="n">
        <f aca="false">SUMIFS('Train detail'!$G$2:$G$181,'Train detail'!$B$2:$B$181,$A44,'Train detail'!$C$2:$C$181,$B44,'Train detail'!$F$2:$F$181,"&lt;="&amp;2023)</f>
        <v>15</v>
      </c>
      <c r="S44" s="57" t="n">
        <f aca="false">SUMIFS('Train detail'!$G$2:$G$181,'Train detail'!$B$2:$B$181,$A44,'Train detail'!$C$2:$C$181,$B44,'Train detail'!$F$2:$F$181,"&lt;="&amp;2024)</f>
        <v>15</v>
      </c>
      <c r="T44" s="57" t="n">
        <f aca="false">SUMIFS('Train detail'!$G$2:$G$181,'Train detail'!$B$2:$B$181,$A44,'Train detail'!$C$2:$C$181,$B44,'Train detail'!$F$2:$F$181,"&lt;="&amp;2025)</f>
        <v>20.96</v>
      </c>
    </row>
    <row r="45" customFormat="false" ht="15" hidden="false" customHeight="true" outlineLevel="0" collapsed="false">
      <c r="A45" s="64" t="s">
        <v>45</v>
      </c>
      <c r="B45" s="64" t="s">
        <v>102</v>
      </c>
      <c r="C45" s="62" t="n">
        <v>2019</v>
      </c>
      <c r="D45" s="87" t="n">
        <f aca="false">SUMIFS('Train detail'!$G$2:$G$181,'Train detail'!$B$2:$B$181,$A45,'Train detail'!$C$2:$C$181,$B45)</f>
        <v>2.5</v>
      </c>
      <c r="E45" s="65" t="n">
        <f aca="false">SUMIFS('Train detail'!$G$2:$G$181,'Train detail'!$B$2:$B$181,$A45,'Train detail'!$C$2:$C$181,$B45,'Train detail'!$F$2:$F$181,"&lt;="&amp;2010)</f>
        <v>0</v>
      </c>
      <c r="F45" s="65" t="n">
        <f aca="false">SUMIFS('Train detail'!$G$2:$G$181,'Train detail'!$B$2:$B$181,$A45,'Train detail'!$C$2:$C$181,$B45,'Train detail'!$F$2:$F$181,"&lt;="&amp;2011)</f>
        <v>0</v>
      </c>
      <c r="G45" s="65" t="n">
        <f aca="false">SUMIFS('Train detail'!$G$2:$G$181,'Train detail'!$B$2:$B$181,$A45,'Train detail'!$C$2:$C$181,$B45,'Train detail'!$F$2:$F$181,"&lt;="&amp;2012)</f>
        <v>0</v>
      </c>
      <c r="H45" s="65" t="n">
        <f aca="false">SUMIFS('Train detail'!$G$2:$G$181,'Train detail'!$B$2:$B$181,$A45,'Train detail'!$C$2:$C$181,$B45,'Train detail'!$F$2:$F$181,"&lt;="&amp;2013)</f>
        <v>0</v>
      </c>
      <c r="I45" s="65" t="n">
        <f aca="false">SUMIFS('Train detail'!$G$2:$G$181,'Train detail'!$B$2:$B$181,$A45,'Train detail'!$C$2:$C$181,$B45,'Train detail'!$F$2:$F$181,"&lt;="&amp;2014)</f>
        <v>0</v>
      </c>
      <c r="J45" s="65" t="n">
        <f aca="false">SUMIFS('Train detail'!$G$2:$G$181,'Train detail'!$B$2:$B$181,$A45,'Train detail'!$C$2:$C$181,$B45,'Train detail'!$F$2:$F$181,"&lt;="&amp;2015)</f>
        <v>0</v>
      </c>
      <c r="K45" s="65" t="n">
        <f aca="false">SUMIFS('Train detail'!$G$2:$G$181,'Train detail'!$B$2:$B$181,$A45,'Train detail'!$C$2:$C$181,$B45,'Train detail'!$F$2:$F$181,"&lt;="&amp;2016)</f>
        <v>0</v>
      </c>
      <c r="L45" s="65" t="n">
        <f aca="false">SUMIFS('Train detail'!$G$2:$G$181,'Train detail'!$B$2:$B$181,$A45,'Train detail'!$C$2:$C$181,$B45,'Train detail'!$F$2:$F$181,"&lt;="&amp;2017)</f>
        <v>0</v>
      </c>
      <c r="M45" s="65" t="n">
        <f aca="false">SUMIFS('Train detail'!$G$2:$G$181,'Train detail'!$B$2:$B$181,$A45,'Train detail'!$C$2:$C$181,$B45,'Train detail'!$F$2:$F$181,"&lt;="&amp;2018)</f>
        <v>0</v>
      </c>
      <c r="N45" s="65" t="n">
        <f aca="false">SUMIFS('Train detail'!$G$2:$G$181,'Train detail'!$B$2:$B$181,$A45,'Train detail'!$C$2:$C$181,$B45,'Train detail'!$F$2:$F$181,"&lt;="&amp;2019)</f>
        <v>1</v>
      </c>
      <c r="O45" s="65" t="n">
        <f aca="false">SUMIFS('Train detail'!$G$2:$G$181,'Train detail'!$B$2:$B$181,$A45,'Train detail'!$C$2:$C$181,$B45,'Train detail'!$F$2:$F$181,"&lt;="&amp;2020)</f>
        <v>2.5</v>
      </c>
      <c r="P45" s="65" t="n">
        <f aca="false">SUMIFS('Train detail'!$G$2:$G$181,'Train detail'!$B$2:$B$181,$A45,'Train detail'!$C$2:$C$181,$B45,'Train detail'!$F$2:$F$181,"&lt;="&amp;2021)</f>
        <v>2.5</v>
      </c>
      <c r="Q45" s="65" t="n">
        <f aca="false">SUMIFS('Train detail'!$G$2:$G$181,'Train detail'!$B$2:$B$181,$A45,'Train detail'!$C$2:$C$181,$B45,'Train detail'!$F$2:$F$181,"&lt;="&amp;2022)</f>
        <v>2.5</v>
      </c>
      <c r="R45" s="65" t="n">
        <f aca="false">SUMIFS('Train detail'!$G$2:$G$181,'Train detail'!$B$2:$B$181,$A45,'Train detail'!$C$2:$C$181,$B45,'Train detail'!$F$2:$F$181,"&lt;="&amp;2023)</f>
        <v>2.5</v>
      </c>
      <c r="S45" s="65" t="n">
        <f aca="false">SUMIFS('Train detail'!$G$2:$G$181,'Train detail'!$B$2:$B$181,$A45,'Train detail'!$C$2:$C$181,$B45,'Train detail'!$F$2:$F$181,"&lt;="&amp;2024)</f>
        <v>2.5</v>
      </c>
      <c r="T45" s="65" t="n">
        <f aca="false">SUMIFS('Train detail'!$G$2:$G$181,'Train detail'!$B$2:$B$181,$A45,'Train detail'!$C$2:$C$181,$B45,'Train detail'!$F$2:$F$181,"&lt;="&amp;2025)</f>
        <v>2.5</v>
      </c>
    </row>
    <row r="46" customFormat="false" ht="15" hidden="false" customHeight="true" outlineLevel="0" collapsed="false">
      <c r="A46" s="56" t="s">
        <v>45</v>
      </c>
      <c r="B46" s="56" t="s">
        <v>103</v>
      </c>
      <c r="C46" s="54" t="n">
        <v>2019</v>
      </c>
      <c r="D46" s="86" t="n">
        <f aca="false">SUMIFS('Train detail'!$G$2:$G$181,'Train detail'!$B$2:$B$181,$A46,'Train detail'!$C$2:$C$181,$B46)</f>
        <v>15.3</v>
      </c>
      <c r="E46" s="57" t="n">
        <f aca="false">SUMIFS('Train detail'!$G$2:$G$181,'Train detail'!$B$2:$B$181,$A46,'Train detail'!$C$2:$C$181,$B46,'Train detail'!$F$2:$F$181,"&lt;="&amp;2010)</f>
        <v>0</v>
      </c>
      <c r="F46" s="57" t="n">
        <f aca="false">SUMIFS('Train detail'!$G$2:$G$181,'Train detail'!$B$2:$B$181,$A46,'Train detail'!$C$2:$C$181,$B46,'Train detail'!$F$2:$F$181,"&lt;="&amp;2011)</f>
        <v>0</v>
      </c>
      <c r="G46" s="57" t="n">
        <f aca="false">SUMIFS('Train detail'!$G$2:$G$181,'Train detail'!$B$2:$B$181,$A46,'Train detail'!$C$2:$C$181,$B46,'Train detail'!$F$2:$F$181,"&lt;="&amp;2012)</f>
        <v>0</v>
      </c>
      <c r="H46" s="57" t="n">
        <f aca="false">SUMIFS('Train detail'!$G$2:$G$181,'Train detail'!$B$2:$B$181,$A46,'Train detail'!$C$2:$C$181,$B46,'Train detail'!$F$2:$F$181,"&lt;="&amp;2013)</f>
        <v>0</v>
      </c>
      <c r="I46" s="57" t="n">
        <f aca="false">SUMIFS('Train detail'!$G$2:$G$181,'Train detail'!$B$2:$B$181,$A46,'Train detail'!$C$2:$C$181,$B46,'Train detail'!$F$2:$F$181,"&lt;="&amp;2014)</f>
        <v>0</v>
      </c>
      <c r="J46" s="57" t="n">
        <f aca="false">SUMIFS('Train detail'!$G$2:$G$181,'Train detail'!$B$2:$B$181,$A46,'Train detail'!$C$2:$C$181,$B46,'Train detail'!$F$2:$F$181,"&lt;="&amp;2015)</f>
        <v>0</v>
      </c>
      <c r="K46" s="57" t="n">
        <f aca="false">SUMIFS('Train detail'!$G$2:$G$181,'Train detail'!$B$2:$B$181,$A46,'Train detail'!$C$2:$C$181,$B46,'Train detail'!$F$2:$F$181,"&lt;="&amp;2016)</f>
        <v>0</v>
      </c>
      <c r="L46" s="57" t="n">
        <f aca="false">SUMIFS('Train detail'!$G$2:$G$181,'Train detail'!$B$2:$B$181,$A46,'Train detail'!$C$2:$C$181,$B46,'Train detail'!$F$2:$F$181,"&lt;="&amp;2017)</f>
        <v>0</v>
      </c>
      <c r="M46" s="57" t="n">
        <f aca="false">SUMIFS('Train detail'!$G$2:$G$181,'Train detail'!$B$2:$B$181,$A46,'Train detail'!$C$2:$C$181,$B46,'Train detail'!$F$2:$F$181,"&lt;="&amp;2018)</f>
        <v>0</v>
      </c>
      <c r="N46" s="57" t="n">
        <f aca="false">SUMIFS('Train detail'!$G$2:$G$181,'Train detail'!$B$2:$B$181,$A46,'Train detail'!$C$2:$C$181,$B46,'Train detail'!$F$2:$F$181,"&lt;="&amp;2019)</f>
        <v>5.1</v>
      </c>
      <c r="O46" s="57" t="n">
        <f aca="false">SUMIFS('Train detail'!$G$2:$G$181,'Train detail'!$B$2:$B$181,$A46,'Train detail'!$C$2:$C$181,$B46,'Train detail'!$F$2:$F$181,"&lt;="&amp;2020)</f>
        <v>15.3</v>
      </c>
      <c r="P46" s="57" t="n">
        <f aca="false">SUMIFS('Train detail'!$G$2:$G$181,'Train detail'!$B$2:$B$181,$A46,'Train detail'!$C$2:$C$181,$B46,'Train detail'!$F$2:$F$181,"&lt;="&amp;2021)</f>
        <v>15.3</v>
      </c>
      <c r="Q46" s="57" t="n">
        <f aca="false">SUMIFS('Train detail'!$G$2:$G$181,'Train detail'!$B$2:$B$181,$A46,'Train detail'!$C$2:$C$181,$B46,'Train detail'!$F$2:$F$181,"&lt;="&amp;2022)</f>
        <v>15.3</v>
      </c>
      <c r="R46" s="57" t="n">
        <f aca="false">SUMIFS('Train detail'!$G$2:$G$181,'Train detail'!$B$2:$B$181,$A46,'Train detail'!$C$2:$C$181,$B46,'Train detail'!$F$2:$F$181,"&lt;="&amp;2023)</f>
        <v>15.3</v>
      </c>
      <c r="S46" s="57" t="n">
        <f aca="false">SUMIFS('Train detail'!$G$2:$G$181,'Train detail'!$B$2:$B$181,$A46,'Train detail'!$C$2:$C$181,$B46,'Train detail'!$F$2:$F$181,"&lt;="&amp;2024)</f>
        <v>15.3</v>
      </c>
      <c r="T46" s="57" t="n">
        <f aca="false">SUMIFS('Train detail'!$G$2:$G$181,'Train detail'!$B$2:$B$181,$A46,'Train detail'!$C$2:$C$181,$B46,'Train detail'!$F$2:$F$181,"&lt;="&amp;2025)</f>
        <v>15.3</v>
      </c>
    </row>
    <row r="47" customFormat="false" ht="15" hidden="false" customHeight="true" outlineLevel="0" collapsed="false">
      <c r="A47" s="64" t="s">
        <v>32</v>
      </c>
      <c r="B47" s="64" t="s">
        <v>79</v>
      </c>
      <c r="C47" s="62" t="n">
        <v>2021</v>
      </c>
      <c r="D47" s="87" t="n">
        <f aca="false">SUMIFS('Train detail'!$G$2:$G$181,'Train detail'!$B$2:$B$181,$A47,'Train detail'!$C$2:$C$181,$B47)</f>
        <v>1.5</v>
      </c>
      <c r="E47" s="65" t="n">
        <f aca="false">SUMIFS('Train detail'!$G$2:$G$181,'Train detail'!$B$2:$B$181,$A47,'Train detail'!$C$2:$C$181,$B47,'Train detail'!$F$2:$F$181,"&lt;="&amp;2010)</f>
        <v>0</v>
      </c>
      <c r="F47" s="65" t="n">
        <f aca="false">SUMIFS('Train detail'!$G$2:$G$181,'Train detail'!$B$2:$B$181,$A47,'Train detail'!$C$2:$C$181,$B47,'Train detail'!$F$2:$F$181,"&lt;="&amp;2011)</f>
        <v>0</v>
      </c>
      <c r="G47" s="65" t="n">
        <f aca="false">SUMIFS('Train detail'!$G$2:$G$181,'Train detail'!$B$2:$B$181,$A47,'Train detail'!$C$2:$C$181,$B47,'Train detail'!$F$2:$F$181,"&lt;="&amp;2012)</f>
        <v>0</v>
      </c>
      <c r="H47" s="65" t="n">
        <f aca="false">SUMIFS('Train detail'!$G$2:$G$181,'Train detail'!$B$2:$B$181,$A47,'Train detail'!$C$2:$C$181,$B47,'Train detail'!$F$2:$F$181,"&lt;="&amp;2013)</f>
        <v>0</v>
      </c>
      <c r="I47" s="65" t="n">
        <f aca="false">SUMIFS('Train detail'!$G$2:$G$181,'Train detail'!$B$2:$B$181,$A47,'Train detail'!$C$2:$C$181,$B47,'Train detail'!$F$2:$F$181,"&lt;="&amp;2014)</f>
        <v>0</v>
      </c>
      <c r="J47" s="65" t="n">
        <f aca="false">SUMIFS('Train detail'!$G$2:$G$181,'Train detail'!$B$2:$B$181,$A47,'Train detail'!$C$2:$C$181,$B47,'Train detail'!$F$2:$F$181,"&lt;="&amp;2015)</f>
        <v>0</v>
      </c>
      <c r="K47" s="65" t="n">
        <f aca="false">SUMIFS('Train detail'!$G$2:$G$181,'Train detail'!$B$2:$B$181,$A47,'Train detail'!$C$2:$C$181,$B47,'Train detail'!$F$2:$F$181,"&lt;="&amp;2016)</f>
        <v>0</v>
      </c>
      <c r="L47" s="65" t="n">
        <f aca="false">SUMIFS('Train detail'!$G$2:$G$181,'Train detail'!$B$2:$B$181,$A47,'Train detail'!$C$2:$C$181,$B47,'Train detail'!$F$2:$F$181,"&lt;="&amp;2017)</f>
        <v>0</v>
      </c>
      <c r="M47" s="65" t="n">
        <f aca="false">SUMIFS('Train detail'!$G$2:$G$181,'Train detail'!$B$2:$B$181,$A47,'Train detail'!$C$2:$C$181,$B47,'Train detail'!$F$2:$F$181,"&lt;="&amp;2018)</f>
        <v>0</v>
      </c>
      <c r="N47" s="65" t="n">
        <f aca="false">SUMIFS('Train detail'!$G$2:$G$181,'Train detail'!$B$2:$B$181,$A47,'Train detail'!$C$2:$C$181,$B47,'Train detail'!$F$2:$F$181,"&lt;="&amp;2019)</f>
        <v>0</v>
      </c>
      <c r="O47" s="65" t="n">
        <f aca="false">SUMIFS('Train detail'!$G$2:$G$181,'Train detail'!$B$2:$B$181,$A47,'Train detail'!$C$2:$C$181,$B47,'Train detail'!$F$2:$F$181,"&lt;="&amp;2020)</f>
        <v>0</v>
      </c>
      <c r="P47" s="65" t="n">
        <f aca="false">SUMIFS('Train detail'!$G$2:$G$181,'Train detail'!$B$2:$B$181,$A47,'Train detail'!$C$2:$C$181,$B47,'Train detail'!$F$2:$F$181,"&lt;="&amp;2021)</f>
        <v>1.5</v>
      </c>
      <c r="Q47" s="65" t="n">
        <f aca="false">SUMIFS('Train detail'!$G$2:$G$181,'Train detail'!$B$2:$B$181,$A47,'Train detail'!$C$2:$C$181,$B47,'Train detail'!$F$2:$F$181,"&lt;="&amp;2022)</f>
        <v>1.5</v>
      </c>
      <c r="R47" s="65" t="n">
        <f aca="false">SUMIFS('Train detail'!$G$2:$G$181,'Train detail'!$B$2:$B$181,$A47,'Train detail'!$C$2:$C$181,$B47,'Train detail'!$F$2:$F$181,"&lt;="&amp;2023)</f>
        <v>1.5</v>
      </c>
      <c r="S47" s="65" t="n">
        <f aca="false">SUMIFS('Train detail'!$G$2:$G$181,'Train detail'!$B$2:$B$181,$A47,'Train detail'!$C$2:$C$181,$B47,'Train detail'!$F$2:$F$181,"&lt;="&amp;2024)</f>
        <v>1.5</v>
      </c>
      <c r="T47" s="65" t="n">
        <f aca="false">SUMIFS('Train detail'!$G$2:$G$181,'Train detail'!$B$2:$B$181,$A47,'Train detail'!$C$2:$C$181,$B47,'Train detail'!$F$2:$F$181,"&lt;="&amp;2025)</f>
        <v>1.5</v>
      </c>
    </row>
    <row r="48" customFormat="false" ht="15" hidden="false" customHeight="true" outlineLevel="0" collapsed="false">
      <c r="A48" s="56" t="s">
        <v>35</v>
      </c>
      <c r="B48" s="56" t="s">
        <v>83</v>
      </c>
      <c r="C48" s="54" t="n">
        <v>2022</v>
      </c>
      <c r="D48" s="86" t="n">
        <f aca="false">SUMIFS('Train detail'!$G$2:$G$181,'Train detail'!$B$2:$B$181,$A48,'Train detail'!$C$2:$C$181,$B48)</f>
        <v>3.4</v>
      </c>
      <c r="E48" s="57" t="n">
        <f aca="false">SUMIFS('Train detail'!$G$2:$G$181,'Train detail'!$B$2:$B$181,$A48,'Train detail'!$C$2:$C$181,$B48,'Train detail'!$F$2:$F$181,"&lt;="&amp;2010)</f>
        <v>0</v>
      </c>
      <c r="F48" s="57" t="n">
        <f aca="false">SUMIFS('Train detail'!$G$2:$G$181,'Train detail'!$B$2:$B$181,$A48,'Train detail'!$C$2:$C$181,$B48,'Train detail'!$F$2:$F$181,"&lt;="&amp;2011)</f>
        <v>0</v>
      </c>
      <c r="G48" s="57" t="n">
        <f aca="false">SUMIFS('Train detail'!$G$2:$G$181,'Train detail'!$B$2:$B$181,$A48,'Train detail'!$C$2:$C$181,$B48,'Train detail'!$F$2:$F$181,"&lt;="&amp;2012)</f>
        <v>0</v>
      </c>
      <c r="H48" s="57" t="n">
        <f aca="false">SUMIFS('Train detail'!$G$2:$G$181,'Train detail'!$B$2:$B$181,$A48,'Train detail'!$C$2:$C$181,$B48,'Train detail'!$F$2:$F$181,"&lt;="&amp;2013)</f>
        <v>0</v>
      </c>
      <c r="I48" s="57" t="n">
        <f aca="false">SUMIFS('Train detail'!$G$2:$G$181,'Train detail'!$B$2:$B$181,$A48,'Train detail'!$C$2:$C$181,$B48,'Train detail'!$F$2:$F$181,"&lt;="&amp;2014)</f>
        <v>0</v>
      </c>
      <c r="J48" s="57" t="n">
        <f aca="false">SUMIFS('Train detail'!$G$2:$G$181,'Train detail'!$B$2:$B$181,$A48,'Train detail'!$C$2:$C$181,$B48,'Train detail'!$F$2:$F$181,"&lt;="&amp;2015)</f>
        <v>0</v>
      </c>
      <c r="K48" s="57" t="n">
        <f aca="false">SUMIFS('Train detail'!$G$2:$G$181,'Train detail'!$B$2:$B$181,$A48,'Train detail'!$C$2:$C$181,$B48,'Train detail'!$F$2:$F$181,"&lt;="&amp;2016)</f>
        <v>0</v>
      </c>
      <c r="L48" s="57" t="n">
        <f aca="false">SUMIFS('Train detail'!$G$2:$G$181,'Train detail'!$B$2:$B$181,$A48,'Train detail'!$C$2:$C$181,$B48,'Train detail'!$F$2:$F$181,"&lt;="&amp;2017)</f>
        <v>0</v>
      </c>
      <c r="M48" s="57" t="n">
        <f aca="false">SUMIFS('Train detail'!$G$2:$G$181,'Train detail'!$B$2:$B$181,$A48,'Train detail'!$C$2:$C$181,$B48,'Train detail'!$F$2:$F$181,"&lt;="&amp;2018)</f>
        <v>0</v>
      </c>
      <c r="N48" s="57" t="n">
        <f aca="false">SUMIFS('Train detail'!$G$2:$G$181,'Train detail'!$B$2:$B$181,$A48,'Train detail'!$C$2:$C$181,$B48,'Train detail'!$F$2:$F$181,"&lt;="&amp;2019)</f>
        <v>0</v>
      </c>
      <c r="O48" s="57" t="n">
        <f aca="false">SUMIFS('Train detail'!$G$2:$G$181,'Train detail'!$B$2:$B$181,$A48,'Train detail'!$C$2:$C$181,$B48,'Train detail'!$F$2:$F$181,"&lt;="&amp;2020)</f>
        <v>0</v>
      </c>
      <c r="P48" s="57" t="n">
        <f aca="false">SUMIFS('Train detail'!$G$2:$G$181,'Train detail'!$B$2:$B$181,$A48,'Train detail'!$C$2:$C$181,$B48,'Train detail'!$F$2:$F$181,"&lt;="&amp;2021)</f>
        <v>0</v>
      </c>
      <c r="Q48" s="57" t="n">
        <f aca="false">SUMIFS('Train detail'!$G$2:$G$181,'Train detail'!$B$2:$B$181,$A48,'Train detail'!$C$2:$C$181,$B48,'Train detail'!$F$2:$F$181,"&lt;="&amp;2022)</f>
        <v>3.4</v>
      </c>
      <c r="R48" s="57" t="n">
        <f aca="false">SUMIFS('Train detail'!$G$2:$G$181,'Train detail'!$B$2:$B$181,$A48,'Train detail'!$C$2:$C$181,$B48,'Train detail'!$F$2:$F$181,"&lt;="&amp;2023)</f>
        <v>3.4</v>
      </c>
      <c r="S48" s="57" t="n">
        <f aca="false">SUMIFS('Train detail'!$G$2:$G$181,'Train detail'!$B$2:$B$181,$A48,'Train detail'!$C$2:$C$181,$B48,'Train detail'!$F$2:$F$181,"&lt;="&amp;2024)</f>
        <v>3.4</v>
      </c>
      <c r="T48" s="57" t="n">
        <f aca="false">SUMIFS('Train detail'!$G$2:$G$181,'Train detail'!$B$2:$B$181,$A48,'Train detail'!$C$2:$C$181,$B48,'Train detail'!$F$2:$F$181,"&lt;="&amp;2025)</f>
        <v>3.4</v>
      </c>
    </row>
    <row r="49" customFormat="false" ht="15" hidden="false" customHeight="true" outlineLevel="0" collapsed="false">
      <c r="A49" s="64" t="s">
        <v>42</v>
      </c>
      <c r="B49" s="64" t="s">
        <v>92</v>
      </c>
      <c r="C49" s="62" t="n">
        <v>2022</v>
      </c>
      <c r="D49" s="87" t="n">
        <f aca="false">SUMIFS('Train detail'!$G$2:$G$181,'Train detail'!$B$2:$B$181,$A49,'Train detail'!$C$2:$C$181,$B49)</f>
        <v>1.5</v>
      </c>
      <c r="E49" s="65" t="n">
        <f aca="false">SUMIFS('Train detail'!$G$2:$G$181,'Train detail'!$B$2:$B$181,$A49,'Train detail'!$C$2:$C$181,$B49,'Train detail'!$F$2:$F$181,"&lt;="&amp;2010)</f>
        <v>0</v>
      </c>
      <c r="F49" s="65" t="n">
        <f aca="false">SUMIFS('Train detail'!$G$2:$G$181,'Train detail'!$B$2:$B$181,$A49,'Train detail'!$C$2:$C$181,$B49,'Train detail'!$F$2:$F$181,"&lt;="&amp;2011)</f>
        <v>0</v>
      </c>
      <c r="G49" s="65" t="n">
        <f aca="false">SUMIFS('Train detail'!$G$2:$G$181,'Train detail'!$B$2:$B$181,$A49,'Train detail'!$C$2:$C$181,$B49,'Train detail'!$F$2:$F$181,"&lt;="&amp;2012)</f>
        <v>0</v>
      </c>
      <c r="H49" s="65" t="n">
        <f aca="false">SUMIFS('Train detail'!$G$2:$G$181,'Train detail'!$B$2:$B$181,$A49,'Train detail'!$C$2:$C$181,$B49,'Train detail'!$F$2:$F$181,"&lt;="&amp;2013)</f>
        <v>0</v>
      </c>
      <c r="I49" s="65" t="n">
        <f aca="false">SUMIFS('Train detail'!$G$2:$G$181,'Train detail'!$B$2:$B$181,$A49,'Train detail'!$C$2:$C$181,$B49,'Train detail'!$F$2:$F$181,"&lt;="&amp;2014)</f>
        <v>0</v>
      </c>
      <c r="J49" s="65" t="n">
        <f aca="false">SUMIFS('Train detail'!$G$2:$G$181,'Train detail'!$B$2:$B$181,$A49,'Train detail'!$C$2:$C$181,$B49,'Train detail'!$F$2:$F$181,"&lt;="&amp;2015)</f>
        <v>0</v>
      </c>
      <c r="K49" s="65" t="n">
        <f aca="false">SUMIFS('Train detail'!$G$2:$G$181,'Train detail'!$B$2:$B$181,$A49,'Train detail'!$C$2:$C$181,$B49,'Train detail'!$F$2:$F$181,"&lt;="&amp;2016)</f>
        <v>0</v>
      </c>
      <c r="L49" s="65" t="n">
        <f aca="false">SUMIFS('Train detail'!$G$2:$G$181,'Train detail'!$B$2:$B$181,$A49,'Train detail'!$C$2:$C$181,$B49,'Train detail'!$F$2:$F$181,"&lt;="&amp;2017)</f>
        <v>0</v>
      </c>
      <c r="M49" s="65" t="n">
        <f aca="false">SUMIFS('Train detail'!$G$2:$G$181,'Train detail'!$B$2:$B$181,$A49,'Train detail'!$C$2:$C$181,$B49,'Train detail'!$F$2:$F$181,"&lt;="&amp;2018)</f>
        <v>0</v>
      </c>
      <c r="N49" s="65" t="n">
        <f aca="false">SUMIFS('Train detail'!$G$2:$G$181,'Train detail'!$B$2:$B$181,$A49,'Train detail'!$C$2:$C$181,$B49,'Train detail'!$F$2:$F$181,"&lt;="&amp;2019)</f>
        <v>0</v>
      </c>
      <c r="O49" s="65" t="n">
        <f aca="false">SUMIFS('Train detail'!$G$2:$G$181,'Train detail'!$B$2:$B$181,$A49,'Train detail'!$C$2:$C$181,$B49,'Train detail'!$F$2:$F$181,"&lt;="&amp;2020)</f>
        <v>0</v>
      </c>
      <c r="P49" s="65" t="n">
        <f aca="false">SUMIFS('Train detail'!$G$2:$G$181,'Train detail'!$B$2:$B$181,$A49,'Train detail'!$C$2:$C$181,$B49,'Train detail'!$F$2:$F$181,"&lt;="&amp;2021)</f>
        <v>0</v>
      </c>
      <c r="Q49" s="65" t="n">
        <f aca="false">SUMIFS('Train detail'!$G$2:$G$181,'Train detail'!$B$2:$B$181,$A49,'Train detail'!$C$2:$C$181,$B49,'Train detail'!$F$2:$F$181,"&lt;="&amp;2022)</f>
        <v>1.5</v>
      </c>
      <c r="R49" s="65" t="n">
        <f aca="false">SUMIFS('Train detail'!$G$2:$G$181,'Train detail'!$B$2:$B$181,$A49,'Train detail'!$C$2:$C$181,$B49,'Train detail'!$F$2:$F$181,"&lt;="&amp;2023)</f>
        <v>1.5</v>
      </c>
      <c r="S49" s="65" t="n">
        <f aca="false">SUMIFS('Train detail'!$G$2:$G$181,'Train detail'!$B$2:$B$181,$A49,'Train detail'!$C$2:$C$181,$B49,'Train detail'!$F$2:$F$181,"&lt;="&amp;2024)</f>
        <v>1.5</v>
      </c>
      <c r="T49" s="65" t="n">
        <f aca="false">SUMIFS('Train detail'!$G$2:$G$181,'Train detail'!$B$2:$B$181,$A49,'Train detail'!$C$2:$C$181,$B49,'Train detail'!$F$2:$F$181,"&lt;="&amp;2025)</f>
        <v>1.5</v>
      </c>
    </row>
    <row r="50" customFormat="false" ht="15" hidden="false" customHeight="true" outlineLevel="0" collapsed="false">
      <c r="A50" s="56" t="s">
        <v>45</v>
      </c>
      <c r="B50" s="56" t="s">
        <v>98</v>
      </c>
      <c r="C50" s="54" t="n">
        <v>2022</v>
      </c>
      <c r="D50" s="86" t="n">
        <f aca="false">SUMIFS('Train detail'!$G$2:$G$181,'Train detail'!$B$2:$B$181,$A50,'Train detail'!$C$2:$C$181,$B50)</f>
        <v>9.972</v>
      </c>
      <c r="E50" s="57" t="n">
        <f aca="false">SUMIFS('Train detail'!$G$2:$G$181,'Train detail'!$B$2:$B$181,$A50,'Train detail'!$C$2:$C$181,$B50,'Train detail'!$F$2:$F$181,"&lt;="&amp;2010)</f>
        <v>0</v>
      </c>
      <c r="F50" s="57" t="n">
        <f aca="false">SUMIFS('Train detail'!$G$2:$G$181,'Train detail'!$B$2:$B$181,$A50,'Train detail'!$C$2:$C$181,$B50,'Train detail'!$F$2:$F$181,"&lt;="&amp;2011)</f>
        <v>0</v>
      </c>
      <c r="G50" s="57" t="n">
        <f aca="false">SUMIFS('Train detail'!$G$2:$G$181,'Train detail'!$B$2:$B$181,$A50,'Train detail'!$C$2:$C$181,$B50,'Train detail'!$F$2:$F$181,"&lt;="&amp;2012)</f>
        <v>0</v>
      </c>
      <c r="H50" s="57" t="n">
        <f aca="false">SUMIFS('Train detail'!$G$2:$G$181,'Train detail'!$B$2:$B$181,$A50,'Train detail'!$C$2:$C$181,$B50,'Train detail'!$F$2:$F$181,"&lt;="&amp;2013)</f>
        <v>0</v>
      </c>
      <c r="I50" s="57" t="n">
        <f aca="false">SUMIFS('Train detail'!$G$2:$G$181,'Train detail'!$B$2:$B$181,$A50,'Train detail'!$C$2:$C$181,$B50,'Train detail'!$F$2:$F$181,"&lt;="&amp;2014)</f>
        <v>0</v>
      </c>
      <c r="J50" s="57" t="n">
        <f aca="false">SUMIFS('Train detail'!$G$2:$G$181,'Train detail'!$B$2:$B$181,$A50,'Train detail'!$C$2:$C$181,$B50,'Train detail'!$F$2:$F$181,"&lt;="&amp;2015)</f>
        <v>0</v>
      </c>
      <c r="K50" s="57" t="n">
        <f aca="false">SUMIFS('Train detail'!$G$2:$G$181,'Train detail'!$B$2:$B$181,$A50,'Train detail'!$C$2:$C$181,$B50,'Train detail'!$F$2:$F$181,"&lt;="&amp;2016)</f>
        <v>0</v>
      </c>
      <c r="L50" s="57" t="n">
        <f aca="false">SUMIFS('Train detail'!$G$2:$G$181,'Train detail'!$B$2:$B$181,$A50,'Train detail'!$C$2:$C$181,$B50,'Train detail'!$F$2:$F$181,"&lt;="&amp;2017)</f>
        <v>0</v>
      </c>
      <c r="M50" s="57" t="n">
        <f aca="false">SUMIFS('Train detail'!$G$2:$G$181,'Train detail'!$B$2:$B$181,$A50,'Train detail'!$C$2:$C$181,$B50,'Train detail'!$F$2:$F$181,"&lt;="&amp;2018)</f>
        <v>0</v>
      </c>
      <c r="N50" s="57" t="n">
        <f aca="false">SUMIFS('Train detail'!$G$2:$G$181,'Train detail'!$B$2:$B$181,$A50,'Train detail'!$C$2:$C$181,$B50,'Train detail'!$F$2:$F$181,"&lt;="&amp;2019)</f>
        <v>0</v>
      </c>
      <c r="O50" s="57" t="n">
        <f aca="false">SUMIFS('Train detail'!$G$2:$G$181,'Train detail'!$B$2:$B$181,$A50,'Train detail'!$C$2:$C$181,$B50,'Train detail'!$F$2:$F$181,"&lt;="&amp;2020)</f>
        <v>0</v>
      </c>
      <c r="P50" s="57" t="n">
        <f aca="false">SUMIFS('Train detail'!$G$2:$G$181,'Train detail'!$B$2:$B$181,$A50,'Train detail'!$C$2:$C$181,$B50,'Train detail'!$F$2:$F$181,"&lt;="&amp;2021)</f>
        <v>0</v>
      </c>
      <c r="Q50" s="57" t="n">
        <f aca="false">SUMIFS('Train detail'!$G$2:$G$181,'Train detail'!$B$2:$B$181,$A50,'Train detail'!$C$2:$C$181,$B50,'Train detail'!$F$2:$F$181,"&lt;="&amp;2022)</f>
        <v>9.972</v>
      </c>
      <c r="R50" s="57" t="n">
        <f aca="false">SUMIFS('Train detail'!$G$2:$G$181,'Train detail'!$B$2:$B$181,$A50,'Train detail'!$C$2:$C$181,$B50,'Train detail'!$F$2:$F$181,"&lt;="&amp;2023)</f>
        <v>9.972</v>
      </c>
      <c r="S50" s="57" t="n">
        <f aca="false">SUMIFS('Train detail'!$G$2:$G$181,'Train detail'!$B$2:$B$181,$A50,'Train detail'!$C$2:$C$181,$B50,'Train detail'!$F$2:$F$181,"&lt;="&amp;2024)</f>
        <v>9.972</v>
      </c>
      <c r="T50" s="57" t="n">
        <f aca="false">SUMIFS('Train detail'!$G$2:$G$181,'Train detail'!$B$2:$B$181,$A50,'Train detail'!$C$2:$C$181,$B50,'Train detail'!$F$2:$F$181,"&lt;="&amp;2025)</f>
        <v>9.972</v>
      </c>
    </row>
    <row r="51" customFormat="false" ht="15" hidden="false" customHeight="true" outlineLevel="0" collapsed="false">
      <c r="A51" s="64" t="s">
        <v>28</v>
      </c>
      <c r="B51" s="64" t="s">
        <v>69</v>
      </c>
      <c r="C51" s="62" t="n">
        <v>2024</v>
      </c>
      <c r="D51" s="87" t="n">
        <f aca="false">SUMIFS('Train detail'!$G$2:$G$181,'Train detail'!$B$2:$B$181,$A51,'Train detail'!$C$2:$C$181,$B51)</f>
        <v>0.6</v>
      </c>
      <c r="E51" s="65" t="n">
        <f aca="false">SUMIFS('Train detail'!$G$2:$G$181,'Train detail'!$B$2:$B$181,$A51,'Train detail'!$C$2:$C$181,$B51,'Train detail'!$F$2:$F$181,"&lt;="&amp;2010)</f>
        <v>0</v>
      </c>
      <c r="F51" s="65" t="n">
        <f aca="false">SUMIFS('Train detail'!$G$2:$G$181,'Train detail'!$B$2:$B$181,$A51,'Train detail'!$C$2:$C$181,$B51,'Train detail'!$F$2:$F$181,"&lt;="&amp;2011)</f>
        <v>0</v>
      </c>
      <c r="G51" s="65" t="n">
        <f aca="false">SUMIFS('Train detail'!$G$2:$G$181,'Train detail'!$B$2:$B$181,$A51,'Train detail'!$C$2:$C$181,$B51,'Train detail'!$F$2:$F$181,"&lt;="&amp;2012)</f>
        <v>0</v>
      </c>
      <c r="H51" s="65" t="n">
        <f aca="false">SUMIFS('Train detail'!$G$2:$G$181,'Train detail'!$B$2:$B$181,$A51,'Train detail'!$C$2:$C$181,$B51,'Train detail'!$F$2:$F$181,"&lt;="&amp;2013)</f>
        <v>0</v>
      </c>
      <c r="I51" s="65" t="n">
        <f aca="false">SUMIFS('Train detail'!$G$2:$G$181,'Train detail'!$B$2:$B$181,$A51,'Train detail'!$C$2:$C$181,$B51,'Train detail'!$F$2:$F$181,"&lt;="&amp;2014)</f>
        <v>0</v>
      </c>
      <c r="J51" s="65" t="n">
        <f aca="false">SUMIFS('Train detail'!$G$2:$G$181,'Train detail'!$B$2:$B$181,$A51,'Train detail'!$C$2:$C$181,$B51,'Train detail'!$F$2:$F$181,"&lt;="&amp;2015)</f>
        <v>0</v>
      </c>
      <c r="K51" s="65" t="n">
        <f aca="false">SUMIFS('Train detail'!$G$2:$G$181,'Train detail'!$B$2:$B$181,$A51,'Train detail'!$C$2:$C$181,$B51,'Train detail'!$F$2:$F$181,"&lt;="&amp;2016)</f>
        <v>0</v>
      </c>
      <c r="L51" s="65" t="n">
        <f aca="false">SUMIFS('Train detail'!$G$2:$G$181,'Train detail'!$B$2:$B$181,$A51,'Train detail'!$C$2:$C$181,$B51,'Train detail'!$F$2:$F$181,"&lt;="&amp;2017)</f>
        <v>0</v>
      </c>
      <c r="M51" s="65" t="n">
        <f aca="false">SUMIFS('Train detail'!$G$2:$G$181,'Train detail'!$B$2:$B$181,$A51,'Train detail'!$C$2:$C$181,$B51,'Train detail'!$F$2:$F$181,"&lt;="&amp;2018)</f>
        <v>0</v>
      </c>
      <c r="N51" s="65" t="n">
        <f aca="false">SUMIFS('Train detail'!$G$2:$G$181,'Train detail'!$B$2:$B$181,$A51,'Train detail'!$C$2:$C$181,$B51,'Train detail'!$F$2:$F$181,"&lt;="&amp;2019)</f>
        <v>0</v>
      </c>
      <c r="O51" s="65" t="n">
        <f aca="false">SUMIFS('Train detail'!$G$2:$G$181,'Train detail'!$B$2:$B$181,$A51,'Train detail'!$C$2:$C$181,$B51,'Train detail'!$F$2:$F$181,"&lt;="&amp;2020)</f>
        <v>0</v>
      </c>
      <c r="P51" s="65" t="n">
        <f aca="false">SUMIFS('Train detail'!$G$2:$G$181,'Train detail'!$B$2:$B$181,$A51,'Train detail'!$C$2:$C$181,$B51,'Train detail'!$F$2:$F$181,"&lt;="&amp;2021)</f>
        <v>0</v>
      </c>
      <c r="Q51" s="65" t="n">
        <f aca="false">SUMIFS('Train detail'!$G$2:$G$181,'Train detail'!$B$2:$B$181,$A51,'Train detail'!$C$2:$C$181,$B51,'Train detail'!$F$2:$F$181,"&lt;="&amp;2022)</f>
        <v>0</v>
      </c>
      <c r="R51" s="65" t="n">
        <f aca="false">SUMIFS('Train detail'!$G$2:$G$181,'Train detail'!$B$2:$B$181,$A51,'Train detail'!$C$2:$C$181,$B51,'Train detail'!$F$2:$F$181,"&lt;="&amp;2023)</f>
        <v>0</v>
      </c>
      <c r="S51" s="65" t="n">
        <f aca="false">SUMIFS('Train detail'!$G$2:$G$181,'Train detail'!$B$2:$B$181,$A51,'Train detail'!$C$2:$C$181,$B51,'Train detail'!$F$2:$F$181,"&lt;="&amp;2024)</f>
        <v>0.6</v>
      </c>
      <c r="T51" s="65" t="n">
        <f aca="false">SUMIFS('Train detail'!$G$2:$G$181,'Train detail'!$B$2:$B$181,$A51,'Train detail'!$C$2:$C$181,$B51,'Train detail'!$F$2:$F$181,"&lt;="&amp;2025)</f>
        <v>0.6</v>
      </c>
    </row>
    <row r="52" customFormat="false" ht="15" hidden="false" customHeight="true" outlineLevel="0" collapsed="false">
      <c r="A52" s="56" t="s">
        <v>34</v>
      </c>
      <c r="B52" s="56" t="s">
        <v>81</v>
      </c>
      <c r="C52" s="54" t="n">
        <v>2024</v>
      </c>
      <c r="D52" s="86" t="n">
        <f aca="false">SUMIFS('Train detail'!$G$2:$G$181,'Train detail'!$B$2:$B$181,$A52,'Train detail'!$C$2:$C$181,$B52)</f>
        <v>1.4</v>
      </c>
      <c r="E52" s="57" t="n">
        <f aca="false">SUMIFS('Train detail'!$G$2:$G$181,'Train detail'!$B$2:$B$181,$A52,'Train detail'!$C$2:$C$181,$B52,'Train detail'!$F$2:$F$181,"&lt;="&amp;2010)</f>
        <v>0</v>
      </c>
      <c r="F52" s="57" t="n">
        <f aca="false">SUMIFS('Train detail'!$G$2:$G$181,'Train detail'!$B$2:$B$181,$A52,'Train detail'!$C$2:$C$181,$B52,'Train detail'!$F$2:$F$181,"&lt;="&amp;2011)</f>
        <v>0</v>
      </c>
      <c r="G52" s="57" t="n">
        <f aca="false">SUMIFS('Train detail'!$G$2:$G$181,'Train detail'!$B$2:$B$181,$A52,'Train detail'!$C$2:$C$181,$B52,'Train detail'!$F$2:$F$181,"&lt;="&amp;2012)</f>
        <v>0</v>
      </c>
      <c r="H52" s="57" t="n">
        <f aca="false">SUMIFS('Train detail'!$G$2:$G$181,'Train detail'!$B$2:$B$181,$A52,'Train detail'!$C$2:$C$181,$B52,'Train detail'!$F$2:$F$181,"&lt;="&amp;2013)</f>
        <v>0</v>
      </c>
      <c r="I52" s="57" t="n">
        <f aca="false">SUMIFS('Train detail'!$G$2:$G$181,'Train detail'!$B$2:$B$181,$A52,'Train detail'!$C$2:$C$181,$B52,'Train detail'!$F$2:$F$181,"&lt;="&amp;2014)</f>
        <v>0</v>
      </c>
      <c r="J52" s="57" t="n">
        <f aca="false">SUMIFS('Train detail'!$G$2:$G$181,'Train detail'!$B$2:$B$181,$A52,'Train detail'!$C$2:$C$181,$B52,'Train detail'!$F$2:$F$181,"&lt;="&amp;2015)</f>
        <v>0</v>
      </c>
      <c r="K52" s="57" t="n">
        <f aca="false">SUMIFS('Train detail'!$G$2:$G$181,'Train detail'!$B$2:$B$181,$A52,'Train detail'!$C$2:$C$181,$B52,'Train detail'!$F$2:$F$181,"&lt;="&amp;2016)</f>
        <v>0</v>
      </c>
      <c r="L52" s="57" t="n">
        <f aca="false">SUMIFS('Train detail'!$G$2:$G$181,'Train detail'!$B$2:$B$181,$A52,'Train detail'!$C$2:$C$181,$B52,'Train detail'!$F$2:$F$181,"&lt;="&amp;2017)</f>
        <v>0</v>
      </c>
      <c r="M52" s="57" t="n">
        <f aca="false">SUMIFS('Train detail'!$G$2:$G$181,'Train detail'!$B$2:$B$181,$A52,'Train detail'!$C$2:$C$181,$B52,'Train detail'!$F$2:$F$181,"&lt;="&amp;2018)</f>
        <v>0</v>
      </c>
      <c r="N52" s="57" t="n">
        <f aca="false">SUMIFS('Train detail'!$G$2:$G$181,'Train detail'!$B$2:$B$181,$A52,'Train detail'!$C$2:$C$181,$B52,'Train detail'!$F$2:$F$181,"&lt;="&amp;2019)</f>
        <v>0</v>
      </c>
      <c r="O52" s="57" t="n">
        <f aca="false">SUMIFS('Train detail'!$G$2:$G$181,'Train detail'!$B$2:$B$181,$A52,'Train detail'!$C$2:$C$181,$B52,'Train detail'!$F$2:$F$181,"&lt;="&amp;2020)</f>
        <v>0</v>
      </c>
      <c r="P52" s="57" t="n">
        <f aca="false">SUMIFS('Train detail'!$G$2:$G$181,'Train detail'!$B$2:$B$181,$A52,'Train detail'!$C$2:$C$181,$B52,'Train detail'!$F$2:$F$181,"&lt;="&amp;2021)</f>
        <v>0</v>
      </c>
      <c r="Q52" s="57" t="n">
        <f aca="false">SUMIFS('Train detail'!$G$2:$G$181,'Train detail'!$B$2:$B$181,$A52,'Train detail'!$C$2:$C$181,$B52,'Train detail'!$F$2:$F$181,"&lt;="&amp;2022)</f>
        <v>0</v>
      </c>
      <c r="R52" s="57" t="n">
        <f aca="false">SUMIFS('Train detail'!$G$2:$G$181,'Train detail'!$B$2:$B$181,$A52,'Train detail'!$C$2:$C$181,$B52,'Train detail'!$F$2:$F$181,"&lt;="&amp;2023)</f>
        <v>0</v>
      </c>
      <c r="S52" s="57" t="n">
        <f aca="false">SUMIFS('Train detail'!$G$2:$G$181,'Train detail'!$B$2:$B$181,$A52,'Train detail'!$C$2:$C$181,$B52,'Train detail'!$F$2:$F$181,"&lt;="&amp;2024)</f>
        <v>1.4</v>
      </c>
      <c r="T52" s="57" t="n">
        <f aca="false">SUMIFS('Train detail'!$G$2:$G$181,'Train detail'!$B$2:$B$181,$A52,'Train detail'!$C$2:$C$181,$B52,'Train detail'!$F$2:$F$181,"&lt;="&amp;2025)</f>
        <v>1.4</v>
      </c>
    </row>
    <row r="53" customFormat="false" ht="15" hidden="false" customHeight="true" outlineLevel="0" collapsed="false">
      <c r="A53" s="64" t="s">
        <v>45</v>
      </c>
      <c r="B53" s="64" t="s">
        <v>105</v>
      </c>
      <c r="C53" s="62" t="n">
        <v>2024</v>
      </c>
      <c r="D53" s="87" t="n">
        <f aca="false">SUMIFS('Train detail'!$G$2:$G$181,'Train detail'!$B$2:$B$181,$A53,'Train detail'!$C$2:$C$181,$B53)</f>
        <v>19.44</v>
      </c>
      <c r="E53" s="65" t="n">
        <f aca="false">SUMIFS('Train detail'!$G$2:$G$181,'Train detail'!$B$2:$B$181,$A53,'Train detail'!$C$2:$C$181,$B53,'Train detail'!$F$2:$F$181,"&lt;="&amp;2010)</f>
        <v>0</v>
      </c>
      <c r="F53" s="65" t="n">
        <f aca="false">SUMIFS('Train detail'!$G$2:$G$181,'Train detail'!$B$2:$B$181,$A53,'Train detail'!$C$2:$C$181,$B53,'Train detail'!$F$2:$F$181,"&lt;="&amp;2011)</f>
        <v>0</v>
      </c>
      <c r="G53" s="65" t="n">
        <f aca="false">SUMIFS('Train detail'!$G$2:$G$181,'Train detail'!$B$2:$B$181,$A53,'Train detail'!$C$2:$C$181,$B53,'Train detail'!$F$2:$F$181,"&lt;="&amp;2012)</f>
        <v>0</v>
      </c>
      <c r="H53" s="65" t="n">
        <f aca="false">SUMIFS('Train detail'!$G$2:$G$181,'Train detail'!$B$2:$B$181,$A53,'Train detail'!$C$2:$C$181,$B53,'Train detail'!$F$2:$F$181,"&lt;="&amp;2013)</f>
        <v>0</v>
      </c>
      <c r="I53" s="65" t="n">
        <f aca="false">SUMIFS('Train detail'!$G$2:$G$181,'Train detail'!$B$2:$B$181,$A53,'Train detail'!$C$2:$C$181,$B53,'Train detail'!$F$2:$F$181,"&lt;="&amp;2014)</f>
        <v>0</v>
      </c>
      <c r="J53" s="65" t="n">
        <f aca="false">SUMIFS('Train detail'!$G$2:$G$181,'Train detail'!$B$2:$B$181,$A53,'Train detail'!$C$2:$C$181,$B53,'Train detail'!$F$2:$F$181,"&lt;="&amp;2015)</f>
        <v>0</v>
      </c>
      <c r="K53" s="65" t="n">
        <f aca="false">SUMIFS('Train detail'!$G$2:$G$181,'Train detail'!$B$2:$B$181,$A53,'Train detail'!$C$2:$C$181,$B53,'Train detail'!$F$2:$F$181,"&lt;="&amp;2016)</f>
        <v>0</v>
      </c>
      <c r="L53" s="65" t="n">
        <f aca="false">SUMIFS('Train detail'!$G$2:$G$181,'Train detail'!$B$2:$B$181,$A53,'Train detail'!$C$2:$C$181,$B53,'Train detail'!$F$2:$F$181,"&lt;="&amp;2017)</f>
        <v>0</v>
      </c>
      <c r="M53" s="65" t="n">
        <f aca="false">SUMIFS('Train detail'!$G$2:$G$181,'Train detail'!$B$2:$B$181,$A53,'Train detail'!$C$2:$C$181,$B53,'Train detail'!$F$2:$F$181,"&lt;="&amp;2018)</f>
        <v>0</v>
      </c>
      <c r="N53" s="65" t="n">
        <f aca="false">SUMIFS('Train detail'!$G$2:$G$181,'Train detail'!$B$2:$B$181,$A53,'Train detail'!$C$2:$C$181,$B53,'Train detail'!$F$2:$F$181,"&lt;="&amp;2019)</f>
        <v>0</v>
      </c>
      <c r="O53" s="65" t="n">
        <f aca="false">SUMIFS('Train detail'!$G$2:$G$181,'Train detail'!$B$2:$B$181,$A53,'Train detail'!$C$2:$C$181,$B53,'Train detail'!$F$2:$F$181,"&lt;="&amp;2020)</f>
        <v>0</v>
      </c>
      <c r="P53" s="65" t="n">
        <f aca="false">SUMIFS('Train detail'!$G$2:$G$181,'Train detail'!$B$2:$B$181,$A53,'Train detail'!$C$2:$C$181,$B53,'Train detail'!$F$2:$F$181,"&lt;="&amp;2021)</f>
        <v>0</v>
      </c>
      <c r="Q53" s="65" t="n">
        <f aca="false">SUMIFS('Train detail'!$G$2:$G$181,'Train detail'!$B$2:$B$181,$A53,'Train detail'!$C$2:$C$181,$B53,'Train detail'!$F$2:$F$181,"&lt;="&amp;2022)</f>
        <v>0</v>
      </c>
      <c r="R53" s="65" t="n">
        <f aca="false">SUMIFS('Train detail'!$G$2:$G$181,'Train detail'!$B$2:$B$181,$A53,'Train detail'!$C$2:$C$181,$B53,'Train detail'!$F$2:$F$181,"&lt;="&amp;2023)</f>
        <v>0</v>
      </c>
      <c r="S53" s="65" t="n">
        <f aca="false">SUMIFS('Train detail'!$G$2:$G$181,'Train detail'!$B$2:$B$181,$A53,'Train detail'!$C$2:$C$181,$B53,'Train detail'!$F$2:$F$181,"&lt;="&amp;2024)</f>
        <v>4.32</v>
      </c>
      <c r="T53" s="65" t="n">
        <f aca="false">SUMIFS('Train detail'!$G$2:$G$181,'Train detail'!$B$2:$B$181,$A53,'Train detail'!$C$2:$C$181,$B53,'Train detail'!$F$2:$F$181,"&lt;="&amp;2025)</f>
        <v>19.44</v>
      </c>
    </row>
    <row r="54" customFormat="false" ht="15" hidden="false" customHeight="true" outlineLevel="0" collapsed="false">
      <c r="A54" s="56" t="s">
        <v>26</v>
      </c>
      <c r="B54" s="56" t="s">
        <v>67</v>
      </c>
      <c r="C54" s="54" t="n">
        <v>2025</v>
      </c>
      <c r="D54" s="86" t="n">
        <f aca="false">SUMIFS('Train detail'!$G$2:$G$181,'Train detail'!$B$2:$B$181,$A54,'Train detail'!$C$2:$C$181,$B54)</f>
        <v>7</v>
      </c>
      <c r="E54" s="57" t="n">
        <f aca="false">SUMIFS('Train detail'!$G$2:$G$181,'Train detail'!$B$2:$B$181,$A54,'Train detail'!$C$2:$C$181,$B54,'Train detail'!$F$2:$F$181,"&lt;="&amp;2010)</f>
        <v>0</v>
      </c>
      <c r="F54" s="57" t="n">
        <f aca="false">SUMIFS('Train detail'!$G$2:$G$181,'Train detail'!$B$2:$B$181,$A54,'Train detail'!$C$2:$C$181,$B54,'Train detail'!$F$2:$F$181,"&lt;="&amp;2011)</f>
        <v>0</v>
      </c>
      <c r="G54" s="57" t="n">
        <f aca="false">SUMIFS('Train detail'!$G$2:$G$181,'Train detail'!$B$2:$B$181,$A54,'Train detail'!$C$2:$C$181,$B54,'Train detail'!$F$2:$F$181,"&lt;="&amp;2012)</f>
        <v>0</v>
      </c>
      <c r="H54" s="57" t="n">
        <f aca="false">SUMIFS('Train detail'!$G$2:$G$181,'Train detail'!$B$2:$B$181,$A54,'Train detail'!$C$2:$C$181,$B54,'Train detail'!$F$2:$F$181,"&lt;="&amp;2013)</f>
        <v>0</v>
      </c>
      <c r="I54" s="57" t="n">
        <f aca="false">SUMIFS('Train detail'!$G$2:$G$181,'Train detail'!$B$2:$B$181,$A54,'Train detail'!$C$2:$C$181,$B54,'Train detail'!$F$2:$F$181,"&lt;="&amp;2014)</f>
        <v>0</v>
      </c>
      <c r="J54" s="57" t="n">
        <f aca="false">SUMIFS('Train detail'!$G$2:$G$181,'Train detail'!$B$2:$B$181,$A54,'Train detail'!$C$2:$C$181,$B54,'Train detail'!$F$2:$F$181,"&lt;="&amp;2015)</f>
        <v>0</v>
      </c>
      <c r="K54" s="57" t="n">
        <f aca="false">SUMIFS('Train detail'!$G$2:$G$181,'Train detail'!$B$2:$B$181,$A54,'Train detail'!$C$2:$C$181,$B54,'Train detail'!$F$2:$F$181,"&lt;="&amp;2016)</f>
        <v>0</v>
      </c>
      <c r="L54" s="57" t="n">
        <f aca="false">SUMIFS('Train detail'!$G$2:$G$181,'Train detail'!$B$2:$B$181,$A54,'Train detail'!$C$2:$C$181,$B54,'Train detail'!$F$2:$F$181,"&lt;="&amp;2017)</f>
        <v>0</v>
      </c>
      <c r="M54" s="57" t="n">
        <f aca="false">SUMIFS('Train detail'!$G$2:$G$181,'Train detail'!$B$2:$B$181,$A54,'Train detail'!$C$2:$C$181,$B54,'Train detail'!$F$2:$F$181,"&lt;="&amp;2018)</f>
        <v>0</v>
      </c>
      <c r="N54" s="57" t="n">
        <f aca="false">SUMIFS('Train detail'!$G$2:$G$181,'Train detail'!$B$2:$B$181,$A54,'Train detail'!$C$2:$C$181,$B54,'Train detail'!$F$2:$F$181,"&lt;="&amp;2019)</f>
        <v>0</v>
      </c>
      <c r="O54" s="57" t="n">
        <f aca="false">SUMIFS('Train detail'!$G$2:$G$181,'Train detail'!$B$2:$B$181,$A54,'Train detail'!$C$2:$C$181,$B54,'Train detail'!$F$2:$F$181,"&lt;="&amp;2020)</f>
        <v>0</v>
      </c>
      <c r="P54" s="57" t="n">
        <f aca="false">SUMIFS('Train detail'!$G$2:$G$181,'Train detail'!$B$2:$B$181,$A54,'Train detail'!$C$2:$C$181,$B54,'Train detail'!$F$2:$F$181,"&lt;="&amp;2021)</f>
        <v>0</v>
      </c>
      <c r="Q54" s="57" t="n">
        <f aca="false">SUMIFS('Train detail'!$G$2:$G$181,'Train detail'!$B$2:$B$181,$A54,'Train detail'!$C$2:$C$181,$B54,'Train detail'!$F$2:$F$181,"&lt;="&amp;2022)</f>
        <v>0</v>
      </c>
      <c r="R54" s="57" t="n">
        <f aca="false">SUMIFS('Train detail'!$G$2:$G$181,'Train detail'!$B$2:$B$181,$A54,'Train detail'!$C$2:$C$181,$B54,'Train detail'!$F$2:$F$181,"&lt;="&amp;2023)</f>
        <v>0</v>
      </c>
      <c r="S54" s="57" t="n">
        <f aca="false">SUMIFS('Train detail'!$G$2:$G$181,'Train detail'!$B$2:$B$181,$A54,'Train detail'!$C$2:$C$181,$B54,'Train detail'!$F$2:$F$181,"&lt;="&amp;2024)</f>
        <v>0</v>
      </c>
      <c r="T54" s="57" t="n">
        <f aca="false">SUMIFS('Train detail'!$G$2:$G$181,'Train detail'!$B$2:$B$181,$A54,'Train detail'!$C$2:$C$181,$B54,'Train detail'!$F$2:$F$181,"&lt;="&amp;2025)</f>
        <v>7</v>
      </c>
    </row>
    <row r="55" customFormat="false" ht="15" hidden="false" customHeight="true" outlineLevel="0" collapsed="false">
      <c r="A55" s="64" t="s">
        <v>33</v>
      </c>
      <c r="B55" s="64" t="s">
        <v>80</v>
      </c>
      <c r="C55" s="62" t="n">
        <v>2025</v>
      </c>
      <c r="D55" s="87" t="n">
        <f aca="false">SUMIFS('Train detail'!$G$2:$G$181,'Train detail'!$B$2:$B$181,$A55,'Train detail'!$C$2:$C$181,$B55)</f>
        <v>2.5</v>
      </c>
      <c r="E55" s="65" t="n">
        <f aca="false">SUMIFS('Train detail'!$G$2:$G$181,'Train detail'!$B$2:$B$181,$A55,'Train detail'!$C$2:$C$181,$B55,'Train detail'!$F$2:$F$181,"&lt;="&amp;2010)</f>
        <v>0</v>
      </c>
      <c r="F55" s="65" t="n">
        <f aca="false">SUMIFS('Train detail'!$G$2:$G$181,'Train detail'!$B$2:$B$181,$A55,'Train detail'!$C$2:$C$181,$B55,'Train detail'!$F$2:$F$181,"&lt;="&amp;2011)</f>
        <v>0</v>
      </c>
      <c r="G55" s="65" t="n">
        <f aca="false">SUMIFS('Train detail'!$G$2:$G$181,'Train detail'!$B$2:$B$181,$A55,'Train detail'!$C$2:$C$181,$B55,'Train detail'!$F$2:$F$181,"&lt;="&amp;2012)</f>
        <v>0</v>
      </c>
      <c r="H55" s="65" t="n">
        <f aca="false">SUMIFS('Train detail'!$G$2:$G$181,'Train detail'!$B$2:$B$181,$A55,'Train detail'!$C$2:$C$181,$B55,'Train detail'!$F$2:$F$181,"&lt;="&amp;2013)</f>
        <v>0</v>
      </c>
      <c r="I55" s="65" t="n">
        <f aca="false">SUMIFS('Train detail'!$G$2:$G$181,'Train detail'!$B$2:$B$181,$A55,'Train detail'!$C$2:$C$181,$B55,'Train detail'!$F$2:$F$181,"&lt;="&amp;2014)</f>
        <v>0</v>
      </c>
      <c r="J55" s="65" t="n">
        <f aca="false">SUMIFS('Train detail'!$G$2:$G$181,'Train detail'!$B$2:$B$181,$A55,'Train detail'!$C$2:$C$181,$B55,'Train detail'!$F$2:$F$181,"&lt;="&amp;2015)</f>
        <v>0</v>
      </c>
      <c r="K55" s="65" t="n">
        <f aca="false">SUMIFS('Train detail'!$G$2:$G$181,'Train detail'!$B$2:$B$181,$A55,'Train detail'!$C$2:$C$181,$B55,'Train detail'!$F$2:$F$181,"&lt;="&amp;2016)</f>
        <v>0</v>
      </c>
      <c r="L55" s="65" t="n">
        <f aca="false">SUMIFS('Train detail'!$G$2:$G$181,'Train detail'!$B$2:$B$181,$A55,'Train detail'!$C$2:$C$181,$B55,'Train detail'!$F$2:$F$181,"&lt;="&amp;2017)</f>
        <v>0</v>
      </c>
      <c r="M55" s="65" t="n">
        <f aca="false">SUMIFS('Train detail'!$G$2:$G$181,'Train detail'!$B$2:$B$181,$A55,'Train detail'!$C$2:$C$181,$B55,'Train detail'!$F$2:$F$181,"&lt;="&amp;2018)</f>
        <v>0</v>
      </c>
      <c r="N55" s="65" t="n">
        <f aca="false">SUMIFS('Train detail'!$G$2:$G$181,'Train detail'!$B$2:$B$181,$A55,'Train detail'!$C$2:$C$181,$B55,'Train detail'!$F$2:$F$181,"&lt;="&amp;2019)</f>
        <v>0</v>
      </c>
      <c r="O55" s="65" t="n">
        <f aca="false">SUMIFS('Train detail'!$G$2:$G$181,'Train detail'!$B$2:$B$181,$A55,'Train detail'!$C$2:$C$181,$B55,'Train detail'!$F$2:$F$181,"&lt;="&amp;2020)</f>
        <v>0</v>
      </c>
      <c r="P55" s="65" t="n">
        <f aca="false">SUMIFS('Train detail'!$G$2:$G$181,'Train detail'!$B$2:$B$181,$A55,'Train detail'!$C$2:$C$181,$B55,'Train detail'!$F$2:$F$181,"&lt;="&amp;2021)</f>
        <v>0</v>
      </c>
      <c r="Q55" s="65" t="n">
        <f aca="false">SUMIFS('Train detail'!$G$2:$G$181,'Train detail'!$B$2:$B$181,$A55,'Train detail'!$C$2:$C$181,$B55,'Train detail'!$F$2:$F$181,"&lt;="&amp;2022)</f>
        <v>0</v>
      </c>
      <c r="R55" s="65" t="n">
        <f aca="false">SUMIFS('Train detail'!$G$2:$G$181,'Train detail'!$B$2:$B$181,$A55,'Train detail'!$C$2:$C$181,$B55,'Train detail'!$F$2:$F$181,"&lt;="&amp;2023)</f>
        <v>0</v>
      </c>
      <c r="S55" s="65" t="n">
        <f aca="false">SUMIFS('Train detail'!$G$2:$G$181,'Train detail'!$B$2:$B$181,$A55,'Train detail'!$C$2:$C$181,$B55,'Train detail'!$F$2:$F$181,"&lt;="&amp;2024)</f>
        <v>0</v>
      </c>
      <c r="T55" s="65" t="n">
        <f aca="false">SUMIFS('Train detail'!$G$2:$G$181,'Train detail'!$B$2:$B$181,$A55,'Train detail'!$C$2:$C$181,$B55,'Train detail'!$F$2:$F$181,"&lt;="&amp;2025)</f>
        <v>2.5</v>
      </c>
    </row>
    <row r="56" customFormat="false" ht="15" hidden="false" customHeight="true" outlineLevel="0" collapsed="false">
      <c r="A56" s="56" t="s">
        <v>42</v>
      </c>
      <c r="B56" s="56" t="s">
        <v>91</v>
      </c>
      <c r="C56" s="54" t="n">
        <v>2025</v>
      </c>
      <c r="D56" s="86" t="n">
        <f aca="false">SUMIFS('Train detail'!$G$2:$G$181,'Train detail'!$B$2:$B$181,$A56,'Train detail'!$C$2:$C$181,$B56)</f>
        <v>6.6</v>
      </c>
      <c r="E56" s="57" t="n">
        <f aca="false">SUMIFS('Train detail'!$G$2:$G$181,'Train detail'!$B$2:$B$181,$A56,'Train detail'!$C$2:$C$181,$B56,'Train detail'!$F$2:$F$181,"&lt;="&amp;2010)</f>
        <v>0</v>
      </c>
      <c r="F56" s="57" t="n">
        <f aca="false">SUMIFS('Train detail'!$G$2:$G$181,'Train detail'!$B$2:$B$181,$A56,'Train detail'!$C$2:$C$181,$B56,'Train detail'!$F$2:$F$181,"&lt;="&amp;2011)</f>
        <v>0</v>
      </c>
      <c r="G56" s="57" t="n">
        <f aca="false">SUMIFS('Train detail'!$G$2:$G$181,'Train detail'!$B$2:$B$181,$A56,'Train detail'!$C$2:$C$181,$B56,'Train detail'!$F$2:$F$181,"&lt;="&amp;2012)</f>
        <v>0</v>
      </c>
      <c r="H56" s="57" t="n">
        <f aca="false">SUMIFS('Train detail'!$G$2:$G$181,'Train detail'!$B$2:$B$181,$A56,'Train detail'!$C$2:$C$181,$B56,'Train detail'!$F$2:$F$181,"&lt;="&amp;2013)</f>
        <v>0</v>
      </c>
      <c r="I56" s="57" t="n">
        <f aca="false">SUMIFS('Train detail'!$G$2:$G$181,'Train detail'!$B$2:$B$181,$A56,'Train detail'!$C$2:$C$181,$B56,'Train detail'!$F$2:$F$181,"&lt;="&amp;2014)</f>
        <v>0</v>
      </c>
      <c r="J56" s="57" t="n">
        <f aca="false">SUMIFS('Train detail'!$G$2:$G$181,'Train detail'!$B$2:$B$181,$A56,'Train detail'!$C$2:$C$181,$B56,'Train detail'!$F$2:$F$181,"&lt;="&amp;2015)</f>
        <v>0</v>
      </c>
      <c r="K56" s="57" t="n">
        <f aca="false">SUMIFS('Train detail'!$G$2:$G$181,'Train detail'!$B$2:$B$181,$A56,'Train detail'!$C$2:$C$181,$B56,'Train detail'!$F$2:$F$181,"&lt;="&amp;2016)</f>
        <v>0</v>
      </c>
      <c r="L56" s="57" t="n">
        <f aca="false">SUMIFS('Train detail'!$G$2:$G$181,'Train detail'!$B$2:$B$181,$A56,'Train detail'!$C$2:$C$181,$B56,'Train detail'!$F$2:$F$181,"&lt;="&amp;2017)</f>
        <v>0</v>
      </c>
      <c r="M56" s="57" t="n">
        <f aca="false">SUMIFS('Train detail'!$G$2:$G$181,'Train detail'!$B$2:$B$181,$A56,'Train detail'!$C$2:$C$181,$B56,'Train detail'!$F$2:$F$181,"&lt;="&amp;2018)</f>
        <v>0</v>
      </c>
      <c r="N56" s="57" t="n">
        <f aca="false">SUMIFS('Train detail'!$G$2:$G$181,'Train detail'!$B$2:$B$181,$A56,'Train detail'!$C$2:$C$181,$B56,'Train detail'!$F$2:$F$181,"&lt;="&amp;2019)</f>
        <v>0</v>
      </c>
      <c r="O56" s="57" t="n">
        <f aca="false">SUMIFS('Train detail'!$G$2:$G$181,'Train detail'!$B$2:$B$181,$A56,'Train detail'!$C$2:$C$181,$B56,'Train detail'!$F$2:$F$181,"&lt;="&amp;2020)</f>
        <v>0</v>
      </c>
      <c r="P56" s="57" t="n">
        <f aca="false">SUMIFS('Train detail'!$G$2:$G$181,'Train detail'!$B$2:$B$181,$A56,'Train detail'!$C$2:$C$181,$B56,'Train detail'!$F$2:$F$181,"&lt;="&amp;2021)</f>
        <v>0</v>
      </c>
      <c r="Q56" s="57" t="n">
        <f aca="false">SUMIFS('Train detail'!$G$2:$G$181,'Train detail'!$B$2:$B$181,$A56,'Train detail'!$C$2:$C$181,$B56,'Train detail'!$F$2:$F$181,"&lt;="&amp;2022)</f>
        <v>0</v>
      </c>
      <c r="R56" s="57" t="n">
        <f aca="false">SUMIFS('Train detail'!$G$2:$G$181,'Train detail'!$B$2:$B$181,$A56,'Train detail'!$C$2:$C$181,$B56,'Train detail'!$F$2:$F$181,"&lt;="&amp;2023)</f>
        <v>0</v>
      </c>
      <c r="S56" s="57" t="n">
        <f aca="false">SUMIFS('Train detail'!$G$2:$G$181,'Train detail'!$B$2:$B$181,$A56,'Train detail'!$C$2:$C$181,$B56,'Train detail'!$F$2:$F$181,"&lt;="&amp;2024)</f>
        <v>0</v>
      </c>
      <c r="T56" s="57" t="n">
        <f aca="false">SUMIFS('Train detail'!$G$2:$G$181,'Train detail'!$B$2:$B$181,$A56,'Train detail'!$C$2:$C$181,$B56,'Train detail'!$F$2:$F$181,"&lt;="&amp;2025)</f>
        <v>6.6</v>
      </c>
    </row>
    <row r="57" customFormat="false" ht="15" hidden="false" customHeight="true" outlineLevel="0" collapsed="false">
      <c r="A57" s="88" t="s">
        <v>576</v>
      </c>
      <c r="B57" s="88"/>
      <c r="C57" s="89"/>
      <c r="D57" s="90" t="n">
        <f aca="false">SUM(D2:D56)</f>
        <v>524.552</v>
      </c>
      <c r="E57" s="91" t="n">
        <f aca="false">SUM(E2:E56)</f>
        <v>255.77</v>
      </c>
      <c r="F57" s="91" t="n">
        <f aca="false">SUM(F2:F56)</f>
        <v>263.57</v>
      </c>
      <c r="G57" s="91" t="n">
        <f aca="false">SUM(G2:G56)</f>
        <v>268.47</v>
      </c>
      <c r="H57" s="91" t="n">
        <f aca="false">SUM(H2:H56)</f>
        <v>278.17</v>
      </c>
      <c r="I57" s="91" t="n">
        <f aca="false">SUM(I2:I56)</f>
        <v>289.77</v>
      </c>
      <c r="J57" s="91" t="n">
        <f aca="false">SUM(J2:J56)</f>
        <v>304.17</v>
      </c>
      <c r="K57" s="91" t="n">
        <f aca="false">SUM(K2:K56)</f>
        <v>342.67</v>
      </c>
      <c r="L57" s="91" t="n">
        <f aca="false">SUM(L2:L56)</f>
        <v>371.87</v>
      </c>
      <c r="M57" s="91" t="n">
        <f aca="false">SUM(M2:M56)</f>
        <v>399.42</v>
      </c>
      <c r="N57" s="91" t="n">
        <f aca="false">SUM(N2:N56)</f>
        <v>429.28</v>
      </c>
      <c r="O57" s="91" t="n">
        <f aca="false">SUM(O2:O56)</f>
        <v>449.98</v>
      </c>
      <c r="P57" s="91" t="n">
        <f aca="false">SUM(P2:P56)</f>
        <v>457.38</v>
      </c>
      <c r="Q57" s="91" t="n">
        <f aca="false">SUM(Q2:Q56)</f>
        <v>477.252</v>
      </c>
      <c r="R57" s="91" t="n">
        <f aca="false">SUM(R2:R56)</f>
        <v>481.052</v>
      </c>
      <c r="S57" s="91" t="n">
        <f aca="false">SUM(S2:S56)</f>
        <v>487.372</v>
      </c>
      <c r="T57" s="91" t="n">
        <f aca="false">SUM(T2:T56)</f>
        <v>524.552</v>
      </c>
    </row>
  </sheetData>
  <autoFilter ref="A1:T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3" min="3" style="1" width="13"/>
    <col collapsed="false" customWidth="true" hidden="false" outlineLevel="0" max="19" min="4" style="1" width="8"/>
  </cols>
  <sheetData>
    <row r="1" customFormat="false" ht="34.5" hidden="false" customHeight="true" outlineLevel="0" collapsed="false">
      <c r="A1" s="47" t="s">
        <v>119</v>
      </c>
      <c r="B1" s="47" t="s">
        <v>558</v>
      </c>
      <c r="C1" s="47" t="s">
        <v>559</v>
      </c>
      <c r="D1" s="47" t="s">
        <v>560</v>
      </c>
      <c r="E1" s="47" t="s">
        <v>561</v>
      </c>
      <c r="F1" s="47" t="s">
        <v>562</v>
      </c>
      <c r="G1" s="47" t="s">
        <v>563</v>
      </c>
      <c r="H1" s="47" t="s">
        <v>564</v>
      </c>
      <c r="I1" s="47" t="s">
        <v>565</v>
      </c>
      <c r="J1" s="47" t="s">
        <v>566</v>
      </c>
      <c r="K1" s="47" t="s">
        <v>567</v>
      </c>
      <c r="L1" s="47" t="s">
        <v>568</v>
      </c>
      <c r="M1" s="47" t="s">
        <v>569</v>
      </c>
      <c r="N1" s="47" t="s">
        <v>570</v>
      </c>
      <c r="O1" s="47" t="s">
        <v>571</v>
      </c>
      <c r="P1" s="47" t="s">
        <v>572</v>
      </c>
      <c r="Q1" s="47" t="s">
        <v>573</v>
      </c>
      <c r="R1" s="47" t="s">
        <v>574</v>
      </c>
      <c r="S1" s="47" t="s">
        <v>575</v>
      </c>
    </row>
    <row r="2" customFormat="false" ht="15" hidden="false" customHeight="true" outlineLevel="0" collapsed="false">
      <c r="A2" s="56" t="s">
        <v>24</v>
      </c>
      <c r="B2" s="54" t="n">
        <v>1972</v>
      </c>
      <c r="C2" s="86" t="n">
        <f aca="false">SUMIFS('Train detail'!$G$2:$G$181,'Train detail'!$B$2:$B$181,$A2)</f>
        <v>7.2</v>
      </c>
      <c r="D2" s="57" t="n">
        <f aca="false">SUMIFS('Train detail'!$G$2:$G$181,'Train detail'!$B$2:$B$181,$A2,'Train detail'!$F$2:$F$181,"&lt;="&amp;2010)</f>
        <v>7.2</v>
      </c>
      <c r="E2" s="57" t="n">
        <f aca="false">SUMIFS('Train detail'!$G$2:$G$181,'Train detail'!$B$2:$B$181,$A2,'Train detail'!$F$2:$F$181,"&lt;="&amp;2011)</f>
        <v>7.2</v>
      </c>
      <c r="F2" s="57" t="n">
        <f aca="false">SUMIFS('Train detail'!$G$2:$G$181,'Train detail'!$B$2:$B$181,$A2,'Train detail'!$F$2:$F$181,"&lt;="&amp;2012)</f>
        <v>7.2</v>
      </c>
      <c r="G2" s="57" t="n">
        <f aca="false">SUMIFS('Train detail'!$G$2:$G$181,'Train detail'!$B$2:$B$181,$A2,'Train detail'!$F$2:$F$181,"&lt;="&amp;2013)</f>
        <v>7.2</v>
      </c>
      <c r="H2" s="57" t="n">
        <f aca="false">SUMIFS('Train detail'!$G$2:$G$181,'Train detail'!$B$2:$B$181,$A2,'Train detail'!$F$2:$F$181,"&lt;="&amp;2014)</f>
        <v>7.2</v>
      </c>
      <c r="I2" s="57" t="n">
        <f aca="false">SUMIFS('Train detail'!$G$2:$G$181,'Train detail'!$B$2:$B$181,$A2,'Train detail'!$F$2:$F$181,"&lt;="&amp;2015)</f>
        <v>7.2</v>
      </c>
      <c r="J2" s="57" t="n">
        <f aca="false">SUMIFS('Train detail'!$G$2:$G$181,'Train detail'!$B$2:$B$181,$A2,'Train detail'!$F$2:$F$181,"&lt;="&amp;2016)</f>
        <v>7.2</v>
      </c>
      <c r="K2" s="57" t="n">
        <f aca="false">SUMIFS('Train detail'!$G$2:$G$181,'Train detail'!$B$2:$B$181,$A2,'Train detail'!$F$2:$F$181,"&lt;="&amp;2017)</f>
        <v>7.2</v>
      </c>
      <c r="L2" s="57" t="n">
        <f aca="false">SUMIFS('Train detail'!$G$2:$G$181,'Train detail'!$B$2:$B$181,$A2,'Train detail'!$F$2:$F$181,"&lt;="&amp;2018)</f>
        <v>7.2</v>
      </c>
      <c r="M2" s="57" t="n">
        <f aca="false">SUMIFS('Train detail'!$G$2:$G$181,'Train detail'!$B$2:$B$181,$A2,'Train detail'!$F$2:$F$181,"&lt;="&amp;2019)</f>
        <v>7.2</v>
      </c>
      <c r="N2" s="57" t="n">
        <f aca="false">SUMIFS('Train detail'!$G$2:$G$181,'Train detail'!$B$2:$B$181,$A2,'Train detail'!$F$2:$F$181,"&lt;="&amp;2020)</f>
        <v>7.2</v>
      </c>
      <c r="O2" s="57" t="n">
        <f aca="false">SUMIFS('Train detail'!$G$2:$G$181,'Train detail'!$B$2:$B$181,$A2,'Train detail'!$F$2:$F$181,"&lt;="&amp;2021)</f>
        <v>7.2</v>
      </c>
      <c r="P2" s="57" t="n">
        <f aca="false">SUMIFS('Train detail'!$G$2:$G$181,'Train detail'!$B$2:$B$181,$A2,'Train detail'!$F$2:$F$181,"&lt;="&amp;2022)</f>
        <v>7.2</v>
      </c>
      <c r="Q2" s="57" t="n">
        <f aca="false">SUMIFS('Train detail'!$G$2:$G$181,'Train detail'!$B$2:$B$181,$A2,'Train detail'!$F$2:$F$181,"&lt;="&amp;2023)</f>
        <v>7.2</v>
      </c>
      <c r="R2" s="57" t="n">
        <f aca="false">SUMIFS('Train detail'!$G$2:$G$181,'Train detail'!$B$2:$B$181,$A2,'Train detail'!$F$2:$F$181,"&lt;="&amp;2024)</f>
        <v>7.2</v>
      </c>
      <c r="S2" s="57" t="n">
        <f aca="false">SUMIFS('Train detail'!$G$2:$G$181,'Train detail'!$B$2:$B$181,$A2,'Train detail'!$F$2:$F$181,"&lt;="&amp;2025)</f>
        <v>7.2</v>
      </c>
    </row>
    <row r="3" customFormat="false" ht="15" hidden="false" customHeight="true" outlineLevel="0" collapsed="false">
      <c r="A3" s="64" t="s">
        <v>44</v>
      </c>
      <c r="B3" s="62" t="n">
        <v>1977</v>
      </c>
      <c r="C3" s="87" t="n">
        <f aca="false">SUMIFS('Train detail'!$G$2:$G$181,'Train detail'!$B$2:$B$181,$A3)</f>
        <v>5.3</v>
      </c>
      <c r="D3" s="65" t="n">
        <f aca="false">SUMIFS('Train detail'!$G$2:$G$181,'Train detail'!$B$2:$B$181,$A3,'Train detail'!$F$2:$F$181,"&lt;="&amp;2010)</f>
        <v>5.3</v>
      </c>
      <c r="E3" s="65" t="n">
        <f aca="false">SUMIFS('Train detail'!$G$2:$G$181,'Train detail'!$B$2:$B$181,$A3,'Train detail'!$F$2:$F$181,"&lt;="&amp;2011)</f>
        <v>5.3</v>
      </c>
      <c r="F3" s="65" t="n">
        <f aca="false">SUMIFS('Train detail'!$G$2:$G$181,'Train detail'!$B$2:$B$181,$A3,'Train detail'!$F$2:$F$181,"&lt;="&amp;2012)</f>
        <v>5.3</v>
      </c>
      <c r="G3" s="65" t="n">
        <f aca="false">SUMIFS('Train detail'!$G$2:$G$181,'Train detail'!$B$2:$B$181,$A3,'Train detail'!$F$2:$F$181,"&lt;="&amp;2013)</f>
        <v>5.3</v>
      </c>
      <c r="H3" s="65" t="n">
        <f aca="false">SUMIFS('Train detail'!$G$2:$G$181,'Train detail'!$B$2:$B$181,$A3,'Train detail'!$F$2:$F$181,"&lt;="&amp;2014)</f>
        <v>5.3</v>
      </c>
      <c r="I3" s="65" t="n">
        <f aca="false">SUMIFS('Train detail'!$G$2:$G$181,'Train detail'!$B$2:$B$181,$A3,'Train detail'!$F$2:$F$181,"&lt;="&amp;2015)</f>
        <v>5.3</v>
      </c>
      <c r="J3" s="65" t="n">
        <f aca="false">SUMIFS('Train detail'!$G$2:$G$181,'Train detail'!$B$2:$B$181,$A3,'Train detail'!$F$2:$F$181,"&lt;="&amp;2016)</f>
        <v>5.3</v>
      </c>
      <c r="K3" s="65" t="n">
        <f aca="false">SUMIFS('Train detail'!$G$2:$G$181,'Train detail'!$B$2:$B$181,$A3,'Train detail'!$F$2:$F$181,"&lt;="&amp;2017)</f>
        <v>5.3</v>
      </c>
      <c r="L3" s="65" t="n">
        <f aca="false">SUMIFS('Train detail'!$G$2:$G$181,'Train detail'!$B$2:$B$181,$A3,'Train detail'!$F$2:$F$181,"&lt;="&amp;2018)</f>
        <v>5.3</v>
      </c>
      <c r="M3" s="65" t="n">
        <f aca="false">SUMIFS('Train detail'!$G$2:$G$181,'Train detail'!$B$2:$B$181,$A3,'Train detail'!$F$2:$F$181,"&lt;="&amp;2019)</f>
        <v>5.3</v>
      </c>
      <c r="N3" s="65" t="n">
        <f aca="false">SUMIFS('Train detail'!$G$2:$G$181,'Train detail'!$B$2:$B$181,$A3,'Train detail'!$F$2:$F$181,"&lt;="&amp;2020)</f>
        <v>5.3</v>
      </c>
      <c r="O3" s="65" t="n">
        <f aca="false">SUMIFS('Train detail'!$G$2:$G$181,'Train detail'!$B$2:$B$181,$A3,'Train detail'!$F$2:$F$181,"&lt;="&amp;2021)</f>
        <v>5.3</v>
      </c>
      <c r="P3" s="65" t="n">
        <f aca="false">SUMIFS('Train detail'!$G$2:$G$181,'Train detail'!$B$2:$B$181,$A3,'Train detail'!$F$2:$F$181,"&lt;="&amp;2022)</f>
        <v>5.3</v>
      </c>
      <c r="Q3" s="65" t="n">
        <f aca="false">SUMIFS('Train detail'!$G$2:$G$181,'Train detail'!$B$2:$B$181,$A3,'Train detail'!$F$2:$F$181,"&lt;="&amp;2023)</f>
        <v>5.3</v>
      </c>
      <c r="R3" s="65" t="n">
        <f aca="false">SUMIFS('Train detail'!$G$2:$G$181,'Train detail'!$B$2:$B$181,$A3,'Train detail'!$F$2:$F$181,"&lt;="&amp;2024)</f>
        <v>5.3</v>
      </c>
      <c r="S3" s="65" t="n">
        <f aca="false">SUMIFS('Train detail'!$G$2:$G$181,'Train detail'!$B$2:$B$181,$A3,'Train detail'!$F$2:$F$181,"&lt;="&amp;2025)</f>
        <v>5.3</v>
      </c>
    </row>
    <row r="4" customFormat="false" ht="15" hidden="false" customHeight="true" outlineLevel="0" collapsed="false">
      <c r="A4" s="56" t="s">
        <v>21</v>
      </c>
      <c r="B4" s="54" t="n">
        <v>1978</v>
      </c>
      <c r="C4" s="86" t="n">
        <f aca="false">SUMIFS('Train detail'!$G$2:$G$181,'Train detail'!$B$2:$B$181,$A4)</f>
        <v>25.5</v>
      </c>
      <c r="D4" s="57" t="n">
        <f aca="false">SUMIFS('Train detail'!$G$2:$G$181,'Train detail'!$B$2:$B$181,$A4,'Train detail'!$F$2:$F$181,"&lt;="&amp;2010)</f>
        <v>16.3</v>
      </c>
      <c r="E4" s="57" t="n">
        <f aca="false">SUMIFS('Train detail'!$G$2:$G$181,'Train detail'!$B$2:$B$181,$A4,'Train detail'!$F$2:$F$181,"&lt;="&amp;2011)</f>
        <v>16.3</v>
      </c>
      <c r="F4" s="57" t="n">
        <f aca="false">SUMIFS('Train detail'!$G$2:$G$181,'Train detail'!$B$2:$B$181,$A4,'Train detail'!$F$2:$F$181,"&lt;="&amp;2012)</f>
        <v>16.3</v>
      </c>
      <c r="G4" s="57" t="n">
        <f aca="false">SUMIFS('Train detail'!$G$2:$G$181,'Train detail'!$B$2:$B$181,$A4,'Train detail'!$F$2:$F$181,"&lt;="&amp;2013)</f>
        <v>20.8</v>
      </c>
      <c r="H4" s="57" t="n">
        <f aca="false">SUMIFS('Train detail'!$G$2:$G$181,'Train detail'!$B$2:$B$181,$A4,'Train detail'!$F$2:$F$181,"&lt;="&amp;2014)</f>
        <v>25.5</v>
      </c>
      <c r="I4" s="57" t="n">
        <f aca="false">SUMIFS('Train detail'!$G$2:$G$181,'Train detail'!$B$2:$B$181,$A4,'Train detail'!$F$2:$F$181,"&lt;="&amp;2015)</f>
        <v>25.5</v>
      </c>
      <c r="J4" s="57" t="n">
        <f aca="false">SUMIFS('Train detail'!$G$2:$G$181,'Train detail'!$B$2:$B$181,$A4,'Train detail'!$F$2:$F$181,"&lt;="&amp;2016)</f>
        <v>25.5</v>
      </c>
      <c r="K4" s="57" t="n">
        <f aca="false">SUMIFS('Train detail'!$G$2:$G$181,'Train detail'!$B$2:$B$181,$A4,'Train detail'!$F$2:$F$181,"&lt;="&amp;2017)</f>
        <v>25.5</v>
      </c>
      <c r="L4" s="57" t="n">
        <f aca="false">SUMIFS('Train detail'!$G$2:$G$181,'Train detail'!$B$2:$B$181,$A4,'Train detail'!$F$2:$F$181,"&lt;="&amp;2018)</f>
        <v>25.5</v>
      </c>
      <c r="M4" s="57" t="n">
        <f aca="false">SUMIFS('Train detail'!$G$2:$G$181,'Train detail'!$B$2:$B$181,$A4,'Train detail'!$F$2:$F$181,"&lt;="&amp;2019)</f>
        <v>25.5</v>
      </c>
      <c r="N4" s="57" t="n">
        <f aca="false">SUMIFS('Train detail'!$G$2:$G$181,'Train detail'!$B$2:$B$181,$A4,'Train detail'!$F$2:$F$181,"&lt;="&amp;2020)</f>
        <v>25.5</v>
      </c>
      <c r="O4" s="57" t="n">
        <f aca="false">SUMIFS('Train detail'!$G$2:$G$181,'Train detail'!$B$2:$B$181,$A4,'Train detail'!$F$2:$F$181,"&lt;="&amp;2021)</f>
        <v>25.5</v>
      </c>
      <c r="P4" s="57" t="n">
        <f aca="false">SUMIFS('Train detail'!$G$2:$G$181,'Train detail'!$B$2:$B$181,$A4,'Train detail'!$F$2:$F$181,"&lt;="&amp;2022)</f>
        <v>25.5</v>
      </c>
      <c r="Q4" s="57" t="n">
        <f aca="false">SUMIFS('Train detail'!$G$2:$G$181,'Train detail'!$B$2:$B$181,$A4,'Train detail'!$F$2:$F$181,"&lt;="&amp;2023)</f>
        <v>25.5</v>
      </c>
      <c r="R4" s="57" t="n">
        <f aca="false">SUMIFS('Train detail'!$G$2:$G$181,'Train detail'!$B$2:$B$181,$A4,'Train detail'!$F$2:$F$181,"&lt;="&amp;2024)</f>
        <v>25.5</v>
      </c>
      <c r="S4" s="57" t="n">
        <f aca="false">SUMIFS('Train detail'!$G$2:$G$181,'Train detail'!$B$2:$B$181,$A4,'Train detail'!$F$2:$F$181,"&lt;="&amp;2025)</f>
        <v>25.5</v>
      </c>
    </row>
    <row r="5" customFormat="false" ht="15" hidden="false" customHeight="true" outlineLevel="0" collapsed="false">
      <c r="A5" s="64" t="s">
        <v>32</v>
      </c>
      <c r="B5" s="62" t="n">
        <v>1982</v>
      </c>
      <c r="C5" s="87" t="n">
        <f aca="false">SUMIFS('Train detail'!$G$2:$G$181,'Train detail'!$B$2:$B$181,$A5)</f>
        <v>32</v>
      </c>
      <c r="D5" s="65" t="n">
        <f aca="false">SUMIFS('Train detail'!$G$2:$G$181,'Train detail'!$B$2:$B$181,$A5,'Train detail'!$F$2:$F$181,"&lt;="&amp;2010)</f>
        <v>25.7</v>
      </c>
      <c r="E5" s="65" t="n">
        <f aca="false">SUMIFS('Train detail'!$G$2:$G$181,'Train detail'!$B$2:$B$181,$A5,'Train detail'!$F$2:$F$181,"&lt;="&amp;2011)</f>
        <v>25.7</v>
      </c>
      <c r="F5" s="65" t="n">
        <f aca="false">SUMIFS('Train detail'!$G$2:$G$181,'Train detail'!$B$2:$B$181,$A5,'Train detail'!$F$2:$F$181,"&lt;="&amp;2012)</f>
        <v>25.7</v>
      </c>
      <c r="G5" s="65" t="n">
        <f aca="false">SUMIFS('Train detail'!$G$2:$G$181,'Train detail'!$B$2:$B$181,$A5,'Train detail'!$F$2:$F$181,"&lt;="&amp;2013)</f>
        <v>25.7</v>
      </c>
      <c r="H5" s="65" t="n">
        <f aca="false">SUMIFS('Train detail'!$G$2:$G$181,'Train detail'!$B$2:$B$181,$A5,'Train detail'!$F$2:$F$181,"&lt;="&amp;2014)</f>
        <v>25.7</v>
      </c>
      <c r="I5" s="65" t="n">
        <f aca="false">SUMIFS('Train detail'!$G$2:$G$181,'Train detail'!$B$2:$B$181,$A5,'Train detail'!$F$2:$F$181,"&lt;="&amp;2015)</f>
        <v>25.7</v>
      </c>
      <c r="J5" s="65" t="n">
        <f aca="false">SUMIFS('Train detail'!$G$2:$G$181,'Train detail'!$B$2:$B$181,$A5,'Train detail'!$F$2:$F$181,"&lt;="&amp;2016)</f>
        <v>25.7</v>
      </c>
      <c r="K5" s="65" t="n">
        <f aca="false">SUMIFS('Train detail'!$G$2:$G$181,'Train detail'!$B$2:$B$181,$A5,'Train detail'!$F$2:$F$181,"&lt;="&amp;2017)</f>
        <v>30.5</v>
      </c>
      <c r="L5" s="65" t="n">
        <f aca="false">SUMIFS('Train detail'!$G$2:$G$181,'Train detail'!$B$2:$B$181,$A5,'Train detail'!$F$2:$F$181,"&lt;="&amp;2018)</f>
        <v>30.5</v>
      </c>
      <c r="M5" s="65" t="n">
        <f aca="false">SUMIFS('Train detail'!$G$2:$G$181,'Train detail'!$B$2:$B$181,$A5,'Train detail'!$F$2:$F$181,"&lt;="&amp;2019)</f>
        <v>30.5</v>
      </c>
      <c r="N5" s="65" t="n">
        <f aca="false">SUMIFS('Train detail'!$G$2:$G$181,'Train detail'!$B$2:$B$181,$A5,'Train detail'!$F$2:$F$181,"&lt;="&amp;2020)</f>
        <v>30.5</v>
      </c>
      <c r="O5" s="65" t="n">
        <f aca="false">SUMIFS('Train detail'!$G$2:$G$181,'Train detail'!$B$2:$B$181,$A5,'Train detail'!$F$2:$F$181,"&lt;="&amp;2021)</f>
        <v>32</v>
      </c>
      <c r="P5" s="65" t="n">
        <f aca="false">SUMIFS('Train detail'!$G$2:$G$181,'Train detail'!$B$2:$B$181,$A5,'Train detail'!$F$2:$F$181,"&lt;="&amp;2022)</f>
        <v>32</v>
      </c>
      <c r="Q5" s="65" t="n">
        <f aca="false">SUMIFS('Train detail'!$G$2:$G$181,'Train detail'!$B$2:$B$181,$A5,'Train detail'!$F$2:$F$181,"&lt;="&amp;2023)</f>
        <v>32</v>
      </c>
      <c r="R5" s="65" t="n">
        <f aca="false">SUMIFS('Train detail'!$G$2:$G$181,'Train detail'!$B$2:$B$181,$A5,'Train detail'!$F$2:$F$181,"&lt;="&amp;2024)</f>
        <v>32</v>
      </c>
      <c r="S5" s="65" t="n">
        <f aca="false">SUMIFS('Train detail'!$G$2:$G$181,'Train detail'!$B$2:$B$181,$A5,'Train detail'!$F$2:$F$181,"&lt;="&amp;2025)</f>
        <v>32</v>
      </c>
    </row>
    <row r="6" customFormat="false" ht="15" hidden="false" customHeight="true" outlineLevel="0" collapsed="false">
      <c r="A6" s="56" t="s">
        <v>31</v>
      </c>
      <c r="B6" s="54" t="n">
        <v>1983</v>
      </c>
      <c r="C6" s="86" t="n">
        <f aca="false">SUMIFS('Train detail'!$G$2:$G$181,'Train detail'!$B$2:$B$181,$A6)</f>
        <v>30.35</v>
      </c>
      <c r="D6" s="57" t="n">
        <f aca="false">SUMIFS('Train detail'!$G$2:$G$181,'Train detail'!$B$2:$B$181,$A6,'Train detail'!$F$2:$F$181,"&lt;="&amp;2010)</f>
        <v>24.55</v>
      </c>
      <c r="E6" s="57" t="n">
        <f aca="false">SUMIFS('Train detail'!$G$2:$G$181,'Train detail'!$B$2:$B$181,$A6,'Train detail'!$F$2:$F$181,"&lt;="&amp;2011)</f>
        <v>24.55</v>
      </c>
      <c r="F6" s="57" t="n">
        <f aca="false">SUMIFS('Train detail'!$G$2:$G$181,'Train detail'!$B$2:$B$181,$A6,'Train detail'!$F$2:$F$181,"&lt;="&amp;2012)</f>
        <v>24.55</v>
      </c>
      <c r="G6" s="57" t="n">
        <f aca="false">SUMIFS('Train detail'!$G$2:$G$181,'Train detail'!$B$2:$B$181,$A6,'Train detail'!$F$2:$F$181,"&lt;="&amp;2013)</f>
        <v>24.55</v>
      </c>
      <c r="H6" s="57" t="n">
        <f aca="false">SUMIFS('Train detail'!$G$2:$G$181,'Train detail'!$B$2:$B$181,$A6,'Train detail'!$F$2:$F$181,"&lt;="&amp;2014)</f>
        <v>24.55</v>
      </c>
      <c r="I6" s="57" t="n">
        <f aca="false">SUMIFS('Train detail'!$G$2:$G$181,'Train detail'!$B$2:$B$181,$A6,'Train detail'!$F$2:$F$181,"&lt;="&amp;2015)</f>
        <v>26.55</v>
      </c>
      <c r="J6" s="57" t="n">
        <f aca="false">SUMIFS('Train detail'!$G$2:$G$181,'Train detail'!$B$2:$B$181,$A6,'Train detail'!$F$2:$F$181,"&lt;="&amp;2016)</f>
        <v>26.55</v>
      </c>
      <c r="K6" s="57" t="n">
        <f aca="false">SUMIFS('Train detail'!$G$2:$G$181,'Train detail'!$B$2:$B$181,$A6,'Train detail'!$F$2:$F$181,"&lt;="&amp;2017)</f>
        <v>26.55</v>
      </c>
      <c r="L6" s="57" t="n">
        <f aca="false">SUMIFS('Train detail'!$G$2:$G$181,'Train detail'!$B$2:$B$181,$A6,'Train detail'!$F$2:$F$181,"&lt;="&amp;2018)</f>
        <v>26.55</v>
      </c>
      <c r="M6" s="57" t="n">
        <f aca="false">SUMIFS('Train detail'!$G$2:$G$181,'Train detail'!$B$2:$B$181,$A6,'Train detail'!$F$2:$F$181,"&lt;="&amp;2019)</f>
        <v>26.55</v>
      </c>
      <c r="N6" s="57" t="n">
        <f aca="false">SUMIFS('Train detail'!$G$2:$G$181,'Train detail'!$B$2:$B$181,$A6,'Train detail'!$F$2:$F$181,"&lt;="&amp;2020)</f>
        <v>26.55</v>
      </c>
      <c r="O6" s="57" t="n">
        <f aca="false">SUMIFS('Train detail'!$G$2:$G$181,'Train detail'!$B$2:$B$181,$A6,'Train detail'!$F$2:$F$181,"&lt;="&amp;2021)</f>
        <v>26.55</v>
      </c>
      <c r="P6" s="57" t="n">
        <f aca="false">SUMIFS('Train detail'!$G$2:$G$181,'Train detail'!$B$2:$B$181,$A6,'Train detail'!$F$2:$F$181,"&lt;="&amp;2022)</f>
        <v>26.55</v>
      </c>
      <c r="Q6" s="57" t="n">
        <f aca="false">SUMIFS('Train detail'!$G$2:$G$181,'Train detail'!$B$2:$B$181,$A6,'Train detail'!$F$2:$F$181,"&lt;="&amp;2023)</f>
        <v>30.35</v>
      </c>
      <c r="R6" s="57" t="n">
        <f aca="false">SUMIFS('Train detail'!$G$2:$G$181,'Train detail'!$B$2:$B$181,$A6,'Train detail'!$F$2:$F$181,"&lt;="&amp;2024)</f>
        <v>30.35</v>
      </c>
      <c r="S6" s="57" t="n">
        <f aca="false">SUMIFS('Train detail'!$G$2:$G$181,'Train detail'!$B$2:$B$181,$A6,'Train detail'!$F$2:$F$181,"&lt;="&amp;2025)</f>
        <v>30.35</v>
      </c>
    </row>
    <row r="7" customFormat="false" ht="15" hidden="false" customHeight="true" outlineLevel="0" collapsed="false">
      <c r="A7" s="64" t="s">
        <v>23</v>
      </c>
      <c r="B7" s="62" t="n">
        <v>1989</v>
      </c>
      <c r="C7" s="87" t="n">
        <f aca="false">SUMIFS('Train detail'!$G$2:$G$181,'Train detail'!$B$2:$B$181,$A7)</f>
        <v>85.1</v>
      </c>
      <c r="D7" s="65" t="n">
        <f aca="false">SUMIFS('Train detail'!$G$2:$G$181,'Train detail'!$B$2:$B$181,$A7,'Train detail'!$F$2:$F$181,"&lt;="&amp;2010)</f>
        <v>17.9</v>
      </c>
      <c r="E7" s="65" t="n">
        <f aca="false">SUMIFS('Train detail'!$G$2:$G$181,'Train detail'!$B$2:$B$181,$A7,'Train detail'!$F$2:$F$181,"&lt;="&amp;2011)</f>
        <v>17.9</v>
      </c>
      <c r="F7" s="65" t="n">
        <f aca="false">SUMIFS('Train detail'!$G$2:$G$181,'Train detail'!$B$2:$B$181,$A7,'Train detail'!$F$2:$F$181,"&lt;="&amp;2012)</f>
        <v>22.8</v>
      </c>
      <c r="G7" s="65" t="n">
        <f aca="false">SUMIFS('Train detail'!$G$2:$G$181,'Train detail'!$B$2:$B$181,$A7,'Train detail'!$F$2:$F$181,"&lt;="&amp;2013)</f>
        <v>22.8</v>
      </c>
      <c r="H7" s="65" t="n">
        <f aca="false">SUMIFS('Train detail'!$G$2:$G$181,'Train detail'!$B$2:$B$181,$A7,'Train detail'!$F$2:$F$181,"&lt;="&amp;2014)</f>
        <v>22.8</v>
      </c>
      <c r="I7" s="65" t="n">
        <f aca="false">SUMIFS('Train detail'!$G$2:$G$181,'Train detail'!$B$2:$B$181,$A7,'Train detail'!$F$2:$F$181,"&lt;="&amp;2015)</f>
        <v>35.2</v>
      </c>
      <c r="J7" s="65" t="n">
        <f aca="false">SUMIFS('Train detail'!$G$2:$G$181,'Train detail'!$B$2:$B$181,$A7,'Train detail'!$F$2:$F$181,"&lt;="&amp;2016)</f>
        <v>63.7</v>
      </c>
      <c r="K7" s="65" t="n">
        <f aca="false">SUMIFS('Train detail'!$G$2:$G$181,'Train detail'!$B$2:$B$181,$A7,'Train detail'!$F$2:$F$181,"&lt;="&amp;2017)</f>
        <v>72.6</v>
      </c>
      <c r="L7" s="65" t="n">
        <f aca="false">SUMIFS('Train detail'!$G$2:$G$181,'Train detail'!$B$2:$B$181,$A7,'Train detail'!$F$2:$F$181,"&lt;="&amp;2018)</f>
        <v>81.5</v>
      </c>
      <c r="M7" s="65" t="n">
        <f aca="false">SUMIFS('Train detail'!$G$2:$G$181,'Train detail'!$B$2:$B$181,$A7,'Train detail'!$F$2:$F$181,"&lt;="&amp;2019)</f>
        <v>85.1</v>
      </c>
      <c r="N7" s="65" t="n">
        <f aca="false">SUMIFS('Train detail'!$G$2:$G$181,'Train detail'!$B$2:$B$181,$A7,'Train detail'!$F$2:$F$181,"&lt;="&amp;2020)</f>
        <v>85.1</v>
      </c>
      <c r="O7" s="65" t="n">
        <f aca="false">SUMIFS('Train detail'!$G$2:$G$181,'Train detail'!$B$2:$B$181,$A7,'Train detail'!$F$2:$F$181,"&lt;="&amp;2021)</f>
        <v>85.1</v>
      </c>
      <c r="P7" s="65" t="n">
        <f aca="false">SUMIFS('Train detail'!$G$2:$G$181,'Train detail'!$B$2:$B$181,$A7,'Train detail'!$F$2:$F$181,"&lt;="&amp;2022)</f>
        <v>85.1</v>
      </c>
      <c r="Q7" s="65" t="n">
        <f aca="false">SUMIFS('Train detail'!$G$2:$G$181,'Train detail'!$B$2:$B$181,$A7,'Train detail'!$F$2:$F$181,"&lt;="&amp;2023)</f>
        <v>85.1</v>
      </c>
      <c r="R7" s="65" t="n">
        <f aca="false">SUMIFS('Train detail'!$G$2:$G$181,'Train detail'!$B$2:$B$181,$A7,'Train detail'!$F$2:$F$181,"&lt;="&amp;2024)</f>
        <v>85.1</v>
      </c>
      <c r="S7" s="65" t="n">
        <f aca="false">SUMIFS('Train detail'!$G$2:$G$181,'Train detail'!$B$2:$B$181,$A7,'Train detail'!$F$2:$F$181,"&lt;="&amp;2025)</f>
        <v>85.1</v>
      </c>
    </row>
    <row r="8" customFormat="false" ht="15" hidden="false" customHeight="true" outlineLevel="0" collapsed="false">
      <c r="A8" s="56" t="s">
        <v>41</v>
      </c>
      <c r="B8" s="54" t="n">
        <v>1996</v>
      </c>
      <c r="C8" s="86" t="n">
        <f aca="false">SUMIFS('Train detail'!$G$2:$G$181,'Train detail'!$B$2:$B$181,$A8)</f>
        <v>77.1</v>
      </c>
      <c r="D8" s="57" t="n">
        <f aca="false">SUMIFS('Train detail'!$G$2:$G$181,'Train detail'!$B$2:$B$181,$A8,'Train detail'!$F$2:$F$181,"&lt;="&amp;2010)</f>
        <v>69.3</v>
      </c>
      <c r="E8" s="57" t="n">
        <f aca="false">SUMIFS('Train detail'!$G$2:$G$181,'Train detail'!$B$2:$B$181,$A8,'Train detail'!$F$2:$F$181,"&lt;="&amp;2011)</f>
        <v>77.1</v>
      </c>
      <c r="F8" s="57" t="n">
        <f aca="false">SUMIFS('Train detail'!$G$2:$G$181,'Train detail'!$B$2:$B$181,$A8,'Train detail'!$F$2:$F$181,"&lt;="&amp;2012)</f>
        <v>77.1</v>
      </c>
      <c r="G8" s="57" t="n">
        <f aca="false">SUMIFS('Train detail'!$G$2:$G$181,'Train detail'!$B$2:$B$181,$A8,'Train detail'!$F$2:$F$181,"&lt;="&amp;2013)</f>
        <v>77.1</v>
      </c>
      <c r="H8" s="57" t="n">
        <f aca="false">SUMIFS('Train detail'!$G$2:$G$181,'Train detail'!$B$2:$B$181,$A8,'Train detail'!$F$2:$F$181,"&lt;="&amp;2014)</f>
        <v>77.1</v>
      </c>
      <c r="I8" s="57" t="n">
        <f aca="false">SUMIFS('Train detail'!$G$2:$G$181,'Train detail'!$B$2:$B$181,$A8,'Train detail'!$F$2:$F$181,"&lt;="&amp;2015)</f>
        <v>77.1</v>
      </c>
      <c r="J8" s="57" t="n">
        <f aca="false">SUMIFS('Train detail'!$G$2:$G$181,'Train detail'!$B$2:$B$181,$A8,'Train detail'!$F$2:$F$181,"&lt;="&amp;2016)</f>
        <v>77.1</v>
      </c>
      <c r="K8" s="57" t="n">
        <f aca="false">SUMIFS('Train detail'!$G$2:$G$181,'Train detail'!$B$2:$B$181,$A8,'Train detail'!$F$2:$F$181,"&lt;="&amp;2017)</f>
        <v>77.1</v>
      </c>
      <c r="L8" s="57" t="n">
        <f aca="false">SUMIFS('Train detail'!$G$2:$G$181,'Train detail'!$B$2:$B$181,$A8,'Train detail'!$F$2:$F$181,"&lt;="&amp;2018)</f>
        <v>77.1</v>
      </c>
      <c r="M8" s="57" t="n">
        <f aca="false">SUMIFS('Train detail'!$G$2:$G$181,'Train detail'!$B$2:$B$181,$A8,'Train detail'!$F$2:$F$181,"&lt;="&amp;2019)</f>
        <v>77.1</v>
      </c>
      <c r="N8" s="57" t="n">
        <f aca="false">SUMIFS('Train detail'!$G$2:$G$181,'Train detail'!$B$2:$B$181,$A8,'Train detail'!$F$2:$F$181,"&lt;="&amp;2020)</f>
        <v>77.1</v>
      </c>
      <c r="O8" s="57" t="n">
        <f aca="false">SUMIFS('Train detail'!$G$2:$G$181,'Train detail'!$B$2:$B$181,$A8,'Train detail'!$F$2:$F$181,"&lt;="&amp;2021)</f>
        <v>77.1</v>
      </c>
      <c r="P8" s="57" t="n">
        <f aca="false">SUMIFS('Train detail'!$G$2:$G$181,'Train detail'!$B$2:$B$181,$A8,'Train detail'!$F$2:$F$181,"&lt;="&amp;2022)</f>
        <v>77.1</v>
      </c>
      <c r="Q8" s="57" t="n">
        <f aca="false">SUMIFS('Train detail'!$G$2:$G$181,'Train detail'!$B$2:$B$181,$A8,'Train detail'!$F$2:$F$181,"&lt;="&amp;2023)</f>
        <v>77.1</v>
      </c>
      <c r="R8" s="57" t="n">
        <f aca="false">SUMIFS('Train detail'!$G$2:$G$181,'Train detail'!$B$2:$B$181,$A8,'Train detail'!$F$2:$F$181,"&lt;="&amp;2024)</f>
        <v>77.1</v>
      </c>
      <c r="S8" s="57" t="n">
        <f aca="false">SUMIFS('Train detail'!$G$2:$G$181,'Train detail'!$B$2:$B$181,$A8,'Train detail'!$F$2:$F$181,"&lt;="&amp;2025)</f>
        <v>77.1</v>
      </c>
    </row>
    <row r="9" customFormat="false" ht="15" hidden="false" customHeight="true" outlineLevel="0" collapsed="false">
      <c r="A9" s="64" t="s">
        <v>36</v>
      </c>
      <c r="B9" s="62" t="n">
        <v>1999</v>
      </c>
      <c r="C9" s="87" t="n">
        <f aca="false">SUMIFS('Train detail'!$G$2:$G$181,'Train detail'!$B$2:$B$181,$A9)</f>
        <v>22.2</v>
      </c>
      <c r="D9" s="65" t="n">
        <f aca="false">SUMIFS('Train detail'!$G$2:$G$181,'Train detail'!$B$2:$B$181,$A9,'Train detail'!$F$2:$F$181,"&lt;="&amp;2010)</f>
        <v>22.2</v>
      </c>
      <c r="E9" s="65" t="n">
        <f aca="false">SUMIFS('Train detail'!$G$2:$G$181,'Train detail'!$B$2:$B$181,$A9,'Train detail'!$F$2:$F$181,"&lt;="&amp;2011)</f>
        <v>22.2</v>
      </c>
      <c r="F9" s="65" t="n">
        <f aca="false">SUMIFS('Train detail'!$G$2:$G$181,'Train detail'!$B$2:$B$181,$A9,'Train detail'!$F$2:$F$181,"&lt;="&amp;2012)</f>
        <v>22.2</v>
      </c>
      <c r="G9" s="65" t="n">
        <f aca="false">SUMIFS('Train detail'!$G$2:$G$181,'Train detail'!$B$2:$B$181,$A9,'Train detail'!$F$2:$F$181,"&lt;="&amp;2013)</f>
        <v>22.2</v>
      </c>
      <c r="H9" s="65" t="n">
        <f aca="false">SUMIFS('Train detail'!$G$2:$G$181,'Train detail'!$B$2:$B$181,$A9,'Train detail'!$F$2:$F$181,"&lt;="&amp;2014)</f>
        <v>22.2</v>
      </c>
      <c r="I9" s="65" t="n">
        <f aca="false">SUMIFS('Train detail'!$G$2:$G$181,'Train detail'!$B$2:$B$181,$A9,'Train detail'!$F$2:$F$181,"&lt;="&amp;2015)</f>
        <v>22.2</v>
      </c>
      <c r="J9" s="65" t="n">
        <f aca="false">SUMIFS('Train detail'!$G$2:$G$181,'Train detail'!$B$2:$B$181,$A9,'Train detail'!$F$2:$F$181,"&lt;="&amp;2016)</f>
        <v>22.2</v>
      </c>
      <c r="K9" s="65" t="n">
        <f aca="false">SUMIFS('Train detail'!$G$2:$G$181,'Train detail'!$B$2:$B$181,$A9,'Train detail'!$F$2:$F$181,"&lt;="&amp;2017)</f>
        <v>22.2</v>
      </c>
      <c r="L9" s="65" t="n">
        <f aca="false">SUMIFS('Train detail'!$G$2:$G$181,'Train detail'!$B$2:$B$181,$A9,'Train detail'!$F$2:$F$181,"&lt;="&amp;2018)</f>
        <v>22.2</v>
      </c>
      <c r="M9" s="65" t="n">
        <f aca="false">SUMIFS('Train detail'!$G$2:$G$181,'Train detail'!$B$2:$B$181,$A9,'Train detail'!$F$2:$F$181,"&lt;="&amp;2019)</f>
        <v>22.2</v>
      </c>
      <c r="N9" s="65" t="n">
        <f aca="false">SUMIFS('Train detail'!$G$2:$G$181,'Train detail'!$B$2:$B$181,$A9,'Train detail'!$F$2:$F$181,"&lt;="&amp;2020)</f>
        <v>22.2</v>
      </c>
      <c r="O9" s="65" t="n">
        <f aca="false">SUMIFS('Train detail'!$G$2:$G$181,'Train detail'!$B$2:$B$181,$A9,'Train detail'!$F$2:$F$181,"&lt;="&amp;2021)</f>
        <v>22.2</v>
      </c>
      <c r="P9" s="65" t="n">
        <f aca="false">SUMIFS('Train detail'!$G$2:$G$181,'Train detail'!$B$2:$B$181,$A9,'Train detail'!$F$2:$F$181,"&lt;="&amp;2022)</f>
        <v>22.2</v>
      </c>
      <c r="Q9" s="65" t="n">
        <f aca="false">SUMIFS('Train detail'!$G$2:$G$181,'Train detail'!$B$2:$B$181,$A9,'Train detail'!$F$2:$F$181,"&lt;="&amp;2023)</f>
        <v>22.2</v>
      </c>
      <c r="R9" s="65" t="n">
        <f aca="false">SUMIFS('Train detail'!$G$2:$G$181,'Train detail'!$B$2:$B$181,$A9,'Train detail'!$F$2:$F$181,"&lt;="&amp;2024)</f>
        <v>22.2</v>
      </c>
      <c r="S9" s="65" t="n">
        <f aca="false">SUMIFS('Train detail'!$G$2:$G$181,'Train detail'!$B$2:$B$181,$A9,'Train detail'!$F$2:$F$181,"&lt;="&amp;2025)</f>
        <v>22.2</v>
      </c>
    </row>
    <row r="10" customFormat="false" ht="15" hidden="false" customHeight="true" outlineLevel="0" collapsed="false">
      <c r="A10" s="56" t="s">
        <v>38</v>
      </c>
      <c r="B10" s="54" t="n">
        <v>2000</v>
      </c>
      <c r="C10" s="86" t="n">
        <f aca="false">SUMIFS('Train detail'!$G$2:$G$181,'Train detail'!$B$2:$B$181,$A10)</f>
        <v>10.4</v>
      </c>
      <c r="D10" s="57" t="n">
        <f aca="false">SUMIFS('Train detail'!$G$2:$G$181,'Train detail'!$B$2:$B$181,$A10,'Train detail'!$F$2:$F$181,"&lt;="&amp;2010)</f>
        <v>10.4</v>
      </c>
      <c r="E10" s="57" t="n">
        <f aca="false">SUMIFS('Train detail'!$G$2:$G$181,'Train detail'!$B$2:$B$181,$A10,'Train detail'!$F$2:$F$181,"&lt;="&amp;2011)</f>
        <v>10.4</v>
      </c>
      <c r="F10" s="57" t="n">
        <f aca="false">SUMIFS('Train detail'!$G$2:$G$181,'Train detail'!$B$2:$B$181,$A10,'Train detail'!$F$2:$F$181,"&lt;="&amp;2012)</f>
        <v>10.4</v>
      </c>
      <c r="G10" s="57" t="n">
        <f aca="false">SUMIFS('Train detail'!$G$2:$G$181,'Train detail'!$B$2:$B$181,$A10,'Train detail'!$F$2:$F$181,"&lt;="&amp;2013)</f>
        <v>10.4</v>
      </c>
      <c r="H10" s="57" t="n">
        <f aca="false">SUMIFS('Train detail'!$G$2:$G$181,'Train detail'!$B$2:$B$181,$A10,'Train detail'!$F$2:$F$181,"&lt;="&amp;2014)</f>
        <v>10.4</v>
      </c>
      <c r="I10" s="57" t="n">
        <f aca="false">SUMIFS('Train detail'!$G$2:$G$181,'Train detail'!$B$2:$B$181,$A10,'Train detail'!$F$2:$F$181,"&lt;="&amp;2015)</f>
        <v>10.4</v>
      </c>
      <c r="J10" s="57" t="n">
        <f aca="false">SUMIFS('Train detail'!$G$2:$G$181,'Train detail'!$B$2:$B$181,$A10,'Train detail'!$F$2:$F$181,"&lt;="&amp;2016)</f>
        <v>10.4</v>
      </c>
      <c r="K10" s="57" t="n">
        <f aca="false">SUMIFS('Train detail'!$G$2:$G$181,'Train detail'!$B$2:$B$181,$A10,'Train detail'!$F$2:$F$181,"&lt;="&amp;2017)</f>
        <v>10.4</v>
      </c>
      <c r="L10" s="57" t="n">
        <f aca="false">SUMIFS('Train detail'!$G$2:$G$181,'Train detail'!$B$2:$B$181,$A10,'Train detail'!$F$2:$F$181,"&lt;="&amp;2018)</f>
        <v>10.4</v>
      </c>
      <c r="M10" s="57" t="n">
        <f aca="false">SUMIFS('Train detail'!$G$2:$G$181,'Train detail'!$B$2:$B$181,$A10,'Train detail'!$F$2:$F$181,"&lt;="&amp;2019)</f>
        <v>10.4</v>
      </c>
      <c r="N10" s="57" t="n">
        <f aca="false">SUMIFS('Train detail'!$G$2:$G$181,'Train detail'!$B$2:$B$181,$A10,'Train detail'!$F$2:$F$181,"&lt;="&amp;2020)</f>
        <v>10.4</v>
      </c>
      <c r="O10" s="57" t="n">
        <f aca="false">SUMIFS('Train detail'!$G$2:$G$181,'Train detail'!$B$2:$B$181,$A10,'Train detail'!$F$2:$F$181,"&lt;="&amp;2021)</f>
        <v>10.4</v>
      </c>
      <c r="P10" s="57" t="n">
        <f aca="false">SUMIFS('Train detail'!$G$2:$G$181,'Train detail'!$B$2:$B$181,$A10,'Train detail'!$F$2:$F$181,"&lt;="&amp;2022)</f>
        <v>10.4</v>
      </c>
      <c r="Q10" s="57" t="n">
        <f aca="false">SUMIFS('Train detail'!$G$2:$G$181,'Train detail'!$B$2:$B$181,$A10,'Train detail'!$F$2:$F$181,"&lt;="&amp;2023)</f>
        <v>10.4</v>
      </c>
      <c r="R10" s="57" t="n">
        <f aca="false">SUMIFS('Train detail'!$G$2:$G$181,'Train detail'!$B$2:$B$181,$A10,'Train detail'!$F$2:$F$181,"&lt;="&amp;2024)</f>
        <v>10.4</v>
      </c>
      <c r="S10" s="57" t="n">
        <f aca="false">SUMIFS('Train detail'!$G$2:$G$181,'Train detail'!$B$2:$B$181,$A10,'Train detail'!$F$2:$F$181,"&lt;="&amp;2025)</f>
        <v>10.4</v>
      </c>
    </row>
    <row r="11" customFormat="false" ht="15" hidden="false" customHeight="true" outlineLevel="0" collapsed="false">
      <c r="A11" s="64" t="s">
        <v>43</v>
      </c>
      <c r="B11" s="62" t="n">
        <v>2002</v>
      </c>
      <c r="C11" s="87" t="n">
        <f aca="false">SUMIFS('Train detail'!$G$2:$G$181,'Train detail'!$B$2:$B$181,$A11)</f>
        <v>11.8</v>
      </c>
      <c r="D11" s="65" t="n">
        <f aca="false">SUMIFS('Train detail'!$G$2:$G$181,'Train detail'!$B$2:$B$181,$A11,'Train detail'!$F$2:$F$181,"&lt;="&amp;2010)</f>
        <v>11.8</v>
      </c>
      <c r="E11" s="65" t="n">
        <f aca="false">SUMIFS('Train detail'!$G$2:$G$181,'Train detail'!$B$2:$B$181,$A11,'Train detail'!$F$2:$F$181,"&lt;="&amp;2011)</f>
        <v>11.8</v>
      </c>
      <c r="F11" s="65" t="n">
        <f aca="false">SUMIFS('Train detail'!$G$2:$G$181,'Train detail'!$B$2:$B$181,$A11,'Train detail'!$F$2:$F$181,"&lt;="&amp;2012)</f>
        <v>11.8</v>
      </c>
      <c r="G11" s="65" t="n">
        <f aca="false">SUMIFS('Train detail'!$G$2:$G$181,'Train detail'!$B$2:$B$181,$A11,'Train detail'!$F$2:$F$181,"&lt;="&amp;2013)</f>
        <v>11.8</v>
      </c>
      <c r="H11" s="65" t="n">
        <f aca="false">SUMIFS('Train detail'!$G$2:$G$181,'Train detail'!$B$2:$B$181,$A11,'Train detail'!$F$2:$F$181,"&lt;="&amp;2014)</f>
        <v>11.8</v>
      </c>
      <c r="I11" s="65" t="n">
        <f aca="false">SUMIFS('Train detail'!$G$2:$G$181,'Train detail'!$B$2:$B$181,$A11,'Train detail'!$F$2:$F$181,"&lt;="&amp;2015)</f>
        <v>11.8</v>
      </c>
      <c r="J11" s="65" t="n">
        <f aca="false">SUMIFS('Train detail'!$G$2:$G$181,'Train detail'!$B$2:$B$181,$A11,'Train detail'!$F$2:$F$181,"&lt;="&amp;2016)</f>
        <v>11.8</v>
      </c>
      <c r="K11" s="65" t="n">
        <f aca="false">SUMIFS('Train detail'!$G$2:$G$181,'Train detail'!$B$2:$B$181,$A11,'Train detail'!$F$2:$F$181,"&lt;="&amp;2017)</f>
        <v>11.8</v>
      </c>
      <c r="L11" s="65" t="n">
        <f aca="false">SUMIFS('Train detail'!$G$2:$G$181,'Train detail'!$B$2:$B$181,$A11,'Train detail'!$F$2:$F$181,"&lt;="&amp;2018)</f>
        <v>11.8</v>
      </c>
      <c r="M11" s="65" t="n">
        <f aca="false">SUMIFS('Train detail'!$G$2:$G$181,'Train detail'!$B$2:$B$181,$A11,'Train detail'!$F$2:$F$181,"&lt;="&amp;2019)</f>
        <v>11.8</v>
      </c>
      <c r="N11" s="65" t="n">
        <f aca="false">SUMIFS('Train detail'!$G$2:$G$181,'Train detail'!$B$2:$B$181,$A11,'Train detail'!$F$2:$F$181,"&lt;="&amp;2020)</f>
        <v>11.8</v>
      </c>
      <c r="O11" s="65" t="n">
        <f aca="false">SUMIFS('Train detail'!$G$2:$G$181,'Train detail'!$B$2:$B$181,$A11,'Train detail'!$F$2:$F$181,"&lt;="&amp;2021)</f>
        <v>11.8</v>
      </c>
      <c r="P11" s="65" t="n">
        <f aca="false">SUMIFS('Train detail'!$G$2:$G$181,'Train detail'!$B$2:$B$181,$A11,'Train detail'!$F$2:$F$181,"&lt;="&amp;2022)</f>
        <v>11.8</v>
      </c>
      <c r="Q11" s="65" t="n">
        <f aca="false">SUMIFS('Train detail'!$G$2:$G$181,'Train detail'!$B$2:$B$181,$A11,'Train detail'!$F$2:$F$181,"&lt;="&amp;2023)</f>
        <v>11.8</v>
      </c>
      <c r="R11" s="65" t="n">
        <f aca="false">SUMIFS('Train detail'!$G$2:$G$181,'Train detail'!$B$2:$B$181,$A11,'Train detail'!$F$2:$F$181,"&lt;="&amp;2024)</f>
        <v>11.8</v>
      </c>
      <c r="S11" s="65" t="n">
        <f aca="false">SUMIFS('Train detail'!$G$2:$G$181,'Train detail'!$B$2:$B$181,$A11,'Train detail'!$F$2:$F$181,"&lt;="&amp;2025)</f>
        <v>11.8</v>
      </c>
    </row>
    <row r="12" customFormat="false" ht="15" hidden="false" customHeight="true" outlineLevel="0" collapsed="false">
      <c r="A12" s="56" t="s">
        <v>29</v>
      </c>
      <c r="B12" s="54" t="n">
        <v>2005</v>
      </c>
      <c r="C12" s="86" t="n">
        <f aca="false">SUMIFS('Train detail'!$G$2:$G$181,'Train detail'!$B$2:$B$181,$A12)</f>
        <v>12.2</v>
      </c>
      <c r="D12" s="57" t="n">
        <f aca="false">SUMIFS('Train detail'!$G$2:$G$181,'Train detail'!$B$2:$B$181,$A12,'Train detail'!$F$2:$F$181,"&lt;="&amp;2010)</f>
        <v>12.2</v>
      </c>
      <c r="E12" s="57" t="n">
        <f aca="false">SUMIFS('Train detail'!$G$2:$G$181,'Train detail'!$B$2:$B$181,$A12,'Train detail'!$F$2:$F$181,"&lt;="&amp;2011)</f>
        <v>12.2</v>
      </c>
      <c r="F12" s="57" t="n">
        <f aca="false">SUMIFS('Train detail'!$G$2:$G$181,'Train detail'!$B$2:$B$181,$A12,'Train detail'!$F$2:$F$181,"&lt;="&amp;2012)</f>
        <v>12.2</v>
      </c>
      <c r="G12" s="57" t="n">
        <f aca="false">SUMIFS('Train detail'!$G$2:$G$181,'Train detail'!$B$2:$B$181,$A12,'Train detail'!$F$2:$F$181,"&lt;="&amp;2013)</f>
        <v>12.2</v>
      </c>
      <c r="H12" s="57" t="n">
        <f aca="false">SUMIFS('Train detail'!$G$2:$G$181,'Train detail'!$B$2:$B$181,$A12,'Train detail'!$F$2:$F$181,"&lt;="&amp;2014)</f>
        <v>12.2</v>
      </c>
      <c r="I12" s="57" t="n">
        <f aca="false">SUMIFS('Train detail'!$G$2:$G$181,'Train detail'!$B$2:$B$181,$A12,'Train detail'!$F$2:$F$181,"&lt;="&amp;2015)</f>
        <v>12.2</v>
      </c>
      <c r="J12" s="57" t="n">
        <f aca="false">SUMIFS('Train detail'!$G$2:$G$181,'Train detail'!$B$2:$B$181,$A12,'Train detail'!$F$2:$F$181,"&lt;="&amp;2016)</f>
        <v>12.2</v>
      </c>
      <c r="K12" s="57" t="n">
        <f aca="false">SUMIFS('Train detail'!$G$2:$G$181,'Train detail'!$B$2:$B$181,$A12,'Train detail'!$F$2:$F$181,"&lt;="&amp;2017)</f>
        <v>12.2</v>
      </c>
      <c r="L12" s="57" t="n">
        <f aca="false">SUMIFS('Train detail'!$G$2:$G$181,'Train detail'!$B$2:$B$181,$A12,'Train detail'!$F$2:$F$181,"&lt;="&amp;2018)</f>
        <v>12.2</v>
      </c>
      <c r="M12" s="57" t="n">
        <f aca="false">SUMIFS('Train detail'!$G$2:$G$181,'Train detail'!$B$2:$B$181,$A12,'Train detail'!$F$2:$F$181,"&lt;="&amp;2019)</f>
        <v>12.2</v>
      </c>
      <c r="N12" s="57" t="n">
        <f aca="false">SUMIFS('Train detail'!$G$2:$G$181,'Train detail'!$B$2:$B$181,$A12,'Train detail'!$F$2:$F$181,"&lt;="&amp;2020)</f>
        <v>12.2</v>
      </c>
      <c r="O12" s="57" t="n">
        <f aca="false">SUMIFS('Train detail'!$G$2:$G$181,'Train detail'!$B$2:$B$181,$A12,'Train detail'!$F$2:$F$181,"&lt;="&amp;2021)</f>
        <v>12.2</v>
      </c>
      <c r="P12" s="57" t="n">
        <f aca="false">SUMIFS('Train detail'!$G$2:$G$181,'Train detail'!$B$2:$B$181,$A12,'Train detail'!$F$2:$F$181,"&lt;="&amp;2022)</f>
        <v>12.2</v>
      </c>
      <c r="Q12" s="57" t="n">
        <f aca="false">SUMIFS('Train detail'!$G$2:$G$181,'Train detail'!$B$2:$B$181,$A12,'Train detail'!$F$2:$F$181,"&lt;="&amp;2023)</f>
        <v>12.2</v>
      </c>
      <c r="R12" s="57" t="n">
        <f aca="false">SUMIFS('Train detail'!$G$2:$G$181,'Train detail'!$B$2:$B$181,$A12,'Train detail'!$F$2:$F$181,"&lt;="&amp;2024)</f>
        <v>12.2</v>
      </c>
      <c r="S12" s="57" t="n">
        <f aca="false">SUMIFS('Train detail'!$G$2:$G$181,'Train detail'!$B$2:$B$181,$A12,'Train detail'!$F$2:$F$181,"&lt;="&amp;2025)</f>
        <v>12.2</v>
      </c>
    </row>
    <row r="13" customFormat="false" ht="15" hidden="false" customHeight="true" outlineLevel="0" collapsed="false">
      <c r="A13" s="64" t="s">
        <v>30</v>
      </c>
      <c r="B13" s="62" t="n">
        <v>2007</v>
      </c>
      <c r="C13" s="87" t="n">
        <f aca="false">SUMIFS('Train detail'!$G$2:$G$181,'Train detail'!$B$2:$B$181,$A13)</f>
        <v>3.7</v>
      </c>
      <c r="D13" s="65" t="n">
        <f aca="false">SUMIFS('Train detail'!$G$2:$G$181,'Train detail'!$B$2:$B$181,$A13,'Train detail'!$F$2:$F$181,"&lt;="&amp;2010)</f>
        <v>3.7</v>
      </c>
      <c r="E13" s="65" t="n">
        <f aca="false">SUMIFS('Train detail'!$G$2:$G$181,'Train detail'!$B$2:$B$181,$A13,'Train detail'!$F$2:$F$181,"&lt;="&amp;2011)</f>
        <v>3.7</v>
      </c>
      <c r="F13" s="65" t="n">
        <f aca="false">SUMIFS('Train detail'!$G$2:$G$181,'Train detail'!$B$2:$B$181,$A13,'Train detail'!$F$2:$F$181,"&lt;="&amp;2012)</f>
        <v>3.7</v>
      </c>
      <c r="G13" s="65" t="n">
        <f aca="false">SUMIFS('Train detail'!$G$2:$G$181,'Train detail'!$B$2:$B$181,$A13,'Train detail'!$F$2:$F$181,"&lt;="&amp;2013)</f>
        <v>3.7</v>
      </c>
      <c r="H13" s="65" t="n">
        <f aca="false">SUMIFS('Train detail'!$G$2:$G$181,'Train detail'!$B$2:$B$181,$A13,'Train detail'!$F$2:$F$181,"&lt;="&amp;2014)</f>
        <v>3.7</v>
      </c>
      <c r="I13" s="65" t="n">
        <f aca="false">SUMIFS('Train detail'!$G$2:$G$181,'Train detail'!$B$2:$B$181,$A13,'Train detail'!$F$2:$F$181,"&lt;="&amp;2015)</f>
        <v>3.7</v>
      </c>
      <c r="J13" s="65" t="n">
        <f aca="false">SUMIFS('Train detail'!$G$2:$G$181,'Train detail'!$B$2:$B$181,$A13,'Train detail'!$F$2:$F$181,"&lt;="&amp;2016)</f>
        <v>3.7</v>
      </c>
      <c r="K13" s="65" t="n">
        <f aca="false">SUMIFS('Train detail'!$G$2:$G$181,'Train detail'!$B$2:$B$181,$A13,'Train detail'!$F$2:$F$181,"&lt;="&amp;2017)</f>
        <v>3.7</v>
      </c>
      <c r="L13" s="65" t="n">
        <f aca="false">SUMIFS('Train detail'!$G$2:$G$181,'Train detail'!$B$2:$B$181,$A13,'Train detail'!$F$2:$F$181,"&lt;="&amp;2018)</f>
        <v>3.7</v>
      </c>
      <c r="M13" s="65" t="n">
        <f aca="false">SUMIFS('Train detail'!$G$2:$G$181,'Train detail'!$B$2:$B$181,$A13,'Train detail'!$F$2:$F$181,"&lt;="&amp;2019)</f>
        <v>3.7</v>
      </c>
      <c r="N13" s="65" t="n">
        <f aca="false">SUMIFS('Train detail'!$G$2:$G$181,'Train detail'!$B$2:$B$181,$A13,'Train detail'!$F$2:$F$181,"&lt;="&amp;2020)</f>
        <v>3.7</v>
      </c>
      <c r="O13" s="65" t="n">
        <f aca="false">SUMIFS('Train detail'!$G$2:$G$181,'Train detail'!$B$2:$B$181,$A13,'Train detail'!$F$2:$F$181,"&lt;="&amp;2021)</f>
        <v>3.7</v>
      </c>
      <c r="P13" s="65" t="n">
        <f aca="false">SUMIFS('Train detail'!$G$2:$G$181,'Train detail'!$B$2:$B$181,$A13,'Train detail'!$F$2:$F$181,"&lt;="&amp;2022)</f>
        <v>3.7</v>
      </c>
      <c r="Q13" s="65" t="n">
        <f aca="false">SUMIFS('Train detail'!$G$2:$G$181,'Train detail'!$B$2:$B$181,$A13,'Train detail'!$F$2:$F$181,"&lt;="&amp;2023)</f>
        <v>3.7</v>
      </c>
      <c r="R13" s="65" t="n">
        <f aca="false">SUMIFS('Train detail'!$G$2:$G$181,'Train detail'!$B$2:$B$181,$A13,'Train detail'!$F$2:$F$181,"&lt;="&amp;2024)</f>
        <v>3.7</v>
      </c>
      <c r="S13" s="65" t="n">
        <f aca="false">SUMIFS('Train detail'!$G$2:$G$181,'Train detail'!$B$2:$B$181,$A13,'Train detail'!$F$2:$F$181,"&lt;="&amp;2025)</f>
        <v>3.7</v>
      </c>
    </row>
    <row r="14" customFormat="false" ht="15" hidden="false" customHeight="true" outlineLevel="0" collapsed="false">
      <c r="A14" s="56" t="s">
        <v>37</v>
      </c>
      <c r="B14" s="54" t="n">
        <v>2007</v>
      </c>
      <c r="C14" s="86" t="n">
        <f aca="false">SUMIFS('Train detail'!$G$2:$G$181,'Train detail'!$B$2:$B$181,$A14)</f>
        <v>4.6</v>
      </c>
      <c r="D14" s="57" t="n">
        <f aca="false">SUMIFS('Train detail'!$G$2:$G$181,'Train detail'!$B$2:$B$181,$A14,'Train detail'!$F$2:$F$181,"&lt;="&amp;2010)</f>
        <v>4.6</v>
      </c>
      <c r="E14" s="57" t="n">
        <f aca="false">SUMIFS('Train detail'!$G$2:$G$181,'Train detail'!$B$2:$B$181,$A14,'Train detail'!$F$2:$F$181,"&lt;="&amp;2011)</f>
        <v>4.6</v>
      </c>
      <c r="F14" s="57" t="n">
        <f aca="false">SUMIFS('Train detail'!$G$2:$G$181,'Train detail'!$B$2:$B$181,$A14,'Train detail'!$F$2:$F$181,"&lt;="&amp;2012)</f>
        <v>4.6</v>
      </c>
      <c r="G14" s="57" t="n">
        <f aca="false">SUMIFS('Train detail'!$G$2:$G$181,'Train detail'!$B$2:$B$181,$A14,'Train detail'!$F$2:$F$181,"&lt;="&amp;2013)</f>
        <v>4.6</v>
      </c>
      <c r="H14" s="57" t="n">
        <f aca="false">SUMIFS('Train detail'!$G$2:$G$181,'Train detail'!$B$2:$B$181,$A14,'Train detail'!$F$2:$F$181,"&lt;="&amp;2014)</f>
        <v>4.6</v>
      </c>
      <c r="I14" s="57" t="n">
        <f aca="false">SUMIFS('Train detail'!$G$2:$G$181,'Train detail'!$B$2:$B$181,$A14,'Train detail'!$F$2:$F$181,"&lt;="&amp;2015)</f>
        <v>4.6</v>
      </c>
      <c r="J14" s="57" t="n">
        <f aca="false">SUMIFS('Train detail'!$G$2:$G$181,'Train detail'!$B$2:$B$181,$A14,'Train detail'!$F$2:$F$181,"&lt;="&amp;2016)</f>
        <v>4.6</v>
      </c>
      <c r="K14" s="57" t="n">
        <f aca="false">SUMIFS('Train detail'!$G$2:$G$181,'Train detail'!$B$2:$B$181,$A14,'Train detail'!$F$2:$F$181,"&lt;="&amp;2017)</f>
        <v>4.6</v>
      </c>
      <c r="L14" s="57" t="n">
        <f aca="false">SUMIFS('Train detail'!$G$2:$G$181,'Train detail'!$B$2:$B$181,$A14,'Train detail'!$F$2:$F$181,"&lt;="&amp;2018)</f>
        <v>4.6</v>
      </c>
      <c r="M14" s="57" t="n">
        <f aca="false">SUMIFS('Train detail'!$G$2:$G$181,'Train detail'!$B$2:$B$181,$A14,'Train detail'!$F$2:$F$181,"&lt;="&amp;2019)</f>
        <v>4.6</v>
      </c>
      <c r="N14" s="57" t="n">
        <f aca="false">SUMIFS('Train detail'!$G$2:$G$181,'Train detail'!$B$2:$B$181,$A14,'Train detail'!$F$2:$F$181,"&lt;="&amp;2020)</f>
        <v>4.6</v>
      </c>
      <c r="O14" s="57" t="n">
        <f aca="false">SUMIFS('Train detail'!$G$2:$G$181,'Train detail'!$B$2:$B$181,$A14,'Train detail'!$F$2:$F$181,"&lt;="&amp;2021)</f>
        <v>4.6</v>
      </c>
      <c r="P14" s="57" t="n">
        <f aca="false">SUMIFS('Train detail'!$G$2:$G$181,'Train detail'!$B$2:$B$181,$A14,'Train detail'!$F$2:$F$181,"&lt;="&amp;2022)</f>
        <v>4.6</v>
      </c>
      <c r="Q14" s="57" t="n">
        <f aca="false">SUMIFS('Train detail'!$G$2:$G$181,'Train detail'!$B$2:$B$181,$A14,'Train detail'!$F$2:$F$181,"&lt;="&amp;2023)</f>
        <v>4.6</v>
      </c>
      <c r="R14" s="57" t="n">
        <f aca="false">SUMIFS('Train detail'!$G$2:$G$181,'Train detail'!$B$2:$B$181,$A14,'Train detail'!$F$2:$F$181,"&lt;="&amp;2024)</f>
        <v>4.6</v>
      </c>
      <c r="S14" s="57" t="n">
        <f aca="false">SUMIFS('Train detail'!$G$2:$G$181,'Train detail'!$B$2:$B$181,$A14,'Train detail'!$F$2:$F$181,"&lt;="&amp;2025)</f>
        <v>4.6</v>
      </c>
    </row>
    <row r="15" customFormat="false" ht="15" hidden="false" customHeight="true" outlineLevel="0" collapsed="false">
      <c r="A15" s="64" t="s">
        <v>42</v>
      </c>
      <c r="B15" s="62" t="n">
        <v>2009</v>
      </c>
      <c r="C15" s="87" t="n">
        <f aca="false">SUMIFS('Train detail'!$G$2:$G$181,'Train detail'!$B$2:$B$181,$A15)</f>
        <v>35.76</v>
      </c>
      <c r="D15" s="65" t="n">
        <f aca="false">SUMIFS('Train detail'!$G$2:$G$181,'Train detail'!$B$2:$B$181,$A15,'Train detail'!$F$2:$F$181,"&lt;="&amp;2010)</f>
        <v>9.6</v>
      </c>
      <c r="E15" s="65" t="n">
        <f aca="false">SUMIFS('Train detail'!$G$2:$G$181,'Train detail'!$B$2:$B$181,$A15,'Train detail'!$F$2:$F$181,"&lt;="&amp;2011)</f>
        <v>9.6</v>
      </c>
      <c r="F15" s="65" t="n">
        <f aca="false">SUMIFS('Train detail'!$G$2:$G$181,'Train detail'!$B$2:$B$181,$A15,'Train detail'!$F$2:$F$181,"&lt;="&amp;2012)</f>
        <v>9.6</v>
      </c>
      <c r="G15" s="65" t="n">
        <f aca="false">SUMIFS('Train detail'!$G$2:$G$181,'Train detail'!$B$2:$B$181,$A15,'Train detail'!$F$2:$F$181,"&lt;="&amp;2013)</f>
        <v>9.6</v>
      </c>
      <c r="H15" s="65" t="n">
        <f aca="false">SUMIFS('Train detail'!$G$2:$G$181,'Train detail'!$B$2:$B$181,$A15,'Train detail'!$F$2:$F$181,"&lt;="&amp;2014)</f>
        <v>9.6</v>
      </c>
      <c r="I15" s="65" t="n">
        <f aca="false">SUMIFS('Train detail'!$G$2:$G$181,'Train detail'!$B$2:$B$181,$A15,'Train detail'!$F$2:$F$181,"&lt;="&amp;2015)</f>
        <v>9.6</v>
      </c>
      <c r="J15" s="65" t="n">
        <f aca="false">SUMIFS('Train detail'!$G$2:$G$181,'Train detail'!$B$2:$B$181,$A15,'Train detail'!$F$2:$F$181,"&lt;="&amp;2016)</f>
        <v>9.6</v>
      </c>
      <c r="K15" s="65" t="n">
        <f aca="false">SUMIFS('Train detail'!$G$2:$G$181,'Train detail'!$B$2:$B$181,$A15,'Train detail'!$F$2:$F$181,"&lt;="&amp;2017)</f>
        <v>15.1</v>
      </c>
      <c r="L15" s="65" t="n">
        <f aca="false">SUMIFS('Train detail'!$G$2:$G$181,'Train detail'!$B$2:$B$181,$A15,'Train detail'!$F$2:$F$181,"&lt;="&amp;2018)</f>
        <v>26.1</v>
      </c>
      <c r="M15" s="65" t="n">
        <f aca="false">SUMIFS('Train detail'!$G$2:$G$181,'Train detail'!$B$2:$B$181,$A15,'Train detail'!$F$2:$F$181,"&lt;="&amp;2019)</f>
        <v>26.76</v>
      </c>
      <c r="N15" s="65" t="n">
        <f aca="false">SUMIFS('Train detail'!$G$2:$G$181,'Train detail'!$B$2:$B$181,$A15,'Train detail'!$F$2:$F$181,"&lt;="&amp;2020)</f>
        <v>26.76</v>
      </c>
      <c r="O15" s="65" t="n">
        <f aca="false">SUMIFS('Train detail'!$G$2:$G$181,'Train detail'!$B$2:$B$181,$A15,'Train detail'!$F$2:$F$181,"&lt;="&amp;2021)</f>
        <v>27.66</v>
      </c>
      <c r="P15" s="65" t="n">
        <f aca="false">SUMIFS('Train detail'!$G$2:$G$181,'Train detail'!$B$2:$B$181,$A15,'Train detail'!$F$2:$F$181,"&lt;="&amp;2022)</f>
        <v>29.16</v>
      </c>
      <c r="Q15" s="65" t="n">
        <f aca="false">SUMIFS('Train detail'!$G$2:$G$181,'Train detail'!$B$2:$B$181,$A15,'Train detail'!$F$2:$F$181,"&lt;="&amp;2023)</f>
        <v>29.16</v>
      </c>
      <c r="R15" s="65" t="n">
        <f aca="false">SUMIFS('Train detail'!$G$2:$G$181,'Train detail'!$B$2:$B$181,$A15,'Train detail'!$F$2:$F$181,"&lt;="&amp;2024)</f>
        <v>29.16</v>
      </c>
      <c r="S15" s="65" t="n">
        <f aca="false">SUMIFS('Train detail'!$G$2:$G$181,'Train detail'!$B$2:$B$181,$A15,'Train detail'!$F$2:$F$181,"&lt;="&amp;2025)</f>
        <v>35.76</v>
      </c>
    </row>
    <row r="16" customFormat="false" ht="15" hidden="false" customHeight="true" outlineLevel="0" collapsed="false">
      <c r="A16" s="56" t="s">
        <v>46</v>
      </c>
      <c r="B16" s="54" t="n">
        <v>2009</v>
      </c>
      <c r="C16" s="86" t="n">
        <f aca="false">SUMIFS('Train detail'!$G$2:$G$181,'Train detail'!$B$2:$B$181,$A16)</f>
        <v>6.7</v>
      </c>
      <c r="D16" s="57" t="n">
        <f aca="false">SUMIFS('Train detail'!$G$2:$G$181,'Train detail'!$B$2:$B$181,$A16,'Train detail'!$F$2:$F$181,"&lt;="&amp;2010)</f>
        <v>6.7</v>
      </c>
      <c r="E16" s="57" t="n">
        <f aca="false">SUMIFS('Train detail'!$G$2:$G$181,'Train detail'!$B$2:$B$181,$A16,'Train detail'!$F$2:$F$181,"&lt;="&amp;2011)</f>
        <v>6.7</v>
      </c>
      <c r="F16" s="57" t="n">
        <f aca="false">SUMIFS('Train detail'!$G$2:$G$181,'Train detail'!$B$2:$B$181,$A16,'Train detail'!$F$2:$F$181,"&lt;="&amp;2012)</f>
        <v>6.7</v>
      </c>
      <c r="G16" s="57" t="n">
        <f aca="false">SUMIFS('Train detail'!$G$2:$G$181,'Train detail'!$B$2:$B$181,$A16,'Train detail'!$F$2:$F$181,"&lt;="&amp;2013)</f>
        <v>6.7</v>
      </c>
      <c r="H16" s="57" t="n">
        <f aca="false">SUMIFS('Train detail'!$G$2:$G$181,'Train detail'!$B$2:$B$181,$A16,'Train detail'!$F$2:$F$181,"&lt;="&amp;2014)</f>
        <v>6.7</v>
      </c>
      <c r="I16" s="57" t="n">
        <f aca="false">SUMIFS('Train detail'!$G$2:$G$181,'Train detail'!$B$2:$B$181,$A16,'Train detail'!$F$2:$F$181,"&lt;="&amp;2015)</f>
        <v>6.7</v>
      </c>
      <c r="J16" s="57" t="n">
        <f aca="false">SUMIFS('Train detail'!$G$2:$G$181,'Train detail'!$B$2:$B$181,$A16,'Train detail'!$F$2:$F$181,"&lt;="&amp;2016)</f>
        <v>6.7</v>
      </c>
      <c r="K16" s="57" t="n">
        <f aca="false">SUMIFS('Train detail'!$G$2:$G$181,'Train detail'!$B$2:$B$181,$A16,'Train detail'!$F$2:$F$181,"&lt;="&amp;2017)</f>
        <v>6.7</v>
      </c>
      <c r="L16" s="57" t="n">
        <f aca="false">SUMIFS('Train detail'!$G$2:$G$181,'Train detail'!$B$2:$B$181,$A16,'Train detail'!$F$2:$F$181,"&lt;="&amp;2018)</f>
        <v>6.7</v>
      </c>
      <c r="M16" s="57" t="n">
        <f aca="false">SUMIFS('Train detail'!$G$2:$G$181,'Train detail'!$B$2:$B$181,$A16,'Train detail'!$F$2:$F$181,"&lt;="&amp;2019)</f>
        <v>6.7</v>
      </c>
      <c r="N16" s="57" t="n">
        <f aca="false">SUMIFS('Train detail'!$G$2:$G$181,'Train detail'!$B$2:$B$181,$A16,'Train detail'!$F$2:$F$181,"&lt;="&amp;2020)</f>
        <v>6.7</v>
      </c>
      <c r="O16" s="57" t="n">
        <f aca="false">SUMIFS('Train detail'!$G$2:$G$181,'Train detail'!$B$2:$B$181,$A16,'Train detail'!$F$2:$F$181,"&lt;="&amp;2021)</f>
        <v>6.7</v>
      </c>
      <c r="P16" s="57" t="n">
        <f aca="false">SUMIFS('Train detail'!$G$2:$G$181,'Train detail'!$B$2:$B$181,$A16,'Train detail'!$F$2:$F$181,"&lt;="&amp;2022)</f>
        <v>6.7</v>
      </c>
      <c r="Q16" s="57" t="n">
        <f aca="false">SUMIFS('Train detail'!$G$2:$G$181,'Train detail'!$B$2:$B$181,$A16,'Train detail'!$F$2:$F$181,"&lt;="&amp;2023)</f>
        <v>6.7</v>
      </c>
      <c r="R16" s="57" t="n">
        <f aca="false">SUMIFS('Train detail'!$G$2:$G$181,'Train detail'!$B$2:$B$181,$A16,'Train detail'!$F$2:$F$181,"&lt;="&amp;2024)</f>
        <v>6.7</v>
      </c>
      <c r="S16" s="57" t="n">
        <f aca="false">SUMIFS('Train detail'!$G$2:$G$181,'Train detail'!$B$2:$B$181,$A16,'Train detail'!$F$2:$F$181,"&lt;="&amp;2025)</f>
        <v>6.7</v>
      </c>
    </row>
    <row r="17" customFormat="false" ht="15" hidden="false" customHeight="true" outlineLevel="0" collapsed="false">
      <c r="A17" s="64" t="s">
        <v>27</v>
      </c>
      <c r="B17" s="62" t="n">
        <v>2010</v>
      </c>
      <c r="C17" s="87" t="n">
        <f aca="false">SUMIFS('Train detail'!$G$2:$G$181,'Train detail'!$B$2:$B$181,$A17)</f>
        <v>3.87</v>
      </c>
      <c r="D17" s="65" t="n">
        <f aca="false">SUMIFS('Train detail'!$G$2:$G$181,'Train detail'!$B$2:$B$181,$A17,'Train detail'!$F$2:$F$181,"&lt;="&amp;2010)</f>
        <v>3.87</v>
      </c>
      <c r="E17" s="65" t="n">
        <f aca="false">SUMIFS('Train detail'!$G$2:$G$181,'Train detail'!$B$2:$B$181,$A17,'Train detail'!$F$2:$F$181,"&lt;="&amp;2011)</f>
        <v>3.87</v>
      </c>
      <c r="F17" s="65" t="n">
        <f aca="false">SUMIFS('Train detail'!$G$2:$G$181,'Train detail'!$B$2:$B$181,$A17,'Train detail'!$F$2:$F$181,"&lt;="&amp;2012)</f>
        <v>3.87</v>
      </c>
      <c r="G17" s="65" t="n">
        <f aca="false">SUMIFS('Train detail'!$G$2:$G$181,'Train detail'!$B$2:$B$181,$A17,'Train detail'!$F$2:$F$181,"&lt;="&amp;2013)</f>
        <v>3.87</v>
      </c>
      <c r="H17" s="65" t="n">
        <f aca="false">SUMIFS('Train detail'!$G$2:$G$181,'Train detail'!$B$2:$B$181,$A17,'Train detail'!$F$2:$F$181,"&lt;="&amp;2014)</f>
        <v>3.87</v>
      </c>
      <c r="I17" s="65" t="n">
        <f aca="false">SUMIFS('Train detail'!$G$2:$G$181,'Train detail'!$B$2:$B$181,$A17,'Train detail'!$F$2:$F$181,"&lt;="&amp;2015)</f>
        <v>3.87</v>
      </c>
      <c r="J17" s="65" t="n">
        <f aca="false">SUMIFS('Train detail'!$G$2:$G$181,'Train detail'!$B$2:$B$181,$A17,'Train detail'!$F$2:$F$181,"&lt;="&amp;2016)</f>
        <v>3.87</v>
      </c>
      <c r="K17" s="65" t="n">
        <f aca="false">SUMIFS('Train detail'!$G$2:$G$181,'Train detail'!$B$2:$B$181,$A17,'Train detail'!$F$2:$F$181,"&lt;="&amp;2017)</f>
        <v>3.87</v>
      </c>
      <c r="L17" s="65" t="n">
        <f aca="false">SUMIFS('Train detail'!$G$2:$G$181,'Train detail'!$B$2:$B$181,$A17,'Train detail'!$F$2:$F$181,"&lt;="&amp;2018)</f>
        <v>3.87</v>
      </c>
      <c r="M17" s="65" t="n">
        <f aca="false">SUMIFS('Train detail'!$G$2:$G$181,'Train detail'!$B$2:$B$181,$A17,'Train detail'!$F$2:$F$181,"&lt;="&amp;2019)</f>
        <v>3.87</v>
      </c>
      <c r="N17" s="65" t="n">
        <f aca="false">SUMIFS('Train detail'!$G$2:$G$181,'Train detail'!$B$2:$B$181,$A17,'Train detail'!$F$2:$F$181,"&lt;="&amp;2020)</f>
        <v>3.87</v>
      </c>
      <c r="O17" s="65" t="n">
        <f aca="false">SUMIFS('Train detail'!$G$2:$G$181,'Train detail'!$B$2:$B$181,$A17,'Train detail'!$F$2:$F$181,"&lt;="&amp;2021)</f>
        <v>3.87</v>
      </c>
      <c r="P17" s="65" t="n">
        <f aca="false">SUMIFS('Train detail'!$G$2:$G$181,'Train detail'!$B$2:$B$181,$A17,'Train detail'!$F$2:$F$181,"&lt;="&amp;2022)</f>
        <v>3.87</v>
      </c>
      <c r="Q17" s="65" t="n">
        <f aca="false">SUMIFS('Train detail'!$G$2:$G$181,'Train detail'!$B$2:$B$181,$A17,'Train detail'!$F$2:$F$181,"&lt;="&amp;2023)</f>
        <v>3.87</v>
      </c>
      <c r="R17" s="65" t="n">
        <f aca="false">SUMIFS('Train detail'!$G$2:$G$181,'Train detail'!$B$2:$B$181,$A17,'Train detail'!$F$2:$F$181,"&lt;="&amp;2024)</f>
        <v>3.87</v>
      </c>
      <c r="S17" s="65" t="n">
        <f aca="false">SUMIFS('Train detail'!$G$2:$G$181,'Train detail'!$B$2:$B$181,$A17,'Train detail'!$F$2:$F$181,"&lt;="&amp;2025)</f>
        <v>3.87</v>
      </c>
    </row>
    <row r="18" customFormat="false" ht="15" hidden="false" customHeight="true" outlineLevel="0" collapsed="false">
      <c r="A18" s="56" t="s">
        <v>40</v>
      </c>
      <c r="B18" s="54" t="n">
        <v>2010</v>
      </c>
      <c r="C18" s="86" t="n">
        <f aca="false">SUMIFS('Train detail'!$G$2:$G$181,'Train detail'!$B$2:$B$181,$A18)</f>
        <v>4.45</v>
      </c>
      <c r="D18" s="57" t="n">
        <f aca="false">SUMIFS('Train detail'!$G$2:$G$181,'Train detail'!$B$2:$B$181,$A18,'Train detail'!$F$2:$F$181,"&lt;="&amp;2010)</f>
        <v>4.45</v>
      </c>
      <c r="E18" s="57" t="n">
        <f aca="false">SUMIFS('Train detail'!$G$2:$G$181,'Train detail'!$B$2:$B$181,$A18,'Train detail'!$F$2:$F$181,"&lt;="&amp;2011)</f>
        <v>4.45</v>
      </c>
      <c r="F18" s="57" t="n">
        <f aca="false">SUMIFS('Train detail'!$G$2:$G$181,'Train detail'!$B$2:$B$181,$A18,'Train detail'!$F$2:$F$181,"&lt;="&amp;2012)</f>
        <v>4.45</v>
      </c>
      <c r="G18" s="57" t="n">
        <f aca="false">SUMIFS('Train detail'!$G$2:$G$181,'Train detail'!$B$2:$B$181,$A18,'Train detail'!$F$2:$F$181,"&lt;="&amp;2013)</f>
        <v>4.45</v>
      </c>
      <c r="H18" s="57" t="n">
        <f aca="false">SUMIFS('Train detail'!$G$2:$G$181,'Train detail'!$B$2:$B$181,$A18,'Train detail'!$F$2:$F$181,"&lt;="&amp;2014)</f>
        <v>4.45</v>
      </c>
      <c r="I18" s="57" t="n">
        <f aca="false">SUMIFS('Train detail'!$G$2:$G$181,'Train detail'!$B$2:$B$181,$A18,'Train detail'!$F$2:$F$181,"&lt;="&amp;2015)</f>
        <v>4.45</v>
      </c>
      <c r="J18" s="57" t="n">
        <f aca="false">SUMIFS('Train detail'!$G$2:$G$181,'Train detail'!$B$2:$B$181,$A18,'Train detail'!$F$2:$F$181,"&lt;="&amp;2016)</f>
        <v>4.45</v>
      </c>
      <c r="K18" s="57" t="n">
        <f aca="false">SUMIFS('Train detail'!$G$2:$G$181,'Train detail'!$B$2:$B$181,$A18,'Train detail'!$F$2:$F$181,"&lt;="&amp;2017)</f>
        <v>4.45</v>
      </c>
      <c r="L18" s="57" t="n">
        <f aca="false">SUMIFS('Train detail'!$G$2:$G$181,'Train detail'!$B$2:$B$181,$A18,'Train detail'!$F$2:$F$181,"&lt;="&amp;2018)</f>
        <v>4.45</v>
      </c>
      <c r="M18" s="57" t="n">
        <f aca="false">SUMIFS('Train detail'!$G$2:$G$181,'Train detail'!$B$2:$B$181,$A18,'Train detail'!$F$2:$F$181,"&lt;="&amp;2019)</f>
        <v>4.45</v>
      </c>
      <c r="N18" s="57" t="n">
        <f aca="false">SUMIFS('Train detail'!$G$2:$G$181,'Train detail'!$B$2:$B$181,$A18,'Train detail'!$F$2:$F$181,"&lt;="&amp;2020)</f>
        <v>4.45</v>
      </c>
      <c r="O18" s="57" t="n">
        <f aca="false">SUMIFS('Train detail'!$G$2:$G$181,'Train detail'!$B$2:$B$181,$A18,'Train detail'!$F$2:$F$181,"&lt;="&amp;2021)</f>
        <v>4.45</v>
      </c>
      <c r="P18" s="57" t="n">
        <f aca="false">SUMIFS('Train detail'!$G$2:$G$181,'Train detail'!$B$2:$B$181,$A18,'Train detail'!$F$2:$F$181,"&lt;="&amp;2022)</f>
        <v>4.45</v>
      </c>
      <c r="Q18" s="57" t="n">
        <f aca="false">SUMIFS('Train detail'!$G$2:$G$181,'Train detail'!$B$2:$B$181,$A18,'Train detail'!$F$2:$F$181,"&lt;="&amp;2023)</f>
        <v>4.45</v>
      </c>
      <c r="R18" s="57" t="n">
        <f aca="false">SUMIFS('Train detail'!$G$2:$G$181,'Train detail'!$B$2:$B$181,$A18,'Train detail'!$F$2:$F$181,"&lt;="&amp;2024)</f>
        <v>4.45</v>
      </c>
      <c r="S18" s="57" t="n">
        <f aca="false">SUMIFS('Train detail'!$G$2:$G$181,'Train detail'!$B$2:$B$181,$A18,'Train detail'!$F$2:$F$181,"&lt;="&amp;2025)</f>
        <v>4.45</v>
      </c>
    </row>
    <row r="19" customFormat="false" ht="15" hidden="false" customHeight="true" outlineLevel="0" collapsed="false">
      <c r="A19" s="64" t="s">
        <v>22</v>
      </c>
      <c r="B19" s="62" t="n">
        <v>2013</v>
      </c>
      <c r="C19" s="87" t="n">
        <f aca="false">SUMIFS('Train detail'!$G$2:$G$181,'Train detail'!$B$2:$B$181,$A19)</f>
        <v>5.2</v>
      </c>
      <c r="D19" s="65" t="n">
        <f aca="false">SUMIFS('Train detail'!$G$2:$G$181,'Train detail'!$B$2:$B$181,$A19,'Train detail'!$F$2:$F$181,"&lt;="&amp;2010)</f>
        <v>0</v>
      </c>
      <c r="E19" s="65" t="n">
        <f aca="false">SUMIFS('Train detail'!$G$2:$G$181,'Train detail'!$B$2:$B$181,$A19,'Train detail'!$F$2:$F$181,"&lt;="&amp;2011)</f>
        <v>0</v>
      </c>
      <c r="F19" s="65" t="n">
        <f aca="false">SUMIFS('Train detail'!$G$2:$G$181,'Train detail'!$B$2:$B$181,$A19,'Train detail'!$F$2:$F$181,"&lt;="&amp;2012)</f>
        <v>0</v>
      </c>
      <c r="G19" s="65" t="n">
        <f aca="false">SUMIFS('Train detail'!$G$2:$G$181,'Train detail'!$B$2:$B$181,$A19,'Train detail'!$F$2:$F$181,"&lt;="&amp;2013)</f>
        <v>5.2</v>
      </c>
      <c r="H19" s="65" t="n">
        <f aca="false">SUMIFS('Train detail'!$G$2:$G$181,'Train detail'!$B$2:$B$181,$A19,'Train detail'!$F$2:$F$181,"&lt;="&amp;2014)</f>
        <v>5.2</v>
      </c>
      <c r="I19" s="65" t="n">
        <f aca="false">SUMIFS('Train detail'!$G$2:$G$181,'Train detail'!$B$2:$B$181,$A19,'Train detail'!$F$2:$F$181,"&lt;="&amp;2015)</f>
        <v>5.2</v>
      </c>
      <c r="J19" s="65" t="n">
        <f aca="false">SUMIFS('Train detail'!$G$2:$G$181,'Train detail'!$B$2:$B$181,$A19,'Train detail'!$F$2:$F$181,"&lt;="&amp;2016)</f>
        <v>5.2</v>
      </c>
      <c r="K19" s="65" t="n">
        <f aca="false">SUMIFS('Train detail'!$G$2:$G$181,'Train detail'!$B$2:$B$181,$A19,'Train detail'!$F$2:$F$181,"&lt;="&amp;2017)</f>
        <v>5.2</v>
      </c>
      <c r="L19" s="65" t="n">
        <f aca="false">SUMIFS('Train detail'!$G$2:$G$181,'Train detail'!$B$2:$B$181,$A19,'Train detail'!$F$2:$F$181,"&lt;="&amp;2018)</f>
        <v>5.2</v>
      </c>
      <c r="M19" s="65" t="n">
        <f aca="false">SUMIFS('Train detail'!$G$2:$G$181,'Train detail'!$B$2:$B$181,$A19,'Train detail'!$F$2:$F$181,"&lt;="&amp;2019)</f>
        <v>5.2</v>
      </c>
      <c r="N19" s="65" t="n">
        <f aca="false">SUMIFS('Train detail'!$G$2:$G$181,'Train detail'!$B$2:$B$181,$A19,'Train detail'!$F$2:$F$181,"&lt;="&amp;2020)</f>
        <v>5.2</v>
      </c>
      <c r="O19" s="65" t="n">
        <f aca="false">SUMIFS('Train detail'!$G$2:$G$181,'Train detail'!$B$2:$B$181,$A19,'Train detail'!$F$2:$F$181,"&lt;="&amp;2021)</f>
        <v>5.2</v>
      </c>
      <c r="P19" s="65" t="n">
        <f aca="false">SUMIFS('Train detail'!$G$2:$G$181,'Train detail'!$B$2:$B$181,$A19,'Train detail'!$F$2:$F$181,"&lt;="&amp;2022)</f>
        <v>5.2</v>
      </c>
      <c r="Q19" s="65" t="n">
        <f aca="false">SUMIFS('Train detail'!$G$2:$G$181,'Train detail'!$B$2:$B$181,$A19,'Train detail'!$F$2:$F$181,"&lt;="&amp;2023)</f>
        <v>5.2</v>
      </c>
      <c r="R19" s="65" t="n">
        <f aca="false">SUMIFS('Train detail'!$G$2:$G$181,'Train detail'!$B$2:$B$181,$A19,'Train detail'!$F$2:$F$181,"&lt;="&amp;2024)</f>
        <v>5.2</v>
      </c>
      <c r="S19" s="65" t="n">
        <f aca="false">SUMIFS('Train detail'!$G$2:$G$181,'Train detail'!$B$2:$B$181,$A19,'Train detail'!$F$2:$F$181,"&lt;="&amp;2025)</f>
        <v>5.2</v>
      </c>
    </row>
    <row r="20" customFormat="false" ht="15" hidden="false" customHeight="true" outlineLevel="0" collapsed="false">
      <c r="A20" s="56" t="s">
        <v>39</v>
      </c>
      <c r="B20" s="54" t="n">
        <v>2014</v>
      </c>
      <c r="C20" s="86" t="n">
        <f aca="false">SUMIFS('Train detail'!$G$2:$G$181,'Train detail'!$B$2:$B$181,$A20)</f>
        <v>6.9</v>
      </c>
      <c r="D20" s="57" t="n">
        <f aca="false">SUMIFS('Train detail'!$G$2:$G$181,'Train detail'!$B$2:$B$181,$A20,'Train detail'!$F$2:$F$181,"&lt;="&amp;2010)</f>
        <v>0</v>
      </c>
      <c r="E20" s="57" t="n">
        <f aca="false">SUMIFS('Train detail'!$G$2:$G$181,'Train detail'!$B$2:$B$181,$A20,'Train detail'!$F$2:$F$181,"&lt;="&amp;2011)</f>
        <v>0</v>
      </c>
      <c r="F20" s="57" t="n">
        <f aca="false">SUMIFS('Train detail'!$G$2:$G$181,'Train detail'!$B$2:$B$181,$A20,'Train detail'!$F$2:$F$181,"&lt;="&amp;2012)</f>
        <v>0</v>
      </c>
      <c r="G20" s="57" t="n">
        <f aca="false">SUMIFS('Train detail'!$G$2:$G$181,'Train detail'!$B$2:$B$181,$A20,'Train detail'!$F$2:$F$181,"&lt;="&amp;2013)</f>
        <v>0</v>
      </c>
      <c r="H20" s="57" t="n">
        <f aca="false">SUMIFS('Train detail'!$G$2:$G$181,'Train detail'!$B$2:$B$181,$A20,'Train detail'!$F$2:$F$181,"&lt;="&amp;2014)</f>
        <v>6.9</v>
      </c>
      <c r="I20" s="57" t="n">
        <f aca="false">SUMIFS('Train detail'!$G$2:$G$181,'Train detail'!$B$2:$B$181,$A20,'Train detail'!$F$2:$F$181,"&lt;="&amp;2015)</f>
        <v>6.9</v>
      </c>
      <c r="J20" s="57" t="n">
        <f aca="false">SUMIFS('Train detail'!$G$2:$G$181,'Train detail'!$B$2:$B$181,$A20,'Train detail'!$F$2:$F$181,"&lt;="&amp;2016)</f>
        <v>6.9</v>
      </c>
      <c r="K20" s="57" t="n">
        <f aca="false">SUMIFS('Train detail'!$G$2:$G$181,'Train detail'!$B$2:$B$181,$A20,'Train detail'!$F$2:$F$181,"&lt;="&amp;2017)</f>
        <v>6.9</v>
      </c>
      <c r="L20" s="57" t="n">
        <f aca="false">SUMIFS('Train detail'!$G$2:$G$181,'Train detail'!$B$2:$B$181,$A20,'Train detail'!$F$2:$F$181,"&lt;="&amp;2018)</f>
        <v>6.9</v>
      </c>
      <c r="M20" s="57" t="n">
        <f aca="false">SUMIFS('Train detail'!$G$2:$G$181,'Train detail'!$B$2:$B$181,$A20,'Train detail'!$F$2:$F$181,"&lt;="&amp;2019)</f>
        <v>6.9</v>
      </c>
      <c r="N20" s="57" t="n">
        <f aca="false">SUMIFS('Train detail'!$G$2:$G$181,'Train detail'!$B$2:$B$181,$A20,'Train detail'!$F$2:$F$181,"&lt;="&amp;2020)</f>
        <v>6.9</v>
      </c>
      <c r="O20" s="57" t="n">
        <f aca="false">SUMIFS('Train detail'!$G$2:$G$181,'Train detail'!$B$2:$B$181,$A20,'Train detail'!$F$2:$F$181,"&lt;="&amp;2021)</f>
        <v>6.9</v>
      </c>
      <c r="P20" s="57" t="n">
        <f aca="false">SUMIFS('Train detail'!$G$2:$G$181,'Train detail'!$B$2:$B$181,$A20,'Train detail'!$F$2:$F$181,"&lt;="&amp;2022)</f>
        <v>6.9</v>
      </c>
      <c r="Q20" s="57" t="n">
        <f aca="false">SUMIFS('Train detail'!$G$2:$G$181,'Train detail'!$B$2:$B$181,$A20,'Train detail'!$F$2:$F$181,"&lt;="&amp;2023)</f>
        <v>6.9</v>
      </c>
      <c r="R20" s="57" t="n">
        <f aca="false">SUMIFS('Train detail'!$G$2:$G$181,'Train detail'!$B$2:$B$181,$A20,'Train detail'!$F$2:$F$181,"&lt;="&amp;2024)</f>
        <v>6.9</v>
      </c>
      <c r="S20" s="57" t="n">
        <f aca="false">SUMIFS('Train detail'!$G$2:$G$181,'Train detail'!$B$2:$B$181,$A20,'Train detail'!$F$2:$F$181,"&lt;="&amp;2025)</f>
        <v>6.9</v>
      </c>
    </row>
    <row r="21" customFormat="false" ht="15" hidden="false" customHeight="true" outlineLevel="0" collapsed="false">
      <c r="A21" s="64" t="s">
        <v>45</v>
      </c>
      <c r="B21" s="62" t="n">
        <v>2016</v>
      </c>
      <c r="C21" s="87" t="n">
        <f aca="false">SUMIFS('Train detail'!$G$2:$G$181,'Train detail'!$B$2:$B$181,$A21)</f>
        <v>116.922</v>
      </c>
      <c r="D21" s="65" t="n">
        <f aca="false">SUMIFS('Train detail'!$G$2:$G$181,'Train detail'!$B$2:$B$181,$A21,'Train detail'!$F$2:$F$181,"&lt;="&amp;2010)</f>
        <v>0</v>
      </c>
      <c r="E21" s="65" t="n">
        <f aca="false">SUMIFS('Train detail'!$G$2:$G$181,'Train detail'!$B$2:$B$181,$A21,'Train detail'!$F$2:$F$181,"&lt;="&amp;2011)</f>
        <v>0</v>
      </c>
      <c r="F21" s="65" t="n">
        <f aca="false">SUMIFS('Train detail'!$G$2:$G$181,'Train detail'!$B$2:$B$181,$A21,'Train detail'!$F$2:$F$181,"&lt;="&amp;2012)</f>
        <v>0</v>
      </c>
      <c r="G21" s="65" t="n">
        <f aca="false">SUMIFS('Train detail'!$G$2:$G$181,'Train detail'!$B$2:$B$181,$A21,'Train detail'!$F$2:$F$181,"&lt;="&amp;2013)</f>
        <v>0</v>
      </c>
      <c r="H21" s="65" t="n">
        <f aca="false">SUMIFS('Train detail'!$G$2:$G$181,'Train detail'!$B$2:$B$181,$A21,'Train detail'!$F$2:$F$181,"&lt;="&amp;2014)</f>
        <v>0</v>
      </c>
      <c r="I21" s="65" t="n">
        <f aca="false">SUMIFS('Train detail'!$G$2:$G$181,'Train detail'!$B$2:$B$181,$A21,'Train detail'!$F$2:$F$181,"&lt;="&amp;2015)</f>
        <v>0</v>
      </c>
      <c r="J21" s="65" t="n">
        <f aca="false">SUMIFS('Train detail'!$G$2:$G$181,'Train detail'!$B$2:$B$181,$A21,'Train detail'!$F$2:$F$181,"&lt;="&amp;2016)</f>
        <v>10</v>
      </c>
      <c r="K21" s="65" t="n">
        <f aca="false">SUMIFS('Train detail'!$G$2:$G$181,'Train detail'!$B$2:$B$181,$A21,'Train detail'!$F$2:$F$181,"&lt;="&amp;2017)</f>
        <v>20</v>
      </c>
      <c r="L21" s="65" t="n">
        <f aca="false">SUMIFS('Train detail'!$G$2:$G$181,'Train detail'!$B$2:$B$181,$A21,'Train detail'!$F$2:$F$181,"&lt;="&amp;2018)</f>
        <v>25.25</v>
      </c>
      <c r="M21" s="65" t="n">
        <f aca="false">SUMIFS('Train detail'!$G$2:$G$181,'Train detail'!$B$2:$B$181,$A21,'Train detail'!$F$2:$F$181,"&lt;="&amp;2019)</f>
        <v>50.85</v>
      </c>
      <c r="N21" s="65" t="n">
        <f aca="false">SUMIFS('Train detail'!$G$2:$G$181,'Train detail'!$B$2:$B$181,$A21,'Train detail'!$F$2:$F$181,"&lt;="&amp;2020)</f>
        <v>71.55</v>
      </c>
      <c r="O21" s="65" t="n">
        <f aca="false">SUMIFS('Train detail'!$G$2:$G$181,'Train detail'!$B$2:$B$181,$A21,'Train detail'!$F$2:$F$181,"&lt;="&amp;2021)</f>
        <v>76.55</v>
      </c>
      <c r="P21" s="65" t="n">
        <f aca="false">SUMIFS('Train detail'!$G$2:$G$181,'Train detail'!$B$2:$B$181,$A21,'Train detail'!$F$2:$F$181,"&lt;="&amp;2022)</f>
        <v>91.522</v>
      </c>
      <c r="Q21" s="65" t="n">
        <f aca="false">SUMIFS('Train detail'!$G$2:$G$181,'Train detail'!$B$2:$B$181,$A21,'Train detail'!$F$2:$F$181,"&lt;="&amp;2023)</f>
        <v>91.522</v>
      </c>
      <c r="R21" s="65" t="n">
        <f aca="false">SUMIFS('Train detail'!$G$2:$G$181,'Train detail'!$B$2:$B$181,$A21,'Train detail'!$F$2:$F$181,"&lt;="&amp;2024)</f>
        <v>95.842</v>
      </c>
      <c r="S21" s="65" t="n">
        <f aca="false">SUMIFS('Train detail'!$G$2:$G$181,'Train detail'!$B$2:$B$181,$A21,'Train detail'!$F$2:$F$181,"&lt;="&amp;2025)</f>
        <v>116.922</v>
      </c>
    </row>
    <row r="22" customFormat="false" ht="15" hidden="false" customHeight="true" outlineLevel="0" collapsed="false">
      <c r="A22" s="56" t="s">
        <v>25</v>
      </c>
      <c r="B22" s="54" t="n">
        <v>2018</v>
      </c>
      <c r="C22" s="86" t="n">
        <f aca="false">SUMIFS('Train detail'!$G$2:$G$181,'Train detail'!$B$2:$B$181,$A22)</f>
        <v>2.4</v>
      </c>
      <c r="D22" s="57" t="n">
        <f aca="false">SUMIFS('Train detail'!$G$2:$G$181,'Train detail'!$B$2:$B$181,$A22,'Train detail'!$F$2:$F$181,"&lt;="&amp;2010)</f>
        <v>0</v>
      </c>
      <c r="E22" s="57" t="n">
        <f aca="false">SUMIFS('Train detail'!$G$2:$G$181,'Train detail'!$B$2:$B$181,$A22,'Train detail'!$F$2:$F$181,"&lt;="&amp;2011)</f>
        <v>0</v>
      </c>
      <c r="F22" s="57" t="n">
        <f aca="false">SUMIFS('Train detail'!$G$2:$G$181,'Train detail'!$B$2:$B$181,$A22,'Train detail'!$F$2:$F$181,"&lt;="&amp;2012)</f>
        <v>0</v>
      </c>
      <c r="G22" s="57" t="n">
        <f aca="false">SUMIFS('Train detail'!$G$2:$G$181,'Train detail'!$B$2:$B$181,$A22,'Train detail'!$F$2:$F$181,"&lt;="&amp;2013)</f>
        <v>0</v>
      </c>
      <c r="H22" s="57" t="n">
        <f aca="false">SUMIFS('Train detail'!$G$2:$G$181,'Train detail'!$B$2:$B$181,$A22,'Train detail'!$F$2:$F$181,"&lt;="&amp;2014)</f>
        <v>0</v>
      </c>
      <c r="I22" s="57" t="n">
        <f aca="false">SUMIFS('Train detail'!$G$2:$G$181,'Train detail'!$B$2:$B$181,$A22,'Train detail'!$F$2:$F$181,"&lt;="&amp;2015)</f>
        <v>0</v>
      </c>
      <c r="J22" s="57" t="n">
        <f aca="false">SUMIFS('Train detail'!$G$2:$G$181,'Train detail'!$B$2:$B$181,$A22,'Train detail'!$F$2:$F$181,"&lt;="&amp;2016)</f>
        <v>0</v>
      </c>
      <c r="K22" s="57" t="n">
        <f aca="false">SUMIFS('Train detail'!$G$2:$G$181,'Train detail'!$B$2:$B$181,$A22,'Train detail'!$F$2:$F$181,"&lt;="&amp;2017)</f>
        <v>0</v>
      </c>
      <c r="L22" s="57" t="n">
        <f aca="false">SUMIFS('Train detail'!$G$2:$G$181,'Train detail'!$B$2:$B$181,$A22,'Train detail'!$F$2:$F$181,"&lt;="&amp;2018)</f>
        <v>2.4</v>
      </c>
      <c r="M22" s="57" t="n">
        <f aca="false">SUMIFS('Train detail'!$G$2:$G$181,'Train detail'!$B$2:$B$181,$A22,'Train detail'!$F$2:$F$181,"&lt;="&amp;2019)</f>
        <v>2.4</v>
      </c>
      <c r="N22" s="57" t="n">
        <f aca="false">SUMIFS('Train detail'!$G$2:$G$181,'Train detail'!$B$2:$B$181,$A22,'Train detail'!$F$2:$F$181,"&lt;="&amp;2020)</f>
        <v>2.4</v>
      </c>
      <c r="O22" s="57" t="n">
        <f aca="false">SUMIFS('Train detail'!$G$2:$G$181,'Train detail'!$B$2:$B$181,$A22,'Train detail'!$F$2:$F$181,"&lt;="&amp;2021)</f>
        <v>2.4</v>
      </c>
      <c r="P22" s="57" t="n">
        <f aca="false">SUMIFS('Train detail'!$G$2:$G$181,'Train detail'!$B$2:$B$181,$A22,'Train detail'!$F$2:$F$181,"&lt;="&amp;2022)</f>
        <v>2.4</v>
      </c>
      <c r="Q22" s="57" t="n">
        <f aca="false">SUMIFS('Train detail'!$G$2:$G$181,'Train detail'!$B$2:$B$181,$A22,'Train detail'!$F$2:$F$181,"&lt;="&amp;2023)</f>
        <v>2.4</v>
      </c>
      <c r="R22" s="57" t="n">
        <f aca="false">SUMIFS('Train detail'!$G$2:$G$181,'Train detail'!$B$2:$B$181,$A22,'Train detail'!$F$2:$F$181,"&lt;="&amp;2024)</f>
        <v>2.4</v>
      </c>
      <c r="S22" s="57" t="n">
        <f aca="false">SUMIFS('Train detail'!$G$2:$G$181,'Train detail'!$B$2:$B$181,$A22,'Train detail'!$F$2:$F$181,"&lt;="&amp;2025)</f>
        <v>2.4</v>
      </c>
    </row>
    <row r="23" customFormat="false" ht="15" hidden="false" customHeight="true" outlineLevel="0" collapsed="false">
      <c r="A23" s="64" t="s">
        <v>35</v>
      </c>
      <c r="B23" s="62" t="n">
        <v>2022</v>
      </c>
      <c r="C23" s="87" t="n">
        <f aca="false">SUMIFS('Train detail'!$G$2:$G$181,'Train detail'!$B$2:$B$181,$A23)</f>
        <v>3.4</v>
      </c>
      <c r="D23" s="65" t="n">
        <f aca="false">SUMIFS('Train detail'!$G$2:$G$181,'Train detail'!$B$2:$B$181,$A23,'Train detail'!$F$2:$F$181,"&lt;="&amp;2010)</f>
        <v>0</v>
      </c>
      <c r="E23" s="65" t="n">
        <f aca="false">SUMIFS('Train detail'!$G$2:$G$181,'Train detail'!$B$2:$B$181,$A23,'Train detail'!$F$2:$F$181,"&lt;="&amp;2011)</f>
        <v>0</v>
      </c>
      <c r="F23" s="65" t="n">
        <f aca="false">SUMIFS('Train detail'!$G$2:$G$181,'Train detail'!$B$2:$B$181,$A23,'Train detail'!$F$2:$F$181,"&lt;="&amp;2012)</f>
        <v>0</v>
      </c>
      <c r="G23" s="65" t="n">
        <f aca="false">SUMIFS('Train detail'!$G$2:$G$181,'Train detail'!$B$2:$B$181,$A23,'Train detail'!$F$2:$F$181,"&lt;="&amp;2013)</f>
        <v>0</v>
      </c>
      <c r="H23" s="65" t="n">
        <f aca="false">SUMIFS('Train detail'!$G$2:$G$181,'Train detail'!$B$2:$B$181,$A23,'Train detail'!$F$2:$F$181,"&lt;="&amp;2014)</f>
        <v>0</v>
      </c>
      <c r="I23" s="65" t="n">
        <f aca="false">SUMIFS('Train detail'!$G$2:$G$181,'Train detail'!$B$2:$B$181,$A23,'Train detail'!$F$2:$F$181,"&lt;="&amp;2015)</f>
        <v>0</v>
      </c>
      <c r="J23" s="65" t="n">
        <f aca="false">SUMIFS('Train detail'!$G$2:$G$181,'Train detail'!$B$2:$B$181,$A23,'Train detail'!$F$2:$F$181,"&lt;="&amp;2016)</f>
        <v>0</v>
      </c>
      <c r="K23" s="65" t="n">
        <f aca="false">SUMIFS('Train detail'!$G$2:$G$181,'Train detail'!$B$2:$B$181,$A23,'Train detail'!$F$2:$F$181,"&lt;="&amp;2017)</f>
        <v>0</v>
      </c>
      <c r="L23" s="65" t="n">
        <f aca="false">SUMIFS('Train detail'!$G$2:$G$181,'Train detail'!$B$2:$B$181,$A23,'Train detail'!$F$2:$F$181,"&lt;="&amp;2018)</f>
        <v>0</v>
      </c>
      <c r="M23" s="65" t="n">
        <f aca="false">SUMIFS('Train detail'!$G$2:$G$181,'Train detail'!$B$2:$B$181,$A23,'Train detail'!$F$2:$F$181,"&lt;="&amp;2019)</f>
        <v>0</v>
      </c>
      <c r="N23" s="65" t="n">
        <f aca="false">SUMIFS('Train detail'!$G$2:$G$181,'Train detail'!$B$2:$B$181,$A23,'Train detail'!$F$2:$F$181,"&lt;="&amp;2020)</f>
        <v>0</v>
      </c>
      <c r="O23" s="65" t="n">
        <f aca="false">SUMIFS('Train detail'!$G$2:$G$181,'Train detail'!$B$2:$B$181,$A23,'Train detail'!$F$2:$F$181,"&lt;="&amp;2021)</f>
        <v>0</v>
      </c>
      <c r="P23" s="65" t="n">
        <f aca="false">SUMIFS('Train detail'!$G$2:$G$181,'Train detail'!$B$2:$B$181,$A23,'Train detail'!$F$2:$F$181,"&lt;="&amp;2022)</f>
        <v>3.4</v>
      </c>
      <c r="Q23" s="65" t="n">
        <f aca="false">SUMIFS('Train detail'!$G$2:$G$181,'Train detail'!$B$2:$B$181,$A23,'Train detail'!$F$2:$F$181,"&lt;="&amp;2023)</f>
        <v>3.4</v>
      </c>
      <c r="R23" s="65" t="n">
        <f aca="false">SUMIFS('Train detail'!$G$2:$G$181,'Train detail'!$B$2:$B$181,$A23,'Train detail'!$F$2:$F$181,"&lt;="&amp;2024)</f>
        <v>3.4</v>
      </c>
      <c r="S23" s="65" t="n">
        <f aca="false">SUMIFS('Train detail'!$G$2:$G$181,'Train detail'!$B$2:$B$181,$A23,'Train detail'!$F$2:$F$181,"&lt;="&amp;2025)</f>
        <v>3.4</v>
      </c>
    </row>
    <row r="24" customFormat="false" ht="15" hidden="false" customHeight="true" outlineLevel="0" collapsed="false">
      <c r="A24" s="56" t="s">
        <v>28</v>
      </c>
      <c r="B24" s="54" t="n">
        <v>2024</v>
      </c>
      <c r="C24" s="86" t="n">
        <f aca="false">SUMIFS('Train detail'!$G$2:$G$181,'Train detail'!$B$2:$B$181,$A24)</f>
        <v>0.6</v>
      </c>
      <c r="D24" s="57" t="n">
        <f aca="false">SUMIFS('Train detail'!$G$2:$G$181,'Train detail'!$B$2:$B$181,$A24,'Train detail'!$F$2:$F$181,"&lt;="&amp;2010)</f>
        <v>0</v>
      </c>
      <c r="E24" s="57" t="n">
        <f aca="false">SUMIFS('Train detail'!$G$2:$G$181,'Train detail'!$B$2:$B$181,$A24,'Train detail'!$F$2:$F$181,"&lt;="&amp;2011)</f>
        <v>0</v>
      </c>
      <c r="F24" s="57" t="n">
        <f aca="false">SUMIFS('Train detail'!$G$2:$G$181,'Train detail'!$B$2:$B$181,$A24,'Train detail'!$F$2:$F$181,"&lt;="&amp;2012)</f>
        <v>0</v>
      </c>
      <c r="G24" s="57" t="n">
        <f aca="false">SUMIFS('Train detail'!$G$2:$G$181,'Train detail'!$B$2:$B$181,$A24,'Train detail'!$F$2:$F$181,"&lt;="&amp;2013)</f>
        <v>0</v>
      </c>
      <c r="H24" s="57" t="n">
        <f aca="false">SUMIFS('Train detail'!$G$2:$G$181,'Train detail'!$B$2:$B$181,$A24,'Train detail'!$F$2:$F$181,"&lt;="&amp;2014)</f>
        <v>0</v>
      </c>
      <c r="I24" s="57" t="n">
        <f aca="false">SUMIFS('Train detail'!$G$2:$G$181,'Train detail'!$B$2:$B$181,$A24,'Train detail'!$F$2:$F$181,"&lt;="&amp;2015)</f>
        <v>0</v>
      </c>
      <c r="J24" s="57" t="n">
        <f aca="false">SUMIFS('Train detail'!$G$2:$G$181,'Train detail'!$B$2:$B$181,$A24,'Train detail'!$F$2:$F$181,"&lt;="&amp;2016)</f>
        <v>0</v>
      </c>
      <c r="K24" s="57" t="n">
        <f aca="false">SUMIFS('Train detail'!$G$2:$G$181,'Train detail'!$B$2:$B$181,$A24,'Train detail'!$F$2:$F$181,"&lt;="&amp;2017)</f>
        <v>0</v>
      </c>
      <c r="L24" s="57" t="n">
        <f aca="false">SUMIFS('Train detail'!$G$2:$G$181,'Train detail'!$B$2:$B$181,$A24,'Train detail'!$F$2:$F$181,"&lt;="&amp;2018)</f>
        <v>0</v>
      </c>
      <c r="M24" s="57" t="n">
        <f aca="false">SUMIFS('Train detail'!$G$2:$G$181,'Train detail'!$B$2:$B$181,$A24,'Train detail'!$F$2:$F$181,"&lt;="&amp;2019)</f>
        <v>0</v>
      </c>
      <c r="N24" s="57" t="n">
        <f aca="false">SUMIFS('Train detail'!$G$2:$G$181,'Train detail'!$B$2:$B$181,$A24,'Train detail'!$F$2:$F$181,"&lt;="&amp;2020)</f>
        <v>0</v>
      </c>
      <c r="O24" s="57" t="n">
        <f aca="false">SUMIFS('Train detail'!$G$2:$G$181,'Train detail'!$B$2:$B$181,$A24,'Train detail'!$F$2:$F$181,"&lt;="&amp;2021)</f>
        <v>0</v>
      </c>
      <c r="P24" s="57" t="n">
        <f aca="false">SUMIFS('Train detail'!$G$2:$G$181,'Train detail'!$B$2:$B$181,$A24,'Train detail'!$F$2:$F$181,"&lt;="&amp;2022)</f>
        <v>0</v>
      </c>
      <c r="Q24" s="57" t="n">
        <f aca="false">SUMIFS('Train detail'!$G$2:$G$181,'Train detail'!$B$2:$B$181,$A24,'Train detail'!$F$2:$F$181,"&lt;="&amp;2023)</f>
        <v>0</v>
      </c>
      <c r="R24" s="57" t="n">
        <f aca="false">SUMIFS('Train detail'!$G$2:$G$181,'Train detail'!$B$2:$B$181,$A24,'Train detail'!$F$2:$F$181,"&lt;="&amp;2024)</f>
        <v>0.6</v>
      </c>
      <c r="S24" s="57" t="n">
        <f aca="false">SUMIFS('Train detail'!$G$2:$G$181,'Train detail'!$B$2:$B$181,$A24,'Train detail'!$F$2:$F$181,"&lt;="&amp;2025)</f>
        <v>0.6</v>
      </c>
    </row>
    <row r="25" customFormat="false" ht="15" hidden="false" customHeight="true" outlineLevel="0" collapsed="false">
      <c r="A25" s="64" t="s">
        <v>34</v>
      </c>
      <c r="B25" s="62" t="n">
        <v>2024</v>
      </c>
      <c r="C25" s="87" t="n">
        <f aca="false">SUMIFS('Train detail'!$G$2:$G$181,'Train detail'!$B$2:$B$181,$A25)</f>
        <v>1.4</v>
      </c>
      <c r="D25" s="65" t="n">
        <f aca="false">SUMIFS('Train detail'!$G$2:$G$181,'Train detail'!$B$2:$B$181,$A25,'Train detail'!$F$2:$F$181,"&lt;="&amp;2010)</f>
        <v>0</v>
      </c>
      <c r="E25" s="65" t="n">
        <f aca="false">SUMIFS('Train detail'!$G$2:$G$181,'Train detail'!$B$2:$B$181,$A25,'Train detail'!$F$2:$F$181,"&lt;="&amp;2011)</f>
        <v>0</v>
      </c>
      <c r="F25" s="65" t="n">
        <f aca="false">SUMIFS('Train detail'!$G$2:$G$181,'Train detail'!$B$2:$B$181,$A25,'Train detail'!$F$2:$F$181,"&lt;="&amp;2012)</f>
        <v>0</v>
      </c>
      <c r="G25" s="65" t="n">
        <f aca="false">SUMIFS('Train detail'!$G$2:$G$181,'Train detail'!$B$2:$B$181,$A25,'Train detail'!$F$2:$F$181,"&lt;="&amp;2013)</f>
        <v>0</v>
      </c>
      <c r="H25" s="65" t="n">
        <f aca="false">SUMIFS('Train detail'!$G$2:$G$181,'Train detail'!$B$2:$B$181,$A25,'Train detail'!$F$2:$F$181,"&lt;="&amp;2014)</f>
        <v>0</v>
      </c>
      <c r="I25" s="65" t="n">
        <f aca="false">SUMIFS('Train detail'!$G$2:$G$181,'Train detail'!$B$2:$B$181,$A25,'Train detail'!$F$2:$F$181,"&lt;="&amp;2015)</f>
        <v>0</v>
      </c>
      <c r="J25" s="65" t="n">
        <f aca="false">SUMIFS('Train detail'!$G$2:$G$181,'Train detail'!$B$2:$B$181,$A25,'Train detail'!$F$2:$F$181,"&lt;="&amp;2016)</f>
        <v>0</v>
      </c>
      <c r="K25" s="65" t="n">
        <f aca="false">SUMIFS('Train detail'!$G$2:$G$181,'Train detail'!$B$2:$B$181,$A25,'Train detail'!$F$2:$F$181,"&lt;="&amp;2017)</f>
        <v>0</v>
      </c>
      <c r="L25" s="65" t="n">
        <f aca="false">SUMIFS('Train detail'!$G$2:$G$181,'Train detail'!$B$2:$B$181,$A25,'Train detail'!$F$2:$F$181,"&lt;="&amp;2018)</f>
        <v>0</v>
      </c>
      <c r="M25" s="65" t="n">
        <f aca="false">SUMIFS('Train detail'!$G$2:$G$181,'Train detail'!$B$2:$B$181,$A25,'Train detail'!$F$2:$F$181,"&lt;="&amp;2019)</f>
        <v>0</v>
      </c>
      <c r="N25" s="65" t="n">
        <f aca="false">SUMIFS('Train detail'!$G$2:$G$181,'Train detail'!$B$2:$B$181,$A25,'Train detail'!$F$2:$F$181,"&lt;="&amp;2020)</f>
        <v>0</v>
      </c>
      <c r="O25" s="65" t="n">
        <f aca="false">SUMIFS('Train detail'!$G$2:$G$181,'Train detail'!$B$2:$B$181,$A25,'Train detail'!$F$2:$F$181,"&lt;="&amp;2021)</f>
        <v>0</v>
      </c>
      <c r="P25" s="65" t="n">
        <f aca="false">SUMIFS('Train detail'!$G$2:$G$181,'Train detail'!$B$2:$B$181,$A25,'Train detail'!$F$2:$F$181,"&lt;="&amp;2022)</f>
        <v>0</v>
      </c>
      <c r="Q25" s="65" t="n">
        <f aca="false">SUMIFS('Train detail'!$G$2:$G$181,'Train detail'!$B$2:$B$181,$A25,'Train detail'!$F$2:$F$181,"&lt;="&amp;2023)</f>
        <v>0</v>
      </c>
      <c r="R25" s="65" t="n">
        <f aca="false">SUMIFS('Train detail'!$G$2:$G$181,'Train detail'!$B$2:$B$181,$A25,'Train detail'!$F$2:$F$181,"&lt;="&amp;2024)</f>
        <v>1.4</v>
      </c>
      <c r="S25" s="65" t="n">
        <f aca="false">SUMIFS('Train detail'!$G$2:$G$181,'Train detail'!$B$2:$B$181,$A25,'Train detail'!$F$2:$F$181,"&lt;="&amp;2025)</f>
        <v>1.4</v>
      </c>
    </row>
    <row r="26" customFormat="false" ht="15" hidden="false" customHeight="true" outlineLevel="0" collapsed="false">
      <c r="A26" s="56" t="s">
        <v>26</v>
      </c>
      <c r="B26" s="54" t="n">
        <v>2025</v>
      </c>
      <c r="C26" s="86" t="n">
        <f aca="false">SUMIFS('Train detail'!$G$2:$G$181,'Train detail'!$B$2:$B$181,$A26)</f>
        <v>7</v>
      </c>
      <c r="D26" s="57" t="n">
        <f aca="false">SUMIFS('Train detail'!$G$2:$G$181,'Train detail'!$B$2:$B$181,$A26,'Train detail'!$F$2:$F$181,"&lt;="&amp;2010)</f>
        <v>0</v>
      </c>
      <c r="E26" s="57" t="n">
        <f aca="false">SUMIFS('Train detail'!$G$2:$G$181,'Train detail'!$B$2:$B$181,$A26,'Train detail'!$F$2:$F$181,"&lt;="&amp;2011)</f>
        <v>0</v>
      </c>
      <c r="F26" s="57" t="n">
        <f aca="false">SUMIFS('Train detail'!$G$2:$G$181,'Train detail'!$B$2:$B$181,$A26,'Train detail'!$F$2:$F$181,"&lt;="&amp;2012)</f>
        <v>0</v>
      </c>
      <c r="G26" s="57" t="n">
        <f aca="false">SUMIFS('Train detail'!$G$2:$G$181,'Train detail'!$B$2:$B$181,$A26,'Train detail'!$F$2:$F$181,"&lt;="&amp;2013)</f>
        <v>0</v>
      </c>
      <c r="H26" s="57" t="n">
        <f aca="false">SUMIFS('Train detail'!$G$2:$G$181,'Train detail'!$B$2:$B$181,$A26,'Train detail'!$F$2:$F$181,"&lt;="&amp;2014)</f>
        <v>0</v>
      </c>
      <c r="I26" s="57" t="n">
        <f aca="false">SUMIFS('Train detail'!$G$2:$G$181,'Train detail'!$B$2:$B$181,$A26,'Train detail'!$F$2:$F$181,"&lt;="&amp;2015)</f>
        <v>0</v>
      </c>
      <c r="J26" s="57" t="n">
        <f aca="false">SUMIFS('Train detail'!$G$2:$G$181,'Train detail'!$B$2:$B$181,$A26,'Train detail'!$F$2:$F$181,"&lt;="&amp;2016)</f>
        <v>0</v>
      </c>
      <c r="K26" s="57" t="n">
        <f aca="false">SUMIFS('Train detail'!$G$2:$G$181,'Train detail'!$B$2:$B$181,$A26,'Train detail'!$F$2:$F$181,"&lt;="&amp;2017)</f>
        <v>0</v>
      </c>
      <c r="L26" s="57" t="n">
        <f aca="false">SUMIFS('Train detail'!$G$2:$G$181,'Train detail'!$B$2:$B$181,$A26,'Train detail'!$F$2:$F$181,"&lt;="&amp;2018)</f>
        <v>0</v>
      </c>
      <c r="M26" s="57" t="n">
        <f aca="false">SUMIFS('Train detail'!$G$2:$G$181,'Train detail'!$B$2:$B$181,$A26,'Train detail'!$F$2:$F$181,"&lt;="&amp;2019)</f>
        <v>0</v>
      </c>
      <c r="N26" s="57" t="n">
        <f aca="false">SUMIFS('Train detail'!$G$2:$G$181,'Train detail'!$B$2:$B$181,$A26,'Train detail'!$F$2:$F$181,"&lt;="&amp;2020)</f>
        <v>0</v>
      </c>
      <c r="O26" s="57" t="n">
        <f aca="false">SUMIFS('Train detail'!$G$2:$G$181,'Train detail'!$B$2:$B$181,$A26,'Train detail'!$F$2:$F$181,"&lt;="&amp;2021)</f>
        <v>0</v>
      </c>
      <c r="P26" s="57" t="n">
        <f aca="false">SUMIFS('Train detail'!$G$2:$G$181,'Train detail'!$B$2:$B$181,$A26,'Train detail'!$F$2:$F$181,"&lt;="&amp;2022)</f>
        <v>0</v>
      </c>
      <c r="Q26" s="57" t="n">
        <f aca="false">SUMIFS('Train detail'!$G$2:$G$181,'Train detail'!$B$2:$B$181,$A26,'Train detail'!$F$2:$F$181,"&lt;="&amp;2023)</f>
        <v>0</v>
      </c>
      <c r="R26" s="57" t="n">
        <f aca="false">SUMIFS('Train detail'!$G$2:$G$181,'Train detail'!$B$2:$B$181,$A26,'Train detail'!$F$2:$F$181,"&lt;="&amp;2024)</f>
        <v>0</v>
      </c>
      <c r="S26" s="57" t="n">
        <f aca="false">SUMIFS('Train detail'!$G$2:$G$181,'Train detail'!$B$2:$B$181,$A26,'Train detail'!$F$2:$F$181,"&lt;="&amp;2025)</f>
        <v>7</v>
      </c>
    </row>
    <row r="27" customFormat="false" ht="15" hidden="false" customHeight="true" outlineLevel="0" collapsed="false">
      <c r="A27" s="64" t="s">
        <v>33</v>
      </c>
      <c r="B27" s="62" t="n">
        <v>2025</v>
      </c>
      <c r="C27" s="87" t="n">
        <f aca="false">SUMIFS('Train detail'!$G$2:$G$181,'Train detail'!$B$2:$B$181,$A27)</f>
        <v>2.5</v>
      </c>
      <c r="D27" s="65" t="n">
        <f aca="false">SUMIFS('Train detail'!$G$2:$G$181,'Train detail'!$B$2:$B$181,$A27,'Train detail'!$F$2:$F$181,"&lt;="&amp;2010)</f>
        <v>0</v>
      </c>
      <c r="E27" s="65" t="n">
        <f aca="false">SUMIFS('Train detail'!$G$2:$G$181,'Train detail'!$B$2:$B$181,$A27,'Train detail'!$F$2:$F$181,"&lt;="&amp;2011)</f>
        <v>0</v>
      </c>
      <c r="F27" s="65" t="n">
        <f aca="false">SUMIFS('Train detail'!$G$2:$G$181,'Train detail'!$B$2:$B$181,$A27,'Train detail'!$F$2:$F$181,"&lt;="&amp;2012)</f>
        <v>0</v>
      </c>
      <c r="G27" s="65" t="n">
        <f aca="false">SUMIFS('Train detail'!$G$2:$G$181,'Train detail'!$B$2:$B$181,$A27,'Train detail'!$F$2:$F$181,"&lt;="&amp;2013)</f>
        <v>0</v>
      </c>
      <c r="H27" s="65" t="n">
        <f aca="false">SUMIFS('Train detail'!$G$2:$G$181,'Train detail'!$B$2:$B$181,$A27,'Train detail'!$F$2:$F$181,"&lt;="&amp;2014)</f>
        <v>0</v>
      </c>
      <c r="I27" s="65" t="n">
        <f aca="false">SUMIFS('Train detail'!$G$2:$G$181,'Train detail'!$B$2:$B$181,$A27,'Train detail'!$F$2:$F$181,"&lt;="&amp;2015)</f>
        <v>0</v>
      </c>
      <c r="J27" s="65" t="n">
        <f aca="false">SUMIFS('Train detail'!$G$2:$G$181,'Train detail'!$B$2:$B$181,$A27,'Train detail'!$F$2:$F$181,"&lt;="&amp;2016)</f>
        <v>0</v>
      </c>
      <c r="K27" s="65" t="n">
        <f aca="false">SUMIFS('Train detail'!$G$2:$G$181,'Train detail'!$B$2:$B$181,$A27,'Train detail'!$F$2:$F$181,"&lt;="&amp;2017)</f>
        <v>0</v>
      </c>
      <c r="L27" s="65" t="n">
        <f aca="false">SUMIFS('Train detail'!$G$2:$G$181,'Train detail'!$B$2:$B$181,$A27,'Train detail'!$F$2:$F$181,"&lt;="&amp;2018)</f>
        <v>0</v>
      </c>
      <c r="M27" s="65" t="n">
        <f aca="false">SUMIFS('Train detail'!$G$2:$G$181,'Train detail'!$B$2:$B$181,$A27,'Train detail'!$F$2:$F$181,"&lt;="&amp;2019)</f>
        <v>0</v>
      </c>
      <c r="N27" s="65" t="n">
        <f aca="false">SUMIFS('Train detail'!$G$2:$G$181,'Train detail'!$B$2:$B$181,$A27,'Train detail'!$F$2:$F$181,"&lt;="&amp;2020)</f>
        <v>0</v>
      </c>
      <c r="O27" s="65" t="n">
        <f aca="false">SUMIFS('Train detail'!$G$2:$G$181,'Train detail'!$B$2:$B$181,$A27,'Train detail'!$F$2:$F$181,"&lt;="&amp;2021)</f>
        <v>0</v>
      </c>
      <c r="P27" s="65" t="n">
        <f aca="false">SUMIFS('Train detail'!$G$2:$G$181,'Train detail'!$B$2:$B$181,$A27,'Train detail'!$F$2:$F$181,"&lt;="&amp;2022)</f>
        <v>0</v>
      </c>
      <c r="Q27" s="65" t="n">
        <f aca="false">SUMIFS('Train detail'!$G$2:$G$181,'Train detail'!$B$2:$B$181,$A27,'Train detail'!$F$2:$F$181,"&lt;="&amp;2023)</f>
        <v>0</v>
      </c>
      <c r="R27" s="65" t="n">
        <f aca="false">SUMIFS('Train detail'!$G$2:$G$181,'Train detail'!$B$2:$B$181,$A27,'Train detail'!$F$2:$F$181,"&lt;="&amp;2024)</f>
        <v>0</v>
      </c>
      <c r="S27" s="65" t="n">
        <f aca="false">SUMIFS('Train detail'!$G$2:$G$181,'Train detail'!$B$2:$B$181,$A27,'Train detail'!$F$2:$F$181,"&lt;="&amp;2025)</f>
        <v>2.5</v>
      </c>
    </row>
    <row r="28" customFormat="false" ht="15" hidden="false" customHeight="true" outlineLevel="0" collapsed="false">
      <c r="A28" s="88" t="s">
        <v>576</v>
      </c>
      <c r="B28" s="89"/>
      <c r="C28" s="90" t="n">
        <f aca="false">SUM(C2:C27)</f>
        <v>524.552</v>
      </c>
      <c r="D28" s="91" t="n">
        <f aca="false">SUM(D2:D27)</f>
        <v>255.77</v>
      </c>
      <c r="E28" s="91" t="n">
        <f aca="false">SUM(E2:E27)</f>
        <v>263.57</v>
      </c>
      <c r="F28" s="91" t="n">
        <f aca="false">SUM(F2:F27)</f>
        <v>268.47</v>
      </c>
      <c r="G28" s="91" t="n">
        <f aca="false">SUM(G2:G27)</f>
        <v>278.17</v>
      </c>
      <c r="H28" s="91" t="n">
        <f aca="false">SUM(H2:H27)</f>
        <v>289.77</v>
      </c>
      <c r="I28" s="91" t="n">
        <f aca="false">SUM(I2:I27)</f>
        <v>304.17</v>
      </c>
      <c r="J28" s="91" t="n">
        <f aca="false">SUM(J2:J27)</f>
        <v>342.67</v>
      </c>
      <c r="K28" s="91" t="n">
        <f aca="false">SUM(K2:K27)</f>
        <v>371.87</v>
      </c>
      <c r="L28" s="91" t="n">
        <f aca="false">SUM(L2:L27)</f>
        <v>399.42</v>
      </c>
      <c r="M28" s="91" t="n">
        <f aca="false">SUM(M2:M27)</f>
        <v>429.28</v>
      </c>
      <c r="N28" s="91" t="n">
        <f aca="false">SUM(N2:N27)</f>
        <v>449.98</v>
      </c>
      <c r="O28" s="91" t="n">
        <f aca="false">SUM(O2:O27)</f>
        <v>457.38</v>
      </c>
      <c r="P28" s="91" t="n">
        <f aca="false">SUM(P2:P27)</f>
        <v>477.252</v>
      </c>
      <c r="Q28" s="91" t="n">
        <f aca="false">SUM(Q2:Q27)</f>
        <v>481.052</v>
      </c>
      <c r="R28" s="91" t="n">
        <f aca="false">SUM(R2:R27)</f>
        <v>487.372</v>
      </c>
      <c r="S28" s="91" t="n">
        <f aca="false">SUM(S2:S27)</f>
        <v>524.552</v>
      </c>
    </row>
  </sheetData>
  <autoFilter ref="A1:S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0"/>
    <col collapsed="false" customWidth="true" hidden="false" outlineLevel="0" max="3" min="3" style="1" width="24"/>
    <col collapsed="false" customWidth="true" hidden="false" outlineLevel="0" max="4" min="4" style="1" width="26"/>
    <col collapsed="false" customWidth="true" hidden="false" outlineLevel="0" max="5" min="5" style="1" width="20"/>
    <col collapsed="false" customWidth="true" hidden="false" outlineLevel="0" max="6" min="6" style="1" width="12"/>
    <col collapsed="false" customWidth="true" hidden="false" outlineLevel="0" max="7" min="7" style="1" width="14"/>
    <col collapsed="false" customWidth="true" hidden="false" outlineLevel="0" max="8" min="8" style="1" width="52"/>
  </cols>
  <sheetData>
    <row r="1" customFormat="false" ht="15" hidden="false" customHeight="true" outlineLevel="0" collapsed="false">
      <c r="A1" s="84" t="s">
        <v>295</v>
      </c>
      <c r="B1" s="84" t="s">
        <v>119</v>
      </c>
      <c r="C1" s="84" t="s">
        <v>120</v>
      </c>
      <c r="D1" s="84" t="s">
        <v>296</v>
      </c>
      <c r="E1" s="84" t="s">
        <v>297</v>
      </c>
      <c r="F1" s="84" t="s">
        <v>577</v>
      </c>
      <c r="G1" s="84" t="s">
        <v>299</v>
      </c>
      <c r="H1" s="84" t="s">
        <v>300</v>
      </c>
    </row>
    <row r="2" customFormat="false" ht="15" hidden="false" customHeight="true" outlineLevel="0" collapsed="false">
      <c r="A2" s="54" t="s">
        <v>578</v>
      </c>
      <c r="B2" s="56" t="s">
        <v>45</v>
      </c>
      <c r="C2" s="56" t="s">
        <v>100</v>
      </c>
      <c r="D2" s="56" t="s">
        <v>579</v>
      </c>
      <c r="E2" s="56" t="s">
        <v>474</v>
      </c>
      <c r="F2" s="54" t="s">
        <v>580</v>
      </c>
      <c r="G2" s="57" t="n">
        <v>1.49</v>
      </c>
      <c r="H2" s="56" t="s">
        <v>581</v>
      </c>
    </row>
    <row r="3" customFormat="false" ht="15" hidden="false" customHeight="true" outlineLevel="0" collapsed="false">
      <c r="A3" s="62" t="s">
        <v>578</v>
      </c>
      <c r="B3" s="64" t="s">
        <v>45</v>
      </c>
      <c r="C3" s="64" t="s">
        <v>100</v>
      </c>
      <c r="D3" s="64" t="s">
        <v>582</v>
      </c>
      <c r="E3" s="64" t="s">
        <v>474</v>
      </c>
      <c r="F3" s="62" t="s">
        <v>580</v>
      </c>
      <c r="G3" s="65" t="n">
        <v>1.49</v>
      </c>
      <c r="H3" s="64" t="s">
        <v>581</v>
      </c>
    </row>
    <row r="4" customFormat="false" ht="15" hidden="false" customHeight="true" outlineLevel="0" collapsed="false">
      <c r="A4" s="54" t="s">
        <v>578</v>
      </c>
      <c r="B4" s="56" t="s">
        <v>45</v>
      </c>
      <c r="C4" s="56" t="s">
        <v>100</v>
      </c>
      <c r="D4" s="56" t="s">
        <v>583</v>
      </c>
      <c r="E4" s="56" t="s">
        <v>474</v>
      </c>
      <c r="F4" s="54" t="s">
        <v>580</v>
      </c>
      <c r="G4" s="57" t="n">
        <v>1.49</v>
      </c>
      <c r="H4" s="56" t="s">
        <v>581</v>
      </c>
    </row>
    <row r="5" customFormat="false" ht="15" hidden="false" customHeight="true" outlineLevel="0" collapsed="false">
      <c r="A5" s="62" t="s">
        <v>584</v>
      </c>
      <c r="B5" s="64" t="s">
        <v>28</v>
      </c>
      <c r="C5" s="64" t="s">
        <v>69</v>
      </c>
      <c r="D5" s="64" t="s">
        <v>585</v>
      </c>
      <c r="E5" s="64" t="s">
        <v>474</v>
      </c>
      <c r="F5" s="62" t="s">
        <v>580</v>
      </c>
      <c r="G5" s="65" t="n">
        <v>2.4</v>
      </c>
      <c r="H5" s="64" t="s">
        <v>586</v>
      </c>
    </row>
    <row r="6" customFormat="false" ht="15" hidden="false" customHeight="true" outlineLevel="0" collapsed="false">
      <c r="A6" s="54" t="s">
        <v>587</v>
      </c>
      <c r="B6" s="56" t="s">
        <v>45</v>
      </c>
      <c r="C6" s="56" t="s">
        <v>104</v>
      </c>
      <c r="D6" s="56" t="s">
        <v>588</v>
      </c>
      <c r="E6" s="56" t="s">
        <v>303</v>
      </c>
      <c r="F6" s="54" t="s">
        <v>580</v>
      </c>
      <c r="G6" s="57" t="n">
        <v>6</v>
      </c>
      <c r="H6" s="56" t="s">
        <v>589</v>
      </c>
    </row>
    <row r="7" customFormat="false" ht="15" hidden="false" customHeight="true" outlineLevel="0" collapsed="false">
      <c r="A7" s="62" t="s">
        <v>590</v>
      </c>
      <c r="B7" s="64" t="s">
        <v>34</v>
      </c>
      <c r="C7" s="64" t="s">
        <v>591</v>
      </c>
      <c r="D7" s="64" t="s">
        <v>592</v>
      </c>
      <c r="E7" s="64" t="s">
        <v>484</v>
      </c>
      <c r="F7" s="62" t="s">
        <v>580</v>
      </c>
      <c r="G7" s="65" t="n">
        <v>3.25</v>
      </c>
      <c r="H7" s="64" t="s">
        <v>593</v>
      </c>
    </row>
    <row r="8" customFormat="false" ht="15" hidden="false" customHeight="true" outlineLevel="0" collapsed="false">
      <c r="A8" s="54" t="s">
        <v>594</v>
      </c>
      <c r="B8" s="56" t="s">
        <v>26</v>
      </c>
      <c r="C8" s="56" t="s">
        <v>67</v>
      </c>
      <c r="D8" s="56" t="s">
        <v>595</v>
      </c>
      <c r="E8" s="56" t="s">
        <v>395</v>
      </c>
      <c r="F8" s="54" t="s">
        <v>575</v>
      </c>
      <c r="G8" s="57" t="n">
        <v>7</v>
      </c>
      <c r="H8" s="56" t="s">
        <v>596</v>
      </c>
    </row>
    <row r="9" customFormat="false" ht="15" hidden="false" customHeight="true" outlineLevel="0" collapsed="false">
      <c r="A9" s="62" t="s">
        <v>597</v>
      </c>
      <c r="B9" s="64" t="s">
        <v>41</v>
      </c>
      <c r="C9" s="64" t="s">
        <v>90</v>
      </c>
      <c r="D9" s="64" t="s">
        <v>598</v>
      </c>
      <c r="E9" s="64" t="s">
        <v>346</v>
      </c>
      <c r="F9" s="62" t="s">
        <v>599</v>
      </c>
      <c r="G9" s="65" t="n">
        <v>7.8</v>
      </c>
      <c r="H9" s="64" t="s">
        <v>600</v>
      </c>
    </row>
    <row r="10" customFormat="false" ht="15" hidden="false" customHeight="true" outlineLevel="0" collapsed="false">
      <c r="A10" s="54" t="s">
        <v>601</v>
      </c>
      <c r="B10" s="56" t="s">
        <v>36</v>
      </c>
      <c r="C10" s="56" t="s">
        <v>84</v>
      </c>
      <c r="D10" s="56" t="s">
        <v>602</v>
      </c>
      <c r="E10" s="56" t="s">
        <v>303</v>
      </c>
      <c r="F10" s="54" t="s">
        <v>599</v>
      </c>
      <c r="G10" s="57" t="n">
        <v>8</v>
      </c>
      <c r="H10" s="56" t="s">
        <v>603</v>
      </c>
    </row>
    <row r="11" customFormat="false" ht="15" hidden="false" customHeight="true" outlineLevel="0" collapsed="false">
      <c r="A11" s="62" t="s">
        <v>604</v>
      </c>
      <c r="B11" s="64" t="s">
        <v>23</v>
      </c>
      <c r="C11" s="64" t="s">
        <v>61</v>
      </c>
      <c r="D11" s="64" t="s">
        <v>605</v>
      </c>
      <c r="E11" s="64" t="s">
        <v>356</v>
      </c>
      <c r="F11" s="62" t="s">
        <v>599</v>
      </c>
      <c r="G11" s="65" t="n">
        <v>5</v>
      </c>
      <c r="H11" s="64" t="s">
        <v>606</v>
      </c>
    </row>
    <row r="12" customFormat="false" ht="15" hidden="false" customHeight="true" outlineLevel="0" collapsed="false">
      <c r="A12" s="54" t="s">
        <v>607</v>
      </c>
      <c r="B12" s="56" t="s">
        <v>34</v>
      </c>
      <c r="C12" s="56" t="s">
        <v>81</v>
      </c>
      <c r="D12" s="56" t="s">
        <v>608</v>
      </c>
      <c r="E12" s="56" t="s">
        <v>474</v>
      </c>
      <c r="F12" s="54" t="s">
        <v>599</v>
      </c>
      <c r="G12" s="57" t="n">
        <v>1.4</v>
      </c>
      <c r="H12" s="56" t="s">
        <v>609</v>
      </c>
    </row>
    <row r="13" customFormat="false" ht="15" hidden="false" customHeight="true" outlineLevel="0" collapsed="false">
      <c r="A13" s="62" t="s">
        <v>587</v>
      </c>
      <c r="B13" s="64" t="s">
        <v>45</v>
      </c>
      <c r="C13" s="64" t="s">
        <v>104</v>
      </c>
      <c r="D13" s="64" t="s">
        <v>610</v>
      </c>
      <c r="E13" s="64" t="s">
        <v>303</v>
      </c>
      <c r="F13" s="62" t="s">
        <v>599</v>
      </c>
      <c r="G13" s="65" t="n">
        <v>6</v>
      </c>
      <c r="H13" s="64" t="s">
        <v>589</v>
      </c>
    </row>
    <row r="14" customFormat="false" ht="15" hidden="false" customHeight="true" outlineLevel="0" collapsed="false">
      <c r="A14" s="54" t="s">
        <v>587</v>
      </c>
      <c r="B14" s="56" t="s">
        <v>45</v>
      </c>
      <c r="C14" s="56" t="s">
        <v>104</v>
      </c>
      <c r="D14" s="56" t="s">
        <v>611</v>
      </c>
      <c r="E14" s="56" t="s">
        <v>303</v>
      </c>
      <c r="F14" s="54" t="s">
        <v>599</v>
      </c>
      <c r="G14" s="57" t="n">
        <v>6</v>
      </c>
      <c r="H14" s="56" t="s">
        <v>589</v>
      </c>
    </row>
    <row r="15" customFormat="false" ht="15" hidden="false" customHeight="true" outlineLevel="0" collapsed="false">
      <c r="A15" s="62" t="s">
        <v>612</v>
      </c>
      <c r="B15" s="64" t="s">
        <v>45</v>
      </c>
      <c r="C15" s="64" t="s">
        <v>613</v>
      </c>
      <c r="D15" s="64" t="s">
        <v>614</v>
      </c>
      <c r="E15" s="64" t="s">
        <v>303</v>
      </c>
      <c r="F15" s="62" t="s">
        <v>599</v>
      </c>
      <c r="G15" s="65" t="n">
        <v>6.5</v>
      </c>
      <c r="H15" s="64" t="s">
        <v>615</v>
      </c>
    </row>
    <row r="16" customFormat="false" ht="15" hidden="false" customHeight="true" outlineLevel="0" collapsed="false">
      <c r="A16" s="54" t="s">
        <v>616</v>
      </c>
      <c r="B16" s="56" t="s">
        <v>26</v>
      </c>
      <c r="C16" s="56" t="s">
        <v>617</v>
      </c>
      <c r="D16" s="56" t="s">
        <v>618</v>
      </c>
      <c r="E16" s="56" t="s">
        <v>303</v>
      </c>
      <c r="F16" s="54" t="s">
        <v>599</v>
      </c>
      <c r="G16" s="57" t="n">
        <v>2.1</v>
      </c>
      <c r="H16" s="56" t="s">
        <v>619</v>
      </c>
    </row>
    <row r="17" customFormat="false" ht="15" hidden="false" customHeight="true" outlineLevel="0" collapsed="false">
      <c r="A17" s="62" t="s">
        <v>620</v>
      </c>
      <c r="B17" s="64" t="s">
        <v>32</v>
      </c>
      <c r="C17" s="64" t="s">
        <v>621</v>
      </c>
      <c r="D17" s="64" t="s">
        <v>622</v>
      </c>
      <c r="E17" s="64" t="s">
        <v>432</v>
      </c>
      <c r="F17" s="62" t="s">
        <v>599</v>
      </c>
      <c r="G17" s="65" t="n">
        <v>2</v>
      </c>
      <c r="H17" s="64" t="s">
        <v>623</v>
      </c>
    </row>
    <row r="18" customFormat="false" ht="15" hidden="false" customHeight="true" outlineLevel="0" collapsed="false">
      <c r="A18" s="54" t="s">
        <v>624</v>
      </c>
      <c r="B18" s="56" t="s">
        <v>31</v>
      </c>
      <c r="C18" s="56" t="s">
        <v>625</v>
      </c>
      <c r="D18" s="56" t="s">
        <v>625</v>
      </c>
      <c r="E18" s="56" t="s">
        <v>474</v>
      </c>
      <c r="F18" s="54" t="s">
        <v>599</v>
      </c>
      <c r="G18" s="57" t="n">
        <v>1.2</v>
      </c>
      <c r="H18" s="56" t="s">
        <v>626</v>
      </c>
    </row>
    <row r="19" customFormat="false" ht="15" hidden="false" customHeight="true" outlineLevel="0" collapsed="false">
      <c r="A19" s="62" t="s">
        <v>627</v>
      </c>
      <c r="B19" s="64" t="s">
        <v>628</v>
      </c>
      <c r="C19" s="64" t="s">
        <v>629</v>
      </c>
      <c r="D19" s="64" t="s">
        <v>629</v>
      </c>
      <c r="E19" s="64" t="s">
        <v>630</v>
      </c>
      <c r="F19" s="62" t="s">
        <v>599</v>
      </c>
      <c r="G19" s="65" t="n">
        <v>0.7</v>
      </c>
      <c r="H19" s="64" t="s">
        <v>631</v>
      </c>
    </row>
    <row r="20" customFormat="false" ht="15" hidden="false" customHeight="true" outlineLevel="0" collapsed="false">
      <c r="A20" s="54" t="s">
        <v>632</v>
      </c>
      <c r="B20" s="56" t="s">
        <v>45</v>
      </c>
      <c r="C20" s="56" t="s">
        <v>633</v>
      </c>
      <c r="D20" s="56" t="s">
        <v>634</v>
      </c>
      <c r="E20" s="56" t="s">
        <v>487</v>
      </c>
      <c r="F20" s="54" t="s">
        <v>599</v>
      </c>
      <c r="G20" s="57" t="n">
        <v>0.55</v>
      </c>
      <c r="H20" s="56" t="s">
        <v>635</v>
      </c>
    </row>
    <row r="21" customFormat="false" ht="15" hidden="false" customHeight="true" outlineLevel="0" collapsed="false">
      <c r="A21" s="62" t="s">
        <v>632</v>
      </c>
      <c r="B21" s="64" t="s">
        <v>45</v>
      </c>
      <c r="C21" s="64" t="s">
        <v>633</v>
      </c>
      <c r="D21" s="64" t="s">
        <v>636</v>
      </c>
      <c r="E21" s="64" t="s">
        <v>487</v>
      </c>
      <c r="F21" s="62" t="s">
        <v>599</v>
      </c>
      <c r="G21" s="65" t="n">
        <v>0.55</v>
      </c>
      <c r="H21" s="64" t="s">
        <v>635</v>
      </c>
    </row>
    <row r="22" customFormat="false" ht="15" hidden="false" customHeight="true" outlineLevel="0" collapsed="false">
      <c r="A22" s="54" t="s">
        <v>632</v>
      </c>
      <c r="B22" s="56" t="s">
        <v>45</v>
      </c>
      <c r="C22" s="56" t="s">
        <v>633</v>
      </c>
      <c r="D22" s="56" t="s">
        <v>637</v>
      </c>
      <c r="E22" s="56" t="s">
        <v>487</v>
      </c>
      <c r="F22" s="54" t="s">
        <v>599</v>
      </c>
      <c r="G22" s="57" t="n">
        <v>0.55</v>
      </c>
      <c r="H22" s="56" t="s">
        <v>635</v>
      </c>
    </row>
    <row r="23" customFormat="false" ht="15" hidden="false" customHeight="true" outlineLevel="0" collapsed="false">
      <c r="A23" s="62" t="s">
        <v>632</v>
      </c>
      <c r="B23" s="64" t="s">
        <v>45</v>
      </c>
      <c r="C23" s="64" t="s">
        <v>633</v>
      </c>
      <c r="D23" s="64" t="s">
        <v>638</v>
      </c>
      <c r="E23" s="64" t="s">
        <v>487</v>
      </c>
      <c r="F23" s="62" t="s">
        <v>599</v>
      </c>
      <c r="G23" s="65" t="n">
        <v>0.55</v>
      </c>
      <c r="H23" s="64" t="s">
        <v>635</v>
      </c>
    </row>
    <row r="24" customFormat="false" ht="15" hidden="false" customHeight="true" outlineLevel="0" collapsed="false">
      <c r="A24" s="54" t="s">
        <v>632</v>
      </c>
      <c r="B24" s="56" t="s">
        <v>45</v>
      </c>
      <c r="C24" s="56" t="s">
        <v>633</v>
      </c>
      <c r="D24" s="56" t="s">
        <v>639</v>
      </c>
      <c r="E24" s="56" t="s">
        <v>487</v>
      </c>
      <c r="F24" s="54" t="s">
        <v>599</v>
      </c>
      <c r="G24" s="57" t="n">
        <v>0.55</v>
      </c>
      <c r="H24" s="56" t="s">
        <v>635</v>
      </c>
    </row>
    <row r="25" customFormat="false" ht="15" hidden="false" customHeight="true" outlineLevel="0" collapsed="false">
      <c r="A25" s="62" t="s">
        <v>632</v>
      </c>
      <c r="B25" s="64" t="s">
        <v>45</v>
      </c>
      <c r="C25" s="64" t="s">
        <v>633</v>
      </c>
      <c r="D25" s="64" t="s">
        <v>640</v>
      </c>
      <c r="E25" s="64" t="s">
        <v>487</v>
      </c>
      <c r="F25" s="62" t="s">
        <v>599</v>
      </c>
      <c r="G25" s="65" t="n">
        <v>0.55</v>
      </c>
      <c r="H25" s="64" t="s">
        <v>635</v>
      </c>
    </row>
    <row r="26" customFormat="false" ht="15" hidden="false" customHeight="true" outlineLevel="0" collapsed="false">
      <c r="A26" s="54" t="s">
        <v>632</v>
      </c>
      <c r="B26" s="56" t="s">
        <v>45</v>
      </c>
      <c r="C26" s="56" t="s">
        <v>633</v>
      </c>
      <c r="D26" s="56" t="s">
        <v>641</v>
      </c>
      <c r="E26" s="56" t="s">
        <v>487</v>
      </c>
      <c r="F26" s="54" t="s">
        <v>599</v>
      </c>
      <c r="G26" s="57" t="n">
        <v>0.55</v>
      </c>
      <c r="H26" s="56" t="s">
        <v>635</v>
      </c>
    </row>
    <row r="27" customFormat="false" ht="15" hidden="false" customHeight="true" outlineLevel="0" collapsed="false">
      <c r="A27" s="62" t="s">
        <v>632</v>
      </c>
      <c r="B27" s="64" t="s">
        <v>45</v>
      </c>
      <c r="C27" s="64" t="s">
        <v>633</v>
      </c>
      <c r="D27" s="64" t="s">
        <v>642</v>
      </c>
      <c r="E27" s="64" t="s">
        <v>487</v>
      </c>
      <c r="F27" s="62" t="s">
        <v>599</v>
      </c>
      <c r="G27" s="65" t="n">
        <v>0.55</v>
      </c>
      <c r="H27" s="64" t="s">
        <v>635</v>
      </c>
    </row>
    <row r="28" customFormat="false" ht="15" hidden="false" customHeight="true" outlineLevel="0" collapsed="false">
      <c r="A28" s="54" t="s">
        <v>632</v>
      </c>
      <c r="B28" s="56" t="s">
        <v>45</v>
      </c>
      <c r="C28" s="56" t="s">
        <v>633</v>
      </c>
      <c r="D28" s="56" t="s">
        <v>643</v>
      </c>
      <c r="E28" s="56" t="s">
        <v>487</v>
      </c>
      <c r="F28" s="54" t="s">
        <v>599</v>
      </c>
      <c r="G28" s="57" t="n">
        <v>0.55</v>
      </c>
      <c r="H28" s="56" t="s">
        <v>635</v>
      </c>
    </row>
    <row r="29" customFormat="false" ht="15" hidden="false" customHeight="true" outlineLevel="0" collapsed="false">
      <c r="A29" s="62" t="s">
        <v>632</v>
      </c>
      <c r="B29" s="64" t="s">
        <v>45</v>
      </c>
      <c r="C29" s="64" t="s">
        <v>633</v>
      </c>
      <c r="D29" s="64" t="s">
        <v>644</v>
      </c>
      <c r="E29" s="64" t="s">
        <v>487</v>
      </c>
      <c r="F29" s="62" t="s">
        <v>599</v>
      </c>
      <c r="G29" s="65" t="n">
        <v>0.55</v>
      </c>
      <c r="H29" s="64" t="s">
        <v>635</v>
      </c>
    </row>
    <row r="30" customFormat="false" ht="15" hidden="false" customHeight="true" outlineLevel="0" collapsed="false">
      <c r="A30" s="54" t="s">
        <v>632</v>
      </c>
      <c r="B30" s="56" t="s">
        <v>45</v>
      </c>
      <c r="C30" s="56" t="s">
        <v>633</v>
      </c>
      <c r="D30" s="56" t="s">
        <v>645</v>
      </c>
      <c r="E30" s="56" t="s">
        <v>487</v>
      </c>
      <c r="F30" s="54" t="s">
        <v>599</v>
      </c>
      <c r="G30" s="57" t="n">
        <v>0.55</v>
      </c>
      <c r="H30" s="56" t="s">
        <v>635</v>
      </c>
    </row>
    <row r="31" customFormat="false" ht="15" hidden="false" customHeight="true" outlineLevel="0" collapsed="false">
      <c r="A31" s="62" t="s">
        <v>632</v>
      </c>
      <c r="B31" s="64" t="s">
        <v>45</v>
      </c>
      <c r="C31" s="64" t="s">
        <v>633</v>
      </c>
      <c r="D31" s="64" t="s">
        <v>646</v>
      </c>
      <c r="E31" s="64" t="s">
        <v>487</v>
      </c>
      <c r="F31" s="62" t="s">
        <v>599</v>
      </c>
      <c r="G31" s="65" t="n">
        <v>0.55</v>
      </c>
      <c r="H31" s="64" t="s">
        <v>635</v>
      </c>
    </row>
    <row r="32" customFormat="false" ht="15" hidden="false" customHeight="true" outlineLevel="0" collapsed="false">
      <c r="A32" s="54" t="s">
        <v>632</v>
      </c>
      <c r="B32" s="56" t="s">
        <v>45</v>
      </c>
      <c r="C32" s="56" t="s">
        <v>633</v>
      </c>
      <c r="D32" s="56" t="s">
        <v>647</v>
      </c>
      <c r="E32" s="56" t="s">
        <v>487</v>
      </c>
      <c r="F32" s="54" t="s">
        <v>599</v>
      </c>
      <c r="G32" s="57" t="n">
        <v>0.55</v>
      </c>
      <c r="H32" s="56" t="s">
        <v>635</v>
      </c>
    </row>
    <row r="33" customFormat="false" ht="15" hidden="false" customHeight="true" outlineLevel="0" collapsed="false">
      <c r="A33" s="62" t="s">
        <v>632</v>
      </c>
      <c r="B33" s="64" t="s">
        <v>45</v>
      </c>
      <c r="C33" s="64" t="s">
        <v>633</v>
      </c>
      <c r="D33" s="64" t="s">
        <v>648</v>
      </c>
      <c r="E33" s="64" t="s">
        <v>487</v>
      </c>
      <c r="F33" s="62" t="s">
        <v>599</v>
      </c>
      <c r="G33" s="65" t="n">
        <v>0.55</v>
      </c>
      <c r="H33" s="64" t="s">
        <v>635</v>
      </c>
    </row>
    <row r="34" customFormat="false" ht="15" hidden="false" customHeight="true" outlineLevel="0" collapsed="false">
      <c r="A34" s="54" t="s">
        <v>632</v>
      </c>
      <c r="B34" s="56" t="s">
        <v>45</v>
      </c>
      <c r="C34" s="56" t="s">
        <v>633</v>
      </c>
      <c r="D34" s="56" t="s">
        <v>649</v>
      </c>
      <c r="E34" s="56" t="s">
        <v>487</v>
      </c>
      <c r="F34" s="54" t="s">
        <v>599</v>
      </c>
      <c r="G34" s="57" t="n">
        <v>0.55</v>
      </c>
      <c r="H34" s="56" t="s">
        <v>635</v>
      </c>
    </row>
    <row r="35" customFormat="false" ht="15" hidden="false" customHeight="true" outlineLevel="0" collapsed="false">
      <c r="A35" s="62" t="s">
        <v>632</v>
      </c>
      <c r="B35" s="64" t="s">
        <v>45</v>
      </c>
      <c r="C35" s="64" t="s">
        <v>633</v>
      </c>
      <c r="D35" s="64" t="s">
        <v>650</v>
      </c>
      <c r="E35" s="64" t="s">
        <v>487</v>
      </c>
      <c r="F35" s="62" t="s">
        <v>599</v>
      </c>
      <c r="G35" s="65" t="n">
        <v>0.55</v>
      </c>
      <c r="H35" s="64" t="s">
        <v>635</v>
      </c>
    </row>
    <row r="36" customFormat="false" ht="15" hidden="false" customHeight="true" outlineLevel="0" collapsed="false">
      <c r="A36" s="54" t="s">
        <v>597</v>
      </c>
      <c r="B36" s="56" t="s">
        <v>41</v>
      </c>
      <c r="C36" s="56" t="s">
        <v>90</v>
      </c>
      <c r="D36" s="56" t="s">
        <v>651</v>
      </c>
      <c r="E36" s="56" t="s">
        <v>346</v>
      </c>
      <c r="F36" s="54" t="s">
        <v>652</v>
      </c>
      <c r="G36" s="57" t="n">
        <v>7.8</v>
      </c>
      <c r="H36" s="56" t="s">
        <v>600</v>
      </c>
    </row>
    <row r="37" customFormat="false" ht="15" hidden="false" customHeight="true" outlineLevel="0" collapsed="false">
      <c r="A37" s="62" t="s">
        <v>597</v>
      </c>
      <c r="B37" s="64" t="s">
        <v>41</v>
      </c>
      <c r="C37" s="64" t="s">
        <v>90</v>
      </c>
      <c r="D37" s="64" t="s">
        <v>653</v>
      </c>
      <c r="E37" s="64" t="s">
        <v>346</v>
      </c>
      <c r="F37" s="62" t="s">
        <v>652</v>
      </c>
      <c r="G37" s="65" t="n">
        <v>7.8</v>
      </c>
      <c r="H37" s="64" t="s">
        <v>600</v>
      </c>
    </row>
    <row r="38" customFormat="false" ht="15" hidden="false" customHeight="true" outlineLevel="0" collapsed="false">
      <c r="A38" s="54" t="s">
        <v>612</v>
      </c>
      <c r="B38" s="56" t="s">
        <v>45</v>
      </c>
      <c r="C38" s="56" t="s">
        <v>613</v>
      </c>
      <c r="D38" s="56" t="s">
        <v>654</v>
      </c>
      <c r="E38" s="56" t="s">
        <v>303</v>
      </c>
      <c r="F38" s="54" t="s">
        <v>652</v>
      </c>
      <c r="G38" s="57" t="n">
        <v>6.5</v>
      </c>
      <c r="H38" s="56" t="s">
        <v>615</v>
      </c>
    </row>
    <row r="39" customFormat="false" ht="15" hidden="false" customHeight="true" outlineLevel="0" collapsed="false">
      <c r="A39" s="62" t="s">
        <v>632</v>
      </c>
      <c r="B39" s="64" t="s">
        <v>45</v>
      </c>
      <c r="C39" s="64" t="s">
        <v>633</v>
      </c>
      <c r="D39" s="64" t="s">
        <v>655</v>
      </c>
      <c r="E39" s="64" t="s">
        <v>487</v>
      </c>
      <c r="F39" s="62" t="s">
        <v>652</v>
      </c>
      <c r="G39" s="65" t="n">
        <v>0.55</v>
      </c>
      <c r="H39" s="64" t="s">
        <v>635</v>
      </c>
    </row>
    <row r="40" customFormat="false" ht="15" hidden="false" customHeight="true" outlineLevel="0" collapsed="false">
      <c r="A40" s="54" t="s">
        <v>632</v>
      </c>
      <c r="B40" s="56" t="s">
        <v>45</v>
      </c>
      <c r="C40" s="56" t="s">
        <v>633</v>
      </c>
      <c r="D40" s="56" t="s">
        <v>656</v>
      </c>
      <c r="E40" s="56" t="s">
        <v>487</v>
      </c>
      <c r="F40" s="54" t="s">
        <v>652</v>
      </c>
      <c r="G40" s="57" t="n">
        <v>0.55</v>
      </c>
      <c r="H40" s="56" t="s">
        <v>635</v>
      </c>
    </row>
    <row r="41" customFormat="false" ht="15" hidden="false" customHeight="true" outlineLevel="0" collapsed="false">
      <c r="A41" s="62" t="s">
        <v>632</v>
      </c>
      <c r="B41" s="64" t="s">
        <v>45</v>
      </c>
      <c r="C41" s="64" t="s">
        <v>633</v>
      </c>
      <c r="D41" s="64" t="s">
        <v>657</v>
      </c>
      <c r="E41" s="64" t="s">
        <v>487</v>
      </c>
      <c r="F41" s="62" t="s">
        <v>652</v>
      </c>
      <c r="G41" s="65" t="n">
        <v>0.55</v>
      </c>
      <c r="H41" s="64" t="s">
        <v>635</v>
      </c>
    </row>
    <row r="42" customFormat="false" ht="15" hidden="false" customHeight="true" outlineLevel="0" collapsed="false">
      <c r="A42" s="54" t="s">
        <v>632</v>
      </c>
      <c r="B42" s="56" t="s">
        <v>45</v>
      </c>
      <c r="C42" s="56" t="s">
        <v>633</v>
      </c>
      <c r="D42" s="56" t="s">
        <v>658</v>
      </c>
      <c r="E42" s="56" t="s">
        <v>487</v>
      </c>
      <c r="F42" s="54" t="s">
        <v>652</v>
      </c>
      <c r="G42" s="57" t="n">
        <v>0.55</v>
      </c>
      <c r="H42" s="56" t="s">
        <v>635</v>
      </c>
    </row>
    <row r="43" customFormat="false" ht="15" hidden="false" customHeight="true" outlineLevel="0" collapsed="false">
      <c r="A43" s="62" t="s">
        <v>632</v>
      </c>
      <c r="B43" s="64" t="s">
        <v>45</v>
      </c>
      <c r="C43" s="64" t="s">
        <v>633</v>
      </c>
      <c r="D43" s="64" t="s">
        <v>659</v>
      </c>
      <c r="E43" s="64" t="s">
        <v>487</v>
      </c>
      <c r="F43" s="62" t="s">
        <v>652</v>
      </c>
      <c r="G43" s="65" t="n">
        <v>0.55</v>
      </c>
      <c r="H43" s="64" t="s">
        <v>635</v>
      </c>
    </row>
    <row r="44" customFormat="false" ht="15" hidden="false" customHeight="true" outlineLevel="0" collapsed="false">
      <c r="A44" s="54" t="s">
        <v>632</v>
      </c>
      <c r="B44" s="56" t="s">
        <v>45</v>
      </c>
      <c r="C44" s="56" t="s">
        <v>633</v>
      </c>
      <c r="D44" s="56" t="s">
        <v>660</v>
      </c>
      <c r="E44" s="56" t="s">
        <v>487</v>
      </c>
      <c r="F44" s="54" t="s">
        <v>652</v>
      </c>
      <c r="G44" s="57" t="n">
        <v>0.55</v>
      </c>
      <c r="H44" s="56" t="s">
        <v>635</v>
      </c>
    </row>
    <row r="45" customFormat="false" ht="15" hidden="false" customHeight="true" outlineLevel="0" collapsed="false">
      <c r="A45" s="62" t="s">
        <v>632</v>
      </c>
      <c r="B45" s="64" t="s">
        <v>45</v>
      </c>
      <c r="C45" s="64" t="s">
        <v>633</v>
      </c>
      <c r="D45" s="64" t="s">
        <v>661</v>
      </c>
      <c r="E45" s="64" t="s">
        <v>487</v>
      </c>
      <c r="F45" s="62" t="s">
        <v>652</v>
      </c>
      <c r="G45" s="65" t="n">
        <v>0.55</v>
      </c>
      <c r="H45" s="64" t="s">
        <v>635</v>
      </c>
    </row>
    <row r="46" customFormat="false" ht="15" hidden="false" customHeight="true" outlineLevel="0" collapsed="false">
      <c r="A46" s="54" t="s">
        <v>632</v>
      </c>
      <c r="B46" s="56" t="s">
        <v>45</v>
      </c>
      <c r="C46" s="56" t="s">
        <v>633</v>
      </c>
      <c r="D46" s="56" t="s">
        <v>662</v>
      </c>
      <c r="E46" s="56" t="s">
        <v>487</v>
      </c>
      <c r="F46" s="54" t="s">
        <v>652</v>
      </c>
      <c r="G46" s="57" t="n">
        <v>0.55</v>
      </c>
      <c r="H46" s="56" t="s">
        <v>635</v>
      </c>
    </row>
    <row r="47" customFormat="false" ht="15" hidden="false" customHeight="true" outlineLevel="0" collapsed="false">
      <c r="A47" s="62" t="s">
        <v>632</v>
      </c>
      <c r="B47" s="64" t="s">
        <v>45</v>
      </c>
      <c r="C47" s="64" t="s">
        <v>633</v>
      </c>
      <c r="D47" s="64" t="s">
        <v>663</v>
      </c>
      <c r="E47" s="64" t="s">
        <v>487</v>
      </c>
      <c r="F47" s="62" t="s">
        <v>652</v>
      </c>
      <c r="G47" s="65" t="n">
        <v>0.55</v>
      </c>
      <c r="H47" s="64" t="s">
        <v>635</v>
      </c>
    </row>
    <row r="48" customFormat="false" ht="15" hidden="false" customHeight="true" outlineLevel="0" collapsed="false">
      <c r="A48" s="54" t="s">
        <v>632</v>
      </c>
      <c r="B48" s="56" t="s">
        <v>45</v>
      </c>
      <c r="C48" s="56" t="s">
        <v>633</v>
      </c>
      <c r="D48" s="56" t="s">
        <v>664</v>
      </c>
      <c r="E48" s="56" t="s">
        <v>487</v>
      </c>
      <c r="F48" s="54" t="s">
        <v>652</v>
      </c>
      <c r="G48" s="57" t="n">
        <v>0.55</v>
      </c>
      <c r="H48" s="56" t="s">
        <v>635</v>
      </c>
    </row>
    <row r="49" customFormat="false" ht="15" hidden="false" customHeight="true" outlineLevel="0" collapsed="false">
      <c r="A49" s="62" t="s">
        <v>665</v>
      </c>
      <c r="B49" s="64" t="s">
        <v>45</v>
      </c>
      <c r="C49" s="64" t="s">
        <v>666</v>
      </c>
      <c r="D49" s="64" t="s">
        <v>667</v>
      </c>
      <c r="E49" s="64" t="s">
        <v>303</v>
      </c>
      <c r="F49" s="62" t="s">
        <v>652</v>
      </c>
      <c r="G49" s="65" t="n">
        <v>5.87</v>
      </c>
      <c r="H49" s="64" t="s">
        <v>668</v>
      </c>
    </row>
    <row r="50" customFormat="false" ht="15" hidden="false" customHeight="true" outlineLevel="0" collapsed="false">
      <c r="A50" s="54" t="s">
        <v>665</v>
      </c>
      <c r="B50" s="56" t="s">
        <v>45</v>
      </c>
      <c r="C50" s="56" t="s">
        <v>666</v>
      </c>
      <c r="D50" s="56" t="s">
        <v>669</v>
      </c>
      <c r="E50" s="56" t="s">
        <v>303</v>
      </c>
      <c r="F50" s="54" t="s">
        <v>652</v>
      </c>
      <c r="G50" s="57" t="n">
        <v>5.87</v>
      </c>
      <c r="H50" s="56" t="s">
        <v>668</v>
      </c>
    </row>
    <row r="51" customFormat="false" ht="15" hidden="false" customHeight="true" outlineLevel="0" collapsed="false">
      <c r="A51" s="62" t="s">
        <v>670</v>
      </c>
      <c r="B51" s="64" t="s">
        <v>38</v>
      </c>
      <c r="C51" s="64" t="s">
        <v>671</v>
      </c>
      <c r="D51" s="64" t="s">
        <v>672</v>
      </c>
      <c r="E51" s="64" t="s">
        <v>673</v>
      </c>
      <c r="F51" s="62" t="s">
        <v>652</v>
      </c>
      <c r="G51" s="65" t="n">
        <v>1</v>
      </c>
      <c r="H51" s="64" t="s">
        <v>674</v>
      </c>
    </row>
    <row r="52" customFormat="false" ht="15" hidden="false" customHeight="true" outlineLevel="0" collapsed="false">
      <c r="A52" s="54" t="s">
        <v>675</v>
      </c>
      <c r="B52" s="56" t="s">
        <v>44</v>
      </c>
      <c r="C52" s="56" t="s">
        <v>676</v>
      </c>
      <c r="D52" s="56" t="s">
        <v>677</v>
      </c>
      <c r="E52" s="56" t="s">
        <v>303</v>
      </c>
      <c r="F52" s="54" t="s">
        <v>652</v>
      </c>
      <c r="G52" s="57" t="n">
        <v>4.8</v>
      </c>
      <c r="H52" s="56" t="s">
        <v>678</v>
      </c>
    </row>
    <row r="53" customFormat="false" ht="15" hidden="false" customHeight="true" outlineLevel="0" collapsed="false">
      <c r="A53" s="62" t="s">
        <v>675</v>
      </c>
      <c r="B53" s="64" t="s">
        <v>44</v>
      </c>
      <c r="C53" s="64" t="s">
        <v>676</v>
      </c>
      <c r="D53" s="64" t="s">
        <v>679</v>
      </c>
      <c r="E53" s="64" t="s">
        <v>303</v>
      </c>
      <c r="F53" s="62" t="s">
        <v>652</v>
      </c>
      <c r="G53" s="65" t="n">
        <v>4.8</v>
      </c>
      <c r="H53" s="64" t="s">
        <v>678</v>
      </c>
    </row>
    <row r="54" customFormat="false" ht="15" hidden="false" customHeight="true" outlineLevel="0" collapsed="false">
      <c r="A54" s="54" t="s">
        <v>680</v>
      </c>
      <c r="B54" s="56" t="s">
        <v>681</v>
      </c>
      <c r="C54" s="56" t="s">
        <v>682</v>
      </c>
      <c r="D54" s="56" t="s">
        <v>682</v>
      </c>
      <c r="E54" s="56" t="s">
        <v>448</v>
      </c>
      <c r="F54" s="54" t="s">
        <v>652</v>
      </c>
      <c r="G54" s="57" t="n">
        <v>2.45</v>
      </c>
      <c r="H54" s="56" t="s">
        <v>683</v>
      </c>
    </row>
    <row r="55" customFormat="false" ht="15" hidden="false" customHeight="true" outlineLevel="0" collapsed="false">
      <c r="A55" s="62" t="s">
        <v>680</v>
      </c>
      <c r="B55" s="64" t="s">
        <v>681</v>
      </c>
      <c r="C55" s="64" t="s">
        <v>682</v>
      </c>
      <c r="D55" s="64" t="s">
        <v>684</v>
      </c>
      <c r="E55" s="64" t="s">
        <v>448</v>
      </c>
      <c r="F55" s="62" t="s">
        <v>652</v>
      </c>
      <c r="G55" s="65" t="n">
        <v>3.5</v>
      </c>
      <c r="H55" s="64" t="s">
        <v>683</v>
      </c>
    </row>
    <row r="56" customFormat="false" ht="15" hidden="false" customHeight="true" outlineLevel="0" collapsed="false">
      <c r="A56" s="54" t="s">
        <v>597</v>
      </c>
      <c r="B56" s="56" t="s">
        <v>41</v>
      </c>
      <c r="C56" s="56" t="s">
        <v>90</v>
      </c>
      <c r="D56" s="56" t="s">
        <v>685</v>
      </c>
      <c r="E56" s="56" t="s">
        <v>346</v>
      </c>
      <c r="F56" s="54" t="s">
        <v>686</v>
      </c>
      <c r="G56" s="57" t="n">
        <v>7.8</v>
      </c>
      <c r="H56" s="56" t="s">
        <v>600</v>
      </c>
    </row>
    <row r="57" customFormat="false" ht="15" hidden="false" customHeight="true" outlineLevel="0" collapsed="false">
      <c r="A57" s="62" t="s">
        <v>632</v>
      </c>
      <c r="B57" s="64" t="s">
        <v>45</v>
      </c>
      <c r="C57" s="64" t="s">
        <v>633</v>
      </c>
      <c r="D57" s="64" t="s">
        <v>687</v>
      </c>
      <c r="E57" s="64" t="s">
        <v>487</v>
      </c>
      <c r="F57" s="62" t="s">
        <v>686</v>
      </c>
      <c r="G57" s="65" t="n">
        <v>0.55</v>
      </c>
      <c r="H57" s="64" t="s">
        <v>635</v>
      </c>
    </row>
    <row r="58" customFormat="false" ht="15" hidden="false" customHeight="true" outlineLevel="0" collapsed="false">
      <c r="A58" s="54" t="s">
        <v>632</v>
      </c>
      <c r="B58" s="56" t="s">
        <v>45</v>
      </c>
      <c r="C58" s="56" t="s">
        <v>633</v>
      </c>
      <c r="D58" s="56" t="s">
        <v>688</v>
      </c>
      <c r="E58" s="56" t="s">
        <v>487</v>
      </c>
      <c r="F58" s="54" t="s">
        <v>686</v>
      </c>
      <c r="G58" s="57" t="n">
        <v>0.55</v>
      </c>
      <c r="H58" s="56" t="s">
        <v>635</v>
      </c>
    </row>
    <row r="59" customFormat="false" ht="15" hidden="false" customHeight="true" outlineLevel="0" collapsed="false">
      <c r="A59" s="62" t="s">
        <v>632</v>
      </c>
      <c r="B59" s="64" t="s">
        <v>45</v>
      </c>
      <c r="C59" s="64" t="s">
        <v>633</v>
      </c>
      <c r="D59" s="64" t="s">
        <v>689</v>
      </c>
      <c r="E59" s="64" t="s">
        <v>487</v>
      </c>
      <c r="F59" s="62" t="s">
        <v>686</v>
      </c>
      <c r="G59" s="65" t="n">
        <v>0.55</v>
      </c>
      <c r="H59" s="64" t="s">
        <v>635</v>
      </c>
    </row>
    <row r="60" customFormat="false" ht="15" hidden="false" customHeight="true" outlineLevel="0" collapsed="false">
      <c r="A60" s="54" t="s">
        <v>632</v>
      </c>
      <c r="B60" s="56" t="s">
        <v>45</v>
      </c>
      <c r="C60" s="56" t="s">
        <v>633</v>
      </c>
      <c r="D60" s="56" t="s">
        <v>690</v>
      </c>
      <c r="E60" s="56" t="s">
        <v>487</v>
      </c>
      <c r="F60" s="54" t="s">
        <v>686</v>
      </c>
      <c r="G60" s="57" t="n">
        <v>0.55</v>
      </c>
      <c r="H60" s="56" t="s">
        <v>635</v>
      </c>
    </row>
    <row r="61" customFormat="false" ht="15" hidden="false" customHeight="true" outlineLevel="0" collapsed="false">
      <c r="A61" s="62" t="s">
        <v>632</v>
      </c>
      <c r="B61" s="64" t="s">
        <v>45</v>
      </c>
      <c r="C61" s="64" t="s">
        <v>633</v>
      </c>
      <c r="D61" s="64" t="s">
        <v>691</v>
      </c>
      <c r="E61" s="64" t="s">
        <v>487</v>
      </c>
      <c r="F61" s="62" t="s">
        <v>686</v>
      </c>
      <c r="G61" s="65" t="n">
        <v>0.55</v>
      </c>
      <c r="H61" s="64" t="s">
        <v>635</v>
      </c>
    </row>
    <row r="62" customFormat="false" ht="15" hidden="false" customHeight="true" outlineLevel="0" collapsed="false">
      <c r="A62" s="54" t="s">
        <v>632</v>
      </c>
      <c r="B62" s="56" t="s">
        <v>45</v>
      </c>
      <c r="C62" s="56" t="s">
        <v>633</v>
      </c>
      <c r="D62" s="56" t="s">
        <v>692</v>
      </c>
      <c r="E62" s="56" t="s">
        <v>487</v>
      </c>
      <c r="F62" s="54" t="s">
        <v>686</v>
      </c>
      <c r="G62" s="57" t="n">
        <v>0.55</v>
      </c>
      <c r="H62" s="56" t="s">
        <v>635</v>
      </c>
    </row>
    <row r="63" customFormat="false" ht="15" hidden="false" customHeight="true" outlineLevel="0" collapsed="false">
      <c r="A63" s="62" t="s">
        <v>632</v>
      </c>
      <c r="B63" s="64" t="s">
        <v>45</v>
      </c>
      <c r="C63" s="64" t="s">
        <v>633</v>
      </c>
      <c r="D63" s="64" t="s">
        <v>693</v>
      </c>
      <c r="E63" s="64" t="s">
        <v>487</v>
      </c>
      <c r="F63" s="62" t="s">
        <v>686</v>
      </c>
      <c r="G63" s="65" t="n">
        <v>0.55</v>
      </c>
      <c r="H63" s="64" t="s">
        <v>635</v>
      </c>
    </row>
    <row r="64" customFormat="false" ht="15" hidden="false" customHeight="true" outlineLevel="0" collapsed="false">
      <c r="A64" s="54" t="s">
        <v>632</v>
      </c>
      <c r="B64" s="56" t="s">
        <v>45</v>
      </c>
      <c r="C64" s="56" t="s">
        <v>633</v>
      </c>
      <c r="D64" s="56" t="s">
        <v>694</v>
      </c>
      <c r="E64" s="56" t="s">
        <v>487</v>
      </c>
      <c r="F64" s="54" t="s">
        <v>686</v>
      </c>
      <c r="G64" s="57" t="n">
        <v>0.55</v>
      </c>
      <c r="H64" s="56" t="s">
        <v>635</v>
      </c>
    </row>
    <row r="65" customFormat="false" ht="15" hidden="false" customHeight="true" outlineLevel="0" collapsed="false">
      <c r="A65" s="62" t="s">
        <v>632</v>
      </c>
      <c r="B65" s="64" t="s">
        <v>45</v>
      </c>
      <c r="C65" s="64" t="s">
        <v>633</v>
      </c>
      <c r="D65" s="64" t="s">
        <v>695</v>
      </c>
      <c r="E65" s="64" t="s">
        <v>487</v>
      </c>
      <c r="F65" s="62" t="s">
        <v>686</v>
      </c>
      <c r="G65" s="65" t="n">
        <v>0.55</v>
      </c>
      <c r="H65" s="64" t="s">
        <v>635</v>
      </c>
    </row>
    <row r="66" customFormat="false" ht="15" hidden="false" customHeight="true" outlineLevel="0" collapsed="false">
      <c r="A66" s="54" t="s">
        <v>632</v>
      </c>
      <c r="B66" s="56" t="s">
        <v>45</v>
      </c>
      <c r="C66" s="56" t="s">
        <v>633</v>
      </c>
      <c r="D66" s="56" t="s">
        <v>696</v>
      </c>
      <c r="E66" s="56" t="s">
        <v>487</v>
      </c>
      <c r="F66" s="54" t="s">
        <v>686</v>
      </c>
      <c r="G66" s="57" t="n">
        <v>0.55</v>
      </c>
      <c r="H66" s="56" t="s">
        <v>635</v>
      </c>
    </row>
    <row r="67" customFormat="false" ht="15" hidden="false" customHeight="true" outlineLevel="0" collapsed="false">
      <c r="A67" s="62" t="s">
        <v>665</v>
      </c>
      <c r="B67" s="64" t="s">
        <v>45</v>
      </c>
      <c r="C67" s="64" t="s">
        <v>666</v>
      </c>
      <c r="D67" s="64" t="s">
        <v>697</v>
      </c>
      <c r="E67" s="64" t="s">
        <v>303</v>
      </c>
      <c r="F67" s="62" t="s">
        <v>686</v>
      </c>
      <c r="G67" s="65" t="n">
        <v>5.87</v>
      </c>
      <c r="H67" s="64" t="s">
        <v>668</v>
      </c>
    </row>
    <row r="68" customFormat="false" ht="15" hidden="false" customHeight="true" outlineLevel="0" collapsed="false">
      <c r="A68" s="54" t="s">
        <v>698</v>
      </c>
      <c r="B68" s="56" t="s">
        <v>26</v>
      </c>
      <c r="C68" s="56" t="s">
        <v>699</v>
      </c>
      <c r="D68" s="56" t="s">
        <v>700</v>
      </c>
      <c r="E68" s="56" t="s">
        <v>448</v>
      </c>
      <c r="F68" s="54" t="s">
        <v>686</v>
      </c>
      <c r="G68" s="57" t="n">
        <v>3.3</v>
      </c>
      <c r="H68" s="56" t="s">
        <v>701</v>
      </c>
    </row>
    <row r="69" customFormat="false" ht="15" hidden="false" customHeight="true" outlineLevel="0" collapsed="false">
      <c r="A69" s="62" t="s">
        <v>702</v>
      </c>
      <c r="B69" s="64" t="s">
        <v>35</v>
      </c>
      <c r="C69" s="64" t="s">
        <v>703</v>
      </c>
      <c r="D69" s="64" t="s">
        <v>703</v>
      </c>
      <c r="E69" s="64" t="s">
        <v>484</v>
      </c>
      <c r="F69" s="62" t="s">
        <v>686</v>
      </c>
      <c r="G69" s="65" t="n">
        <v>3.6</v>
      </c>
      <c r="H69" s="64" t="s">
        <v>704</v>
      </c>
    </row>
    <row r="70" customFormat="false" ht="15" hidden="false" customHeight="true" outlineLevel="0" collapsed="false">
      <c r="A70" s="54" t="s">
        <v>705</v>
      </c>
      <c r="B70" s="56" t="s">
        <v>45</v>
      </c>
      <c r="C70" s="56" t="s">
        <v>706</v>
      </c>
      <c r="D70" s="56" t="s">
        <v>707</v>
      </c>
      <c r="E70" s="56" t="s">
        <v>474</v>
      </c>
      <c r="F70" s="54" t="s">
        <v>686</v>
      </c>
      <c r="G70" s="57" t="n">
        <v>5.5</v>
      </c>
      <c r="H70" s="56" t="s">
        <v>708</v>
      </c>
    </row>
    <row r="71" customFormat="false" ht="15" hidden="false" customHeight="true" outlineLevel="0" collapsed="false">
      <c r="A71" s="62" t="s">
        <v>597</v>
      </c>
      <c r="B71" s="64" t="s">
        <v>41</v>
      </c>
      <c r="C71" s="64" t="s">
        <v>90</v>
      </c>
      <c r="D71" s="64" t="s">
        <v>709</v>
      </c>
      <c r="E71" s="64" t="s">
        <v>346</v>
      </c>
      <c r="F71" s="62" t="s">
        <v>710</v>
      </c>
      <c r="G71" s="65" t="n">
        <v>7.8</v>
      </c>
      <c r="H71" s="64" t="s">
        <v>711</v>
      </c>
    </row>
    <row r="72" customFormat="false" ht="15" hidden="false" customHeight="true" outlineLevel="0" collapsed="false">
      <c r="A72" s="54" t="s">
        <v>578</v>
      </c>
      <c r="B72" s="56" t="s">
        <v>45</v>
      </c>
      <c r="C72" s="56" t="s">
        <v>100</v>
      </c>
      <c r="D72" s="56" t="s">
        <v>712</v>
      </c>
      <c r="E72" s="56" t="s">
        <v>356</v>
      </c>
      <c r="F72" s="54" t="s">
        <v>710</v>
      </c>
      <c r="G72" s="57" t="n">
        <v>1.49</v>
      </c>
      <c r="H72" s="56" t="s">
        <v>581</v>
      </c>
    </row>
    <row r="73" customFormat="false" ht="15" hidden="false" customHeight="true" outlineLevel="0" collapsed="false">
      <c r="A73" s="62" t="s">
        <v>578</v>
      </c>
      <c r="B73" s="64" t="s">
        <v>45</v>
      </c>
      <c r="C73" s="64" t="s">
        <v>100</v>
      </c>
      <c r="D73" s="64" t="s">
        <v>713</v>
      </c>
      <c r="E73" s="64" t="s">
        <v>356</v>
      </c>
      <c r="F73" s="62" t="s">
        <v>710</v>
      </c>
      <c r="G73" s="65" t="n">
        <v>1.49</v>
      </c>
      <c r="H73" s="64" t="s">
        <v>581</v>
      </c>
    </row>
    <row r="74" customFormat="false" ht="15" hidden="false" customHeight="true" outlineLevel="0" collapsed="false">
      <c r="A74" s="54" t="s">
        <v>612</v>
      </c>
      <c r="B74" s="56" t="s">
        <v>45</v>
      </c>
      <c r="C74" s="56" t="s">
        <v>613</v>
      </c>
      <c r="D74" s="56" t="s">
        <v>714</v>
      </c>
      <c r="E74" s="56" t="s">
        <v>303</v>
      </c>
      <c r="F74" s="54" t="s">
        <v>710</v>
      </c>
      <c r="G74" s="57" t="n">
        <v>6.5</v>
      </c>
      <c r="H74" s="56" t="s">
        <v>715</v>
      </c>
    </row>
    <row r="75" customFormat="false" ht="15" hidden="false" customHeight="true" outlineLevel="0" collapsed="false">
      <c r="A75" s="62" t="s">
        <v>665</v>
      </c>
      <c r="B75" s="64" t="s">
        <v>45</v>
      </c>
      <c r="C75" s="64" t="s">
        <v>666</v>
      </c>
      <c r="D75" s="64" t="s">
        <v>716</v>
      </c>
      <c r="E75" s="64" t="s">
        <v>303</v>
      </c>
      <c r="F75" s="62" t="s">
        <v>710</v>
      </c>
      <c r="G75" s="65" t="n">
        <v>6</v>
      </c>
      <c r="H75" s="64" t="s">
        <v>717</v>
      </c>
    </row>
    <row r="76" customFormat="false" ht="15" hidden="false" customHeight="true" outlineLevel="0" collapsed="false">
      <c r="A76" s="54" t="s">
        <v>705</v>
      </c>
      <c r="B76" s="56" t="s">
        <v>45</v>
      </c>
      <c r="C76" s="56" t="s">
        <v>706</v>
      </c>
      <c r="D76" s="56" t="s">
        <v>718</v>
      </c>
      <c r="E76" s="56" t="s">
        <v>474</v>
      </c>
      <c r="F76" s="54" t="s">
        <v>710</v>
      </c>
      <c r="G76" s="57" t="n">
        <v>5.5</v>
      </c>
      <c r="H76" s="56" t="s">
        <v>708</v>
      </c>
    </row>
    <row r="77" customFormat="false" ht="15" hidden="false" customHeight="true" outlineLevel="0" collapsed="false">
      <c r="A77" s="62" t="s">
        <v>719</v>
      </c>
      <c r="B77" s="64" t="s">
        <v>720</v>
      </c>
      <c r="C77" s="64" t="s">
        <v>721</v>
      </c>
      <c r="D77" s="64" t="s">
        <v>722</v>
      </c>
      <c r="E77" s="64" t="s">
        <v>723</v>
      </c>
      <c r="F77" s="62" t="s">
        <v>724</v>
      </c>
      <c r="G77" s="62" t="s">
        <v>725</v>
      </c>
      <c r="H77" s="64" t="s">
        <v>726</v>
      </c>
    </row>
    <row r="78" customFormat="false" ht="15" hidden="false" customHeight="true" outlineLevel="0" collapsed="false">
      <c r="A78" s="54" t="s">
        <v>727</v>
      </c>
      <c r="B78" s="56" t="s">
        <v>728</v>
      </c>
      <c r="C78" s="56" t="s">
        <v>729</v>
      </c>
      <c r="D78" s="56" t="s">
        <v>730</v>
      </c>
      <c r="E78" s="56" t="s">
        <v>731</v>
      </c>
      <c r="F78" s="54" t="s">
        <v>732</v>
      </c>
      <c r="G78" s="54" t="s">
        <v>733</v>
      </c>
      <c r="H78" s="56" t="s">
        <v>734</v>
      </c>
    </row>
    <row r="79" customFormat="false" ht="15" hidden="false" customHeight="true" outlineLevel="0" collapsed="false">
      <c r="A79" s="62" t="s">
        <v>735</v>
      </c>
      <c r="B79" s="64" t="s">
        <v>736</v>
      </c>
      <c r="C79" s="64" t="s">
        <v>737</v>
      </c>
      <c r="D79" s="64" t="s">
        <v>730</v>
      </c>
      <c r="E79" s="64" t="s">
        <v>738</v>
      </c>
      <c r="F79" s="62" t="s">
        <v>732</v>
      </c>
      <c r="G79" s="62" t="s">
        <v>739</v>
      </c>
      <c r="H79" s="64" t="s">
        <v>740</v>
      </c>
    </row>
    <row r="80" customFormat="false" ht="15" hidden="false" customHeight="true" outlineLevel="0" collapsed="false">
      <c r="A80" s="54" t="s">
        <v>741</v>
      </c>
      <c r="B80" s="56" t="s">
        <v>742</v>
      </c>
      <c r="C80" s="56" t="s">
        <v>743</v>
      </c>
      <c r="D80" s="56" t="s">
        <v>730</v>
      </c>
      <c r="E80" s="56" t="s">
        <v>744</v>
      </c>
      <c r="F80" s="54" t="s">
        <v>732</v>
      </c>
      <c r="G80" s="54" t="s">
        <v>739</v>
      </c>
      <c r="H80" s="56" t="s">
        <v>745</v>
      </c>
    </row>
    <row r="81" customFormat="false" ht="15" hidden="false" customHeight="true" outlineLevel="0" collapsed="false">
      <c r="A81" s="62" t="s">
        <v>746</v>
      </c>
      <c r="B81" s="64" t="s">
        <v>747</v>
      </c>
      <c r="C81" s="64" t="s">
        <v>748</v>
      </c>
      <c r="D81" s="64" t="s">
        <v>730</v>
      </c>
      <c r="E81" s="64" t="s">
        <v>749</v>
      </c>
      <c r="F81" s="62" t="s">
        <v>732</v>
      </c>
      <c r="G81" s="62" t="s">
        <v>739</v>
      </c>
      <c r="H81" s="64" t="s">
        <v>750</v>
      </c>
    </row>
    <row r="82" customFormat="false" ht="15" hidden="false" customHeight="true" outlineLevel="0" collapsed="false">
      <c r="A82" s="54" t="s">
        <v>751</v>
      </c>
      <c r="B82" s="56" t="s">
        <v>752</v>
      </c>
      <c r="C82" s="56" t="s">
        <v>743</v>
      </c>
      <c r="D82" s="56" t="s">
        <v>730</v>
      </c>
      <c r="E82" s="56" t="s">
        <v>744</v>
      </c>
      <c r="F82" s="54" t="s">
        <v>732</v>
      </c>
      <c r="G82" s="54" t="s">
        <v>739</v>
      </c>
      <c r="H82" s="56" t="s">
        <v>753</v>
      </c>
    </row>
    <row r="83" customFormat="false" ht="15" hidden="false" customHeight="true" outlineLevel="0" collapsed="false">
      <c r="A83" s="62" t="s">
        <v>754</v>
      </c>
      <c r="B83" s="64" t="s">
        <v>755</v>
      </c>
      <c r="C83" s="64" t="s">
        <v>756</v>
      </c>
      <c r="D83" s="64" t="s">
        <v>757</v>
      </c>
      <c r="E83" s="64" t="s">
        <v>758</v>
      </c>
      <c r="F83" s="62" t="s">
        <v>732</v>
      </c>
      <c r="G83" s="62" t="s">
        <v>759</v>
      </c>
      <c r="H83" s="64" t="s">
        <v>734</v>
      </c>
    </row>
    <row r="84" customFormat="false" ht="15" hidden="false" customHeight="true" outlineLevel="0" collapsed="false">
      <c r="A84" s="54" t="s">
        <v>760</v>
      </c>
      <c r="B84" s="56" t="s">
        <v>761</v>
      </c>
      <c r="C84" s="56" t="s">
        <v>762</v>
      </c>
      <c r="D84" s="56" t="s">
        <v>757</v>
      </c>
      <c r="E84" s="56" t="s">
        <v>763</v>
      </c>
      <c r="F84" s="54" t="s">
        <v>732</v>
      </c>
      <c r="G84" s="54" t="s">
        <v>739</v>
      </c>
      <c r="H84" s="56" t="s">
        <v>764</v>
      </c>
    </row>
    <row r="85" customFormat="false" ht="15" hidden="false" customHeight="true" outlineLevel="0" collapsed="false">
      <c r="A85" s="62" t="s">
        <v>765</v>
      </c>
      <c r="B85" s="64" t="s">
        <v>766</v>
      </c>
      <c r="C85" s="64" t="s">
        <v>729</v>
      </c>
      <c r="D85" s="64" t="s">
        <v>757</v>
      </c>
      <c r="E85" s="64" t="s">
        <v>767</v>
      </c>
      <c r="F85" s="62" t="s">
        <v>732</v>
      </c>
      <c r="G85" s="62" t="s">
        <v>759</v>
      </c>
      <c r="H85" s="64" t="s">
        <v>734</v>
      </c>
    </row>
    <row r="86" customFormat="false" ht="15" hidden="false" customHeight="true" outlineLevel="0" collapsed="false">
      <c r="A86" s="54" t="s">
        <v>768</v>
      </c>
      <c r="B86" s="56" t="s">
        <v>769</v>
      </c>
      <c r="C86" s="56" t="s">
        <v>770</v>
      </c>
      <c r="D86" s="56" t="s">
        <v>771</v>
      </c>
      <c r="E86" s="56" t="s">
        <v>772</v>
      </c>
      <c r="F86" s="54" t="s">
        <v>773</v>
      </c>
      <c r="G86" s="54" t="s">
        <v>739</v>
      </c>
      <c r="H86" s="56" t="s">
        <v>764</v>
      </c>
    </row>
    <row r="87" customFormat="false" ht="15" hidden="false" customHeight="true" outlineLevel="0" collapsed="false">
      <c r="A87" s="62" t="s">
        <v>774</v>
      </c>
      <c r="B87" s="64" t="s">
        <v>775</v>
      </c>
      <c r="C87" s="64" t="s">
        <v>762</v>
      </c>
      <c r="D87" s="64" t="s">
        <v>757</v>
      </c>
      <c r="E87" s="64" t="s">
        <v>763</v>
      </c>
      <c r="F87" s="62" t="s">
        <v>732</v>
      </c>
      <c r="G87" s="62" t="s">
        <v>739</v>
      </c>
      <c r="H87" s="64" t="s">
        <v>764</v>
      </c>
    </row>
    <row r="88" customFormat="false" ht="15" hidden="false" customHeight="true" outlineLevel="0" collapsed="false">
      <c r="A88" s="54" t="s">
        <v>776</v>
      </c>
      <c r="B88" s="56" t="s">
        <v>777</v>
      </c>
      <c r="C88" s="56" t="s">
        <v>729</v>
      </c>
      <c r="D88" s="56" t="s">
        <v>778</v>
      </c>
      <c r="E88" s="56" t="s">
        <v>779</v>
      </c>
      <c r="F88" s="54" t="s">
        <v>732</v>
      </c>
      <c r="G88" s="54" t="s">
        <v>733</v>
      </c>
      <c r="H88" s="56" t="s">
        <v>734</v>
      </c>
    </row>
    <row r="89" customFormat="false" ht="15" hidden="false" customHeight="true" outlineLevel="0" collapsed="false">
      <c r="A89" s="62" t="s">
        <v>780</v>
      </c>
      <c r="B89" s="64" t="s">
        <v>781</v>
      </c>
      <c r="C89" s="64" t="s">
        <v>782</v>
      </c>
      <c r="D89" s="64" t="s">
        <v>778</v>
      </c>
      <c r="E89" s="64" t="s">
        <v>783</v>
      </c>
      <c r="F89" s="62" t="s">
        <v>732</v>
      </c>
      <c r="G89" s="62" t="s">
        <v>739</v>
      </c>
      <c r="H89" s="64" t="s">
        <v>764</v>
      </c>
    </row>
    <row r="90" customFormat="false" ht="15" hidden="false" customHeight="true" outlineLevel="0" collapsed="false">
      <c r="A90" s="54" t="s">
        <v>784</v>
      </c>
      <c r="B90" s="56" t="s">
        <v>785</v>
      </c>
      <c r="C90" s="56" t="s">
        <v>786</v>
      </c>
      <c r="D90" s="56" t="s">
        <v>730</v>
      </c>
      <c r="E90" s="56" t="s">
        <v>758</v>
      </c>
      <c r="F90" s="54" t="s">
        <v>732</v>
      </c>
      <c r="G90" s="54" t="s">
        <v>759</v>
      </c>
      <c r="H90" s="56" t="s">
        <v>734</v>
      </c>
    </row>
    <row r="91" customFormat="false" ht="15" hidden="false" customHeight="true" outlineLevel="0" collapsed="false">
      <c r="A91" s="62" t="s">
        <v>787</v>
      </c>
      <c r="B91" s="64" t="s">
        <v>788</v>
      </c>
      <c r="C91" s="64" t="s">
        <v>789</v>
      </c>
      <c r="D91" s="64" t="s">
        <v>757</v>
      </c>
      <c r="E91" s="64" t="s">
        <v>790</v>
      </c>
      <c r="F91" s="62" t="s">
        <v>732</v>
      </c>
      <c r="G91" s="62" t="s">
        <v>759</v>
      </c>
      <c r="H91" s="64" t="s">
        <v>734</v>
      </c>
    </row>
    <row r="92" customFormat="false" ht="15" hidden="false" customHeight="true" outlineLevel="0" collapsed="false">
      <c r="A92" s="54" t="s">
        <v>791</v>
      </c>
      <c r="B92" s="56" t="s">
        <v>792</v>
      </c>
      <c r="C92" s="56" t="s">
        <v>786</v>
      </c>
      <c r="D92" s="56" t="s">
        <v>730</v>
      </c>
      <c r="E92" s="56" t="s">
        <v>758</v>
      </c>
      <c r="F92" s="54" t="s">
        <v>732</v>
      </c>
      <c r="G92" s="54" t="s">
        <v>759</v>
      </c>
      <c r="H92" s="56" t="s">
        <v>734</v>
      </c>
    </row>
    <row r="93" customFormat="false" ht="15" hidden="false" customHeight="true" outlineLevel="0" collapsed="false">
      <c r="A93" s="62" t="s">
        <v>793</v>
      </c>
      <c r="B93" s="64" t="s">
        <v>794</v>
      </c>
      <c r="C93" s="64" t="s">
        <v>729</v>
      </c>
      <c r="D93" s="64" t="s">
        <v>778</v>
      </c>
      <c r="E93" s="64" t="s">
        <v>795</v>
      </c>
      <c r="F93" s="62" t="s">
        <v>732</v>
      </c>
      <c r="G93" s="62" t="s">
        <v>759</v>
      </c>
      <c r="H93" s="64" t="s">
        <v>734</v>
      </c>
    </row>
    <row r="94" customFormat="false" ht="15" hidden="false" customHeight="true" outlineLevel="0" collapsed="false">
      <c r="A94" s="54" t="s">
        <v>796</v>
      </c>
      <c r="B94" s="56" t="s">
        <v>797</v>
      </c>
      <c r="C94" s="56" t="s">
        <v>729</v>
      </c>
      <c r="D94" s="56" t="s">
        <v>757</v>
      </c>
      <c r="E94" s="56" t="s">
        <v>798</v>
      </c>
      <c r="F94" s="54" t="s">
        <v>732</v>
      </c>
      <c r="G94" s="54" t="s">
        <v>733</v>
      </c>
      <c r="H94" s="56" t="s">
        <v>734</v>
      </c>
    </row>
    <row r="95" customFormat="false" ht="15" hidden="false" customHeight="true" outlineLevel="0" collapsed="false">
      <c r="A95" s="62" t="s">
        <v>799</v>
      </c>
      <c r="B95" s="64" t="s">
        <v>800</v>
      </c>
      <c r="C95" s="64" t="s">
        <v>786</v>
      </c>
      <c r="D95" s="64" t="s">
        <v>778</v>
      </c>
      <c r="E95" s="64" t="s">
        <v>758</v>
      </c>
      <c r="F95" s="62" t="s">
        <v>732</v>
      </c>
      <c r="G95" s="62" t="s">
        <v>759</v>
      </c>
      <c r="H95" s="64" t="s">
        <v>734</v>
      </c>
    </row>
    <row r="96" customFormat="false" ht="15" hidden="false" customHeight="true" outlineLevel="0" collapsed="false">
      <c r="A96" s="54" t="s">
        <v>801</v>
      </c>
      <c r="B96" s="56" t="s">
        <v>802</v>
      </c>
      <c r="C96" s="56" t="s">
        <v>803</v>
      </c>
      <c r="D96" s="56" t="s">
        <v>804</v>
      </c>
      <c r="E96" s="56" t="s">
        <v>805</v>
      </c>
      <c r="F96" s="54" t="s">
        <v>773</v>
      </c>
      <c r="G96" s="54" t="s">
        <v>739</v>
      </c>
      <c r="H96" s="56" t="s">
        <v>764</v>
      </c>
    </row>
    <row r="97" customFormat="false" ht="15" hidden="false" customHeight="true" outlineLevel="0" collapsed="false">
      <c r="A97" s="62" t="s">
        <v>806</v>
      </c>
      <c r="B97" s="64" t="s">
        <v>807</v>
      </c>
      <c r="C97" s="64" t="s">
        <v>808</v>
      </c>
      <c r="D97" s="64" t="s">
        <v>778</v>
      </c>
      <c r="E97" s="64" t="s">
        <v>809</v>
      </c>
      <c r="F97" s="62" t="s">
        <v>732</v>
      </c>
      <c r="G97" s="62" t="s">
        <v>759</v>
      </c>
      <c r="H97" s="64" t="s">
        <v>734</v>
      </c>
    </row>
    <row r="98" customFormat="false" ht="15" hidden="false" customHeight="true" outlineLevel="0" collapsed="false">
      <c r="A98" s="54" t="s">
        <v>810</v>
      </c>
      <c r="B98" s="56" t="s">
        <v>811</v>
      </c>
      <c r="C98" s="56" t="s">
        <v>770</v>
      </c>
      <c r="D98" s="56" t="s">
        <v>812</v>
      </c>
      <c r="E98" s="56" t="s">
        <v>813</v>
      </c>
      <c r="F98" s="54" t="s">
        <v>773</v>
      </c>
      <c r="G98" s="54" t="s">
        <v>739</v>
      </c>
      <c r="H98" s="56" t="s">
        <v>764</v>
      </c>
    </row>
    <row r="99" customFormat="false" ht="15" hidden="false" customHeight="true" outlineLevel="0" collapsed="false">
      <c r="A99" s="62" t="s">
        <v>814</v>
      </c>
      <c r="B99" s="64" t="s">
        <v>815</v>
      </c>
      <c r="C99" s="64" t="s">
        <v>816</v>
      </c>
      <c r="D99" s="64" t="s">
        <v>757</v>
      </c>
      <c r="E99" s="64" t="s">
        <v>783</v>
      </c>
      <c r="F99" s="62" t="s">
        <v>732</v>
      </c>
      <c r="G99" s="62" t="s">
        <v>739</v>
      </c>
      <c r="H99" s="64" t="s">
        <v>764</v>
      </c>
    </row>
    <row r="100" customFormat="false" ht="15" hidden="false" customHeight="true" outlineLevel="0" collapsed="false">
      <c r="A100" s="54" t="s">
        <v>817</v>
      </c>
      <c r="B100" s="56" t="s">
        <v>818</v>
      </c>
      <c r="C100" s="56" t="s">
        <v>729</v>
      </c>
      <c r="D100" s="56" t="s">
        <v>757</v>
      </c>
      <c r="E100" s="56" t="s">
        <v>767</v>
      </c>
      <c r="F100" s="54" t="s">
        <v>732</v>
      </c>
      <c r="G100" s="54" t="s">
        <v>759</v>
      </c>
      <c r="H100" s="56" t="s">
        <v>734</v>
      </c>
    </row>
    <row r="101" customFormat="false" ht="15" hidden="false" customHeight="true" outlineLevel="0" collapsed="false">
      <c r="A101" s="62" t="s">
        <v>819</v>
      </c>
      <c r="B101" s="64" t="s">
        <v>820</v>
      </c>
      <c r="C101" s="64" t="s">
        <v>729</v>
      </c>
      <c r="D101" s="64" t="s">
        <v>730</v>
      </c>
      <c r="E101" s="64" t="s">
        <v>821</v>
      </c>
      <c r="F101" s="62" t="s">
        <v>732</v>
      </c>
      <c r="G101" s="62" t="s">
        <v>759</v>
      </c>
      <c r="H101" s="64" t="s">
        <v>734</v>
      </c>
    </row>
    <row r="102" customFormat="false" ht="15" hidden="false" customHeight="true" outlineLevel="0" collapsed="false">
      <c r="A102" s="54" t="s">
        <v>822</v>
      </c>
      <c r="B102" s="56" t="s">
        <v>823</v>
      </c>
      <c r="C102" s="56" t="s">
        <v>808</v>
      </c>
      <c r="D102" s="56" t="s">
        <v>778</v>
      </c>
      <c r="E102" s="56" t="s">
        <v>809</v>
      </c>
      <c r="F102" s="54" t="s">
        <v>732</v>
      </c>
      <c r="G102" s="54" t="s">
        <v>759</v>
      </c>
      <c r="H102" s="56" t="s">
        <v>734</v>
      </c>
    </row>
    <row r="103" customFormat="false" ht="15" hidden="false" customHeight="true" outlineLevel="0" collapsed="false">
      <c r="A103" s="62" t="s">
        <v>824</v>
      </c>
      <c r="B103" s="64" t="s">
        <v>825</v>
      </c>
      <c r="C103" s="64" t="s">
        <v>729</v>
      </c>
      <c r="D103" s="64" t="s">
        <v>757</v>
      </c>
      <c r="E103" s="64" t="s">
        <v>790</v>
      </c>
      <c r="F103" s="62" t="s">
        <v>732</v>
      </c>
      <c r="G103" s="62" t="s">
        <v>759</v>
      </c>
      <c r="H103" s="64" t="s">
        <v>734</v>
      </c>
    </row>
    <row r="104" customFormat="false" ht="15" hidden="false" customHeight="true" outlineLevel="0" collapsed="false">
      <c r="A104" s="54" t="s">
        <v>826</v>
      </c>
      <c r="B104" s="56" t="s">
        <v>827</v>
      </c>
      <c r="C104" s="56" t="s">
        <v>770</v>
      </c>
      <c r="D104" s="56" t="s">
        <v>812</v>
      </c>
      <c r="E104" s="56" t="s">
        <v>828</v>
      </c>
      <c r="F104" s="54" t="s">
        <v>773</v>
      </c>
      <c r="G104" s="54" t="s">
        <v>739</v>
      </c>
      <c r="H104" s="56" t="s">
        <v>764</v>
      </c>
    </row>
    <row r="105" customFormat="false" ht="15" hidden="false" customHeight="true" outlineLevel="0" collapsed="false">
      <c r="A105" s="62" t="s">
        <v>829</v>
      </c>
      <c r="B105" s="64" t="s">
        <v>830</v>
      </c>
      <c r="C105" s="64" t="s">
        <v>808</v>
      </c>
      <c r="D105" s="64" t="s">
        <v>778</v>
      </c>
      <c r="E105" s="64" t="s">
        <v>809</v>
      </c>
      <c r="F105" s="62" t="s">
        <v>732</v>
      </c>
      <c r="G105" s="62" t="s">
        <v>759</v>
      </c>
      <c r="H105" s="64" t="s">
        <v>734</v>
      </c>
    </row>
    <row r="106" customFormat="false" ht="15" hidden="false" customHeight="true" outlineLevel="0" collapsed="false">
      <c r="A106" s="54" t="s">
        <v>831</v>
      </c>
      <c r="B106" s="56" t="s">
        <v>832</v>
      </c>
      <c r="C106" s="56" t="s">
        <v>729</v>
      </c>
      <c r="D106" s="56" t="s">
        <v>778</v>
      </c>
      <c r="E106" s="56" t="s">
        <v>779</v>
      </c>
      <c r="F106" s="54" t="s">
        <v>732</v>
      </c>
      <c r="G106" s="54" t="s">
        <v>733</v>
      </c>
      <c r="H106" s="56" t="s">
        <v>734</v>
      </c>
    </row>
    <row r="107" customFormat="false" ht="15" hidden="false" customHeight="true" outlineLevel="0" collapsed="false">
      <c r="A107" s="62" t="s">
        <v>833</v>
      </c>
      <c r="B107" s="64" t="s">
        <v>834</v>
      </c>
      <c r="C107" s="64" t="s">
        <v>808</v>
      </c>
      <c r="D107" s="64" t="s">
        <v>757</v>
      </c>
      <c r="E107" s="64" t="s">
        <v>835</v>
      </c>
      <c r="F107" s="62" t="s">
        <v>732</v>
      </c>
      <c r="G107" s="62" t="s">
        <v>739</v>
      </c>
      <c r="H107" s="64" t="s">
        <v>764</v>
      </c>
    </row>
    <row r="108" customFormat="false" ht="15" hidden="false" customHeight="true" outlineLevel="0" collapsed="false">
      <c r="A108" s="54" t="s">
        <v>836</v>
      </c>
      <c r="B108" s="56" t="s">
        <v>837</v>
      </c>
      <c r="C108" s="56" t="s">
        <v>729</v>
      </c>
      <c r="D108" s="56" t="s">
        <v>778</v>
      </c>
      <c r="E108" s="56" t="s">
        <v>731</v>
      </c>
      <c r="F108" s="54" t="s">
        <v>732</v>
      </c>
      <c r="G108" s="54" t="s">
        <v>733</v>
      </c>
      <c r="H108" s="56" t="s">
        <v>734</v>
      </c>
    </row>
    <row r="109" customFormat="false" ht="15" hidden="false" customHeight="true" outlineLevel="0" collapsed="false">
      <c r="A109" s="62" t="s">
        <v>838</v>
      </c>
      <c r="B109" s="64" t="s">
        <v>839</v>
      </c>
      <c r="C109" s="64" t="s">
        <v>729</v>
      </c>
      <c r="D109" s="64" t="s">
        <v>757</v>
      </c>
      <c r="E109" s="64" t="s">
        <v>767</v>
      </c>
      <c r="F109" s="62" t="s">
        <v>732</v>
      </c>
      <c r="G109" s="62" t="s">
        <v>759</v>
      </c>
      <c r="H109" s="64" t="s">
        <v>734</v>
      </c>
    </row>
    <row r="110" customFormat="false" ht="15" hidden="false" customHeight="true" outlineLevel="0" collapsed="false">
      <c r="A110" s="54" t="s">
        <v>840</v>
      </c>
      <c r="B110" s="56" t="s">
        <v>841</v>
      </c>
      <c r="C110" s="56" t="s">
        <v>756</v>
      </c>
      <c r="D110" s="56" t="s">
        <v>757</v>
      </c>
      <c r="E110" s="56" t="s">
        <v>790</v>
      </c>
      <c r="F110" s="54" t="s">
        <v>732</v>
      </c>
      <c r="G110" s="54" t="s">
        <v>759</v>
      </c>
      <c r="H110" s="56" t="s">
        <v>734</v>
      </c>
    </row>
    <row r="111" customFormat="false" ht="15" hidden="false" customHeight="true" outlineLevel="0" collapsed="false">
      <c r="A111" s="62" t="s">
        <v>842</v>
      </c>
      <c r="B111" s="64" t="s">
        <v>843</v>
      </c>
      <c r="C111" s="64" t="s">
        <v>844</v>
      </c>
      <c r="D111" s="64" t="s">
        <v>845</v>
      </c>
      <c r="E111" s="64" t="s">
        <v>744</v>
      </c>
      <c r="F111" s="62" t="s">
        <v>732</v>
      </c>
      <c r="G111" s="62" t="s">
        <v>739</v>
      </c>
      <c r="H111" s="64" t="s">
        <v>753</v>
      </c>
    </row>
    <row r="112" customFormat="false" ht="15" hidden="false" customHeight="true" outlineLevel="0" collapsed="false">
      <c r="A112" s="54" t="s">
        <v>846</v>
      </c>
      <c r="B112" s="56" t="s">
        <v>847</v>
      </c>
      <c r="C112" s="56" t="s">
        <v>770</v>
      </c>
      <c r="D112" s="56" t="s">
        <v>771</v>
      </c>
      <c r="E112" s="56" t="s">
        <v>828</v>
      </c>
      <c r="F112" s="54" t="s">
        <v>773</v>
      </c>
      <c r="G112" s="54" t="s">
        <v>739</v>
      </c>
      <c r="H112" s="56" t="s">
        <v>764</v>
      </c>
    </row>
    <row r="113" customFormat="false" ht="15" hidden="false" customHeight="true" outlineLevel="0" collapsed="false">
      <c r="A113" s="62" t="s">
        <v>848</v>
      </c>
      <c r="B113" s="64" t="s">
        <v>849</v>
      </c>
      <c r="C113" s="64" t="s">
        <v>729</v>
      </c>
      <c r="D113" s="64" t="s">
        <v>730</v>
      </c>
      <c r="E113" s="64" t="s">
        <v>821</v>
      </c>
      <c r="F113" s="62" t="s">
        <v>732</v>
      </c>
      <c r="G113" s="62" t="s">
        <v>759</v>
      </c>
      <c r="H113" s="64" t="s">
        <v>734</v>
      </c>
    </row>
    <row r="114" customFormat="false" ht="15" hidden="false" customHeight="true" outlineLevel="0" collapsed="false">
      <c r="A114" s="54" t="s">
        <v>850</v>
      </c>
      <c r="B114" s="56" t="s">
        <v>851</v>
      </c>
      <c r="C114" s="56" t="s">
        <v>789</v>
      </c>
      <c r="D114" s="56" t="s">
        <v>757</v>
      </c>
      <c r="E114" s="56" t="s">
        <v>790</v>
      </c>
      <c r="F114" s="54" t="s">
        <v>732</v>
      </c>
      <c r="G114" s="54" t="s">
        <v>759</v>
      </c>
      <c r="H114" s="56" t="s">
        <v>734</v>
      </c>
    </row>
  </sheetData>
  <autoFilter ref="A1:H1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8"/>
    <col collapsed="false" customWidth="true" hidden="false" outlineLevel="0" max="4" min="4" style="0" width="26"/>
    <col collapsed="false" customWidth="true" hidden="false" outlineLevel="0" max="5" min="5" style="0" width="16"/>
    <col collapsed="false" customWidth="true" hidden="false" outlineLevel="0" max="6" min="6" style="0" width="66"/>
  </cols>
  <sheetData>
    <row r="1" customFormat="false" ht="15" hidden="false" customHeight="false" outlineLevel="0" collapsed="false">
      <c r="A1" s="40" t="s">
        <v>47</v>
      </c>
      <c r="B1" s="40" t="s">
        <v>48</v>
      </c>
      <c r="C1" s="40" t="s">
        <v>119</v>
      </c>
      <c r="D1" s="40" t="s">
        <v>120</v>
      </c>
      <c r="E1" s="40" t="s">
        <v>852</v>
      </c>
      <c r="F1" s="40" t="s">
        <v>301</v>
      </c>
    </row>
    <row r="2" customFormat="false" ht="15" hidden="false" customHeight="false" outlineLevel="0" collapsed="false">
      <c r="A2" s="92" t="n">
        <v>40179</v>
      </c>
      <c r="B2" s="93" t="n">
        <v>201001</v>
      </c>
      <c r="C2" s="94" t="s">
        <v>21</v>
      </c>
      <c r="D2" s="94" t="s">
        <v>50</v>
      </c>
      <c r="E2" s="95" t="n">
        <v>7.9</v>
      </c>
      <c r="F2" s="96" t="s">
        <v>853</v>
      </c>
    </row>
    <row r="3" customFormat="false" ht="15" hidden="false" customHeight="false" outlineLevel="0" collapsed="false">
      <c r="A3" s="97" t="n">
        <v>40179</v>
      </c>
      <c r="B3" s="98" t="n">
        <v>201001</v>
      </c>
      <c r="C3" s="99" t="s">
        <v>21</v>
      </c>
      <c r="D3" s="99" t="s">
        <v>51</v>
      </c>
      <c r="E3" s="100" t="n">
        <v>8.4</v>
      </c>
      <c r="F3" s="101" t="s">
        <v>853</v>
      </c>
    </row>
    <row r="4" customFormat="false" ht="15" hidden="false" customHeight="false" outlineLevel="0" collapsed="false">
      <c r="A4" s="92" t="n">
        <v>40179</v>
      </c>
      <c r="B4" s="93" t="n">
        <v>201001</v>
      </c>
      <c r="C4" s="94" t="s">
        <v>23</v>
      </c>
      <c r="D4" s="94" t="s">
        <v>56</v>
      </c>
      <c r="E4" s="95" t="n">
        <v>3.7</v>
      </c>
      <c r="F4" s="96" t="s">
        <v>853</v>
      </c>
    </row>
    <row r="5" customFormat="false" ht="15" hidden="false" customHeight="false" outlineLevel="0" collapsed="false">
      <c r="A5" s="97" t="n">
        <v>40179</v>
      </c>
      <c r="B5" s="98" t="n">
        <v>201001</v>
      </c>
      <c r="C5" s="99" t="s">
        <v>23</v>
      </c>
      <c r="D5" s="99" t="s">
        <v>60</v>
      </c>
      <c r="E5" s="100" t="n">
        <v>14.2</v>
      </c>
      <c r="F5" s="101" t="s">
        <v>853</v>
      </c>
    </row>
    <row r="6" customFormat="false" ht="15" hidden="false" customHeight="false" outlineLevel="0" collapsed="false">
      <c r="A6" s="92" t="n">
        <v>40179</v>
      </c>
      <c r="B6" s="93" t="n">
        <v>201001</v>
      </c>
      <c r="C6" s="94" t="s">
        <v>24</v>
      </c>
      <c r="D6" s="94" t="s">
        <v>65</v>
      </c>
      <c r="E6" s="95" t="n">
        <v>7.2</v>
      </c>
      <c r="F6" s="96" t="s">
        <v>853</v>
      </c>
    </row>
    <row r="7" customFormat="false" ht="15" hidden="false" customHeight="false" outlineLevel="0" collapsed="false">
      <c r="A7" s="97" t="n">
        <v>40179</v>
      </c>
      <c r="B7" s="98" t="n">
        <v>201001</v>
      </c>
      <c r="C7" s="99" t="s">
        <v>27</v>
      </c>
      <c r="D7" s="99" t="s">
        <v>68</v>
      </c>
      <c r="E7" s="100" t="n">
        <v>3.87</v>
      </c>
      <c r="F7" s="101" t="s">
        <v>854</v>
      </c>
    </row>
    <row r="8" customFormat="false" ht="15" hidden="false" customHeight="false" outlineLevel="0" collapsed="false">
      <c r="A8" s="92" t="n">
        <v>40179</v>
      </c>
      <c r="B8" s="93" t="n">
        <v>201001</v>
      </c>
      <c r="C8" s="94" t="s">
        <v>29</v>
      </c>
      <c r="D8" s="94" t="s">
        <v>71</v>
      </c>
      <c r="E8" s="95" t="n">
        <v>5</v>
      </c>
      <c r="F8" s="96" t="s">
        <v>853</v>
      </c>
    </row>
    <row r="9" customFormat="false" ht="15" hidden="false" customHeight="false" outlineLevel="0" collapsed="false">
      <c r="A9" s="97" t="n">
        <v>40179</v>
      </c>
      <c r="B9" s="98" t="n">
        <v>201001</v>
      </c>
      <c r="C9" s="99" t="s">
        <v>29</v>
      </c>
      <c r="D9" s="99" t="s">
        <v>72</v>
      </c>
      <c r="E9" s="100" t="n">
        <v>7.2</v>
      </c>
      <c r="F9" s="101" t="s">
        <v>853</v>
      </c>
    </row>
    <row r="10" customFormat="false" ht="15" hidden="false" customHeight="false" outlineLevel="0" collapsed="false">
      <c r="A10" s="92" t="n">
        <v>40179</v>
      </c>
      <c r="B10" s="93" t="n">
        <v>201001</v>
      </c>
      <c r="C10" s="94" t="s">
        <v>30</v>
      </c>
      <c r="D10" s="94" t="s">
        <v>73</v>
      </c>
      <c r="E10" s="95" t="n">
        <v>3.7</v>
      </c>
      <c r="F10" s="96" t="s">
        <v>853</v>
      </c>
    </row>
    <row r="11" customFormat="false" ht="15" hidden="false" customHeight="false" outlineLevel="0" collapsed="false">
      <c r="A11" s="97" t="n">
        <v>40179</v>
      </c>
      <c r="B11" s="98" t="n">
        <v>201001</v>
      </c>
      <c r="C11" s="99" t="s">
        <v>31</v>
      </c>
      <c r="D11" s="99" t="s">
        <v>74</v>
      </c>
      <c r="E11" s="100" t="n">
        <v>16.95</v>
      </c>
      <c r="F11" s="101" t="s">
        <v>853</v>
      </c>
    </row>
    <row r="12" customFormat="false" ht="15" hidden="false" customHeight="false" outlineLevel="0" collapsed="false">
      <c r="A12" s="92" t="n">
        <v>40179</v>
      </c>
      <c r="B12" s="93" t="n">
        <v>201001</v>
      </c>
      <c r="C12" s="94" t="s">
        <v>31</v>
      </c>
      <c r="D12" s="94" t="s">
        <v>76</v>
      </c>
      <c r="E12" s="95" t="n">
        <v>7.6</v>
      </c>
      <c r="F12" s="96" t="s">
        <v>853</v>
      </c>
    </row>
    <row r="13" customFormat="false" ht="15" hidden="false" customHeight="false" outlineLevel="0" collapsed="false">
      <c r="A13" s="97" t="n">
        <v>40179</v>
      </c>
      <c r="B13" s="98" t="n">
        <v>201001</v>
      </c>
      <c r="C13" s="99" t="s">
        <v>32</v>
      </c>
      <c r="D13" s="99" t="s">
        <v>77</v>
      </c>
      <c r="E13" s="100" t="n">
        <v>25.7</v>
      </c>
      <c r="F13" s="101" t="s">
        <v>853</v>
      </c>
    </row>
    <row r="14" customFormat="false" ht="15" hidden="false" customHeight="false" outlineLevel="0" collapsed="false">
      <c r="A14" s="92" t="n">
        <v>40179</v>
      </c>
      <c r="B14" s="93" t="n">
        <v>201001</v>
      </c>
      <c r="C14" s="94" t="s">
        <v>36</v>
      </c>
      <c r="D14" s="94" t="s">
        <v>84</v>
      </c>
      <c r="E14" s="95" t="n">
        <v>22.2</v>
      </c>
      <c r="F14" s="96" t="s">
        <v>853</v>
      </c>
    </row>
    <row r="15" customFormat="false" ht="15" hidden="false" customHeight="false" outlineLevel="0" collapsed="false">
      <c r="A15" s="97" t="n">
        <v>40179</v>
      </c>
      <c r="B15" s="98" t="n">
        <v>201001</v>
      </c>
      <c r="C15" s="99" t="s">
        <v>37</v>
      </c>
      <c r="D15" s="99" t="s">
        <v>86</v>
      </c>
      <c r="E15" s="100" t="n">
        <v>4.3</v>
      </c>
      <c r="F15" s="101" t="s">
        <v>853</v>
      </c>
    </row>
    <row r="16" customFormat="false" ht="15" hidden="false" customHeight="false" outlineLevel="0" collapsed="false">
      <c r="A16" s="92" t="n">
        <v>40179</v>
      </c>
      <c r="B16" s="93" t="n">
        <v>201001</v>
      </c>
      <c r="C16" s="94" t="s">
        <v>38</v>
      </c>
      <c r="D16" s="94" t="s">
        <v>87</v>
      </c>
      <c r="E16" s="95" t="n">
        <v>10.4</v>
      </c>
      <c r="F16" s="96" t="s">
        <v>853</v>
      </c>
    </row>
    <row r="17" customFormat="false" ht="15" hidden="false" customHeight="false" outlineLevel="0" collapsed="false">
      <c r="A17" s="97" t="n">
        <v>40179</v>
      </c>
      <c r="B17" s="98" t="n">
        <v>201001</v>
      </c>
      <c r="C17" s="99" t="s">
        <v>41</v>
      </c>
      <c r="D17" s="99" t="s">
        <v>90</v>
      </c>
      <c r="E17" s="100" t="n">
        <v>61.5</v>
      </c>
      <c r="F17" s="101" t="s">
        <v>853</v>
      </c>
    </row>
    <row r="18" customFormat="false" ht="15" hidden="false" customHeight="false" outlineLevel="0" collapsed="false">
      <c r="A18" s="92" t="n">
        <v>40179</v>
      </c>
      <c r="B18" s="93" t="n">
        <v>201001</v>
      </c>
      <c r="C18" s="94" t="s">
        <v>42</v>
      </c>
      <c r="D18" s="94" t="s">
        <v>93</v>
      </c>
      <c r="E18" s="95" t="n">
        <v>9.6</v>
      </c>
      <c r="F18" s="96" t="s">
        <v>853</v>
      </c>
    </row>
    <row r="19" customFormat="false" ht="15" hidden="false" customHeight="false" outlineLevel="0" collapsed="false">
      <c r="A19" s="97" t="n">
        <v>40179</v>
      </c>
      <c r="B19" s="98" t="n">
        <v>201001</v>
      </c>
      <c r="C19" s="99" t="s">
        <v>43</v>
      </c>
      <c r="D19" s="99" t="s">
        <v>96</v>
      </c>
      <c r="E19" s="100" t="n">
        <v>11.8</v>
      </c>
      <c r="F19" s="101" t="s">
        <v>853</v>
      </c>
    </row>
    <row r="20" customFormat="false" ht="15" hidden="false" customHeight="false" outlineLevel="0" collapsed="false">
      <c r="A20" s="92" t="n">
        <v>40179</v>
      </c>
      <c r="B20" s="93" t="n">
        <v>201001</v>
      </c>
      <c r="C20" s="94" t="s">
        <v>44</v>
      </c>
      <c r="D20" s="94" t="s">
        <v>97</v>
      </c>
      <c r="E20" s="95" t="n">
        <v>5.3</v>
      </c>
      <c r="F20" s="96" t="s">
        <v>853</v>
      </c>
    </row>
    <row r="21" customFormat="false" ht="15" hidden="false" customHeight="false" outlineLevel="0" collapsed="false">
      <c r="A21" s="97" t="n">
        <v>40179</v>
      </c>
      <c r="B21" s="98" t="n">
        <v>201001</v>
      </c>
      <c r="C21" s="99" t="s">
        <v>46</v>
      </c>
      <c r="D21" s="99" t="s">
        <v>107</v>
      </c>
      <c r="E21" s="100" t="n">
        <v>6.7</v>
      </c>
      <c r="F21" s="101" t="s">
        <v>853</v>
      </c>
    </row>
    <row r="22" customFormat="false" ht="15" hidden="false" customHeight="false" outlineLevel="0" collapsed="false">
      <c r="A22" s="92" t="n">
        <v>40330</v>
      </c>
      <c r="B22" s="93" t="n">
        <v>201006</v>
      </c>
      <c r="C22" s="94" t="s">
        <v>40</v>
      </c>
      <c r="D22" s="94" t="s">
        <v>89</v>
      </c>
      <c r="E22" s="95" t="n">
        <v>4.45</v>
      </c>
      <c r="F22" s="96" t="s">
        <v>142</v>
      </c>
    </row>
    <row r="23" customFormat="false" ht="15" hidden="false" customHeight="false" outlineLevel="0" collapsed="false">
      <c r="A23" s="97" t="n">
        <v>40483</v>
      </c>
      <c r="B23" s="98" t="n">
        <v>201011</v>
      </c>
      <c r="C23" s="99" t="s">
        <v>37</v>
      </c>
      <c r="D23" s="99" t="s">
        <v>85</v>
      </c>
      <c r="E23" s="100" t="n">
        <v>0.3</v>
      </c>
      <c r="F23" s="101" t="s">
        <v>147</v>
      </c>
    </row>
    <row r="24" customFormat="false" ht="15" hidden="false" customHeight="false" outlineLevel="0" collapsed="false">
      <c r="A24" s="92" t="n">
        <v>40483</v>
      </c>
      <c r="B24" s="93" t="n">
        <v>201011</v>
      </c>
      <c r="C24" s="94" t="s">
        <v>41</v>
      </c>
      <c r="D24" s="94" t="s">
        <v>90</v>
      </c>
      <c r="E24" s="95" t="n">
        <v>7.8</v>
      </c>
      <c r="F24" s="96" t="s">
        <v>149</v>
      </c>
    </row>
    <row r="25" customFormat="false" ht="15" hidden="false" customHeight="false" outlineLevel="0" collapsed="false">
      <c r="A25" s="97" t="n">
        <v>40575</v>
      </c>
      <c r="B25" s="98" t="n">
        <v>201102</v>
      </c>
      <c r="C25" s="99" t="s">
        <v>41</v>
      </c>
      <c r="D25" s="99" t="s">
        <v>90</v>
      </c>
      <c r="E25" s="100" t="n">
        <v>7.8</v>
      </c>
      <c r="F25" s="101" t="s">
        <v>153</v>
      </c>
    </row>
    <row r="26" customFormat="false" ht="15" hidden="false" customHeight="false" outlineLevel="0" collapsed="false">
      <c r="A26" s="92" t="n">
        <v>41000</v>
      </c>
      <c r="B26" s="93" t="n">
        <v>201204</v>
      </c>
      <c r="C26" s="94" t="s">
        <v>23</v>
      </c>
      <c r="D26" s="94" t="s">
        <v>61</v>
      </c>
      <c r="E26" s="95" t="n">
        <v>4.9</v>
      </c>
      <c r="F26" s="96" t="s">
        <v>156</v>
      </c>
    </row>
    <row r="27" customFormat="false" ht="15" hidden="false" customHeight="false" outlineLevel="0" collapsed="false">
      <c r="A27" s="97" t="n">
        <v>41334</v>
      </c>
      <c r="B27" s="98" t="n">
        <v>201303</v>
      </c>
      <c r="C27" s="99" t="s">
        <v>21</v>
      </c>
      <c r="D27" s="99" t="s">
        <v>53</v>
      </c>
      <c r="E27" s="100" t="n">
        <v>4.5</v>
      </c>
      <c r="F27" s="101" t="s">
        <v>159</v>
      </c>
    </row>
    <row r="28" customFormat="false" ht="15" hidden="false" customHeight="false" outlineLevel="0" collapsed="false">
      <c r="A28" s="92" t="n">
        <v>41426</v>
      </c>
      <c r="B28" s="93" t="n">
        <v>201306</v>
      </c>
      <c r="C28" s="94" t="s">
        <v>22</v>
      </c>
      <c r="D28" s="94" t="s">
        <v>54</v>
      </c>
      <c r="E28" s="95" t="n">
        <v>5.2</v>
      </c>
      <c r="F28" s="96" t="s">
        <v>162</v>
      </c>
    </row>
    <row r="29" customFormat="false" ht="15" hidden="false" customHeight="false" outlineLevel="0" collapsed="false">
      <c r="A29" s="97" t="n">
        <v>41730</v>
      </c>
      <c r="B29" s="98" t="n">
        <v>201404</v>
      </c>
      <c r="C29" s="99" t="s">
        <v>39</v>
      </c>
      <c r="D29" s="99" t="s">
        <v>88</v>
      </c>
      <c r="E29" s="100" t="n">
        <v>6.9</v>
      </c>
      <c r="F29" s="101" t="s">
        <v>165</v>
      </c>
    </row>
    <row r="30" customFormat="false" ht="15" hidden="false" customHeight="false" outlineLevel="0" collapsed="false">
      <c r="A30" s="92" t="n">
        <v>41944</v>
      </c>
      <c r="B30" s="93" t="n">
        <v>201411</v>
      </c>
      <c r="C30" s="94" t="s">
        <v>21</v>
      </c>
      <c r="D30" s="94" t="s">
        <v>52</v>
      </c>
      <c r="E30" s="95" t="n">
        <v>4.7</v>
      </c>
      <c r="F30" s="96" t="s">
        <v>168</v>
      </c>
    </row>
    <row r="31" customFormat="false" ht="15" hidden="false" customHeight="false" outlineLevel="0" collapsed="false">
      <c r="A31" s="97" t="n">
        <v>41974</v>
      </c>
      <c r="B31" s="98" t="n">
        <v>201412</v>
      </c>
      <c r="C31" s="99" t="s">
        <v>23</v>
      </c>
      <c r="D31" s="99" t="s">
        <v>63</v>
      </c>
      <c r="E31" s="100" t="n">
        <v>8.5</v>
      </c>
      <c r="F31" s="101" t="s">
        <v>855</v>
      </c>
    </row>
    <row r="32" customFormat="false" ht="15" hidden="false" customHeight="false" outlineLevel="0" collapsed="false">
      <c r="A32" s="92" t="n">
        <v>42156</v>
      </c>
      <c r="B32" s="93" t="n">
        <v>201506</v>
      </c>
      <c r="C32" s="94" t="s">
        <v>31</v>
      </c>
      <c r="D32" s="94" t="s">
        <v>75</v>
      </c>
      <c r="E32" s="95" t="n">
        <v>2</v>
      </c>
      <c r="F32" s="96" t="s">
        <v>174</v>
      </c>
    </row>
    <row r="33" customFormat="false" ht="15" hidden="false" customHeight="false" outlineLevel="0" collapsed="false">
      <c r="A33" s="97" t="n">
        <v>42248</v>
      </c>
      <c r="B33" s="98" t="n">
        <v>201509</v>
      </c>
      <c r="C33" s="99" t="s">
        <v>23</v>
      </c>
      <c r="D33" s="99" t="s">
        <v>57</v>
      </c>
      <c r="E33" s="100" t="n">
        <v>3.9</v>
      </c>
      <c r="F33" s="101" t="s">
        <v>177</v>
      </c>
    </row>
    <row r="34" customFormat="false" ht="15" hidden="false" customHeight="false" outlineLevel="0" collapsed="false">
      <c r="A34" s="92" t="n">
        <v>42339</v>
      </c>
      <c r="B34" s="93" t="n">
        <v>201512</v>
      </c>
      <c r="C34" s="94" t="s">
        <v>23</v>
      </c>
      <c r="D34" s="94" t="s">
        <v>55</v>
      </c>
      <c r="E34" s="95" t="n">
        <v>9</v>
      </c>
      <c r="F34" s="96" t="s">
        <v>856</v>
      </c>
    </row>
    <row r="35" customFormat="false" ht="15" hidden="false" customHeight="false" outlineLevel="0" collapsed="false">
      <c r="A35" s="97" t="n">
        <v>42370</v>
      </c>
      <c r="B35" s="98" t="n">
        <v>201601</v>
      </c>
      <c r="C35" s="99" t="s">
        <v>45</v>
      </c>
      <c r="D35" s="99" t="s">
        <v>106</v>
      </c>
      <c r="E35" s="100" t="n">
        <v>10</v>
      </c>
      <c r="F35" s="101" t="s">
        <v>183</v>
      </c>
    </row>
    <row r="36" customFormat="false" ht="15" hidden="false" customHeight="false" outlineLevel="0" collapsed="false">
      <c r="A36" s="92" t="n">
        <v>42430</v>
      </c>
      <c r="B36" s="93" t="n">
        <v>201603</v>
      </c>
      <c r="C36" s="94" t="s">
        <v>23</v>
      </c>
      <c r="D36" s="94" t="s">
        <v>58</v>
      </c>
      <c r="E36" s="95" t="n">
        <v>15.6</v>
      </c>
      <c r="F36" s="96" t="s">
        <v>186</v>
      </c>
    </row>
    <row r="37" customFormat="false" ht="15" hidden="false" customHeight="false" outlineLevel="0" collapsed="false">
      <c r="A37" s="97" t="n">
        <v>42491</v>
      </c>
      <c r="B37" s="98" t="n">
        <v>201605</v>
      </c>
      <c r="C37" s="99" t="s">
        <v>23</v>
      </c>
      <c r="D37" s="99" t="s">
        <v>57</v>
      </c>
      <c r="E37" s="100" t="n">
        <v>3.9</v>
      </c>
      <c r="F37" s="101" t="s">
        <v>189</v>
      </c>
    </row>
    <row r="38" customFormat="false" ht="15" hidden="false" customHeight="false" outlineLevel="0" collapsed="false">
      <c r="A38" s="92" t="n">
        <v>42705</v>
      </c>
      <c r="B38" s="93" t="n">
        <v>201612</v>
      </c>
      <c r="C38" s="94" t="s">
        <v>32</v>
      </c>
      <c r="D38" s="94" t="s">
        <v>78</v>
      </c>
      <c r="E38" s="95" t="n">
        <v>1.2</v>
      </c>
      <c r="F38" s="96" t="s">
        <v>857</v>
      </c>
    </row>
    <row r="39" customFormat="false" ht="15" hidden="false" customHeight="false" outlineLevel="0" collapsed="false">
      <c r="A39" s="97" t="n">
        <v>42736</v>
      </c>
      <c r="B39" s="98" t="n">
        <v>201701</v>
      </c>
      <c r="C39" s="99" t="s">
        <v>32</v>
      </c>
      <c r="D39" s="99" t="s">
        <v>77</v>
      </c>
      <c r="E39" s="100" t="n">
        <v>3.6</v>
      </c>
      <c r="F39" s="101" t="s">
        <v>196</v>
      </c>
    </row>
    <row r="40" customFormat="false" ht="15" hidden="false" customHeight="false" outlineLevel="0" collapsed="false">
      <c r="A40" s="92" t="n">
        <v>42736</v>
      </c>
      <c r="B40" s="93" t="n">
        <v>201701</v>
      </c>
      <c r="C40" s="94" t="s">
        <v>45</v>
      </c>
      <c r="D40" s="94" t="s">
        <v>106</v>
      </c>
      <c r="E40" s="95" t="n">
        <v>10</v>
      </c>
      <c r="F40" s="96" t="s">
        <v>198</v>
      </c>
    </row>
    <row r="41" customFormat="false" ht="15" hidden="false" customHeight="false" outlineLevel="0" collapsed="false">
      <c r="A41" s="97" t="n">
        <v>43009</v>
      </c>
      <c r="B41" s="98" t="n">
        <v>201710</v>
      </c>
      <c r="C41" s="99" t="s">
        <v>23</v>
      </c>
      <c r="D41" s="99" t="s">
        <v>64</v>
      </c>
      <c r="E41" s="100" t="n">
        <v>8.9</v>
      </c>
      <c r="F41" s="101" t="s">
        <v>201</v>
      </c>
    </row>
    <row r="42" customFormat="false" ht="15" hidden="false" customHeight="false" outlineLevel="0" collapsed="false">
      <c r="A42" s="92" t="n">
        <v>43070</v>
      </c>
      <c r="B42" s="93" t="n">
        <v>201712</v>
      </c>
      <c r="C42" s="94" t="s">
        <v>42</v>
      </c>
      <c r="D42" s="94" t="s">
        <v>95</v>
      </c>
      <c r="E42" s="95" t="n">
        <v>5.5</v>
      </c>
      <c r="F42" s="96" t="s">
        <v>204</v>
      </c>
    </row>
    <row r="43" customFormat="false" ht="15" hidden="false" customHeight="false" outlineLevel="0" collapsed="false">
      <c r="A43" s="97" t="n">
        <v>43160</v>
      </c>
      <c r="B43" s="98" t="n">
        <v>201803</v>
      </c>
      <c r="C43" s="99" t="s">
        <v>25</v>
      </c>
      <c r="D43" s="99" t="s">
        <v>66</v>
      </c>
      <c r="E43" s="100" t="n">
        <v>2.4</v>
      </c>
      <c r="F43" s="101" t="s">
        <v>207</v>
      </c>
    </row>
    <row r="44" customFormat="false" ht="15" hidden="false" customHeight="false" outlineLevel="0" collapsed="false">
      <c r="A44" s="92" t="n">
        <v>43160</v>
      </c>
      <c r="B44" s="93" t="n">
        <v>201803</v>
      </c>
      <c r="C44" s="94" t="s">
        <v>45</v>
      </c>
      <c r="D44" s="94" t="s">
        <v>101</v>
      </c>
      <c r="E44" s="95" t="n">
        <v>5.25</v>
      </c>
      <c r="F44" s="96" t="s">
        <v>209</v>
      </c>
    </row>
    <row r="45" customFormat="false" ht="15" hidden="false" customHeight="false" outlineLevel="0" collapsed="false">
      <c r="A45" s="97" t="n">
        <v>43282</v>
      </c>
      <c r="B45" s="98" t="n">
        <v>201807</v>
      </c>
      <c r="C45" s="99" t="s">
        <v>42</v>
      </c>
      <c r="D45" s="99" t="s">
        <v>95</v>
      </c>
      <c r="E45" s="100" t="n">
        <v>11</v>
      </c>
      <c r="F45" s="101" t="s">
        <v>212</v>
      </c>
    </row>
    <row r="46" customFormat="false" ht="15" hidden="false" customHeight="false" outlineLevel="0" collapsed="false">
      <c r="A46" s="92" t="n">
        <v>43374</v>
      </c>
      <c r="B46" s="93" t="n">
        <v>201810</v>
      </c>
      <c r="C46" s="94" t="s">
        <v>23</v>
      </c>
      <c r="D46" s="94" t="s">
        <v>59</v>
      </c>
      <c r="E46" s="95" t="n">
        <v>8.9</v>
      </c>
      <c r="F46" s="96" t="s">
        <v>214</v>
      </c>
    </row>
    <row r="47" customFormat="false" ht="15" hidden="false" customHeight="false" outlineLevel="0" collapsed="false">
      <c r="A47" s="97" t="n">
        <v>43405</v>
      </c>
      <c r="B47" s="98" t="n">
        <v>201811</v>
      </c>
      <c r="C47" s="99" t="s">
        <v>45</v>
      </c>
      <c r="D47" s="99" t="s">
        <v>100</v>
      </c>
      <c r="E47" s="100" t="n">
        <v>10</v>
      </c>
      <c r="F47" s="101" t="s">
        <v>858</v>
      </c>
    </row>
    <row r="48" customFormat="false" ht="15" hidden="false" customHeight="false" outlineLevel="0" collapsed="false">
      <c r="A48" s="92" t="n">
        <v>43405</v>
      </c>
      <c r="B48" s="93" t="n">
        <v>201811</v>
      </c>
      <c r="C48" s="94" t="s">
        <v>45</v>
      </c>
      <c r="D48" s="94" t="s">
        <v>106</v>
      </c>
      <c r="E48" s="95" t="n">
        <v>5</v>
      </c>
      <c r="F48" s="96" t="s">
        <v>859</v>
      </c>
    </row>
    <row r="49" customFormat="false" ht="15" hidden="false" customHeight="false" outlineLevel="0" collapsed="false">
      <c r="A49" s="97" t="n">
        <v>43556</v>
      </c>
      <c r="B49" s="98" t="n">
        <v>201904</v>
      </c>
      <c r="C49" s="99" t="s">
        <v>42</v>
      </c>
      <c r="D49" s="99" t="s">
        <v>94</v>
      </c>
      <c r="E49" s="100" t="n">
        <v>0.66</v>
      </c>
      <c r="F49" s="101" t="s">
        <v>222</v>
      </c>
    </row>
    <row r="50" customFormat="false" ht="15" hidden="false" customHeight="false" outlineLevel="0" collapsed="false">
      <c r="A50" s="92" t="n">
        <v>43586</v>
      </c>
      <c r="B50" s="93" t="n">
        <v>201905</v>
      </c>
      <c r="C50" s="94" t="s">
        <v>45</v>
      </c>
      <c r="D50" s="94" t="s">
        <v>99</v>
      </c>
      <c r="E50" s="95" t="n">
        <v>4.5</v>
      </c>
      <c r="F50" s="96" t="s">
        <v>225</v>
      </c>
    </row>
    <row r="51" customFormat="false" ht="15" hidden="false" customHeight="false" outlineLevel="0" collapsed="false">
      <c r="A51" s="97" t="n">
        <v>43617</v>
      </c>
      <c r="B51" s="98" t="n">
        <v>201906</v>
      </c>
      <c r="C51" s="99" t="s">
        <v>23</v>
      </c>
      <c r="D51" s="99" t="s">
        <v>62</v>
      </c>
      <c r="E51" s="100" t="n">
        <v>3.6</v>
      </c>
      <c r="F51" s="101" t="s">
        <v>228</v>
      </c>
    </row>
    <row r="52" customFormat="false" ht="15" hidden="false" customHeight="false" outlineLevel="0" collapsed="false">
      <c r="A52" s="92" t="n">
        <v>43678</v>
      </c>
      <c r="B52" s="93" t="n">
        <v>201908</v>
      </c>
      <c r="C52" s="94" t="s">
        <v>45</v>
      </c>
      <c r="D52" s="94" t="s">
        <v>103</v>
      </c>
      <c r="E52" s="95" t="n">
        <v>5.1</v>
      </c>
      <c r="F52" s="96" t="s">
        <v>231</v>
      </c>
    </row>
    <row r="53" customFormat="false" ht="15" hidden="false" customHeight="false" outlineLevel="0" collapsed="false">
      <c r="A53" s="97" t="n">
        <v>43739</v>
      </c>
      <c r="B53" s="98" t="n">
        <v>201910</v>
      </c>
      <c r="C53" s="99" t="s">
        <v>45</v>
      </c>
      <c r="D53" s="99" t="s">
        <v>102</v>
      </c>
      <c r="E53" s="100" t="n">
        <v>0.25</v>
      </c>
      <c r="F53" s="101" t="s">
        <v>860</v>
      </c>
    </row>
    <row r="54" customFormat="false" ht="15" hidden="false" customHeight="false" outlineLevel="0" collapsed="false">
      <c r="A54" s="92" t="n">
        <v>43770</v>
      </c>
      <c r="B54" s="93" t="n">
        <v>201911</v>
      </c>
      <c r="C54" s="94" t="s">
        <v>45</v>
      </c>
      <c r="D54" s="94" t="s">
        <v>102</v>
      </c>
      <c r="E54" s="95" t="n">
        <v>0.25</v>
      </c>
      <c r="F54" s="96" t="s">
        <v>860</v>
      </c>
    </row>
    <row r="55" customFormat="false" ht="15" hidden="false" customHeight="false" outlineLevel="0" collapsed="false">
      <c r="A55" s="97" t="n">
        <v>43800</v>
      </c>
      <c r="B55" s="98" t="n">
        <v>201912</v>
      </c>
      <c r="C55" s="99" t="s">
        <v>45</v>
      </c>
      <c r="D55" s="99" t="s">
        <v>99</v>
      </c>
      <c r="E55" s="100" t="n">
        <v>9</v>
      </c>
      <c r="F55" s="101" t="s">
        <v>861</v>
      </c>
    </row>
    <row r="56" customFormat="false" ht="15" hidden="false" customHeight="false" outlineLevel="0" collapsed="false">
      <c r="A56" s="92" t="n">
        <v>43800</v>
      </c>
      <c r="B56" s="93" t="n">
        <v>201912</v>
      </c>
      <c r="C56" s="94" t="s">
        <v>45</v>
      </c>
      <c r="D56" s="94" t="s">
        <v>102</v>
      </c>
      <c r="E56" s="95" t="n">
        <v>0.25</v>
      </c>
      <c r="F56" s="96" t="s">
        <v>860</v>
      </c>
    </row>
    <row r="57" customFormat="false" ht="15" hidden="false" customHeight="false" outlineLevel="0" collapsed="false">
      <c r="A57" s="97" t="n">
        <v>43800</v>
      </c>
      <c r="B57" s="98" t="n">
        <v>201912</v>
      </c>
      <c r="C57" s="99" t="s">
        <v>45</v>
      </c>
      <c r="D57" s="99" t="s">
        <v>103</v>
      </c>
      <c r="E57" s="100" t="n">
        <v>10.2</v>
      </c>
      <c r="F57" s="101" t="s">
        <v>862</v>
      </c>
    </row>
    <row r="58" customFormat="false" ht="15" hidden="false" customHeight="false" outlineLevel="0" collapsed="false">
      <c r="A58" s="92" t="n">
        <v>43831</v>
      </c>
      <c r="B58" s="93" t="n">
        <v>202001</v>
      </c>
      <c r="C58" s="94" t="s">
        <v>45</v>
      </c>
      <c r="D58" s="94" t="s">
        <v>102</v>
      </c>
      <c r="E58" s="95" t="n">
        <v>0.25</v>
      </c>
      <c r="F58" s="96" t="s">
        <v>860</v>
      </c>
    </row>
    <row r="59" customFormat="false" ht="15" hidden="false" customHeight="false" outlineLevel="0" collapsed="false">
      <c r="A59" s="97" t="n">
        <v>43891</v>
      </c>
      <c r="B59" s="98" t="n">
        <v>202003</v>
      </c>
      <c r="C59" s="99" t="s">
        <v>45</v>
      </c>
      <c r="D59" s="99" t="s">
        <v>102</v>
      </c>
      <c r="E59" s="100" t="n">
        <v>0.25</v>
      </c>
      <c r="F59" s="101" t="s">
        <v>860</v>
      </c>
    </row>
    <row r="60" customFormat="false" ht="15" hidden="false" customHeight="false" outlineLevel="0" collapsed="false">
      <c r="A60" s="92" t="n">
        <v>43952</v>
      </c>
      <c r="B60" s="93" t="n">
        <v>202005</v>
      </c>
      <c r="C60" s="94" t="s">
        <v>45</v>
      </c>
      <c r="D60" s="94" t="s">
        <v>102</v>
      </c>
      <c r="E60" s="95" t="n">
        <v>0.25</v>
      </c>
      <c r="F60" s="96" t="s">
        <v>860</v>
      </c>
    </row>
    <row r="61" customFormat="false" ht="15" hidden="false" customHeight="false" outlineLevel="0" collapsed="false">
      <c r="A61" s="97" t="n">
        <v>44013</v>
      </c>
      <c r="B61" s="98" t="n">
        <v>202007</v>
      </c>
      <c r="C61" s="99" t="s">
        <v>45</v>
      </c>
      <c r="D61" s="99" t="s">
        <v>102</v>
      </c>
      <c r="E61" s="100" t="n">
        <v>0.5</v>
      </c>
      <c r="F61" s="101" t="s">
        <v>860</v>
      </c>
    </row>
    <row r="62" customFormat="false" ht="15" hidden="false" customHeight="false" outlineLevel="0" collapsed="false">
      <c r="A62" s="92" t="n">
        <v>44044</v>
      </c>
      <c r="B62" s="93" t="n">
        <v>202008</v>
      </c>
      <c r="C62" s="94" t="s">
        <v>45</v>
      </c>
      <c r="D62" s="94" t="s">
        <v>102</v>
      </c>
      <c r="E62" s="95" t="n">
        <v>0.5</v>
      </c>
      <c r="F62" s="96" t="s">
        <v>860</v>
      </c>
    </row>
    <row r="63" customFormat="false" ht="15" hidden="false" customHeight="false" outlineLevel="0" collapsed="false">
      <c r="A63" s="97" t="n">
        <v>44136</v>
      </c>
      <c r="B63" s="98" t="n">
        <v>202011</v>
      </c>
      <c r="C63" s="99" t="s">
        <v>45</v>
      </c>
      <c r="D63" s="99" t="s">
        <v>100</v>
      </c>
      <c r="E63" s="100" t="n">
        <v>5</v>
      </c>
      <c r="F63" s="101" t="s">
        <v>863</v>
      </c>
    </row>
    <row r="64" customFormat="false" ht="15" hidden="false" customHeight="false" outlineLevel="0" collapsed="false">
      <c r="A64" s="92" t="n">
        <v>44197</v>
      </c>
      <c r="B64" s="93" t="n">
        <v>202101</v>
      </c>
      <c r="C64" s="94" t="s">
        <v>42</v>
      </c>
      <c r="D64" s="94" t="s">
        <v>95</v>
      </c>
      <c r="E64" s="95" t="n">
        <v>0.9</v>
      </c>
      <c r="F64" s="96" t="s">
        <v>248</v>
      </c>
    </row>
    <row r="65" customFormat="false" ht="15" hidden="false" customHeight="false" outlineLevel="0" collapsed="false">
      <c r="A65" s="97" t="n">
        <v>44228</v>
      </c>
      <c r="B65" s="98" t="n">
        <v>202102</v>
      </c>
      <c r="C65" s="99" t="s">
        <v>32</v>
      </c>
      <c r="D65" s="99" t="s">
        <v>79</v>
      </c>
      <c r="E65" s="100" t="n">
        <v>1.5</v>
      </c>
      <c r="F65" s="101" t="s">
        <v>251</v>
      </c>
    </row>
    <row r="66" customFormat="false" ht="15" hidden="false" customHeight="false" outlineLevel="0" collapsed="false">
      <c r="A66" s="92" t="n">
        <v>44501</v>
      </c>
      <c r="B66" s="93" t="n">
        <v>202111</v>
      </c>
      <c r="C66" s="94" t="s">
        <v>45</v>
      </c>
      <c r="D66" s="94" t="s">
        <v>106</v>
      </c>
      <c r="E66" s="95" t="n">
        <v>5</v>
      </c>
      <c r="F66" s="96" t="s">
        <v>864</v>
      </c>
    </row>
    <row r="67" customFormat="false" ht="15" hidden="false" customHeight="false" outlineLevel="0" collapsed="false">
      <c r="A67" s="97" t="n">
        <v>44562</v>
      </c>
      <c r="B67" s="98" t="n">
        <v>202201</v>
      </c>
      <c r="C67" s="99" t="s">
        <v>45</v>
      </c>
      <c r="D67" s="99" t="s">
        <v>98</v>
      </c>
      <c r="E67" s="100" t="n">
        <v>1.11</v>
      </c>
      <c r="F67" s="101" t="s">
        <v>865</v>
      </c>
    </row>
    <row r="68" customFormat="false" ht="15" hidden="false" customHeight="false" outlineLevel="0" collapsed="false">
      <c r="A68" s="92" t="n">
        <v>44593</v>
      </c>
      <c r="B68" s="93" t="n">
        <v>202202</v>
      </c>
      <c r="C68" s="94" t="s">
        <v>45</v>
      </c>
      <c r="D68" s="94" t="s">
        <v>98</v>
      </c>
      <c r="E68" s="95" t="n">
        <v>2.21</v>
      </c>
      <c r="F68" s="96" t="s">
        <v>865</v>
      </c>
    </row>
    <row r="69" customFormat="false" ht="15" hidden="false" customHeight="false" outlineLevel="0" collapsed="false">
      <c r="A69" s="97" t="n">
        <v>44621</v>
      </c>
      <c r="B69" s="98" t="n">
        <v>202203</v>
      </c>
      <c r="C69" s="99" t="s">
        <v>45</v>
      </c>
      <c r="D69" s="99" t="s">
        <v>98</v>
      </c>
      <c r="E69" s="100" t="n">
        <v>1.11</v>
      </c>
      <c r="F69" s="101" t="s">
        <v>865</v>
      </c>
    </row>
    <row r="70" customFormat="false" ht="15" hidden="false" customHeight="false" outlineLevel="0" collapsed="false">
      <c r="A70" s="92" t="n">
        <v>44652</v>
      </c>
      <c r="B70" s="93" t="n">
        <v>202204</v>
      </c>
      <c r="C70" s="94" t="s">
        <v>45</v>
      </c>
      <c r="D70" s="94" t="s">
        <v>98</v>
      </c>
      <c r="E70" s="95" t="n">
        <v>1.11</v>
      </c>
      <c r="F70" s="96" t="s">
        <v>865</v>
      </c>
    </row>
    <row r="71" customFormat="false" ht="15" hidden="false" customHeight="false" outlineLevel="0" collapsed="false">
      <c r="A71" s="97" t="n">
        <v>44682</v>
      </c>
      <c r="B71" s="98" t="n">
        <v>202205</v>
      </c>
      <c r="C71" s="99" t="s">
        <v>45</v>
      </c>
      <c r="D71" s="99" t="s">
        <v>98</v>
      </c>
      <c r="E71" s="100" t="n">
        <v>1.11</v>
      </c>
      <c r="F71" s="101" t="s">
        <v>865</v>
      </c>
    </row>
    <row r="72" customFormat="false" ht="15" hidden="false" customHeight="false" outlineLevel="0" collapsed="false">
      <c r="A72" s="92" t="n">
        <v>44713</v>
      </c>
      <c r="B72" s="93" t="n">
        <v>202206</v>
      </c>
      <c r="C72" s="94" t="s">
        <v>45</v>
      </c>
      <c r="D72" s="94" t="s">
        <v>98</v>
      </c>
      <c r="E72" s="95" t="n">
        <v>2.21</v>
      </c>
      <c r="F72" s="96" t="s">
        <v>865</v>
      </c>
    </row>
    <row r="73" customFormat="false" ht="15" hidden="false" customHeight="false" outlineLevel="0" collapsed="false">
      <c r="A73" s="97" t="n">
        <v>44743</v>
      </c>
      <c r="B73" s="98" t="n">
        <v>202207</v>
      </c>
      <c r="C73" s="99" t="s">
        <v>45</v>
      </c>
      <c r="D73" s="99" t="s">
        <v>98</v>
      </c>
      <c r="E73" s="100" t="n">
        <v>1.11</v>
      </c>
      <c r="F73" s="101" t="s">
        <v>865</v>
      </c>
    </row>
    <row r="74" customFormat="false" ht="15" hidden="false" customHeight="false" outlineLevel="0" collapsed="false">
      <c r="A74" s="92" t="n">
        <v>44805</v>
      </c>
      <c r="B74" s="93" t="n">
        <v>202209</v>
      </c>
      <c r="C74" s="94" t="s">
        <v>42</v>
      </c>
      <c r="D74" s="94" t="s">
        <v>92</v>
      </c>
      <c r="E74" s="95" t="n">
        <v>1.5</v>
      </c>
      <c r="F74" s="96" t="s">
        <v>260</v>
      </c>
    </row>
    <row r="75" customFormat="false" ht="15" hidden="false" customHeight="false" outlineLevel="0" collapsed="false">
      <c r="A75" s="97" t="n">
        <v>44866</v>
      </c>
      <c r="B75" s="98" t="n">
        <v>202211</v>
      </c>
      <c r="C75" s="99" t="s">
        <v>35</v>
      </c>
      <c r="D75" s="99" t="s">
        <v>83</v>
      </c>
      <c r="E75" s="100" t="n">
        <v>3.4</v>
      </c>
      <c r="F75" s="101" t="s">
        <v>263</v>
      </c>
    </row>
    <row r="76" customFormat="false" ht="15" hidden="false" customHeight="false" outlineLevel="0" collapsed="false">
      <c r="A76" s="92" t="n">
        <v>45170</v>
      </c>
      <c r="B76" s="93" t="n">
        <v>202309</v>
      </c>
      <c r="C76" s="94" t="s">
        <v>31</v>
      </c>
      <c r="D76" s="94" t="s">
        <v>76</v>
      </c>
      <c r="E76" s="95" t="n">
        <v>3.8</v>
      </c>
      <c r="F76" s="96" t="s">
        <v>266</v>
      </c>
    </row>
    <row r="77" customFormat="false" ht="15" hidden="false" customHeight="false" outlineLevel="0" collapsed="false">
      <c r="A77" s="97" t="n">
        <v>45292</v>
      </c>
      <c r="B77" s="98" t="n">
        <v>202401</v>
      </c>
      <c r="C77" s="99" t="s">
        <v>42</v>
      </c>
      <c r="D77" s="99" t="s">
        <v>91</v>
      </c>
      <c r="E77" s="100" t="n">
        <v>6.6</v>
      </c>
      <c r="F77" s="101" t="s">
        <v>866</v>
      </c>
    </row>
    <row r="78" customFormat="false" ht="15" hidden="false" customHeight="false" outlineLevel="0" collapsed="false">
      <c r="A78" s="92" t="n">
        <v>45323</v>
      </c>
      <c r="B78" s="93" t="n">
        <v>202402</v>
      </c>
      <c r="C78" s="94" t="s">
        <v>28</v>
      </c>
      <c r="D78" s="94" t="s">
        <v>69</v>
      </c>
      <c r="E78" s="95" t="n">
        <v>0.6</v>
      </c>
      <c r="F78" s="96" t="s">
        <v>272</v>
      </c>
    </row>
    <row r="79" customFormat="false" ht="15" hidden="false" customHeight="false" outlineLevel="0" collapsed="false">
      <c r="A79" s="97" t="n">
        <v>45474</v>
      </c>
      <c r="B79" s="98" t="n">
        <v>202407</v>
      </c>
      <c r="C79" s="99" t="s">
        <v>34</v>
      </c>
      <c r="D79" s="99" t="s">
        <v>81</v>
      </c>
      <c r="E79" s="100" t="n">
        <v>1.4</v>
      </c>
      <c r="F79" s="101" t="s">
        <v>275</v>
      </c>
    </row>
    <row r="80" customFormat="false" ht="15" hidden="false" customHeight="false" outlineLevel="0" collapsed="false">
      <c r="A80" s="92" t="n">
        <v>45627</v>
      </c>
      <c r="B80" s="93" t="n">
        <v>202412</v>
      </c>
      <c r="C80" s="94" t="s">
        <v>45</v>
      </c>
      <c r="D80" s="94" t="s">
        <v>100</v>
      </c>
      <c r="E80" s="95" t="n">
        <v>1.49</v>
      </c>
      <c r="F80" s="96" t="s">
        <v>867</v>
      </c>
    </row>
    <row r="81" customFormat="false" ht="15" hidden="false" customHeight="false" outlineLevel="0" collapsed="false">
      <c r="A81" s="97" t="n">
        <v>45627</v>
      </c>
      <c r="B81" s="98" t="n">
        <v>202412</v>
      </c>
      <c r="C81" s="99" t="s">
        <v>45</v>
      </c>
      <c r="D81" s="99" t="s">
        <v>105</v>
      </c>
      <c r="E81" s="100" t="n">
        <v>1.08</v>
      </c>
      <c r="F81" s="101" t="s">
        <v>868</v>
      </c>
    </row>
    <row r="82" customFormat="false" ht="15" hidden="false" customHeight="false" outlineLevel="0" collapsed="false">
      <c r="A82" s="92" t="n">
        <v>45658</v>
      </c>
      <c r="B82" s="93" t="n">
        <v>202501</v>
      </c>
      <c r="C82" s="94" t="s">
        <v>45</v>
      </c>
      <c r="D82" s="94" t="s">
        <v>105</v>
      </c>
      <c r="E82" s="95" t="n">
        <v>1.62</v>
      </c>
      <c r="F82" s="96" t="s">
        <v>868</v>
      </c>
    </row>
    <row r="83" customFormat="false" ht="15" hidden="false" customHeight="false" outlineLevel="0" collapsed="false">
      <c r="A83" s="97" t="n">
        <v>45689</v>
      </c>
      <c r="B83" s="98" t="n">
        <v>202502</v>
      </c>
      <c r="C83" s="99" t="s">
        <v>33</v>
      </c>
      <c r="D83" s="99" t="s">
        <v>80</v>
      </c>
      <c r="E83" s="100" t="n">
        <v>2.5</v>
      </c>
      <c r="F83" s="101" t="s">
        <v>283</v>
      </c>
    </row>
    <row r="84" customFormat="false" ht="15" hidden="false" customHeight="false" outlineLevel="0" collapsed="false">
      <c r="A84" s="92" t="n">
        <v>45689</v>
      </c>
      <c r="B84" s="93" t="n">
        <v>202502</v>
      </c>
      <c r="C84" s="94" t="s">
        <v>45</v>
      </c>
      <c r="D84" s="94" t="s">
        <v>105</v>
      </c>
      <c r="E84" s="95" t="n">
        <v>2.7</v>
      </c>
      <c r="F84" s="96" t="s">
        <v>868</v>
      </c>
    </row>
    <row r="85" customFormat="false" ht="15" hidden="false" customHeight="false" outlineLevel="0" collapsed="false">
      <c r="A85" s="97" t="n">
        <v>45717</v>
      </c>
      <c r="B85" s="98" t="n">
        <v>202503</v>
      </c>
      <c r="C85" s="99" t="s">
        <v>45</v>
      </c>
      <c r="D85" s="99" t="s">
        <v>105</v>
      </c>
      <c r="E85" s="100" t="n">
        <v>3.24</v>
      </c>
      <c r="F85" s="101" t="s">
        <v>868</v>
      </c>
    </row>
    <row r="86" customFormat="false" ht="15" hidden="false" customHeight="false" outlineLevel="0" collapsed="false">
      <c r="A86" s="92" t="n">
        <v>45748</v>
      </c>
      <c r="B86" s="93" t="n">
        <v>202504</v>
      </c>
      <c r="C86" s="94" t="s">
        <v>45</v>
      </c>
      <c r="D86" s="94" t="s">
        <v>105</v>
      </c>
      <c r="E86" s="95" t="n">
        <v>1.62</v>
      </c>
      <c r="F86" s="96" t="s">
        <v>868</v>
      </c>
    </row>
    <row r="87" customFormat="false" ht="15" hidden="false" customHeight="false" outlineLevel="0" collapsed="false">
      <c r="A87" s="97" t="n">
        <v>45778</v>
      </c>
      <c r="B87" s="98" t="n">
        <v>202505</v>
      </c>
      <c r="C87" s="99" t="s">
        <v>45</v>
      </c>
      <c r="D87" s="99" t="s">
        <v>105</v>
      </c>
      <c r="E87" s="100" t="n">
        <v>1.62</v>
      </c>
      <c r="F87" s="101" t="s">
        <v>868</v>
      </c>
    </row>
    <row r="88" customFormat="false" ht="15" hidden="false" customHeight="false" outlineLevel="0" collapsed="false">
      <c r="A88" s="92" t="n">
        <v>45809</v>
      </c>
      <c r="B88" s="93" t="n">
        <v>202506</v>
      </c>
      <c r="C88" s="94" t="s">
        <v>26</v>
      </c>
      <c r="D88" s="94" t="s">
        <v>67</v>
      </c>
      <c r="E88" s="95" t="n">
        <v>7</v>
      </c>
      <c r="F88" s="96" t="s">
        <v>286</v>
      </c>
    </row>
    <row r="89" customFormat="false" ht="15" hidden="false" customHeight="false" outlineLevel="0" collapsed="false">
      <c r="A89" s="97" t="n">
        <v>45809</v>
      </c>
      <c r="B89" s="98" t="n">
        <v>202506</v>
      </c>
      <c r="C89" s="99" t="s">
        <v>45</v>
      </c>
      <c r="D89" s="99" t="s">
        <v>100</v>
      </c>
      <c r="E89" s="100" t="n">
        <v>1.49</v>
      </c>
      <c r="F89" s="101" t="s">
        <v>867</v>
      </c>
    </row>
    <row r="90" customFormat="false" ht="15" hidden="false" customHeight="false" outlineLevel="0" collapsed="false">
      <c r="A90" s="92" t="n">
        <v>45809</v>
      </c>
      <c r="B90" s="93" t="n">
        <v>202506</v>
      </c>
      <c r="C90" s="94" t="s">
        <v>45</v>
      </c>
      <c r="D90" s="94" t="s">
        <v>105</v>
      </c>
      <c r="E90" s="95" t="n">
        <v>1.62</v>
      </c>
      <c r="F90" s="96" t="s">
        <v>868</v>
      </c>
    </row>
    <row r="91" customFormat="false" ht="15" hidden="false" customHeight="false" outlineLevel="0" collapsed="false">
      <c r="A91" s="97" t="n">
        <v>45839</v>
      </c>
      <c r="B91" s="98" t="n">
        <v>202507</v>
      </c>
      <c r="C91" s="99" t="s">
        <v>45</v>
      </c>
      <c r="D91" s="99" t="s">
        <v>105</v>
      </c>
      <c r="E91" s="100" t="n">
        <v>1.62</v>
      </c>
      <c r="F91" s="101" t="s">
        <v>868</v>
      </c>
    </row>
    <row r="92" customFormat="false" ht="15" hidden="false" customHeight="false" outlineLevel="0" collapsed="false">
      <c r="A92" s="92" t="n">
        <v>45870</v>
      </c>
      <c r="B92" s="93" t="n">
        <v>202508</v>
      </c>
      <c r="C92" s="94" t="s">
        <v>45</v>
      </c>
      <c r="D92" s="94" t="s">
        <v>105</v>
      </c>
      <c r="E92" s="95" t="n">
        <v>1.62</v>
      </c>
      <c r="F92" s="96" t="s">
        <v>868</v>
      </c>
    </row>
    <row r="93" customFormat="false" ht="15" hidden="false" customHeight="false" outlineLevel="0" collapsed="false">
      <c r="A93" s="97" t="n">
        <v>45901</v>
      </c>
      <c r="B93" s="98" t="n">
        <v>202509</v>
      </c>
      <c r="C93" s="99" t="s">
        <v>45</v>
      </c>
      <c r="D93" s="99" t="s">
        <v>100</v>
      </c>
      <c r="E93" s="100" t="n">
        <v>1.49</v>
      </c>
      <c r="F93" s="101" t="s">
        <v>867</v>
      </c>
    </row>
    <row r="94" customFormat="false" ht="15" hidden="false" customHeight="false" outlineLevel="0" collapsed="false">
      <c r="A94" s="92" t="n">
        <v>45901</v>
      </c>
      <c r="B94" s="93" t="n">
        <v>202509</v>
      </c>
      <c r="C94" s="94" t="s">
        <v>45</v>
      </c>
      <c r="D94" s="94" t="s">
        <v>105</v>
      </c>
      <c r="E94" s="95" t="n">
        <v>1.08</v>
      </c>
      <c r="F94" s="96" t="s">
        <v>868</v>
      </c>
    </row>
    <row r="95" customFormat="false" ht="15" hidden="false" customHeight="false" outlineLevel="0" collapsed="false">
      <c r="A95" s="97" t="n">
        <v>45931</v>
      </c>
      <c r="B95" s="98" t="n">
        <v>202510</v>
      </c>
      <c r="C95" s="99" t="s">
        <v>45</v>
      </c>
      <c r="D95" s="99" t="s">
        <v>105</v>
      </c>
      <c r="E95" s="100" t="n">
        <v>1.62</v>
      </c>
      <c r="F95" s="101" t="s">
        <v>868</v>
      </c>
    </row>
    <row r="96" customFormat="false" ht="15" hidden="false" customHeight="false" outlineLevel="0" collapsed="false">
      <c r="A96" s="92" t="n">
        <v>45962</v>
      </c>
      <c r="B96" s="93" t="n">
        <v>202511</v>
      </c>
      <c r="C96" s="94" t="s">
        <v>45</v>
      </c>
      <c r="D96" s="94" t="s">
        <v>100</v>
      </c>
      <c r="E96" s="95" t="n">
        <v>1.49</v>
      </c>
      <c r="F96" s="96" t="s">
        <v>867</v>
      </c>
    </row>
    <row r="97" customFormat="false" ht="15" hidden="false" customHeight="false" outlineLevel="0" collapsed="false">
      <c r="A97" s="97" t="n">
        <v>46023</v>
      </c>
      <c r="B97" s="98" t="n">
        <v>202601</v>
      </c>
      <c r="C97" s="99" t="s">
        <v>26</v>
      </c>
      <c r="D97" s="99" t="s">
        <v>67</v>
      </c>
      <c r="E97" s="100" t="n">
        <v>7</v>
      </c>
      <c r="F97" s="101" t="s">
        <v>869</v>
      </c>
    </row>
    <row r="98" customFormat="false" ht="15" hidden="false" customHeight="false" outlineLevel="0" collapsed="false">
      <c r="A98" s="92" t="n">
        <v>46054</v>
      </c>
      <c r="B98" s="93" t="n">
        <v>202602</v>
      </c>
      <c r="C98" s="94" t="s">
        <v>28</v>
      </c>
      <c r="D98" s="94" t="s">
        <v>70</v>
      </c>
      <c r="E98" s="95" t="n">
        <v>2.4</v>
      </c>
      <c r="F98" s="96" t="s">
        <v>870</v>
      </c>
    </row>
    <row r="99" customFormat="false" ht="15" hidden="false" customHeight="false" outlineLevel="0" collapsed="false">
      <c r="A99" s="97" t="n">
        <v>46082</v>
      </c>
      <c r="B99" s="98" t="n">
        <v>202603</v>
      </c>
      <c r="C99" s="99" t="s">
        <v>45</v>
      </c>
      <c r="D99" s="99" t="s">
        <v>100</v>
      </c>
      <c r="E99" s="100" t="n">
        <v>1.49</v>
      </c>
      <c r="F99" s="101" t="s">
        <v>871</v>
      </c>
    </row>
    <row r="100" customFormat="false" ht="15" hidden="false" customHeight="false" outlineLevel="0" collapsed="false">
      <c r="A100" s="92" t="n">
        <v>46082</v>
      </c>
      <c r="B100" s="93" t="n">
        <v>202603</v>
      </c>
      <c r="C100" s="94" t="s">
        <v>45</v>
      </c>
      <c r="D100" s="94" t="s">
        <v>104</v>
      </c>
      <c r="E100" s="95" t="n">
        <v>5.2</v>
      </c>
      <c r="F100" s="96" t="s">
        <v>872</v>
      </c>
    </row>
    <row r="101" customFormat="false" ht="15" hidden="false" customHeight="false" outlineLevel="0" collapsed="false">
      <c r="A101" s="97" t="n">
        <v>46113</v>
      </c>
      <c r="B101" s="98" t="n">
        <v>202604</v>
      </c>
      <c r="C101" s="99" t="s">
        <v>45</v>
      </c>
      <c r="D101" s="99" t="s">
        <v>100</v>
      </c>
      <c r="E101" s="100" t="n">
        <v>1.49</v>
      </c>
      <c r="F101" s="101" t="s">
        <v>873</v>
      </c>
    </row>
    <row r="102" customFormat="false" ht="15" hidden="false" customHeight="false" outlineLevel="0" collapsed="false">
      <c r="A102" s="92" t="n">
        <v>46174</v>
      </c>
      <c r="B102" s="93" t="n">
        <v>202606</v>
      </c>
      <c r="C102" s="94" t="s">
        <v>34</v>
      </c>
      <c r="D102" s="94" t="s">
        <v>82</v>
      </c>
      <c r="E102" s="95" t="n">
        <v>3.25</v>
      </c>
      <c r="F102" s="96" t="s">
        <v>874</v>
      </c>
    </row>
    <row r="103" customFormat="false" ht="15" hidden="false" customHeight="false" outlineLevel="0" collapsed="false">
      <c r="A103" s="97" t="n">
        <v>46266</v>
      </c>
      <c r="B103" s="98" t="n">
        <v>202609</v>
      </c>
      <c r="C103" s="99" t="s">
        <v>41</v>
      </c>
      <c r="D103" s="99" t="s">
        <v>90</v>
      </c>
      <c r="E103" s="100" t="n">
        <v>8</v>
      </c>
      <c r="F103" s="101" t="s">
        <v>875</v>
      </c>
    </row>
    <row r="104" customFormat="false" ht="15" hidden="false" customHeight="false" outlineLevel="0" collapsed="false">
      <c r="A104" s="92" t="n">
        <v>46296</v>
      </c>
      <c r="B104" s="93" t="n">
        <v>202610</v>
      </c>
      <c r="C104" s="94" t="s">
        <v>45</v>
      </c>
      <c r="D104" s="94" t="s">
        <v>104</v>
      </c>
      <c r="E104" s="95" t="n">
        <v>5.2</v>
      </c>
      <c r="F104" s="96" t="s">
        <v>876</v>
      </c>
    </row>
    <row r="105" customFormat="false" ht="15" hidden="false" customHeight="false" outlineLevel="0" collapsed="false">
      <c r="A105" s="97" t="n">
        <v>46327</v>
      </c>
      <c r="B105" s="98" t="n">
        <v>202611</v>
      </c>
      <c r="C105" s="99" t="s">
        <v>23</v>
      </c>
      <c r="D105" s="99" t="s">
        <v>61</v>
      </c>
      <c r="E105" s="100" t="n">
        <v>5</v>
      </c>
      <c r="F105" s="101" t="s">
        <v>877</v>
      </c>
    </row>
    <row r="106" customFormat="false" ht="15" hidden="false" customHeight="false" outlineLevel="0" collapsed="false">
      <c r="A106" s="92" t="n">
        <v>46327</v>
      </c>
      <c r="B106" s="93" t="n">
        <v>202611</v>
      </c>
      <c r="C106" s="94" t="s">
        <v>45</v>
      </c>
      <c r="D106" s="94" t="s">
        <v>100</v>
      </c>
      <c r="E106" s="95" t="n">
        <v>1.49</v>
      </c>
      <c r="F106" s="96" t="s">
        <v>878</v>
      </c>
    </row>
  </sheetData>
  <autoFilter ref="A1:F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5"/>
    <col collapsed="false" customWidth="true" hidden="false" outlineLevel="0" max="7" min="4" style="0" width="9"/>
    <col collapsed="false" customWidth="true" hidden="false" outlineLevel="0" max="8" min="8" style="0" width="11"/>
    <col collapsed="false" customWidth="true" hidden="false" outlineLevel="0" max="9" min="9" style="0" width="7"/>
    <col collapsed="false" customWidth="true" hidden="false" outlineLevel="0" max="10" min="10" style="0" width="34"/>
    <col collapsed="false" customWidth="true" hidden="false" outlineLevel="0" max="11" min="11" style="0" width="50"/>
    <col collapsed="false" customWidth="true" hidden="false" outlineLevel="0" max="12" min="12" style="0" width="34"/>
  </cols>
  <sheetData>
    <row r="1" customFormat="false" ht="22.35" hidden="false" customHeight="false" outlineLevel="0" collapsed="false">
      <c r="A1" s="102" t="s">
        <v>120</v>
      </c>
      <c r="B1" s="102" t="s">
        <v>119</v>
      </c>
      <c r="C1" s="102" t="s">
        <v>879</v>
      </c>
      <c r="D1" s="102" t="s">
        <v>880</v>
      </c>
      <c r="E1" s="102" t="s">
        <v>881</v>
      </c>
      <c r="F1" s="102" t="s">
        <v>882</v>
      </c>
      <c r="G1" s="102" t="s">
        <v>883</v>
      </c>
      <c r="H1" s="102" t="s">
        <v>884</v>
      </c>
      <c r="I1" s="102" t="s">
        <v>126</v>
      </c>
      <c r="J1" s="102" t="s">
        <v>885</v>
      </c>
      <c r="K1" s="102" t="s">
        <v>886</v>
      </c>
      <c r="L1" s="102" t="s">
        <v>128</v>
      </c>
    </row>
    <row r="2" customFormat="false" ht="22.35" hidden="false" customHeight="false" outlineLevel="0" collapsed="false">
      <c r="A2" s="103" t="s">
        <v>74</v>
      </c>
      <c r="B2" s="104" t="s">
        <v>31</v>
      </c>
      <c r="C2" s="105" t="s">
        <v>887</v>
      </c>
      <c r="D2" s="106" t="n">
        <v>40179</v>
      </c>
      <c r="E2" s="107" t="n">
        <v>201001</v>
      </c>
      <c r="F2" s="106" t="n">
        <v>46357</v>
      </c>
      <c r="G2" s="107" t="n">
        <v>202612</v>
      </c>
      <c r="H2" s="108" t="n">
        <v>8</v>
      </c>
      <c r="I2" s="109" t="s">
        <v>888</v>
      </c>
      <c r="J2" s="104" t="s">
        <v>889</v>
      </c>
      <c r="K2" s="110" t="s">
        <v>890</v>
      </c>
      <c r="L2" s="111" t="s">
        <v>891</v>
      </c>
    </row>
    <row r="3" customFormat="false" ht="15" hidden="false" customHeight="false" outlineLevel="0" collapsed="false">
      <c r="A3" s="112" t="s">
        <v>71</v>
      </c>
      <c r="B3" s="99" t="s">
        <v>29</v>
      </c>
      <c r="C3" s="113" t="s">
        <v>887</v>
      </c>
      <c r="D3" s="97" t="n">
        <v>41275</v>
      </c>
      <c r="E3" s="98" t="n">
        <v>201301</v>
      </c>
      <c r="F3" s="97" t="n">
        <v>44228</v>
      </c>
      <c r="G3" s="98" t="n">
        <v>202102</v>
      </c>
      <c r="H3" s="114" t="n">
        <v>5</v>
      </c>
      <c r="I3" s="115" t="s">
        <v>892</v>
      </c>
      <c r="J3" s="99" t="s">
        <v>893</v>
      </c>
      <c r="K3" s="116" t="s">
        <v>894</v>
      </c>
      <c r="L3" s="117" t="s">
        <v>895</v>
      </c>
    </row>
    <row r="4" customFormat="false" ht="15" hidden="false" customHeight="false" outlineLevel="0" collapsed="false">
      <c r="A4" s="103" t="s">
        <v>84</v>
      </c>
      <c r="B4" s="104" t="s">
        <v>36</v>
      </c>
      <c r="C4" s="105" t="s">
        <v>887</v>
      </c>
      <c r="D4" s="106" t="n">
        <v>41275</v>
      </c>
      <c r="E4" s="107" t="n">
        <v>201301</v>
      </c>
      <c r="F4" s="106" t="n">
        <v>42705</v>
      </c>
      <c r="G4" s="107" t="n">
        <v>201612</v>
      </c>
      <c r="H4" s="108" t="n">
        <v>3.5</v>
      </c>
      <c r="I4" s="109" t="s">
        <v>888</v>
      </c>
      <c r="J4" s="104" t="s">
        <v>896</v>
      </c>
      <c r="K4" s="110" t="s">
        <v>897</v>
      </c>
      <c r="L4" s="111" t="s">
        <v>898</v>
      </c>
    </row>
    <row r="5" customFormat="false" ht="15" hidden="false" customHeight="false" outlineLevel="0" collapsed="false">
      <c r="A5" s="112" t="s">
        <v>72</v>
      </c>
      <c r="B5" s="99" t="s">
        <v>29</v>
      </c>
      <c r="C5" s="113" t="s">
        <v>887</v>
      </c>
      <c r="D5" s="97" t="n">
        <v>41426</v>
      </c>
      <c r="E5" s="98" t="n">
        <v>201306</v>
      </c>
      <c r="F5" s="97" t="n">
        <v>43435</v>
      </c>
      <c r="G5" s="98" t="n">
        <v>201812</v>
      </c>
      <c r="H5" s="114" t="n">
        <v>5</v>
      </c>
      <c r="I5" s="115" t="s">
        <v>892</v>
      </c>
      <c r="J5" s="99" t="s">
        <v>899</v>
      </c>
      <c r="K5" s="116" t="s">
        <v>900</v>
      </c>
      <c r="L5" s="117" t="s">
        <v>901</v>
      </c>
    </row>
    <row r="6" customFormat="false" ht="15" hidden="false" customHeight="false" outlineLevel="0" collapsed="false">
      <c r="A6" s="103" t="s">
        <v>54</v>
      </c>
      <c r="B6" s="104" t="s">
        <v>22</v>
      </c>
      <c r="C6" s="118" t="s">
        <v>902</v>
      </c>
      <c r="D6" s="106" t="n">
        <v>41730</v>
      </c>
      <c r="E6" s="107" t="n">
        <v>201404</v>
      </c>
      <c r="F6" s="106" t="n">
        <v>42491</v>
      </c>
      <c r="G6" s="107" t="n">
        <v>201605</v>
      </c>
      <c r="H6" s="108" t="n">
        <v>5.2</v>
      </c>
      <c r="I6" s="119" t="s">
        <v>903</v>
      </c>
      <c r="J6" s="104" t="s">
        <v>904</v>
      </c>
      <c r="K6" s="110" t="s">
        <v>905</v>
      </c>
      <c r="L6" s="111" t="s">
        <v>906</v>
      </c>
    </row>
    <row r="7" customFormat="false" ht="22.35" hidden="false" customHeight="false" outlineLevel="0" collapsed="false">
      <c r="A7" s="112" t="s">
        <v>107</v>
      </c>
      <c r="B7" s="99" t="s">
        <v>46</v>
      </c>
      <c r="C7" s="120" t="s">
        <v>907</v>
      </c>
      <c r="D7" s="97" t="n">
        <v>42095</v>
      </c>
      <c r="E7" s="98" t="n">
        <v>201504</v>
      </c>
      <c r="F7" s="97" t="n">
        <v>46357</v>
      </c>
      <c r="G7" s="98" t="n">
        <v>202612</v>
      </c>
      <c r="H7" s="114" t="n">
        <v>6.7</v>
      </c>
      <c r="I7" s="121" t="s">
        <v>903</v>
      </c>
      <c r="J7" s="99" t="s">
        <v>908</v>
      </c>
      <c r="K7" s="116" t="s">
        <v>909</v>
      </c>
      <c r="L7" s="117" t="s">
        <v>910</v>
      </c>
    </row>
    <row r="8" customFormat="false" ht="15" hidden="false" customHeight="false" outlineLevel="0" collapsed="false">
      <c r="A8" s="103" t="s">
        <v>58</v>
      </c>
      <c r="B8" s="104" t="s">
        <v>23</v>
      </c>
      <c r="C8" s="118" t="s">
        <v>911</v>
      </c>
      <c r="D8" s="106" t="n">
        <v>42430</v>
      </c>
      <c r="E8" s="107" t="n">
        <v>201603</v>
      </c>
      <c r="F8" s="106" t="n">
        <v>42552</v>
      </c>
      <c r="G8" s="107" t="n">
        <v>201607</v>
      </c>
      <c r="H8" s="108" t="n">
        <v>5.2</v>
      </c>
      <c r="I8" s="122" t="s">
        <v>892</v>
      </c>
      <c r="J8" s="104" t="s">
        <v>912</v>
      </c>
      <c r="K8" s="110" t="s">
        <v>913</v>
      </c>
      <c r="L8" s="111" t="s">
        <v>914</v>
      </c>
    </row>
    <row r="9" customFormat="false" ht="15" hidden="false" customHeight="false" outlineLevel="0" collapsed="false">
      <c r="A9" s="112" t="s">
        <v>60</v>
      </c>
      <c r="B9" s="99" t="s">
        <v>23</v>
      </c>
      <c r="C9" s="123" t="s">
        <v>902</v>
      </c>
      <c r="D9" s="97" t="n">
        <v>43040</v>
      </c>
      <c r="E9" s="98" t="n">
        <v>201711</v>
      </c>
      <c r="F9" s="97" t="n">
        <v>43040</v>
      </c>
      <c r="G9" s="98" t="n">
        <v>201711</v>
      </c>
      <c r="H9" s="114" t="n">
        <v>2.5</v>
      </c>
      <c r="I9" s="124" t="s">
        <v>888</v>
      </c>
      <c r="J9" s="99" t="s">
        <v>915</v>
      </c>
      <c r="K9" s="116" t="s">
        <v>916</v>
      </c>
      <c r="L9" s="117" t="s">
        <v>917</v>
      </c>
    </row>
    <row r="10" customFormat="false" ht="15" hidden="false" customHeight="false" outlineLevel="0" collapsed="false">
      <c r="A10" s="103" t="s">
        <v>95</v>
      </c>
      <c r="B10" s="104" t="s">
        <v>42</v>
      </c>
      <c r="C10" s="118" t="s">
        <v>902</v>
      </c>
      <c r="D10" s="106" t="n">
        <v>43252</v>
      </c>
      <c r="E10" s="107" t="n">
        <v>201806</v>
      </c>
      <c r="F10" s="106" t="n">
        <v>43800</v>
      </c>
      <c r="G10" s="107" t="n">
        <v>201912</v>
      </c>
      <c r="H10" s="108" t="n">
        <v>0.5</v>
      </c>
      <c r="I10" s="109" t="s">
        <v>888</v>
      </c>
      <c r="J10" s="104" t="s">
        <v>918</v>
      </c>
      <c r="K10" s="110" t="s">
        <v>919</v>
      </c>
      <c r="L10" s="111" t="s">
        <v>205</v>
      </c>
    </row>
    <row r="11" customFormat="false" ht="15" hidden="false" customHeight="false" outlineLevel="0" collapsed="false">
      <c r="A11" s="112" t="s">
        <v>62</v>
      </c>
      <c r="B11" s="99" t="s">
        <v>23</v>
      </c>
      <c r="C11" s="123" t="s">
        <v>902</v>
      </c>
      <c r="D11" s="97" t="n">
        <v>43862</v>
      </c>
      <c r="E11" s="98" t="n">
        <v>202002</v>
      </c>
      <c r="F11" s="97" t="n">
        <v>44197</v>
      </c>
      <c r="G11" s="98" t="n">
        <v>202101</v>
      </c>
      <c r="H11" s="114" t="n">
        <v>3.6</v>
      </c>
      <c r="I11" s="121" t="s">
        <v>903</v>
      </c>
      <c r="J11" s="99" t="s">
        <v>920</v>
      </c>
      <c r="K11" s="116" t="s">
        <v>921</v>
      </c>
      <c r="L11" s="117" t="s">
        <v>922</v>
      </c>
    </row>
    <row r="12" customFormat="false" ht="15" hidden="false" customHeight="false" outlineLevel="0" collapsed="false">
      <c r="A12" s="103" t="s">
        <v>89</v>
      </c>
      <c r="B12" s="104" t="s">
        <v>40</v>
      </c>
      <c r="C12" s="105" t="s">
        <v>923</v>
      </c>
      <c r="D12" s="106" t="n">
        <v>43922</v>
      </c>
      <c r="E12" s="107" t="n">
        <v>202004</v>
      </c>
      <c r="F12" s="106" t="n">
        <v>43983</v>
      </c>
      <c r="G12" s="107" t="n">
        <v>202006</v>
      </c>
      <c r="H12" s="108" t="n">
        <v>1</v>
      </c>
      <c r="I12" s="109" t="s">
        <v>888</v>
      </c>
      <c r="J12" s="104" t="s">
        <v>924</v>
      </c>
      <c r="K12" s="110" t="s">
        <v>925</v>
      </c>
      <c r="L12" s="111" t="s">
        <v>926</v>
      </c>
    </row>
    <row r="13" customFormat="false" ht="15" hidden="false" customHeight="false" outlineLevel="0" collapsed="false">
      <c r="A13" s="112" t="s">
        <v>58</v>
      </c>
      <c r="B13" s="99" t="s">
        <v>23</v>
      </c>
      <c r="C13" s="123" t="s">
        <v>902</v>
      </c>
      <c r="D13" s="97" t="n">
        <v>43952</v>
      </c>
      <c r="E13" s="98" t="n">
        <v>202005</v>
      </c>
      <c r="F13" s="97" t="n">
        <v>44075</v>
      </c>
      <c r="G13" s="98" t="n">
        <v>202009</v>
      </c>
      <c r="H13" s="114" t="n">
        <v>5.2</v>
      </c>
      <c r="I13" s="121" t="s">
        <v>903</v>
      </c>
      <c r="J13" s="99" t="s">
        <v>927</v>
      </c>
      <c r="K13" s="116" t="s">
        <v>928</v>
      </c>
      <c r="L13" s="117" t="s">
        <v>929</v>
      </c>
    </row>
    <row r="14" customFormat="false" ht="15" hidden="false" customHeight="false" outlineLevel="0" collapsed="false">
      <c r="A14" s="103" t="s">
        <v>102</v>
      </c>
      <c r="B14" s="104" t="s">
        <v>45</v>
      </c>
      <c r="C14" s="125" t="s">
        <v>930</v>
      </c>
      <c r="D14" s="106" t="n">
        <v>43952</v>
      </c>
      <c r="E14" s="107" t="n">
        <v>202005</v>
      </c>
      <c r="F14" s="106" t="n">
        <v>44136</v>
      </c>
      <c r="G14" s="107" t="n">
        <v>202011</v>
      </c>
      <c r="H14" s="108" t="n">
        <v>0.75</v>
      </c>
      <c r="I14" s="109" t="s">
        <v>888</v>
      </c>
      <c r="J14" s="104" t="s">
        <v>931</v>
      </c>
      <c r="K14" s="110" t="s">
        <v>932</v>
      </c>
      <c r="L14" s="111" t="s">
        <v>933</v>
      </c>
    </row>
    <row r="15" customFormat="false" ht="15" hidden="false" customHeight="false" outlineLevel="0" collapsed="false">
      <c r="A15" s="112" t="s">
        <v>99</v>
      </c>
      <c r="B15" s="99" t="s">
        <v>45</v>
      </c>
      <c r="C15" s="126" t="s">
        <v>934</v>
      </c>
      <c r="D15" s="97" t="n">
        <v>44044</v>
      </c>
      <c r="E15" s="98" t="n">
        <v>202008</v>
      </c>
      <c r="F15" s="97" t="n">
        <v>44044</v>
      </c>
      <c r="G15" s="98" t="n">
        <v>202008</v>
      </c>
      <c r="H15" s="114" t="n">
        <v>3</v>
      </c>
      <c r="I15" s="115" t="s">
        <v>892</v>
      </c>
      <c r="J15" s="99" t="s">
        <v>935</v>
      </c>
      <c r="K15" s="116" t="s">
        <v>936</v>
      </c>
      <c r="L15" s="117" t="s">
        <v>937</v>
      </c>
    </row>
    <row r="16" customFormat="false" ht="15" hidden="false" customHeight="false" outlineLevel="0" collapsed="false">
      <c r="A16" s="103" t="s">
        <v>86</v>
      </c>
      <c r="B16" s="104" t="s">
        <v>37</v>
      </c>
      <c r="C16" s="125" t="s">
        <v>930</v>
      </c>
      <c r="D16" s="106" t="n">
        <v>44075</v>
      </c>
      <c r="E16" s="107" t="n">
        <v>202009</v>
      </c>
      <c r="F16" s="106" t="n">
        <v>44713</v>
      </c>
      <c r="G16" s="107" t="n">
        <v>202206</v>
      </c>
      <c r="H16" s="108" t="n">
        <v>4.3</v>
      </c>
      <c r="I16" s="119" t="s">
        <v>903</v>
      </c>
      <c r="J16" s="104" t="s">
        <v>938</v>
      </c>
      <c r="K16" s="110" t="s">
        <v>939</v>
      </c>
      <c r="L16" s="111" t="s">
        <v>940</v>
      </c>
    </row>
    <row r="17" customFormat="false" ht="15" hidden="false" customHeight="false" outlineLevel="0" collapsed="false">
      <c r="A17" s="112" t="s">
        <v>99</v>
      </c>
      <c r="B17" s="99" t="s">
        <v>45</v>
      </c>
      <c r="C17" s="126" t="s">
        <v>934</v>
      </c>
      <c r="D17" s="97" t="n">
        <v>44075</v>
      </c>
      <c r="E17" s="98" t="n">
        <v>202009</v>
      </c>
      <c r="F17" s="97" t="n">
        <v>44075</v>
      </c>
      <c r="G17" s="98" t="n">
        <v>202009</v>
      </c>
      <c r="H17" s="114" t="n">
        <v>13.5</v>
      </c>
      <c r="I17" s="121" t="s">
        <v>903</v>
      </c>
      <c r="J17" s="99" t="s">
        <v>941</v>
      </c>
      <c r="K17" s="116" t="s">
        <v>942</v>
      </c>
      <c r="L17" s="117" t="s">
        <v>943</v>
      </c>
    </row>
    <row r="18" customFormat="false" ht="15" hidden="false" customHeight="false" outlineLevel="0" collapsed="false">
      <c r="A18" s="103" t="s">
        <v>58</v>
      </c>
      <c r="B18" s="104" t="s">
        <v>23</v>
      </c>
      <c r="C18" s="118" t="s">
        <v>902</v>
      </c>
      <c r="D18" s="106" t="n">
        <v>44105</v>
      </c>
      <c r="E18" s="107" t="n">
        <v>202010</v>
      </c>
      <c r="F18" s="106" t="n">
        <v>44166</v>
      </c>
      <c r="G18" s="107" t="n">
        <v>202012</v>
      </c>
      <c r="H18" s="108" t="n">
        <v>5.2</v>
      </c>
      <c r="I18" s="122" t="s">
        <v>892</v>
      </c>
      <c r="J18" s="104" t="s">
        <v>944</v>
      </c>
      <c r="K18" s="110" t="s">
        <v>945</v>
      </c>
      <c r="L18" s="111" t="s">
        <v>946</v>
      </c>
    </row>
    <row r="19" customFormat="false" ht="15" hidden="false" customHeight="false" outlineLevel="0" collapsed="false">
      <c r="A19" s="112" t="s">
        <v>99</v>
      </c>
      <c r="B19" s="99" t="s">
        <v>45</v>
      </c>
      <c r="C19" s="126" t="s">
        <v>934</v>
      </c>
      <c r="D19" s="97" t="n">
        <v>44105</v>
      </c>
      <c r="E19" s="98" t="n">
        <v>202010</v>
      </c>
      <c r="F19" s="97" t="n">
        <v>44105</v>
      </c>
      <c r="G19" s="98" t="n">
        <v>202010</v>
      </c>
      <c r="H19" s="114" t="n">
        <v>7</v>
      </c>
      <c r="I19" s="115" t="s">
        <v>892</v>
      </c>
      <c r="J19" s="99" t="s">
        <v>947</v>
      </c>
      <c r="K19" s="116" t="s">
        <v>948</v>
      </c>
      <c r="L19" s="117" t="s">
        <v>937</v>
      </c>
    </row>
    <row r="20" customFormat="false" ht="22.35" hidden="false" customHeight="false" outlineLevel="0" collapsed="false">
      <c r="A20" s="103" t="s">
        <v>96</v>
      </c>
      <c r="B20" s="104" t="s">
        <v>43</v>
      </c>
      <c r="C20" s="105" t="s">
        <v>887</v>
      </c>
      <c r="D20" s="106" t="n">
        <v>44166</v>
      </c>
      <c r="E20" s="107" t="n">
        <v>202012</v>
      </c>
      <c r="F20" s="106" t="n">
        <v>46357</v>
      </c>
      <c r="G20" s="107" t="n">
        <v>202612</v>
      </c>
      <c r="H20" s="108" t="n">
        <v>3.3</v>
      </c>
      <c r="I20" s="119" t="s">
        <v>903</v>
      </c>
      <c r="J20" s="104" t="s">
        <v>949</v>
      </c>
      <c r="K20" s="110" t="s">
        <v>950</v>
      </c>
      <c r="L20" s="111" t="s">
        <v>951</v>
      </c>
    </row>
    <row r="21" customFormat="false" ht="15" hidden="false" customHeight="false" outlineLevel="0" collapsed="false">
      <c r="A21" s="112" t="s">
        <v>58</v>
      </c>
      <c r="B21" s="99" t="s">
        <v>23</v>
      </c>
      <c r="C21" s="123" t="s">
        <v>902</v>
      </c>
      <c r="D21" s="97" t="n">
        <v>44197</v>
      </c>
      <c r="E21" s="98" t="n">
        <v>202101</v>
      </c>
      <c r="F21" s="97" t="n">
        <v>44256</v>
      </c>
      <c r="G21" s="98" t="n">
        <v>202103</v>
      </c>
      <c r="H21" s="114" t="n">
        <v>5.2</v>
      </c>
      <c r="I21" s="115" t="s">
        <v>892</v>
      </c>
      <c r="J21" s="99" t="s">
        <v>952</v>
      </c>
      <c r="K21" s="116" t="s">
        <v>953</v>
      </c>
      <c r="L21" s="117" t="s">
        <v>946</v>
      </c>
    </row>
    <row r="22" customFormat="false" ht="15" hidden="false" customHeight="false" outlineLevel="0" collapsed="false">
      <c r="A22" s="103" t="s">
        <v>84</v>
      </c>
      <c r="B22" s="104" t="s">
        <v>36</v>
      </c>
      <c r="C22" s="105" t="s">
        <v>887</v>
      </c>
      <c r="D22" s="106" t="n">
        <v>44197</v>
      </c>
      <c r="E22" s="107" t="n">
        <v>202101</v>
      </c>
      <c r="F22" s="106" t="n">
        <v>44805</v>
      </c>
      <c r="G22" s="107" t="n">
        <v>202209</v>
      </c>
      <c r="H22" s="108" t="n">
        <v>4</v>
      </c>
      <c r="I22" s="122" t="s">
        <v>892</v>
      </c>
      <c r="J22" s="104" t="s">
        <v>954</v>
      </c>
      <c r="K22" s="110" t="s">
        <v>955</v>
      </c>
      <c r="L22" s="111" t="s">
        <v>956</v>
      </c>
    </row>
    <row r="23" customFormat="false" ht="22.35" hidden="false" customHeight="false" outlineLevel="0" collapsed="false">
      <c r="A23" s="112" t="s">
        <v>96</v>
      </c>
      <c r="B23" s="99" t="s">
        <v>43</v>
      </c>
      <c r="C23" s="113" t="s">
        <v>887</v>
      </c>
      <c r="D23" s="97" t="n">
        <v>44197</v>
      </c>
      <c r="E23" s="98" t="n">
        <v>202101</v>
      </c>
      <c r="F23" s="97" t="n">
        <v>46357</v>
      </c>
      <c r="G23" s="98" t="n">
        <v>202612</v>
      </c>
      <c r="H23" s="114" t="n">
        <v>3.3</v>
      </c>
      <c r="I23" s="115" t="s">
        <v>892</v>
      </c>
      <c r="J23" s="99" t="s">
        <v>957</v>
      </c>
      <c r="K23" s="116" t="s">
        <v>958</v>
      </c>
      <c r="L23" s="117" t="s">
        <v>951</v>
      </c>
    </row>
    <row r="24" customFormat="false" ht="15" hidden="false" customHeight="false" outlineLevel="0" collapsed="false">
      <c r="A24" s="103" t="s">
        <v>100</v>
      </c>
      <c r="B24" s="104" t="s">
        <v>45</v>
      </c>
      <c r="C24" s="127" t="s">
        <v>934</v>
      </c>
      <c r="D24" s="106" t="n">
        <v>44228</v>
      </c>
      <c r="E24" s="107" t="n">
        <v>202102</v>
      </c>
      <c r="F24" s="106" t="n">
        <v>44228</v>
      </c>
      <c r="G24" s="107" t="n">
        <v>202102</v>
      </c>
      <c r="H24" s="108" t="n">
        <v>3</v>
      </c>
      <c r="I24" s="122" t="s">
        <v>892</v>
      </c>
      <c r="J24" s="104" t="s">
        <v>959</v>
      </c>
      <c r="K24" s="110" t="s">
        <v>960</v>
      </c>
      <c r="L24" s="111" t="s">
        <v>961</v>
      </c>
    </row>
    <row r="25" customFormat="false" ht="15" hidden="false" customHeight="false" outlineLevel="0" collapsed="false">
      <c r="A25" s="112" t="s">
        <v>106</v>
      </c>
      <c r="B25" s="99" t="s">
        <v>45</v>
      </c>
      <c r="C25" s="126" t="s">
        <v>934</v>
      </c>
      <c r="D25" s="97" t="n">
        <v>44228</v>
      </c>
      <c r="E25" s="98" t="n">
        <v>202102</v>
      </c>
      <c r="F25" s="97" t="n">
        <v>44228</v>
      </c>
      <c r="G25" s="98" t="n">
        <v>202102</v>
      </c>
      <c r="H25" s="114" t="n">
        <v>4</v>
      </c>
      <c r="I25" s="115" t="s">
        <v>892</v>
      </c>
      <c r="J25" s="99" t="s">
        <v>962</v>
      </c>
      <c r="K25" s="116" t="s">
        <v>963</v>
      </c>
      <c r="L25" s="117" t="s">
        <v>961</v>
      </c>
    </row>
    <row r="26" customFormat="false" ht="15" hidden="false" customHeight="false" outlineLevel="0" collapsed="false">
      <c r="A26" s="103" t="s">
        <v>89</v>
      </c>
      <c r="B26" s="104" t="s">
        <v>40</v>
      </c>
      <c r="C26" s="118" t="s">
        <v>902</v>
      </c>
      <c r="D26" s="106" t="n">
        <v>44317</v>
      </c>
      <c r="E26" s="107" t="n">
        <v>202105</v>
      </c>
      <c r="F26" s="106" t="n">
        <v>44317</v>
      </c>
      <c r="G26" s="107" t="n">
        <v>202105</v>
      </c>
      <c r="H26" s="108" t="n">
        <v>3.3</v>
      </c>
      <c r="I26" s="122" t="s">
        <v>892</v>
      </c>
      <c r="J26" s="104" t="s">
        <v>964</v>
      </c>
      <c r="K26" s="110" t="s">
        <v>965</v>
      </c>
      <c r="L26" s="111" t="s">
        <v>966</v>
      </c>
    </row>
    <row r="27" customFormat="false" ht="15" hidden="false" customHeight="false" outlineLevel="0" collapsed="false">
      <c r="A27" s="112" t="s">
        <v>58</v>
      </c>
      <c r="B27" s="99" t="s">
        <v>23</v>
      </c>
      <c r="C27" s="123" t="s">
        <v>902</v>
      </c>
      <c r="D27" s="97" t="n">
        <v>44501</v>
      </c>
      <c r="E27" s="98" t="n">
        <v>202111</v>
      </c>
      <c r="F27" s="97" t="n">
        <v>44501</v>
      </c>
      <c r="G27" s="98" t="n">
        <v>202111</v>
      </c>
      <c r="H27" s="114" t="n">
        <v>2.5</v>
      </c>
      <c r="I27" s="124" t="s">
        <v>888</v>
      </c>
      <c r="J27" s="99" t="s">
        <v>967</v>
      </c>
      <c r="K27" s="116" t="s">
        <v>968</v>
      </c>
      <c r="L27" s="117" t="s">
        <v>969</v>
      </c>
    </row>
    <row r="28" customFormat="false" ht="15" hidden="false" customHeight="false" outlineLevel="0" collapsed="false">
      <c r="A28" s="103" t="s">
        <v>62</v>
      </c>
      <c r="B28" s="104" t="s">
        <v>23</v>
      </c>
      <c r="C28" s="125" t="s">
        <v>930</v>
      </c>
      <c r="D28" s="106" t="n">
        <v>44531</v>
      </c>
      <c r="E28" s="107" t="n">
        <v>202112</v>
      </c>
      <c r="F28" s="106" t="n">
        <v>44652</v>
      </c>
      <c r="G28" s="107" t="n">
        <v>202204</v>
      </c>
      <c r="H28" s="108" t="n">
        <v>3.6</v>
      </c>
      <c r="I28" s="122" t="s">
        <v>892</v>
      </c>
      <c r="J28" s="104" t="s">
        <v>970</v>
      </c>
      <c r="K28" s="110" t="s">
        <v>971</v>
      </c>
      <c r="L28" s="111" t="s">
        <v>922</v>
      </c>
    </row>
    <row r="29" customFormat="false" ht="15" hidden="false" customHeight="false" outlineLevel="0" collapsed="false">
      <c r="A29" s="112" t="s">
        <v>62</v>
      </c>
      <c r="B29" s="99" t="s">
        <v>23</v>
      </c>
      <c r="C29" s="128" t="s">
        <v>972</v>
      </c>
      <c r="D29" s="97" t="n">
        <v>44713</v>
      </c>
      <c r="E29" s="98" t="n">
        <v>202206</v>
      </c>
      <c r="F29" s="97" t="n">
        <v>44805</v>
      </c>
      <c r="G29" s="98" t="n">
        <v>202209</v>
      </c>
      <c r="H29" s="114" t="n">
        <v>3.6</v>
      </c>
      <c r="I29" s="121" t="s">
        <v>903</v>
      </c>
      <c r="J29" s="99" t="s">
        <v>973</v>
      </c>
      <c r="K29" s="116" t="s">
        <v>974</v>
      </c>
      <c r="L29" s="117" t="s">
        <v>975</v>
      </c>
    </row>
    <row r="30" customFormat="false" ht="15" hidden="false" customHeight="false" outlineLevel="0" collapsed="false">
      <c r="A30" s="103" t="s">
        <v>103</v>
      </c>
      <c r="B30" s="104" t="s">
        <v>45</v>
      </c>
      <c r="C30" s="125" t="s">
        <v>930</v>
      </c>
      <c r="D30" s="106" t="n">
        <v>44713</v>
      </c>
      <c r="E30" s="107" t="n">
        <v>202206</v>
      </c>
      <c r="F30" s="106" t="n">
        <v>44927</v>
      </c>
      <c r="G30" s="107" t="n">
        <v>202301</v>
      </c>
      <c r="H30" s="108" t="n">
        <v>15</v>
      </c>
      <c r="I30" s="119" t="s">
        <v>903</v>
      </c>
      <c r="J30" s="104" t="s">
        <v>976</v>
      </c>
      <c r="K30" s="110" t="s">
        <v>977</v>
      </c>
      <c r="L30" s="111" t="s">
        <v>978</v>
      </c>
    </row>
    <row r="31" customFormat="false" ht="15" hidden="false" customHeight="false" outlineLevel="0" collapsed="false">
      <c r="A31" s="112" t="s">
        <v>72</v>
      </c>
      <c r="B31" s="99" t="s">
        <v>29</v>
      </c>
      <c r="C31" s="113" t="s">
        <v>887</v>
      </c>
      <c r="D31" s="97" t="n">
        <v>44743</v>
      </c>
      <c r="E31" s="98" t="n">
        <v>202207</v>
      </c>
      <c r="F31" s="97" t="n">
        <v>44774</v>
      </c>
      <c r="G31" s="98" t="n">
        <v>202208</v>
      </c>
      <c r="H31" s="114" t="n">
        <v>7.2</v>
      </c>
      <c r="I31" s="121" t="s">
        <v>903</v>
      </c>
      <c r="J31" s="99" t="s">
        <v>979</v>
      </c>
      <c r="K31" s="116" t="s">
        <v>980</v>
      </c>
      <c r="L31" s="117" t="s">
        <v>981</v>
      </c>
    </row>
    <row r="32" customFormat="false" ht="15" hidden="false" customHeight="false" outlineLevel="0" collapsed="false">
      <c r="A32" s="103" t="s">
        <v>93</v>
      </c>
      <c r="B32" s="104" t="s">
        <v>42</v>
      </c>
      <c r="C32" s="118" t="s">
        <v>902</v>
      </c>
      <c r="D32" s="106" t="n">
        <v>44743</v>
      </c>
      <c r="E32" s="107" t="n">
        <v>202207</v>
      </c>
      <c r="F32" s="106" t="n">
        <v>44805</v>
      </c>
      <c r="G32" s="107" t="n">
        <v>202209</v>
      </c>
      <c r="H32" s="108" t="n">
        <v>0.5</v>
      </c>
      <c r="I32" s="109" t="s">
        <v>888</v>
      </c>
      <c r="J32" s="104" t="s">
        <v>982</v>
      </c>
      <c r="K32" s="110" t="s">
        <v>983</v>
      </c>
      <c r="L32" s="111" t="s">
        <v>984</v>
      </c>
    </row>
    <row r="33" customFormat="false" ht="22.35" hidden="false" customHeight="false" outlineLevel="0" collapsed="false">
      <c r="A33" s="112" t="s">
        <v>98</v>
      </c>
      <c r="B33" s="99" t="s">
        <v>45</v>
      </c>
      <c r="C33" s="123" t="s">
        <v>911</v>
      </c>
      <c r="D33" s="97" t="n">
        <v>44774</v>
      </c>
      <c r="E33" s="98" t="n">
        <v>202208</v>
      </c>
      <c r="F33" s="97" t="n">
        <v>45627</v>
      </c>
      <c r="G33" s="98" t="n">
        <v>202412</v>
      </c>
      <c r="H33" s="114" t="n">
        <v>2</v>
      </c>
      <c r="I33" s="124" t="s">
        <v>888</v>
      </c>
      <c r="J33" s="99" t="s">
        <v>985</v>
      </c>
      <c r="K33" s="116" t="s">
        <v>986</v>
      </c>
      <c r="L33" s="117" t="s">
        <v>987</v>
      </c>
    </row>
    <row r="34" customFormat="false" ht="15" hidden="false" customHeight="false" outlineLevel="0" collapsed="false">
      <c r="A34" s="103" t="s">
        <v>77</v>
      </c>
      <c r="B34" s="104" t="s">
        <v>32</v>
      </c>
      <c r="C34" s="105" t="s">
        <v>887</v>
      </c>
      <c r="D34" s="106" t="n">
        <v>44835</v>
      </c>
      <c r="E34" s="107" t="n">
        <v>202210</v>
      </c>
      <c r="F34" s="106" t="n">
        <v>45597</v>
      </c>
      <c r="G34" s="107" t="n">
        <v>202411</v>
      </c>
      <c r="H34" s="108" t="n">
        <v>2.5</v>
      </c>
      <c r="I34" s="122" t="s">
        <v>892</v>
      </c>
      <c r="J34" s="104" t="s">
        <v>988</v>
      </c>
      <c r="K34" s="110" t="s">
        <v>989</v>
      </c>
      <c r="L34" s="111" t="s">
        <v>990</v>
      </c>
    </row>
    <row r="35" customFormat="false" ht="15" hidden="false" customHeight="false" outlineLevel="0" collapsed="false">
      <c r="A35" s="112" t="s">
        <v>84</v>
      </c>
      <c r="B35" s="99" t="s">
        <v>36</v>
      </c>
      <c r="C35" s="113" t="s">
        <v>887</v>
      </c>
      <c r="D35" s="97" t="n">
        <v>44835</v>
      </c>
      <c r="E35" s="98" t="n">
        <v>202210</v>
      </c>
      <c r="F35" s="97" t="n">
        <v>44986</v>
      </c>
      <c r="G35" s="98" t="n">
        <v>202303</v>
      </c>
      <c r="H35" s="114" t="n">
        <v>10</v>
      </c>
      <c r="I35" s="115" t="s">
        <v>892</v>
      </c>
      <c r="J35" s="99" t="s">
        <v>991</v>
      </c>
      <c r="K35" s="116" t="s">
        <v>992</v>
      </c>
      <c r="L35" s="117" t="s">
        <v>993</v>
      </c>
    </row>
    <row r="36" customFormat="false" ht="15" hidden="false" customHeight="false" outlineLevel="0" collapsed="false">
      <c r="A36" s="103" t="s">
        <v>62</v>
      </c>
      <c r="B36" s="104" t="s">
        <v>23</v>
      </c>
      <c r="C36" s="125" t="s">
        <v>930</v>
      </c>
      <c r="D36" s="106" t="n">
        <v>44896</v>
      </c>
      <c r="E36" s="107" t="n">
        <v>202212</v>
      </c>
      <c r="F36" s="106" t="n">
        <v>44927</v>
      </c>
      <c r="G36" s="107" t="n">
        <v>202301</v>
      </c>
      <c r="H36" s="108" t="n">
        <v>3.6</v>
      </c>
      <c r="I36" s="122" t="s">
        <v>892</v>
      </c>
      <c r="J36" s="104" t="s">
        <v>994</v>
      </c>
      <c r="K36" s="110" t="s">
        <v>995</v>
      </c>
      <c r="L36" s="111" t="s">
        <v>996</v>
      </c>
    </row>
    <row r="37" customFormat="false" ht="15" hidden="false" customHeight="false" outlineLevel="0" collapsed="false">
      <c r="A37" s="112" t="s">
        <v>99</v>
      </c>
      <c r="B37" s="99" t="s">
        <v>45</v>
      </c>
      <c r="C37" s="126" t="s">
        <v>934</v>
      </c>
      <c r="D37" s="97" t="n">
        <v>44896</v>
      </c>
      <c r="E37" s="98" t="n">
        <v>202212</v>
      </c>
      <c r="F37" s="97" t="n">
        <v>44896</v>
      </c>
      <c r="G37" s="98" t="n">
        <v>202212</v>
      </c>
      <c r="H37" s="114" t="n">
        <v>0.5</v>
      </c>
      <c r="I37" s="124" t="s">
        <v>888</v>
      </c>
      <c r="J37" s="99" t="s">
        <v>997</v>
      </c>
      <c r="K37" s="116" t="s">
        <v>998</v>
      </c>
      <c r="L37" s="117" t="s">
        <v>999</v>
      </c>
    </row>
    <row r="38" customFormat="false" ht="15" hidden="false" customHeight="false" outlineLevel="0" collapsed="false">
      <c r="A38" s="103" t="s">
        <v>100</v>
      </c>
      <c r="B38" s="104" t="s">
        <v>45</v>
      </c>
      <c r="C38" s="127" t="s">
        <v>934</v>
      </c>
      <c r="D38" s="106" t="n">
        <v>44896</v>
      </c>
      <c r="E38" s="107" t="n">
        <v>202212</v>
      </c>
      <c r="F38" s="106" t="n">
        <v>44896</v>
      </c>
      <c r="G38" s="107" t="n">
        <v>202212</v>
      </c>
      <c r="H38" s="108" t="n">
        <v>0.5</v>
      </c>
      <c r="I38" s="109" t="s">
        <v>888</v>
      </c>
      <c r="J38" s="104" t="s">
        <v>997</v>
      </c>
      <c r="K38" s="110" t="s">
        <v>998</v>
      </c>
      <c r="L38" s="111" t="s">
        <v>999</v>
      </c>
    </row>
    <row r="39" customFormat="false" ht="15" hidden="false" customHeight="false" outlineLevel="0" collapsed="false">
      <c r="A39" s="112" t="s">
        <v>106</v>
      </c>
      <c r="B39" s="99" t="s">
        <v>45</v>
      </c>
      <c r="C39" s="126" t="s">
        <v>934</v>
      </c>
      <c r="D39" s="97" t="n">
        <v>44896</v>
      </c>
      <c r="E39" s="98" t="n">
        <v>202212</v>
      </c>
      <c r="F39" s="97" t="n">
        <v>44896</v>
      </c>
      <c r="G39" s="98" t="n">
        <v>202212</v>
      </c>
      <c r="H39" s="114" t="n">
        <v>1</v>
      </c>
      <c r="I39" s="124" t="s">
        <v>888</v>
      </c>
      <c r="J39" s="99" t="s">
        <v>1000</v>
      </c>
      <c r="K39" s="116" t="s">
        <v>1001</v>
      </c>
      <c r="L39" s="117" t="s">
        <v>999</v>
      </c>
    </row>
    <row r="40" customFormat="false" ht="15" hidden="false" customHeight="false" outlineLevel="0" collapsed="false">
      <c r="A40" s="103" t="s">
        <v>72</v>
      </c>
      <c r="B40" s="104" t="s">
        <v>29</v>
      </c>
      <c r="C40" s="105" t="s">
        <v>887</v>
      </c>
      <c r="D40" s="106" t="n">
        <v>44927</v>
      </c>
      <c r="E40" s="107" t="n">
        <v>202301</v>
      </c>
      <c r="F40" s="106" t="n">
        <v>45170</v>
      </c>
      <c r="G40" s="107" t="n">
        <v>202309</v>
      </c>
      <c r="H40" s="108" t="n">
        <v>4</v>
      </c>
      <c r="I40" s="122" t="s">
        <v>892</v>
      </c>
      <c r="J40" s="104" t="s">
        <v>1002</v>
      </c>
      <c r="K40" s="110" t="s">
        <v>1003</v>
      </c>
      <c r="L40" s="111" t="s">
        <v>1004</v>
      </c>
    </row>
    <row r="41" customFormat="false" ht="22.35" hidden="false" customHeight="false" outlineLevel="0" collapsed="false">
      <c r="A41" s="112" t="s">
        <v>73</v>
      </c>
      <c r="B41" s="99" t="s">
        <v>30</v>
      </c>
      <c r="C41" s="113" t="s">
        <v>887</v>
      </c>
      <c r="D41" s="97" t="n">
        <v>44927</v>
      </c>
      <c r="E41" s="98" t="n">
        <v>202301</v>
      </c>
      <c r="F41" s="97" t="n">
        <v>46357</v>
      </c>
      <c r="G41" s="98" t="n">
        <v>202612</v>
      </c>
      <c r="H41" s="114" t="n">
        <v>2</v>
      </c>
      <c r="I41" s="124" t="s">
        <v>888</v>
      </c>
      <c r="J41" s="99" t="s">
        <v>1005</v>
      </c>
      <c r="K41" s="116" t="s">
        <v>1006</v>
      </c>
      <c r="L41" s="117" t="s">
        <v>1007</v>
      </c>
    </row>
    <row r="42" customFormat="false" ht="15" hidden="false" customHeight="false" outlineLevel="0" collapsed="false">
      <c r="A42" s="103" t="s">
        <v>103</v>
      </c>
      <c r="B42" s="104" t="s">
        <v>45</v>
      </c>
      <c r="C42" s="125" t="s">
        <v>930</v>
      </c>
      <c r="D42" s="106" t="n">
        <v>44958</v>
      </c>
      <c r="E42" s="107" t="n">
        <v>202302</v>
      </c>
      <c r="F42" s="106" t="n">
        <v>44958</v>
      </c>
      <c r="G42" s="107" t="n">
        <v>202302</v>
      </c>
      <c r="H42" s="108" t="n">
        <v>12</v>
      </c>
      <c r="I42" s="122" t="s">
        <v>892</v>
      </c>
      <c r="J42" s="104" t="s">
        <v>1008</v>
      </c>
      <c r="K42" s="110" t="s">
        <v>1009</v>
      </c>
      <c r="L42" s="111" t="s">
        <v>978</v>
      </c>
    </row>
    <row r="43" customFormat="false" ht="15" hidden="false" customHeight="false" outlineLevel="0" collapsed="false">
      <c r="A43" s="112" t="s">
        <v>103</v>
      </c>
      <c r="B43" s="99" t="s">
        <v>45</v>
      </c>
      <c r="C43" s="129" t="s">
        <v>930</v>
      </c>
      <c r="D43" s="97" t="n">
        <v>44986</v>
      </c>
      <c r="E43" s="98" t="n">
        <v>202303</v>
      </c>
      <c r="F43" s="97" t="n">
        <v>44986</v>
      </c>
      <c r="G43" s="98" t="n">
        <v>202303</v>
      </c>
      <c r="H43" s="114" t="n">
        <v>5</v>
      </c>
      <c r="I43" s="115" t="s">
        <v>892</v>
      </c>
      <c r="J43" s="99" t="s">
        <v>1010</v>
      </c>
      <c r="K43" s="116" t="s">
        <v>1011</v>
      </c>
      <c r="L43" s="117" t="s">
        <v>1012</v>
      </c>
    </row>
    <row r="44" customFormat="false" ht="15" hidden="false" customHeight="false" outlineLevel="0" collapsed="false">
      <c r="A44" s="103" t="s">
        <v>84</v>
      </c>
      <c r="B44" s="104" t="s">
        <v>36</v>
      </c>
      <c r="C44" s="105" t="s">
        <v>887</v>
      </c>
      <c r="D44" s="106" t="n">
        <v>45017</v>
      </c>
      <c r="E44" s="107" t="n">
        <v>202304</v>
      </c>
      <c r="F44" s="106" t="n">
        <v>45261</v>
      </c>
      <c r="G44" s="107" t="n">
        <v>202312</v>
      </c>
      <c r="H44" s="108" t="n">
        <v>5</v>
      </c>
      <c r="I44" s="122" t="s">
        <v>892</v>
      </c>
      <c r="J44" s="104" t="s">
        <v>1013</v>
      </c>
      <c r="K44" s="110" t="s">
        <v>1014</v>
      </c>
      <c r="L44" s="111" t="s">
        <v>1015</v>
      </c>
    </row>
    <row r="45" customFormat="false" ht="15" hidden="false" customHeight="false" outlineLevel="0" collapsed="false">
      <c r="A45" s="112" t="s">
        <v>103</v>
      </c>
      <c r="B45" s="99" t="s">
        <v>45</v>
      </c>
      <c r="C45" s="129" t="s">
        <v>930</v>
      </c>
      <c r="D45" s="97" t="n">
        <v>45017</v>
      </c>
      <c r="E45" s="98" t="n">
        <v>202304</v>
      </c>
      <c r="F45" s="97" t="n">
        <v>45017</v>
      </c>
      <c r="G45" s="98" t="n">
        <v>202304</v>
      </c>
      <c r="H45" s="114" t="n">
        <v>2</v>
      </c>
      <c r="I45" s="124" t="s">
        <v>888</v>
      </c>
      <c r="J45" s="99" t="s">
        <v>1016</v>
      </c>
      <c r="K45" s="116" t="s">
        <v>1017</v>
      </c>
      <c r="L45" s="117" t="s">
        <v>1018</v>
      </c>
    </row>
    <row r="46" customFormat="false" ht="15" hidden="false" customHeight="false" outlineLevel="0" collapsed="false">
      <c r="A46" s="103" t="s">
        <v>59</v>
      </c>
      <c r="B46" s="104" t="s">
        <v>23</v>
      </c>
      <c r="C46" s="118" t="s">
        <v>902</v>
      </c>
      <c r="D46" s="106" t="n">
        <v>45078</v>
      </c>
      <c r="E46" s="107" t="n">
        <v>202306</v>
      </c>
      <c r="F46" s="106" t="n">
        <v>45108</v>
      </c>
      <c r="G46" s="107" t="n">
        <v>202307</v>
      </c>
      <c r="H46" s="108" t="n">
        <v>1.5</v>
      </c>
      <c r="I46" s="109" t="s">
        <v>888</v>
      </c>
      <c r="J46" s="104" t="s">
        <v>1019</v>
      </c>
      <c r="K46" s="110" t="s">
        <v>1020</v>
      </c>
      <c r="L46" s="111" t="s">
        <v>1021</v>
      </c>
    </row>
    <row r="47" customFormat="false" ht="22.35" hidden="false" customHeight="false" outlineLevel="0" collapsed="false">
      <c r="A47" s="112" t="s">
        <v>58</v>
      </c>
      <c r="B47" s="99" t="s">
        <v>23</v>
      </c>
      <c r="C47" s="128" t="s">
        <v>972</v>
      </c>
      <c r="D47" s="97" t="n">
        <v>45139</v>
      </c>
      <c r="E47" s="98" t="n">
        <v>202308</v>
      </c>
      <c r="F47" s="97" t="n">
        <v>45200</v>
      </c>
      <c r="G47" s="98" t="n">
        <v>202310</v>
      </c>
      <c r="H47" s="114" t="n">
        <v>0</v>
      </c>
      <c r="I47" s="121" t="s">
        <v>903</v>
      </c>
      <c r="J47" s="99" t="s">
        <v>1022</v>
      </c>
      <c r="K47" s="116" t="s">
        <v>1023</v>
      </c>
      <c r="L47" s="117" t="s">
        <v>1024</v>
      </c>
    </row>
    <row r="48" customFormat="false" ht="22.35" hidden="false" customHeight="false" outlineLevel="0" collapsed="false">
      <c r="A48" s="103" t="s">
        <v>64</v>
      </c>
      <c r="B48" s="104" t="s">
        <v>23</v>
      </c>
      <c r="C48" s="130" t="s">
        <v>972</v>
      </c>
      <c r="D48" s="106" t="n">
        <v>45139</v>
      </c>
      <c r="E48" s="107" t="n">
        <v>202308</v>
      </c>
      <c r="F48" s="106" t="n">
        <v>45200</v>
      </c>
      <c r="G48" s="107" t="n">
        <v>202310</v>
      </c>
      <c r="H48" s="108" t="n">
        <v>0</v>
      </c>
      <c r="I48" s="119" t="s">
        <v>903</v>
      </c>
      <c r="J48" s="104" t="s">
        <v>1022</v>
      </c>
      <c r="K48" s="110" t="s">
        <v>1023</v>
      </c>
      <c r="L48" s="111" t="s">
        <v>1024</v>
      </c>
    </row>
    <row r="49" customFormat="false" ht="15" hidden="false" customHeight="false" outlineLevel="0" collapsed="false">
      <c r="A49" s="112" t="s">
        <v>64</v>
      </c>
      <c r="B49" s="99" t="s">
        <v>23</v>
      </c>
      <c r="C49" s="123" t="s">
        <v>902</v>
      </c>
      <c r="D49" s="97" t="n">
        <v>45170</v>
      </c>
      <c r="E49" s="98" t="n">
        <v>202309</v>
      </c>
      <c r="F49" s="97" t="n">
        <v>45170</v>
      </c>
      <c r="G49" s="98" t="n">
        <v>202309</v>
      </c>
      <c r="H49" s="114" t="n">
        <v>2.2</v>
      </c>
      <c r="I49" s="115" t="s">
        <v>892</v>
      </c>
      <c r="J49" s="99" t="s">
        <v>1025</v>
      </c>
      <c r="K49" s="116" t="s">
        <v>1026</v>
      </c>
      <c r="L49" s="117" t="s">
        <v>1024</v>
      </c>
    </row>
    <row r="50" customFormat="false" ht="15" hidden="false" customHeight="false" outlineLevel="0" collapsed="false">
      <c r="A50" s="103" t="s">
        <v>86</v>
      </c>
      <c r="B50" s="104" t="s">
        <v>37</v>
      </c>
      <c r="C50" s="118" t="s">
        <v>902</v>
      </c>
      <c r="D50" s="106" t="n">
        <v>45383</v>
      </c>
      <c r="E50" s="107" t="n">
        <v>202404</v>
      </c>
      <c r="F50" s="106" t="n">
        <v>45383</v>
      </c>
      <c r="G50" s="107" t="n">
        <v>202404</v>
      </c>
      <c r="H50" s="108" t="n">
        <v>1</v>
      </c>
      <c r="I50" s="109" t="s">
        <v>888</v>
      </c>
      <c r="J50" s="104" t="s">
        <v>1027</v>
      </c>
      <c r="K50" s="110" t="s">
        <v>1028</v>
      </c>
      <c r="L50" s="111" t="s">
        <v>1029</v>
      </c>
    </row>
    <row r="51" customFormat="false" ht="15" hidden="false" customHeight="false" outlineLevel="0" collapsed="false">
      <c r="A51" s="112" t="s">
        <v>72</v>
      </c>
      <c r="B51" s="99" t="s">
        <v>29</v>
      </c>
      <c r="C51" s="113" t="s">
        <v>887</v>
      </c>
      <c r="D51" s="97" t="n">
        <v>45444</v>
      </c>
      <c r="E51" s="98" t="n">
        <v>202406</v>
      </c>
      <c r="F51" s="97" t="n">
        <v>45566</v>
      </c>
      <c r="G51" s="98" t="n">
        <v>202410</v>
      </c>
      <c r="H51" s="114" t="n">
        <v>6</v>
      </c>
      <c r="I51" s="115" t="s">
        <v>892</v>
      </c>
      <c r="J51" s="99" t="s">
        <v>1030</v>
      </c>
      <c r="K51" s="116" t="s">
        <v>1031</v>
      </c>
      <c r="L51" s="117" t="s">
        <v>1032</v>
      </c>
    </row>
    <row r="52" customFormat="false" ht="15" hidden="false" customHeight="false" outlineLevel="0" collapsed="false">
      <c r="A52" s="103" t="s">
        <v>59</v>
      </c>
      <c r="B52" s="104" t="s">
        <v>23</v>
      </c>
      <c r="C52" s="118" t="s">
        <v>902</v>
      </c>
      <c r="D52" s="106" t="n">
        <v>45474</v>
      </c>
      <c r="E52" s="107" t="n">
        <v>202407</v>
      </c>
      <c r="F52" s="106" t="n">
        <v>45474</v>
      </c>
      <c r="G52" s="107" t="n">
        <v>202407</v>
      </c>
      <c r="H52" s="108" t="n">
        <v>4.45</v>
      </c>
      <c r="I52" s="122" t="s">
        <v>892</v>
      </c>
      <c r="J52" s="104" t="s">
        <v>1033</v>
      </c>
      <c r="K52" s="110" t="s">
        <v>1034</v>
      </c>
      <c r="L52" s="111" t="s">
        <v>1035</v>
      </c>
    </row>
    <row r="53" customFormat="false" ht="15" hidden="false" customHeight="false" outlineLevel="0" collapsed="false">
      <c r="A53" s="112" t="s">
        <v>103</v>
      </c>
      <c r="B53" s="99" t="s">
        <v>45</v>
      </c>
      <c r="C53" s="126" t="s">
        <v>934</v>
      </c>
      <c r="D53" s="97" t="n">
        <v>45474</v>
      </c>
      <c r="E53" s="98" t="n">
        <v>202407</v>
      </c>
      <c r="F53" s="97" t="n">
        <v>45474</v>
      </c>
      <c r="G53" s="98" t="n">
        <v>202407</v>
      </c>
      <c r="H53" s="114" t="n">
        <v>10</v>
      </c>
      <c r="I53" s="115" t="s">
        <v>892</v>
      </c>
      <c r="J53" s="99" t="s">
        <v>1036</v>
      </c>
      <c r="K53" s="116" t="s">
        <v>1037</v>
      </c>
      <c r="L53" s="117" t="s">
        <v>1038</v>
      </c>
    </row>
    <row r="54" customFormat="false" ht="15" hidden="false" customHeight="false" outlineLevel="0" collapsed="false">
      <c r="A54" s="103" t="s">
        <v>59</v>
      </c>
      <c r="B54" s="104" t="s">
        <v>23</v>
      </c>
      <c r="C54" s="118" t="s">
        <v>902</v>
      </c>
      <c r="D54" s="106" t="n">
        <v>45505</v>
      </c>
      <c r="E54" s="107" t="n">
        <v>202408</v>
      </c>
      <c r="F54" s="106" t="n">
        <v>45566</v>
      </c>
      <c r="G54" s="107" t="n">
        <v>202410</v>
      </c>
      <c r="H54" s="108" t="n">
        <v>4.45</v>
      </c>
      <c r="I54" s="122" t="s">
        <v>892</v>
      </c>
      <c r="J54" s="104" t="s">
        <v>1039</v>
      </c>
      <c r="K54" s="110" t="s">
        <v>1040</v>
      </c>
      <c r="L54" s="111" t="s">
        <v>1041</v>
      </c>
    </row>
    <row r="55" customFormat="false" ht="15" hidden="false" customHeight="false" outlineLevel="0" collapsed="false">
      <c r="A55" s="112" t="s">
        <v>103</v>
      </c>
      <c r="B55" s="99" t="s">
        <v>45</v>
      </c>
      <c r="C55" s="126" t="s">
        <v>934</v>
      </c>
      <c r="D55" s="97" t="n">
        <v>45505</v>
      </c>
      <c r="E55" s="98" t="n">
        <v>202408</v>
      </c>
      <c r="F55" s="97" t="n">
        <v>45505</v>
      </c>
      <c r="G55" s="98" t="n">
        <v>202408</v>
      </c>
      <c r="H55" s="114" t="n">
        <v>2</v>
      </c>
      <c r="I55" s="124" t="s">
        <v>888</v>
      </c>
      <c r="J55" s="99" t="s">
        <v>1042</v>
      </c>
      <c r="K55" s="116" t="s">
        <v>1043</v>
      </c>
      <c r="L55" s="117" t="s">
        <v>1044</v>
      </c>
    </row>
    <row r="56" customFormat="false" ht="15" hidden="false" customHeight="false" outlineLevel="0" collapsed="false">
      <c r="A56" s="103" t="s">
        <v>61</v>
      </c>
      <c r="B56" s="104" t="s">
        <v>23</v>
      </c>
      <c r="C56" s="118" t="s">
        <v>902</v>
      </c>
      <c r="D56" s="106" t="n">
        <v>45597</v>
      </c>
      <c r="E56" s="107" t="n">
        <v>202411</v>
      </c>
      <c r="F56" s="106" t="n">
        <v>45627</v>
      </c>
      <c r="G56" s="107" t="n">
        <v>202412</v>
      </c>
      <c r="H56" s="108" t="n">
        <v>4.9</v>
      </c>
      <c r="I56" s="122" t="s">
        <v>892</v>
      </c>
      <c r="J56" s="104" t="s">
        <v>1045</v>
      </c>
      <c r="K56" s="110" t="s">
        <v>1046</v>
      </c>
      <c r="L56" s="111" t="s">
        <v>1047</v>
      </c>
    </row>
    <row r="57" customFormat="false" ht="15" hidden="false" customHeight="false" outlineLevel="0" collapsed="false">
      <c r="A57" s="112" t="s">
        <v>76</v>
      </c>
      <c r="B57" s="99" t="s">
        <v>31</v>
      </c>
      <c r="C57" s="123" t="s">
        <v>902</v>
      </c>
      <c r="D57" s="97" t="n">
        <v>45597</v>
      </c>
      <c r="E57" s="98" t="n">
        <v>202411</v>
      </c>
      <c r="F57" s="97" t="n">
        <v>45597</v>
      </c>
      <c r="G57" s="98" t="n">
        <v>202411</v>
      </c>
      <c r="H57" s="114" t="n">
        <v>2</v>
      </c>
      <c r="I57" s="115" t="s">
        <v>892</v>
      </c>
      <c r="J57" s="99" t="s">
        <v>1048</v>
      </c>
      <c r="K57" s="116" t="s">
        <v>1049</v>
      </c>
      <c r="L57" s="117" t="s">
        <v>1050</v>
      </c>
    </row>
    <row r="58" customFormat="false" ht="15" hidden="false" customHeight="false" outlineLevel="0" collapsed="false">
      <c r="A58" s="103" t="s">
        <v>86</v>
      </c>
      <c r="B58" s="104" t="s">
        <v>37</v>
      </c>
      <c r="C58" s="118" t="s">
        <v>902</v>
      </c>
      <c r="D58" s="106" t="n">
        <v>45658</v>
      </c>
      <c r="E58" s="107" t="n">
        <v>202501</v>
      </c>
      <c r="F58" s="106" t="n">
        <v>45658</v>
      </c>
      <c r="G58" s="107" t="n">
        <v>202501</v>
      </c>
      <c r="H58" s="108" t="n">
        <v>1</v>
      </c>
      <c r="I58" s="109" t="s">
        <v>888</v>
      </c>
      <c r="J58" s="104" t="s">
        <v>1051</v>
      </c>
      <c r="K58" s="110" t="s">
        <v>1052</v>
      </c>
      <c r="L58" s="111" t="s">
        <v>1053</v>
      </c>
    </row>
    <row r="59" customFormat="false" ht="15" hidden="false" customHeight="false" outlineLevel="0" collapsed="false">
      <c r="A59" s="112" t="s">
        <v>77</v>
      </c>
      <c r="B59" s="99" t="s">
        <v>32</v>
      </c>
      <c r="C59" s="123" t="s">
        <v>902</v>
      </c>
      <c r="D59" s="97" t="n">
        <v>45748</v>
      </c>
      <c r="E59" s="98" t="n">
        <v>202504</v>
      </c>
      <c r="F59" s="97" t="n">
        <v>45748</v>
      </c>
      <c r="G59" s="98" t="n">
        <v>202504</v>
      </c>
      <c r="H59" s="114" t="n">
        <v>0.5</v>
      </c>
      <c r="I59" s="124" t="s">
        <v>888</v>
      </c>
      <c r="J59" s="99" t="s">
        <v>1054</v>
      </c>
      <c r="K59" s="116" t="s">
        <v>1055</v>
      </c>
      <c r="L59" s="117" t="s">
        <v>1056</v>
      </c>
    </row>
    <row r="60" customFormat="false" ht="15" hidden="false" customHeight="false" outlineLevel="0" collapsed="false">
      <c r="A60" s="103" t="s">
        <v>58</v>
      </c>
      <c r="B60" s="104" t="s">
        <v>23</v>
      </c>
      <c r="C60" s="127" t="s">
        <v>934</v>
      </c>
      <c r="D60" s="106" t="n">
        <v>46082</v>
      </c>
      <c r="E60" s="107" t="n">
        <v>202603</v>
      </c>
      <c r="F60" s="106" t="n">
        <v>46082</v>
      </c>
      <c r="G60" s="107" t="n">
        <v>202603</v>
      </c>
      <c r="H60" s="108" t="n">
        <v>1.5</v>
      </c>
      <c r="I60" s="122" t="s">
        <v>892</v>
      </c>
      <c r="J60" s="104" t="s">
        <v>1057</v>
      </c>
      <c r="K60" s="110" t="s">
        <v>1058</v>
      </c>
      <c r="L60" s="111" t="s">
        <v>1059</v>
      </c>
    </row>
    <row r="61" customFormat="false" ht="15" hidden="false" customHeight="false" outlineLevel="0" collapsed="false">
      <c r="A61" s="112" t="s">
        <v>60</v>
      </c>
      <c r="B61" s="99" t="s">
        <v>23</v>
      </c>
      <c r="C61" s="126" t="s">
        <v>934</v>
      </c>
      <c r="D61" s="97" t="n">
        <v>46082</v>
      </c>
      <c r="E61" s="98" t="n">
        <v>202603</v>
      </c>
      <c r="F61" s="97" t="n">
        <v>46082</v>
      </c>
      <c r="G61" s="98" t="n">
        <v>202603</v>
      </c>
      <c r="H61" s="114" t="n">
        <v>3</v>
      </c>
      <c r="I61" s="115" t="s">
        <v>892</v>
      </c>
      <c r="J61" s="99" t="s">
        <v>1060</v>
      </c>
      <c r="K61" s="116" t="s">
        <v>1061</v>
      </c>
      <c r="L61" s="117" t="s">
        <v>1062</v>
      </c>
    </row>
    <row r="62" customFormat="false" ht="15" hidden="false" customHeight="false" outlineLevel="0" collapsed="false">
      <c r="A62" s="103" t="s">
        <v>64</v>
      </c>
      <c r="B62" s="104" t="s">
        <v>23</v>
      </c>
      <c r="C62" s="127" t="s">
        <v>934</v>
      </c>
      <c r="D62" s="106" t="n">
        <v>46082</v>
      </c>
      <c r="E62" s="107" t="n">
        <v>202603</v>
      </c>
      <c r="F62" s="106" t="n">
        <v>46082</v>
      </c>
      <c r="G62" s="107" t="n">
        <v>202603</v>
      </c>
      <c r="H62" s="108" t="n">
        <v>2</v>
      </c>
      <c r="I62" s="119" t="s">
        <v>903</v>
      </c>
      <c r="J62" s="104" t="s">
        <v>1063</v>
      </c>
      <c r="K62" s="110" t="s">
        <v>1064</v>
      </c>
      <c r="L62" s="111" t="s">
        <v>1065</v>
      </c>
    </row>
    <row r="63" customFormat="false" ht="22.35" hidden="false" customHeight="false" outlineLevel="0" collapsed="false">
      <c r="A63" s="112" t="s">
        <v>90</v>
      </c>
      <c r="B63" s="99" t="s">
        <v>41</v>
      </c>
      <c r="C63" s="120" t="s">
        <v>907</v>
      </c>
      <c r="D63" s="97" t="n">
        <v>46082</v>
      </c>
      <c r="E63" s="98" t="n">
        <v>202603</v>
      </c>
      <c r="F63" s="97" t="n">
        <v>46357</v>
      </c>
      <c r="G63" s="98" t="n">
        <v>202612</v>
      </c>
      <c r="H63" s="114" t="n">
        <v>12.8</v>
      </c>
      <c r="I63" s="121" t="s">
        <v>903</v>
      </c>
      <c r="J63" s="99" t="s">
        <v>1066</v>
      </c>
      <c r="K63" s="116" t="s">
        <v>1067</v>
      </c>
      <c r="L63" s="117" t="s">
        <v>1068</v>
      </c>
    </row>
    <row r="64" customFormat="false" ht="15" hidden="false" customHeight="false" outlineLevel="0" collapsed="false">
      <c r="A64" s="103" t="s">
        <v>64</v>
      </c>
      <c r="B64" s="104" t="s">
        <v>23</v>
      </c>
      <c r="C64" s="127" t="s">
        <v>934</v>
      </c>
      <c r="D64" s="106" t="n">
        <v>46113</v>
      </c>
      <c r="E64" s="107" t="n">
        <v>202604</v>
      </c>
      <c r="F64" s="106" t="n">
        <v>46113</v>
      </c>
      <c r="G64" s="107" t="n">
        <v>202604</v>
      </c>
      <c r="H64" s="108" t="n">
        <v>4</v>
      </c>
      <c r="I64" s="122" t="s">
        <v>892</v>
      </c>
      <c r="J64" s="104" t="s">
        <v>1069</v>
      </c>
      <c r="K64" s="110" t="s">
        <v>1070</v>
      </c>
      <c r="L64" s="111" t="s">
        <v>1065</v>
      </c>
    </row>
    <row r="65" customFormat="false" ht="22.35" hidden="false" customHeight="false" outlineLevel="0" collapsed="false">
      <c r="A65" s="112" t="s">
        <v>103</v>
      </c>
      <c r="B65" s="99" t="s">
        <v>45</v>
      </c>
      <c r="C65" s="123" t="s">
        <v>902</v>
      </c>
      <c r="D65" s="97" t="n">
        <v>46143</v>
      </c>
      <c r="E65" s="98" t="n">
        <v>202605</v>
      </c>
      <c r="F65" s="97" t="n">
        <v>46143</v>
      </c>
      <c r="G65" s="98" t="n">
        <v>202605</v>
      </c>
      <c r="H65" s="114" t="n">
        <v>4</v>
      </c>
      <c r="I65" s="124" t="s">
        <v>888</v>
      </c>
      <c r="J65" s="99" t="s">
        <v>1071</v>
      </c>
      <c r="K65" s="116" t="s">
        <v>1072</v>
      </c>
      <c r="L65" s="117" t="s">
        <v>1073</v>
      </c>
    </row>
  </sheetData>
  <autoFilter ref="A1:L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2026-07-31T15:55:12Z</dcterms:created>
  <dc:creator>openpyxl</dc:creator>
  <dc:description/>
  <dc:language>en-US</dc:language>
  <cp:lastModifiedBy/>
  <dcterms:modified xsi:type="dcterms:W3CDTF">2026-07-31T17:01:35Z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