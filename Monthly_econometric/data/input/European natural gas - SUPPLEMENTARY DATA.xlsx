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ukn\Desktop\Python\Oil_gas\"/>
    </mc:Choice>
  </mc:AlternateContent>
  <xr:revisionPtr revIDLastSave="0" documentId="13_ncr:1_{A863E91D-DFAC-4782-B428-F9C5F6635FE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form" sheetId="3" r:id="rId1"/>
    <sheet name="EU" sheetId="6" r:id="rId2"/>
    <sheet name="UK" sheetId="5" r:id="rId3"/>
    <sheet name="CH" sheetId="7" r:id="rId4"/>
    <sheet name="RS" sheetId="8" r:id="rId5"/>
    <sheet name="CH+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3" l="1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60" i="3"/>
  <c r="H61" i="3"/>
  <c r="H62" i="3"/>
  <c r="H63" i="3"/>
  <c r="H64" i="3"/>
  <c r="H65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2" i="3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3" i="6"/>
  <c r="H4" i="6"/>
  <c r="H5" i="6"/>
  <c r="H6" i="6"/>
  <c r="H7" i="6"/>
  <c r="H8" i="6"/>
  <c r="H9" i="6"/>
  <c r="H10" i="6"/>
  <c r="H11" i="6"/>
  <c r="H12" i="6"/>
  <c r="H13" i="6"/>
  <c r="H14" i="6"/>
  <c r="H2" i="6"/>
  <c r="I15" i="6"/>
  <c r="I16" i="6"/>
  <c r="I17" i="6"/>
  <c r="I18" i="6"/>
  <c r="I19" i="6"/>
  <c r="I31" i="6" s="1"/>
  <c r="I43" i="6" s="1"/>
  <c r="I55" i="6" s="1"/>
  <c r="I67" i="6" s="1"/>
  <c r="I79" i="6" s="1"/>
  <c r="I91" i="6" s="1"/>
  <c r="I103" i="6" s="1"/>
  <c r="I115" i="6" s="1"/>
  <c r="I127" i="6" s="1"/>
  <c r="I20" i="6"/>
  <c r="I32" i="6" s="1"/>
  <c r="I44" i="6" s="1"/>
  <c r="I56" i="6" s="1"/>
  <c r="I68" i="6" s="1"/>
  <c r="I80" i="6" s="1"/>
  <c r="I92" i="6" s="1"/>
  <c r="I104" i="6" s="1"/>
  <c r="I116" i="6" s="1"/>
  <c r="I128" i="6" s="1"/>
  <c r="I21" i="6"/>
  <c r="I33" i="6" s="1"/>
  <c r="I45" i="6" s="1"/>
  <c r="I57" i="6" s="1"/>
  <c r="I69" i="6" s="1"/>
  <c r="I81" i="6" s="1"/>
  <c r="I93" i="6" s="1"/>
  <c r="I105" i="6" s="1"/>
  <c r="I117" i="6" s="1"/>
  <c r="I129" i="6" s="1"/>
  <c r="I22" i="6"/>
  <c r="I34" i="6" s="1"/>
  <c r="I46" i="6" s="1"/>
  <c r="I58" i="6" s="1"/>
  <c r="I70" i="6" s="1"/>
  <c r="I82" i="6" s="1"/>
  <c r="I94" i="6" s="1"/>
  <c r="I106" i="6" s="1"/>
  <c r="I118" i="6" s="1"/>
  <c r="I130" i="6" s="1"/>
  <c r="I23" i="6"/>
  <c r="I24" i="6"/>
  <c r="I36" i="6" s="1"/>
  <c r="I48" i="6" s="1"/>
  <c r="I60" i="6" s="1"/>
  <c r="I72" i="6" s="1"/>
  <c r="I84" i="6" s="1"/>
  <c r="I96" i="6" s="1"/>
  <c r="I108" i="6" s="1"/>
  <c r="I120" i="6" s="1"/>
  <c r="I132" i="6" s="1"/>
  <c r="I25" i="6"/>
  <c r="I37" i="6" s="1"/>
  <c r="I49" i="6" s="1"/>
  <c r="I61" i="6" s="1"/>
  <c r="I73" i="6" s="1"/>
  <c r="I85" i="6" s="1"/>
  <c r="I97" i="6" s="1"/>
  <c r="I109" i="6" s="1"/>
  <c r="I121" i="6" s="1"/>
  <c r="I133" i="6" s="1"/>
  <c r="I26" i="6"/>
  <c r="I38" i="6" s="1"/>
  <c r="I50" i="6" s="1"/>
  <c r="I62" i="6" s="1"/>
  <c r="I74" i="6" s="1"/>
  <c r="I86" i="6" s="1"/>
  <c r="I98" i="6" s="1"/>
  <c r="I110" i="6" s="1"/>
  <c r="I122" i="6" s="1"/>
  <c r="I134" i="6" s="1"/>
  <c r="I27" i="6"/>
  <c r="I39" i="6" s="1"/>
  <c r="I51" i="6" s="1"/>
  <c r="I63" i="6" s="1"/>
  <c r="I75" i="6" s="1"/>
  <c r="I87" i="6" s="1"/>
  <c r="I99" i="6" s="1"/>
  <c r="I111" i="6" s="1"/>
  <c r="I123" i="6" s="1"/>
  <c r="I135" i="6" s="1"/>
  <c r="I28" i="6"/>
  <c r="I40" i="6" s="1"/>
  <c r="I52" i="6" s="1"/>
  <c r="I64" i="6" s="1"/>
  <c r="I76" i="6" s="1"/>
  <c r="I88" i="6" s="1"/>
  <c r="I100" i="6" s="1"/>
  <c r="I112" i="6" s="1"/>
  <c r="I124" i="6" s="1"/>
  <c r="I136" i="6" s="1"/>
  <c r="I29" i="6"/>
  <c r="I41" i="6" s="1"/>
  <c r="I53" i="6" s="1"/>
  <c r="I65" i="6" s="1"/>
  <c r="I77" i="6" s="1"/>
  <c r="I89" i="6" s="1"/>
  <c r="I101" i="6" s="1"/>
  <c r="I113" i="6" s="1"/>
  <c r="I125" i="6" s="1"/>
  <c r="I137" i="6" s="1"/>
  <c r="I30" i="6"/>
  <c r="I42" i="6" s="1"/>
  <c r="I54" i="6" s="1"/>
  <c r="I66" i="6" s="1"/>
  <c r="I78" i="6" s="1"/>
  <c r="I90" i="6" s="1"/>
  <c r="I102" i="6" s="1"/>
  <c r="I114" i="6" s="1"/>
  <c r="I126" i="6" s="1"/>
  <c r="I138" i="6" s="1"/>
  <c r="I35" i="6"/>
  <c r="I47" i="6" s="1"/>
  <c r="I59" i="6" s="1"/>
  <c r="I71" i="6" s="1"/>
  <c r="I83" i="6" s="1"/>
  <c r="I95" i="6" s="1"/>
  <c r="I107" i="6" s="1"/>
  <c r="I119" i="6" s="1"/>
  <c r="I131" i="6" s="1"/>
  <c r="I14" i="6"/>
  <c r="P3" i="6"/>
  <c r="P4" i="6"/>
  <c r="P5" i="6"/>
  <c r="P6" i="6"/>
  <c r="P7" i="6"/>
  <c r="P8" i="6"/>
  <c r="P9" i="6"/>
  <c r="P10" i="6"/>
  <c r="P11" i="6"/>
  <c r="P2" i="6"/>
  <c r="O3" i="6"/>
  <c r="O4" i="6"/>
  <c r="O5" i="6"/>
  <c r="O6" i="6"/>
  <c r="O7" i="6"/>
  <c r="O8" i="6"/>
  <c r="O9" i="6"/>
  <c r="O10" i="6"/>
  <c r="O11" i="6"/>
  <c r="O2" i="6"/>
  <c r="N11" i="6"/>
  <c r="N10" i="6"/>
  <c r="N9" i="6"/>
  <c r="N8" i="6"/>
  <c r="N7" i="6"/>
  <c r="N6" i="6"/>
  <c r="N5" i="6"/>
  <c r="N4" i="6"/>
  <c r="N3" i="6"/>
  <c r="N2" i="6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2" i="10"/>
  <c r="B7" i="8"/>
  <c r="C7" i="8"/>
  <c r="D7" i="8"/>
  <c r="B8" i="8"/>
  <c r="C12" i="8"/>
  <c r="D12" i="8"/>
  <c r="B13" i="8"/>
  <c r="C13" i="8"/>
  <c r="B14" i="8"/>
  <c r="C14" i="8"/>
  <c r="D14" i="8"/>
  <c r="D2" i="8" s="1"/>
  <c r="B15" i="8"/>
  <c r="B3" i="8" s="1"/>
  <c r="C15" i="8"/>
  <c r="C3" i="8" s="1"/>
  <c r="D15" i="8"/>
  <c r="D3" i="8" s="1"/>
  <c r="B16" i="8"/>
  <c r="B4" i="8" s="1"/>
  <c r="C16" i="8"/>
  <c r="C4" i="8" s="1"/>
  <c r="D16" i="8"/>
  <c r="D4" i="8" s="1"/>
  <c r="B17" i="8"/>
  <c r="B5" i="8" s="1"/>
  <c r="C17" i="8"/>
  <c r="C5" i="8" s="1"/>
  <c r="D17" i="8"/>
  <c r="D5" i="8" s="1"/>
  <c r="B18" i="8"/>
  <c r="B6" i="8" s="1"/>
  <c r="C18" i="8"/>
  <c r="C6" i="8" s="1"/>
  <c r="D18" i="8"/>
  <c r="D6" i="8" s="1"/>
  <c r="B19" i="8"/>
  <c r="C19" i="8"/>
  <c r="D19" i="8"/>
  <c r="B20" i="8"/>
  <c r="C20" i="8"/>
  <c r="C8" i="8" s="1"/>
  <c r="D20" i="8"/>
  <c r="D8" i="8" s="1"/>
  <c r="B21" i="8"/>
  <c r="B9" i="8" s="1"/>
  <c r="C21" i="8"/>
  <c r="C9" i="8" s="1"/>
  <c r="D21" i="8"/>
  <c r="D9" i="8" s="1"/>
  <c r="B22" i="8"/>
  <c r="B10" i="8" s="1"/>
  <c r="C22" i="8"/>
  <c r="C10" i="8" s="1"/>
  <c r="D22" i="8"/>
  <c r="D10" i="8" s="1"/>
  <c r="B23" i="8"/>
  <c r="B11" i="8" s="1"/>
  <c r="C23" i="8"/>
  <c r="C11" i="8" s="1"/>
  <c r="D23" i="8"/>
  <c r="D11" i="8" s="1"/>
  <c r="B24" i="8"/>
  <c r="B12" i="8" s="1"/>
  <c r="C24" i="8"/>
  <c r="D24" i="8"/>
  <c r="B25" i="8"/>
  <c r="C25" i="8"/>
  <c r="D25" i="8"/>
  <c r="D13" i="8" s="1"/>
  <c r="C2" i="8"/>
  <c r="B2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26" i="8"/>
  <c r="B3" i="3"/>
  <c r="C3" i="3"/>
  <c r="D3" i="3"/>
  <c r="E3" i="3"/>
  <c r="B4" i="3"/>
  <c r="C4" i="3"/>
  <c r="D4" i="3"/>
  <c r="E4" i="3"/>
  <c r="B5" i="3"/>
  <c r="C5" i="3"/>
  <c r="D5" i="3"/>
  <c r="E5" i="3"/>
  <c r="B6" i="3"/>
  <c r="C6" i="3"/>
  <c r="D6" i="3"/>
  <c r="E6" i="3"/>
  <c r="B7" i="3"/>
  <c r="C7" i="3"/>
  <c r="D7" i="3"/>
  <c r="E7" i="3"/>
  <c r="B8" i="3"/>
  <c r="C8" i="3"/>
  <c r="D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B18" i="3"/>
  <c r="C18" i="3"/>
  <c r="D18" i="3"/>
  <c r="E18" i="3"/>
  <c r="B19" i="3"/>
  <c r="C19" i="3"/>
  <c r="D19" i="3"/>
  <c r="E19" i="3"/>
  <c r="B20" i="3"/>
  <c r="C20" i="3"/>
  <c r="D20" i="3"/>
  <c r="E20" i="3"/>
  <c r="B21" i="3"/>
  <c r="C21" i="3"/>
  <c r="D21" i="3"/>
  <c r="E21" i="3"/>
  <c r="B22" i="3"/>
  <c r="C22" i="3"/>
  <c r="D22" i="3"/>
  <c r="E22" i="3"/>
  <c r="B23" i="3"/>
  <c r="C23" i="3"/>
  <c r="D23" i="3"/>
  <c r="E23" i="3"/>
  <c r="B24" i="3"/>
  <c r="C24" i="3"/>
  <c r="D24" i="3"/>
  <c r="E24" i="3"/>
  <c r="B25" i="3"/>
  <c r="C25" i="3"/>
  <c r="D25" i="3"/>
  <c r="E25" i="3"/>
  <c r="B26" i="3"/>
  <c r="C26" i="3"/>
  <c r="D26" i="3"/>
  <c r="E26" i="3"/>
  <c r="B27" i="3"/>
  <c r="C27" i="3"/>
  <c r="D27" i="3"/>
  <c r="E27" i="3"/>
  <c r="B28" i="3"/>
  <c r="C28" i="3"/>
  <c r="D28" i="3"/>
  <c r="E28" i="3"/>
  <c r="B29" i="3"/>
  <c r="C29" i="3"/>
  <c r="D29" i="3"/>
  <c r="E29" i="3"/>
  <c r="B30" i="3"/>
  <c r="C30" i="3"/>
  <c r="D30" i="3"/>
  <c r="E30" i="3"/>
  <c r="B31" i="3"/>
  <c r="C31" i="3"/>
  <c r="D31" i="3"/>
  <c r="E31" i="3"/>
  <c r="B32" i="3"/>
  <c r="C32" i="3"/>
  <c r="D32" i="3"/>
  <c r="E32" i="3"/>
  <c r="B33" i="3"/>
  <c r="C33" i="3"/>
  <c r="D33" i="3"/>
  <c r="E33" i="3"/>
  <c r="B34" i="3"/>
  <c r="C34" i="3"/>
  <c r="D34" i="3"/>
  <c r="E34" i="3"/>
  <c r="B35" i="3"/>
  <c r="C35" i="3"/>
  <c r="D35" i="3"/>
  <c r="E35" i="3"/>
  <c r="B36" i="3"/>
  <c r="C36" i="3"/>
  <c r="D36" i="3"/>
  <c r="E36" i="3"/>
  <c r="B37" i="3"/>
  <c r="C37" i="3"/>
  <c r="D37" i="3"/>
  <c r="E37" i="3"/>
  <c r="B38" i="3"/>
  <c r="C38" i="3"/>
  <c r="D38" i="3"/>
  <c r="E38" i="3"/>
  <c r="B39" i="3"/>
  <c r="C39" i="3"/>
  <c r="D39" i="3"/>
  <c r="E39" i="3"/>
  <c r="B40" i="3"/>
  <c r="C40" i="3"/>
  <c r="D40" i="3"/>
  <c r="E40" i="3"/>
  <c r="B41" i="3"/>
  <c r="C41" i="3"/>
  <c r="D41" i="3"/>
  <c r="E41" i="3"/>
  <c r="B42" i="3"/>
  <c r="C42" i="3"/>
  <c r="D42" i="3"/>
  <c r="E42" i="3"/>
  <c r="B43" i="3"/>
  <c r="C43" i="3"/>
  <c r="D43" i="3"/>
  <c r="E43" i="3"/>
  <c r="B44" i="3"/>
  <c r="C44" i="3"/>
  <c r="D44" i="3"/>
  <c r="E44" i="3"/>
  <c r="B45" i="3"/>
  <c r="C45" i="3"/>
  <c r="D45" i="3"/>
  <c r="E45" i="3"/>
  <c r="B46" i="3"/>
  <c r="C46" i="3"/>
  <c r="D46" i="3"/>
  <c r="E46" i="3"/>
  <c r="B47" i="3"/>
  <c r="C47" i="3"/>
  <c r="D47" i="3"/>
  <c r="E47" i="3"/>
  <c r="B48" i="3"/>
  <c r="C48" i="3"/>
  <c r="D48" i="3"/>
  <c r="E48" i="3"/>
  <c r="B49" i="3"/>
  <c r="C49" i="3"/>
  <c r="D49" i="3"/>
  <c r="E49" i="3"/>
  <c r="B50" i="3"/>
  <c r="C50" i="3"/>
  <c r="D50" i="3"/>
  <c r="E50" i="3"/>
  <c r="B51" i="3"/>
  <c r="C51" i="3"/>
  <c r="D51" i="3"/>
  <c r="E51" i="3"/>
  <c r="B52" i="3"/>
  <c r="C52" i="3"/>
  <c r="D52" i="3"/>
  <c r="E52" i="3"/>
  <c r="B53" i="3"/>
  <c r="C53" i="3"/>
  <c r="D53" i="3"/>
  <c r="E53" i="3"/>
  <c r="B54" i="3"/>
  <c r="C54" i="3"/>
  <c r="D54" i="3"/>
  <c r="E54" i="3"/>
  <c r="B55" i="3"/>
  <c r="C55" i="3"/>
  <c r="D55" i="3"/>
  <c r="E55" i="3"/>
  <c r="B56" i="3"/>
  <c r="C56" i="3"/>
  <c r="D56" i="3"/>
  <c r="E56" i="3"/>
  <c r="B57" i="3"/>
  <c r="C57" i="3"/>
  <c r="D57" i="3"/>
  <c r="E57" i="3"/>
  <c r="B58" i="3"/>
  <c r="C58" i="3"/>
  <c r="D58" i="3"/>
  <c r="E58" i="3"/>
  <c r="B59" i="3"/>
  <c r="C59" i="3"/>
  <c r="D59" i="3"/>
  <c r="E59" i="3"/>
  <c r="B60" i="3"/>
  <c r="C60" i="3"/>
  <c r="D60" i="3"/>
  <c r="E60" i="3"/>
  <c r="B61" i="3"/>
  <c r="C61" i="3"/>
  <c r="D61" i="3"/>
  <c r="E61" i="3"/>
  <c r="B62" i="3"/>
  <c r="C62" i="3"/>
  <c r="D62" i="3"/>
  <c r="E62" i="3"/>
  <c r="B63" i="3"/>
  <c r="C63" i="3"/>
  <c r="D63" i="3"/>
  <c r="E63" i="3"/>
  <c r="B64" i="3"/>
  <c r="C64" i="3"/>
  <c r="D64" i="3"/>
  <c r="E64" i="3"/>
  <c r="B65" i="3"/>
  <c r="C65" i="3"/>
  <c r="D65" i="3"/>
  <c r="E65" i="3"/>
  <c r="B66" i="3"/>
  <c r="C66" i="3"/>
  <c r="D66" i="3"/>
  <c r="E66" i="3"/>
  <c r="B67" i="3"/>
  <c r="C67" i="3"/>
  <c r="D67" i="3"/>
  <c r="E67" i="3"/>
  <c r="B68" i="3"/>
  <c r="C68" i="3"/>
  <c r="D68" i="3"/>
  <c r="E68" i="3"/>
  <c r="B69" i="3"/>
  <c r="C69" i="3"/>
  <c r="D69" i="3"/>
  <c r="E69" i="3"/>
  <c r="B70" i="3"/>
  <c r="C70" i="3"/>
  <c r="D70" i="3"/>
  <c r="E70" i="3"/>
  <c r="B71" i="3"/>
  <c r="C71" i="3"/>
  <c r="D71" i="3"/>
  <c r="E71" i="3"/>
  <c r="B72" i="3"/>
  <c r="C72" i="3"/>
  <c r="D72" i="3"/>
  <c r="E72" i="3"/>
  <c r="B73" i="3"/>
  <c r="C73" i="3"/>
  <c r="D73" i="3"/>
  <c r="E73" i="3"/>
  <c r="B74" i="3"/>
  <c r="C74" i="3"/>
  <c r="D74" i="3"/>
  <c r="E74" i="3"/>
  <c r="B75" i="3"/>
  <c r="C75" i="3"/>
  <c r="D75" i="3"/>
  <c r="E75" i="3"/>
  <c r="B76" i="3"/>
  <c r="C76" i="3"/>
  <c r="D76" i="3"/>
  <c r="E76" i="3"/>
  <c r="B77" i="3"/>
  <c r="C77" i="3"/>
  <c r="D77" i="3"/>
  <c r="E77" i="3"/>
  <c r="B78" i="3"/>
  <c r="C78" i="3"/>
  <c r="D78" i="3"/>
  <c r="E78" i="3"/>
  <c r="B79" i="3"/>
  <c r="C79" i="3"/>
  <c r="D79" i="3"/>
  <c r="E79" i="3"/>
  <c r="B80" i="3"/>
  <c r="C80" i="3"/>
  <c r="D80" i="3"/>
  <c r="E80" i="3"/>
  <c r="B81" i="3"/>
  <c r="C81" i="3"/>
  <c r="D81" i="3"/>
  <c r="E81" i="3"/>
  <c r="B82" i="3"/>
  <c r="C82" i="3"/>
  <c r="D82" i="3"/>
  <c r="E82" i="3"/>
  <c r="B83" i="3"/>
  <c r="C83" i="3"/>
  <c r="D83" i="3"/>
  <c r="E83" i="3"/>
  <c r="B84" i="3"/>
  <c r="C84" i="3"/>
  <c r="D84" i="3"/>
  <c r="E84" i="3"/>
  <c r="B85" i="3"/>
  <c r="C85" i="3"/>
  <c r="D85" i="3"/>
  <c r="E85" i="3"/>
  <c r="B86" i="3"/>
  <c r="C86" i="3"/>
  <c r="D86" i="3"/>
  <c r="E86" i="3"/>
  <c r="B87" i="3"/>
  <c r="C87" i="3"/>
  <c r="D87" i="3"/>
  <c r="E87" i="3"/>
  <c r="B88" i="3"/>
  <c r="C88" i="3"/>
  <c r="D88" i="3"/>
  <c r="E88" i="3"/>
  <c r="B89" i="3"/>
  <c r="C89" i="3"/>
  <c r="D89" i="3"/>
  <c r="E89" i="3"/>
  <c r="B90" i="3"/>
  <c r="C90" i="3"/>
  <c r="D90" i="3"/>
  <c r="E90" i="3"/>
  <c r="B91" i="3"/>
  <c r="C91" i="3"/>
  <c r="D91" i="3"/>
  <c r="E91" i="3"/>
  <c r="B92" i="3"/>
  <c r="C92" i="3"/>
  <c r="D92" i="3"/>
  <c r="E92" i="3"/>
  <c r="B93" i="3"/>
  <c r="C93" i="3"/>
  <c r="D93" i="3"/>
  <c r="E93" i="3"/>
  <c r="B94" i="3"/>
  <c r="C94" i="3"/>
  <c r="D94" i="3"/>
  <c r="E94" i="3"/>
  <c r="B95" i="3"/>
  <c r="C95" i="3"/>
  <c r="D95" i="3"/>
  <c r="E95" i="3"/>
  <c r="B96" i="3"/>
  <c r="C96" i="3"/>
  <c r="D96" i="3"/>
  <c r="E96" i="3"/>
  <c r="B97" i="3"/>
  <c r="C97" i="3"/>
  <c r="D97" i="3"/>
  <c r="E97" i="3"/>
  <c r="B98" i="3"/>
  <c r="C98" i="3"/>
  <c r="D98" i="3"/>
  <c r="E98" i="3"/>
  <c r="B99" i="3"/>
  <c r="C99" i="3"/>
  <c r="D99" i="3"/>
  <c r="E99" i="3"/>
  <c r="B100" i="3"/>
  <c r="C100" i="3"/>
  <c r="D100" i="3"/>
  <c r="E100" i="3"/>
  <c r="B101" i="3"/>
  <c r="C101" i="3"/>
  <c r="D101" i="3"/>
  <c r="E101" i="3"/>
  <c r="B102" i="3"/>
  <c r="C102" i="3"/>
  <c r="D102" i="3"/>
  <c r="E102" i="3"/>
  <c r="B103" i="3"/>
  <c r="C103" i="3"/>
  <c r="D103" i="3"/>
  <c r="E103" i="3"/>
  <c r="B104" i="3"/>
  <c r="C104" i="3"/>
  <c r="D104" i="3"/>
  <c r="E104" i="3"/>
  <c r="B105" i="3"/>
  <c r="C105" i="3"/>
  <c r="D105" i="3"/>
  <c r="E105" i="3"/>
  <c r="B106" i="3"/>
  <c r="C106" i="3"/>
  <c r="D106" i="3"/>
  <c r="E106" i="3"/>
  <c r="B107" i="3"/>
  <c r="C107" i="3"/>
  <c r="D107" i="3"/>
  <c r="E107" i="3"/>
  <c r="B108" i="3"/>
  <c r="C108" i="3"/>
  <c r="D108" i="3"/>
  <c r="E108" i="3"/>
  <c r="B109" i="3"/>
  <c r="C109" i="3"/>
  <c r="D109" i="3"/>
  <c r="E109" i="3"/>
  <c r="B110" i="3"/>
  <c r="C110" i="3"/>
  <c r="D110" i="3"/>
  <c r="E110" i="3"/>
  <c r="B111" i="3"/>
  <c r="C111" i="3"/>
  <c r="D111" i="3"/>
  <c r="E111" i="3"/>
  <c r="B112" i="3"/>
  <c r="C112" i="3"/>
  <c r="D112" i="3"/>
  <c r="E112" i="3"/>
  <c r="B113" i="3"/>
  <c r="C113" i="3"/>
  <c r="D113" i="3"/>
  <c r="E113" i="3"/>
  <c r="B114" i="3"/>
  <c r="C114" i="3"/>
  <c r="D114" i="3"/>
  <c r="E114" i="3"/>
  <c r="B115" i="3"/>
  <c r="C115" i="3"/>
  <c r="D115" i="3"/>
  <c r="E115" i="3"/>
  <c r="B116" i="3"/>
  <c r="C116" i="3"/>
  <c r="D116" i="3"/>
  <c r="E116" i="3"/>
  <c r="B117" i="3"/>
  <c r="C117" i="3"/>
  <c r="D117" i="3"/>
  <c r="E117" i="3"/>
  <c r="B118" i="3"/>
  <c r="C118" i="3"/>
  <c r="D118" i="3"/>
  <c r="E118" i="3"/>
  <c r="B119" i="3"/>
  <c r="C119" i="3"/>
  <c r="D119" i="3"/>
  <c r="E119" i="3"/>
  <c r="B120" i="3"/>
  <c r="C120" i="3"/>
  <c r="D120" i="3"/>
  <c r="E120" i="3"/>
  <c r="B121" i="3"/>
  <c r="C121" i="3"/>
  <c r="D121" i="3"/>
  <c r="E121" i="3"/>
  <c r="B122" i="3"/>
  <c r="C122" i="3"/>
  <c r="D122" i="3"/>
  <c r="E122" i="3"/>
  <c r="B123" i="3"/>
  <c r="C123" i="3"/>
  <c r="D123" i="3"/>
  <c r="E123" i="3"/>
  <c r="B124" i="3"/>
  <c r="C124" i="3"/>
  <c r="D124" i="3"/>
  <c r="E124" i="3"/>
  <c r="B125" i="3"/>
  <c r="C125" i="3"/>
  <c r="D125" i="3"/>
  <c r="E125" i="3"/>
  <c r="B126" i="3"/>
  <c r="C126" i="3"/>
  <c r="D126" i="3"/>
  <c r="E126" i="3"/>
  <c r="B127" i="3"/>
  <c r="C127" i="3"/>
  <c r="D127" i="3"/>
  <c r="E127" i="3"/>
  <c r="B128" i="3"/>
  <c r="C128" i="3"/>
  <c r="D128" i="3"/>
  <c r="E128" i="3"/>
  <c r="B129" i="3"/>
  <c r="C129" i="3"/>
  <c r="D129" i="3"/>
  <c r="E129" i="3"/>
  <c r="B130" i="3"/>
  <c r="C130" i="3"/>
  <c r="D130" i="3"/>
  <c r="E130" i="3"/>
  <c r="B131" i="3"/>
  <c r="C131" i="3"/>
  <c r="D131" i="3"/>
  <c r="E131" i="3"/>
  <c r="B132" i="3"/>
  <c r="C132" i="3"/>
  <c r="D132" i="3"/>
  <c r="E132" i="3"/>
  <c r="B133" i="3"/>
  <c r="C133" i="3"/>
  <c r="D133" i="3"/>
  <c r="E133" i="3"/>
  <c r="B134" i="3"/>
  <c r="C134" i="3"/>
  <c r="D134" i="3"/>
  <c r="E134" i="3"/>
  <c r="B135" i="3"/>
  <c r="C135" i="3"/>
  <c r="D135" i="3"/>
  <c r="E135" i="3"/>
  <c r="B136" i="3"/>
  <c r="C136" i="3"/>
  <c r="D136" i="3"/>
  <c r="E136" i="3"/>
  <c r="B137" i="3"/>
  <c r="C137" i="3"/>
  <c r="D137" i="3"/>
  <c r="E137" i="3"/>
  <c r="B138" i="3"/>
  <c r="C138" i="3"/>
  <c r="D138" i="3"/>
  <c r="E138" i="3"/>
  <c r="C2" i="3"/>
  <c r="D2" i="3"/>
  <c r="E2" i="3"/>
  <c r="B2" i="3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<sst xmlns="http://schemas.openxmlformats.org/spreadsheetml/2006/main" count="859" uniqueCount="155">
  <si>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</si>
  <si>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</si>
  <si>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</si>
  <si>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</si>
  <si>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</si>
  <si>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</si>
  <si>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</si>
  <si>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</si>
  <si>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</si>
  <si>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</si>
  <si>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</si>
  <si>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</si>
  <si>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</si>
  <si>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</si>
  <si>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</si>
  <si>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</si>
  <si>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</si>
  <si>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</si>
  <si>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</si>
  <si>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</si>
  <si>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</si>
  <si>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</si>
  <si>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</si>
  <si>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</si>
  <si>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</si>
  <si>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</si>
  <si>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</si>
  <si>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</si>
  <si>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</si>
  <si>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</si>
  <si>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</si>
  <si>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</si>
  <si>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</si>
  <si>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</si>
  <si>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</si>
  <si>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</si>
  <si>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</si>
  <si>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</si>
  <si>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</si>
  <si>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</si>
  <si>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</si>
  <si>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</si>
  <si>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</si>
  <si>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</si>
  <si>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</si>
  <si>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</si>
  <si>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</si>
  <si>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</si>
  <si>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</si>
  <si>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</si>
  <si>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</si>
  <si>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</si>
  <si>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</si>
  <si>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</si>
  <si>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</si>
  <si>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</si>
  <si>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</si>
  <si>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</si>
  <si>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</si>
  <si>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</si>
  <si>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</si>
  <si>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</si>
  <si>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</si>
  <si>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</si>
  <si>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</si>
  <si>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</si>
  <si>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</si>
  <si>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</si>
  <si>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</si>
  <si>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</si>
  <si>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</si>
  <si>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</si>
  <si>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</si>
  <si>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</si>
  <si>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</si>
  <si>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</si>
  <si>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</si>
  <si>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</si>
  <si>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</si>
  <si>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</si>
  <si>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</si>
  <si>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</si>
  <si>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</si>
  <si>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</si>
  <si>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</si>
  <si>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</si>
  <si>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</si>
  <si>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</si>
  <si>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</si>
  <si>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</si>
  <si>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</si>
  <si>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</si>
  <si>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</si>
  <si>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</si>
  <si>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</si>
  <si>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</si>
  <si>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</si>
  <si>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</si>
  <si>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</si>
  <si>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</si>
  <si>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</si>
  <si>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</si>
  <si>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</si>
  <si>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</si>
  <si>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</si>
  <si>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</si>
  <si>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</si>
  <si>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</si>
  <si>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</si>
  <si>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</si>
  <si>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</si>
  <si>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</si>
  <si>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</si>
  <si>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</si>
  <si>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</si>
  <si>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</si>
  <si>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</si>
  <si>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</si>
  <si>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</si>
  <si>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</si>
  <si>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</si>
  <si>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</si>
  <si>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</si>
  <si>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</si>
  <si>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</si>
  <si>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</si>
  <si>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</si>
  <si>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</si>
  <si>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</si>
  <si>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</si>
  <si>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</si>
  <si>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</si>
  <si>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</si>
  <si>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</si>
  <si>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</si>
  <si>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</si>
  <si>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</si>
  <si>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Date</t>
  </si>
  <si>
    <t>Production(bcm)</t>
  </si>
  <si>
    <t>Electricity(bcm)</t>
  </si>
  <si>
    <t>Total(bcm)</t>
  </si>
  <si>
    <t>Non_power(bcm)</t>
  </si>
  <si>
    <t>Imports</t>
  </si>
  <si>
    <t>Exports</t>
  </si>
  <si>
    <t>Net_imports</t>
  </si>
  <si>
    <t>CH_RS_net_exports</t>
  </si>
  <si>
    <t>Stock_change(bcm)</t>
  </si>
  <si>
    <t>Distribution_loss(bcm)</t>
  </si>
  <si>
    <t>Annual</t>
  </si>
  <si>
    <t>Monthly</t>
  </si>
  <si>
    <t>Eurostat:</t>
  </si>
  <si>
    <t>Diff</t>
  </si>
  <si>
    <t>Upward bias</t>
  </si>
  <si>
    <t>Total_adj(bcm)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</si>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</sst>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##########"/>
    <numFmt numFmtId="165" formatCode="#,##0.000"/>
    <numFmt numFmtId="166" formatCode="[$-809]dd\ mmmm\ yyyy;@"/>
    <numFmt numFmtId="167" formatCode="#,##0.0;\-#,##0.0"/>
    <numFmt numFmtId="183" formatCode="0.0%"/>
  </numFmts>
  <fonts count="1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sz val="12"/>
      <color theme="1"/>
      <name val="Aptos Narrow"/>
      <family val="2"/>
      <scheme val="minor"/>
    </font>
    <font>
      <b/>
      <sz val="22"/>
      <name val="Aptos Narrow"/>
      <family val="2"/>
      <scheme val="minor"/>
    </font>
    <font>
      <b/>
      <sz val="18"/>
      <name val="Aptos Narrow"/>
      <family val="2"/>
      <scheme val="minor"/>
    </font>
    <font>
      <u/>
      <sz val="12"/>
      <color rgb="FF0000FF"/>
      <name val="Calibri"/>
      <family val="2"/>
    </font>
    <font>
      <sz val="12"/>
      <color rgb="FF000000"/>
      <name val="Calibri"/>
      <family val="2"/>
    </font>
    <font>
      <b/>
      <sz val="14"/>
      <name val="Aptos Narrow"/>
      <family val="2"/>
      <scheme val="minor"/>
    </font>
    <font>
      <sz val="10"/>
      <name val="Arial"/>
      <family val="2"/>
    </font>
    <font>
      <sz val="10"/>
      <name val="MS Sans Serif"/>
    </font>
    <font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3">
    <xf numFmtId="0" fontId="0" fillId="0" borderId="0"/>
    <xf numFmtId="0" fontId="1" fillId="0" borderId="0"/>
    <xf numFmtId="0" fontId="6" fillId="0" borderId="0" applyNumberFormat="0" applyFill="0" applyProtection="0">
      <alignment vertical="center"/>
    </xf>
    <xf numFmtId="0" fontId="7" fillId="0" borderId="0" applyNumberFormat="0" applyFill="0" applyProtection="0"/>
    <xf numFmtId="0" fontId="10" fillId="0" borderId="0" applyNumberFormat="0" applyFill="0" applyProtection="0"/>
    <xf numFmtId="0" fontId="5" fillId="0" borderId="0">
      <alignment vertical="center" wrapText="1"/>
    </xf>
    <xf numFmtId="0" fontId="9" fillId="0" borderId="0" applyNumberFormat="0" applyBorder="0" applyProtection="0">
      <alignment vertical="center" wrapText="1"/>
    </xf>
    <xf numFmtId="0" fontId="8" fillId="0" borderId="0" applyNumberFormat="0" applyFill="0" applyBorder="0" applyAlignment="0" applyProtection="0"/>
    <xf numFmtId="0" fontId="11" fillId="0" borderId="0"/>
    <xf numFmtId="166" fontId="1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9"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 shrinkToFit="1"/>
    </xf>
    <xf numFmtId="3" fontId="3" fillId="4" borderId="0" xfId="0" applyNumberFormat="1" applyFont="1" applyFill="1" applyAlignment="1">
      <alignment horizontal="right" vertical="center" shrinkToFit="1"/>
    </xf>
    <xf numFmtId="164" fontId="3" fillId="0" borderId="0" xfId="0" applyNumberFormat="1" applyFont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  <xf numFmtId="165" fontId="3" fillId="4" borderId="0" xfId="0" applyNumberFormat="1" applyFont="1" applyFill="1" applyAlignment="1">
      <alignment horizontal="right" vertical="center" shrinkToFit="1"/>
    </xf>
    <xf numFmtId="165" fontId="0" fillId="0" borderId="0" xfId="0" applyNumberFormat="1"/>
    <xf numFmtId="167" fontId="5" fillId="0" borderId="2" xfId="1" applyNumberFormat="1" applyFont="1" applyBorder="1" applyAlignment="1">
      <alignment horizontal="right"/>
    </xf>
    <xf numFmtId="167" fontId="5" fillId="5" borderId="2" xfId="1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0" fillId="0" borderId="0" xfId="0"/>
    <xf numFmtId="164" fontId="3" fillId="4" borderId="0" xfId="0" applyNumberFormat="1" applyFont="1" applyFill="1" applyAlignment="1">
      <alignment horizontal="right" vertical="center" shrinkToFit="1"/>
    </xf>
    <xf numFmtId="4" fontId="0" fillId="0" borderId="0" xfId="0" applyNumberFormat="1"/>
    <xf numFmtId="183" fontId="0" fillId="0" borderId="0" xfId="12" applyNumberFormat="1" applyFont="1"/>
    <xf numFmtId="9" fontId="0" fillId="0" borderId="0" xfId="0" applyNumberFormat="1"/>
    <xf numFmtId="0" fontId="2" fillId="3" borderId="3" xfId="0" applyFont="1" applyFill="1" applyBorder="1" applyAlignment="1">
      <alignment horizontal="left" vertical="center"/>
    </xf>
  </cellXfs>
  <cellStyles count="13">
    <cellStyle name="Comma 2" xfId="10" xr:uid="{BB8FAC06-9352-4B32-9910-1AD8D30357ED}"/>
    <cellStyle name="Heading 1 2" xfId="2" xr:uid="{F1BC3C98-E50B-473F-8CE4-A61275BC50C7}"/>
    <cellStyle name="Heading 2 2" xfId="3" xr:uid="{9B74FD4E-3FC4-4EDE-B6F5-CCD876757A97}"/>
    <cellStyle name="Heading 3 2" xfId="4" xr:uid="{A0E4B41C-5EDB-4FD0-81D2-C16D7066A485}"/>
    <cellStyle name="Hyperlink 2 3" xfId="7" xr:uid="{C2041A3C-EF19-47BD-A165-8FAA7BC879BC}"/>
    <cellStyle name="Normal" xfId="0" builtinId="0"/>
    <cellStyle name="Normal 2" xfId="8" xr:uid="{2ACD6119-80CF-47E1-B7BC-342E409FE0CD}"/>
    <cellStyle name="Normal 3" xfId="9" xr:uid="{E21CA694-6628-4D08-AF00-B70377793ADD}"/>
    <cellStyle name="Normal 4" xfId="5" xr:uid="{7C82A038-74EA-4A66-9344-8C7D18B269A1}"/>
    <cellStyle name="Normal 4 11" xfId="6" xr:uid="{84CAA5E5-4191-4EF9-8D61-13901D7EC8FA}"/>
    <cellStyle name="Normal 5" xfId="1" xr:uid="{3545AEF0-20ED-42D4-A108-C40900264922}"/>
    <cellStyle name="Per cent" xfId="12" builtinId="5"/>
    <cellStyle name="Per cent 2" xfId="11" xr:uid="{B35CDEAC-55F9-4B46-A83C-2A1DE89DBF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EU!$O$2:$O$11</c:f>
              <c:numCache>
                <c:formatCode>#,##0.00</c:formatCode>
                <c:ptCount val="10"/>
                <c:pt idx="0">
                  <c:v>3.0940279999999802</c:v>
                </c:pt>
                <c:pt idx="1">
                  <c:v>3.0895270000000323</c:v>
                </c:pt>
                <c:pt idx="2">
                  <c:v>2.6108150000000023</c:v>
                </c:pt>
                <c:pt idx="3">
                  <c:v>9.385812000000044</c:v>
                </c:pt>
                <c:pt idx="4">
                  <c:v>3.7764569999999935</c:v>
                </c:pt>
                <c:pt idx="5">
                  <c:v>2.7953370000000177</c:v>
                </c:pt>
                <c:pt idx="6">
                  <c:v>5.513798999999949</c:v>
                </c:pt>
                <c:pt idx="7">
                  <c:v>9.1556949999999233</c:v>
                </c:pt>
                <c:pt idx="8">
                  <c:v>4.2254320000000121</c:v>
                </c:pt>
                <c:pt idx="9">
                  <c:v>3.9422040000000038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0-407B-BB9F-6D1E835C7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544127"/>
        <c:axId val="1931552287"/>
      </c:lineChart>
      <c:catAx>
        <c:axId val="1931544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52287"/>
        <c:crosses val="autoZero"/>
        <c:auto val="1"/>
        <c:lblAlgn val="ctr"/>
        <c:lblOffset val="100"/>
        <c:noMultiLvlLbl val="0"/>
      </c:catAx>
      <c:valAx>
        <c:axId val="193155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54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190500</xdr:colOff>
      <xdr:row>13</xdr:row>
      <xdr:rowOff>7620</xdr:rowOff>
    </xdr:from>
    <xdr:to>
      <xdr:col>24</xdr:col>
      <xdr:colOff>497205</xdr:colOff>
      <xdr:row>28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DD88B-0248-0196-9BEE-6CBB5BA6E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1214-ADF3-414A-919A-AC19487B58E9}">
  <dimension ref="A1:EL139"/>
  <sheetViews>
    <sheetView tabSelected="1" workbookViewId="0">
      <pane xSplit="1" ySplit="1" topLeftCell="B73" activePane="bottomRight" state="frozen"/>
      <selection pane="topRight" activeCell="B1" sqref="B1"/>
      <selection pane="bottomLeft" activeCell="A2" sqref="A2"/>
      <selection pane="bottomRight" activeCell="H59" sqref="H59:H138"/>
    </sheetView>
  </sheetViews>
  <sheetFormatPr defaultRowHeight="14.4" x14ac:dyDescent="0.3"/>
  <cols>
    <col min="5" max="5" width="10.109375" bestFit="1" customWidth="1"/>
  </cols>
  <sheetData>
    <row r="1" spans="1:142" x14ac:dyDescent="0.3">
      <c r="A1" s="2" t="s">
        <v>137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146</v>
      </c>
      <c r="G1" s="3" t="s">
        <v>147</v>
      </c>
      <c r="H1" s="18" t="s">
        <v>153</v>
      </c>
    </row>
    <row r="2" spans="1:142" x14ac:dyDescent="0.3">
      <c r="A2" s="1" t="s">
        <v>0</v>
      </c>
      <c r="B2" s="8">
        <f>EU!B2+UK!B2</f>
        <v>17.469000000000001</v>
      </c>
      <c r="C2" s="8">
        <f>EU!C2+UK!C2</f>
        <v>5.798</v>
      </c>
      <c r="D2" s="8">
        <f>EU!D2+UK!D2</f>
        <v>55.776000000000003</v>
      </c>
      <c r="E2" s="8">
        <f>EU!E2+UK!E2</f>
        <v>49.978000000000002</v>
      </c>
      <c r="F2" s="8">
        <v>-15.741</v>
      </c>
      <c r="G2" s="8">
        <v>0.36399999999999999</v>
      </c>
      <c r="H2">
        <f>EU!H2+UK!D2</f>
        <v>56.173478737042636</v>
      </c>
    </row>
    <row r="3" spans="1:142" x14ac:dyDescent="0.3">
      <c r="A3" s="1" t="s">
        <v>1</v>
      </c>
      <c r="B3" s="8">
        <f>EU!B3+UK!B3</f>
        <v>15.724</v>
      </c>
      <c r="C3" s="8">
        <f>EU!C3+UK!C3</f>
        <v>6.5939999999999994</v>
      </c>
      <c r="D3" s="8">
        <f>EU!D3+UK!D3</f>
        <v>51.439</v>
      </c>
      <c r="E3" s="8">
        <f>EU!E3+UK!E3</f>
        <v>44.844999999999999</v>
      </c>
      <c r="F3" s="8">
        <v>-15.736000000000001</v>
      </c>
      <c r="G3" s="8">
        <v>0.33600000000000002</v>
      </c>
      <c r="H3" s="13">
        <f>EU!H3+UK!D3</f>
        <v>51.806485660772857</v>
      </c>
    </row>
    <row r="4" spans="1:142" x14ac:dyDescent="0.3">
      <c r="A4" s="1" t="s">
        <v>2</v>
      </c>
      <c r="B4" s="8">
        <f>EU!B4+UK!B4</f>
        <v>13.853999999999999</v>
      </c>
      <c r="C4" s="8">
        <f>EU!C4+UK!C4</f>
        <v>5.5419999999999998</v>
      </c>
      <c r="D4" s="8">
        <f>EU!D4+UK!D4</f>
        <v>45.44</v>
      </c>
      <c r="E4" s="8">
        <f>EU!E4+UK!E4</f>
        <v>39.897999999999996</v>
      </c>
      <c r="F4" s="8">
        <v>-7.8819999999999997</v>
      </c>
      <c r="G4" s="8">
        <v>0.36399999999999999</v>
      </c>
      <c r="H4" s="13">
        <f>EU!H4+UK!D4</f>
        <v>45.761030990093538</v>
      </c>
    </row>
    <row r="5" spans="1:142" x14ac:dyDescent="0.3">
      <c r="A5" s="1" t="s">
        <v>3</v>
      </c>
      <c r="B5" s="8">
        <f>EU!B5+UK!B5</f>
        <v>10.318</v>
      </c>
      <c r="C5" s="8">
        <f>EU!C5+UK!C5</f>
        <v>4.6959999999999997</v>
      </c>
      <c r="D5" s="8">
        <f>EU!D5+UK!D5</f>
        <v>33.304000000000002</v>
      </c>
      <c r="E5" s="8">
        <f>EU!E5+UK!E5</f>
        <v>28.607999999999997</v>
      </c>
      <c r="F5" s="8">
        <v>0.45500000000000002</v>
      </c>
      <c r="G5" s="8">
        <v>0.3</v>
      </c>
      <c r="H5" s="13">
        <f>EU!H5+UK!D5</f>
        <v>33.541125551437375</v>
      </c>
    </row>
    <row r="6" spans="1:142" x14ac:dyDescent="0.3">
      <c r="A6" s="1" t="s">
        <v>4</v>
      </c>
      <c r="B6" s="8">
        <f>EU!B6+UK!B6</f>
        <v>9.4269999999999996</v>
      </c>
      <c r="C6" s="8">
        <f>EU!C6+UK!C6</f>
        <v>4.3369999999999997</v>
      </c>
      <c r="D6" s="8">
        <f>EU!D6+UK!D6</f>
        <v>26.774999999999999</v>
      </c>
      <c r="E6" s="8">
        <f>EU!E6+UK!E6</f>
        <v>22.437999999999999</v>
      </c>
      <c r="F6" s="8">
        <v>7.2640000000000002</v>
      </c>
      <c r="G6" s="8">
        <v>0.29499999999999998</v>
      </c>
      <c r="H6" s="13">
        <f>EU!H6+UK!D6</f>
        <v>26.961502090892019</v>
      </c>
    </row>
    <row r="7" spans="1:142" x14ac:dyDescent="0.3">
      <c r="A7" s="1" t="s">
        <v>5</v>
      </c>
      <c r="B7" s="8">
        <f>EU!B7+UK!B7</f>
        <v>9.0660000000000007</v>
      </c>
      <c r="C7" s="8">
        <f>EU!C7+UK!C7</f>
        <v>4.5440000000000005</v>
      </c>
      <c r="D7" s="8">
        <f>EU!D7+UK!D7</f>
        <v>23.817</v>
      </c>
      <c r="E7" s="8">
        <f>EU!E7+UK!E7</f>
        <v>19.273</v>
      </c>
      <c r="F7" s="8">
        <v>8.3629999999999995</v>
      </c>
      <c r="G7" s="8">
        <v>0.29699999999999999</v>
      </c>
      <c r="H7" s="13">
        <f>EU!H7+UK!D7</f>
        <v>23.984528971440245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6"/>
      <c r="BC7" s="7"/>
      <c r="BD7" s="7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7"/>
      <c r="BY7" s="6"/>
      <c r="BZ7" s="6"/>
      <c r="CA7" s="7"/>
      <c r="CB7" s="7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7"/>
      <c r="CU7" s="6"/>
      <c r="CV7" s="6"/>
      <c r="CW7" s="6"/>
      <c r="CX7" s="6"/>
      <c r="CY7" s="6"/>
      <c r="CZ7" s="6"/>
      <c r="DA7" s="7"/>
      <c r="DB7" s="6"/>
      <c r="DC7" s="7"/>
      <c r="DD7" s="6"/>
      <c r="DE7" s="6"/>
      <c r="DF7" s="6"/>
      <c r="DG7" s="7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7"/>
      <c r="EC7" s="6"/>
      <c r="ED7" s="6"/>
      <c r="EE7" s="7"/>
      <c r="EF7" s="6"/>
      <c r="EG7" s="6"/>
      <c r="EH7" s="6"/>
      <c r="EI7" s="6"/>
      <c r="EJ7" s="6"/>
      <c r="EK7" s="7"/>
      <c r="EL7" s="6"/>
    </row>
    <row r="8" spans="1:142" x14ac:dyDescent="0.3">
      <c r="A8" s="1" t="s">
        <v>6</v>
      </c>
      <c r="B8" s="8">
        <f>EU!B8+UK!B8</f>
        <v>8.0869999999999997</v>
      </c>
      <c r="C8" s="8">
        <f>EU!C8+UK!C8</f>
        <v>6.2639999999999993</v>
      </c>
      <c r="D8" s="8">
        <f>EU!D8+UK!D8</f>
        <v>24.164000000000001</v>
      </c>
      <c r="E8" s="8">
        <f>EU!E8+UK!E8</f>
        <v>17.899999999999999</v>
      </c>
      <c r="F8" s="8">
        <v>10.409000000000001</v>
      </c>
      <c r="G8" s="8">
        <v>0.32800000000000001</v>
      </c>
      <c r="H8" s="13">
        <f>EU!H8+UK!D8</f>
        <v>24.337466079958475</v>
      </c>
    </row>
    <row r="9" spans="1:142" x14ac:dyDescent="0.3">
      <c r="A9" s="1" t="s">
        <v>7</v>
      </c>
      <c r="B9" s="8">
        <f>EU!B9+UK!B9</f>
        <v>8.1110000000000007</v>
      </c>
      <c r="C9" s="8">
        <f>EU!C9+UK!C9</f>
        <v>5.9399999999999995</v>
      </c>
      <c r="D9" s="8">
        <f>EU!D9+UK!D9</f>
        <v>22.277000000000001</v>
      </c>
      <c r="E9" s="8">
        <f>EU!E9+UK!E9</f>
        <v>16.337</v>
      </c>
      <c r="F9" s="8">
        <v>9.7560000000000002</v>
      </c>
      <c r="G9" s="8">
        <v>0.375</v>
      </c>
      <c r="H9" s="13">
        <f>EU!H9+UK!D9</f>
        <v>22.434448700862536</v>
      </c>
    </row>
    <row r="10" spans="1:142" x14ac:dyDescent="0.3">
      <c r="A10" s="1" t="s">
        <v>8</v>
      </c>
      <c r="B10" s="8">
        <f>EU!B10+UK!B10</f>
        <v>9.18</v>
      </c>
      <c r="C10" s="8">
        <f>EU!C10+UK!C10</f>
        <v>5.9930000000000003</v>
      </c>
      <c r="D10" s="8">
        <f>EU!D10+UK!D10</f>
        <v>26.417999999999999</v>
      </c>
      <c r="E10" s="8">
        <f>EU!E10+UK!E10</f>
        <v>20.425000000000001</v>
      </c>
      <c r="F10" s="8">
        <v>8.7479999999999993</v>
      </c>
      <c r="G10" s="8">
        <v>0.30299999999999999</v>
      </c>
      <c r="H10" s="13">
        <f>EU!H10+UK!D10</f>
        <v>26.604271440633038</v>
      </c>
    </row>
    <row r="11" spans="1:142" x14ac:dyDescent="0.3">
      <c r="A11" s="1" t="s">
        <v>9</v>
      </c>
      <c r="B11" s="8">
        <f>EU!B11+UK!B11</f>
        <v>10.836</v>
      </c>
      <c r="C11" s="8">
        <f>EU!C11+UK!C11</f>
        <v>6.7650000000000006</v>
      </c>
      <c r="D11" s="8">
        <f>EU!D11+UK!D11</f>
        <v>36.201000000000001</v>
      </c>
      <c r="E11" s="8">
        <f>EU!E11+UK!E11</f>
        <v>29.435999999999996</v>
      </c>
      <c r="F11" s="8">
        <v>1.964</v>
      </c>
      <c r="G11" s="8">
        <v>0.34899999999999998</v>
      </c>
      <c r="H11" s="13">
        <f>EU!H11+UK!D11</f>
        <v>36.461617707444745</v>
      </c>
    </row>
    <row r="12" spans="1:142" x14ac:dyDescent="0.3">
      <c r="A12" s="1" t="s">
        <v>10</v>
      </c>
      <c r="B12" s="8">
        <f>EU!B12+UK!B12</f>
        <v>12.218999999999999</v>
      </c>
      <c r="C12" s="8">
        <f>EU!C12+UK!C12</f>
        <v>7.9700000000000006</v>
      </c>
      <c r="D12" s="8">
        <f>EU!D12+UK!D12</f>
        <v>41.846999999999994</v>
      </c>
      <c r="E12" s="8">
        <f>EU!E12+UK!E12</f>
        <v>33.876999999999995</v>
      </c>
      <c r="F12" s="8">
        <v>-4.1399999999999997</v>
      </c>
      <c r="G12" s="8">
        <v>0.35099999999999998</v>
      </c>
      <c r="H12" s="13">
        <f>EU!H12+UK!D12</f>
        <v>42.144957421593205</v>
      </c>
    </row>
    <row r="13" spans="1:142" x14ac:dyDescent="0.3">
      <c r="A13" s="1" t="s">
        <v>11</v>
      </c>
      <c r="B13" s="8">
        <f>EU!B13+UK!B13</f>
        <v>13.131</v>
      </c>
      <c r="C13" s="8">
        <f>EU!C13+UK!C13</f>
        <v>8.1039999999999992</v>
      </c>
      <c r="D13" s="8">
        <f>EU!D13+UK!D13</f>
        <v>46.903999999999996</v>
      </c>
      <c r="E13" s="8">
        <f>EU!E13+UK!E13</f>
        <v>38.799999999999997</v>
      </c>
      <c r="F13" s="8">
        <v>-7.28</v>
      </c>
      <c r="G13" s="8">
        <v>0.40699999999999997</v>
      </c>
      <c r="H13" s="13">
        <f>EU!H13+UK!D13</f>
        <v>47.245114647829297</v>
      </c>
    </row>
    <row r="14" spans="1:142" x14ac:dyDescent="0.3">
      <c r="A14" s="1" t="s">
        <v>12</v>
      </c>
      <c r="B14" s="8">
        <f>EU!B14+UK!B14</f>
        <v>13.156000000000001</v>
      </c>
      <c r="C14" s="8">
        <f>EU!C14+UK!C14</f>
        <v>9.2800000000000011</v>
      </c>
      <c r="D14" s="8">
        <f>EU!D14+UK!D14</f>
        <v>58.564999999999998</v>
      </c>
      <c r="E14" s="8">
        <f>EU!E14+UK!E14</f>
        <v>49.284999999999997</v>
      </c>
      <c r="F14" s="8">
        <v>-17.37</v>
      </c>
      <c r="G14" s="8">
        <v>0.40200000000000002</v>
      </c>
      <c r="H14" s="13">
        <f>EU!H14+UK!D14</f>
        <v>58.963832874652255</v>
      </c>
    </row>
    <row r="15" spans="1:142" x14ac:dyDescent="0.3">
      <c r="A15" s="1" t="s">
        <v>13</v>
      </c>
      <c r="B15" s="8">
        <f>EU!B15+UK!B15</f>
        <v>11.805</v>
      </c>
      <c r="C15" s="8">
        <f>EU!C15+UK!C15</f>
        <v>7.6340000000000003</v>
      </c>
      <c r="D15" s="8">
        <f>EU!D15+UK!D15</f>
        <v>49.251999999999995</v>
      </c>
      <c r="E15" s="8">
        <f>EU!E15+UK!E15</f>
        <v>41.617999999999995</v>
      </c>
      <c r="F15" s="8">
        <v>-10.917999999999999</v>
      </c>
      <c r="G15" s="8">
        <v>0.34599999999999997</v>
      </c>
      <c r="H15" s="13">
        <f>EU!H15+UK!D15</f>
        <v>49.580150767970316</v>
      </c>
    </row>
    <row r="16" spans="1:142" x14ac:dyDescent="0.3">
      <c r="A16" s="1" t="s">
        <v>14</v>
      </c>
      <c r="B16" s="8">
        <f>EU!B16+UK!B16</f>
        <v>9.7379999999999995</v>
      </c>
      <c r="C16" s="8">
        <f>EU!C16+UK!C16</f>
        <v>7.5089999999999995</v>
      </c>
      <c r="D16" s="8">
        <f>EU!D16+UK!D16</f>
        <v>45.891999999999996</v>
      </c>
      <c r="E16" s="8">
        <f>EU!E16+UK!E16</f>
        <v>38.382999999999996</v>
      </c>
      <c r="F16" s="8">
        <v>-9.14</v>
      </c>
      <c r="G16" s="8">
        <v>0.33700000000000002</v>
      </c>
      <c r="H16" s="13">
        <f>EU!H16+UK!D16</f>
        <v>46.191926393027835</v>
      </c>
    </row>
    <row r="17" spans="1:8" x14ac:dyDescent="0.3">
      <c r="A17" s="1" t="s">
        <v>15</v>
      </c>
      <c r="B17" s="8">
        <f>EU!B17+UK!B17</f>
        <v>10.856999999999999</v>
      </c>
      <c r="C17" s="8">
        <f>EU!C17+UK!C17</f>
        <v>6.76</v>
      </c>
      <c r="D17" s="8">
        <f>EU!D17+UK!D17</f>
        <v>34.771000000000001</v>
      </c>
      <c r="E17" s="8">
        <f>EU!E17+UK!E17</f>
        <v>28.010999999999999</v>
      </c>
      <c r="F17" s="8">
        <v>4.476</v>
      </c>
      <c r="G17" s="8">
        <v>0.32</v>
      </c>
      <c r="H17" s="13">
        <f>EU!H17+UK!D17</f>
        <v>34.992618696779303</v>
      </c>
    </row>
    <row r="18" spans="1:8" x14ac:dyDescent="0.3">
      <c r="A18" s="1" t="s">
        <v>16</v>
      </c>
      <c r="B18" s="8">
        <f>EU!B18+UK!B18</f>
        <v>11.027000000000001</v>
      </c>
      <c r="C18" s="8">
        <f>EU!C18+UK!C18</f>
        <v>5.52</v>
      </c>
      <c r="D18" s="8">
        <f>EU!D18+UK!D18</f>
        <v>27.741</v>
      </c>
      <c r="E18" s="8">
        <f>EU!E18+UK!E18</f>
        <v>22.221</v>
      </c>
      <c r="F18" s="8">
        <v>9.8930000000000007</v>
      </c>
      <c r="G18" s="8">
        <v>0.315</v>
      </c>
      <c r="H18" s="13">
        <f>EU!H18+UK!D18</f>
        <v>27.923230587958606</v>
      </c>
    </row>
    <row r="19" spans="1:8" x14ac:dyDescent="0.3">
      <c r="A19" s="1" t="s">
        <v>17</v>
      </c>
      <c r="B19" s="8">
        <f>EU!B19+UK!B19</f>
        <v>9.1029999999999998</v>
      </c>
      <c r="C19" s="8">
        <f>EU!C19+UK!C19</f>
        <v>6.2439999999999998</v>
      </c>
      <c r="D19" s="8">
        <f>EU!D19+UK!D19</f>
        <v>24.087000000000003</v>
      </c>
      <c r="E19" s="8">
        <f>EU!E19+UK!E19</f>
        <v>17.843000000000004</v>
      </c>
      <c r="F19" s="8">
        <v>11.628</v>
      </c>
      <c r="G19" s="8">
        <v>0.27700000000000002</v>
      </c>
      <c r="H19" s="13">
        <f>EU!H19+UK!D19</f>
        <v>24.244762462114082</v>
      </c>
    </row>
    <row r="20" spans="1:8" x14ac:dyDescent="0.3">
      <c r="A20" s="1" t="s">
        <v>18</v>
      </c>
      <c r="B20" s="8">
        <f>EU!B20+UK!B20</f>
        <v>9.9570000000000007</v>
      </c>
      <c r="C20" s="8">
        <f>EU!C20+UK!C20</f>
        <v>6.9710000000000001</v>
      </c>
      <c r="D20" s="8">
        <f>EU!D20+UK!D20</f>
        <v>24.579000000000001</v>
      </c>
      <c r="E20" s="8">
        <f>EU!E20+UK!E20</f>
        <v>17.608000000000001</v>
      </c>
      <c r="F20" s="8">
        <v>12.667</v>
      </c>
      <c r="G20" s="8">
        <v>0.34100000000000003</v>
      </c>
      <c r="H20" s="13">
        <f>EU!H20+UK!D20</f>
        <v>24.743580256175747</v>
      </c>
    </row>
    <row r="21" spans="1:8" x14ac:dyDescent="0.3">
      <c r="A21" s="1" t="s">
        <v>19</v>
      </c>
      <c r="B21" s="8">
        <f>EU!B21+UK!B21</f>
        <v>9.7360000000000007</v>
      </c>
      <c r="C21" s="8">
        <f>EU!C21+UK!C21</f>
        <v>6.1750000000000007</v>
      </c>
      <c r="D21" s="8">
        <f>EU!D21+UK!D21</f>
        <v>23.869</v>
      </c>
      <c r="E21" s="8">
        <f>EU!E21+UK!E21</f>
        <v>17.694000000000003</v>
      </c>
      <c r="F21" s="8">
        <v>9.5660000000000007</v>
      </c>
      <c r="G21" s="8">
        <v>0.30499999999999999</v>
      </c>
      <c r="H21" s="13">
        <f>EU!H21+UK!D21</f>
        <v>24.028402286989103</v>
      </c>
    </row>
    <row r="22" spans="1:8" x14ac:dyDescent="0.3">
      <c r="A22" s="1" t="s">
        <v>20</v>
      </c>
      <c r="B22" s="8">
        <f>EU!B22+UK!B22</f>
        <v>9.827</v>
      </c>
      <c r="C22" s="8">
        <f>EU!C22+UK!C22</f>
        <v>7.3629999999999995</v>
      </c>
      <c r="D22" s="8">
        <f>EU!D22+UK!D22</f>
        <v>26.798999999999999</v>
      </c>
      <c r="E22" s="8">
        <f>EU!E22+UK!E22</f>
        <v>19.436</v>
      </c>
      <c r="F22" s="8">
        <v>5.9969999999999999</v>
      </c>
      <c r="G22" s="8">
        <v>0.30399999999999999</v>
      </c>
      <c r="H22" s="13">
        <f>EU!H22+UK!D22</f>
        <v>26.979663464679028</v>
      </c>
    </row>
    <row r="23" spans="1:8" x14ac:dyDescent="0.3">
      <c r="A23" s="1" t="s">
        <v>21</v>
      </c>
      <c r="B23" s="8">
        <f>EU!B23+UK!B23</f>
        <v>11.291</v>
      </c>
      <c r="C23" s="8">
        <f>EU!C23+UK!C23</f>
        <v>8.5489999999999995</v>
      </c>
      <c r="D23" s="8">
        <f>EU!D23+UK!D23</f>
        <v>39.005000000000003</v>
      </c>
      <c r="E23" s="8">
        <f>EU!E23+UK!E23</f>
        <v>30.456000000000003</v>
      </c>
      <c r="F23" s="8">
        <v>0.51500000000000001</v>
      </c>
      <c r="G23" s="8">
        <v>0.38900000000000001</v>
      </c>
      <c r="H23" s="13">
        <f>EU!H23+UK!D23</f>
        <v>39.266144130835848</v>
      </c>
    </row>
    <row r="24" spans="1:8" x14ac:dyDescent="0.3">
      <c r="A24" s="1" t="s">
        <v>22</v>
      </c>
      <c r="B24" s="8">
        <f>EU!B24+UK!B24</f>
        <v>12.109</v>
      </c>
      <c r="C24" s="8">
        <f>EU!C24+UK!C24</f>
        <v>8.4469999999999992</v>
      </c>
      <c r="D24" s="8">
        <f>EU!D24+UK!D24</f>
        <v>51.010999999999996</v>
      </c>
      <c r="E24" s="8">
        <f>EU!E24+UK!E24</f>
        <v>42.564</v>
      </c>
      <c r="F24" s="8">
        <v>-10.864000000000001</v>
      </c>
      <c r="G24" s="8">
        <v>0.39700000000000002</v>
      </c>
      <c r="H24" s="13">
        <f>EU!H24+UK!D24</f>
        <v>51.350968816207541</v>
      </c>
    </row>
    <row r="25" spans="1:8" x14ac:dyDescent="0.3">
      <c r="A25" s="1" t="s">
        <v>23</v>
      </c>
      <c r="B25" s="8">
        <f>EU!B25+UK!B25</f>
        <v>12.9</v>
      </c>
      <c r="C25" s="8">
        <f>EU!C25+UK!C25</f>
        <v>9.782</v>
      </c>
      <c r="D25" s="8">
        <f>EU!D25+UK!D25</f>
        <v>58.129000000000005</v>
      </c>
      <c r="E25" s="8">
        <f>EU!E25+UK!E25</f>
        <v>48.347000000000001</v>
      </c>
      <c r="F25" s="8">
        <v>-16.68</v>
      </c>
      <c r="G25" s="8">
        <v>0.41699999999999998</v>
      </c>
      <c r="H25" s="13">
        <f>EU!H25+UK!D25</f>
        <v>58.524246262610333</v>
      </c>
    </row>
    <row r="26" spans="1:8" x14ac:dyDescent="0.3">
      <c r="A26" s="1" t="s">
        <v>24</v>
      </c>
      <c r="B26" s="8">
        <f>EU!B26+UK!B26</f>
        <v>12.379</v>
      </c>
      <c r="C26" s="8">
        <f>EU!C26+UK!C26</f>
        <v>12.500100000000002</v>
      </c>
      <c r="D26" s="8">
        <f>EU!D26+UK!D26</f>
        <v>68.180199999999999</v>
      </c>
      <c r="E26" s="8">
        <f>EU!E26+UK!E26</f>
        <v>55.680099999999996</v>
      </c>
      <c r="F26" s="8">
        <v>-23.648900000000001</v>
      </c>
      <c r="G26" s="8">
        <v>0.49819999999999998</v>
      </c>
      <c r="H26" s="13">
        <f>EU!H26+UK!D26</f>
        <v>68.552743594747028</v>
      </c>
    </row>
    <row r="27" spans="1:8" x14ac:dyDescent="0.3">
      <c r="A27" s="1" t="s">
        <v>25</v>
      </c>
      <c r="B27" s="8">
        <f>EU!B27+UK!B27</f>
        <v>11.161</v>
      </c>
      <c r="C27" s="8">
        <f>EU!C27+UK!C27</f>
        <v>9.1266999999999996</v>
      </c>
      <c r="D27" s="8">
        <f>EU!D27+UK!D27</f>
        <v>50.240099999999998</v>
      </c>
      <c r="E27" s="8">
        <f>EU!E27+UK!E27</f>
        <v>41.113399999999999</v>
      </c>
      <c r="F27" s="8">
        <v>-11.172499999999999</v>
      </c>
      <c r="G27" s="8">
        <v>0.374</v>
      </c>
      <c r="H27" s="13">
        <f>EU!H27+UK!D27</f>
        <v>50.511179513201249</v>
      </c>
    </row>
    <row r="28" spans="1:8" x14ac:dyDescent="0.3">
      <c r="A28" s="1" t="s">
        <v>26</v>
      </c>
      <c r="B28" s="8">
        <f>EU!B28+UK!B28</f>
        <v>11.526</v>
      </c>
      <c r="C28" s="8">
        <f>EU!C28+UK!C28</f>
        <v>8.4434000000000005</v>
      </c>
      <c r="D28" s="8">
        <f>EU!D28+UK!D28</f>
        <v>44.379899999999999</v>
      </c>
      <c r="E28" s="8">
        <f>EU!E28+UK!E28</f>
        <v>35.936500000000002</v>
      </c>
      <c r="F28" s="8">
        <v>-3.7157</v>
      </c>
      <c r="G28" s="8">
        <v>0.36980000000000002</v>
      </c>
      <c r="H28" s="13">
        <f>EU!H28+UK!D28</f>
        <v>44.615873138416212</v>
      </c>
    </row>
    <row r="29" spans="1:8" x14ac:dyDescent="0.3">
      <c r="A29" s="1" t="s">
        <v>27</v>
      </c>
      <c r="B29" s="8">
        <f>EU!B29+UK!B29</f>
        <v>11.394</v>
      </c>
      <c r="C29" s="8">
        <f>EU!C29+UK!C29</f>
        <v>7.7518999999999991</v>
      </c>
      <c r="D29" s="8">
        <f>EU!D29+UK!D29</f>
        <v>36.876599999999996</v>
      </c>
      <c r="E29" s="8">
        <f>EU!E29+UK!E29</f>
        <v>29.124699999999997</v>
      </c>
      <c r="F29" s="8">
        <v>4.6766999999999994</v>
      </c>
      <c r="G29" s="8">
        <v>0.3735</v>
      </c>
      <c r="H29" s="13">
        <f>EU!H29+UK!D29</f>
        <v>37.073465906650334</v>
      </c>
    </row>
    <row r="30" spans="1:8" x14ac:dyDescent="0.3">
      <c r="A30" s="1" t="s">
        <v>28</v>
      </c>
      <c r="B30" s="8">
        <f>EU!B30+UK!B30</f>
        <v>10.722999999999999</v>
      </c>
      <c r="C30" s="8">
        <f>EU!C30+UK!C30</f>
        <v>7.264899999999999</v>
      </c>
      <c r="D30" s="8">
        <f>EU!D30+UK!D30</f>
        <v>30.131</v>
      </c>
      <c r="E30" s="8">
        <f>EU!E30+UK!E30</f>
        <v>22.866099999999999</v>
      </c>
      <c r="F30" s="8">
        <v>9.9937000000000005</v>
      </c>
      <c r="G30" s="8">
        <v>0.35880000000000001</v>
      </c>
      <c r="H30" s="13">
        <f>EU!H30+UK!D30</f>
        <v>30.29155043559339</v>
      </c>
    </row>
    <row r="31" spans="1:8" x14ac:dyDescent="0.3">
      <c r="A31" s="1" t="s">
        <v>29</v>
      </c>
      <c r="B31" s="8">
        <f>EU!B31+UK!B31</f>
        <v>9.798</v>
      </c>
      <c r="C31" s="8">
        <f>EU!C31+UK!C31</f>
        <v>7.4588000000000001</v>
      </c>
      <c r="D31" s="8">
        <f>EU!D31+UK!D31</f>
        <v>26.098300000000002</v>
      </c>
      <c r="E31" s="8">
        <f>EU!E31+UK!E31</f>
        <v>18.639499999999998</v>
      </c>
      <c r="F31" s="8">
        <v>10.681899999999999</v>
      </c>
      <c r="G31" s="8">
        <v>0.3342</v>
      </c>
      <c r="H31" s="13">
        <f>EU!H31+UK!D31</f>
        <v>26.239928788652996</v>
      </c>
    </row>
    <row r="32" spans="1:8" x14ac:dyDescent="0.3">
      <c r="A32" s="1" t="s">
        <v>30</v>
      </c>
      <c r="B32" s="8">
        <f>EU!B32+UK!B32</f>
        <v>10.135999999999999</v>
      </c>
      <c r="C32" s="8">
        <f>EU!C32+UK!C32</f>
        <v>8.2928999999999995</v>
      </c>
      <c r="D32" s="8">
        <f>EU!D32+UK!D32</f>
        <v>27.301400000000001</v>
      </c>
      <c r="E32" s="8">
        <f>EU!E32+UK!E32</f>
        <v>19.008500000000002</v>
      </c>
      <c r="F32" s="8">
        <v>12.453100000000001</v>
      </c>
      <c r="G32" s="8">
        <v>0.33789999999999998</v>
      </c>
      <c r="H32" s="13">
        <f>EU!H32+UK!D32</f>
        <v>27.450713711649112</v>
      </c>
    </row>
    <row r="33" spans="1:8" x14ac:dyDescent="0.3">
      <c r="A33" s="1" t="s">
        <v>31</v>
      </c>
      <c r="B33" s="8">
        <f>EU!B33+UK!B33</f>
        <v>9.995000000000001</v>
      </c>
      <c r="C33" s="8">
        <f>EU!C33+UK!C33</f>
        <v>7.8663000000000007</v>
      </c>
      <c r="D33" s="8">
        <f>EU!D33+UK!D33</f>
        <v>25.796900000000001</v>
      </c>
      <c r="E33" s="8">
        <f>EU!E33+UK!E33</f>
        <v>17.930600000000002</v>
      </c>
      <c r="F33" s="8">
        <v>14.348100000000001</v>
      </c>
      <c r="G33" s="8">
        <v>0.34770000000000001</v>
      </c>
      <c r="H33" s="13">
        <f>EU!H33+UK!D33</f>
        <v>25.936480938297052</v>
      </c>
    </row>
    <row r="34" spans="1:8" x14ac:dyDescent="0.3">
      <c r="A34" s="1" t="s">
        <v>32</v>
      </c>
      <c r="B34" s="8">
        <f>EU!B34+UK!B34</f>
        <v>9.7000000000000011</v>
      </c>
      <c r="C34" s="8">
        <f>EU!C34+UK!C34</f>
        <v>8.0899000000000001</v>
      </c>
      <c r="D34" s="8">
        <f>EU!D34+UK!D34</f>
        <v>29.394299999999998</v>
      </c>
      <c r="E34" s="8">
        <f>EU!E34+UK!E34</f>
        <v>21.304399999999998</v>
      </c>
      <c r="F34" s="8">
        <v>8.0290999999999997</v>
      </c>
      <c r="G34" s="8">
        <v>0.35320000000000001</v>
      </c>
      <c r="H34" s="13">
        <f>EU!H34+UK!D34</f>
        <v>29.553065179785289</v>
      </c>
    </row>
    <row r="35" spans="1:8" x14ac:dyDescent="0.3">
      <c r="A35" s="1" t="s">
        <v>33</v>
      </c>
      <c r="B35" s="8">
        <f>EU!B35+UK!B35</f>
        <v>11.175000000000001</v>
      </c>
      <c r="C35" s="8">
        <f>EU!C35+UK!C35</f>
        <v>9.6836000000000002</v>
      </c>
      <c r="D35" s="8">
        <f>EU!D35+UK!D35</f>
        <v>36.291600000000003</v>
      </c>
      <c r="E35" s="8">
        <f>EU!E35+UK!E35</f>
        <v>26.607999999999997</v>
      </c>
      <c r="F35" s="8">
        <v>4.3841999999999999</v>
      </c>
      <c r="G35" s="8">
        <v>0.37860000000000005</v>
      </c>
      <c r="H35" s="13">
        <f>EU!H35+UK!D35</f>
        <v>36.487007764935008</v>
      </c>
    </row>
    <row r="36" spans="1:8" x14ac:dyDescent="0.3">
      <c r="A36" s="1" t="s">
        <v>34</v>
      </c>
      <c r="B36" s="8">
        <f>EU!B36+UK!B36</f>
        <v>11.68</v>
      </c>
      <c r="C36" s="8">
        <f>EU!C36+UK!C36</f>
        <v>11.6411</v>
      </c>
      <c r="D36" s="8">
        <f>EU!D36+UK!D36</f>
        <v>51.281999999999996</v>
      </c>
      <c r="E36" s="8">
        <f>EU!E36+UK!E36</f>
        <v>39.640900000000002</v>
      </c>
      <c r="F36" s="8">
        <v>-8.4632999999999985</v>
      </c>
      <c r="G36" s="8">
        <v>0.40529999999999999</v>
      </c>
      <c r="H36" s="13">
        <f>EU!H36+UK!D36</f>
        <v>51.558395278507682</v>
      </c>
    </row>
    <row r="37" spans="1:8" x14ac:dyDescent="0.3">
      <c r="A37" s="1" t="s">
        <v>35</v>
      </c>
      <c r="B37" s="8">
        <f>EU!B37+UK!B37</f>
        <v>10.91</v>
      </c>
      <c r="C37" s="8">
        <f>EU!C37+UK!C37</f>
        <v>10.851399999999998</v>
      </c>
      <c r="D37" s="8">
        <f>EU!D37+UK!D37</f>
        <v>58.244599999999998</v>
      </c>
      <c r="E37" s="8">
        <f>EU!E37+UK!E37</f>
        <v>47.393199999999993</v>
      </c>
      <c r="F37" s="8">
        <v>-16.006899999999998</v>
      </c>
      <c r="G37" s="8">
        <v>0.40229999999999999</v>
      </c>
      <c r="H37" s="13">
        <f>EU!H37+UK!D37</f>
        <v>58.557310749564628</v>
      </c>
    </row>
    <row r="38" spans="1:8" x14ac:dyDescent="0.3">
      <c r="A38" s="1" t="s">
        <v>36</v>
      </c>
      <c r="B38" s="8">
        <f>EU!B38+UK!B38</f>
        <v>11.326000000000001</v>
      </c>
      <c r="C38" s="8">
        <f>EU!C38+UK!C38</f>
        <v>9.5309999999999988</v>
      </c>
      <c r="D38" s="8">
        <f>EU!D38+UK!D38</f>
        <v>55.888000000000005</v>
      </c>
      <c r="E38" s="8">
        <f>EU!E38+UK!E38</f>
        <v>46.357000000000006</v>
      </c>
      <c r="F38" s="8">
        <v>-15.830500000000001</v>
      </c>
      <c r="G38" s="8">
        <v>0.39</v>
      </c>
      <c r="H38" s="13">
        <f>EU!H38+UK!D38</f>
        <v>56.993661501198737</v>
      </c>
    </row>
    <row r="39" spans="1:8" x14ac:dyDescent="0.3">
      <c r="A39" s="1" t="s">
        <v>37</v>
      </c>
      <c r="B39" s="8">
        <f>EU!B39+UK!B39</f>
        <v>10.011000000000001</v>
      </c>
      <c r="C39" s="8">
        <f>EU!C39+UK!C39</f>
        <v>9.6959999999999997</v>
      </c>
      <c r="D39" s="8">
        <f>EU!D39+UK!D39</f>
        <v>58.894400000000005</v>
      </c>
      <c r="E39" s="8">
        <f>EU!E39+UK!E39</f>
        <v>49.198400000000007</v>
      </c>
      <c r="F39" s="8">
        <v>-21.1587</v>
      </c>
      <c r="G39" s="8">
        <v>0.41549999999999998</v>
      </c>
      <c r="H39" s="13">
        <f>EU!H39+UK!D39</f>
        <v>60.083120083119219</v>
      </c>
    </row>
    <row r="40" spans="1:8" x14ac:dyDescent="0.3">
      <c r="A40" s="1" t="s">
        <v>38</v>
      </c>
      <c r="B40" s="8">
        <f>EU!B40+UK!B40</f>
        <v>11.071</v>
      </c>
      <c r="C40" s="8">
        <f>EU!C40+UK!C40</f>
        <v>8.5811000000000011</v>
      </c>
      <c r="D40" s="8">
        <f>EU!D40+UK!D40</f>
        <v>54.387799999999999</v>
      </c>
      <c r="E40" s="8">
        <f>EU!E40+UK!E40</f>
        <v>45.806700000000006</v>
      </c>
      <c r="F40" s="8">
        <v>-11.432399999999999</v>
      </c>
      <c r="G40" s="8">
        <v>0.41880000000000001</v>
      </c>
      <c r="H40" s="13">
        <f>EU!H40+UK!D40</f>
        <v>55.469378261180012</v>
      </c>
    </row>
    <row r="41" spans="1:8" x14ac:dyDescent="0.3">
      <c r="A41" s="1" t="s">
        <v>39</v>
      </c>
      <c r="B41" s="8">
        <f>EU!B41+UK!B41</f>
        <v>9.9930000000000003</v>
      </c>
      <c r="C41" s="8">
        <f>EU!C41+UK!C41</f>
        <v>6.4011999999999993</v>
      </c>
      <c r="D41" s="8">
        <f>EU!D41+UK!D41</f>
        <v>33.051499999999997</v>
      </c>
      <c r="E41" s="8">
        <f>EU!E41+UK!E41</f>
        <v>26.650299999999998</v>
      </c>
      <c r="F41" s="8">
        <v>7.8636999999999997</v>
      </c>
      <c r="G41" s="8">
        <v>0.38139999999999996</v>
      </c>
      <c r="H41" s="13">
        <f>EU!H41+UK!D41</f>
        <v>33.680627185502019</v>
      </c>
    </row>
    <row r="42" spans="1:8" x14ac:dyDescent="0.3">
      <c r="A42" s="1" t="s">
        <v>40</v>
      </c>
      <c r="B42" s="8">
        <f>EU!B42+UK!B42</f>
        <v>9.7759999999999998</v>
      </c>
      <c r="C42" s="8">
        <f>EU!C42+UK!C42</f>
        <v>6.1791999999999998</v>
      </c>
      <c r="D42" s="8">
        <f>EU!D42+UK!D42</f>
        <v>26.957000000000001</v>
      </c>
      <c r="E42" s="8">
        <f>EU!E42+UK!E42</f>
        <v>20.777799999999999</v>
      </c>
      <c r="F42" s="8">
        <v>12.520799999999999</v>
      </c>
      <c r="G42" s="8">
        <v>0.31239999999999996</v>
      </c>
      <c r="H42" s="13">
        <f>EU!H42+UK!D42</f>
        <v>27.48790303505648</v>
      </c>
    </row>
    <row r="43" spans="1:8" x14ac:dyDescent="0.3">
      <c r="A43" s="1" t="s">
        <v>41</v>
      </c>
      <c r="B43" s="8">
        <f>EU!B43+UK!B43</f>
        <v>9.0339999999999989</v>
      </c>
      <c r="C43" s="8">
        <f>EU!C43+UK!C43</f>
        <v>6.1396999999999995</v>
      </c>
      <c r="D43" s="8">
        <f>EU!D43+UK!D43</f>
        <v>25.4374</v>
      </c>
      <c r="E43" s="8">
        <f>EU!E43+UK!E43</f>
        <v>19.297699999999999</v>
      </c>
      <c r="F43" s="8">
        <v>12.0532</v>
      </c>
      <c r="G43" s="8">
        <v>0.33450000000000002</v>
      </c>
      <c r="H43" s="13">
        <f>EU!H43+UK!D43</f>
        <v>25.948583710810457</v>
      </c>
    </row>
    <row r="44" spans="1:8" x14ac:dyDescent="0.3">
      <c r="A44" s="1" t="s">
        <v>42</v>
      </c>
      <c r="B44" s="8">
        <f>EU!B44+UK!B44</f>
        <v>9.702</v>
      </c>
      <c r="C44" s="8">
        <f>EU!C44+UK!C44</f>
        <v>8.208400000000001</v>
      </c>
      <c r="D44" s="8">
        <f>EU!D44+UK!D44</f>
        <v>25.126100000000001</v>
      </c>
      <c r="E44" s="8">
        <f>EU!E44+UK!E44</f>
        <v>16.9177</v>
      </c>
      <c r="F44" s="8">
        <v>11.762700000000001</v>
      </c>
      <c r="G44" s="8">
        <v>0.35270000000000001</v>
      </c>
      <c r="H44" s="13">
        <f>EU!H44+UK!D44</f>
        <v>25.627952716897799</v>
      </c>
    </row>
    <row r="45" spans="1:8" x14ac:dyDescent="0.3">
      <c r="A45" s="1" t="s">
        <v>43</v>
      </c>
      <c r="B45" s="8">
        <f>EU!B45+UK!B45</f>
        <v>9.1589999999999989</v>
      </c>
      <c r="C45" s="8">
        <f>EU!C45+UK!C45</f>
        <v>8.3474000000000004</v>
      </c>
      <c r="D45" s="8">
        <f>EU!D45+UK!D45</f>
        <v>25.282600000000002</v>
      </c>
      <c r="E45" s="8">
        <f>EU!E45+UK!E45</f>
        <v>16.935200000000002</v>
      </c>
      <c r="F45" s="8">
        <v>12.7585</v>
      </c>
      <c r="G45" s="8">
        <v>0.3619</v>
      </c>
      <c r="H45" s="13">
        <f>EU!H45+UK!D45</f>
        <v>25.793428061287131</v>
      </c>
    </row>
    <row r="46" spans="1:8" x14ac:dyDescent="0.3">
      <c r="A46" s="1" t="s">
        <v>44</v>
      </c>
      <c r="B46" s="8">
        <f>EU!B46+UK!B46</f>
        <v>8.9540000000000006</v>
      </c>
      <c r="C46" s="8">
        <f>EU!C46+UK!C46</f>
        <v>7.5414999999999992</v>
      </c>
      <c r="D46" s="8">
        <f>EU!D46+UK!D46</f>
        <v>27.678099999999997</v>
      </c>
      <c r="E46" s="8">
        <f>EU!E46+UK!E46</f>
        <v>20.136599999999998</v>
      </c>
      <c r="F46" s="8">
        <v>9.9652999999999992</v>
      </c>
      <c r="G46" s="8">
        <v>0.36199999999999999</v>
      </c>
      <c r="H46" s="13">
        <f>EU!H46+UK!D46</f>
        <v>28.239139526083694</v>
      </c>
    </row>
    <row r="47" spans="1:8" x14ac:dyDescent="0.3">
      <c r="A47" s="1" t="s">
        <v>45</v>
      </c>
      <c r="B47" s="8">
        <f>EU!B47+UK!B47</f>
        <v>9.463000000000001</v>
      </c>
      <c r="C47" s="8">
        <f>EU!C47+UK!C47</f>
        <v>8.7164999999999999</v>
      </c>
      <c r="D47" s="8">
        <f>EU!D47+UK!D47</f>
        <v>36.621299999999998</v>
      </c>
      <c r="E47" s="8">
        <f>EU!E47+UK!E47</f>
        <v>27.904800000000002</v>
      </c>
      <c r="F47" s="8">
        <v>4.3953999999999995</v>
      </c>
      <c r="G47" s="8">
        <v>0.32739999999999997</v>
      </c>
      <c r="H47" s="13">
        <f>EU!H47+UK!D47</f>
        <v>37.344693533481902</v>
      </c>
    </row>
    <row r="48" spans="1:8" x14ac:dyDescent="0.3">
      <c r="A48" s="1" t="s">
        <v>46</v>
      </c>
      <c r="B48" s="8">
        <f>EU!B48+UK!B48</f>
        <v>10.010999999999999</v>
      </c>
      <c r="C48" s="8">
        <f>EU!C48+UK!C48</f>
        <v>10.271599999999999</v>
      </c>
      <c r="D48" s="8">
        <f>EU!D48+UK!D48</f>
        <v>49.025300000000001</v>
      </c>
      <c r="E48" s="8">
        <f>EU!E48+UK!E48</f>
        <v>38.753700000000002</v>
      </c>
      <c r="F48" s="8">
        <v>-6.1390000000000002</v>
      </c>
      <c r="G48" s="8">
        <v>0.33910000000000001</v>
      </c>
      <c r="H48" s="13">
        <f>EU!H48+UK!D48</f>
        <v>50.007813047672556</v>
      </c>
    </row>
    <row r="49" spans="1:8" x14ac:dyDescent="0.3">
      <c r="A49" s="1" t="s">
        <v>47</v>
      </c>
      <c r="B49" s="8">
        <f>EU!B49+UK!B49</f>
        <v>10.587</v>
      </c>
      <c r="C49" s="8">
        <f>EU!C49+UK!C49</f>
        <v>10.1907</v>
      </c>
      <c r="D49" s="8">
        <f>EU!D49+UK!D49</f>
        <v>53.101699999999994</v>
      </c>
      <c r="E49" s="8">
        <f>EU!E49+UK!E49</f>
        <v>42.911000000000001</v>
      </c>
      <c r="F49" s="8">
        <v>-8.2780000000000005</v>
      </c>
      <c r="G49" s="8">
        <v>0.34470000000000001</v>
      </c>
      <c r="H49" s="13">
        <f>EU!H49+UK!D49</f>
        <v>54.160711337710069</v>
      </c>
    </row>
    <row r="50" spans="1:8" x14ac:dyDescent="0.3">
      <c r="A50" s="1" t="s">
        <v>48</v>
      </c>
      <c r="B50" s="8">
        <f>EU!B50+UK!B50</f>
        <v>10.757999999999999</v>
      </c>
      <c r="C50" s="8">
        <f>EU!C50+UK!C50</f>
        <v>10.914251583584765</v>
      </c>
      <c r="D50" s="8">
        <f>EU!D50+UK!D50</f>
        <v>65.767268999999999</v>
      </c>
      <c r="E50" s="8">
        <f>EU!E50+UK!E50</f>
        <v>54.853017416415241</v>
      </c>
      <c r="F50" s="8"/>
      <c r="G50" s="8"/>
      <c r="H50" s="13">
        <f>EU!H50+UK!D50</f>
        <v>66.280729325098136</v>
      </c>
    </row>
    <row r="51" spans="1:8" x14ac:dyDescent="0.3">
      <c r="A51" s="1" t="s">
        <v>49</v>
      </c>
      <c r="B51" s="8">
        <f>EU!B51+UK!B51</f>
        <v>9.4030000000000005</v>
      </c>
      <c r="C51" s="8">
        <f>EU!C51+UK!C51</f>
        <v>8.8292348979392159</v>
      </c>
      <c r="D51" s="8">
        <f>EU!D51+UK!D51</f>
        <v>51.397069999999999</v>
      </c>
      <c r="E51" s="8">
        <f>EU!E51+UK!E51</f>
        <v>42.567835102060783</v>
      </c>
      <c r="F51" s="8">
        <v>-10.749205</v>
      </c>
      <c r="G51" s="8"/>
      <c r="H51" s="13">
        <f>EU!H51+UK!D51</f>
        <v>51.799388816613927</v>
      </c>
    </row>
    <row r="52" spans="1:8" x14ac:dyDescent="0.3">
      <c r="A52" s="1" t="s">
        <v>50</v>
      </c>
      <c r="B52" s="8">
        <f>EU!B52+UK!B52</f>
        <v>10.080302</v>
      </c>
      <c r="C52" s="8">
        <f>EU!C52+UK!C52</f>
        <v>8.489414386424821</v>
      </c>
      <c r="D52" s="8">
        <f>EU!D52+UK!D52</f>
        <v>46.909779999999998</v>
      </c>
      <c r="E52" s="8">
        <f>EU!E52+UK!E52</f>
        <v>38.420365613575179</v>
      </c>
      <c r="F52" s="8">
        <v>-0.95928499999999994</v>
      </c>
      <c r="G52" s="8">
        <v>0.371367</v>
      </c>
      <c r="H52" s="13">
        <f>EU!H52+UK!D52</f>
        <v>47.272274944509249</v>
      </c>
    </row>
    <row r="53" spans="1:8" x14ac:dyDescent="0.3">
      <c r="A53" s="1" t="s">
        <v>51</v>
      </c>
      <c r="B53" s="8">
        <f>EU!B53+UK!B53</f>
        <v>9.0579999999999998</v>
      </c>
      <c r="C53" s="8">
        <f>EU!C53+UK!C53</f>
        <v>7.4613542396392232</v>
      </c>
      <c r="D53" s="8">
        <f>EU!D53+UK!D53</f>
        <v>36.686605</v>
      </c>
      <c r="E53" s="8">
        <f>EU!E53+UK!E53</f>
        <v>29.225250760360773</v>
      </c>
      <c r="F53" s="8">
        <v>7.9199120000000001</v>
      </c>
      <c r="G53" s="8"/>
      <c r="H53" s="13">
        <f>EU!H53+UK!D53</f>
        <v>36.966749300359169</v>
      </c>
    </row>
    <row r="54" spans="1:8" x14ac:dyDescent="0.3">
      <c r="A54" s="1" t="s">
        <v>52</v>
      </c>
      <c r="B54" s="8">
        <f>EU!B54+UK!B54</f>
        <v>9.4340000000000011</v>
      </c>
      <c r="C54" s="8">
        <f>EU!C54+UK!C54</f>
        <v>8.1777643786412995</v>
      </c>
      <c r="D54" s="8">
        <f>EU!D54+UK!D54</f>
        <v>33.258010999999996</v>
      </c>
      <c r="E54" s="8">
        <f>EU!E54+UK!E54</f>
        <v>25.080246621358697</v>
      </c>
      <c r="F54" s="8">
        <v>11.754903000000001</v>
      </c>
      <c r="G54" s="8"/>
      <c r="H54" s="13">
        <f>EU!H54+UK!D54</f>
        <v>33.515402777246223</v>
      </c>
    </row>
    <row r="55" spans="1:8" x14ac:dyDescent="0.3">
      <c r="A55" s="1" t="s">
        <v>53</v>
      </c>
      <c r="B55" s="8">
        <f>EU!B55+UK!B55</f>
        <v>8.4879999999999995</v>
      </c>
      <c r="C55" s="8">
        <f>EU!C55+UK!C55</f>
        <v>8.1101749236977252</v>
      </c>
      <c r="D55" s="8">
        <f>EU!D55+UK!D55</f>
        <v>26.013857999999999</v>
      </c>
      <c r="E55" s="8">
        <f>EU!E55+UK!E55</f>
        <v>17.903683076302272</v>
      </c>
      <c r="F55" s="8">
        <v>14.133253</v>
      </c>
      <c r="G55" s="8"/>
      <c r="H55" s="13">
        <f>EU!H55+UK!D55</f>
        <v>26.212119091652809</v>
      </c>
    </row>
    <row r="56" spans="1:8" x14ac:dyDescent="0.3">
      <c r="A56" s="1" t="s">
        <v>54</v>
      </c>
      <c r="B56" s="8">
        <f>EU!B56+UK!B56</f>
        <v>8.7490000000000006</v>
      </c>
      <c r="C56" s="8">
        <f>EU!C56+UK!C56</f>
        <v>9.3442794997993914</v>
      </c>
      <c r="D56" s="8">
        <f>EU!D56+UK!D56</f>
        <v>28.906601999999999</v>
      </c>
      <c r="E56" s="8">
        <f>EU!E56+UK!E56</f>
        <v>19.562322500200608</v>
      </c>
      <c r="F56" s="8">
        <v>10.236906000000001</v>
      </c>
      <c r="G56" s="8"/>
      <c r="H56" s="13">
        <f>EU!H56+UK!D56</f>
        <v>29.135264229749183</v>
      </c>
    </row>
    <row r="57" spans="1:8" x14ac:dyDescent="0.3">
      <c r="A57" s="1" t="s">
        <v>55</v>
      </c>
      <c r="B57" s="8">
        <f>EU!B57+UK!B57</f>
        <v>8.5540000000000003</v>
      </c>
      <c r="C57" s="8">
        <f>EU!C57+UK!C57</f>
        <v>8.0479836462968848</v>
      </c>
      <c r="D57" s="8">
        <f>EU!D57+UK!D57</f>
        <v>26.047241999999997</v>
      </c>
      <c r="E57" s="8">
        <f>EU!E57+UK!E57</f>
        <v>17.999258353703112</v>
      </c>
      <c r="F57" s="8">
        <v>9.9188340000000004</v>
      </c>
      <c r="G57" s="8"/>
      <c r="H57" s="13">
        <f>EU!H57+UK!D57</f>
        <v>26.253691498728518</v>
      </c>
    </row>
    <row r="58" spans="1:8" x14ac:dyDescent="0.3">
      <c r="A58" s="1" t="s">
        <v>56</v>
      </c>
      <c r="B58" s="8">
        <f>EU!B58+UK!B58</f>
        <v>8.15</v>
      </c>
      <c r="C58" s="8">
        <f>EU!C58+UK!C58</f>
        <v>8.5719760050739957</v>
      </c>
      <c r="D58" s="8">
        <f>EU!D58+UK!D58</f>
        <v>29.333591000000002</v>
      </c>
      <c r="E58" s="8">
        <f>EU!E58+UK!E58</f>
        <v>20.761614994926006</v>
      </c>
      <c r="F58" s="8">
        <v>5.4530810000000001</v>
      </c>
      <c r="G58" s="8"/>
      <c r="H58" s="13">
        <f>EU!H58+UK!D58</f>
        <v>29.567119543427349</v>
      </c>
    </row>
    <row r="59" spans="1:8" x14ac:dyDescent="0.3">
      <c r="A59" s="1" t="s">
        <v>57</v>
      </c>
      <c r="B59" s="8">
        <f>EU!B59+UK!B59</f>
        <v>8.9160000000000004</v>
      </c>
      <c r="C59" s="8">
        <f>EU!C59+UK!C59</f>
        <v>9.5540016870327449</v>
      </c>
      <c r="D59" s="8">
        <f>EU!D59+UK!D59</f>
        <v>38.699592000000003</v>
      </c>
      <c r="E59" s="8">
        <f>EU!E59+UK!E59</f>
        <v>29.145590312967258</v>
      </c>
      <c r="F59" s="8">
        <v>1.7268540000000001</v>
      </c>
      <c r="G59" s="8"/>
      <c r="H59" s="13">
        <f>EU!H59+UK!D59</f>
        <v>38.994984282199752</v>
      </c>
    </row>
    <row r="60" spans="1:8" x14ac:dyDescent="0.3">
      <c r="A60" s="1" t="s">
        <v>58</v>
      </c>
      <c r="B60" s="8">
        <f>EU!B60+UK!B60</f>
        <v>9.0636879999999991</v>
      </c>
      <c r="C60" s="8">
        <f>EU!C60+UK!C60</f>
        <v>10.400069278164535</v>
      </c>
      <c r="D60" s="8">
        <f>EU!D60+UK!D60</f>
        <v>49.499192000000001</v>
      </c>
      <c r="E60" s="8">
        <f>EU!E60+UK!E60</f>
        <v>39.099122721835471</v>
      </c>
      <c r="F60" s="8">
        <v>-3.7422520000000001</v>
      </c>
      <c r="G60" s="8">
        <v>0.36597500000000005</v>
      </c>
      <c r="H60" s="13">
        <f>EU!H60+UK!D60</f>
        <v>49.877411603348584</v>
      </c>
    </row>
    <row r="61" spans="1:8" x14ac:dyDescent="0.3">
      <c r="A61" s="1" t="s">
        <v>59</v>
      </c>
      <c r="B61" s="8">
        <f>EU!B61+UK!B61</f>
        <v>9.3539999999999992</v>
      </c>
      <c r="C61" s="8">
        <f>EU!C61+UK!C61</f>
        <v>9.8733426049312314</v>
      </c>
      <c r="D61" s="8">
        <f>EU!D61+UK!D61</f>
        <v>54.214967999999999</v>
      </c>
      <c r="E61" s="8">
        <f>EU!E61+UK!E61</f>
        <v>44.341625395068768</v>
      </c>
      <c r="F61" s="8">
        <v>-6.6445339999999993</v>
      </c>
      <c r="G61" s="8"/>
      <c r="H61" s="13">
        <f>EU!H61+UK!D61</f>
        <v>54.635101587067091</v>
      </c>
    </row>
    <row r="62" spans="1:8" x14ac:dyDescent="0.3">
      <c r="A62" s="1" t="s">
        <v>60</v>
      </c>
      <c r="B62" s="8">
        <f>EU!B62+UK!B62</f>
        <v>9.3879999999999999</v>
      </c>
      <c r="C62" s="8">
        <f>EU!C62+UK!C62</f>
        <v>11.842614999999999</v>
      </c>
      <c r="D62" s="8">
        <f>EU!D62+UK!D62</f>
        <v>59.248794000000004</v>
      </c>
      <c r="E62" s="8">
        <f>EU!E62+UK!E62</f>
        <v>47.406179000000002</v>
      </c>
      <c r="F62" s="8"/>
      <c r="G62" s="8"/>
      <c r="H62" s="13">
        <f>EU!H62+UK!D62</f>
        <v>59.607446950714746</v>
      </c>
    </row>
    <row r="63" spans="1:8" x14ac:dyDescent="0.3">
      <c r="A63" s="1" t="s">
        <v>61</v>
      </c>
      <c r="B63" s="8">
        <f>EU!B63+UK!B63</f>
        <v>8.2620000000000005</v>
      </c>
      <c r="C63" s="8">
        <f>EU!C63+UK!C63</f>
        <v>9.0796939999999999</v>
      </c>
      <c r="D63" s="8">
        <f>EU!D63+UK!D63</f>
        <v>49.820593000000002</v>
      </c>
      <c r="E63" s="8">
        <f>EU!E63+UK!E63</f>
        <v>40.740898999999999</v>
      </c>
      <c r="F63" s="8"/>
      <c r="G63" s="8"/>
      <c r="H63" s="13">
        <f>EU!H63+UK!D63</f>
        <v>50.115358708317295</v>
      </c>
    </row>
    <row r="64" spans="1:8" x14ac:dyDescent="0.3">
      <c r="A64" s="1" t="s">
        <v>62</v>
      </c>
      <c r="B64" s="8">
        <f>EU!B64+UK!B64</f>
        <v>8.23</v>
      </c>
      <c r="C64" s="8">
        <f>EU!C64+UK!C64</f>
        <v>8.7016000000000009</v>
      </c>
      <c r="D64" s="8">
        <f>EU!D64+UK!D64</f>
        <v>47.683110999999997</v>
      </c>
      <c r="E64" s="8">
        <f>EU!E64+UK!E64</f>
        <v>38.981510999999998</v>
      </c>
      <c r="F64" s="8"/>
      <c r="G64" s="8"/>
      <c r="H64" s="13">
        <f>EU!H64+UK!D64</f>
        <v>47.962807292915087</v>
      </c>
    </row>
    <row r="65" spans="1:8" x14ac:dyDescent="0.3">
      <c r="A65" s="1" t="s">
        <v>63</v>
      </c>
      <c r="B65" s="8">
        <f>EU!B65+UK!B65</f>
        <v>8.3629999999999995</v>
      </c>
      <c r="C65" s="8">
        <f>EU!C65+UK!C65</f>
        <v>6.6480420000000002</v>
      </c>
      <c r="D65" s="8">
        <f>EU!D65+UK!D65</f>
        <v>30.466971000000001</v>
      </c>
      <c r="E65" s="8">
        <f>EU!E65+UK!E65</f>
        <v>23.818929000000001</v>
      </c>
      <c r="F65" s="8"/>
      <c r="G65" s="8"/>
      <c r="H65" s="13">
        <f>EU!H65+UK!D65</f>
        <v>30.645136629917154</v>
      </c>
    </row>
    <row r="66" spans="1:8" x14ac:dyDescent="0.3">
      <c r="A66" s="1" t="s">
        <v>64</v>
      </c>
      <c r="B66" s="8">
        <f>EU!B66+UK!B66</f>
        <v>8.6</v>
      </c>
      <c r="C66" s="8">
        <f>EU!C66+UK!C66</f>
        <v>6.7669790000000001</v>
      </c>
      <c r="D66" s="8">
        <f>EU!D66+UK!D66</f>
        <v>28.096816</v>
      </c>
      <c r="E66" s="8">
        <f>EU!E66+UK!E66</f>
        <v>21.329836999999998</v>
      </c>
      <c r="F66" s="8"/>
      <c r="G66" s="8"/>
      <c r="H66" s="13">
        <f>EU!H66+UK!D66</f>
        <v>28.263691616233505</v>
      </c>
    </row>
    <row r="67" spans="1:8" x14ac:dyDescent="0.3">
      <c r="A67" s="1" t="s">
        <v>65</v>
      </c>
      <c r="B67" s="8">
        <f>EU!B67+UK!B67</f>
        <v>7.3339999999999996</v>
      </c>
      <c r="C67" s="8">
        <f>EU!C67+UK!C67</f>
        <v>8.371773000000001</v>
      </c>
      <c r="D67" s="8">
        <f>EU!D67+UK!D67</f>
        <v>26.365217000000001</v>
      </c>
      <c r="E67" s="8">
        <f>EU!E67+UK!E67</f>
        <v>17.993444</v>
      </c>
      <c r="F67" s="8"/>
      <c r="G67" s="8"/>
      <c r="H67" s="13">
        <f>EU!H67+UK!D67</f>
        <v>26.522635064563651</v>
      </c>
    </row>
    <row r="68" spans="1:8" x14ac:dyDescent="0.3">
      <c r="A68" s="1" t="s">
        <v>66</v>
      </c>
      <c r="B68" s="8">
        <f>EU!B68+UK!B68</f>
        <v>7.2850000000000001</v>
      </c>
      <c r="C68" s="8">
        <f>EU!C68+UK!C68</f>
        <v>10.200019000000001</v>
      </c>
      <c r="D68" s="8">
        <f>EU!D68+UK!D68</f>
        <v>27.991234000000002</v>
      </c>
      <c r="E68" s="8">
        <f>EU!E68+UK!E68</f>
        <v>17.791215000000001</v>
      </c>
      <c r="F68" s="8"/>
      <c r="G68" s="8"/>
      <c r="H68" s="13">
        <f>EU!H68+UK!D68</f>
        <v>28.160364703195562</v>
      </c>
    </row>
    <row r="69" spans="1:8" x14ac:dyDescent="0.3">
      <c r="A69" s="1" t="s">
        <v>67</v>
      </c>
      <c r="B69" s="8">
        <f>EU!B69+UK!B69</f>
        <v>6.6059999999999999</v>
      </c>
      <c r="C69" s="8">
        <f>EU!C69+UK!C69</f>
        <v>10.066886999999999</v>
      </c>
      <c r="D69" s="8">
        <f>EU!D69+UK!D69</f>
        <v>26.603946999999998</v>
      </c>
      <c r="E69" s="8">
        <f>EU!E69+UK!E69</f>
        <v>16.53706</v>
      </c>
      <c r="F69" s="8"/>
      <c r="G69" s="8"/>
      <c r="H69" s="13">
        <f>EU!H69+UK!D69</f>
        <v>26.764257753081399</v>
      </c>
    </row>
    <row r="70" spans="1:8" x14ac:dyDescent="0.3">
      <c r="A70" s="1" t="s">
        <v>68</v>
      </c>
      <c r="B70" s="8">
        <f>EU!B70+UK!B70</f>
        <v>6.1470000000000002</v>
      </c>
      <c r="C70" s="8">
        <f>EU!C70+UK!C70</f>
        <v>9.5404070000000001</v>
      </c>
      <c r="D70" s="8">
        <f>EU!D70+UK!D70</f>
        <v>29.316634999999998</v>
      </c>
      <c r="E70" s="8">
        <f>EU!E70+UK!E70</f>
        <v>19.776227999999996</v>
      </c>
      <c r="F70" s="8"/>
      <c r="G70" s="8"/>
      <c r="H70" s="13">
        <f>EU!H70+UK!D70</f>
        <v>29.492800281409927</v>
      </c>
    </row>
    <row r="71" spans="1:8" x14ac:dyDescent="0.3">
      <c r="A71" s="1" t="s">
        <v>69</v>
      </c>
      <c r="B71" s="8">
        <f>EU!B71+UK!B71</f>
        <v>7.8140000000000001</v>
      </c>
      <c r="C71" s="8">
        <f>EU!C71+UK!C71</f>
        <v>8.7535229999999995</v>
      </c>
      <c r="D71" s="8">
        <f>EU!D71+UK!D71</f>
        <v>38.801945999999994</v>
      </c>
      <c r="E71" s="8">
        <f>EU!E71+UK!E71</f>
        <v>30.048422999999996</v>
      </c>
      <c r="F71" s="8"/>
      <c r="G71" s="8"/>
      <c r="H71" s="13">
        <f>EU!H71+UK!D71</f>
        <v>39.030074982180587</v>
      </c>
    </row>
    <row r="72" spans="1:8" x14ac:dyDescent="0.3">
      <c r="A72" s="1" t="s">
        <v>70</v>
      </c>
      <c r="B72" s="8">
        <f>EU!B72+UK!B72</f>
        <v>7.69</v>
      </c>
      <c r="C72" s="8">
        <f>EU!C72+UK!C72</f>
        <v>10.258523</v>
      </c>
      <c r="D72" s="8">
        <f>EU!D72+UK!D72</f>
        <v>47.463760000000001</v>
      </c>
      <c r="E72" s="8">
        <f>EU!E72+UK!E72</f>
        <v>37.205236999999997</v>
      </c>
      <c r="F72" s="8"/>
      <c r="G72" s="8"/>
      <c r="H72" s="13">
        <f>EU!H72+UK!D72</f>
        <v>47.748233426131719</v>
      </c>
    </row>
    <row r="73" spans="1:8" x14ac:dyDescent="0.3">
      <c r="A73" s="1" t="s">
        <v>71</v>
      </c>
      <c r="B73" s="8">
        <f>EU!B73+UK!B73</f>
        <v>8.202</v>
      </c>
      <c r="C73" s="8">
        <f>EU!C73+UK!C73</f>
        <v>11.531473999999999</v>
      </c>
      <c r="D73" s="8">
        <f>EU!D73+UK!D73</f>
        <v>57.417784000000005</v>
      </c>
      <c r="E73" s="8">
        <f>EU!E73+UK!E73</f>
        <v>45.886310000000002</v>
      </c>
      <c r="F73" s="8"/>
      <c r="G73" s="8"/>
      <c r="H73" s="13">
        <f>EU!H73+UK!D73</f>
        <v>57.759337591339367</v>
      </c>
    </row>
    <row r="74" spans="1:8" x14ac:dyDescent="0.3">
      <c r="A74" s="1" t="s">
        <v>72</v>
      </c>
      <c r="B74" s="8">
        <f>EU!B74+UK!B74</f>
        <v>8.1941400000000009</v>
      </c>
      <c r="C74" s="8">
        <f>EU!C74+UK!C74</f>
        <v>11.854254999999998</v>
      </c>
      <c r="D74" s="8">
        <f>EU!D74+UK!D74</f>
        <v>64.304962000000003</v>
      </c>
      <c r="E74" s="8">
        <f>EU!E74+UK!E74</f>
        <v>52.450707000000001</v>
      </c>
      <c r="F74" s="8"/>
      <c r="G74" s="8"/>
      <c r="H74" s="13">
        <f>EU!H74+UK!D74</f>
        <v>65.028787898483742</v>
      </c>
    </row>
    <row r="75" spans="1:8" x14ac:dyDescent="0.3">
      <c r="A75" s="1" t="s">
        <v>73</v>
      </c>
      <c r="B75" s="8">
        <f>EU!B75+UK!B75</f>
        <v>6.9797340000000005</v>
      </c>
      <c r="C75" s="8">
        <f>EU!C75+UK!C75</f>
        <v>9.5112050000000004</v>
      </c>
      <c r="D75" s="8">
        <f>EU!D75+UK!D75</f>
        <v>53.064249999999994</v>
      </c>
      <c r="E75" s="8">
        <f>EU!E75+UK!E75</f>
        <v>43.553044999999997</v>
      </c>
      <c r="F75" s="8"/>
      <c r="G75" s="8"/>
      <c r="H75" s="13">
        <f>EU!H75+UK!D75</f>
        <v>53.662522390288295</v>
      </c>
    </row>
    <row r="76" spans="1:8" x14ac:dyDescent="0.3">
      <c r="A76" s="1" t="s">
        <v>74</v>
      </c>
      <c r="B76" s="8">
        <f>EU!B76+UK!B76</f>
        <v>7.9913149999999993</v>
      </c>
      <c r="C76" s="8">
        <f>EU!C76+UK!C76</f>
        <v>10.337118</v>
      </c>
      <c r="D76" s="8">
        <f>EU!D76+UK!D76</f>
        <v>51.203749999999999</v>
      </c>
      <c r="E76" s="8">
        <f>EU!E76+UK!E76</f>
        <v>40.866631999999996</v>
      </c>
      <c r="F76" s="8">
        <v>-7.1994870000000004</v>
      </c>
      <c r="G76" s="8">
        <v>0.38908199999999998</v>
      </c>
      <c r="H76" s="13">
        <f>EU!H76+UK!D76</f>
        <v>51.780331928842394</v>
      </c>
    </row>
    <row r="77" spans="1:8" x14ac:dyDescent="0.3">
      <c r="A77" s="1" t="s">
        <v>75</v>
      </c>
      <c r="B77" s="8">
        <f>EU!B77+UK!B77</f>
        <v>6.8542129999999997</v>
      </c>
      <c r="C77" s="8">
        <f>EU!C77+UK!C77</f>
        <v>9.8915769999999998</v>
      </c>
      <c r="D77" s="8">
        <f>EU!D77+UK!D77</f>
        <v>43.182313999999998</v>
      </c>
      <c r="E77" s="8">
        <f>EU!E77+UK!E77</f>
        <v>33.290737</v>
      </c>
      <c r="F77" s="8">
        <v>0.102145</v>
      </c>
      <c r="G77" s="8">
        <v>0.389569</v>
      </c>
      <c r="H77" s="13">
        <f>EU!H77+UK!D77</f>
        <v>43.662382586334395</v>
      </c>
    </row>
    <row r="78" spans="1:8" x14ac:dyDescent="0.3">
      <c r="A78" s="1" t="s">
        <v>76</v>
      </c>
      <c r="B78" s="8">
        <f>EU!B78+UK!B78</f>
        <v>6.7086290000000002</v>
      </c>
      <c r="C78" s="8">
        <f>EU!C78+UK!C78</f>
        <v>6.9437239999999996</v>
      </c>
      <c r="D78" s="8">
        <f>EU!D78+UK!D78</f>
        <v>32.696103999999998</v>
      </c>
      <c r="E78" s="8">
        <f>EU!E78+UK!E78</f>
        <v>25.752379999999999</v>
      </c>
      <c r="F78" s="8">
        <v>8.2404489999999999</v>
      </c>
      <c r="G78" s="8">
        <v>0.38240299999999999</v>
      </c>
      <c r="H78" s="13">
        <f>EU!H78+UK!D78</f>
        <v>33.05324602362743</v>
      </c>
    </row>
    <row r="79" spans="1:8" x14ac:dyDescent="0.3">
      <c r="A79" s="1" t="s">
        <v>77</v>
      </c>
      <c r="B79" s="8">
        <f>EU!B79+UK!B79</f>
        <v>5.2215689999999997</v>
      </c>
      <c r="C79" s="8">
        <f>EU!C79+UK!C79</f>
        <v>7.709560999999999</v>
      </c>
      <c r="D79" s="8">
        <f>EU!D79+UK!D79</f>
        <v>25.589171999999998</v>
      </c>
      <c r="E79" s="8">
        <f>EU!E79+UK!E79</f>
        <v>17.879611000000001</v>
      </c>
      <c r="F79" s="8">
        <v>10.613543999999999</v>
      </c>
      <c r="G79" s="8">
        <v>0.31312299999999998</v>
      </c>
      <c r="H79" s="13">
        <f>EU!H79+UK!D79</f>
        <v>25.882453401516031</v>
      </c>
    </row>
    <row r="80" spans="1:8" x14ac:dyDescent="0.3">
      <c r="A80" s="1" t="s">
        <v>78</v>
      </c>
      <c r="B80" s="8">
        <f>EU!B80+UK!B80</f>
        <v>6.1487409999999993</v>
      </c>
      <c r="C80" s="8">
        <f>EU!C80+UK!C80</f>
        <v>8.1733450000000012</v>
      </c>
      <c r="D80" s="8">
        <f>EU!D80+UK!D80</f>
        <v>25.271940999999998</v>
      </c>
      <c r="E80" s="8">
        <f>EU!E80+UK!E80</f>
        <v>17.098595999999997</v>
      </c>
      <c r="F80" s="8">
        <v>9.3332409999999992</v>
      </c>
      <c r="G80" s="8">
        <v>0.31722400000000001</v>
      </c>
      <c r="H80" s="13">
        <f>EU!H80+UK!D80</f>
        <v>25.559831790447127</v>
      </c>
    </row>
    <row r="81" spans="1:8" x14ac:dyDescent="0.3">
      <c r="A81" s="1" t="s">
        <v>79</v>
      </c>
      <c r="B81" s="8">
        <f>EU!B81+UK!B81</f>
        <v>6.7602220000000006</v>
      </c>
      <c r="C81" s="8">
        <f>EU!C81+UK!C81</f>
        <v>6.8320650000000001</v>
      </c>
      <c r="D81" s="8">
        <f>EU!D81+UK!D81</f>
        <v>23.607652999999999</v>
      </c>
      <c r="E81" s="8">
        <f>EU!E81+UK!E81</f>
        <v>16.775587999999996</v>
      </c>
      <c r="F81" s="8">
        <v>11.176629999999999</v>
      </c>
      <c r="G81" s="8">
        <v>0.29214000000000001</v>
      </c>
      <c r="H81" s="13">
        <f>EU!H81+UK!D81</f>
        <v>23.874150271084197</v>
      </c>
    </row>
    <row r="82" spans="1:8" x14ac:dyDescent="0.3">
      <c r="A82" s="1" t="s">
        <v>80</v>
      </c>
      <c r="B82" s="8">
        <f>EU!B82+UK!B82</f>
        <v>6.5097529999999999</v>
      </c>
      <c r="C82" s="8">
        <f>EU!C82+UK!C82</f>
        <v>8.3083960000000001</v>
      </c>
      <c r="D82" s="8">
        <f>EU!D82+UK!D82</f>
        <v>26.982624999999999</v>
      </c>
      <c r="E82" s="8">
        <f>EU!E82+UK!E82</f>
        <v>18.674229</v>
      </c>
      <c r="F82" s="8">
        <v>7.4984109999999999</v>
      </c>
      <c r="G82" s="8">
        <v>0.29948000000000002</v>
      </c>
      <c r="H82" s="13">
        <f>EU!H82+UK!D82</f>
        <v>27.288826470259199</v>
      </c>
    </row>
    <row r="83" spans="1:8" x14ac:dyDescent="0.3">
      <c r="A83" s="1" t="s">
        <v>81</v>
      </c>
      <c r="B83" s="8">
        <f>EU!B83+UK!B83</f>
        <v>6.8726500000000001</v>
      </c>
      <c r="C83" s="8">
        <f>EU!C83+UK!C83</f>
        <v>8.0091339999999995</v>
      </c>
      <c r="D83" s="8">
        <f>EU!D83+UK!D83</f>
        <v>35.615608000000002</v>
      </c>
      <c r="E83" s="8">
        <f>EU!E83+UK!E83</f>
        <v>27.606473999999999</v>
      </c>
      <c r="F83" s="8">
        <v>2.9155720000000001</v>
      </c>
      <c r="G83" s="8">
        <v>0.36251899999999998</v>
      </c>
      <c r="H83" s="13">
        <f>EU!H83+UK!D83</f>
        <v>36.021685629719634</v>
      </c>
    </row>
    <row r="84" spans="1:8" x14ac:dyDescent="0.3">
      <c r="A84" s="1" t="s">
        <v>82</v>
      </c>
      <c r="B84" s="8">
        <f>EU!B84+UK!B84</f>
        <v>7.2469960000000011</v>
      </c>
      <c r="C84" s="8">
        <f>EU!C84+UK!C84</f>
        <v>11.351125</v>
      </c>
      <c r="D84" s="8">
        <f>EU!D84+UK!D84</f>
        <v>49.789036999999993</v>
      </c>
      <c r="E84" s="8">
        <f>EU!E84+UK!E84</f>
        <v>38.437911999999997</v>
      </c>
      <c r="F84" s="8">
        <v>-10.66967</v>
      </c>
      <c r="G84" s="8">
        <v>0.37223600000000001</v>
      </c>
      <c r="H84" s="13">
        <f>EU!H84+UK!D84</f>
        <v>50.353149914748947</v>
      </c>
    </row>
    <row r="85" spans="1:8" x14ac:dyDescent="0.3">
      <c r="A85" s="1" t="s">
        <v>83</v>
      </c>
      <c r="B85" s="8">
        <f>EU!B85+UK!B85</f>
        <v>7.515327000000001</v>
      </c>
      <c r="C85" s="8">
        <f>EU!C85+UK!C85</f>
        <v>11.65741</v>
      </c>
      <c r="D85" s="8">
        <f>EU!D85+UK!D85</f>
        <v>57.409345000000002</v>
      </c>
      <c r="E85" s="8">
        <f>EU!E85+UK!E85</f>
        <v>45.751935000000003</v>
      </c>
      <c r="F85" s="8">
        <v>-15.211292</v>
      </c>
      <c r="G85" s="8">
        <v>0.37725900000000001</v>
      </c>
      <c r="H85" s="13">
        <f>EU!H85+UK!D85</f>
        <v>58.063191694648545</v>
      </c>
    </row>
    <row r="86" spans="1:8" x14ac:dyDescent="0.3">
      <c r="A86" s="1" t="s">
        <v>84</v>
      </c>
      <c r="B86" s="8">
        <f>EU!B86+UK!B86</f>
        <v>8.0617250000000009</v>
      </c>
      <c r="C86" s="8">
        <f>EU!C86+UK!C86</f>
        <v>11.757682000000001</v>
      </c>
      <c r="D86" s="8">
        <f>EU!D86+UK!D86</f>
        <v>59.427833</v>
      </c>
      <c r="E86" s="8">
        <f>EU!E86+UK!E86</f>
        <v>47.670151000000004</v>
      </c>
      <c r="F86" s="8">
        <v>-16.824099999999998</v>
      </c>
      <c r="G86" s="8">
        <v>0.35438400000000003</v>
      </c>
      <c r="H86" s="13">
        <f>EU!H86+UK!D86</f>
        <v>60.72007657782229</v>
      </c>
    </row>
    <row r="87" spans="1:8" x14ac:dyDescent="0.3">
      <c r="A87" s="1" t="s">
        <v>85</v>
      </c>
      <c r="B87" s="8">
        <f>EU!B87+UK!B87</f>
        <v>6.7780000000000005</v>
      </c>
      <c r="C87" s="8">
        <f>EU!C87+UK!C87</f>
        <v>8.5089380000000006</v>
      </c>
      <c r="D87" s="8">
        <f>EU!D87+UK!D87</f>
        <v>47.350223999999997</v>
      </c>
      <c r="E87" s="8">
        <f>EU!E87+UK!E87</f>
        <v>38.841286000000004</v>
      </c>
      <c r="F87" s="8">
        <v>-8.8891340000000003</v>
      </c>
      <c r="G87" s="8">
        <v>0.30780399999999997</v>
      </c>
      <c r="H87" s="13">
        <f>EU!H87+UK!D87</f>
        <v>48.392841773312696</v>
      </c>
    </row>
    <row r="88" spans="1:8" x14ac:dyDescent="0.3">
      <c r="A88" s="1" t="s">
        <v>86</v>
      </c>
      <c r="B88" s="8">
        <f>EU!B88+UK!B88</f>
        <v>7.3559999999999999</v>
      </c>
      <c r="C88" s="8">
        <f>EU!C88+UK!C88</f>
        <v>10.204243000000002</v>
      </c>
      <c r="D88" s="8">
        <f>EU!D88+UK!D88</f>
        <v>46.821690999999994</v>
      </c>
      <c r="E88" s="8">
        <f>EU!E88+UK!E88</f>
        <v>36.617447999999996</v>
      </c>
      <c r="F88" s="8">
        <v>-2.8098839999999998</v>
      </c>
      <c r="G88" s="8">
        <v>0.33343</v>
      </c>
      <c r="H88" s="13">
        <f>EU!H88+UK!D88</f>
        <v>47.843341908653095</v>
      </c>
    </row>
    <row r="89" spans="1:8" x14ac:dyDescent="0.3">
      <c r="A89" s="1" t="s">
        <v>87</v>
      </c>
      <c r="B89" s="8">
        <f>EU!B89+UK!B89</f>
        <v>7.5419999999999998</v>
      </c>
      <c r="C89" s="8">
        <f>EU!C89+UK!C89</f>
        <v>8.1975759999999998</v>
      </c>
      <c r="D89" s="8">
        <f>EU!D89+UK!D89</f>
        <v>35.631615000000004</v>
      </c>
      <c r="E89" s="8">
        <f>EU!E89+UK!E89</f>
        <v>27.434039000000002</v>
      </c>
      <c r="F89" s="8">
        <v>7.3047839999999997</v>
      </c>
      <c r="G89" s="8">
        <v>0.30418299999999998</v>
      </c>
      <c r="H89" s="13">
        <f>EU!H89+UK!D89</f>
        <v>36.385094589006975</v>
      </c>
    </row>
    <row r="90" spans="1:8" x14ac:dyDescent="0.3">
      <c r="A90" s="1" t="s">
        <v>88</v>
      </c>
      <c r="B90" s="8">
        <f>EU!B90+UK!B90</f>
        <v>7.12</v>
      </c>
      <c r="C90" s="8">
        <f>EU!C90+UK!C90</f>
        <v>7.6011189999999997</v>
      </c>
      <c r="D90" s="8">
        <f>EU!D90+UK!D90</f>
        <v>26.501010999999998</v>
      </c>
      <c r="E90" s="8">
        <f>EU!E90+UK!E90</f>
        <v>18.899891999999998</v>
      </c>
      <c r="F90" s="8">
        <v>14.975095</v>
      </c>
      <c r="G90" s="8">
        <v>0.29905000000000004</v>
      </c>
      <c r="H90" s="13">
        <f>EU!H90+UK!D90</f>
        <v>27.057119070196407</v>
      </c>
    </row>
    <row r="91" spans="1:8" x14ac:dyDescent="0.3">
      <c r="A91" s="1" t="s">
        <v>89</v>
      </c>
      <c r="B91" s="8">
        <f>EU!B91+UK!B91</f>
        <v>6.4009999999999998</v>
      </c>
      <c r="C91" s="8">
        <f>EU!C91+UK!C91</f>
        <v>8.1150120000000001</v>
      </c>
      <c r="D91" s="8">
        <f>EU!D91+UK!D91</f>
        <v>24.030343999999999</v>
      </c>
      <c r="E91" s="8">
        <f>EU!E91+UK!E91</f>
        <v>15.915331999999999</v>
      </c>
      <c r="F91" s="8">
        <v>11.737299</v>
      </c>
      <c r="G91" s="8">
        <v>0.29536000000000001</v>
      </c>
      <c r="H91" s="13">
        <f>EU!H91+UK!D91</f>
        <v>24.546330479004432</v>
      </c>
    </row>
    <row r="92" spans="1:8" x14ac:dyDescent="0.3">
      <c r="A92" s="1" t="s">
        <v>90</v>
      </c>
      <c r="B92" s="8">
        <f>EU!B92+UK!B92</f>
        <v>6.74</v>
      </c>
      <c r="C92" s="8">
        <f>EU!C92+UK!C92</f>
        <v>9.1091760000000015</v>
      </c>
      <c r="D92" s="8">
        <f>EU!D92+UK!D92</f>
        <v>24.578202000000001</v>
      </c>
      <c r="E92" s="8">
        <f>EU!E92+UK!E92</f>
        <v>15.469026000000001</v>
      </c>
      <c r="F92" s="8">
        <v>11.828556000000001</v>
      </c>
      <c r="G92" s="8">
        <v>0.301591</v>
      </c>
      <c r="H92" s="13">
        <f>EU!H92+UK!D92</f>
        <v>25.103889167229323</v>
      </c>
    </row>
    <row r="93" spans="1:8" x14ac:dyDescent="0.3">
      <c r="A93" s="1" t="s">
        <v>91</v>
      </c>
      <c r="B93" s="8">
        <f>EU!B93+UK!B93</f>
        <v>6.4179999999999993</v>
      </c>
      <c r="C93" s="8">
        <f>EU!C93+UK!C93</f>
        <v>8.9078130000000009</v>
      </c>
      <c r="D93" s="8">
        <f>EU!D93+UK!D93</f>
        <v>22.345086999999999</v>
      </c>
      <c r="E93" s="8">
        <f>EU!E93+UK!E93</f>
        <v>13.437273999999999</v>
      </c>
      <c r="F93" s="8">
        <v>12.980949000000001</v>
      </c>
      <c r="G93" s="8">
        <v>0.26595100000000005</v>
      </c>
      <c r="H93" s="13">
        <f>EU!H93+UK!D93</f>
        <v>22.816869628325907</v>
      </c>
    </row>
    <row r="94" spans="1:8" x14ac:dyDescent="0.3">
      <c r="A94" s="1" t="s">
        <v>92</v>
      </c>
      <c r="B94" s="8">
        <f>EU!B94+UK!B94</f>
        <v>7.133</v>
      </c>
      <c r="C94" s="8">
        <f>EU!C94+UK!C94</f>
        <v>8.1443539999999999</v>
      </c>
      <c r="D94" s="8">
        <f>EU!D94+UK!D94</f>
        <v>24.997579999999999</v>
      </c>
      <c r="E94" s="8">
        <f>EU!E94+UK!E94</f>
        <v>16.853225999999999</v>
      </c>
      <c r="F94" s="8">
        <v>9.3051279999999998</v>
      </c>
      <c r="G94" s="8">
        <v>0.31739800000000001</v>
      </c>
      <c r="H94" s="13">
        <f>EU!H94+UK!D94</f>
        <v>25.526134144321787</v>
      </c>
    </row>
    <row r="95" spans="1:8" x14ac:dyDescent="0.3">
      <c r="A95" s="1" t="s">
        <v>93</v>
      </c>
      <c r="B95" s="8">
        <f>EU!B95+UK!B95</f>
        <v>6.782</v>
      </c>
      <c r="C95" s="8">
        <f>EU!C95+UK!C95</f>
        <v>8.5361969999999996</v>
      </c>
      <c r="D95" s="8">
        <f>EU!D95+UK!D95</f>
        <v>27.992187000000001</v>
      </c>
      <c r="E95" s="8">
        <f>EU!E95+UK!E95</f>
        <v>19.45599</v>
      </c>
      <c r="F95" s="8">
        <v>6.6736570000000004</v>
      </c>
      <c r="G95" s="8">
        <v>0.34126000000000001</v>
      </c>
      <c r="H95" s="13">
        <f>EU!H95+UK!D95</f>
        <v>28.592548317784917</v>
      </c>
    </row>
    <row r="96" spans="1:8" x14ac:dyDescent="0.3">
      <c r="A96" s="1" t="s">
        <v>94</v>
      </c>
      <c r="B96" s="8">
        <f>EU!B96+UK!B96</f>
        <v>7.0339999999999998</v>
      </c>
      <c r="C96" s="8">
        <f>EU!C96+UK!C96</f>
        <v>8.7693630000000002</v>
      </c>
      <c r="D96" s="8">
        <f>EU!D96+UK!D96</f>
        <v>37.636768000000004</v>
      </c>
      <c r="E96" s="8">
        <f>EU!E96+UK!E96</f>
        <v>28.867404999999998</v>
      </c>
      <c r="F96" s="8">
        <v>-2.3080379999999998</v>
      </c>
      <c r="G96" s="8">
        <v>0.34016800000000003</v>
      </c>
      <c r="H96" s="13">
        <f>EU!H96+UK!D96</f>
        <v>38.434371539733135</v>
      </c>
    </row>
    <row r="97" spans="1:8" x14ac:dyDescent="0.3">
      <c r="A97" s="1" t="s">
        <v>95</v>
      </c>
      <c r="B97" s="8">
        <f>EU!B97+UK!B97</f>
        <v>7.4</v>
      </c>
      <c r="C97" s="8">
        <f>EU!C97+UK!C97</f>
        <v>10.134486999999998</v>
      </c>
      <c r="D97" s="8">
        <f>EU!D97+UK!D97</f>
        <v>49.401243000000001</v>
      </c>
      <c r="E97" s="8">
        <f>EU!E97+UK!E97</f>
        <v>39.266756000000001</v>
      </c>
      <c r="F97" s="8">
        <v>-10.018877</v>
      </c>
      <c r="G97" s="8">
        <v>0.367425</v>
      </c>
      <c r="H97" s="13">
        <f>EU!H97+UK!D97</f>
        <v>50.450862804608953</v>
      </c>
    </row>
    <row r="98" spans="1:8" x14ac:dyDescent="0.3">
      <c r="A98" s="1" t="s">
        <v>96</v>
      </c>
      <c r="B98" s="8">
        <f>EU!B98+UK!B98</f>
        <v>7.1903800000000002</v>
      </c>
      <c r="C98" s="8">
        <f>EU!C98+UK!C98</f>
        <v>8.7222139999999992</v>
      </c>
      <c r="D98" s="8">
        <f>EU!D98+UK!D98</f>
        <v>49.345120999999999</v>
      </c>
      <c r="E98" s="8">
        <f>EU!E98+UK!E98</f>
        <v>40.622906999999998</v>
      </c>
      <c r="F98" s="8">
        <v>-13.785504000000001</v>
      </c>
      <c r="G98" s="8">
        <v>0.36401600000000001</v>
      </c>
      <c r="H98" s="13">
        <f>EU!H98+UK!D98</f>
        <v>49.874669955342256</v>
      </c>
    </row>
    <row r="99" spans="1:8" x14ac:dyDescent="0.3">
      <c r="A99" s="1" t="s">
        <v>97</v>
      </c>
      <c r="B99" s="8">
        <f>EU!B99+UK!B99</f>
        <v>6.3419449999999999</v>
      </c>
      <c r="C99" s="8">
        <f>EU!C99+UK!C99</f>
        <v>9.1507500000000004</v>
      </c>
      <c r="D99" s="8">
        <f>EU!D99+UK!D99</f>
        <v>44.366179000000002</v>
      </c>
      <c r="E99" s="8">
        <f>EU!E99+UK!E99</f>
        <v>35.215429</v>
      </c>
      <c r="F99" s="8">
        <v>-11.457457</v>
      </c>
      <c r="G99" s="8">
        <v>0.29239499999999996</v>
      </c>
      <c r="H99" s="13">
        <f>EU!H99+UK!D99</f>
        <v>44.847984717663778</v>
      </c>
    </row>
    <row r="100" spans="1:8" x14ac:dyDescent="0.3">
      <c r="A100" s="1" t="s">
        <v>98</v>
      </c>
      <c r="B100" s="8">
        <f>EU!B100+UK!B100</f>
        <v>6.882382999999999</v>
      </c>
      <c r="C100" s="8">
        <f>EU!C100+UK!C100</f>
        <v>8.4098649999999999</v>
      </c>
      <c r="D100" s="8">
        <f>EU!D100+UK!D100</f>
        <v>41.423980999999998</v>
      </c>
      <c r="E100" s="8">
        <f>EU!E100+UK!E100</f>
        <v>33.014116000000001</v>
      </c>
      <c r="F100" s="8">
        <v>-5.4916719999999994</v>
      </c>
      <c r="G100" s="8">
        <v>0.29780599999999996</v>
      </c>
      <c r="H100" s="13">
        <f>EU!H100+UK!D100</f>
        <v>41.861623241954561</v>
      </c>
    </row>
    <row r="101" spans="1:8" x14ac:dyDescent="0.3">
      <c r="A101" s="1" t="s">
        <v>99</v>
      </c>
      <c r="B101" s="8">
        <f>EU!B101+UK!B101</f>
        <v>6.259836</v>
      </c>
      <c r="C101" s="8">
        <f>EU!C101+UK!C101</f>
        <v>7.8457120000000007</v>
      </c>
      <c r="D101" s="8">
        <f>EU!D101+UK!D101</f>
        <v>32.452489999999997</v>
      </c>
      <c r="E101" s="8">
        <f>EU!E101+UK!E101</f>
        <v>24.606777999999998</v>
      </c>
      <c r="F101" s="8">
        <v>4.7364379999999997</v>
      </c>
      <c r="G101" s="8">
        <v>0.32871600000000001</v>
      </c>
      <c r="H101" s="13">
        <f>EU!H101+UK!D101</f>
        <v>32.79381901899427</v>
      </c>
    </row>
    <row r="102" spans="1:8" x14ac:dyDescent="0.3">
      <c r="A102" s="1" t="s">
        <v>100</v>
      </c>
      <c r="B102" s="8">
        <f>EU!B102+UK!B102</f>
        <v>6.010707</v>
      </c>
      <c r="C102" s="8">
        <f>EU!C102+UK!C102</f>
        <v>6.1263379999999996</v>
      </c>
      <c r="D102" s="8">
        <f>EU!D102+UK!D102</f>
        <v>24.137658000000002</v>
      </c>
      <c r="E102" s="8">
        <f>EU!E102+UK!E102</f>
        <v>18.011319999999998</v>
      </c>
      <c r="F102" s="8">
        <v>9.3994169999999997</v>
      </c>
      <c r="G102" s="8">
        <v>0.28927600000000003</v>
      </c>
      <c r="H102" s="13">
        <f>EU!H102+UK!D102</f>
        <v>24.397487853392043</v>
      </c>
    </row>
    <row r="103" spans="1:8" x14ac:dyDescent="0.3">
      <c r="A103" s="1" t="s">
        <v>101</v>
      </c>
      <c r="B103" s="8">
        <f>EU!B103+UK!B103</f>
        <v>5.7784370000000003</v>
      </c>
      <c r="C103" s="8">
        <f>EU!C103+UK!C103</f>
        <v>6.9315159999999993</v>
      </c>
      <c r="D103" s="8">
        <f>EU!D103+UK!D103</f>
        <v>21.72364</v>
      </c>
      <c r="E103" s="8">
        <f>EU!E103+UK!E103</f>
        <v>14.792124000000001</v>
      </c>
      <c r="F103" s="8">
        <v>8.197756</v>
      </c>
      <c r="G103" s="8">
        <v>0.28595800000000005</v>
      </c>
      <c r="H103" s="13">
        <f>EU!H103+UK!D103</f>
        <v>21.957518191481931</v>
      </c>
    </row>
    <row r="104" spans="1:8" x14ac:dyDescent="0.3">
      <c r="A104" s="1" t="s">
        <v>102</v>
      </c>
      <c r="B104" s="8">
        <f>EU!B104+UK!B104</f>
        <v>5.9184780000000003</v>
      </c>
      <c r="C104" s="8">
        <f>EU!C104+UK!C104</f>
        <v>7.3928630000000002</v>
      </c>
      <c r="D104" s="8">
        <f>EU!D104+UK!D104</f>
        <v>22.055751999999998</v>
      </c>
      <c r="E104" s="8">
        <f>EU!E104+UK!E104</f>
        <v>14.662889</v>
      </c>
      <c r="F104" s="8">
        <v>9.4940580000000008</v>
      </c>
      <c r="G104" s="8">
        <v>0.25997300000000001</v>
      </c>
      <c r="H104" s="13">
        <f>EU!H104+UK!D104</f>
        <v>22.296119482590075</v>
      </c>
    </row>
    <row r="105" spans="1:8" x14ac:dyDescent="0.3">
      <c r="A105" s="1" t="s">
        <v>103</v>
      </c>
      <c r="B105" s="8">
        <f>EU!B105+UK!B105</f>
        <v>5.5359250000000007</v>
      </c>
      <c r="C105" s="8">
        <f>EU!C105+UK!C105</f>
        <v>7.2445690000000003</v>
      </c>
      <c r="D105" s="8">
        <f>EU!D105+UK!D105</f>
        <v>21.279235999999997</v>
      </c>
      <c r="E105" s="8">
        <f>EU!E105+UK!E105</f>
        <v>14.034666999999999</v>
      </c>
      <c r="F105" s="8">
        <v>8.5751410000000003</v>
      </c>
      <c r="G105" s="8">
        <v>0.30071700000000001</v>
      </c>
      <c r="H105" s="13">
        <f>EU!H105+UK!D105</f>
        <v>21.508553444924743</v>
      </c>
    </row>
    <row r="106" spans="1:8" x14ac:dyDescent="0.3">
      <c r="A106" s="1" t="s">
        <v>104</v>
      </c>
      <c r="B106" s="8">
        <f>EU!B106+UK!B106</f>
        <v>5.3773909999999994</v>
      </c>
      <c r="C106" s="8">
        <f>EU!C106+UK!C106</f>
        <v>7.4435150000000005</v>
      </c>
      <c r="D106" s="8">
        <f>EU!D106+UK!D106</f>
        <v>22.794473</v>
      </c>
      <c r="E106" s="8">
        <f>EU!E106+UK!E106</f>
        <v>15.350957999999999</v>
      </c>
      <c r="F106" s="8">
        <v>3.4376690000000001</v>
      </c>
      <c r="G106" s="8">
        <v>0.266092</v>
      </c>
      <c r="H106" s="13">
        <f>EU!H106+UK!D106</f>
        <v>23.041862225925186</v>
      </c>
    </row>
    <row r="107" spans="1:8" x14ac:dyDescent="0.3">
      <c r="A107" s="1" t="s">
        <v>105</v>
      </c>
      <c r="B107" s="8">
        <f>EU!B107+UK!B107</f>
        <v>5.4725039999999998</v>
      </c>
      <c r="C107" s="8">
        <f>EU!C107+UK!C107</f>
        <v>7.058033</v>
      </c>
      <c r="D107" s="8">
        <f>EU!D107+UK!D107</f>
        <v>27.908099999999997</v>
      </c>
      <c r="E107" s="8">
        <f>EU!E107+UK!E107</f>
        <v>20.850066999999996</v>
      </c>
      <c r="F107" s="8">
        <v>4.3029260000000003</v>
      </c>
      <c r="G107" s="8">
        <v>0.33774700000000002</v>
      </c>
      <c r="H107" s="13">
        <f>EU!H107+UK!D107</f>
        <v>28.207643247228603</v>
      </c>
    </row>
    <row r="108" spans="1:8" x14ac:dyDescent="0.3">
      <c r="A108" s="1" t="s">
        <v>106</v>
      </c>
      <c r="B108" s="8">
        <f>EU!B108+UK!B108</f>
        <v>5.3615079999999997</v>
      </c>
      <c r="C108" s="8">
        <f>EU!C108+UK!C108</f>
        <v>7.6193080000000002</v>
      </c>
      <c r="D108" s="8">
        <f>EU!D108+UK!D108</f>
        <v>39.727989000000001</v>
      </c>
      <c r="E108" s="8">
        <f>EU!E108+UK!E108</f>
        <v>32.108681000000004</v>
      </c>
      <c r="F108" s="8">
        <v>-4.198969</v>
      </c>
      <c r="G108" s="8">
        <v>0.32595999999999997</v>
      </c>
      <c r="H108" s="13">
        <f>EU!H108+UK!D108</f>
        <v>40.151875038143714</v>
      </c>
    </row>
    <row r="109" spans="1:8" x14ac:dyDescent="0.3">
      <c r="A109" s="1" t="s">
        <v>107</v>
      </c>
      <c r="B109" s="8">
        <f>EU!B109+UK!B109</f>
        <v>5.7710740000000005</v>
      </c>
      <c r="C109" s="8">
        <f>EU!C109+UK!C109</f>
        <v>8.5484109999999998</v>
      </c>
      <c r="D109" s="8">
        <f>EU!D109+UK!D109</f>
        <v>46.387896999999995</v>
      </c>
      <c r="E109" s="8">
        <f>EU!E109+UK!E109</f>
        <v>37.839485999999994</v>
      </c>
      <c r="F109" s="8">
        <v>-10.167796000000001</v>
      </c>
      <c r="G109" s="8">
        <v>0.40166199999999996</v>
      </c>
      <c r="H109" s="13">
        <f>EU!H109+UK!D109</f>
        <v>46.88879158235887</v>
      </c>
    </row>
    <row r="110" spans="1:8" x14ac:dyDescent="0.3">
      <c r="A110" s="1" t="s">
        <v>108</v>
      </c>
      <c r="B110" s="8">
        <f>EU!B110+UK!B110</f>
        <v>5.895092</v>
      </c>
      <c r="C110" s="8">
        <f>EU!C110+UK!C110</f>
        <v>9.7904999999999998</v>
      </c>
      <c r="D110" s="8">
        <f>EU!D110+UK!D110</f>
        <v>54.017605000000003</v>
      </c>
      <c r="E110" s="8">
        <f>EU!E110+UK!E110</f>
        <v>44.227105000000002</v>
      </c>
      <c r="F110" s="8">
        <v>-17.793682</v>
      </c>
      <c r="G110" s="8">
        <v>0.33869099999999996</v>
      </c>
      <c r="H110" s="13">
        <f>EU!H110+UK!D110</f>
        <v>54.556177124660458</v>
      </c>
    </row>
    <row r="111" spans="1:8" x14ac:dyDescent="0.3">
      <c r="A111" s="1" t="s">
        <v>109</v>
      </c>
      <c r="B111" s="8">
        <f>EU!B111+UK!B111</f>
        <v>5.4345859999999995</v>
      </c>
      <c r="C111" s="8">
        <f>EU!C111+UK!C111</f>
        <v>7.7359640000000001</v>
      </c>
      <c r="D111" s="8">
        <f>EU!D111+UK!D111</f>
        <v>40.288360999999995</v>
      </c>
      <c r="E111" s="8">
        <f>EU!E111+UK!E111</f>
        <v>32.552396999999999</v>
      </c>
      <c r="F111" s="8">
        <v>-7.7567079999999997</v>
      </c>
      <c r="G111" s="8">
        <v>0.28451900000000002</v>
      </c>
      <c r="H111" s="13">
        <f>EU!H111+UK!D111</f>
        <v>40.688963745705763</v>
      </c>
    </row>
    <row r="112" spans="1:8" x14ac:dyDescent="0.3">
      <c r="A112" s="1" t="s">
        <v>110</v>
      </c>
      <c r="B112" s="8">
        <f>EU!B112+UK!B112</f>
        <v>5.7048000000000005</v>
      </c>
      <c r="C112" s="8">
        <f>EU!C112+UK!C112</f>
        <v>7.2735959999999995</v>
      </c>
      <c r="D112" s="8">
        <f>EU!D112+UK!D112</f>
        <v>38.160084999999995</v>
      </c>
      <c r="E112" s="8">
        <f>EU!E112+UK!E112</f>
        <v>30.886488999999997</v>
      </c>
      <c r="F112" s="8">
        <v>-4.2059679999999995</v>
      </c>
      <c r="G112" s="8"/>
      <c r="H112" s="13">
        <f>EU!H112+UK!D112</f>
        <v>38.537993157397537</v>
      </c>
    </row>
    <row r="113" spans="1:8" x14ac:dyDescent="0.3">
      <c r="A113" s="1" t="s">
        <v>111</v>
      </c>
      <c r="B113" s="8">
        <f>EU!B113+UK!B113</f>
        <v>5.2720570000000002</v>
      </c>
      <c r="C113" s="8">
        <f>EU!C113+UK!C113</f>
        <v>5.4609800000000002</v>
      </c>
      <c r="D113" s="8">
        <f>EU!D113+UK!D113</f>
        <v>29.360782</v>
      </c>
      <c r="E113" s="8">
        <f>EU!E113+UK!E113</f>
        <v>23.899802000000001</v>
      </c>
      <c r="F113" s="8">
        <v>3.5716649999999999</v>
      </c>
      <c r="G113" s="8">
        <v>0.254579</v>
      </c>
      <c r="H113" s="13">
        <f>EU!H113+UK!D113</f>
        <v>29.651522931431021</v>
      </c>
    </row>
    <row r="114" spans="1:8" x14ac:dyDescent="0.3">
      <c r="A114" s="1" t="s">
        <v>112</v>
      </c>
      <c r="B114" s="8">
        <f>EU!B114+UK!B114</f>
        <v>5.2815510000000003</v>
      </c>
      <c r="C114" s="8">
        <f>EU!C114+UK!C114</f>
        <v>5.0359360000000004</v>
      </c>
      <c r="D114" s="8">
        <f>EU!D114+UK!D114</f>
        <v>22.919157000000002</v>
      </c>
      <c r="E114" s="8">
        <f>EU!E114+UK!E114</f>
        <v>17.883221000000002</v>
      </c>
      <c r="F114" s="8">
        <v>7.9581999999999997</v>
      </c>
      <c r="G114" s="8">
        <v>0.24118199999999998</v>
      </c>
      <c r="H114" s="13">
        <f>EU!H114+UK!D114</f>
        <v>23.148175851116815</v>
      </c>
    </row>
    <row r="115" spans="1:8" x14ac:dyDescent="0.3">
      <c r="A115" s="1" t="s">
        <v>113</v>
      </c>
      <c r="B115" s="8">
        <f>EU!B115+UK!B115</f>
        <v>4.368601</v>
      </c>
      <c r="C115" s="8">
        <f>EU!C115+UK!C115</f>
        <v>5.0884549999999997</v>
      </c>
      <c r="D115" s="8">
        <f>EU!D115+UK!D115</f>
        <v>20.787870999999996</v>
      </c>
      <c r="E115" s="8">
        <f>EU!E115+UK!E115</f>
        <v>15.699415999999996</v>
      </c>
      <c r="F115" s="8">
        <v>8.2603430000000007</v>
      </c>
      <c r="G115" s="8">
        <v>0.25652999999999998</v>
      </c>
      <c r="H115" s="13">
        <f>EU!H115+UK!D115</f>
        <v>20.998426734053105</v>
      </c>
    </row>
    <row r="116" spans="1:8" x14ac:dyDescent="0.3">
      <c r="A116" s="1" t="s">
        <v>114</v>
      </c>
      <c r="B116" s="8">
        <f>EU!B116+UK!B116</f>
        <v>5.0122109999999997</v>
      </c>
      <c r="C116" s="8">
        <f>EU!C116+UK!C116</f>
        <v>6.2639889999999996</v>
      </c>
      <c r="D116" s="8">
        <f>EU!D116+UK!D116</f>
        <v>21.784465999999998</v>
      </c>
      <c r="E116" s="8">
        <f>EU!E116+UK!E116</f>
        <v>15.520477</v>
      </c>
      <c r="F116" s="8">
        <v>7.7833839999999999</v>
      </c>
      <c r="G116" s="8">
        <v>0.249504</v>
      </c>
      <c r="H116" s="13">
        <f>EU!H116+UK!D116</f>
        <v>22.005298733071761</v>
      </c>
    </row>
    <row r="117" spans="1:8" x14ac:dyDescent="0.3">
      <c r="A117" s="1" t="s">
        <v>115</v>
      </c>
      <c r="B117" s="8">
        <f>EU!B117+UK!B117</f>
        <v>4.8682449999999999</v>
      </c>
      <c r="C117" s="8">
        <f>EU!C117+UK!C117</f>
        <v>6.132809</v>
      </c>
      <c r="D117" s="8">
        <f>EU!D117+UK!D117</f>
        <v>20.288258999999996</v>
      </c>
      <c r="E117" s="8">
        <f>EU!E117+UK!E117</f>
        <v>14.155449999999998</v>
      </c>
      <c r="F117" s="8">
        <v>8.7377749999999992</v>
      </c>
      <c r="G117" s="8">
        <v>0.287074</v>
      </c>
      <c r="H117" s="13">
        <f>EU!H117+UK!D117</f>
        <v>20.497083918606442</v>
      </c>
    </row>
    <row r="118" spans="1:8" x14ac:dyDescent="0.3">
      <c r="A118" s="1" t="s">
        <v>116</v>
      </c>
      <c r="B118" s="8">
        <f>EU!B118+UK!B118</f>
        <v>4.6701940000000004</v>
      </c>
      <c r="C118" s="8">
        <f>EU!C118+UK!C118</f>
        <v>6.1771050000000001</v>
      </c>
      <c r="D118" s="8">
        <f>EU!D118+UK!D118</f>
        <v>23.329132000000001</v>
      </c>
      <c r="E118" s="8">
        <f>EU!E118+UK!E118</f>
        <v>17.152027</v>
      </c>
      <c r="F118" s="8">
        <v>2.029935</v>
      </c>
      <c r="G118" s="8">
        <v>0.262739</v>
      </c>
      <c r="H118" s="13">
        <f>EU!H118+UK!D118</f>
        <v>23.56427209582634</v>
      </c>
    </row>
    <row r="119" spans="1:8" x14ac:dyDescent="0.3">
      <c r="A119" s="1" t="s">
        <v>117</v>
      </c>
      <c r="B119" s="8">
        <f>EU!B119+UK!B119</f>
        <v>5.3602139999999991</v>
      </c>
      <c r="C119" s="8">
        <f>EU!C119+UK!C119</f>
        <v>6.7513889999999996</v>
      </c>
      <c r="D119" s="8">
        <f>EU!D119+UK!D119</f>
        <v>29.322717000000001</v>
      </c>
      <c r="E119" s="8">
        <f>EU!E119+UK!E119</f>
        <v>22.571328000000001</v>
      </c>
      <c r="F119" s="8">
        <v>1.5496800000000002</v>
      </c>
      <c r="G119" s="8">
        <v>0.312803</v>
      </c>
      <c r="H119" s="13">
        <f>EU!H119+UK!D119</f>
        <v>29.611971347675311</v>
      </c>
    </row>
    <row r="120" spans="1:8" x14ac:dyDescent="0.3">
      <c r="A120" s="1" t="s">
        <v>118</v>
      </c>
      <c r="B120" s="8">
        <f>EU!B120+UK!B120</f>
        <v>5.2408710000000003</v>
      </c>
      <c r="C120" s="8">
        <f>EU!C120+UK!C120</f>
        <v>10.046882999999999</v>
      </c>
      <c r="D120" s="8">
        <f>EU!D120+UK!D120</f>
        <v>44.055588</v>
      </c>
      <c r="E120" s="8">
        <f>EU!E120+UK!E120</f>
        <v>34.008704999999999</v>
      </c>
      <c r="F120" s="8">
        <v>-10.573647999999999</v>
      </c>
      <c r="G120" s="8">
        <v>0.30307499999999998</v>
      </c>
      <c r="H120" s="13">
        <f>EU!H120+UK!D120</f>
        <v>44.491698386794958</v>
      </c>
    </row>
    <row r="121" spans="1:8" x14ac:dyDescent="0.3">
      <c r="A121" s="1" t="s">
        <v>119</v>
      </c>
      <c r="B121" s="8">
        <f>EU!B121+UK!B121</f>
        <v>5.6670949999999998</v>
      </c>
      <c r="C121" s="8">
        <f>EU!C121+UK!C121</f>
        <v>10.166594999999999</v>
      </c>
      <c r="D121" s="8">
        <f>EU!D121+UK!D121</f>
        <v>49.915175000000005</v>
      </c>
      <c r="E121" s="8">
        <f>EU!E121+UK!E121</f>
        <v>39.748580000000004</v>
      </c>
      <c r="F121" s="8">
        <v>-15.664605</v>
      </c>
      <c r="G121" s="8">
        <v>0.30383300000000002</v>
      </c>
      <c r="H121" s="13">
        <f>EU!H121+UK!D121</f>
        <v>50.419817973660479</v>
      </c>
    </row>
    <row r="122" spans="1:8" x14ac:dyDescent="0.3">
      <c r="A122" s="1" t="s">
        <v>120</v>
      </c>
      <c r="B122" s="8">
        <f>EU!B122+UK!B122</f>
        <v>5.6701069999999998</v>
      </c>
      <c r="C122" s="8">
        <f>EU!C122+UK!C122</f>
        <v>11.417433999999998</v>
      </c>
      <c r="D122" s="8">
        <f>EU!D122+UK!D122</f>
        <v>54.480865999999999</v>
      </c>
      <c r="E122" s="8">
        <f>EU!E122+UK!E122</f>
        <v>43.063431999999999</v>
      </c>
      <c r="F122" s="8">
        <v>-18.790223000000001</v>
      </c>
      <c r="G122" s="8">
        <v>0.31293099999999996</v>
      </c>
      <c r="H122" s="13">
        <f>EU!H122+UK!D122</f>
        <v>54.931094659999999</v>
      </c>
    </row>
    <row r="123" spans="1:8" x14ac:dyDescent="0.3">
      <c r="A123" s="1" t="s">
        <v>121</v>
      </c>
      <c r="B123" s="8">
        <f>EU!B123+UK!B123</f>
        <v>5.1126590000000007</v>
      </c>
      <c r="C123" s="8">
        <f>EU!C123+UK!C123</f>
        <v>10.421093999999998</v>
      </c>
      <c r="D123" s="8">
        <f>EU!D123+UK!D123</f>
        <v>48.522475999999997</v>
      </c>
      <c r="E123" s="8">
        <f>EU!E123+UK!E123</f>
        <v>38.101382000000001</v>
      </c>
      <c r="F123" s="8">
        <v>-16.723706</v>
      </c>
      <c r="G123" s="8">
        <v>0.304253</v>
      </c>
      <c r="H123" s="13">
        <f>EU!H123+UK!D123</f>
        <v>48.93278076</v>
      </c>
    </row>
    <row r="124" spans="1:8" x14ac:dyDescent="0.3">
      <c r="A124" s="1" t="s">
        <v>122</v>
      </c>
      <c r="B124" s="8">
        <f>EU!B124+UK!B124</f>
        <v>5.6001770000000004</v>
      </c>
      <c r="C124" s="8">
        <f>EU!C124+UK!C124</f>
        <v>8.4566890000000008</v>
      </c>
      <c r="D124" s="8">
        <f>EU!D124+UK!D124</f>
        <v>39.715654999999998</v>
      </c>
      <c r="E124" s="8">
        <f>EU!E124+UK!E124</f>
        <v>31.258965999999997</v>
      </c>
      <c r="F124" s="8">
        <v>-4.5850100000000005</v>
      </c>
      <c r="G124" s="8">
        <v>0.28811200000000003</v>
      </c>
      <c r="H124" s="13">
        <f>EU!H124+UK!D124</f>
        <v>40.048211549999998</v>
      </c>
    </row>
    <row r="125" spans="1:8" x14ac:dyDescent="0.3">
      <c r="A125" s="1" t="s">
        <v>123</v>
      </c>
      <c r="B125" s="8">
        <f>EU!B125+UK!B125</f>
        <v>5.3613460000000002</v>
      </c>
      <c r="C125" s="8">
        <f>EU!C125+UK!C125</f>
        <v>6.11693</v>
      </c>
      <c r="D125" s="8">
        <f>EU!D125+UK!D125</f>
        <v>27.846258000000002</v>
      </c>
      <c r="E125" s="8">
        <f>EU!E125+UK!E125</f>
        <v>21.729328000000002</v>
      </c>
      <c r="F125" s="8">
        <v>5.5631509999999995</v>
      </c>
      <c r="G125" s="8">
        <v>0.26899099999999998</v>
      </c>
      <c r="H125" s="13">
        <f>EU!H125+UK!D125</f>
        <v>28.080040580000002</v>
      </c>
    </row>
    <row r="126" spans="1:8" x14ac:dyDescent="0.3">
      <c r="A126" s="1" t="s">
        <v>124</v>
      </c>
      <c r="B126" s="8">
        <f>EU!B126+UK!B126</f>
        <v>5.1741960000000002</v>
      </c>
      <c r="C126" s="8">
        <f>EU!C126+UK!C126</f>
        <v>4.9648720000000006</v>
      </c>
      <c r="D126" s="8">
        <f>EU!D126+UK!D126</f>
        <v>22.953609</v>
      </c>
      <c r="E126" s="8">
        <f>EU!E126+UK!E126</f>
        <v>17.988736999999997</v>
      </c>
      <c r="F126" s="8">
        <v>9.673858000000001</v>
      </c>
      <c r="G126" s="8">
        <v>0.26029199999999997</v>
      </c>
      <c r="H126" s="13">
        <f>EU!H126+UK!D126</f>
        <v>23.149855089999999</v>
      </c>
    </row>
    <row r="127" spans="1:8" x14ac:dyDescent="0.3">
      <c r="A127" s="1" t="s">
        <v>125</v>
      </c>
      <c r="B127" s="8">
        <f>EU!B127+UK!B127</f>
        <v>4.8930760000000006</v>
      </c>
      <c r="C127" s="8">
        <f>EU!C127+UK!C127</f>
        <v>5.4626099999999997</v>
      </c>
      <c r="D127" s="8">
        <f>EU!D127+UK!D127</f>
        <v>19.888524000000004</v>
      </c>
      <c r="E127" s="8">
        <f>EU!E127+UK!E127</f>
        <v>14.425914000000004</v>
      </c>
      <c r="F127" s="8">
        <v>10.890512000000001</v>
      </c>
      <c r="G127" s="8">
        <v>0.22920199999999999</v>
      </c>
      <c r="H127" s="13">
        <f>EU!H127+UK!D127</f>
        <v>20.059929240000002</v>
      </c>
    </row>
    <row r="128" spans="1:8" x14ac:dyDescent="0.3">
      <c r="A128" s="1" t="s">
        <v>126</v>
      </c>
      <c r="B128" s="8">
        <f>EU!B128+UK!B128</f>
        <v>5.3551929999999999</v>
      </c>
      <c r="C128" s="8">
        <f>EU!C128+UK!C128</f>
        <v>6.8293540000000004</v>
      </c>
      <c r="D128" s="8">
        <f>EU!D128+UK!D128</f>
        <v>21.48488</v>
      </c>
      <c r="E128" s="8">
        <f>EU!E128+UK!E128</f>
        <v>14.655526000000002</v>
      </c>
      <c r="F128" s="8">
        <v>10.249163000000001</v>
      </c>
      <c r="G128" s="8">
        <v>0.236514</v>
      </c>
      <c r="H128" s="13">
        <f>EU!H128+UK!D128</f>
        <v>21.668198799999999</v>
      </c>
    </row>
    <row r="129" spans="1:8" x14ac:dyDescent="0.3">
      <c r="A129" s="1" t="s">
        <v>127</v>
      </c>
      <c r="B129" s="8">
        <f>EU!B129+UK!B129</f>
        <v>4.7950650000000001</v>
      </c>
      <c r="C129" s="8">
        <f>EU!C129+UK!C129</f>
        <v>6.1265670000000005</v>
      </c>
      <c r="D129" s="8">
        <f>EU!D129+UK!D129</f>
        <v>19.767458999999999</v>
      </c>
      <c r="E129" s="8">
        <f>EU!E129+UK!E129</f>
        <v>13.640891999999999</v>
      </c>
      <c r="F129" s="8">
        <v>9.5267549999999996</v>
      </c>
      <c r="G129" s="8">
        <v>0.23464400000000002</v>
      </c>
      <c r="H129" s="13">
        <f>EU!H129+UK!D129</f>
        <v>19.93661359</v>
      </c>
    </row>
    <row r="130" spans="1:8" x14ac:dyDescent="0.3">
      <c r="A130" s="1" t="s">
        <v>128</v>
      </c>
      <c r="B130" s="8">
        <f>EU!B130+UK!B130</f>
        <v>4.7063990000000002</v>
      </c>
      <c r="C130" s="8">
        <f>EU!C130+UK!C130</f>
        <v>6.3877230000000003</v>
      </c>
      <c r="D130" s="8">
        <f>EU!D130+UK!D130</f>
        <v>22.515530999999996</v>
      </c>
      <c r="E130" s="8">
        <f>EU!E130+UK!E130</f>
        <v>16.127807999999998</v>
      </c>
      <c r="F130" s="8">
        <v>5.6705540000000001</v>
      </c>
      <c r="G130" s="8">
        <v>0.22285199999999999</v>
      </c>
      <c r="H130" s="13">
        <f>EU!H130+UK!D130</f>
        <v>22.707066309999995</v>
      </c>
    </row>
    <row r="131" spans="1:8" x14ac:dyDescent="0.3">
      <c r="A131" s="1" t="s">
        <v>129</v>
      </c>
      <c r="B131" s="8">
        <f>EU!B131+UK!B131</f>
        <v>5.3920079999999997</v>
      </c>
      <c r="C131" s="8">
        <f>EU!C131+UK!C131</f>
        <v>8.2049240000000001</v>
      </c>
      <c r="D131" s="8">
        <f>EU!D131+UK!D131</f>
        <v>32.79683</v>
      </c>
      <c r="E131" s="8">
        <f>EU!E131+UK!E131</f>
        <v>24.591906000000002</v>
      </c>
      <c r="F131" s="8">
        <v>0.56970899999999991</v>
      </c>
      <c r="G131" s="8">
        <v>0.28428100000000001</v>
      </c>
      <c r="H131" s="13">
        <f>EU!H131+UK!D131</f>
        <v>33.074658300000003</v>
      </c>
    </row>
    <row r="132" spans="1:8" x14ac:dyDescent="0.3">
      <c r="A132" s="1" t="s">
        <v>130</v>
      </c>
      <c r="B132" s="8">
        <f>EU!B132+UK!B132</f>
        <v>5.24559</v>
      </c>
      <c r="C132" s="8">
        <f>EU!C132+UK!C132</f>
        <v>9.5543940000000003</v>
      </c>
      <c r="D132" s="8">
        <f>EU!D132+UK!D132</f>
        <v>42.215961</v>
      </c>
      <c r="E132" s="8">
        <f>EU!E132+UK!E132</f>
        <v>32.661566999999998</v>
      </c>
      <c r="F132" s="8">
        <v>-8.0727290000000007</v>
      </c>
      <c r="G132" s="8">
        <v>0.31658600000000003</v>
      </c>
      <c r="H132" s="13">
        <f>EU!H132+UK!D132</f>
        <v>42.574460610000003</v>
      </c>
    </row>
    <row r="133" spans="1:8" x14ac:dyDescent="0.3">
      <c r="A133" s="1" t="s">
        <v>131</v>
      </c>
      <c r="B133" s="8">
        <f>EU!B133+UK!B133</f>
        <v>5.3417630000000003</v>
      </c>
      <c r="C133" s="8">
        <f>EU!C133+UK!C133</f>
        <v>11.087835999999999</v>
      </c>
      <c r="D133" s="8">
        <f>EU!D133+UK!D133</f>
        <v>49.199154000000007</v>
      </c>
      <c r="E133" s="8">
        <f>EU!E133+UK!E133</f>
        <v>38.111318000000004</v>
      </c>
      <c r="F133" s="8">
        <v>-14.427443999999999</v>
      </c>
      <c r="G133" s="8">
        <v>0.31242200000000003</v>
      </c>
      <c r="H133" s="13">
        <f>EU!H133+UK!D133</f>
        <v>49.61920554000001</v>
      </c>
    </row>
    <row r="134" spans="1:8" x14ac:dyDescent="0.3">
      <c r="A134" s="1" t="s">
        <v>132</v>
      </c>
      <c r="B134" s="8">
        <f>EU!B134+UK!B134</f>
        <v>5.3038000000000007</v>
      </c>
      <c r="C134" s="8">
        <f>EU!C134+UK!C134</f>
        <v>13.379902</v>
      </c>
      <c r="D134" s="8">
        <f>EU!D134+UK!D134</f>
        <v>58.795727999999997</v>
      </c>
      <c r="E134" s="8">
        <f>EU!E134+UK!E134</f>
        <v>45.415826000000003</v>
      </c>
      <c r="F134" s="8">
        <v>-22.625359</v>
      </c>
      <c r="G134" s="8">
        <v>0.34743000000000002</v>
      </c>
      <c r="H134" s="13">
        <f>EU!H134+UK!D134</f>
        <v>59.297055279999995</v>
      </c>
    </row>
    <row r="135" spans="1:8" x14ac:dyDescent="0.3">
      <c r="A135" s="1" t="s">
        <v>133</v>
      </c>
      <c r="B135" s="8">
        <f>EU!B135+UK!B135</f>
        <v>4.8966229999999999</v>
      </c>
      <c r="C135" s="8">
        <f>EU!C135+UK!C135</f>
        <v>10.031214</v>
      </c>
      <c r="D135" s="8">
        <f>EU!D135+UK!D135</f>
        <v>44.934201000000002</v>
      </c>
      <c r="E135" s="8">
        <f>EU!E135+UK!E135</f>
        <v>34.902986999999996</v>
      </c>
      <c r="F135" s="8">
        <v>-11.540527000000001</v>
      </c>
      <c r="G135" s="8">
        <v>0.29695100000000002</v>
      </c>
      <c r="H135" s="13">
        <f>EU!H135+UK!D135</f>
        <v>45.314893009999999</v>
      </c>
    </row>
    <row r="136" spans="1:8" x14ac:dyDescent="0.3">
      <c r="A136" s="1" t="s">
        <v>134</v>
      </c>
      <c r="B136" s="8">
        <f>EU!B136+UK!B136</f>
        <v>5.3577680000000001</v>
      </c>
      <c r="C136" s="8">
        <f>EU!C136+UK!C136</f>
        <v>7.6473800000000001</v>
      </c>
      <c r="D136" s="8">
        <f>EU!D136+UK!D136</f>
        <v>37.857097000000003</v>
      </c>
      <c r="E136" s="8">
        <f>EU!E136+UK!E136</f>
        <v>30.209717000000005</v>
      </c>
      <c r="F136" s="8">
        <v>-2.0366</v>
      </c>
      <c r="G136" s="8">
        <v>0.30119000000000001</v>
      </c>
      <c r="H136" s="13">
        <f>EU!H136+UK!D136</f>
        <v>38.174127970000001</v>
      </c>
    </row>
    <row r="137" spans="1:8" x14ac:dyDescent="0.3">
      <c r="A137" s="1" t="s">
        <v>135</v>
      </c>
      <c r="B137" s="8">
        <f>EU!B137+UK!B137</f>
        <v>4.9930690000000002</v>
      </c>
      <c r="C137" s="8">
        <f>EU!C137+UK!C137</f>
        <v>5.762429</v>
      </c>
      <c r="D137" s="8">
        <f>EU!D137+UK!D137</f>
        <v>28.003610000000002</v>
      </c>
      <c r="E137" s="8">
        <f>EU!E137+UK!E137</f>
        <v>22.241181000000001</v>
      </c>
      <c r="F137" s="8">
        <v>4.5055020000000008</v>
      </c>
      <c r="G137" s="8">
        <v>0.28896499999999997</v>
      </c>
      <c r="H137" s="13">
        <f>EU!H137+UK!D137</f>
        <v>28.241926100000001</v>
      </c>
    </row>
    <row r="138" spans="1:8" x14ac:dyDescent="0.3">
      <c r="A138" s="1" t="s">
        <v>136</v>
      </c>
      <c r="B138" s="8">
        <f>EU!B138+UK!B138</f>
        <v>4.9223800000000004</v>
      </c>
      <c r="C138" s="8">
        <f>EU!C138+UK!C138</f>
        <v>5.4303310000000007</v>
      </c>
      <c r="D138" s="8">
        <f>EU!D138+UK!D138</f>
        <v>23.458102999999998</v>
      </c>
      <c r="E138" s="8">
        <f>EU!E138+UK!E138</f>
        <v>18.027771999999999</v>
      </c>
      <c r="F138" s="8">
        <v>8.2333199999999991</v>
      </c>
      <c r="G138" s="8">
        <v>0.20346600000000001</v>
      </c>
      <c r="H138" s="13">
        <f>EU!H138+UK!D138</f>
        <v>23.656584029999998</v>
      </c>
    </row>
    <row r="139" spans="1:8" x14ac:dyDescent="0.3">
      <c r="A139" s="1"/>
      <c r="B139" s="5"/>
      <c r="C139" s="4"/>
      <c r="E13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67DE-AED6-4139-A345-C65803EC7082}">
  <dimension ref="A1:EO1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4.4" x14ac:dyDescent="0.3"/>
  <cols>
    <col min="14" max="14" width="8.88671875" style="13"/>
    <col min="15" max="15" width="7.109375" customWidth="1"/>
  </cols>
  <sheetData>
    <row r="1" spans="1:145" x14ac:dyDescent="0.3">
      <c r="A1" s="2" t="s">
        <v>137</v>
      </c>
      <c r="B1" s="3" t="s">
        <v>138</v>
      </c>
      <c r="C1" s="3" t="s">
        <v>139</v>
      </c>
      <c r="D1" s="3" t="s">
        <v>140</v>
      </c>
      <c r="E1" s="3" t="s">
        <v>141</v>
      </c>
      <c r="F1" s="3" t="s">
        <v>146</v>
      </c>
      <c r="G1" s="3" t="s">
        <v>147</v>
      </c>
      <c r="H1" s="18" t="s">
        <v>153</v>
      </c>
      <c r="I1" s="18" t="s">
        <v>154</v>
      </c>
      <c r="K1" t="s">
        <v>150</v>
      </c>
      <c r="M1" t="s">
        <v>148</v>
      </c>
      <c r="N1" s="13" t="s">
        <v>149</v>
      </c>
      <c r="O1" t="s">
        <v>151</v>
      </c>
      <c r="P1" t="s">
        <v>152</v>
      </c>
    </row>
    <row r="2" spans="1:145" x14ac:dyDescent="0.3">
      <c r="A2" s="1" t="s">
        <v>0</v>
      </c>
      <c r="B2" s="8">
        <v>13.833</v>
      </c>
      <c r="C2" s="8">
        <v>4.1239999999999997</v>
      </c>
      <c r="D2" s="8">
        <v>46.529000000000003</v>
      </c>
      <c r="E2" s="8">
        <f t="shared" ref="E2:E33" si="0">D2-C2</f>
        <v>42.405000000000001</v>
      </c>
      <c r="F2" s="8">
        <v>-15.741</v>
      </c>
      <c r="G2" s="8">
        <v>0.36399999999999999</v>
      </c>
      <c r="H2" s="7">
        <f>(_xlfn.XLOOKUP(I2,L:L,P:P)+100%)*D2</f>
        <v>46.926478737042636</v>
      </c>
      <c r="I2">
        <v>2015</v>
      </c>
      <c r="K2" s="13"/>
      <c r="L2" s="13">
        <v>2015</v>
      </c>
      <c r="M2" s="14">
        <v>365.28202799999997</v>
      </c>
      <c r="N2" s="9">
        <f>SUM(D2:D13)</f>
        <v>362.18799999999999</v>
      </c>
      <c r="O2" s="15">
        <f>M2-N2</f>
        <v>3.0940279999999802</v>
      </c>
      <c r="P2" s="16">
        <f>O2/N2</f>
        <v>8.542602184500812E-3</v>
      </c>
      <c r="Q2" s="13"/>
      <c r="R2" s="13"/>
      <c r="S2" s="13"/>
      <c r="T2" s="13"/>
      <c r="U2" s="13"/>
      <c r="V2" s="13"/>
      <c r="W2" s="13"/>
      <c r="X2" s="13"/>
    </row>
    <row r="3" spans="1:145" x14ac:dyDescent="0.3">
      <c r="A3" s="1" t="s">
        <v>1</v>
      </c>
      <c r="B3" s="8">
        <v>12.579000000000001</v>
      </c>
      <c r="C3" s="8">
        <v>4.46</v>
      </c>
      <c r="D3" s="8">
        <v>43.018000000000001</v>
      </c>
      <c r="E3" s="8">
        <f t="shared" si="0"/>
        <v>38.558</v>
      </c>
      <c r="F3" s="8">
        <v>-15.736000000000001</v>
      </c>
      <c r="G3" s="8">
        <v>0.33600000000000002</v>
      </c>
      <c r="H3" s="7">
        <f t="shared" ref="H3:H66" si="1">(_xlfn.XLOOKUP(I3,L:L,P:P)+100%)*D3</f>
        <v>43.385485660772858</v>
      </c>
      <c r="I3" s="13">
        <v>2015</v>
      </c>
      <c r="L3">
        <v>2016</v>
      </c>
      <c r="M3" s="14">
        <v>385.55352699999997</v>
      </c>
      <c r="N3" s="9">
        <f>SUM(D14:D25)</f>
        <v>382.46399999999994</v>
      </c>
      <c r="O3" s="15">
        <f t="shared" ref="O3:O11" si="2">M3-N3</f>
        <v>3.0895270000000323</v>
      </c>
      <c r="P3" s="16">
        <f t="shared" ref="P3:P11" si="3">O3/N3</f>
        <v>8.0779550493642084E-3</v>
      </c>
    </row>
    <row r="4" spans="1:145" x14ac:dyDescent="0.3">
      <c r="A4" s="1" t="s">
        <v>2</v>
      </c>
      <c r="B4" s="8">
        <v>10.170999999999999</v>
      </c>
      <c r="C4" s="8">
        <v>4.0359999999999996</v>
      </c>
      <c r="D4" s="8">
        <v>37.58</v>
      </c>
      <c r="E4" s="8">
        <f t="shared" si="0"/>
        <v>33.543999999999997</v>
      </c>
      <c r="F4" s="8">
        <v>-7.8819999999999997</v>
      </c>
      <c r="G4" s="8">
        <v>0.36399999999999999</v>
      </c>
      <c r="H4" s="7">
        <f t="shared" si="1"/>
        <v>37.901030990093538</v>
      </c>
      <c r="I4" s="13">
        <v>2015</v>
      </c>
      <c r="L4" s="13">
        <v>2017</v>
      </c>
      <c r="M4" s="14">
        <v>407.265715</v>
      </c>
      <c r="N4" s="9">
        <f>SUM(D26:D37)</f>
        <v>404.6549</v>
      </c>
      <c r="O4" s="15">
        <f t="shared" si="2"/>
        <v>2.6108150000000023</v>
      </c>
      <c r="P4" s="16">
        <f t="shared" si="3"/>
        <v>6.4519544925812147E-3</v>
      </c>
    </row>
    <row r="5" spans="1:145" x14ac:dyDescent="0.3">
      <c r="A5" s="1" t="s">
        <v>3</v>
      </c>
      <c r="B5" s="8">
        <v>6.9189999999999996</v>
      </c>
      <c r="C5" s="8">
        <v>3.3490000000000002</v>
      </c>
      <c r="D5" s="8">
        <v>27.757999999999999</v>
      </c>
      <c r="E5" s="8">
        <f t="shared" si="0"/>
        <v>24.408999999999999</v>
      </c>
      <c r="F5" s="8">
        <v>0.45500000000000002</v>
      </c>
      <c r="G5" s="8">
        <v>0.3</v>
      </c>
      <c r="H5" s="7">
        <f t="shared" si="1"/>
        <v>27.995125551437372</v>
      </c>
      <c r="I5" s="13">
        <v>2015</v>
      </c>
      <c r="L5" s="13">
        <v>2018</v>
      </c>
      <c r="M5" s="14">
        <v>399.96701200000001</v>
      </c>
      <c r="N5" s="9">
        <f>SUM(D38:D49)</f>
        <v>390.58119999999997</v>
      </c>
      <c r="O5" s="15">
        <f t="shared" si="2"/>
        <v>9.385812000000044</v>
      </c>
      <c r="P5" s="16">
        <f t="shared" si="3"/>
        <v>2.4030373197686025E-2</v>
      </c>
    </row>
    <row r="6" spans="1:145" x14ac:dyDescent="0.3">
      <c r="A6" s="1" t="s">
        <v>4</v>
      </c>
      <c r="B6" s="8">
        <v>5.5110000000000001</v>
      </c>
      <c r="C6" s="8">
        <v>2.9249999999999998</v>
      </c>
      <c r="D6" s="8">
        <v>21.832000000000001</v>
      </c>
      <c r="E6" s="8">
        <f t="shared" si="0"/>
        <v>18.907</v>
      </c>
      <c r="F6" s="8">
        <v>7.2640000000000002</v>
      </c>
      <c r="G6" s="8">
        <v>0.29499999999999998</v>
      </c>
      <c r="H6" s="7">
        <f t="shared" si="1"/>
        <v>22.018502090892021</v>
      </c>
      <c r="I6" s="13">
        <v>2015</v>
      </c>
      <c r="L6" s="13">
        <v>2019</v>
      </c>
      <c r="M6" s="14">
        <v>411.18923700000005</v>
      </c>
      <c r="N6" s="9">
        <f>SUM(D50:D61)</f>
        <v>407.41278000000005</v>
      </c>
      <c r="O6" s="15">
        <f t="shared" si="2"/>
        <v>3.7764569999999935</v>
      </c>
      <c r="P6" s="16">
        <f t="shared" si="3"/>
        <v>9.2693631260167952E-3</v>
      </c>
    </row>
    <row r="7" spans="1:145" x14ac:dyDescent="0.3">
      <c r="A7" s="1" t="s">
        <v>5</v>
      </c>
      <c r="B7" s="8">
        <v>5.7130000000000001</v>
      </c>
      <c r="C7" s="8">
        <v>3.016</v>
      </c>
      <c r="D7" s="8">
        <v>19.611000000000001</v>
      </c>
      <c r="E7" s="8">
        <f t="shared" si="0"/>
        <v>16.594999999999999</v>
      </c>
      <c r="F7" s="8">
        <v>8.3629999999999995</v>
      </c>
      <c r="G7" s="8">
        <v>0.29699999999999999</v>
      </c>
      <c r="H7" s="7">
        <f t="shared" si="1"/>
        <v>19.778528971440245</v>
      </c>
      <c r="I7" s="13">
        <v>2015</v>
      </c>
      <c r="J7" s="7"/>
      <c r="K7" s="7"/>
      <c r="L7" s="13">
        <v>2020</v>
      </c>
      <c r="M7" s="14">
        <v>398.73614500000002</v>
      </c>
      <c r="N7" s="7">
        <f>SUM(D62:D73)</f>
        <v>395.940808</v>
      </c>
      <c r="O7" s="15">
        <f t="shared" si="2"/>
        <v>2.7953370000000177</v>
      </c>
      <c r="P7" s="16">
        <f t="shared" si="3"/>
        <v>7.0599871079720022E-3</v>
      </c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4"/>
      <c r="BF7" s="4"/>
      <c r="BG7" s="6"/>
      <c r="BH7" s="4"/>
      <c r="BI7" s="4"/>
      <c r="BJ7" s="4"/>
      <c r="BK7" s="4"/>
      <c r="BL7" s="4"/>
      <c r="BM7" s="4"/>
      <c r="BN7" s="4"/>
      <c r="BO7" s="6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6"/>
      <c r="CF7" s="6"/>
      <c r="CG7" s="6"/>
      <c r="CH7" s="6"/>
      <c r="CI7" s="6"/>
      <c r="CJ7" s="7"/>
      <c r="CK7" s="7"/>
      <c r="CL7" s="6"/>
      <c r="CM7" s="6"/>
      <c r="CN7" s="6"/>
      <c r="CO7" s="6"/>
      <c r="CP7" s="6"/>
      <c r="CQ7" s="7"/>
      <c r="CR7" s="6"/>
      <c r="CS7" s="7"/>
      <c r="CT7" s="7"/>
      <c r="CU7" s="6"/>
      <c r="CV7" s="6"/>
      <c r="CW7" s="6"/>
      <c r="CX7" s="7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7"/>
      <c r="DL7" s="6"/>
      <c r="DM7" s="6"/>
      <c r="DN7" s="6"/>
      <c r="DO7" s="4"/>
      <c r="DP7" s="6"/>
      <c r="DQ7" s="6"/>
      <c r="DR7" s="7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7"/>
      <c r="EL7" s="6"/>
      <c r="EM7" s="7"/>
      <c r="EN7" s="6"/>
      <c r="EO7" s="6"/>
    </row>
    <row r="8" spans="1:145" x14ac:dyDescent="0.3">
      <c r="A8" s="1" t="s">
        <v>6</v>
      </c>
      <c r="B8" s="8">
        <v>4.984</v>
      </c>
      <c r="C8" s="8">
        <v>4.7389999999999999</v>
      </c>
      <c r="D8" s="8">
        <v>20.306000000000001</v>
      </c>
      <c r="E8" s="8">
        <f t="shared" si="0"/>
        <v>15.567</v>
      </c>
      <c r="F8" s="8">
        <v>10.409000000000001</v>
      </c>
      <c r="G8" s="8">
        <v>0.32800000000000001</v>
      </c>
      <c r="H8" s="7">
        <f t="shared" si="1"/>
        <v>20.479466079958474</v>
      </c>
      <c r="I8" s="13">
        <v>2015</v>
      </c>
      <c r="L8" s="13">
        <v>2021</v>
      </c>
      <c r="M8" s="14">
        <v>417.95956000000001</v>
      </c>
      <c r="N8" s="9">
        <f>SUM(D74:D85)</f>
        <v>412.44576100000006</v>
      </c>
      <c r="O8" s="15">
        <f t="shared" si="2"/>
        <v>5.513798999999949</v>
      </c>
      <c r="P8" s="16">
        <f t="shared" si="3"/>
        <v>1.3368543264043749E-2</v>
      </c>
    </row>
    <row r="9" spans="1:145" x14ac:dyDescent="0.3">
      <c r="A9" s="1" t="s">
        <v>7</v>
      </c>
      <c r="B9" s="8">
        <v>5.048</v>
      </c>
      <c r="C9" s="8">
        <v>4.3579999999999997</v>
      </c>
      <c r="D9" s="8">
        <v>18.431000000000001</v>
      </c>
      <c r="E9" s="8">
        <f t="shared" si="0"/>
        <v>14.073</v>
      </c>
      <c r="F9" s="8">
        <v>9.7560000000000002</v>
      </c>
      <c r="G9" s="8">
        <v>0.375</v>
      </c>
      <c r="H9" s="7">
        <f t="shared" si="1"/>
        <v>18.588448700862536</v>
      </c>
      <c r="I9" s="13">
        <v>2015</v>
      </c>
      <c r="L9" s="13">
        <v>2022</v>
      </c>
      <c r="M9" s="14">
        <v>364.84147999999999</v>
      </c>
      <c r="N9" s="9">
        <f>SUM(D86:D97)</f>
        <v>355.68578500000007</v>
      </c>
      <c r="O9" s="15">
        <f t="shared" si="2"/>
        <v>9.1556949999999233</v>
      </c>
      <c r="P9" s="16">
        <f t="shared" si="3"/>
        <v>2.5740964036558057E-2</v>
      </c>
    </row>
    <row r="10" spans="1:145" x14ac:dyDescent="0.3">
      <c r="A10" s="1" t="s">
        <v>8</v>
      </c>
      <c r="B10" s="8">
        <v>6.2290000000000001</v>
      </c>
      <c r="C10" s="8">
        <v>4.0750000000000002</v>
      </c>
      <c r="D10" s="8">
        <v>21.805</v>
      </c>
      <c r="E10" s="8">
        <f t="shared" si="0"/>
        <v>17.73</v>
      </c>
      <c r="F10" s="8">
        <v>8.7479999999999993</v>
      </c>
      <c r="G10" s="8">
        <v>0.30299999999999999</v>
      </c>
      <c r="H10" s="7">
        <f t="shared" si="1"/>
        <v>21.991271440633039</v>
      </c>
      <c r="I10" s="13">
        <v>2015</v>
      </c>
      <c r="L10" s="13">
        <v>2023</v>
      </c>
      <c r="M10" s="14">
        <v>334.42594799999995</v>
      </c>
      <c r="N10" s="9">
        <f>SUM(D98:D109)</f>
        <v>330.20051599999994</v>
      </c>
      <c r="O10" s="15">
        <f t="shared" si="2"/>
        <v>4.2254320000000121</v>
      </c>
      <c r="P10" s="16">
        <f t="shared" si="3"/>
        <v>1.2796563891499227E-2</v>
      </c>
    </row>
    <row r="11" spans="1:145" x14ac:dyDescent="0.3">
      <c r="A11" s="1" t="s">
        <v>9</v>
      </c>
      <c r="B11" s="8">
        <v>7.3070000000000004</v>
      </c>
      <c r="C11" s="8">
        <v>4.8330000000000002</v>
      </c>
      <c r="D11" s="8">
        <v>30.507999999999999</v>
      </c>
      <c r="E11" s="8">
        <f t="shared" si="0"/>
        <v>25.674999999999997</v>
      </c>
      <c r="F11" s="8">
        <v>1.964</v>
      </c>
      <c r="G11" s="8">
        <v>0.34899999999999998</v>
      </c>
      <c r="H11" s="7">
        <f t="shared" si="1"/>
        <v>30.768617707444747</v>
      </c>
      <c r="I11" s="13">
        <v>2015</v>
      </c>
      <c r="L11" s="13">
        <v>2024</v>
      </c>
      <c r="M11" s="14">
        <v>335.59640200000001</v>
      </c>
      <c r="N11" s="9">
        <f>SUM(D110:D121)</f>
        <v>331.65419800000001</v>
      </c>
      <c r="O11" s="15">
        <f t="shared" si="2"/>
        <v>3.9422040000000038</v>
      </c>
      <c r="P11" s="16">
        <f t="shared" si="3"/>
        <v>1.188648907136705E-2</v>
      </c>
    </row>
    <row r="12" spans="1:145" x14ac:dyDescent="0.3">
      <c r="A12" s="1" t="s">
        <v>10</v>
      </c>
      <c r="B12" s="8">
        <v>8.5139999999999993</v>
      </c>
      <c r="C12" s="8">
        <v>6.0910000000000002</v>
      </c>
      <c r="D12" s="8">
        <v>34.878999999999998</v>
      </c>
      <c r="E12" s="8">
        <f t="shared" si="0"/>
        <v>28.787999999999997</v>
      </c>
      <c r="F12" s="8">
        <v>-4.1399999999999997</v>
      </c>
      <c r="G12" s="8">
        <v>0.35099999999999998</v>
      </c>
      <c r="H12" s="7">
        <f t="shared" si="1"/>
        <v>35.176957421593201</v>
      </c>
      <c r="I12" s="13">
        <v>2015</v>
      </c>
      <c r="L12">
        <v>2025</v>
      </c>
      <c r="P12" s="17">
        <v>0.01</v>
      </c>
    </row>
    <row r="13" spans="1:145" x14ac:dyDescent="0.3">
      <c r="A13" s="1" t="s">
        <v>11</v>
      </c>
      <c r="B13" s="8">
        <v>9.3030000000000008</v>
      </c>
      <c r="C13" s="8">
        <v>6.4020000000000001</v>
      </c>
      <c r="D13" s="8">
        <v>39.930999999999997</v>
      </c>
      <c r="E13" s="8">
        <f t="shared" si="0"/>
        <v>33.528999999999996</v>
      </c>
      <c r="F13" s="8">
        <v>-7.28</v>
      </c>
      <c r="G13" s="8">
        <v>0.40699999999999997</v>
      </c>
      <c r="H13" s="7">
        <f t="shared" si="1"/>
        <v>40.272114647829298</v>
      </c>
      <c r="I13" s="13">
        <v>2015</v>
      </c>
      <c r="L13">
        <v>2026</v>
      </c>
      <c r="P13" s="17">
        <v>0.01</v>
      </c>
    </row>
    <row r="14" spans="1:145" x14ac:dyDescent="0.3">
      <c r="A14" s="1" t="s">
        <v>12</v>
      </c>
      <c r="B14" s="8">
        <v>9.391</v>
      </c>
      <c r="C14" s="8">
        <v>7.1180000000000003</v>
      </c>
      <c r="D14" s="8">
        <v>49.372999999999998</v>
      </c>
      <c r="E14" s="8">
        <f t="shared" si="0"/>
        <v>42.254999999999995</v>
      </c>
      <c r="F14" s="8">
        <v>-17.37</v>
      </c>
      <c r="G14" s="8">
        <v>0.40200000000000002</v>
      </c>
      <c r="H14" s="7">
        <f t="shared" si="1"/>
        <v>49.771832874652254</v>
      </c>
      <c r="I14">
        <f>I2+1</f>
        <v>2016</v>
      </c>
    </row>
    <row r="15" spans="1:145" x14ac:dyDescent="0.3">
      <c r="A15" s="1" t="s">
        <v>13</v>
      </c>
      <c r="B15" s="8">
        <v>8.4979999999999993</v>
      </c>
      <c r="C15" s="8">
        <v>5.5720000000000001</v>
      </c>
      <c r="D15" s="8">
        <v>40.622999999999998</v>
      </c>
      <c r="E15" s="8">
        <f t="shared" si="0"/>
        <v>35.050999999999995</v>
      </c>
      <c r="F15" s="8">
        <v>-10.917999999999999</v>
      </c>
      <c r="G15" s="8">
        <v>0.34599999999999997</v>
      </c>
      <c r="H15" s="7">
        <f t="shared" si="1"/>
        <v>40.951150767970319</v>
      </c>
      <c r="I15" s="13">
        <f t="shared" ref="I15:I78" si="4">I3+1</f>
        <v>2016</v>
      </c>
    </row>
    <row r="16" spans="1:145" x14ac:dyDescent="0.3">
      <c r="A16" s="1" t="s">
        <v>14</v>
      </c>
      <c r="B16" s="8">
        <v>6.19</v>
      </c>
      <c r="C16" s="8">
        <v>5.0759999999999996</v>
      </c>
      <c r="D16" s="8">
        <v>37.128999999999998</v>
      </c>
      <c r="E16" s="8">
        <f t="shared" si="0"/>
        <v>32.052999999999997</v>
      </c>
      <c r="F16" s="8">
        <v>-9.14</v>
      </c>
      <c r="G16" s="8">
        <v>0.33700000000000002</v>
      </c>
      <c r="H16" s="7">
        <f t="shared" si="1"/>
        <v>37.428926393027837</v>
      </c>
      <c r="I16" s="13">
        <f t="shared" si="4"/>
        <v>2016</v>
      </c>
    </row>
    <row r="17" spans="1:9" x14ac:dyDescent="0.3">
      <c r="A17" s="1" t="s">
        <v>15</v>
      </c>
      <c r="B17" s="8">
        <v>7.3620000000000001</v>
      </c>
      <c r="C17" s="8">
        <v>4.351</v>
      </c>
      <c r="D17" s="8">
        <v>27.434999999999999</v>
      </c>
      <c r="E17" s="8">
        <f t="shared" si="0"/>
        <v>23.084</v>
      </c>
      <c r="F17" s="8">
        <v>4.476</v>
      </c>
      <c r="G17" s="8">
        <v>0.32</v>
      </c>
      <c r="H17" s="7">
        <f t="shared" si="1"/>
        <v>27.656618696779304</v>
      </c>
      <c r="I17" s="13">
        <f t="shared" si="4"/>
        <v>2016</v>
      </c>
    </row>
    <row r="18" spans="1:9" x14ac:dyDescent="0.3">
      <c r="A18" s="1" t="s">
        <v>16</v>
      </c>
      <c r="B18" s="8">
        <v>7.444</v>
      </c>
      <c r="C18" s="8">
        <v>3.3730000000000002</v>
      </c>
      <c r="D18" s="8">
        <v>22.559000000000001</v>
      </c>
      <c r="E18" s="8">
        <f t="shared" si="0"/>
        <v>19.186</v>
      </c>
      <c r="F18" s="8">
        <v>9.8930000000000007</v>
      </c>
      <c r="G18" s="8">
        <v>0.315</v>
      </c>
      <c r="H18" s="7">
        <f t="shared" si="1"/>
        <v>22.741230587958608</v>
      </c>
      <c r="I18" s="13">
        <f t="shared" si="4"/>
        <v>2016</v>
      </c>
    </row>
    <row r="19" spans="1:9" x14ac:dyDescent="0.3">
      <c r="A19" s="1" t="s">
        <v>17</v>
      </c>
      <c r="B19" s="8">
        <v>6.0869999999999997</v>
      </c>
      <c r="C19" s="8">
        <v>4.0780000000000003</v>
      </c>
      <c r="D19" s="8">
        <v>19.53</v>
      </c>
      <c r="E19" s="8">
        <f t="shared" si="0"/>
        <v>15.452000000000002</v>
      </c>
      <c r="F19" s="8">
        <v>11.628</v>
      </c>
      <c r="G19" s="8">
        <v>0.27700000000000002</v>
      </c>
      <c r="H19" s="7">
        <f t="shared" si="1"/>
        <v>19.687762462114083</v>
      </c>
      <c r="I19" s="13">
        <f t="shared" si="4"/>
        <v>2016</v>
      </c>
    </row>
    <row r="20" spans="1:9" x14ac:dyDescent="0.3">
      <c r="A20" s="1" t="s">
        <v>18</v>
      </c>
      <c r="B20" s="8">
        <v>6.3570000000000002</v>
      </c>
      <c r="C20" s="8">
        <v>4.8789999999999996</v>
      </c>
      <c r="D20" s="8">
        <v>20.373999999999999</v>
      </c>
      <c r="E20" s="8">
        <f t="shared" si="0"/>
        <v>15.494999999999999</v>
      </c>
      <c r="F20" s="8">
        <v>12.667</v>
      </c>
      <c r="G20" s="8">
        <v>0.34100000000000003</v>
      </c>
      <c r="H20" s="7">
        <f t="shared" si="1"/>
        <v>20.538580256175745</v>
      </c>
      <c r="I20" s="13">
        <f t="shared" si="4"/>
        <v>2016</v>
      </c>
    </row>
    <row r="21" spans="1:9" x14ac:dyDescent="0.3">
      <c r="A21" s="1" t="s">
        <v>19</v>
      </c>
      <c r="B21" s="8">
        <v>6.6509999999999998</v>
      </c>
      <c r="C21" s="8">
        <v>4.1360000000000001</v>
      </c>
      <c r="D21" s="8">
        <v>19.733000000000001</v>
      </c>
      <c r="E21" s="8">
        <f t="shared" si="0"/>
        <v>15.597000000000001</v>
      </c>
      <c r="F21" s="8">
        <v>9.5660000000000007</v>
      </c>
      <c r="G21" s="8">
        <v>0.30499999999999999</v>
      </c>
      <c r="H21" s="7">
        <f t="shared" si="1"/>
        <v>19.892402286989103</v>
      </c>
      <c r="I21" s="13">
        <f t="shared" si="4"/>
        <v>2016</v>
      </c>
    </row>
    <row r="22" spans="1:9" x14ac:dyDescent="0.3">
      <c r="A22" s="1" t="s">
        <v>20</v>
      </c>
      <c r="B22" s="8">
        <v>6.6079999999999997</v>
      </c>
      <c r="C22" s="8">
        <v>5.234</v>
      </c>
      <c r="D22" s="8">
        <v>22.364999999999998</v>
      </c>
      <c r="E22" s="8">
        <f t="shared" si="0"/>
        <v>17.131</v>
      </c>
      <c r="F22" s="8">
        <v>5.9969999999999999</v>
      </c>
      <c r="G22" s="8">
        <v>0.30399999999999999</v>
      </c>
      <c r="H22" s="7">
        <f t="shared" si="1"/>
        <v>22.545663464679027</v>
      </c>
      <c r="I22" s="13">
        <f t="shared" si="4"/>
        <v>2016</v>
      </c>
    </row>
    <row r="23" spans="1:9" x14ac:dyDescent="0.3">
      <c r="A23" s="1" t="s">
        <v>21</v>
      </c>
      <c r="B23" s="8">
        <v>7.681</v>
      </c>
      <c r="C23" s="8">
        <v>6.0049999999999999</v>
      </c>
      <c r="D23" s="8">
        <v>32.328000000000003</v>
      </c>
      <c r="E23" s="8">
        <f t="shared" si="0"/>
        <v>26.323000000000004</v>
      </c>
      <c r="F23" s="8">
        <v>0.51500000000000001</v>
      </c>
      <c r="G23" s="8">
        <v>0.38900000000000001</v>
      </c>
      <c r="H23" s="7">
        <f t="shared" si="1"/>
        <v>32.589144130835848</v>
      </c>
      <c r="I23" s="13">
        <f t="shared" si="4"/>
        <v>2016</v>
      </c>
    </row>
    <row r="24" spans="1:9" x14ac:dyDescent="0.3">
      <c r="A24" s="1" t="s">
        <v>22</v>
      </c>
      <c r="B24" s="8">
        <v>8.5280000000000005</v>
      </c>
      <c r="C24" s="8">
        <v>5.7679999999999998</v>
      </c>
      <c r="D24" s="8">
        <v>42.085999999999999</v>
      </c>
      <c r="E24" s="8">
        <f t="shared" si="0"/>
        <v>36.317999999999998</v>
      </c>
      <c r="F24" s="8">
        <v>-10.864000000000001</v>
      </c>
      <c r="G24" s="8">
        <v>0.39700000000000002</v>
      </c>
      <c r="H24" s="7">
        <f t="shared" si="1"/>
        <v>42.425968816207536</v>
      </c>
      <c r="I24" s="13">
        <f t="shared" si="4"/>
        <v>2016</v>
      </c>
    </row>
    <row r="25" spans="1:9" x14ac:dyDescent="0.3">
      <c r="A25" s="1" t="s">
        <v>23</v>
      </c>
      <c r="B25" s="8">
        <v>9.1029999999999998</v>
      </c>
      <c r="C25" s="8">
        <v>7.1040000000000001</v>
      </c>
      <c r="D25" s="8">
        <v>48.929000000000002</v>
      </c>
      <c r="E25" s="8">
        <f t="shared" si="0"/>
        <v>41.825000000000003</v>
      </c>
      <c r="F25" s="8">
        <v>-16.68</v>
      </c>
      <c r="G25" s="8">
        <v>0.41699999999999998</v>
      </c>
      <c r="H25" s="7">
        <f t="shared" si="1"/>
        <v>49.324246262610338</v>
      </c>
      <c r="I25" s="13">
        <f t="shared" si="4"/>
        <v>2016</v>
      </c>
    </row>
    <row r="26" spans="1:9" x14ac:dyDescent="0.3">
      <c r="A26" s="1" t="s">
        <v>24</v>
      </c>
      <c r="B26" s="8">
        <v>8.3279999999999994</v>
      </c>
      <c r="C26" s="8">
        <v>9.7541000000000011</v>
      </c>
      <c r="D26" s="8">
        <v>57.741199999999999</v>
      </c>
      <c r="E26" s="8">
        <f t="shared" si="0"/>
        <v>47.987099999999998</v>
      </c>
      <c r="F26" s="8">
        <v>-23.648900000000001</v>
      </c>
      <c r="G26" s="8">
        <v>0.49819999999999998</v>
      </c>
      <c r="H26" s="7">
        <f t="shared" si="1"/>
        <v>58.113743594747028</v>
      </c>
      <c r="I26" s="13">
        <f t="shared" si="4"/>
        <v>2017</v>
      </c>
    </row>
    <row r="27" spans="1:9" x14ac:dyDescent="0.3">
      <c r="A27" s="1" t="s">
        <v>25</v>
      </c>
      <c r="B27" s="8">
        <v>7.766</v>
      </c>
      <c r="C27" s="8">
        <v>7.1977000000000002</v>
      </c>
      <c r="D27" s="8">
        <v>42.015099999999997</v>
      </c>
      <c r="E27" s="8">
        <f t="shared" si="0"/>
        <v>34.817399999999999</v>
      </c>
      <c r="F27" s="8">
        <v>-11.172499999999999</v>
      </c>
      <c r="G27" s="8">
        <v>0.374</v>
      </c>
      <c r="H27" s="7">
        <f t="shared" si="1"/>
        <v>42.286179513201247</v>
      </c>
      <c r="I27" s="13">
        <f t="shared" si="4"/>
        <v>2017</v>
      </c>
    </row>
    <row r="28" spans="1:9" x14ac:dyDescent="0.3">
      <c r="A28" s="1" t="s">
        <v>26</v>
      </c>
      <c r="B28" s="8">
        <v>7.7919999999999998</v>
      </c>
      <c r="C28" s="8">
        <v>6.2173999999999996</v>
      </c>
      <c r="D28" s="8">
        <v>36.573900000000002</v>
      </c>
      <c r="E28" s="8">
        <f t="shared" si="0"/>
        <v>30.356500000000004</v>
      </c>
      <c r="F28" s="8">
        <v>-3.7157</v>
      </c>
      <c r="G28" s="8">
        <v>0.36980000000000002</v>
      </c>
      <c r="H28" s="7">
        <f t="shared" si="1"/>
        <v>36.809873138416215</v>
      </c>
      <c r="I28" s="13">
        <f t="shared" si="4"/>
        <v>2017</v>
      </c>
    </row>
    <row r="29" spans="1:9" x14ac:dyDescent="0.3">
      <c r="A29" s="1" t="s">
        <v>27</v>
      </c>
      <c r="B29" s="8">
        <v>7.7190000000000003</v>
      </c>
      <c r="C29" s="8">
        <v>5.5618999999999996</v>
      </c>
      <c r="D29" s="8">
        <v>30.512599999999999</v>
      </c>
      <c r="E29" s="8">
        <f t="shared" si="0"/>
        <v>24.950699999999998</v>
      </c>
      <c r="F29" s="8">
        <v>4.6766999999999994</v>
      </c>
      <c r="G29" s="8">
        <v>0.3735</v>
      </c>
      <c r="H29" s="7">
        <f t="shared" si="1"/>
        <v>30.709465906650333</v>
      </c>
      <c r="I29" s="13">
        <f t="shared" si="4"/>
        <v>2017</v>
      </c>
    </row>
    <row r="30" spans="1:9" x14ac:dyDescent="0.3">
      <c r="A30" s="1" t="s">
        <v>28</v>
      </c>
      <c r="B30" s="8">
        <v>7.0049999999999999</v>
      </c>
      <c r="C30" s="8">
        <v>5.0898999999999992</v>
      </c>
      <c r="D30" s="8">
        <v>24.884</v>
      </c>
      <c r="E30" s="8">
        <f t="shared" si="0"/>
        <v>19.7941</v>
      </c>
      <c r="F30" s="8">
        <v>9.9937000000000005</v>
      </c>
      <c r="G30" s="8">
        <v>0.35880000000000001</v>
      </c>
      <c r="H30" s="7">
        <f t="shared" si="1"/>
        <v>25.04455043559339</v>
      </c>
      <c r="I30" s="13">
        <f t="shared" si="4"/>
        <v>2017</v>
      </c>
    </row>
    <row r="31" spans="1:9" x14ac:dyDescent="0.3">
      <c r="A31" s="1" t="s">
        <v>29</v>
      </c>
      <c r="B31" s="8">
        <v>6.5140000000000002</v>
      </c>
      <c r="C31" s="8">
        <v>5.5638000000000005</v>
      </c>
      <c r="D31" s="8">
        <v>21.9513</v>
      </c>
      <c r="E31" s="8">
        <f t="shared" si="0"/>
        <v>16.387499999999999</v>
      </c>
      <c r="F31" s="8">
        <v>10.681899999999999</v>
      </c>
      <c r="G31" s="8">
        <v>0.3342</v>
      </c>
      <c r="H31" s="7">
        <f t="shared" si="1"/>
        <v>22.092928788652998</v>
      </c>
      <c r="I31" s="13">
        <f t="shared" si="4"/>
        <v>2017</v>
      </c>
    </row>
    <row r="32" spans="1:9" x14ac:dyDescent="0.3">
      <c r="A32" s="1" t="s">
        <v>30</v>
      </c>
      <c r="B32" s="8">
        <v>6.944</v>
      </c>
      <c r="C32" s="8">
        <v>6.2558999999999996</v>
      </c>
      <c r="D32" s="8">
        <v>23.142400000000002</v>
      </c>
      <c r="E32" s="8">
        <f t="shared" si="0"/>
        <v>16.886500000000002</v>
      </c>
      <c r="F32" s="8">
        <v>12.453100000000001</v>
      </c>
      <c r="G32" s="8">
        <v>0.33789999999999998</v>
      </c>
      <c r="H32" s="7">
        <f t="shared" si="1"/>
        <v>23.291713711649113</v>
      </c>
      <c r="I32" s="13">
        <f t="shared" si="4"/>
        <v>2017</v>
      </c>
    </row>
    <row r="33" spans="1:9" x14ac:dyDescent="0.3">
      <c r="A33" s="1" t="s">
        <v>31</v>
      </c>
      <c r="B33" s="8">
        <v>7.306</v>
      </c>
      <c r="C33" s="8">
        <v>5.6983000000000006</v>
      </c>
      <c r="D33" s="8">
        <v>21.633900000000001</v>
      </c>
      <c r="E33" s="8">
        <f t="shared" si="0"/>
        <v>15.935600000000001</v>
      </c>
      <c r="F33" s="8">
        <v>14.348100000000001</v>
      </c>
      <c r="G33" s="8">
        <v>0.34770000000000001</v>
      </c>
      <c r="H33" s="7">
        <f t="shared" si="1"/>
        <v>21.773480938297052</v>
      </c>
      <c r="I33" s="13">
        <f t="shared" si="4"/>
        <v>2017</v>
      </c>
    </row>
    <row r="34" spans="1:9" x14ac:dyDescent="0.3">
      <c r="A34" s="1" t="s">
        <v>32</v>
      </c>
      <c r="B34" s="8">
        <v>6.6210000000000004</v>
      </c>
      <c r="C34" s="8">
        <v>5.6429</v>
      </c>
      <c r="D34" s="8">
        <v>24.607299999999999</v>
      </c>
      <c r="E34" s="8">
        <f t="shared" ref="E34:E65" si="5">D34-C34</f>
        <v>18.964399999999998</v>
      </c>
      <c r="F34" s="8">
        <v>8.0290999999999997</v>
      </c>
      <c r="G34" s="8">
        <v>0.35320000000000001</v>
      </c>
      <c r="H34" s="7">
        <f t="shared" si="1"/>
        <v>24.76606517978529</v>
      </c>
      <c r="I34" s="13">
        <f t="shared" si="4"/>
        <v>2017</v>
      </c>
    </row>
    <row r="35" spans="1:9" x14ac:dyDescent="0.3">
      <c r="A35" s="1" t="s">
        <v>33</v>
      </c>
      <c r="B35" s="8">
        <v>7.1550000000000002</v>
      </c>
      <c r="C35" s="8">
        <v>6.8466000000000005</v>
      </c>
      <c r="D35" s="8">
        <v>30.2866</v>
      </c>
      <c r="E35" s="8">
        <f t="shared" si="5"/>
        <v>23.439999999999998</v>
      </c>
      <c r="F35" s="8">
        <v>4.3841999999999999</v>
      </c>
      <c r="G35" s="8">
        <v>0.37860000000000005</v>
      </c>
      <c r="H35" s="7">
        <f t="shared" si="1"/>
        <v>30.482007764935009</v>
      </c>
      <c r="I35" s="13">
        <f t="shared" si="4"/>
        <v>2017</v>
      </c>
    </row>
    <row r="36" spans="1:9" x14ac:dyDescent="0.3">
      <c r="A36" s="1" t="s">
        <v>34</v>
      </c>
      <c r="B36" s="8">
        <v>7.7370000000000001</v>
      </c>
      <c r="C36" s="8">
        <v>8.5761000000000003</v>
      </c>
      <c r="D36" s="8">
        <v>42.838999999999999</v>
      </c>
      <c r="E36" s="8">
        <f t="shared" si="5"/>
        <v>34.262900000000002</v>
      </c>
      <c r="F36" s="8">
        <v>-8.4632999999999985</v>
      </c>
      <c r="G36" s="8">
        <v>0.40529999999999999</v>
      </c>
      <c r="H36" s="7">
        <f t="shared" si="1"/>
        <v>43.115395278507684</v>
      </c>
      <c r="I36" s="13">
        <f t="shared" si="4"/>
        <v>2017</v>
      </c>
    </row>
    <row r="37" spans="1:9" x14ac:dyDescent="0.3">
      <c r="A37" s="1" t="s">
        <v>35</v>
      </c>
      <c r="B37" s="8">
        <v>7.8029999999999999</v>
      </c>
      <c r="C37" s="8">
        <v>7.8253999999999992</v>
      </c>
      <c r="D37" s="8">
        <v>48.467599999999997</v>
      </c>
      <c r="E37" s="8">
        <f t="shared" si="5"/>
        <v>40.642199999999995</v>
      </c>
      <c r="F37" s="8">
        <v>-16.006899999999998</v>
      </c>
      <c r="G37" s="8">
        <v>0.40229999999999999</v>
      </c>
      <c r="H37" s="7">
        <f t="shared" si="1"/>
        <v>48.780310749564627</v>
      </c>
      <c r="I37" s="13">
        <f t="shared" si="4"/>
        <v>2017</v>
      </c>
    </row>
    <row r="38" spans="1:9" x14ac:dyDescent="0.3">
      <c r="A38" s="1" t="s">
        <v>36</v>
      </c>
      <c r="B38" s="8">
        <v>7.5410000000000004</v>
      </c>
      <c r="C38" s="8">
        <v>7.1079999999999997</v>
      </c>
      <c r="D38" s="8">
        <v>46.011000000000003</v>
      </c>
      <c r="E38" s="8">
        <f t="shared" si="5"/>
        <v>38.903000000000006</v>
      </c>
      <c r="F38" s="8">
        <v>-15.830500000000001</v>
      </c>
      <c r="G38" s="8">
        <v>0.39</v>
      </c>
      <c r="H38" s="7">
        <f t="shared" si="1"/>
        <v>47.116661501198735</v>
      </c>
      <c r="I38" s="13">
        <f t="shared" si="4"/>
        <v>2018</v>
      </c>
    </row>
    <row r="39" spans="1:9" x14ac:dyDescent="0.3">
      <c r="A39" s="1" t="s">
        <v>37</v>
      </c>
      <c r="B39" s="8">
        <v>6.5490000000000004</v>
      </c>
      <c r="C39" s="8">
        <v>7.58</v>
      </c>
      <c r="D39" s="8">
        <v>49.467400000000005</v>
      </c>
      <c r="E39" s="8">
        <f t="shared" si="5"/>
        <v>41.887400000000007</v>
      </c>
      <c r="F39" s="8">
        <v>-21.1587</v>
      </c>
      <c r="G39" s="8">
        <v>0.41549999999999998</v>
      </c>
      <c r="H39" s="7">
        <f t="shared" si="1"/>
        <v>50.65612008311922</v>
      </c>
      <c r="I39" s="13">
        <f t="shared" si="4"/>
        <v>2018</v>
      </c>
    </row>
    <row r="40" spans="1:9" x14ac:dyDescent="0.3">
      <c r="A40" s="1" t="s">
        <v>38</v>
      </c>
      <c r="B40" s="8">
        <v>7.5259999999999998</v>
      </c>
      <c r="C40" s="8">
        <v>6.5451000000000006</v>
      </c>
      <c r="D40" s="8">
        <v>45.008800000000001</v>
      </c>
      <c r="E40" s="8">
        <f t="shared" si="5"/>
        <v>38.463700000000003</v>
      </c>
      <c r="F40" s="8">
        <v>-11.432399999999999</v>
      </c>
      <c r="G40" s="8">
        <v>0.41880000000000001</v>
      </c>
      <c r="H40" s="7">
        <f t="shared" si="1"/>
        <v>46.090378261180014</v>
      </c>
      <c r="I40" s="13">
        <f t="shared" si="4"/>
        <v>2018</v>
      </c>
    </row>
    <row r="41" spans="1:9" x14ac:dyDescent="0.3">
      <c r="A41" s="1" t="s">
        <v>39</v>
      </c>
      <c r="B41" s="8">
        <v>6.26</v>
      </c>
      <c r="C41" s="8">
        <v>4.0741999999999994</v>
      </c>
      <c r="D41" s="8">
        <v>26.180499999999999</v>
      </c>
      <c r="E41" s="8">
        <f t="shared" si="5"/>
        <v>22.106299999999997</v>
      </c>
      <c r="F41" s="8">
        <v>7.8636999999999997</v>
      </c>
      <c r="G41" s="8">
        <v>0.38139999999999996</v>
      </c>
      <c r="H41" s="7">
        <f t="shared" si="1"/>
        <v>26.80962718550202</v>
      </c>
      <c r="I41" s="13">
        <f t="shared" si="4"/>
        <v>2018</v>
      </c>
    </row>
    <row r="42" spans="1:9" x14ac:dyDescent="0.3">
      <c r="A42" s="1" t="s">
        <v>40</v>
      </c>
      <c r="B42" s="8">
        <v>6.2649999999999997</v>
      </c>
      <c r="C42" s="8">
        <v>4.0491999999999999</v>
      </c>
      <c r="D42" s="8">
        <v>22.093</v>
      </c>
      <c r="E42" s="8">
        <f t="shared" si="5"/>
        <v>18.043800000000001</v>
      </c>
      <c r="F42" s="8">
        <v>12.520799999999999</v>
      </c>
      <c r="G42" s="8">
        <v>0.31239999999999996</v>
      </c>
      <c r="H42" s="7">
        <f t="shared" si="1"/>
        <v>22.623903035056479</v>
      </c>
      <c r="I42" s="13">
        <f t="shared" si="4"/>
        <v>2018</v>
      </c>
    </row>
    <row r="43" spans="1:9" x14ac:dyDescent="0.3">
      <c r="A43" s="1" t="s">
        <v>41</v>
      </c>
      <c r="B43" s="8">
        <v>6.101</v>
      </c>
      <c r="C43" s="8">
        <v>4.0256999999999996</v>
      </c>
      <c r="D43" s="8">
        <v>21.272400000000001</v>
      </c>
      <c r="E43" s="8">
        <f t="shared" si="5"/>
        <v>17.246700000000001</v>
      </c>
      <c r="F43" s="8">
        <v>12.0532</v>
      </c>
      <c r="G43" s="8">
        <v>0.33450000000000002</v>
      </c>
      <c r="H43" s="7">
        <f t="shared" si="1"/>
        <v>21.783583710810458</v>
      </c>
      <c r="I43" s="13">
        <f t="shared" si="4"/>
        <v>2018</v>
      </c>
    </row>
    <row r="44" spans="1:9" x14ac:dyDescent="0.3">
      <c r="A44" s="1" t="s">
        <v>42</v>
      </c>
      <c r="B44" s="8">
        <v>6.351</v>
      </c>
      <c r="C44" s="8">
        <v>5.9234</v>
      </c>
      <c r="D44" s="8">
        <v>20.8841</v>
      </c>
      <c r="E44" s="8">
        <f t="shared" si="5"/>
        <v>14.960699999999999</v>
      </c>
      <c r="F44" s="8">
        <v>11.762700000000001</v>
      </c>
      <c r="G44" s="8">
        <v>0.35270000000000001</v>
      </c>
      <c r="H44" s="7">
        <f t="shared" si="1"/>
        <v>21.385952716897798</v>
      </c>
      <c r="I44" s="13">
        <f t="shared" si="4"/>
        <v>2018</v>
      </c>
    </row>
    <row r="45" spans="1:9" x14ac:dyDescent="0.3">
      <c r="A45" s="1" t="s">
        <v>43</v>
      </c>
      <c r="B45" s="8">
        <v>6.1319999999999997</v>
      </c>
      <c r="C45" s="8">
        <v>6.1373999999999995</v>
      </c>
      <c r="D45" s="8">
        <v>21.2576</v>
      </c>
      <c r="E45" s="8">
        <f t="shared" si="5"/>
        <v>15.120200000000001</v>
      </c>
      <c r="F45" s="8">
        <v>12.7585</v>
      </c>
      <c r="G45" s="8">
        <v>0.3619</v>
      </c>
      <c r="H45" s="7">
        <f t="shared" si="1"/>
        <v>21.768428061287132</v>
      </c>
      <c r="I45" s="13">
        <f t="shared" si="4"/>
        <v>2018</v>
      </c>
    </row>
    <row r="46" spans="1:9" x14ac:dyDescent="0.3">
      <c r="A46" s="1" t="s">
        <v>44</v>
      </c>
      <c r="B46" s="8">
        <v>5.9980000000000002</v>
      </c>
      <c r="C46" s="8">
        <v>5.7824999999999998</v>
      </c>
      <c r="D46" s="8">
        <v>23.347099999999998</v>
      </c>
      <c r="E46" s="8">
        <f t="shared" si="5"/>
        <v>17.564599999999999</v>
      </c>
      <c r="F46" s="8">
        <v>9.9652999999999992</v>
      </c>
      <c r="G46" s="8">
        <v>0.36199999999999999</v>
      </c>
      <c r="H46" s="7">
        <f t="shared" si="1"/>
        <v>23.908139526083694</v>
      </c>
      <c r="I46" s="13">
        <f t="shared" si="4"/>
        <v>2018</v>
      </c>
    </row>
    <row r="47" spans="1:9" x14ac:dyDescent="0.3">
      <c r="A47" s="1" t="s">
        <v>45</v>
      </c>
      <c r="B47" s="8">
        <v>6.165</v>
      </c>
      <c r="C47" s="8">
        <v>6.5934999999999997</v>
      </c>
      <c r="D47" s="8">
        <v>30.103300000000001</v>
      </c>
      <c r="E47" s="8">
        <f t="shared" si="5"/>
        <v>23.509800000000002</v>
      </c>
      <c r="F47" s="8">
        <v>4.3953999999999995</v>
      </c>
      <c r="G47" s="8">
        <v>0.32739999999999997</v>
      </c>
      <c r="H47" s="7">
        <f t="shared" si="1"/>
        <v>30.826693533481905</v>
      </c>
      <c r="I47" s="13">
        <f t="shared" si="4"/>
        <v>2018</v>
      </c>
    </row>
    <row r="48" spans="1:9" x14ac:dyDescent="0.3">
      <c r="A48" s="1" t="s">
        <v>46</v>
      </c>
      <c r="B48" s="8">
        <v>6.5469999999999997</v>
      </c>
      <c r="C48" s="8">
        <v>7.9686000000000003</v>
      </c>
      <c r="D48" s="8">
        <v>40.886300000000006</v>
      </c>
      <c r="E48" s="8">
        <f t="shared" si="5"/>
        <v>32.917700000000004</v>
      </c>
      <c r="F48" s="8">
        <v>-6.1390000000000002</v>
      </c>
      <c r="G48" s="8">
        <v>0.33910000000000001</v>
      </c>
      <c r="H48" s="7">
        <f t="shared" si="1"/>
        <v>41.86881304767256</v>
      </c>
      <c r="I48" s="13">
        <f t="shared" si="4"/>
        <v>2018</v>
      </c>
    </row>
    <row r="49" spans="1:9" x14ac:dyDescent="0.3">
      <c r="A49" s="1" t="s">
        <v>47</v>
      </c>
      <c r="B49" s="8">
        <v>6.9939999999999998</v>
      </c>
      <c r="C49" s="8">
        <v>7.6917</v>
      </c>
      <c r="D49" s="8">
        <v>44.069699999999997</v>
      </c>
      <c r="E49" s="8">
        <f t="shared" si="5"/>
        <v>36.378</v>
      </c>
      <c r="F49" s="8">
        <v>-8.2780000000000005</v>
      </c>
      <c r="G49" s="8">
        <v>0.34470000000000001</v>
      </c>
      <c r="H49" s="7">
        <f t="shared" si="1"/>
        <v>45.128711337710065</v>
      </c>
      <c r="I49" s="13">
        <f t="shared" si="4"/>
        <v>2018</v>
      </c>
    </row>
    <row r="50" spans="1:9" x14ac:dyDescent="0.3">
      <c r="A50" s="1" t="s">
        <v>48</v>
      </c>
      <c r="B50" s="8">
        <v>6.96</v>
      </c>
      <c r="C50" s="8">
        <v>8.6442515835847651</v>
      </c>
      <c r="D50" s="8">
        <v>55.393269000000004</v>
      </c>
      <c r="E50" s="8">
        <f t="shared" si="5"/>
        <v>46.749017416415242</v>
      </c>
      <c r="F50" s="8"/>
      <c r="G50" s="8"/>
      <c r="H50" s="7">
        <f t="shared" si="1"/>
        <v>55.906729325098134</v>
      </c>
      <c r="I50" s="13">
        <f t="shared" si="4"/>
        <v>2019</v>
      </c>
    </row>
    <row r="51" spans="1:9" x14ac:dyDescent="0.3">
      <c r="A51" s="1" t="s">
        <v>49</v>
      </c>
      <c r="B51" s="8">
        <v>6.0750000000000002</v>
      </c>
      <c r="C51" s="8">
        <v>6.7902348979392162</v>
      </c>
      <c r="D51" s="8">
        <v>43.40307</v>
      </c>
      <c r="E51" s="8">
        <f t="shared" si="5"/>
        <v>36.612835102060785</v>
      </c>
      <c r="F51" s="8">
        <v>-10.749205</v>
      </c>
      <c r="G51" s="8"/>
      <c r="H51" s="7">
        <f t="shared" si="1"/>
        <v>43.805388816613927</v>
      </c>
      <c r="I51" s="13">
        <f t="shared" si="4"/>
        <v>2019</v>
      </c>
    </row>
    <row r="52" spans="1:9" x14ac:dyDescent="0.3">
      <c r="A52" s="1" t="s">
        <v>50</v>
      </c>
      <c r="B52" s="8">
        <v>6.5243019999999996</v>
      </c>
      <c r="C52" s="8">
        <v>6.3704143864248213</v>
      </c>
      <c r="D52" s="8">
        <v>39.106780000000001</v>
      </c>
      <c r="E52" s="8">
        <f t="shared" si="5"/>
        <v>32.736365613575181</v>
      </c>
      <c r="F52" s="8">
        <v>-0.95928499999999994</v>
      </c>
      <c r="G52" s="8">
        <v>0.371367</v>
      </c>
      <c r="H52" s="7">
        <f t="shared" si="1"/>
        <v>39.469274944509252</v>
      </c>
      <c r="I52" s="13">
        <f t="shared" si="4"/>
        <v>2019</v>
      </c>
    </row>
    <row r="53" spans="1:9" x14ac:dyDescent="0.3">
      <c r="A53" s="1" t="s">
        <v>51</v>
      </c>
      <c r="B53" s="8">
        <v>5.7460000000000004</v>
      </c>
      <c r="C53" s="8">
        <v>5.6133542396392233</v>
      </c>
      <c r="D53" s="8">
        <v>30.222604999999998</v>
      </c>
      <c r="E53" s="8">
        <f t="shared" si="5"/>
        <v>24.609250760360773</v>
      </c>
      <c r="F53" s="8">
        <v>7.9199120000000001</v>
      </c>
      <c r="G53" s="8"/>
      <c r="H53" s="7">
        <f t="shared" si="1"/>
        <v>30.50274930035917</v>
      </c>
      <c r="I53" s="13">
        <f t="shared" si="4"/>
        <v>2019</v>
      </c>
    </row>
    <row r="54" spans="1:9" x14ac:dyDescent="0.3">
      <c r="A54" s="1" t="s">
        <v>52</v>
      </c>
      <c r="B54" s="8">
        <v>6.0410000000000004</v>
      </c>
      <c r="C54" s="8">
        <v>5.9097643786413006</v>
      </c>
      <c r="D54" s="8">
        <v>27.768010999999998</v>
      </c>
      <c r="E54" s="8">
        <f t="shared" si="5"/>
        <v>21.858246621358695</v>
      </c>
      <c r="F54" s="8">
        <v>11.754903000000001</v>
      </c>
      <c r="G54" s="8"/>
      <c r="H54" s="7">
        <f t="shared" si="1"/>
        <v>28.025402777246224</v>
      </c>
      <c r="I54" s="13">
        <f t="shared" si="4"/>
        <v>2019</v>
      </c>
    </row>
    <row r="55" spans="1:9" x14ac:dyDescent="0.3">
      <c r="A55" s="1" t="s">
        <v>53</v>
      </c>
      <c r="B55" s="8">
        <v>5.6219999999999999</v>
      </c>
      <c r="C55" s="8">
        <v>5.7801749236977251</v>
      </c>
      <c r="D55" s="8">
        <v>21.388857999999999</v>
      </c>
      <c r="E55" s="8">
        <f t="shared" si="5"/>
        <v>15.608683076302274</v>
      </c>
      <c r="F55" s="8">
        <v>14.133253</v>
      </c>
      <c r="G55" s="8"/>
      <c r="H55" s="7">
        <f t="shared" si="1"/>
        <v>21.587119091652809</v>
      </c>
      <c r="I55" s="13">
        <f t="shared" si="4"/>
        <v>2019</v>
      </c>
    </row>
    <row r="56" spans="1:9" x14ac:dyDescent="0.3">
      <c r="A56" s="1" t="s">
        <v>54</v>
      </c>
      <c r="B56" s="8">
        <v>5.625</v>
      </c>
      <c r="C56" s="8">
        <v>6.9372794997993923</v>
      </c>
      <c r="D56" s="8">
        <v>24.668602</v>
      </c>
      <c r="E56" s="8">
        <f t="shared" si="5"/>
        <v>17.731322500200609</v>
      </c>
      <c r="F56" s="8">
        <v>10.236906000000001</v>
      </c>
      <c r="G56" s="8"/>
      <c r="H56" s="7">
        <f t="shared" si="1"/>
        <v>24.897264229749183</v>
      </c>
      <c r="I56" s="13">
        <f t="shared" si="4"/>
        <v>2019</v>
      </c>
    </row>
    <row r="57" spans="1:9" x14ac:dyDescent="0.3">
      <c r="A57" s="1" t="s">
        <v>55</v>
      </c>
      <c r="B57" s="8">
        <v>5.6470000000000002</v>
      </c>
      <c r="C57" s="8">
        <v>6.2359836462968854</v>
      </c>
      <c r="D57" s="8">
        <v>22.272241999999999</v>
      </c>
      <c r="E57" s="8">
        <f t="shared" si="5"/>
        <v>16.036258353703111</v>
      </c>
      <c r="F57" s="8">
        <v>9.9188340000000004</v>
      </c>
      <c r="G57" s="8"/>
      <c r="H57" s="7">
        <f t="shared" si="1"/>
        <v>22.478691498728519</v>
      </c>
      <c r="I57" s="13">
        <f t="shared" si="4"/>
        <v>2019</v>
      </c>
    </row>
    <row r="58" spans="1:9" x14ac:dyDescent="0.3">
      <c r="A58" s="1" t="s">
        <v>56</v>
      </c>
      <c r="B58" s="8">
        <v>4.9729999999999999</v>
      </c>
      <c r="C58" s="8">
        <v>6.4869760050739949</v>
      </c>
      <c r="D58" s="8">
        <v>25.193591000000001</v>
      </c>
      <c r="E58" s="8">
        <f t="shared" si="5"/>
        <v>18.706614994926007</v>
      </c>
      <c r="F58" s="8">
        <v>5.4530810000000001</v>
      </c>
      <c r="G58" s="8"/>
      <c r="H58" s="7">
        <f t="shared" si="1"/>
        <v>25.427119543427349</v>
      </c>
      <c r="I58" s="13">
        <f t="shared" si="4"/>
        <v>2019</v>
      </c>
    </row>
    <row r="59" spans="1:9" x14ac:dyDescent="0.3">
      <c r="A59" s="1" t="s">
        <v>57</v>
      </c>
      <c r="B59" s="8">
        <v>5.532</v>
      </c>
      <c r="C59" s="8">
        <v>7.3670016870327446</v>
      </c>
      <c r="D59" s="8">
        <v>31.867592000000002</v>
      </c>
      <c r="E59" s="8">
        <f t="shared" si="5"/>
        <v>24.500590312967258</v>
      </c>
      <c r="F59" s="8">
        <v>1.7268540000000001</v>
      </c>
      <c r="G59" s="8"/>
      <c r="H59" s="7">
        <f t="shared" si="1"/>
        <v>32.162984282199751</v>
      </c>
      <c r="I59" s="13">
        <f t="shared" si="4"/>
        <v>2019</v>
      </c>
    </row>
    <row r="60" spans="1:9" x14ac:dyDescent="0.3">
      <c r="A60" s="1" t="s">
        <v>58</v>
      </c>
      <c r="B60" s="8">
        <v>5.3646880000000001</v>
      </c>
      <c r="C60" s="8">
        <v>7.777069278164535</v>
      </c>
      <c r="D60" s="8">
        <v>40.803192000000003</v>
      </c>
      <c r="E60" s="8">
        <f t="shared" si="5"/>
        <v>33.02612272183547</v>
      </c>
      <c r="F60" s="8">
        <v>-3.7422520000000001</v>
      </c>
      <c r="G60" s="8">
        <v>0.36597500000000005</v>
      </c>
      <c r="H60" s="7">
        <f t="shared" si="1"/>
        <v>41.181411603348586</v>
      </c>
      <c r="I60" s="13">
        <f t="shared" si="4"/>
        <v>2019</v>
      </c>
    </row>
    <row r="61" spans="1:9" x14ac:dyDescent="0.3">
      <c r="A61" s="1" t="s">
        <v>59</v>
      </c>
      <c r="B61" s="8">
        <v>5.6109999999999998</v>
      </c>
      <c r="C61" s="8">
        <v>7.2933426049312322</v>
      </c>
      <c r="D61" s="8">
        <v>45.324967999999998</v>
      </c>
      <c r="E61" s="8">
        <f t="shared" si="5"/>
        <v>38.031625395068765</v>
      </c>
      <c r="F61" s="8">
        <v>-6.6445339999999993</v>
      </c>
      <c r="G61" s="8"/>
      <c r="H61" s="7">
        <f t="shared" si="1"/>
        <v>45.74510158706709</v>
      </c>
      <c r="I61" s="13">
        <f t="shared" si="4"/>
        <v>2019</v>
      </c>
    </row>
    <row r="62" spans="1:9" x14ac:dyDescent="0.3">
      <c r="A62" s="1" t="s">
        <v>60</v>
      </c>
      <c r="B62" s="8">
        <v>5.7119999999999997</v>
      </c>
      <c r="C62" s="8">
        <v>9.8956149999999994</v>
      </c>
      <c r="D62" s="8">
        <v>50.800794000000003</v>
      </c>
      <c r="E62" s="8">
        <f t="shared" si="5"/>
        <v>40.905179000000004</v>
      </c>
      <c r="F62" s="8"/>
      <c r="G62" s="8"/>
      <c r="H62" s="7">
        <f t="shared" si="1"/>
        <v>51.159446950714745</v>
      </c>
      <c r="I62" s="13">
        <f t="shared" si="4"/>
        <v>2020</v>
      </c>
    </row>
    <row r="63" spans="1:9" x14ac:dyDescent="0.3">
      <c r="A63" s="1" t="s">
        <v>61</v>
      </c>
      <c r="B63" s="8">
        <v>4.95</v>
      </c>
      <c r="C63" s="8">
        <v>7.651694</v>
      </c>
      <c r="D63" s="8">
        <v>41.751593</v>
      </c>
      <c r="E63" s="8">
        <f t="shared" si="5"/>
        <v>34.099899000000001</v>
      </c>
      <c r="F63" s="8"/>
      <c r="G63" s="8"/>
      <c r="H63" s="7">
        <f t="shared" si="1"/>
        <v>42.046358708317292</v>
      </c>
      <c r="I63" s="13">
        <f t="shared" si="4"/>
        <v>2020</v>
      </c>
    </row>
    <row r="64" spans="1:9" x14ac:dyDescent="0.3">
      <c r="A64" s="1" t="s">
        <v>62</v>
      </c>
      <c r="B64" s="8">
        <v>4.8410000000000002</v>
      </c>
      <c r="C64" s="8">
        <v>6.8916000000000004</v>
      </c>
      <c r="D64" s="8">
        <v>39.617110999999994</v>
      </c>
      <c r="E64" s="8">
        <f t="shared" si="5"/>
        <v>32.725510999999997</v>
      </c>
      <c r="F64" s="8"/>
      <c r="G64" s="8"/>
      <c r="H64" s="7">
        <f t="shared" si="1"/>
        <v>39.896807292915085</v>
      </c>
      <c r="I64" s="13">
        <f t="shared" si="4"/>
        <v>2020</v>
      </c>
    </row>
    <row r="65" spans="1:9" x14ac:dyDescent="0.3">
      <c r="A65" s="1" t="s">
        <v>63</v>
      </c>
      <c r="B65" s="8">
        <v>4.8540000000000001</v>
      </c>
      <c r="C65" s="8">
        <v>5.315042</v>
      </c>
      <c r="D65" s="8">
        <v>25.235971000000003</v>
      </c>
      <c r="E65" s="8">
        <f t="shared" si="5"/>
        <v>19.920929000000001</v>
      </c>
      <c r="F65" s="8"/>
      <c r="G65" s="8"/>
      <c r="H65" s="7">
        <f t="shared" si="1"/>
        <v>25.414136629917156</v>
      </c>
      <c r="I65" s="13">
        <f t="shared" si="4"/>
        <v>2020</v>
      </c>
    </row>
    <row r="66" spans="1:9" x14ac:dyDescent="0.3">
      <c r="A66" s="1" t="s">
        <v>64</v>
      </c>
      <c r="B66" s="8">
        <v>5.0069999999999997</v>
      </c>
      <c r="C66" s="8">
        <v>5.694979</v>
      </c>
      <c r="D66" s="8">
        <v>23.636816</v>
      </c>
      <c r="E66" s="8">
        <f t="shared" ref="E66:E97" si="6">D66-C66</f>
        <v>17.941837</v>
      </c>
      <c r="F66" s="8"/>
      <c r="G66" s="8"/>
      <c r="H66" s="7">
        <f t="shared" si="1"/>
        <v>23.803691616233504</v>
      </c>
      <c r="I66" s="13">
        <f t="shared" si="4"/>
        <v>2020</v>
      </c>
    </row>
    <row r="67" spans="1:9" x14ac:dyDescent="0.3">
      <c r="A67" s="1" t="s">
        <v>65</v>
      </c>
      <c r="B67" s="8">
        <v>4.05</v>
      </c>
      <c r="C67" s="8">
        <v>7.1467730000000005</v>
      </c>
      <c r="D67" s="8">
        <v>22.297217</v>
      </c>
      <c r="E67" s="8">
        <f t="shared" si="6"/>
        <v>15.150444</v>
      </c>
      <c r="F67" s="8"/>
      <c r="G67" s="8"/>
      <c r="H67" s="7">
        <f t="shared" ref="H67:H130" si="7">(_xlfn.XLOOKUP(I67,L:L,P:P)+100%)*D67</f>
        <v>22.454635064563654</v>
      </c>
      <c r="I67" s="13">
        <f t="shared" si="4"/>
        <v>2020</v>
      </c>
    </row>
    <row r="68" spans="1:9" x14ac:dyDescent="0.3">
      <c r="A68" s="1" t="s">
        <v>66</v>
      </c>
      <c r="B68" s="8">
        <v>3.927</v>
      </c>
      <c r="C68" s="8">
        <v>8.8320190000000007</v>
      </c>
      <c r="D68" s="8">
        <v>23.956234000000002</v>
      </c>
      <c r="E68" s="8">
        <f t="shared" si="6"/>
        <v>15.124215000000001</v>
      </c>
      <c r="F68" s="8"/>
      <c r="G68" s="8"/>
      <c r="H68" s="7">
        <f t="shared" si="7"/>
        <v>24.125364703195562</v>
      </c>
      <c r="I68" s="13">
        <f t="shared" si="4"/>
        <v>2020</v>
      </c>
    </row>
    <row r="69" spans="1:9" x14ac:dyDescent="0.3">
      <c r="A69" s="1" t="s">
        <v>67</v>
      </c>
      <c r="B69" s="8">
        <v>3.8079999999999998</v>
      </c>
      <c r="C69" s="8">
        <v>8.5688870000000001</v>
      </c>
      <c r="D69" s="8">
        <v>22.706947</v>
      </c>
      <c r="E69" s="8">
        <f t="shared" si="6"/>
        <v>14.138059999999999</v>
      </c>
      <c r="F69" s="8"/>
      <c r="G69" s="8"/>
      <c r="H69" s="7">
        <f t="shared" si="7"/>
        <v>22.8672577530814</v>
      </c>
      <c r="I69" s="13">
        <f t="shared" si="4"/>
        <v>2020</v>
      </c>
    </row>
    <row r="70" spans="1:9" x14ac:dyDescent="0.3">
      <c r="A70" s="1" t="s">
        <v>68</v>
      </c>
      <c r="B70" s="8">
        <v>3.5739999999999998</v>
      </c>
      <c r="C70" s="8">
        <v>8.0714070000000007</v>
      </c>
      <c r="D70" s="8">
        <v>24.952634999999997</v>
      </c>
      <c r="E70" s="8">
        <f t="shared" si="6"/>
        <v>16.881227999999997</v>
      </c>
      <c r="F70" s="8"/>
      <c r="G70" s="8"/>
      <c r="H70" s="7">
        <f t="shared" si="7"/>
        <v>25.128800281409926</v>
      </c>
      <c r="I70" s="13">
        <f t="shared" si="4"/>
        <v>2020</v>
      </c>
    </row>
    <row r="71" spans="1:9" x14ac:dyDescent="0.3">
      <c r="A71" s="1" t="s">
        <v>69</v>
      </c>
      <c r="B71" s="8">
        <v>4.47</v>
      </c>
      <c r="C71" s="8">
        <v>7.2525230000000001</v>
      </c>
      <c r="D71" s="8">
        <v>32.312945999999997</v>
      </c>
      <c r="E71" s="8">
        <f t="shared" si="6"/>
        <v>25.060422999999997</v>
      </c>
      <c r="F71" s="8"/>
      <c r="G71" s="8"/>
      <c r="H71" s="7">
        <f t="shared" si="7"/>
        <v>32.541074982180589</v>
      </c>
      <c r="I71" s="13">
        <f t="shared" si="4"/>
        <v>2020</v>
      </c>
    </row>
    <row r="72" spans="1:9" x14ac:dyDescent="0.3">
      <c r="A72" s="1" t="s">
        <v>70</v>
      </c>
      <c r="B72" s="8">
        <v>4.6020000000000003</v>
      </c>
      <c r="C72" s="8">
        <v>8.6245229999999999</v>
      </c>
      <c r="D72" s="8">
        <v>40.293759999999999</v>
      </c>
      <c r="E72" s="8">
        <f t="shared" si="6"/>
        <v>31.669236999999999</v>
      </c>
      <c r="F72" s="8"/>
      <c r="G72" s="8"/>
      <c r="H72" s="7">
        <f t="shared" si="7"/>
        <v>40.578233426131717</v>
      </c>
      <c r="I72" s="13">
        <f t="shared" si="4"/>
        <v>2020</v>
      </c>
    </row>
    <row r="73" spans="1:9" x14ac:dyDescent="0.3">
      <c r="A73" s="1" t="s">
        <v>71</v>
      </c>
      <c r="B73" s="8">
        <v>4.7889999999999997</v>
      </c>
      <c r="C73" s="8">
        <v>9.2444740000000003</v>
      </c>
      <c r="D73" s="8">
        <v>48.378784000000003</v>
      </c>
      <c r="E73" s="8">
        <f t="shared" si="6"/>
        <v>39.134309999999999</v>
      </c>
      <c r="F73" s="8"/>
      <c r="G73" s="8"/>
      <c r="H73" s="7">
        <f t="shared" si="7"/>
        <v>48.720337591339366</v>
      </c>
      <c r="I73" s="13">
        <f t="shared" si="4"/>
        <v>2020</v>
      </c>
    </row>
    <row r="74" spans="1:9" x14ac:dyDescent="0.3">
      <c r="A74" s="1" t="s">
        <v>72</v>
      </c>
      <c r="B74" s="8">
        <v>5.0741400000000008</v>
      </c>
      <c r="C74" s="8">
        <v>9.5682549999999988</v>
      </c>
      <c r="D74" s="8">
        <v>54.143962000000002</v>
      </c>
      <c r="E74" s="8">
        <f t="shared" si="6"/>
        <v>44.575707000000001</v>
      </c>
      <c r="F74" s="8"/>
      <c r="G74" s="8"/>
      <c r="H74" s="7">
        <f t="shared" si="7"/>
        <v>54.867787898483748</v>
      </c>
      <c r="I74" s="13">
        <f t="shared" si="4"/>
        <v>2021</v>
      </c>
    </row>
    <row r="75" spans="1:9" x14ac:dyDescent="0.3">
      <c r="A75" s="1" t="s">
        <v>73</v>
      </c>
      <c r="B75" s="8">
        <v>4.3507340000000001</v>
      </c>
      <c r="C75" s="8">
        <v>7.7962049999999996</v>
      </c>
      <c r="D75" s="8">
        <v>44.752249999999997</v>
      </c>
      <c r="E75" s="8">
        <f t="shared" si="6"/>
        <v>36.956044999999996</v>
      </c>
      <c r="F75" s="8"/>
      <c r="G75" s="8"/>
      <c r="H75" s="7">
        <f t="shared" si="7"/>
        <v>45.350522390288297</v>
      </c>
      <c r="I75" s="13">
        <f t="shared" si="4"/>
        <v>2021</v>
      </c>
    </row>
    <row r="76" spans="1:9" x14ac:dyDescent="0.3">
      <c r="A76" s="1" t="s">
        <v>74</v>
      </c>
      <c r="B76" s="8">
        <v>4.8293149999999994</v>
      </c>
      <c r="C76" s="8">
        <v>8.3591180000000005</v>
      </c>
      <c r="D76" s="8">
        <v>43.129750000000001</v>
      </c>
      <c r="E76" s="8">
        <f t="shared" si="6"/>
        <v>34.770631999999999</v>
      </c>
      <c r="F76" s="8">
        <v>-7.1994870000000004</v>
      </c>
      <c r="G76" s="8">
        <v>0.38908199999999998</v>
      </c>
      <c r="H76" s="7">
        <f t="shared" si="7"/>
        <v>43.706331928842395</v>
      </c>
      <c r="I76" s="13">
        <f t="shared" si="4"/>
        <v>2021</v>
      </c>
    </row>
    <row r="77" spans="1:9" x14ac:dyDescent="0.3">
      <c r="A77" s="1" t="s">
        <v>75</v>
      </c>
      <c r="B77" s="8">
        <v>4.5232130000000002</v>
      </c>
      <c r="C77" s="8">
        <v>7.7045770000000005</v>
      </c>
      <c r="D77" s="8">
        <v>35.910314</v>
      </c>
      <c r="E77" s="8">
        <f t="shared" si="6"/>
        <v>28.205736999999999</v>
      </c>
      <c r="F77" s="8">
        <v>0.102145</v>
      </c>
      <c r="G77" s="8">
        <v>0.389569</v>
      </c>
      <c r="H77" s="7">
        <f t="shared" si="7"/>
        <v>36.390382586334397</v>
      </c>
      <c r="I77" s="13">
        <f t="shared" si="4"/>
        <v>2021</v>
      </c>
    </row>
    <row r="78" spans="1:9" x14ac:dyDescent="0.3">
      <c r="A78" s="1" t="s">
        <v>76</v>
      </c>
      <c r="B78" s="8">
        <v>4.407629</v>
      </c>
      <c r="C78" s="8">
        <v>5.3787240000000001</v>
      </c>
      <c r="D78" s="8">
        <v>26.715104</v>
      </c>
      <c r="E78" s="8">
        <f t="shared" si="6"/>
        <v>21.336379999999998</v>
      </c>
      <c r="F78" s="8">
        <v>8.2404489999999999</v>
      </c>
      <c r="G78" s="8">
        <v>0.38240299999999999</v>
      </c>
      <c r="H78" s="7">
        <f t="shared" si="7"/>
        <v>27.072246023627429</v>
      </c>
      <c r="I78" s="13">
        <f t="shared" si="4"/>
        <v>2021</v>
      </c>
    </row>
    <row r="79" spans="1:9" x14ac:dyDescent="0.3">
      <c r="A79" s="1" t="s">
        <v>77</v>
      </c>
      <c r="B79" s="8">
        <v>3.6925689999999998</v>
      </c>
      <c r="C79" s="8">
        <v>6.4925609999999994</v>
      </c>
      <c r="D79" s="8">
        <v>21.938171999999998</v>
      </c>
      <c r="E79" s="8">
        <f t="shared" si="6"/>
        <v>15.445611</v>
      </c>
      <c r="F79" s="8">
        <v>10.613543999999999</v>
      </c>
      <c r="G79" s="8">
        <v>0.31312299999999998</v>
      </c>
      <c r="H79" s="7">
        <f t="shared" si="7"/>
        <v>22.231453401516031</v>
      </c>
      <c r="I79" s="13">
        <f t="shared" ref="I79:I138" si="8">I67+1</f>
        <v>2021</v>
      </c>
    </row>
    <row r="80" spans="1:9" x14ac:dyDescent="0.3">
      <c r="A80" s="1" t="s">
        <v>78</v>
      </c>
      <c r="B80" s="8">
        <v>3.9417409999999999</v>
      </c>
      <c r="C80" s="8">
        <v>6.7113450000000006</v>
      </c>
      <c r="D80" s="8">
        <v>21.534941</v>
      </c>
      <c r="E80" s="8">
        <f t="shared" si="6"/>
        <v>14.823595999999998</v>
      </c>
      <c r="F80" s="8">
        <v>9.3332409999999992</v>
      </c>
      <c r="G80" s="8">
        <v>0.31722400000000001</v>
      </c>
      <c r="H80" s="7">
        <f t="shared" si="7"/>
        <v>21.822831790447129</v>
      </c>
      <c r="I80" s="13">
        <f t="shared" si="8"/>
        <v>2021</v>
      </c>
    </row>
    <row r="81" spans="1:9" x14ac:dyDescent="0.3">
      <c r="A81" s="1" t="s">
        <v>79</v>
      </c>
      <c r="B81" s="8">
        <v>3.9682220000000004</v>
      </c>
      <c r="C81" s="8">
        <v>5.5680649999999998</v>
      </c>
      <c r="D81" s="8">
        <v>19.934652999999997</v>
      </c>
      <c r="E81" s="8">
        <f t="shared" si="6"/>
        <v>14.366587999999997</v>
      </c>
      <c r="F81" s="8">
        <v>11.176629999999999</v>
      </c>
      <c r="G81" s="8">
        <v>0.29214000000000001</v>
      </c>
      <c r="H81" s="7">
        <f t="shared" si="7"/>
        <v>20.201150271084199</v>
      </c>
      <c r="I81" s="13">
        <f t="shared" si="8"/>
        <v>2021</v>
      </c>
    </row>
    <row r="82" spans="1:9" x14ac:dyDescent="0.3">
      <c r="A82" s="1" t="s">
        <v>80</v>
      </c>
      <c r="B82" s="8">
        <v>3.7337530000000001</v>
      </c>
      <c r="C82" s="8">
        <v>6.8183959999999999</v>
      </c>
      <c r="D82" s="8">
        <v>22.904624999999999</v>
      </c>
      <c r="E82" s="8">
        <f t="shared" si="6"/>
        <v>16.086228999999999</v>
      </c>
      <c r="F82" s="8">
        <v>7.4984109999999999</v>
      </c>
      <c r="G82" s="8">
        <v>0.29948000000000002</v>
      </c>
      <c r="H82" s="7">
        <f t="shared" si="7"/>
        <v>23.2108264702592</v>
      </c>
      <c r="I82" s="13">
        <f t="shared" si="8"/>
        <v>2021</v>
      </c>
    </row>
    <row r="83" spans="1:9" x14ac:dyDescent="0.3">
      <c r="A83" s="1" t="s">
        <v>81</v>
      </c>
      <c r="B83" s="8">
        <v>3.7396500000000001</v>
      </c>
      <c r="C83" s="8">
        <v>6.8701340000000002</v>
      </c>
      <c r="D83" s="8">
        <v>30.375608</v>
      </c>
      <c r="E83" s="8">
        <f t="shared" si="6"/>
        <v>23.505474</v>
      </c>
      <c r="F83" s="8">
        <v>2.9155720000000001</v>
      </c>
      <c r="G83" s="8">
        <v>0.36251899999999998</v>
      </c>
      <c r="H83" s="7">
        <f t="shared" si="7"/>
        <v>30.781685629719636</v>
      </c>
      <c r="I83" s="13">
        <f t="shared" si="8"/>
        <v>2021</v>
      </c>
    </row>
    <row r="84" spans="1:9" x14ac:dyDescent="0.3">
      <c r="A84" s="1" t="s">
        <v>82</v>
      </c>
      <c r="B84" s="8">
        <v>4.0349960000000005</v>
      </c>
      <c r="C84" s="8">
        <v>9.7091250000000002</v>
      </c>
      <c r="D84" s="8">
        <v>42.197036999999995</v>
      </c>
      <c r="E84" s="8">
        <f t="shared" si="6"/>
        <v>32.487911999999994</v>
      </c>
      <c r="F84" s="8">
        <v>-10.66967</v>
      </c>
      <c r="G84" s="8">
        <v>0.37223600000000001</v>
      </c>
      <c r="H84" s="7">
        <f t="shared" si="7"/>
        <v>42.761149914748948</v>
      </c>
      <c r="I84" s="13">
        <f t="shared" si="8"/>
        <v>2021</v>
      </c>
    </row>
    <row r="85" spans="1:9" x14ac:dyDescent="0.3">
      <c r="A85" s="1" t="s">
        <v>83</v>
      </c>
      <c r="B85" s="8">
        <v>4.2183270000000004</v>
      </c>
      <c r="C85" s="8">
        <v>9.5294100000000004</v>
      </c>
      <c r="D85" s="8">
        <v>48.909345000000002</v>
      </c>
      <c r="E85" s="8">
        <f t="shared" si="6"/>
        <v>39.379935000000003</v>
      </c>
      <c r="F85" s="8">
        <v>-15.211292</v>
      </c>
      <c r="G85" s="8">
        <v>0.37725900000000001</v>
      </c>
      <c r="H85" s="7">
        <f t="shared" si="7"/>
        <v>49.563191694648545</v>
      </c>
      <c r="I85" s="13">
        <f t="shared" si="8"/>
        <v>2021</v>
      </c>
    </row>
    <row r="86" spans="1:9" x14ac:dyDescent="0.3">
      <c r="A86" s="1" t="s">
        <v>84</v>
      </c>
      <c r="B86" s="8">
        <v>4.7817250000000007</v>
      </c>
      <c r="C86" s="8">
        <v>9.6746820000000007</v>
      </c>
      <c r="D86" s="8">
        <v>50.201833000000001</v>
      </c>
      <c r="E86" s="8">
        <f t="shared" si="6"/>
        <v>40.527151000000003</v>
      </c>
      <c r="F86" s="8">
        <v>-16.824099999999998</v>
      </c>
      <c r="G86" s="8">
        <v>0.35438400000000003</v>
      </c>
      <c r="H86" s="7">
        <f t="shared" si="7"/>
        <v>51.494076577822291</v>
      </c>
      <c r="I86" s="13">
        <f t="shared" si="8"/>
        <v>2022</v>
      </c>
    </row>
    <row r="87" spans="1:9" x14ac:dyDescent="0.3">
      <c r="A87" s="1" t="s">
        <v>85</v>
      </c>
      <c r="B87" s="8">
        <v>3.84</v>
      </c>
      <c r="C87" s="8">
        <v>7.3939380000000003</v>
      </c>
      <c r="D87" s="8">
        <v>40.504224000000001</v>
      </c>
      <c r="E87" s="8">
        <f t="shared" si="6"/>
        <v>33.110286000000002</v>
      </c>
      <c r="F87" s="8">
        <v>-8.8891340000000003</v>
      </c>
      <c r="G87" s="8">
        <v>0.30780399999999997</v>
      </c>
      <c r="H87" s="7">
        <f t="shared" si="7"/>
        <v>41.546841773312693</v>
      </c>
      <c r="I87" s="13">
        <f t="shared" si="8"/>
        <v>2022</v>
      </c>
    </row>
    <row r="88" spans="1:9" x14ac:dyDescent="0.3">
      <c r="A88" s="1" t="s">
        <v>86</v>
      </c>
      <c r="B88" s="8">
        <v>4.1859999999999999</v>
      </c>
      <c r="C88" s="8">
        <v>8.4262430000000013</v>
      </c>
      <c r="D88" s="8">
        <v>39.689690999999996</v>
      </c>
      <c r="E88" s="8">
        <f t="shared" si="6"/>
        <v>31.263447999999997</v>
      </c>
      <c r="F88" s="8">
        <v>-2.8098839999999998</v>
      </c>
      <c r="G88" s="8">
        <v>0.33343</v>
      </c>
      <c r="H88" s="7">
        <f t="shared" si="7"/>
        <v>40.711341908653097</v>
      </c>
      <c r="I88" s="13">
        <f t="shared" si="8"/>
        <v>2022</v>
      </c>
    </row>
    <row r="89" spans="1:9" x14ac:dyDescent="0.3">
      <c r="A89" s="1" t="s">
        <v>87</v>
      </c>
      <c r="B89" s="8">
        <v>4.3239999999999998</v>
      </c>
      <c r="C89" s="8">
        <v>6.4045759999999996</v>
      </c>
      <c r="D89" s="8">
        <v>29.271615000000001</v>
      </c>
      <c r="E89" s="8">
        <f t="shared" si="6"/>
        <v>22.867039000000002</v>
      </c>
      <c r="F89" s="8">
        <v>7.3047839999999997</v>
      </c>
      <c r="G89" s="8">
        <v>0.30418299999999998</v>
      </c>
      <c r="H89" s="7">
        <f t="shared" si="7"/>
        <v>30.025094589006972</v>
      </c>
      <c r="I89" s="13">
        <f t="shared" si="8"/>
        <v>2022</v>
      </c>
    </row>
    <row r="90" spans="1:9" x14ac:dyDescent="0.3">
      <c r="A90" s="1" t="s">
        <v>88</v>
      </c>
      <c r="B90" s="8">
        <v>3.7949999999999999</v>
      </c>
      <c r="C90" s="8">
        <v>5.8861189999999999</v>
      </c>
      <c r="D90" s="8">
        <v>21.604011</v>
      </c>
      <c r="E90" s="8">
        <f t="shared" si="6"/>
        <v>15.717891999999999</v>
      </c>
      <c r="F90" s="8">
        <v>14.975095</v>
      </c>
      <c r="G90" s="8">
        <v>0.29905000000000004</v>
      </c>
      <c r="H90" s="7">
        <f t="shared" si="7"/>
        <v>22.160119070196405</v>
      </c>
      <c r="I90" s="13">
        <f t="shared" si="8"/>
        <v>2022</v>
      </c>
    </row>
    <row r="91" spans="1:9" x14ac:dyDescent="0.3">
      <c r="A91" s="1" t="s">
        <v>89</v>
      </c>
      <c r="B91" s="8">
        <v>3.335</v>
      </c>
      <c r="C91" s="8">
        <v>6.7180119999999999</v>
      </c>
      <c r="D91" s="8">
        <v>20.045344</v>
      </c>
      <c r="E91" s="8">
        <f t="shared" si="6"/>
        <v>13.327332</v>
      </c>
      <c r="F91" s="8">
        <v>11.737299</v>
      </c>
      <c r="G91" s="8">
        <v>0.29536000000000001</v>
      </c>
      <c r="H91" s="7">
        <f t="shared" si="7"/>
        <v>20.561330479004432</v>
      </c>
      <c r="I91" s="13">
        <f t="shared" si="8"/>
        <v>2022</v>
      </c>
    </row>
    <row r="92" spans="1:9" x14ac:dyDescent="0.3">
      <c r="A92" s="1" t="s">
        <v>90</v>
      </c>
      <c r="B92" s="8">
        <v>3.7010000000000001</v>
      </c>
      <c r="C92" s="8">
        <v>7.5881760000000007</v>
      </c>
      <c r="D92" s="8">
        <v>20.422202000000002</v>
      </c>
      <c r="E92" s="8">
        <f t="shared" si="6"/>
        <v>12.834026000000001</v>
      </c>
      <c r="F92" s="8">
        <v>11.828556000000001</v>
      </c>
      <c r="G92" s="8">
        <v>0.301591</v>
      </c>
      <c r="H92" s="7">
        <f t="shared" si="7"/>
        <v>20.947889167229324</v>
      </c>
      <c r="I92" s="13">
        <f t="shared" si="8"/>
        <v>2022</v>
      </c>
    </row>
    <row r="93" spans="1:9" x14ac:dyDescent="0.3">
      <c r="A93" s="1" t="s">
        <v>91</v>
      </c>
      <c r="B93" s="8">
        <v>3.6549999999999998</v>
      </c>
      <c r="C93" s="8">
        <v>7.3508130000000005</v>
      </c>
      <c r="D93" s="8">
        <v>18.328087</v>
      </c>
      <c r="E93" s="8">
        <f t="shared" si="6"/>
        <v>10.977274</v>
      </c>
      <c r="F93" s="8">
        <v>12.980949000000001</v>
      </c>
      <c r="G93" s="8">
        <v>0.26595100000000005</v>
      </c>
      <c r="H93" s="7">
        <f t="shared" si="7"/>
        <v>18.799869628325908</v>
      </c>
      <c r="I93" s="13">
        <f t="shared" si="8"/>
        <v>2022</v>
      </c>
    </row>
    <row r="94" spans="1:9" x14ac:dyDescent="0.3">
      <c r="A94" s="1" t="s">
        <v>92</v>
      </c>
      <c r="B94" s="8">
        <v>3.9119999999999999</v>
      </c>
      <c r="C94" s="8">
        <v>6.6783540000000006</v>
      </c>
      <c r="D94" s="8">
        <v>20.533580000000001</v>
      </c>
      <c r="E94" s="8">
        <f t="shared" si="6"/>
        <v>13.855226</v>
      </c>
      <c r="F94" s="8">
        <v>9.3051279999999998</v>
      </c>
      <c r="G94" s="8">
        <v>0.31739800000000001</v>
      </c>
      <c r="H94" s="7">
        <f t="shared" si="7"/>
        <v>21.062134144321789</v>
      </c>
      <c r="I94" s="13">
        <f t="shared" si="8"/>
        <v>2022</v>
      </c>
    </row>
    <row r="95" spans="1:9" x14ac:dyDescent="0.3">
      <c r="A95" s="1" t="s">
        <v>93</v>
      </c>
      <c r="B95" s="8">
        <v>3.512</v>
      </c>
      <c r="C95" s="8">
        <v>7.1861969999999999</v>
      </c>
      <c r="D95" s="8">
        <v>23.323187000000001</v>
      </c>
      <c r="E95" s="8">
        <f t="shared" si="6"/>
        <v>16.136990000000001</v>
      </c>
      <c r="F95" s="8">
        <v>6.6736570000000004</v>
      </c>
      <c r="G95" s="8">
        <v>0.34126000000000001</v>
      </c>
      <c r="H95" s="7">
        <f t="shared" si="7"/>
        <v>23.923548317784917</v>
      </c>
      <c r="I95" s="13">
        <f t="shared" si="8"/>
        <v>2022</v>
      </c>
    </row>
    <row r="96" spans="1:9" x14ac:dyDescent="0.3">
      <c r="A96" s="1" t="s">
        <v>94</v>
      </c>
      <c r="B96" s="8">
        <v>3.9049999999999998</v>
      </c>
      <c r="C96" s="8">
        <v>7.170363</v>
      </c>
      <c r="D96" s="8">
        <v>30.985768</v>
      </c>
      <c r="E96" s="8">
        <f t="shared" si="6"/>
        <v>23.815404999999998</v>
      </c>
      <c r="F96" s="8">
        <v>-2.3080379999999998</v>
      </c>
      <c r="G96" s="8">
        <v>0.34016800000000003</v>
      </c>
      <c r="H96" s="7">
        <f t="shared" si="7"/>
        <v>31.783371539733132</v>
      </c>
      <c r="I96" s="13">
        <f t="shared" si="8"/>
        <v>2022</v>
      </c>
    </row>
    <row r="97" spans="1:9" x14ac:dyDescent="0.3">
      <c r="A97" s="1" t="s">
        <v>95</v>
      </c>
      <c r="B97" s="8">
        <v>4.0339999999999998</v>
      </c>
      <c r="C97" s="8">
        <v>8.3324869999999986</v>
      </c>
      <c r="D97" s="8">
        <v>40.776243000000001</v>
      </c>
      <c r="E97" s="8">
        <f t="shared" si="6"/>
        <v>32.443756</v>
      </c>
      <c r="F97" s="8">
        <v>-10.018877</v>
      </c>
      <c r="G97" s="8">
        <v>0.367425</v>
      </c>
      <c r="H97" s="7">
        <f t="shared" si="7"/>
        <v>41.825862804608953</v>
      </c>
      <c r="I97" s="13">
        <f t="shared" si="8"/>
        <v>2022</v>
      </c>
    </row>
    <row r="98" spans="1:9" x14ac:dyDescent="0.3">
      <c r="A98" s="1" t="s">
        <v>96</v>
      </c>
      <c r="B98" s="8">
        <v>3.9083800000000002</v>
      </c>
      <c r="C98" s="8">
        <v>7.0242139999999997</v>
      </c>
      <c r="D98" s="8">
        <v>41.382120999999998</v>
      </c>
      <c r="E98" s="8">
        <f t="shared" ref="E98:E129" si="9">D98-C98</f>
        <v>34.357906999999997</v>
      </c>
      <c r="F98" s="8">
        <v>-13.785504000000001</v>
      </c>
      <c r="G98" s="8">
        <v>0.36401600000000001</v>
      </c>
      <c r="H98" s="7">
        <f t="shared" si="7"/>
        <v>41.911669955342255</v>
      </c>
      <c r="I98" s="13">
        <f t="shared" si="8"/>
        <v>2023</v>
      </c>
    </row>
    <row r="99" spans="1:9" x14ac:dyDescent="0.3">
      <c r="A99" s="1" t="s">
        <v>97</v>
      </c>
      <c r="B99" s="8">
        <v>3.4779450000000001</v>
      </c>
      <c r="C99" s="8">
        <v>7.6797500000000003</v>
      </c>
      <c r="D99" s="8">
        <v>37.651178999999999</v>
      </c>
      <c r="E99" s="8">
        <f t="shared" si="9"/>
        <v>29.971429000000001</v>
      </c>
      <c r="F99" s="8">
        <v>-11.457457</v>
      </c>
      <c r="G99" s="8">
        <v>0.29239499999999996</v>
      </c>
      <c r="H99" s="7">
        <f t="shared" si="7"/>
        <v>38.132984717663774</v>
      </c>
      <c r="I99" s="13">
        <f t="shared" si="8"/>
        <v>2023</v>
      </c>
    </row>
    <row r="100" spans="1:9" x14ac:dyDescent="0.3">
      <c r="A100" s="1" t="s">
        <v>98</v>
      </c>
      <c r="B100" s="8">
        <v>3.8083829999999996</v>
      </c>
      <c r="C100" s="8">
        <v>6.6808649999999998</v>
      </c>
      <c r="D100" s="8">
        <v>34.199981000000001</v>
      </c>
      <c r="E100" s="8">
        <f t="shared" si="9"/>
        <v>27.519116</v>
      </c>
      <c r="F100" s="8">
        <v>-5.4916719999999994</v>
      </c>
      <c r="G100" s="8">
        <v>0.29780599999999996</v>
      </c>
      <c r="H100" s="7">
        <f t="shared" si="7"/>
        <v>34.637623241954564</v>
      </c>
      <c r="I100" s="13">
        <f t="shared" si="8"/>
        <v>2023</v>
      </c>
    </row>
    <row r="101" spans="1:9" x14ac:dyDescent="0.3">
      <c r="A101" s="1" t="s">
        <v>99</v>
      </c>
      <c r="B101" s="8">
        <v>3.255836</v>
      </c>
      <c r="C101" s="8">
        <v>5.6527120000000002</v>
      </c>
      <c r="D101" s="8">
        <v>26.673490000000001</v>
      </c>
      <c r="E101" s="8">
        <f t="shared" si="9"/>
        <v>21.020778</v>
      </c>
      <c r="F101" s="8">
        <v>4.7364379999999997</v>
      </c>
      <c r="G101" s="8">
        <v>0.32871600000000001</v>
      </c>
      <c r="H101" s="7">
        <f t="shared" si="7"/>
        <v>27.01481901899427</v>
      </c>
      <c r="I101" s="13">
        <f t="shared" si="8"/>
        <v>2023</v>
      </c>
    </row>
    <row r="102" spans="1:9" x14ac:dyDescent="0.3">
      <c r="A102" s="1" t="s">
        <v>100</v>
      </c>
      <c r="B102" s="8">
        <v>3.0787070000000001</v>
      </c>
      <c r="C102" s="8">
        <v>4.8993379999999993</v>
      </c>
      <c r="D102" s="8">
        <v>20.304658</v>
      </c>
      <c r="E102" s="8">
        <f t="shared" si="9"/>
        <v>15.40532</v>
      </c>
      <c r="F102" s="8">
        <v>9.3994169999999997</v>
      </c>
      <c r="G102" s="8">
        <v>0.28927600000000003</v>
      </c>
      <c r="H102" s="7">
        <f t="shared" si="7"/>
        <v>20.564487853392041</v>
      </c>
      <c r="I102" s="13">
        <f t="shared" si="8"/>
        <v>2023</v>
      </c>
    </row>
    <row r="103" spans="1:9" x14ac:dyDescent="0.3">
      <c r="A103" s="1" t="s">
        <v>101</v>
      </c>
      <c r="B103" s="8">
        <v>2.9954369999999999</v>
      </c>
      <c r="C103" s="8">
        <v>5.7485159999999995</v>
      </c>
      <c r="D103" s="8">
        <v>18.27664</v>
      </c>
      <c r="E103" s="8">
        <f t="shared" si="9"/>
        <v>12.528124000000002</v>
      </c>
      <c r="F103" s="8">
        <v>8.197756</v>
      </c>
      <c r="G103" s="8">
        <v>0.28595800000000005</v>
      </c>
      <c r="H103" s="7">
        <f t="shared" si="7"/>
        <v>18.510518191481932</v>
      </c>
      <c r="I103" s="13">
        <f t="shared" si="8"/>
        <v>2023</v>
      </c>
    </row>
    <row r="104" spans="1:9" x14ac:dyDescent="0.3">
      <c r="A104" s="1" t="s">
        <v>102</v>
      </c>
      <c r="B104" s="8">
        <v>2.9924780000000002</v>
      </c>
      <c r="C104" s="8">
        <v>6.3598630000000007</v>
      </c>
      <c r="D104" s="8">
        <v>18.783752</v>
      </c>
      <c r="E104" s="8">
        <f t="shared" si="9"/>
        <v>12.423888999999999</v>
      </c>
      <c r="F104" s="8">
        <v>9.4940580000000008</v>
      </c>
      <c r="G104" s="8">
        <v>0.25997300000000001</v>
      </c>
      <c r="H104" s="7">
        <f t="shared" si="7"/>
        <v>19.024119482590077</v>
      </c>
      <c r="I104" s="13">
        <f t="shared" si="8"/>
        <v>2023</v>
      </c>
    </row>
    <row r="105" spans="1:9" x14ac:dyDescent="0.3">
      <c r="A105" s="1" t="s">
        <v>103</v>
      </c>
      <c r="B105" s="8">
        <v>3.101925</v>
      </c>
      <c r="C105" s="8">
        <v>5.9955690000000006</v>
      </c>
      <c r="D105" s="8">
        <v>17.920235999999999</v>
      </c>
      <c r="E105" s="8">
        <f t="shared" si="9"/>
        <v>11.924666999999999</v>
      </c>
      <c r="F105" s="8">
        <v>8.5751410000000003</v>
      </c>
      <c r="G105" s="8">
        <v>0.30071700000000001</v>
      </c>
      <c r="H105" s="7">
        <f t="shared" si="7"/>
        <v>18.149553444924745</v>
      </c>
      <c r="I105" s="13">
        <f t="shared" si="8"/>
        <v>2023</v>
      </c>
    </row>
    <row r="106" spans="1:9" x14ac:dyDescent="0.3">
      <c r="A106" s="1" t="s">
        <v>104</v>
      </c>
      <c r="B106" s="8">
        <v>2.8683909999999999</v>
      </c>
      <c r="C106" s="8">
        <v>6.0025150000000007</v>
      </c>
      <c r="D106" s="8">
        <v>19.332473</v>
      </c>
      <c r="E106" s="8">
        <f t="shared" si="9"/>
        <v>13.329958</v>
      </c>
      <c r="F106" s="8">
        <v>3.4376690000000001</v>
      </c>
      <c r="G106" s="8">
        <v>0.266092</v>
      </c>
      <c r="H106" s="7">
        <f t="shared" si="7"/>
        <v>19.579862225925186</v>
      </c>
      <c r="I106" s="13">
        <f t="shared" si="8"/>
        <v>2023</v>
      </c>
    </row>
    <row r="107" spans="1:9" x14ac:dyDescent="0.3">
      <c r="A107" s="1" t="s">
        <v>105</v>
      </c>
      <c r="B107" s="8">
        <v>2.7145039999999998</v>
      </c>
      <c r="C107" s="8">
        <v>5.9230330000000002</v>
      </c>
      <c r="D107" s="8">
        <v>23.408099999999997</v>
      </c>
      <c r="E107" s="8">
        <f t="shared" si="9"/>
        <v>17.485066999999997</v>
      </c>
      <c r="F107" s="8">
        <v>4.3029260000000003</v>
      </c>
      <c r="G107" s="8">
        <v>0.33774700000000002</v>
      </c>
      <c r="H107" s="7">
        <f t="shared" si="7"/>
        <v>23.707643247228603</v>
      </c>
      <c r="I107" s="13">
        <f t="shared" si="8"/>
        <v>2023</v>
      </c>
    </row>
    <row r="108" spans="1:9" x14ac:dyDescent="0.3">
      <c r="A108" s="1" t="s">
        <v>106</v>
      </c>
      <c r="B108" s="8">
        <v>2.6925079999999997</v>
      </c>
      <c r="C108" s="8">
        <v>6.2143079999999999</v>
      </c>
      <c r="D108" s="8">
        <v>33.124988999999999</v>
      </c>
      <c r="E108" s="8">
        <f t="shared" si="9"/>
        <v>26.910681</v>
      </c>
      <c r="F108" s="8">
        <v>-4.198969</v>
      </c>
      <c r="G108" s="8">
        <v>0.32595999999999997</v>
      </c>
      <c r="H108" s="7">
        <f t="shared" si="7"/>
        <v>33.548875038143713</v>
      </c>
      <c r="I108" s="13">
        <f t="shared" si="8"/>
        <v>2023</v>
      </c>
    </row>
    <row r="109" spans="1:9" x14ac:dyDescent="0.3">
      <c r="A109" s="1" t="s">
        <v>107</v>
      </c>
      <c r="B109" s="8">
        <v>2.7920739999999999</v>
      </c>
      <c r="C109" s="8">
        <v>6.9724110000000001</v>
      </c>
      <c r="D109" s="8">
        <v>39.142896999999998</v>
      </c>
      <c r="E109" s="8">
        <f t="shared" si="9"/>
        <v>32.170485999999997</v>
      </c>
      <c r="F109" s="8">
        <v>-10.167796000000001</v>
      </c>
      <c r="G109" s="8">
        <v>0.40166199999999996</v>
      </c>
      <c r="H109" s="7">
        <f t="shared" si="7"/>
        <v>39.643791582358872</v>
      </c>
      <c r="I109" s="13">
        <f t="shared" si="8"/>
        <v>2023</v>
      </c>
    </row>
    <row r="110" spans="1:9" x14ac:dyDescent="0.3">
      <c r="A110" s="1" t="s">
        <v>108</v>
      </c>
      <c r="B110" s="8">
        <v>2.8620920000000001</v>
      </c>
      <c r="C110" s="8">
        <v>8.1615000000000002</v>
      </c>
      <c r="D110" s="8">
        <v>45.309605000000005</v>
      </c>
      <c r="E110" s="8">
        <f t="shared" si="9"/>
        <v>37.148105000000001</v>
      </c>
      <c r="F110" s="8">
        <v>-17.793682</v>
      </c>
      <c r="G110" s="8">
        <v>0.33869099999999996</v>
      </c>
      <c r="H110" s="7">
        <f t="shared" si="7"/>
        <v>45.848177124660459</v>
      </c>
      <c r="I110" s="13">
        <f t="shared" si="8"/>
        <v>2024</v>
      </c>
    </row>
    <row r="111" spans="1:9" x14ac:dyDescent="0.3">
      <c r="A111" s="1" t="s">
        <v>109</v>
      </c>
      <c r="B111" s="8">
        <v>2.6255859999999998</v>
      </c>
      <c r="C111" s="8">
        <v>5.8879640000000002</v>
      </c>
      <c r="D111" s="8">
        <v>33.702360999999996</v>
      </c>
      <c r="E111" s="8">
        <f t="shared" si="9"/>
        <v>27.814396999999996</v>
      </c>
      <c r="F111" s="8">
        <v>-7.7567079999999997</v>
      </c>
      <c r="G111" s="8">
        <v>0.28451900000000002</v>
      </c>
      <c r="H111" s="7">
        <f t="shared" si="7"/>
        <v>34.102963745705765</v>
      </c>
      <c r="I111" s="13">
        <f t="shared" si="8"/>
        <v>2024</v>
      </c>
    </row>
    <row r="112" spans="1:9" x14ac:dyDescent="0.3">
      <c r="A112" s="1" t="s">
        <v>110</v>
      </c>
      <c r="B112" s="8">
        <v>2.8268</v>
      </c>
      <c r="C112" s="8">
        <v>5.8665959999999995</v>
      </c>
      <c r="D112" s="8">
        <v>31.793084999999998</v>
      </c>
      <c r="E112" s="8">
        <f t="shared" si="9"/>
        <v>25.926488999999997</v>
      </c>
      <c r="F112" s="8">
        <v>-4.2059679999999995</v>
      </c>
      <c r="G112" s="8"/>
      <c r="H112" s="7">
        <f t="shared" si="7"/>
        <v>32.17099315739754</v>
      </c>
      <c r="I112" s="13">
        <f t="shared" si="8"/>
        <v>2024</v>
      </c>
    </row>
    <row r="113" spans="1:9" x14ac:dyDescent="0.3">
      <c r="A113" s="1" t="s">
        <v>111</v>
      </c>
      <c r="B113" s="8">
        <v>2.5550569999999997</v>
      </c>
      <c r="C113" s="8">
        <v>4.4629799999999999</v>
      </c>
      <c r="D113" s="8">
        <v>24.459782000000001</v>
      </c>
      <c r="E113" s="8">
        <f t="shared" si="9"/>
        <v>19.996802000000002</v>
      </c>
      <c r="F113" s="8">
        <v>3.5716649999999999</v>
      </c>
      <c r="G113" s="8">
        <v>0.254579</v>
      </c>
      <c r="H113" s="7">
        <f t="shared" si="7"/>
        <v>24.750522931431021</v>
      </c>
      <c r="I113" s="13">
        <f t="shared" si="8"/>
        <v>2024</v>
      </c>
    </row>
    <row r="114" spans="1:9" x14ac:dyDescent="0.3">
      <c r="A114" s="1" t="s">
        <v>112</v>
      </c>
      <c r="B114" s="8">
        <v>2.6815509999999998</v>
      </c>
      <c r="C114" s="8">
        <v>4.111936</v>
      </c>
      <c r="D114" s="8">
        <v>19.267157000000001</v>
      </c>
      <c r="E114" s="8">
        <f t="shared" si="9"/>
        <v>15.155221000000001</v>
      </c>
      <c r="F114" s="8">
        <v>7.9581999999999997</v>
      </c>
      <c r="G114" s="8">
        <v>0.24118199999999998</v>
      </c>
      <c r="H114" s="7">
        <f t="shared" si="7"/>
        <v>19.496175851116814</v>
      </c>
      <c r="I114" s="13">
        <f t="shared" si="8"/>
        <v>2024</v>
      </c>
    </row>
    <row r="115" spans="1:9" x14ac:dyDescent="0.3">
      <c r="A115" s="1" t="s">
        <v>113</v>
      </c>
      <c r="B115" s="8">
        <v>2.428601</v>
      </c>
      <c r="C115" s="8">
        <v>4.3424550000000002</v>
      </c>
      <c r="D115" s="8">
        <v>17.713870999999997</v>
      </c>
      <c r="E115" s="8">
        <f t="shared" si="9"/>
        <v>13.371415999999996</v>
      </c>
      <c r="F115" s="8">
        <v>8.2603430000000007</v>
      </c>
      <c r="G115" s="8">
        <v>0.25652999999999998</v>
      </c>
      <c r="H115" s="7">
        <f t="shared" si="7"/>
        <v>17.924426734053103</v>
      </c>
      <c r="I115" s="13">
        <f t="shared" si="8"/>
        <v>2024</v>
      </c>
    </row>
    <row r="116" spans="1:9" x14ac:dyDescent="0.3">
      <c r="A116" s="1" t="s">
        <v>114</v>
      </c>
      <c r="B116" s="8">
        <v>2.6462109999999996</v>
      </c>
      <c r="C116" s="8">
        <v>5.5079889999999994</v>
      </c>
      <c r="D116" s="8">
        <v>18.578465999999999</v>
      </c>
      <c r="E116" s="8">
        <f t="shared" si="9"/>
        <v>13.070477</v>
      </c>
      <c r="F116" s="8">
        <v>7.7833839999999999</v>
      </c>
      <c r="G116" s="8">
        <v>0.249504</v>
      </c>
      <c r="H116" s="7">
        <f t="shared" si="7"/>
        <v>18.799298733071762</v>
      </c>
      <c r="I116" s="13">
        <f t="shared" si="8"/>
        <v>2024</v>
      </c>
    </row>
    <row r="117" spans="1:9" x14ac:dyDescent="0.3">
      <c r="A117" s="1" t="s">
        <v>115</v>
      </c>
      <c r="B117" s="8">
        <v>2.714245</v>
      </c>
      <c r="C117" s="8">
        <v>5.5368089999999999</v>
      </c>
      <c r="D117" s="8">
        <v>17.568258999999998</v>
      </c>
      <c r="E117" s="8">
        <f t="shared" si="9"/>
        <v>12.031449999999998</v>
      </c>
      <c r="F117" s="8">
        <v>8.7377749999999992</v>
      </c>
      <c r="G117" s="8">
        <v>0.287074</v>
      </c>
      <c r="H117" s="7">
        <f t="shared" si="7"/>
        <v>17.777083918606444</v>
      </c>
      <c r="I117" s="13">
        <f t="shared" si="8"/>
        <v>2024</v>
      </c>
    </row>
    <row r="118" spans="1:9" x14ac:dyDescent="0.3">
      <c r="A118" s="1" t="s">
        <v>116</v>
      </c>
      <c r="B118" s="8">
        <v>2.4081939999999999</v>
      </c>
      <c r="C118" s="8">
        <v>5.2881049999999998</v>
      </c>
      <c r="D118" s="8">
        <v>19.782132000000001</v>
      </c>
      <c r="E118" s="8">
        <f t="shared" si="9"/>
        <v>14.494027000000001</v>
      </c>
      <c r="F118" s="8">
        <v>2.029935</v>
      </c>
      <c r="G118" s="8">
        <v>0.262739</v>
      </c>
      <c r="H118" s="7">
        <f t="shared" si="7"/>
        <v>20.017272095826339</v>
      </c>
      <c r="I118" s="13">
        <f t="shared" si="8"/>
        <v>2024</v>
      </c>
    </row>
    <row r="119" spans="1:9" x14ac:dyDescent="0.3">
      <c r="A119" s="1" t="s">
        <v>117</v>
      </c>
      <c r="B119" s="8">
        <v>2.7092139999999998</v>
      </c>
      <c r="C119" s="8">
        <v>5.6293889999999998</v>
      </c>
      <c r="D119" s="8">
        <v>24.334717000000001</v>
      </c>
      <c r="E119" s="8">
        <f t="shared" si="9"/>
        <v>18.705328000000002</v>
      </c>
      <c r="F119" s="8">
        <v>1.5496800000000002</v>
      </c>
      <c r="G119" s="8">
        <v>0.312803</v>
      </c>
      <c r="H119" s="7">
        <f t="shared" si="7"/>
        <v>24.623971347675312</v>
      </c>
      <c r="I119" s="13">
        <f t="shared" si="8"/>
        <v>2024</v>
      </c>
    </row>
    <row r="120" spans="1:9" x14ac:dyDescent="0.3">
      <c r="A120" s="1" t="s">
        <v>118</v>
      </c>
      <c r="B120" s="8">
        <v>2.6878709999999999</v>
      </c>
      <c r="C120" s="8">
        <v>8.4638829999999992</v>
      </c>
      <c r="D120" s="8">
        <v>36.689588000000001</v>
      </c>
      <c r="E120" s="8">
        <f t="shared" si="9"/>
        <v>28.225705000000001</v>
      </c>
      <c r="F120" s="8">
        <v>-10.573647999999999</v>
      </c>
      <c r="G120" s="8">
        <v>0.30307499999999998</v>
      </c>
      <c r="H120" s="7">
        <f t="shared" si="7"/>
        <v>37.125698386794959</v>
      </c>
      <c r="I120" s="13">
        <f t="shared" si="8"/>
        <v>2024</v>
      </c>
    </row>
    <row r="121" spans="1:9" x14ac:dyDescent="0.3">
      <c r="A121" s="1" t="s">
        <v>119</v>
      </c>
      <c r="B121" s="8">
        <v>2.8940949999999996</v>
      </c>
      <c r="C121" s="8">
        <v>8.4255949999999995</v>
      </c>
      <c r="D121" s="8">
        <v>42.455175000000004</v>
      </c>
      <c r="E121" s="8">
        <f t="shared" si="9"/>
        <v>34.029580000000003</v>
      </c>
      <c r="F121" s="8">
        <v>-15.664605</v>
      </c>
      <c r="G121" s="8">
        <v>0.30383300000000002</v>
      </c>
      <c r="H121" s="7">
        <f t="shared" si="7"/>
        <v>42.959817973660478</v>
      </c>
      <c r="I121" s="13">
        <f t="shared" si="8"/>
        <v>2024</v>
      </c>
    </row>
    <row r="122" spans="1:9" x14ac:dyDescent="0.3">
      <c r="A122" s="1" t="s">
        <v>120</v>
      </c>
      <c r="B122" s="8">
        <v>2.8611070000000001</v>
      </c>
      <c r="C122" s="8">
        <v>8.9484339999999989</v>
      </c>
      <c r="D122" s="8">
        <v>45.022866</v>
      </c>
      <c r="E122" s="8">
        <f t="shared" si="9"/>
        <v>36.074432000000002</v>
      </c>
      <c r="F122" s="8">
        <v>-18.790223000000001</v>
      </c>
      <c r="G122" s="8">
        <v>0.31293099999999996</v>
      </c>
      <c r="H122" s="7">
        <f t="shared" si="7"/>
        <v>45.473094660000001</v>
      </c>
      <c r="I122" s="13">
        <f t="shared" si="8"/>
        <v>2025</v>
      </c>
    </row>
    <row r="123" spans="1:9" x14ac:dyDescent="0.3">
      <c r="A123" s="1" t="s">
        <v>121</v>
      </c>
      <c r="B123" s="8">
        <v>2.6286590000000003</v>
      </c>
      <c r="C123" s="8">
        <v>8.5780939999999983</v>
      </c>
      <c r="D123" s="8">
        <v>41.030476</v>
      </c>
      <c r="E123" s="8">
        <f t="shared" si="9"/>
        <v>32.452382</v>
      </c>
      <c r="F123" s="8">
        <v>-16.723706</v>
      </c>
      <c r="G123" s="8">
        <v>0.304253</v>
      </c>
      <c r="H123" s="7">
        <f t="shared" si="7"/>
        <v>41.440780760000003</v>
      </c>
      <c r="I123" s="13">
        <f t="shared" si="8"/>
        <v>2025</v>
      </c>
    </row>
    <row r="124" spans="1:9" x14ac:dyDescent="0.3">
      <c r="A124" s="1" t="s">
        <v>122</v>
      </c>
      <c r="B124" s="8">
        <v>2.8551770000000003</v>
      </c>
      <c r="C124" s="8">
        <v>6.8286890000000007</v>
      </c>
      <c r="D124" s="8">
        <v>33.255654999999997</v>
      </c>
      <c r="E124" s="8">
        <f t="shared" si="9"/>
        <v>26.426965999999997</v>
      </c>
      <c r="F124" s="8">
        <v>-4.5850100000000005</v>
      </c>
      <c r="G124" s="8">
        <v>0.28811200000000003</v>
      </c>
      <c r="H124" s="7">
        <f t="shared" si="7"/>
        <v>33.588211549999997</v>
      </c>
      <c r="I124" s="13">
        <f t="shared" si="8"/>
        <v>2025</v>
      </c>
    </row>
    <row r="125" spans="1:9" x14ac:dyDescent="0.3">
      <c r="A125" s="1" t="s">
        <v>123</v>
      </c>
      <c r="B125" s="8">
        <v>2.750346</v>
      </c>
      <c r="C125" s="8">
        <v>4.9749300000000005</v>
      </c>
      <c r="D125" s="8">
        <v>23.378258000000002</v>
      </c>
      <c r="E125" s="8">
        <f t="shared" si="9"/>
        <v>18.403328000000002</v>
      </c>
      <c r="F125" s="8">
        <v>5.5631509999999995</v>
      </c>
      <c r="G125" s="8">
        <v>0.26899099999999998</v>
      </c>
      <c r="H125" s="7">
        <f t="shared" si="7"/>
        <v>23.612040580000002</v>
      </c>
      <c r="I125" s="13">
        <f t="shared" si="8"/>
        <v>2025</v>
      </c>
    </row>
    <row r="126" spans="1:9" x14ac:dyDescent="0.3">
      <c r="A126" s="1" t="s">
        <v>124</v>
      </c>
      <c r="B126" s="8">
        <v>2.6311960000000001</v>
      </c>
      <c r="C126" s="8">
        <v>4.2568720000000004</v>
      </c>
      <c r="D126" s="8">
        <v>19.624609</v>
      </c>
      <c r="E126" s="8">
        <f t="shared" si="9"/>
        <v>15.367736999999998</v>
      </c>
      <c r="F126" s="8">
        <v>9.673858000000001</v>
      </c>
      <c r="G126" s="8">
        <v>0.26029199999999997</v>
      </c>
      <c r="H126" s="7">
        <f t="shared" si="7"/>
        <v>19.820855089999998</v>
      </c>
      <c r="I126" s="13">
        <f t="shared" si="8"/>
        <v>2025</v>
      </c>
    </row>
    <row r="127" spans="1:9" x14ac:dyDescent="0.3">
      <c r="A127" s="1" t="s">
        <v>125</v>
      </c>
      <c r="B127" s="8">
        <v>2.6400760000000001</v>
      </c>
      <c r="C127" s="8">
        <v>4.8256099999999993</v>
      </c>
      <c r="D127" s="8">
        <v>17.140524000000003</v>
      </c>
      <c r="E127" s="8">
        <f t="shared" si="9"/>
        <v>12.314914000000003</v>
      </c>
      <c r="F127" s="8">
        <v>10.890512000000001</v>
      </c>
      <c r="G127" s="8">
        <v>0.22920199999999999</v>
      </c>
      <c r="H127" s="7">
        <f t="shared" si="7"/>
        <v>17.311929240000001</v>
      </c>
      <c r="I127" s="13">
        <f t="shared" si="8"/>
        <v>2025</v>
      </c>
    </row>
    <row r="128" spans="1:9" x14ac:dyDescent="0.3">
      <c r="A128" s="1" t="s">
        <v>126</v>
      </c>
      <c r="B128" s="8">
        <v>2.7561930000000001</v>
      </c>
      <c r="C128" s="8">
        <v>5.9923540000000006</v>
      </c>
      <c r="D128" s="8">
        <v>18.331880000000002</v>
      </c>
      <c r="E128" s="8">
        <f t="shared" si="9"/>
        <v>12.339526000000001</v>
      </c>
      <c r="F128" s="8">
        <v>10.249163000000001</v>
      </c>
      <c r="G128" s="8">
        <v>0.236514</v>
      </c>
      <c r="H128" s="7">
        <f t="shared" si="7"/>
        <v>18.5151988</v>
      </c>
      <c r="I128" s="13">
        <f t="shared" si="8"/>
        <v>2025</v>
      </c>
    </row>
    <row r="129" spans="1:9" x14ac:dyDescent="0.3">
      <c r="A129" s="1" t="s">
        <v>127</v>
      </c>
      <c r="B129" s="8">
        <v>2.780065</v>
      </c>
      <c r="C129" s="8">
        <v>5.3255670000000004</v>
      </c>
      <c r="D129" s="8">
        <v>16.915458999999998</v>
      </c>
      <c r="E129" s="8">
        <f t="shared" si="9"/>
        <v>11.589891999999999</v>
      </c>
      <c r="F129" s="8">
        <v>9.5267549999999996</v>
      </c>
      <c r="G129" s="8">
        <v>0.23464400000000002</v>
      </c>
      <c r="H129" s="7">
        <f t="shared" si="7"/>
        <v>17.08461359</v>
      </c>
      <c r="I129" s="13">
        <f t="shared" si="8"/>
        <v>2025</v>
      </c>
    </row>
    <row r="130" spans="1:9" x14ac:dyDescent="0.3">
      <c r="A130" s="1" t="s">
        <v>128</v>
      </c>
      <c r="B130" s="8">
        <v>2.5263990000000001</v>
      </c>
      <c r="C130" s="8">
        <v>5.4717229999999999</v>
      </c>
      <c r="D130" s="8">
        <v>19.153530999999997</v>
      </c>
      <c r="E130" s="8">
        <f t="shared" ref="E130:E138" si="10">D130-C130</f>
        <v>13.681807999999997</v>
      </c>
      <c r="F130" s="8">
        <v>5.6705540000000001</v>
      </c>
      <c r="G130" s="8">
        <v>0.22285199999999999</v>
      </c>
      <c r="H130" s="7">
        <f t="shared" si="7"/>
        <v>19.345066309999996</v>
      </c>
      <c r="I130" s="13">
        <f t="shared" si="8"/>
        <v>2025</v>
      </c>
    </row>
    <row r="131" spans="1:9" x14ac:dyDescent="0.3">
      <c r="A131" s="1" t="s">
        <v>129</v>
      </c>
      <c r="B131" s="8">
        <v>2.7300079999999998</v>
      </c>
      <c r="C131" s="8">
        <v>7.0599239999999996</v>
      </c>
      <c r="D131" s="8">
        <v>27.782830000000001</v>
      </c>
      <c r="E131" s="8">
        <f t="shared" si="10"/>
        <v>20.722906000000002</v>
      </c>
      <c r="F131" s="8">
        <v>0.56970899999999991</v>
      </c>
      <c r="G131" s="8">
        <v>0.28428100000000001</v>
      </c>
      <c r="H131" s="7">
        <f t="shared" ref="H131:H138" si="11">(_xlfn.XLOOKUP(I131,L:L,P:P)+100%)*D131</f>
        <v>28.0606583</v>
      </c>
      <c r="I131" s="13">
        <f t="shared" si="8"/>
        <v>2025</v>
      </c>
    </row>
    <row r="132" spans="1:9" x14ac:dyDescent="0.3">
      <c r="A132" s="1" t="s">
        <v>130</v>
      </c>
      <c r="B132" s="8">
        <v>2.7645900000000001</v>
      </c>
      <c r="C132" s="8">
        <v>8.2683940000000007</v>
      </c>
      <c r="D132" s="8">
        <v>35.849961</v>
      </c>
      <c r="E132" s="8">
        <f t="shared" si="10"/>
        <v>27.581567</v>
      </c>
      <c r="F132" s="8">
        <v>-8.0727290000000007</v>
      </c>
      <c r="G132" s="8">
        <v>0.31658600000000003</v>
      </c>
      <c r="H132" s="7">
        <f t="shared" si="11"/>
        <v>36.208460610000003</v>
      </c>
      <c r="I132" s="13">
        <f t="shared" si="8"/>
        <v>2025</v>
      </c>
    </row>
    <row r="133" spans="1:9" x14ac:dyDescent="0.3">
      <c r="A133" s="1" t="s">
        <v>131</v>
      </c>
      <c r="B133" s="8">
        <v>2.8247629999999999</v>
      </c>
      <c r="C133" s="8">
        <v>9.5488359999999997</v>
      </c>
      <c r="D133" s="8">
        <v>42.005154000000005</v>
      </c>
      <c r="E133" s="8">
        <f t="shared" si="10"/>
        <v>32.456318000000003</v>
      </c>
      <c r="F133" s="8">
        <v>-14.427443999999999</v>
      </c>
      <c r="G133" s="8">
        <v>0.31242200000000003</v>
      </c>
      <c r="H133" s="7">
        <f t="shared" si="11"/>
        <v>42.425205540000007</v>
      </c>
      <c r="I133" s="13">
        <f t="shared" si="8"/>
        <v>2025</v>
      </c>
    </row>
    <row r="134" spans="1:9" x14ac:dyDescent="0.3">
      <c r="A134" s="1" t="s">
        <v>132</v>
      </c>
      <c r="B134" s="8">
        <v>2.8728000000000002</v>
      </c>
      <c r="C134" s="8">
        <v>11.360901999999999</v>
      </c>
      <c r="D134" s="8">
        <v>50.132728</v>
      </c>
      <c r="E134" s="8">
        <f t="shared" si="10"/>
        <v>38.771826000000004</v>
      </c>
      <c r="F134" s="8">
        <v>-22.625359</v>
      </c>
      <c r="G134" s="8">
        <v>0.34743000000000002</v>
      </c>
      <c r="H134" s="7">
        <f t="shared" si="11"/>
        <v>50.634055279999998</v>
      </c>
      <c r="I134" s="13">
        <f t="shared" si="8"/>
        <v>2026</v>
      </c>
    </row>
    <row r="135" spans="1:9" x14ac:dyDescent="0.3">
      <c r="A135" s="1" t="s">
        <v>133</v>
      </c>
      <c r="B135" s="8">
        <v>2.5756230000000002</v>
      </c>
      <c r="C135" s="8">
        <v>8.3562139999999996</v>
      </c>
      <c r="D135" s="8">
        <v>38.069201</v>
      </c>
      <c r="E135" s="8">
        <f t="shared" si="10"/>
        <v>29.712986999999998</v>
      </c>
      <c r="F135" s="8">
        <v>-11.540527000000001</v>
      </c>
      <c r="G135" s="8">
        <v>0.29695100000000002</v>
      </c>
      <c r="H135" s="7">
        <f t="shared" si="11"/>
        <v>38.449893009999997</v>
      </c>
      <c r="I135" s="13">
        <f t="shared" si="8"/>
        <v>2026</v>
      </c>
    </row>
    <row r="136" spans="1:9" x14ac:dyDescent="0.3">
      <c r="A136" s="1" t="s">
        <v>134</v>
      </c>
      <c r="B136" s="8">
        <v>2.753768</v>
      </c>
      <c r="C136" s="8">
        <v>6.3563799999999997</v>
      </c>
      <c r="D136" s="8">
        <v>31.703097000000003</v>
      </c>
      <c r="E136" s="8">
        <f t="shared" si="10"/>
        <v>25.346717000000005</v>
      </c>
      <c r="F136" s="8">
        <v>-2.0366</v>
      </c>
      <c r="G136" s="8">
        <v>0.30119000000000001</v>
      </c>
      <c r="H136" s="7">
        <f t="shared" si="11"/>
        <v>32.020127970000004</v>
      </c>
      <c r="I136" s="13">
        <f t="shared" si="8"/>
        <v>2026</v>
      </c>
    </row>
    <row r="137" spans="1:9" x14ac:dyDescent="0.3">
      <c r="A137" s="1" t="s">
        <v>135</v>
      </c>
      <c r="B137" s="8">
        <v>2.6210689999999999</v>
      </c>
      <c r="C137" s="8">
        <v>5.0064289999999998</v>
      </c>
      <c r="D137" s="8">
        <v>23.831610000000001</v>
      </c>
      <c r="E137" s="8">
        <f t="shared" si="10"/>
        <v>18.825181000000001</v>
      </c>
      <c r="F137" s="8">
        <v>4.5055020000000008</v>
      </c>
      <c r="G137" s="8">
        <v>0.28896499999999997</v>
      </c>
      <c r="H137" s="7">
        <f t="shared" si="11"/>
        <v>24.0699261</v>
      </c>
      <c r="I137" s="13">
        <f t="shared" si="8"/>
        <v>2026</v>
      </c>
    </row>
    <row r="138" spans="1:9" x14ac:dyDescent="0.3">
      <c r="A138" s="1" t="s">
        <v>136</v>
      </c>
      <c r="B138" s="8">
        <v>2.6543800000000002</v>
      </c>
      <c r="C138" s="8">
        <v>4.6633310000000003</v>
      </c>
      <c r="D138" s="8">
        <v>19.848102999999998</v>
      </c>
      <c r="E138" s="8">
        <f t="shared" si="10"/>
        <v>15.184771999999999</v>
      </c>
      <c r="F138" s="8">
        <v>8.2333199999999991</v>
      </c>
      <c r="G138" s="8">
        <v>0.20346600000000001</v>
      </c>
      <c r="H138" s="7">
        <f t="shared" si="11"/>
        <v>20.046584029999998</v>
      </c>
      <c r="I138" s="13">
        <f t="shared" si="8"/>
        <v>2026</v>
      </c>
    </row>
    <row r="139" spans="1:9" x14ac:dyDescent="0.3">
      <c r="A139" s="1"/>
      <c r="B139" s="5"/>
      <c r="C139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3A513-D673-4070-A12B-702E6F72D08F}">
  <dimension ref="A1:E139"/>
  <sheetViews>
    <sheetView workbookViewId="0">
      <selection sqref="A1:E1048576"/>
    </sheetView>
  </sheetViews>
  <sheetFormatPr defaultRowHeight="14.4" x14ac:dyDescent="0.3"/>
  <sheetData>
    <row r="1" spans="1:5" x14ac:dyDescent="0.3">
      <c r="A1" s="2" t="s">
        <v>137</v>
      </c>
      <c r="B1" s="3" t="s">
        <v>138</v>
      </c>
      <c r="C1" s="3" t="s">
        <v>139</v>
      </c>
      <c r="D1" s="3" t="s">
        <v>140</v>
      </c>
      <c r="E1" s="3" t="s">
        <v>141</v>
      </c>
    </row>
    <row r="2" spans="1:5" ht="15.6" x14ac:dyDescent="0.3">
      <c r="A2" s="1" t="s">
        <v>0</v>
      </c>
      <c r="B2" s="10">
        <v>3.6360000000000001</v>
      </c>
      <c r="C2" s="10">
        <v>1.6739999999999999</v>
      </c>
      <c r="D2" s="10">
        <v>9.2469999999999999</v>
      </c>
      <c r="E2" s="10">
        <v>7.5730000000000004</v>
      </c>
    </row>
    <row r="3" spans="1:5" ht="15.6" x14ac:dyDescent="0.3">
      <c r="A3" s="1" t="s">
        <v>1</v>
      </c>
      <c r="B3" s="10">
        <v>3.145</v>
      </c>
      <c r="C3" s="10">
        <v>2.1339999999999999</v>
      </c>
      <c r="D3" s="10">
        <v>8.4209999999999994</v>
      </c>
      <c r="E3" s="10">
        <v>6.2869999999999999</v>
      </c>
    </row>
    <row r="4" spans="1:5" ht="15.6" x14ac:dyDescent="0.3">
      <c r="A4" s="1" t="s">
        <v>2</v>
      </c>
      <c r="B4" s="10">
        <v>3.6829999999999998</v>
      </c>
      <c r="C4" s="10">
        <v>1.506</v>
      </c>
      <c r="D4" s="10">
        <v>7.86</v>
      </c>
      <c r="E4" s="10">
        <v>6.3540000000000001</v>
      </c>
    </row>
    <row r="5" spans="1:5" ht="15.6" x14ac:dyDescent="0.3">
      <c r="A5" s="1" t="s">
        <v>3</v>
      </c>
      <c r="B5" s="10">
        <v>3.399</v>
      </c>
      <c r="C5" s="10">
        <v>1.347</v>
      </c>
      <c r="D5" s="10">
        <v>5.5460000000000003</v>
      </c>
      <c r="E5" s="10">
        <v>4.1989999999999998</v>
      </c>
    </row>
    <row r="6" spans="1:5" ht="15.6" x14ac:dyDescent="0.3">
      <c r="A6" s="1" t="s">
        <v>4</v>
      </c>
      <c r="B6" s="10">
        <v>3.9159999999999999</v>
      </c>
      <c r="C6" s="10">
        <v>1.4119999999999999</v>
      </c>
      <c r="D6" s="10">
        <v>4.9429999999999996</v>
      </c>
      <c r="E6" s="10">
        <v>3.5310000000000001</v>
      </c>
    </row>
    <row r="7" spans="1:5" ht="15.6" x14ac:dyDescent="0.3">
      <c r="A7" s="1" t="s">
        <v>5</v>
      </c>
      <c r="B7" s="10">
        <v>3.3530000000000002</v>
      </c>
      <c r="C7" s="10">
        <v>1.528</v>
      </c>
      <c r="D7" s="10">
        <v>4.2060000000000004</v>
      </c>
      <c r="E7" s="10">
        <v>2.6779999999999999</v>
      </c>
    </row>
    <row r="8" spans="1:5" ht="15.6" x14ac:dyDescent="0.3">
      <c r="A8" s="1" t="s">
        <v>6</v>
      </c>
      <c r="B8" s="10">
        <v>3.1030000000000002</v>
      </c>
      <c r="C8" s="10">
        <v>1.5249999999999999</v>
      </c>
      <c r="D8" s="10">
        <v>3.8580000000000001</v>
      </c>
      <c r="E8" s="10">
        <v>2.3330000000000002</v>
      </c>
    </row>
    <row r="9" spans="1:5" ht="15.6" x14ac:dyDescent="0.3">
      <c r="A9" s="1" t="s">
        <v>7</v>
      </c>
      <c r="B9" s="10">
        <v>3.0630000000000002</v>
      </c>
      <c r="C9" s="10">
        <v>1.5820000000000001</v>
      </c>
      <c r="D9" s="10">
        <v>3.8460000000000001</v>
      </c>
      <c r="E9" s="10">
        <v>2.2639999999999998</v>
      </c>
    </row>
    <row r="10" spans="1:5" ht="15.6" x14ac:dyDescent="0.3">
      <c r="A10" s="1" t="s">
        <v>8</v>
      </c>
      <c r="B10" s="10">
        <v>2.9510000000000001</v>
      </c>
      <c r="C10" s="10">
        <v>1.9179999999999999</v>
      </c>
      <c r="D10" s="10">
        <v>4.6130000000000004</v>
      </c>
      <c r="E10" s="10">
        <v>2.6949999999999998</v>
      </c>
    </row>
    <row r="11" spans="1:5" ht="15.6" x14ac:dyDescent="0.3">
      <c r="A11" s="1" t="s">
        <v>9</v>
      </c>
      <c r="B11" s="10">
        <v>3.5289999999999999</v>
      </c>
      <c r="C11" s="10">
        <v>1.9319999999999999</v>
      </c>
      <c r="D11" s="10">
        <v>5.6929999999999996</v>
      </c>
      <c r="E11" s="10">
        <v>3.7610000000000001</v>
      </c>
    </row>
    <row r="12" spans="1:5" ht="15.6" x14ac:dyDescent="0.3">
      <c r="A12" s="1" t="s">
        <v>10</v>
      </c>
      <c r="B12" s="10">
        <v>3.7050000000000001</v>
      </c>
      <c r="C12" s="10">
        <v>1.879</v>
      </c>
      <c r="D12" s="10">
        <v>6.968</v>
      </c>
      <c r="E12" s="10">
        <v>5.0890000000000004</v>
      </c>
    </row>
    <row r="13" spans="1:5" ht="15.6" x14ac:dyDescent="0.3">
      <c r="A13" s="1" t="s">
        <v>11</v>
      </c>
      <c r="B13" s="10">
        <v>3.8279999999999998</v>
      </c>
      <c r="C13" s="10">
        <v>1.702</v>
      </c>
      <c r="D13" s="10">
        <v>6.9729999999999999</v>
      </c>
      <c r="E13" s="10">
        <v>5.2709999999999999</v>
      </c>
    </row>
    <row r="14" spans="1:5" ht="15.6" x14ac:dyDescent="0.3">
      <c r="A14" s="1" t="s">
        <v>12</v>
      </c>
      <c r="B14" s="10">
        <v>3.7650000000000001</v>
      </c>
      <c r="C14" s="10">
        <v>2.1619999999999999</v>
      </c>
      <c r="D14" s="10">
        <v>9.1920000000000002</v>
      </c>
      <c r="E14" s="10">
        <v>7.03</v>
      </c>
    </row>
    <row r="15" spans="1:5" ht="15.6" x14ac:dyDescent="0.3">
      <c r="A15" s="1" t="s">
        <v>13</v>
      </c>
      <c r="B15" s="10">
        <v>3.3069999999999999</v>
      </c>
      <c r="C15" s="10">
        <v>2.0619999999999998</v>
      </c>
      <c r="D15" s="10">
        <v>8.6289999999999996</v>
      </c>
      <c r="E15" s="10">
        <v>6.5670000000000002</v>
      </c>
    </row>
    <row r="16" spans="1:5" ht="15.6" x14ac:dyDescent="0.3">
      <c r="A16" s="1" t="s">
        <v>14</v>
      </c>
      <c r="B16" s="10">
        <v>3.548</v>
      </c>
      <c r="C16" s="10">
        <v>2.4329999999999998</v>
      </c>
      <c r="D16" s="10">
        <v>8.7629999999999999</v>
      </c>
      <c r="E16" s="10">
        <v>6.33</v>
      </c>
    </row>
    <row r="17" spans="1:5" ht="15.6" x14ac:dyDescent="0.3">
      <c r="A17" s="1" t="s">
        <v>15</v>
      </c>
      <c r="B17" s="10">
        <v>3.4950000000000001</v>
      </c>
      <c r="C17" s="10">
        <v>2.4089999999999998</v>
      </c>
      <c r="D17" s="10">
        <v>7.3360000000000003</v>
      </c>
      <c r="E17" s="10">
        <v>4.9269999999999996</v>
      </c>
    </row>
    <row r="18" spans="1:5" ht="15.6" x14ac:dyDescent="0.3">
      <c r="A18" s="1" t="s">
        <v>16</v>
      </c>
      <c r="B18" s="10">
        <v>3.5830000000000002</v>
      </c>
      <c r="C18" s="10">
        <v>2.1469999999999998</v>
      </c>
      <c r="D18" s="10">
        <v>5.1820000000000004</v>
      </c>
      <c r="E18" s="10">
        <v>3.0350000000000001</v>
      </c>
    </row>
    <row r="19" spans="1:5" ht="15.6" x14ac:dyDescent="0.3">
      <c r="A19" s="1" t="s">
        <v>17</v>
      </c>
      <c r="B19" s="10">
        <v>3.016</v>
      </c>
      <c r="C19" s="10">
        <v>2.1659999999999999</v>
      </c>
      <c r="D19" s="10">
        <v>4.5570000000000004</v>
      </c>
      <c r="E19" s="10">
        <v>2.391</v>
      </c>
    </row>
    <row r="20" spans="1:5" ht="15.6" x14ac:dyDescent="0.3">
      <c r="A20" s="1" t="s">
        <v>18</v>
      </c>
      <c r="B20" s="10">
        <v>3.6</v>
      </c>
      <c r="C20" s="10">
        <v>2.0920000000000001</v>
      </c>
      <c r="D20" s="10">
        <v>4.2050000000000001</v>
      </c>
      <c r="E20" s="10">
        <v>2.113</v>
      </c>
    </row>
    <row r="21" spans="1:5" ht="15.6" x14ac:dyDescent="0.3">
      <c r="A21" s="1" t="s">
        <v>19</v>
      </c>
      <c r="B21" s="10">
        <v>3.085</v>
      </c>
      <c r="C21" s="10">
        <v>2.0390000000000001</v>
      </c>
      <c r="D21" s="10">
        <v>4.1360000000000001</v>
      </c>
      <c r="E21" s="10">
        <v>2.097</v>
      </c>
    </row>
    <row r="22" spans="1:5" ht="15.6" x14ac:dyDescent="0.3">
      <c r="A22" s="1" t="s">
        <v>20</v>
      </c>
      <c r="B22" s="10">
        <v>3.2189999999999999</v>
      </c>
      <c r="C22" s="10">
        <v>2.129</v>
      </c>
      <c r="D22" s="10">
        <v>4.4340000000000002</v>
      </c>
      <c r="E22" s="10">
        <v>2.3050000000000002</v>
      </c>
    </row>
    <row r="23" spans="1:5" ht="15.6" x14ac:dyDescent="0.3">
      <c r="A23" s="1" t="s">
        <v>21</v>
      </c>
      <c r="B23" s="10">
        <v>3.61</v>
      </c>
      <c r="C23" s="10">
        <v>2.544</v>
      </c>
      <c r="D23" s="10">
        <v>6.6769999999999996</v>
      </c>
      <c r="E23" s="10">
        <v>4.133</v>
      </c>
    </row>
    <row r="24" spans="1:5" ht="15.6" x14ac:dyDescent="0.3">
      <c r="A24" s="1" t="s">
        <v>22</v>
      </c>
      <c r="B24" s="10">
        <v>3.581</v>
      </c>
      <c r="C24" s="10">
        <v>2.6789999999999998</v>
      </c>
      <c r="D24" s="10">
        <v>8.9250000000000007</v>
      </c>
      <c r="E24" s="10">
        <v>6.2460000000000004</v>
      </c>
    </row>
    <row r="25" spans="1:5" ht="15.6" x14ac:dyDescent="0.3">
      <c r="A25" s="1" t="s">
        <v>23</v>
      </c>
      <c r="B25" s="10">
        <v>3.7970000000000002</v>
      </c>
      <c r="C25" s="10">
        <v>2.6779999999999999</v>
      </c>
      <c r="D25" s="10">
        <v>9.1999999999999993</v>
      </c>
      <c r="E25" s="10">
        <v>6.5220000000000002</v>
      </c>
    </row>
    <row r="26" spans="1:5" ht="15.6" x14ac:dyDescent="0.3">
      <c r="A26" s="1" t="s">
        <v>24</v>
      </c>
      <c r="B26" s="10">
        <v>4.0510000000000002</v>
      </c>
      <c r="C26" s="10">
        <v>2.746</v>
      </c>
      <c r="D26" s="10">
        <v>10.439</v>
      </c>
      <c r="E26" s="10">
        <v>7.6929999999999996</v>
      </c>
    </row>
    <row r="27" spans="1:5" ht="15.6" x14ac:dyDescent="0.3">
      <c r="A27" s="1" t="s">
        <v>25</v>
      </c>
      <c r="B27" s="10">
        <v>3.395</v>
      </c>
      <c r="C27" s="10">
        <v>1.929</v>
      </c>
      <c r="D27" s="10">
        <v>8.2249999999999996</v>
      </c>
      <c r="E27" s="10">
        <v>6.2960000000000003</v>
      </c>
    </row>
    <row r="28" spans="1:5" ht="15.6" x14ac:dyDescent="0.3">
      <c r="A28" s="1" t="s">
        <v>26</v>
      </c>
      <c r="B28" s="10">
        <v>3.734</v>
      </c>
      <c r="C28" s="10">
        <v>2.226</v>
      </c>
      <c r="D28" s="10">
        <v>7.806</v>
      </c>
      <c r="E28" s="10">
        <v>5.58</v>
      </c>
    </row>
    <row r="29" spans="1:5" ht="15.6" x14ac:dyDescent="0.3">
      <c r="A29" s="1" t="s">
        <v>27</v>
      </c>
      <c r="B29" s="10">
        <v>3.6749999999999998</v>
      </c>
      <c r="C29" s="10">
        <v>2.19</v>
      </c>
      <c r="D29" s="10">
        <v>6.3639999999999999</v>
      </c>
      <c r="E29" s="10">
        <v>4.1740000000000004</v>
      </c>
    </row>
    <row r="30" spans="1:5" ht="15.6" x14ac:dyDescent="0.3">
      <c r="A30" s="1" t="s">
        <v>28</v>
      </c>
      <c r="B30" s="10">
        <v>3.718</v>
      </c>
      <c r="C30" s="10">
        <v>2.1749999999999998</v>
      </c>
      <c r="D30" s="10">
        <v>5.2469999999999999</v>
      </c>
      <c r="E30" s="10">
        <v>3.0720000000000001</v>
      </c>
    </row>
    <row r="31" spans="1:5" ht="15.6" x14ac:dyDescent="0.3">
      <c r="A31" s="1" t="s">
        <v>29</v>
      </c>
      <c r="B31" s="10">
        <v>3.2839999999999998</v>
      </c>
      <c r="C31" s="10">
        <v>1.895</v>
      </c>
      <c r="D31" s="10">
        <v>4.1470000000000002</v>
      </c>
      <c r="E31" s="10">
        <v>2.2519999999999998</v>
      </c>
    </row>
    <row r="32" spans="1:5" ht="15.6" x14ac:dyDescent="0.3">
      <c r="A32" s="1" t="s">
        <v>30</v>
      </c>
      <c r="B32" s="10">
        <v>3.1920000000000002</v>
      </c>
      <c r="C32" s="10">
        <v>2.0369999999999999</v>
      </c>
      <c r="D32" s="10">
        <v>4.1589999999999998</v>
      </c>
      <c r="E32" s="10">
        <v>2.1219999999999999</v>
      </c>
    </row>
    <row r="33" spans="1:5" ht="15.6" x14ac:dyDescent="0.3">
      <c r="A33" s="1" t="s">
        <v>31</v>
      </c>
      <c r="B33" s="10">
        <v>2.6890000000000001</v>
      </c>
      <c r="C33" s="10">
        <v>2.1680000000000001</v>
      </c>
      <c r="D33" s="10">
        <v>4.1630000000000003</v>
      </c>
      <c r="E33" s="10">
        <v>1.9950000000000001</v>
      </c>
    </row>
    <row r="34" spans="1:5" ht="15.6" x14ac:dyDescent="0.3">
      <c r="A34" s="1" t="s">
        <v>32</v>
      </c>
      <c r="B34" s="10">
        <v>3.0790000000000002</v>
      </c>
      <c r="C34" s="10">
        <v>2.4470000000000001</v>
      </c>
      <c r="D34" s="10">
        <v>4.7869999999999999</v>
      </c>
      <c r="E34" s="10">
        <v>2.34</v>
      </c>
    </row>
    <row r="35" spans="1:5" ht="15.6" x14ac:dyDescent="0.3">
      <c r="A35" s="1" t="s">
        <v>33</v>
      </c>
      <c r="B35" s="10">
        <v>4.0199999999999996</v>
      </c>
      <c r="C35" s="10">
        <v>2.8370000000000002</v>
      </c>
      <c r="D35" s="10">
        <v>6.0049999999999999</v>
      </c>
      <c r="E35" s="10">
        <v>3.1680000000000001</v>
      </c>
    </row>
    <row r="36" spans="1:5" ht="15.6" x14ac:dyDescent="0.3">
      <c r="A36" s="1" t="s">
        <v>34</v>
      </c>
      <c r="B36" s="10">
        <v>3.9430000000000001</v>
      </c>
      <c r="C36" s="10">
        <v>3.0649999999999999</v>
      </c>
      <c r="D36" s="10">
        <v>8.4429999999999996</v>
      </c>
      <c r="E36" s="10">
        <v>5.3780000000000001</v>
      </c>
    </row>
    <row r="37" spans="1:5" ht="15.6" x14ac:dyDescent="0.3">
      <c r="A37" s="1" t="s">
        <v>35</v>
      </c>
      <c r="B37" s="10">
        <v>3.1070000000000002</v>
      </c>
      <c r="C37" s="10">
        <v>3.0259999999999998</v>
      </c>
      <c r="D37" s="10">
        <v>9.7769999999999992</v>
      </c>
      <c r="E37" s="10">
        <v>6.7510000000000003</v>
      </c>
    </row>
    <row r="38" spans="1:5" ht="15.6" x14ac:dyDescent="0.3">
      <c r="A38" s="1" t="s">
        <v>36</v>
      </c>
      <c r="B38" s="10">
        <v>3.7850000000000001</v>
      </c>
      <c r="C38" s="10">
        <v>2.423</v>
      </c>
      <c r="D38" s="10">
        <v>9.8770000000000007</v>
      </c>
      <c r="E38" s="10">
        <v>7.4539999999999997</v>
      </c>
    </row>
    <row r="39" spans="1:5" ht="15.6" x14ac:dyDescent="0.3">
      <c r="A39" s="1" t="s">
        <v>37</v>
      </c>
      <c r="B39" s="10">
        <v>3.4620000000000002</v>
      </c>
      <c r="C39" s="10">
        <v>2.1160000000000001</v>
      </c>
      <c r="D39" s="10">
        <v>9.4269999999999996</v>
      </c>
      <c r="E39" s="10">
        <v>7.3109999999999999</v>
      </c>
    </row>
    <row r="40" spans="1:5" ht="15.6" x14ac:dyDescent="0.3">
      <c r="A40" s="1" t="s">
        <v>38</v>
      </c>
      <c r="B40" s="10">
        <v>3.5449999999999999</v>
      </c>
      <c r="C40" s="10">
        <v>2.036</v>
      </c>
      <c r="D40" s="10">
        <v>9.3789999999999996</v>
      </c>
      <c r="E40" s="10">
        <v>7.343</v>
      </c>
    </row>
    <row r="41" spans="1:5" ht="15.6" x14ac:dyDescent="0.3">
      <c r="A41" s="1" t="s">
        <v>39</v>
      </c>
      <c r="B41" s="10">
        <v>3.7330000000000001</v>
      </c>
      <c r="C41" s="10">
        <v>2.327</v>
      </c>
      <c r="D41" s="10">
        <v>6.8710000000000004</v>
      </c>
      <c r="E41" s="10">
        <v>4.5439999999999996</v>
      </c>
    </row>
    <row r="42" spans="1:5" ht="15.6" x14ac:dyDescent="0.3">
      <c r="A42" s="1" t="s">
        <v>40</v>
      </c>
      <c r="B42" s="10">
        <v>3.5110000000000001</v>
      </c>
      <c r="C42" s="10">
        <v>2.13</v>
      </c>
      <c r="D42" s="10">
        <v>4.8639999999999999</v>
      </c>
      <c r="E42" s="10">
        <v>2.734</v>
      </c>
    </row>
    <row r="43" spans="1:5" ht="15.6" x14ac:dyDescent="0.3">
      <c r="A43" s="1" t="s">
        <v>41</v>
      </c>
      <c r="B43" s="10">
        <v>2.9329999999999998</v>
      </c>
      <c r="C43" s="10">
        <v>2.1139999999999999</v>
      </c>
      <c r="D43" s="10">
        <v>4.165</v>
      </c>
      <c r="E43" s="10">
        <v>2.0510000000000002</v>
      </c>
    </row>
    <row r="44" spans="1:5" ht="15.6" x14ac:dyDescent="0.3">
      <c r="A44" s="1" t="s">
        <v>42</v>
      </c>
      <c r="B44" s="10">
        <v>3.351</v>
      </c>
      <c r="C44" s="10">
        <v>2.2850000000000001</v>
      </c>
      <c r="D44" s="10">
        <v>4.242</v>
      </c>
      <c r="E44" s="10">
        <v>1.9570000000000001</v>
      </c>
    </row>
    <row r="45" spans="1:5" ht="15.6" x14ac:dyDescent="0.3">
      <c r="A45" s="1" t="s">
        <v>43</v>
      </c>
      <c r="B45" s="10">
        <v>3.0270000000000001</v>
      </c>
      <c r="C45" s="10">
        <v>2.21</v>
      </c>
      <c r="D45" s="10">
        <v>4.0250000000000004</v>
      </c>
      <c r="E45" s="10">
        <v>1.8149999999999999</v>
      </c>
    </row>
    <row r="46" spans="1:5" ht="15.6" x14ac:dyDescent="0.3">
      <c r="A46" s="1" t="s">
        <v>44</v>
      </c>
      <c r="B46" s="10">
        <v>2.956</v>
      </c>
      <c r="C46" s="10">
        <v>1.7589999999999999</v>
      </c>
      <c r="D46" s="10">
        <v>4.3310000000000004</v>
      </c>
      <c r="E46" s="10">
        <v>2.5720000000000001</v>
      </c>
    </row>
    <row r="47" spans="1:5" ht="15.6" x14ac:dyDescent="0.3">
      <c r="A47" s="1" t="s">
        <v>45</v>
      </c>
      <c r="B47" s="10">
        <v>3.298</v>
      </c>
      <c r="C47" s="10">
        <v>2.1230000000000002</v>
      </c>
      <c r="D47" s="10">
        <v>6.5179999999999998</v>
      </c>
      <c r="E47" s="10">
        <v>4.3949999999999996</v>
      </c>
    </row>
    <row r="48" spans="1:5" ht="15.6" x14ac:dyDescent="0.3">
      <c r="A48" s="1" t="s">
        <v>46</v>
      </c>
      <c r="B48" s="10">
        <v>3.464</v>
      </c>
      <c r="C48" s="10">
        <v>2.3029999999999999</v>
      </c>
      <c r="D48" s="10">
        <v>8.1389999999999993</v>
      </c>
      <c r="E48" s="10">
        <v>5.8360000000000003</v>
      </c>
    </row>
    <row r="49" spans="1:5" ht="15.6" x14ac:dyDescent="0.3">
      <c r="A49" s="1" t="s">
        <v>47</v>
      </c>
      <c r="B49" s="10">
        <v>3.593</v>
      </c>
      <c r="C49" s="10">
        <v>2.4990000000000001</v>
      </c>
      <c r="D49" s="10">
        <v>9.032</v>
      </c>
      <c r="E49" s="10">
        <v>6.5330000000000004</v>
      </c>
    </row>
    <row r="50" spans="1:5" ht="15.6" x14ac:dyDescent="0.3">
      <c r="A50" s="1" t="s">
        <v>48</v>
      </c>
      <c r="B50" s="10">
        <v>3.798</v>
      </c>
      <c r="C50" s="10">
        <v>2.27</v>
      </c>
      <c r="D50" s="10">
        <v>10.374000000000001</v>
      </c>
      <c r="E50" s="10">
        <v>8.1039999999999992</v>
      </c>
    </row>
    <row r="51" spans="1:5" ht="15.6" x14ac:dyDescent="0.3">
      <c r="A51" s="1" t="s">
        <v>49</v>
      </c>
      <c r="B51" s="10">
        <v>3.3279999999999998</v>
      </c>
      <c r="C51" s="10">
        <v>2.0390000000000001</v>
      </c>
      <c r="D51" s="10">
        <v>7.9939999999999998</v>
      </c>
      <c r="E51" s="10">
        <v>5.9550000000000001</v>
      </c>
    </row>
    <row r="52" spans="1:5" ht="15.6" x14ac:dyDescent="0.3">
      <c r="A52" s="1" t="s">
        <v>50</v>
      </c>
      <c r="B52" s="10">
        <v>3.556</v>
      </c>
      <c r="C52" s="10">
        <v>2.1190000000000002</v>
      </c>
      <c r="D52" s="10">
        <v>7.8029999999999999</v>
      </c>
      <c r="E52" s="10">
        <v>5.6840000000000002</v>
      </c>
    </row>
    <row r="53" spans="1:5" ht="15.6" x14ac:dyDescent="0.3">
      <c r="A53" s="1" t="s">
        <v>51</v>
      </c>
      <c r="B53" s="10">
        <v>3.3119999999999998</v>
      </c>
      <c r="C53" s="10">
        <v>1.8480000000000001</v>
      </c>
      <c r="D53" s="10">
        <v>6.4640000000000004</v>
      </c>
      <c r="E53" s="10">
        <v>4.6159999999999997</v>
      </c>
    </row>
    <row r="54" spans="1:5" ht="15.6" x14ac:dyDescent="0.3">
      <c r="A54" s="1" t="s">
        <v>52</v>
      </c>
      <c r="B54" s="10">
        <v>3.3929999999999998</v>
      </c>
      <c r="C54" s="10">
        <v>2.2679999999999998</v>
      </c>
      <c r="D54" s="10">
        <v>5.49</v>
      </c>
      <c r="E54" s="10">
        <v>3.222</v>
      </c>
    </row>
    <row r="55" spans="1:5" ht="15.6" x14ac:dyDescent="0.3">
      <c r="A55" s="1" t="s">
        <v>53</v>
      </c>
      <c r="B55" s="10">
        <v>2.8660000000000001</v>
      </c>
      <c r="C55" s="10">
        <v>2.33</v>
      </c>
      <c r="D55" s="10">
        <v>4.625</v>
      </c>
      <c r="E55" s="10">
        <v>2.2949999999999999</v>
      </c>
    </row>
    <row r="56" spans="1:5" ht="15.6" x14ac:dyDescent="0.3">
      <c r="A56" s="1" t="s">
        <v>54</v>
      </c>
      <c r="B56" s="10">
        <v>3.1240000000000001</v>
      </c>
      <c r="C56" s="10">
        <v>2.407</v>
      </c>
      <c r="D56" s="10">
        <v>4.2380000000000004</v>
      </c>
      <c r="E56" s="10">
        <v>1.831</v>
      </c>
    </row>
    <row r="57" spans="1:5" ht="15.6" x14ac:dyDescent="0.3">
      <c r="A57" s="1" t="s">
        <v>55</v>
      </c>
      <c r="B57" s="10">
        <v>2.907</v>
      </c>
      <c r="C57" s="10">
        <v>1.8120000000000001</v>
      </c>
      <c r="D57" s="10">
        <v>3.7749999999999999</v>
      </c>
      <c r="E57" s="10">
        <v>1.9630000000000001</v>
      </c>
    </row>
    <row r="58" spans="1:5" ht="15.6" x14ac:dyDescent="0.3">
      <c r="A58" s="1" t="s">
        <v>56</v>
      </c>
      <c r="B58" s="10">
        <v>3.177</v>
      </c>
      <c r="C58" s="10">
        <v>2.085</v>
      </c>
      <c r="D58" s="10">
        <v>4.1399999999999997</v>
      </c>
      <c r="E58" s="10">
        <v>2.0550000000000002</v>
      </c>
    </row>
    <row r="59" spans="1:5" ht="15.6" x14ac:dyDescent="0.3">
      <c r="A59" s="1" t="s">
        <v>57</v>
      </c>
      <c r="B59" s="10">
        <v>3.3839999999999999</v>
      </c>
      <c r="C59" s="10">
        <v>2.1869999999999998</v>
      </c>
      <c r="D59" s="10">
        <v>6.8319999999999999</v>
      </c>
      <c r="E59" s="10">
        <v>4.6449999999999996</v>
      </c>
    </row>
    <row r="60" spans="1:5" ht="15.6" x14ac:dyDescent="0.3">
      <c r="A60" s="1" t="s">
        <v>58</v>
      </c>
      <c r="B60" s="10">
        <v>3.6989999999999998</v>
      </c>
      <c r="C60" s="10">
        <v>2.6230000000000002</v>
      </c>
      <c r="D60" s="10">
        <v>8.6959999999999997</v>
      </c>
      <c r="E60" s="10">
        <v>6.0730000000000004</v>
      </c>
    </row>
    <row r="61" spans="1:5" ht="15.6" x14ac:dyDescent="0.3">
      <c r="A61" s="1" t="s">
        <v>59</v>
      </c>
      <c r="B61" s="10">
        <v>3.7429999999999999</v>
      </c>
      <c r="C61" s="10">
        <v>2.58</v>
      </c>
      <c r="D61" s="10">
        <v>8.89</v>
      </c>
      <c r="E61" s="10">
        <v>6.31</v>
      </c>
    </row>
    <row r="62" spans="1:5" ht="15.6" x14ac:dyDescent="0.3">
      <c r="A62" s="1" t="s">
        <v>60</v>
      </c>
      <c r="B62" s="10">
        <v>3.6760000000000002</v>
      </c>
      <c r="C62" s="10">
        <v>1.9470000000000001</v>
      </c>
      <c r="D62" s="10">
        <v>8.4480000000000004</v>
      </c>
      <c r="E62" s="10">
        <v>6.5010000000000003</v>
      </c>
    </row>
    <row r="63" spans="1:5" ht="15.6" x14ac:dyDescent="0.3">
      <c r="A63" s="1" t="s">
        <v>61</v>
      </c>
      <c r="B63" s="10">
        <v>3.3119999999999998</v>
      </c>
      <c r="C63" s="10">
        <v>1.4279999999999999</v>
      </c>
      <c r="D63" s="10">
        <v>8.0690000000000008</v>
      </c>
      <c r="E63" s="10">
        <v>6.641</v>
      </c>
    </row>
    <row r="64" spans="1:5" ht="15.6" x14ac:dyDescent="0.3">
      <c r="A64" s="1" t="s">
        <v>62</v>
      </c>
      <c r="B64" s="10">
        <v>3.3889999999999998</v>
      </c>
      <c r="C64" s="10">
        <v>1.81</v>
      </c>
      <c r="D64" s="10">
        <v>8.0660000000000007</v>
      </c>
      <c r="E64" s="10">
        <v>6.2560000000000002</v>
      </c>
    </row>
    <row r="65" spans="1:5" ht="15.6" x14ac:dyDescent="0.3">
      <c r="A65" s="1" t="s">
        <v>63</v>
      </c>
      <c r="B65" s="10">
        <v>3.5089999999999999</v>
      </c>
      <c r="C65" s="10">
        <v>1.333</v>
      </c>
      <c r="D65" s="10">
        <v>5.2309999999999999</v>
      </c>
      <c r="E65" s="10">
        <v>3.8980000000000001</v>
      </c>
    </row>
    <row r="66" spans="1:5" ht="15.6" x14ac:dyDescent="0.3">
      <c r="A66" s="1" t="s">
        <v>64</v>
      </c>
      <c r="B66" s="10">
        <v>3.593</v>
      </c>
      <c r="C66" s="10">
        <v>1.0720000000000001</v>
      </c>
      <c r="D66" s="10">
        <v>4.46</v>
      </c>
      <c r="E66" s="10">
        <v>3.3879999999999999</v>
      </c>
    </row>
    <row r="67" spans="1:5" ht="15.6" x14ac:dyDescent="0.3">
      <c r="A67" s="1" t="s">
        <v>65</v>
      </c>
      <c r="B67" s="10">
        <v>3.2839999999999998</v>
      </c>
      <c r="C67" s="10">
        <v>1.2250000000000001</v>
      </c>
      <c r="D67" s="10">
        <v>4.0679999999999996</v>
      </c>
      <c r="E67" s="10">
        <v>2.843</v>
      </c>
    </row>
    <row r="68" spans="1:5" ht="15.6" x14ac:dyDescent="0.3">
      <c r="A68" s="1" t="s">
        <v>66</v>
      </c>
      <c r="B68" s="10">
        <v>3.3580000000000001</v>
      </c>
      <c r="C68" s="10">
        <v>1.3680000000000001</v>
      </c>
      <c r="D68" s="10">
        <v>4.0350000000000001</v>
      </c>
      <c r="E68" s="10">
        <v>2.6669999999999998</v>
      </c>
    </row>
    <row r="69" spans="1:5" ht="15.6" x14ac:dyDescent="0.3">
      <c r="A69" s="1" t="s">
        <v>67</v>
      </c>
      <c r="B69" s="10">
        <v>2.798</v>
      </c>
      <c r="C69" s="10">
        <v>1.498</v>
      </c>
      <c r="D69" s="10">
        <v>3.8969999999999998</v>
      </c>
      <c r="E69" s="10">
        <v>2.399</v>
      </c>
    </row>
    <row r="70" spans="1:5" ht="15.6" x14ac:dyDescent="0.3">
      <c r="A70" s="1" t="s">
        <v>68</v>
      </c>
      <c r="B70" s="10">
        <v>2.573</v>
      </c>
      <c r="C70" s="10">
        <v>1.4690000000000001</v>
      </c>
      <c r="D70" s="10">
        <v>4.3639999999999999</v>
      </c>
      <c r="E70" s="10">
        <v>2.895</v>
      </c>
    </row>
    <row r="71" spans="1:5" ht="15.6" x14ac:dyDescent="0.3">
      <c r="A71" s="1" t="s">
        <v>69</v>
      </c>
      <c r="B71" s="10">
        <v>3.3439999999999999</v>
      </c>
      <c r="C71" s="10">
        <v>1.5009999999999999</v>
      </c>
      <c r="D71" s="10">
        <v>6.4889999999999999</v>
      </c>
      <c r="E71" s="10">
        <v>4.9880000000000004</v>
      </c>
    </row>
    <row r="72" spans="1:5" ht="15.6" x14ac:dyDescent="0.3">
      <c r="A72" s="1" t="s">
        <v>70</v>
      </c>
      <c r="B72" s="10">
        <v>3.0880000000000001</v>
      </c>
      <c r="C72" s="10">
        <v>1.6339999999999999</v>
      </c>
      <c r="D72" s="10">
        <v>7.17</v>
      </c>
      <c r="E72" s="10">
        <v>5.5359999999999996</v>
      </c>
    </row>
    <row r="73" spans="1:5" ht="15.6" x14ac:dyDescent="0.3">
      <c r="A73" s="1" t="s">
        <v>71</v>
      </c>
      <c r="B73" s="10">
        <v>3.4129999999999998</v>
      </c>
      <c r="C73" s="10">
        <v>2.2869999999999999</v>
      </c>
      <c r="D73" s="10">
        <v>9.0389999999999997</v>
      </c>
      <c r="E73" s="10">
        <v>6.7519999999999998</v>
      </c>
    </row>
    <row r="74" spans="1:5" ht="15.6" x14ac:dyDescent="0.3">
      <c r="A74" s="1" t="s">
        <v>72</v>
      </c>
      <c r="B74" s="10">
        <v>3.12</v>
      </c>
      <c r="C74" s="10">
        <v>2.286</v>
      </c>
      <c r="D74" s="10">
        <v>10.161</v>
      </c>
      <c r="E74" s="10">
        <v>7.875</v>
      </c>
    </row>
    <row r="75" spans="1:5" ht="15.6" x14ac:dyDescent="0.3">
      <c r="A75" s="1" t="s">
        <v>73</v>
      </c>
      <c r="B75" s="10">
        <v>2.629</v>
      </c>
      <c r="C75" s="10">
        <v>1.7150000000000001</v>
      </c>
      <c r="D75" s="10">
        <v>8.3119999999999994</v>
      </c>
      <c r="E75" s="10">
        <v>6.5970000000000004</v>
      </c>
    </row>
    <row r="76" spans="1:5" ht="15.6" x14ac:dyDescent="0.3">
      <c r="A76" s="1" t="s">
        <v>74</v>
      </c>
      <c r="B76" s="10">
        <v>3.1619999999999999</v>
      </c>
      <c r="C76" s="10">
        <v>1.978</v>
      </c>
      <c r="D76" s="10">
        <v>8.0739999999999998</v>
      </c>
      <c r="E76" s="10">
        <v>6.0960000000000001</v>
      </c>
    </row>
    <row r="77" spans="1:5" ht="15.6" x14ac:dyDescent="0.3">
      <c r="A77" s="1" t="s">
        <v>75</v>
      </c>
      <c r="B77" s="10">
        <v>2.331</v>
      </c>
      <c r="C77" s="10">
        <v>2.1869999999999998</v>
      </c>
      <c r="D77" s="10">
        <v>7.2720000000000002</v>
      </c>
      <c r="E77" s="10">
        <v>5.085</v>
      </c>
    </row>
    <row r="78" spans="1:5" ht="15.6" x14ac:dyDescent="0.3">
      <c r="A78" s="1" t="s">
        <v>76</v>
      </c>
      <c r="B78" s="10">
        <v>2.3010000000000002</v>
      </c>
      <c r="C78" s="10">
        <v>1.5649999999999999</v>
      </c>
      <c r="D78" s="10">
        <v>5.9809999999999999</v>
      </c>
      <c r="E78" s="10">
        <v>4.4160000000000004</v>
      </c>
    </row>
    <row r="79" spans="1:5" ht="15.6" x14ac:dyDescent="0.3">
      <c r="A79" s="1" t="s">
        <v>77</v>
      </c>
      <c r="B79" s="10">
        <v>1.5289999999999999</v>
      </c>
      <c r="C79" s="10">
        <v>1.2170000000000001</v>
      </c>
      <c r="D79" s="10">
        <v>3.6509999999999998</v>
      </c>
      <c r="E79" s="10">
        <v>2.4340000000000002</v>
      </c>
    </row>
    <row r="80" spans="1:5" ht="15.6" x14ac:dyDescent="0.3">
      <c r="A80" s="1" t="s">
        <v>78</v>
      </c>
      <c r="B80" s="10">
        <v>2.2069999999999999</v>
      </c>
      <c r="C80" s="10">
        <v>1.462</v>
      </c>
      <c r="D80" s="10">
        <v>3.7370000000000001</v>
      </c>
      <c r="E80" s="10">
        <v>2.2749999999999999</v>
      </c>
    </row>
    <row r="81" spans="1:5" ht="15.6" x14ac:dyDescent="0.3">
      <c r="A81" s="1" t="s">
        <v>79</v>
      </c>
      <c r="B81" s="10">
        <v>2.7919999999999998</v>
      </c>
      <c r="C81" s="10">
        <v>1.264</v>
      </c>
      <c r="D81" s="10">
        <v>3.673</v>
      </c>
      <c r="E81" s="10">
        <v>2.4089999999999998</v>
      </c>
    </row>
    <row r="82" spans="1:5" ht="15.6" x14ac:dyDescent="0.3">
      <c r="A82" s="1" t="s">
        <v>80</v>
      </c>
      <c r="B82" s="10">
        <v>2.7759999999999998</v>
      </c>
      <c r="C82" s="10">
        <v>1.49</v>
      </c>
      <c r="D82" s="10">
        <v>4.0780000000000003</v>
      </c>
      <c r="E82" s="10">
        <v>2.5880000000000001</v>
      </c>
    </row>
    <row r="83" spans="1:5" ht="15.6" x14ac:dyDescent="0.3">
      <c r="A83" s="1" t="s">
        <v>81</v>
      </c>
      <c r="B83" s="10">
        <v>3.133</v>
      </c>
      <c r="C83" s="10">
        <v>1.139</v>
      </c>
      <c r="D83" s="10">
        <v>5.24</v>
      </c>
      <c r="E83" s="10">
        <v>4.101</v>
      </c>
    </row>
    <row r="84" spans="1:5" ht="15.6" x14ac:dyDescent="0.3">
      <c r="A84" s="1" t="s">
        <v>82</v>
      </c>
      <c r="B84" s="10">
        <v>3.2120000000000002</v>
      </c>
      <c r="C84" s="10">
        <v>1.6419999999999999</v>
      </c>
      <c r="D84" s="10">
        <v>7.5919999999999996</v>
      </c>
      <c r="E84" s="10">
        <v>5.95</v>
      </c>
    </row>
    <row r="85" spans="1:5" ht="15.6" x14ac:dyDescent="0.3">
      <c r="A85" s="1" t="s">
        <v>83</v>
      </c>
      <c r="B85" s="10">
        <v>3.2970000000000002</v>
      </c>
      <c r="C85" s="10">
        <v>2.1280000000000001</v>
      </c>
      <c r="D85" s="10">
        <v>8.5</v>
      </c>
      <c r="E85" s="10">
        <v>6.3719999999999999</v>
      </c>
    </row>
    <row r="86" spans="1:5" ht="15.6" x14ac:dyDescent="0.3">
      <c r="A86" s="1" t="s">
        <v>84</v>
      </c>
      <c r="B86" s="10">
        <v>3.28</v>
      </c>
      <c r="C86" s="10">
        <v>2.0830000000000002</v>
      </c>
      <c r="D86" s="10">
        <v>9.2260000000000009</v>
      </c>
      <c r="E86" s="10">
        <v>7.1429999999999998</v>
      </c>
    </row>
    <row r="87" spans="1:5" ht="15.6" x14ac:dyDescent="0.3">
      <c r="A87" s="1" t="s">
        <v>85</v>
      </c>
      <c r="B87" s="10">
        <v>2.9380000000000002</v>
      </c>
      <c r="C87" s="10">
        <v>1.115</v>
      </c>
      <c r="D87" s="10">
        <v>6.8460000000000001</v>
      </c>
      <c r="E87" s="10">
        <v>5.7309999999999999</v>
      </c>
    </row>
    <row r="88" spans="1:5" ht="15.6" x14ac:dyDescent="0.3">
      <c r="A88" s="1" t="s">
        <v>86</v>
      </c>
      <c r="B88" s="10">
        <v>3.17</v>
      </c>
      <c r="C88" s="10">
        <v>1.778</v>
      </c>
      <c r="D88" s="10">
        <v>7.1319999999999997</v>
      </c>
      <c r="E88" s="10">
        <v>5.3540000000000001</v>
      </c>
    </row>
    <row r="89" spans="1:5" ht="15.6" x14ac:dyDescent="0.3">
      <c r="A89" s="1" t="s">
        <v>87</v>
      </c>
      <c r="B89" s="10">
        <v>3.218</v>
      </c>
      <c r="C89" s="10">
        <v>1.7929999999999999</v>
      </c>
      <c r="D89" s="10">
        <v>6.36</v>
      </c>
      <c r="E89" s="10">
        <v>4.5670000000000002</v>
      </c>
    </row>
    <row r="90" spans="1:5" ht="15.6" x14ac:dyDescent="0.3">
      <c r="A90" s="1" t="s">
        <v>88</v>
      </c>
      <c r="B90" s="10">
        <v>3.3250000000000002</v>
      </c>
      <c r="C90" s="10">
        <v>1.7150000000000001</v>
      </c>
      <c r="D90" s="10">
        <v>4.8970000000000002</v>
      </c>
      <c r="E90" s="10">
        <v>3.1819999999999999</v>
      </c>
    </row>
    <row r="91" spans="1:5" ht="15.6" x14ac:dyDescent="0.3">
      <c r="A91" s="1" t="s">
        <v>89</v>
      </c>
      <c r="B91" s="10">
        <v>3.0659999999999998</v>
      </c>
      <c r="C91" s="10">
        <v>1.397</v>
      </c>
      <c r="D91" s="10">
        <v>3.9849999999999999</v>
      </c>
      <c r="E91" s="10">
        <v>2.5880000000000001</v>
      </c>
    </row>
    <row r="92" spans="1:5" ht="15.6" x14ac:dyDescent="0.3">
      <c r="A92" s="1" t="s">
        <v>90</v>
      </c>
      <c r="B92" s="10">
        <v>3.0390000000000001</v>
      </c>
      <c r="C92" s="10">
        <v>1.5209999999999999</v>
      </c>
      <c r="D92" s="10">
        <v>4.1559999999999997</v>
      </c>
      <c r="E92" s="10">
        <v>2.6349999999999998</v>
      </c>
    </row>
    <row r="93" spans="1:5" ht="15.6" x14ac:dyDescent="0.3">
      <c r="A93" s="1" t="s">
        <v>91</v>
      </c>
      <c r="B93" s="10">
        <v>2.7629999999999999</v>
      </c>
      <c r="C93" s="10">
        <v>1.5569999999999999</v>
      </c>
      <c r="D93" s="10">
        <v>4.0170000000000003</v>
      </c>
      <c r="E93" s="10">
        <v>2.46</v>
      </c>
    </row>
    <row r="94" spans="1:5" ht="15.6" x14ac:dyDescent="0.3">
      <c r="A94" s="1" t="s">
        <v>92</v>
      </c>
      <c r="B94" s="10">
        <v>3.2210000000000001</v>
      </c>
      <c r="C94" s="10">
        <v>1.466</v>
      </c>
      <c r="D94" s="10">
        <v>4.4640000000000004</v>
      </c>
      <c r="E94" s="10">
        <v>2.9980000000000002</v>
      </c>
    </row>
    <row r="95" spans="1:5" ht="15.6" x14ac:dyDescent="0.3">
      <c r="A95" s="1" t="s">
        <v>93</v>
      </c>
      <c r="B95" s="10">
        <v>3.27</v>
      </c>
      <c r="C95" s="10">
        <v>1.35</v>
      </c>
      <c r="D95" s="10">
        <v>4.6689999999999996</v>
      </c>
      <c r="E95" s="10">
        <v>3.319</v>
      </c>
    </row>
    <row r="96" spans="1:5" ht="15.6" x14ac:dyDescent="0.3">
      <c r="A96" s="1" t="s">
        <v>94</v>
      </c>
      <c r="B96" s="10">
        <v>3.129</v>
      </c>
      <c r="C96" s="10">
        <v>1.599</v>
      </c>
      <c r="D96" s="10">
        <v>6.6509999999999998</v>
      </c>
      <c r="E96" s="10">
        <v>5.0519999999999996</v>
      </c>
    </row>
    <row r="97" spans="1:5" ht="15.6" x14ac:dyDescent="0.3">
      <c r="A97" s="1" t="s">
        <v>95</v>
      </c>
      <c r="B97" s="10">
        <v>3.3660000000000001</v>
      </c>
      <c r="C97" s="10">
        <v>1.802</v>
      </c>
      <c r="D97" s="10">
        <v>8.625</v>
      </c>
      <c r="E97" s="10">
        <v>6.8230000000000004</v>
      </c>
    </row>
    <row r="98" spans="1:5" ht="15.6" x14ac:dyDescent="0.3">
      <c r="A98" s="1" t="s">
        <v>96</v>
      </c>
      <c r="B98" s="10">
        <v>3.282</v>
      </c>
      <c r="C98" s="10">
        <v>1.698</v>
      </c>
      <c r="D98" s="10">
        <v>7.9630000000000001</v>
      </c>
      <c r="E98" s="10">
        <v>6.2649999999999997</v>
      </c>
    </row>
    <row r="99" spans="1:5" ht="15.6" x14ac:dyDescent="0.3">
      <c r="A99" s="1" t="s">
        <v>97</v>
      </c>
      <c r="B99" s="10">
        <v>2.8639999999999999</v>
      </c>
      <c r="C99" s="10">
        <v>1.4710000000000001</v>
      </c>
      <c r="D99" s="10">
        <v>6.7149999999999999</v>
      </c>
      <c r="E99" s="10">
        <v>5.2439999999999998</v>
      </c>
    </row>
    <row r="100" spans="1:5" ht="15.6" x14ac:dyDescent="0.3">
      <c r="A100" s="1" t="s">
        <v>98</v>
      </c>
      <c r="B100" s="10">
        <v>3.0739999999999998</v>
      </c>
      <c r="C100" s="10">
        <v>1.7290000000000001</v>
      </c>
      <c r="D100" s="10">
        <v>7.2240000000000002</v>
      </c>
      <c r="E100" s="10">
        <v>5.4950000000000001</v>
      </c>
    </row>
    <row r="101" spans="1:5" ht="15.6" x14ac:dyDescent="0.3">
      <c r="A101" s="1" t="s">
        <v>99</v>
      </c>
      <c r="B101" s="10">
        <v>3.004</v>
      </c>
      <c r="C101" s="10">
        <v>2.1930000000000001</v>
      </c>
      <c r="D101" s="10">
        <v>5.7789999999999999</v>
      </c>
      <c r="E101" s="10">
        <v>3.5859999999999999</v>
      </c>
    </row>
    <row r="102" spans="1:5" ht="15.6" x14ac:dyDescent="0.3">
      <c r="A102" s="1" t="s">
        <v>100</v>
      </c>
      <c r="B102" s="10">
        <v>2.9319999999999999</v>
      </c>
      <c r="C102" s="10">
        <v>1.2270000000000001</v>
      </c>
      <c r="D102" s="10">
        <v>3.8330000000000002</v>
      </c>
      <c r="E102" s="10">
        <v>2.6059999999999999</v>
      </c>
    </row>
    <row r="103" spans="1:5" ht="15.6" x14ac:dyDescent="0.3">
      <c r="A103" s="1" t="s">
        <v>101</v>
      </c>
      <c r="B103" s="10">
        <v>2.7829999999999999</v>
      </c>
      <c r="C103" s="10">
        <v>1.1830000000000001</v>
      </c>
      <c r="D103" s="10">
        <v>3.4470000000000001</v>
      </c>
      <c r="E103" s="10">
        <v>2.2639999999999998</v>
      </c>
    </row>
    <row r="104" spans="1:5" ht="15.6" x14ac:dyDescent="0.3">
      <c r="A104" s="1" t="s">
        <v>102</v>
      </c>
      <c r="B104" s="10">
        <v>2.9260000000000002</v>
      </c>
      <c r="C104" s="10">
        <v>1.0329999999999999</v>
      </c>
      <c r="D104" s="10">
        <v>3.2719999999999998</v>
      </c>
      <c r="E104" s="10">
        <v>2.2389999999999999</v>
      </c>
    </row>
    <row r="105" spans="1:5" ht="15.6" x14ac:dyDescent="0.3">
      <c r="A105" s="1" t="s">
        <v>103</v>
      </c>
      <c r="B105" s="10">
        <v>2.4340000000000002</v>
      </c>
      <c r="C105" s="10">
        <v>1.2490000000000001</v>
      </c>
      <c r="D105" s="10">
        <v>3.359</v>
      </c>
      <c r="E105" s="10">
        <v>2.11</v>
      </c>
    </row>
    <row r="106" spans="1:5" ht="15.6" x14ac:dyDescent="0.3">
      <c r="A106" s="1" t="s">
        <v>104</v>
      </c>
      <c r="B106" s="10">
        <v>2.5089999999999999</v>
      </c>
      <c r="C106" s="10">
        <v>1.4410000000000001</v>
      </c>
      <c r="D106" s="10">
        <v>3.4620000000000002</v>
      </c>
      <c r="E106" s="10">
        <v>2.0209999999999999</v>
      </c>
    </row>
    <row r="107" spans="1:5" ht="15.6" x14ac:dyDescent="0.3">
      <c r="A107" s="1" t="s">
        <v>105</v>
      </c>
      <c r="B107" s="10">
        <v>2.758</v>
      </c>
      <c r="C107" s="10">
        <v>1.135</v>
      </c>
      <c r="D107" s="10">
        <v>4.5</v>
      </c>
      <c r="E107" s="10">
        <v>3.3650000000000002</v>
      </c>
    </row>
    <row r="108" spans="1:5" ht="15.6" x14ac:dyDescent="0.3">
      <c r="A108" s="1" t="s">
        <v>106</v>
      </c>
      <c r="B108" s="10">
        <v>2.669</v>
      </c>
      <c r="C108" s="10">
        <v>1.405</v>
      </c>
      <c r="D108" s="10">
        <v>6.6029999999999998</v>
      </c>
      <c r="E108" s="10">
        <v>5.1980000000000004</v>
      </c>
    </row>
    <row r="109" spans="1:5" ht="15.6" x14ac:dyDescent="0.3">
      <c r="A109" s="1" t="s">
        <v>107</v>
      </c>
      <c r="B109" s="10">
        <v>2.9790000000000001</v>
      </c>
      <c r="C109" s="10">
        <v>1.5760000000000001</v>
      </c>
      <c r="D109" s="10">
        <v>7.2450000000000001</v>
      </c>
      <c r="E109" s="10">
        <v>5.6689999999999996</v>
      </c>
    </row>
    <row r="110" spans="1:5" ht="15.6" x14ac:dyDescent="0.3">
      <c r="A110" s="1" t="s">
        <v>108</v>
      </c>
      <c r="B110" s="10">
        <v>3.0329999999999999</v>
      </c>
      <c r="C110" s="10">
        <v>1.629</v>
      </c>
      <c r="D110" s="10">
        <v>8.7080000000000002</v>
      </c>
      <c r="E110" s="10">
        <v>7.0789999999999997</v>
      </c>
    </row>
    <row r="111" spans="1:5" ht="15.6" x14ac:dyDescent="0.3">
      <c r="A111" s="1" t="s">
        <v>109</v>
      </c>
      <c r="B111" s="10">
        <v>2.8090000000000002</v>
      </c>
      <c r="C111" s="10">
        <v>1.8480000000000001</v>
      </c>
      <c r="D111" s="10">
        <v>6.5860000000000003</v>
      </c>
      <c r="E111" s="10">
        <v>4.7380000000000004</v>
      </c>
    </row>
    <row r="112" spans="1:5" ht="15.6" x14ac:dyDescent="0.3">
      <c r="A112" s="1" t="s">
        <v>110</v>
      </c>
      <c r="B112" s="10">
        <v>2.8780000000000001</v>
      </c>
      <c r="C112" s="10">
        <v>1.407</v>
      </c>
      <c r="D112" s="10">
        <v>6.367</v>
      </c>
      <c r="E112" s="10">
        <v>4.96</v>
      </c>
    </row>
    <row r="113" spans="1:5" ht="15.6" x14ac:dyDescent="0.3">
      <c r="A113" s="1" t="s">
        <v>111</v>
      </c>
      <c r="B113" s="10">
        <v>2.7170000000000001</v>
      </c>
      <c r="C113" s="10">
        <v>0.998</v>
      </c>
      <c r="D113" s="10">
        <v>4.9009999999999998</v>
      </c>
      <c r="E113" s="10">
        <v>3.903</v>
      </c>
    </row>
    <row r="114" spans="1:5" ht="15.6" x14ac:dyDescent="0.3">
      <c r="A114" s="1" t="s">
        <v>112</v>
      </c>
      <c r="B114" s="10">
        <v>2.6</v>
      </c>
      <c r="C114" s="10">
        <v>0.92400000000000004</v>
      </c>
      <c r="D114" s="10">
        <v>3.6520000000000001</v>
      </c>
      <c r="E114" s="10">
        <v>2.7280000000000002</v>
      </c>
    </row>
    <row r="115" spans="1:5" ht="15.6" x14ac:dyDescent="0.3">
      <c r="A115" s="1" t="s">
        <v>113</v>
      </c>
      <c r="B115" s="10">
        <v>1.94</v>
      </c>
      <c r="C115" s="10">
        <v>0.746</v>
      </c>
      <c r="D115" s="10">
        <v>3.0739999999999998</v>
      </c>
      <c r="E115" s="10">
        <v>2.3279999999999998</v>
      </c>
    </row>
    <row r="116" spans="1:5" ht="15.6" x14ac:dyDescent="0.3">
      <c r="A116" s="1" t="s">
        <v>114</v>
      </c>
      <c r="B116" s="10">
        <v>2.3660000000000001</v>
      </c>
      <c r="C116" s="10">
        <v>0.75600000000000001</v>
      </c>
      <c r="D116" s="10">
        <v>3.206</v>
      </c>
      <c r="E116" s="10">
        <v>2.4500000000000002</v>
      </c>
    </row>
    <row r="117" spans="1:5" ht="15.6" x14ac:dyDescent="0.3">
      <c r="A117" s="1" t="s">
        <v>115</v>
      </c>
      <c r="B117" s="10">
        <v>2.1539999999999999</v>
      </c>
      <c r="C117" s="10">
        <v>0.59599999999999997</v>
      </c>
      <c r="D117" s="10">
        <v>2.72</v>
      </c>
      <c r="E117" s="10">
        <v>2.1240000000000001</v>
      </c>
    </row>
    <row r="118" spans="1:5" ht="15.6" x14ac:dyDescent="0.3">
      <c r="A118" s="1" t="s">
        <v>116</v>
      </c>
      <c r="B118" s="10">
        <v>2.262</v>
      </c>
      <c r="C118" s="10">
        <v>0.88900000000000001</v>
      </c>
      <c r="D118" s="10">
        <v>3.5470000000000002</v>
      </c>
      <c r="E118" s="10">
        <v>2.6579999999999999</v>
      </c>
    </row>
    <row r="119" spans="1:5" ht="15.6" x14ac:dyDescent="0.3">
      <c r="A119" s="1" t="s">
        <v>117</v>
      </c>
      <c r="B119" s="10">
        <v>2.6509999999999998</v>
      </c>
      <c r="C119" s="10">
        <v>1.1220000000000001</v>
      </c>
      <c r="D119" s="10">
        <v>4.9880000000000004</v>
      </c>
      <c r="E119" s="10">
        <v>3.8660000000000001</v>
      </c>
    </row>
    <row r="120" spans="1:5" ht="15.6" x14ac:dyDescent="0.3">
      <c r="A120" s="1" t="s">
        <v>118</v>
      </c>
      <c r="B120" s="10">
        <v>2.5529999999999999</v>
      </c>
      <c r="C120" s="10">
        <v>1.583</v>
      </c>
      <c r="D120" s="10">
        <v>7.3659999999999997</v>
      </c>
      <c r="E120" s="10">
        <v>5.7830000000000004</v>
      </c>
    </row>
    <row r="121" spans="1:5" ht="15.6" x14ac:dyDescent="0.3">
      <c r="A121" s="1" t="s">
        <v>119</v>
      </c>
      <c r="B121" s="10">
        <v>2.7730000000000001</v>
      </c>
      <c r="C121" s="10">
        <v>1.7410000000000001</v>
      </c>
      <c r="D121" s="10">
        <v>7.46</v>
      </c>
      <c r="E121" s="10">
        <v>5.7190000000000003</v>
      </c>
    </row>
    <row r="122" spans="1:5" ht="15.6" x14ac:dyDescent="0.3">
      <c r="A122" s="1" t="s">
        <v>120</v>
      </c>
      <c r="B122" s="10">
        <v>2.8090000000000002</v>
      </c>
      <c r="C122" s="10">
        <v>2.4689999999999999</v>
      </c>
      <c r="D122" s="10">
        <v>9.4580000000000002</v>
      </c>
      <c r="E122" s="10">
        <v>6.9889999999999999</v>
      </c>
    </row>
    <row r="123" spans="1:5" ht="15.6" x14ac:dyDescent="0.3">
      <c r="A123" s="1" t="s">
        <v>121</v>
      </c>
      <c r="B123" s="10">
        <v>2.484</v>
      </c>
      <c r="C123" s="10">
        <v>1.843</v>
      </c>
      <c r="D123" s="10">
        <v>7.492</v>
      </c>
      <c r="E123" s="10">
        <v>5.649</v>
      </c>
    </row>
    <row r="124" spans="1:5" ht="15.6" x14ac:dyDescent="0.3">
      <c r="A124" s="1" t="s">
        <v>122</v>
      </c>
      <c r="B124" s="10">
        <v>2.7450000000000001</v>
      </c>
      <c r="C124" s="10">
        <v>1.6279999999999999</v>
      </c>
      <c r="D124" s="10">
        <v>6.46</v>
      </c>
      <c r="E124" s="10">
        <v>4.8319999999999999</v>
      </c>
    </row>
    <row r="125" spans="1:5" ht="15.6" x14ac:dyDescent="0.3">
      <c r="A125" s="1" t="s">
        <v>123</v>
      </c>
      <c r="B125" s="10">
        <v>2.6110000000000002</v>
      </c>
      <c r="C125" s="10">
        <v>1.1419999999999999</v>
      </c>
      <c r="D125" s="10">
        <v>4.468</v>
      </c>
      <c r="E125" s="10">
        <v>3.3260000000000001</v>
      </c>
    </row>
    <row r="126" spans="1:5" ht="15.6" x14ac:dyDescent="0.3">
      <c r="A126" s="1" t="s">
        <v>124</v>
      </c>
      <c r="B126" s="10">
        <v>2.5430000000000001</v>
      </c>
      <c r="C126" s="10">
        <v>0.70799999999999996</v>
      </c>
      <c r="D126" s="10">
        <v>3.3290000000000002</v>
      </c>
      <c r="E126" s="10">
        <v>2.621</v>
      </c>
    </row>
    <row r="127" spans="1:5" ht="15.6" x14ac:dyDescent="0.3">
      <c r="A127" s="1" t="s">
        <v>125</v>
      </c>
      <c r="B127" s="10">
        <v>2.2530000000000001</v>
      </c>
      <c r="C127" s="10">
        <v>0.63700000000000001</v>
      </c>
      <c r="D127" s="10">
        <v>2.7480000000000002</v>
      </c>
      <c r="E127" s="10">
        <v>2.1110000000000002</v>
      </c>
    </row>
    <row r="128" spans="1:5" ht="15.6" x14ac:dyDescent="0.3">
      <c r="A128" s="1" t="s">
        <v>126</v>
      </c>
      <c r="B128" s="10">
        <v>2.5990000000000002</v>
      </c>
      <c r="C128" s="10">
        <v>0.83699999999999997</v>
      </c>
      <c r="D128" s="10">
        <v>3.153</v>
      </c>
      <c r="E128" s="10">
        <v>2.3159999999999998</v>
      </c>
    </row>
    <row r="129" spans="1:5" ht="15.6" x14ac:dyDescent="0.3">
      <c r="A129" s="1" t="s">
        <v>127</v>
      </c>
      <c r="B129" s="10">
        <v>2.0150000000000001</v>
      </c>
      <c r="C129" s="10">
        <v>0.80100000000000005</v>
      </c>
      <c r="D129" s="10">
        <v>2.8519999999999999</v>
      </c>
      <c r="E129" s="10">
        <v>2.0510000000000002</v>
      </c>
    </row>
    <row r="130" spans="1:5" ht="15.6" x14ac:dyDescent="0.3">
      <c r="A130" s="1" t="s">
        <v>128</v>
      </c>
      <c r="B130" s="10">
        <v>2.1800000000000002</v>
      </c>
      <c r="C130" s="10">
        <v>0.91600000000000004</v>
      </c>
      <c r="D130" s="10">
        <v>3.3620000000000001</v>
      </c>
      <c r="E130" s="10">
        <v>2.4460000000000002</v>
      </c>
    </row>
    <row r="131" spans="1:5" ht="15.6" x14ac:dyDescent="0.3">
      <c r="A131" s="1" t="s">
        <v>129</v>
      </c>
      <c r="B131" s="10">
        <v>2.6619999999999999</v>
      </c>
      <c r="C131" s="10">
        <v>1.145</v>
      </c>
      <c r="D131" s="10">
        <v>5.0140000000000002</v>
      </c>
      <c r="E131" s="10">
        <v>3.8690000000000002</v>
      </c>
    </row>
    <row r="132" spans="1:5" ht="15.6" x14ac:dyDescent="0.3">
      <c r="A132" s="1" t="s">
        <v>130</v>
      </c>
      <c r="B132" s="10">
        <v>2.4809999999999999</v>
      </c>
      <c r="C132" s="10">
        <v>1.286</v>
      </c>
      <c r="D132" s="10">
        <v>6.3659999999999997</v>
      </c>
      <c r="E132" s="10">
        <v>5.08</v>
      </c>
    </row>
    <row r="133" spans="1:5" ht="15.6" x14ac:dyDescent="0.3">
      <c r="A133" s="1" t="s">
        <v>131</v>
      </c>
      <c r="B133" s="10">
        <v>2.5169999999999999</v>
      </c>
      <c r="C133" s="10">
        <v>1.5389999999999999</v>
      </c>
      <c r="D133" s="10">
        <v>7.194</v>
      </c>
      <c r="E133" s="10">
        <v>5.6550000000000002</v>
      </c>
    </row>
    <row r="134" spans="1:5" ht="15.6" x14ac:dyDescent="0.3">
      <c r="A134" s="1" t="s">
        <v>132</v>
      </c>
      <c r="B134" s="10">
        <v>2.431</v>
      </c>
      <c r="C134" s="10">
        <v>2.0190000000000001</v>
      </c>
      <c r="D134" s="10">
        <v>8.6630000000000003</v>
      </c>
      <c r="E134" s="10">
        <v>6.6440000000000001</v>
      </c>
    </row>
    <row r="135" spans="1:5" ht="15.6" x14ac:dyDescent="0.3">
      <c r="A135" s="1" t="s">
        <v>133</v>
      </c>
      <c r="B135" s="10">
        <v>2.3210000000000002</v>
      </c>
      <c r="C135" s="10">
        <v>1.675</v>
      </c>
      <c r="D135" s="10">
        <v>6.8650000000000002</v>
      </c>
      <c r="E135" s="10">
        <v>5.19</v>
      </c>
    </row>
    <row r="136" spans="1:5" ht="15.6" x14ac:dyDescent="0.3">
      <c r="A136" s="1" t="s">
        <v>134</v>
      </c>
      <c r="B136" s="10">
        <v>2.6040000000000001</v>
      </c>
      <c r="C136" s="10">
        <v>1.2909999999999999</v>
      </c>
      <c r="D136" s="10">
        <v>6.1539999999999999</v>
      </c>
      <c r="E136" s="10">
        <v>4.8630000000000004</v>
      </c>
    </row>
    <row r="137" spans="1:5" ht="15.6" x14ac:dyDescent="0.3">
      <c r="A137" s="1" t="s">
        <v>135</v>
      </c>
      <c r="B137" s="10">
        <v>2.3719999999999999</v>
      </c>
      <c r="C137" s="10">
        <v>0.75600000000000001</v>
      </c>
      <c r="D137" s="10">
        <v>4.1719999999999997</v>
      </c>
      <c r="E137" s="10">
        <v>3.4159999999999999</v>
      </c>
    </row>
    <row r="138" spans="1:5" ht="15.6" x14ac:dyDescent="0.3">
      <c r="A138" s="1" t="s">
        <v>136</v>
      </c>
      <c r="B138" s="10">
        <v>2.2679999999999998</v>
      </c>
      <c r="C138" s="10">
        <v>0.76700000000000002</v>
      </c>
      <c r="D138" s="10">
        <v>3.61</v>
      </c>
      <c r="E138" s="10">
        <v>2.843</v>
      </c>
    </row>
    <row r="139" spans="1:5" x14ac:dyDescent="0.3">
      <c r="A1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A485-CB51-44D0-B8BC-F55EBFECD5F9}">
  <dimension ref="A1:D139"/>
  <sheetViews>
    <sheetView workbookViewId="0">
      <selection sqref="A1:D1048576"/>
    </sheetView>
  </sheetViews>
  <sheetFormatPr defaultRowHeight="14.4" x14ac:dyDescent="0.3"/>
  <sheetData>
    <row r="1" spans="1:4" x14ac:dyDescent="0.3">
      <c r="A1" s="2" t="s">
        <v>137</v>
      </c>
      <c r="B1" s="3" t="s">
        <v>142</v>
      </c>
      <c r="C1" s="3" t="s">
        <v>143</v>
      </c>
      <c r="D1" s="3" t="s">
        <v>144</v>
      </c>
    </row>
    <row r="2" spans="1:4" ht="15.6" x14ac:dyDescent="0.3">
      <c r="A2" s="1" t="s">
        <v>0</v>
      </c>
      <c r="B2" s="10">
        <v>1.5129999999999999</v>
      </c>
      <c r="C2" s="10">
        <v>1.0169999999999999</v>
      </c>
      <c r="D2" s="10">
        <v>0.496</v>
      </c>
    </row>
    <row r="3" spans="1:4" ht="15.6" x14ac:dyDescent="0.3">
      <c r="A3" s="1" t="s">
        <v>1</v>
      </c>
      <c r="B3" s="10">
        <v>1.696</v>
      </c>
      <c r="C3" s="10">
        <v>1.202</v>
      </c>
      <c r="D3" s="10">
        <v>0.49399999999999999</v>
      </c>
    </row>
    <row r="4" spans="1:4" ht="15.6" x14ac:dyDescent="0.3">
      <c r="A4" s="1" t="s">
        <v>2</v>
      </c>
      <c r="B4" s="10">
        <v>0.93100000000000005</v>
      </c>
      <c r="C4" s="10">
        <v>0.55800000000000005</v>
      </c>
      <c r="D4" s="10">
        <v>0.373</v>
      </c>
    </row>
    <row r="5" spans="1:4" ht="15.6" x14ac:dyDescent="0.3">
      <c r="A5" s="1" t="s">
        <v>3</v>
      </c>
      <c r="B5" s="10">
        <v>0.85199999999999998</v>
      </c>
      <c r="C5" s="10">
        <v>0.59099999999999997</v>
      </c>
      <c r="D5" s="10">
        <v>0.26100000000000001</v>
      </c>
    </row>
    <row r="6" spans="1:4" ht="15.6" x14ac:dyDescent="0.3">
      <c r="A6" s="1" t="s">
        <v>4</v>
      </c>
      <c r="B6" s="10">
        <v>0.80800000000000005</v>
      </c>
      <c r="C6" s="10">
        <v>0.63</v>
      </c>
      <c r="D6" s="10">
        <v>0.17800000000000005</v>
      </c>
    </row>
    <row r="7" spans="1:4" ht="15.6" x14ac:dyDescent="0.3">
      <c r="A7" s="1" t="s">
        <v>5</v>
      </c>
      <c r="B7" s="10">
        <v>0.67100000000000004</v>
      </c>
      <c r="C7" s="10">
        <v>0.55100000000000005</v>
      </c>
      <c r="D7" s="10">
        <v>0.12</v>
      </c>
    </row>
    <row r="8" spans="1:4" ht="15.6" x14ac:dyDescent="0.3">
      <c r="A8" s="1" t="s">
        <v>6</v>
      </c>
      <c r="B8" s="10">
        <v>1.3240000000000001</v>
      </c>
      <c r="C8" s="10">
        <v>1.2270000000000001</v>
      </c>
      <c r="D8" s="10">
        <v>9.6999999999999975E-2</v>
      </c>
    </row>
    <row r="9" spans="1:4" ht="15.6" x14ac:dyDescent="0.3">
      <c r="A9" s="1" t="s">
        <v>7</v>
      </c>
      <c r="B9" s="10">
        <v>0.64900000000000002</v>
      </c>
      <c r="C9" s="10">
        <v>0.54</v>
      </c>
      <c r="D9" s="10">
        <v>0.10899999999999999</v>
      </c>
    </row>
    <row r="10" spans="1:4" ht="15.6" x14ac:dyDescent="0.3">
      <c r="A10" s="1" t="s">
        <v>8</v>
      </c>
      <c r="B10" s="10">
        <v>0.88</v>
      </c>
      <c r="C10" s="10">
        <v>0.71199999999999997</v>
      </c>
      <c r="D10" s="10">
        <v>0.16800000000000004</v>
      </c>
    </row>
    <row r="11" spans="1:4" ht="15.6" x14ac:dyDescent="0.3">
      <c r="A11" s="1" t="s">
        <v>9</v>
      </c>
      <c r="B11" s="10">
        <v>0.81100000000000005</v>
      </c>
      <c r="C11" s="10">
        <v>0.52200000000000002</v>
      </c>
      <c r="D11" s="10">
        <v>0.28900000000000003</v>
      </c>
    </row>
    <row r="12" spans="1:4" ht="15.6" x14ac:dyDescent="0.3">
      <c r="A12" s="1" t="s">
        <v>10</v>
      </c>
      <c r="B12" s="10">
        <v>1.6020000000000001</v>
      </c>
      <c r="C12" s="10">
        <v>1.242</v>
      </c>
      <c r="D12" s="10">
        <v>0.3600000000000001</v>
      </c>
    </row>
    <row r="13" spans="1:4" ht="15.6" x14ac:dyDescent="0.3">
      <c r="A13" s="1" t="s">
        <v>11</v>
      </c>
      <c r="B13" s="10">
        <v>2.177</v>
      </c>
      <c r="C13" s="10">
        <v>1.7410000000000001</v>
      </c>
      <c r="D13" s="10">
        <v>0.43599999999999994</v>
      </c>
    </row>
    <row r="14" spans="1:4" ht="15.6" x14ac:dyDescent="0.3">
      <c r="A14" s="1" t="s">
        <v>12</v>
      </c>
      <c r="B14" s="10">
        <v>1.1160000000000001</v>
      </c>
      <c r="C14" s="10">
        <v>0.64200000000000002</v>
      </c>
      <c r="D14" s="10">
        <v>0.47400000000000009</v>
      </c>
    </row>
    <row r="15" spans="1:4" ht="15.6" x14ac:dyDescent="0.3">
      <c r="A15" s="1" t="s">
        <v>13</v>
      </c>
      <c r="B15" s="10">
        <v>0.78900000000000003</v>
      </c>
      <c r="C15" s="10">
        <v>0.36599999999999999</v>
      </c>
      <c r="D15" s="10">
        <v>0.42300000000000004</v>
      </c>
    </row>
    <row r="16" spans="1:4" ht="15.6" x14ac:dyDescent="0.3">
      <c r="A16" s="1" t="s">
        <v>14</v>
      </c>
      <c r="B16" s="10">
        <v>0.997</v>
      </c>
      <c r="C16" s="10">
        <v>0.57899999999999996</v>
      </c>
      <c r="D16" s="10">
        <v>0.41800000000000004</v>
      </c>
    </row>
    <row r="17" spans="1:4" ht="15.6" x14ac:dyDescent="0.3">
      <c r="A17" s="1" t="s">
        <v>15</v>
      </c>
      <c r="B17" s="10">
        <v>0.55000000000000004</v>
      </c>
      <c r="C17" s="10">
        <v>0.27100000000000002</v>
      </c>
      <c r="D17" s="10">
        <v>0.27900000000000003</v>
      </c>
    </row>
    <row r="18" spans="1:4" ht="15.6" x14ac:dyDescent="0.3">
      <c r="A18" s="1" t="s">
        <v>16</v>
      </c>
      <c r="B18" s="10">
        <v>0.68799999999999994</v>
      </c>
      <c r="C18" s="10">
        <v>0.47899999999999998</v>
      </c>
      <c r="D18" s="10">
        <v>0.20899999999999996</v>
      </c>
    </row>
    <row r="19" spans="1:4" ht="15.6" x14ac:dyDescent="0.3">
      <c r="A19" s="1" t="s">
        <v>17</v>
      </c>
      <c r="B19" s="10">
        <v>0.40200000000000002</v>
      </c>
      <c r="C19" s="10">
        <v>0.26500000000000001</v>
      </c>
      <c r="D19" s="10">
        <v>0.13700000000000001</v>
      </c>
    </row>
    <row r="20" spans="1:4" ht="15.6" x14ac:dyDescent="0.3">
      <c r="A20" s="1" t="s">
        <v>18</v>
      </c>
      <c r="B20" s="10">
        <v>0.97299999999999998</v>
      </c>
      <c r="C20" s="10">
        <v>0.86699999999999999</v>
      </c>
      <c r="D20" s="10">
        <v>0.10599999999999998</v>
      </c>
    </row>
    <row r="21" spans="1:4" ht="15.6" x14ac:dyDescent="0.3">
      <c r="A21" s="1" t="s">
        <v>19</v>
      </c>
      <c r="B21" s="10">
        <v>0.8</v>
      </c>
      <c r="C21" s="10">
        <v>0.67800000000000005</v>
      </c>
      <c r="D21" s="10">
        <v>0.122</v>
      </c>
    </row>
    <row r="22" spans="1:4" ht="15.6" x14ac:dyDescent="0.3">
      <c r="A22" s="1" t="s">
        <v>20</v>
      </c>
      <c r="B22" s="10">
        <v>1.1919999999999999</v>
      </c>
      <c r="C22" s="10">
        <v>1.0489999999999999</v>
      </c>
      <c r="D22" s="10">
        <v>0.14300000000000002</v>
      </c>
    </row>
    <row r="23" spans="1:4" ht="15.6" x14ac:dyDescent="0.3">
      <c r="A23" s="1" t="s">
        <v>21</v>
      </c>
      <c r="B23" s="10">
        <v>0.70599999999999996</v>
      </c>
      <c r="C23" s="10">
        <v>0.40200000000000002</v>
      </c>
      <c r="D23" s="10">
        <v>0.30399999999999994</v>
      </c>
    </row>
    <row r="24" spans="1:4" ht="15.6" x14ac:dyDescent="0.3">
      <c r="A24" s="1" t="s">
        <v>22</v>
      </c>
      <c r="B24" s="10">
        <v>0.77600000000000002</v>
      </c>
      <c r="C24" s="10">
        <v>0.374</v>
      </c>
      <c r="D24" s="10">
        <v>0.40200000000000002</v>
      </c>
    </row>
    <row r="25" spans="1:4" ht="15.6" x14ac:dyDescent="0.3">
      <c r="A25" s="1" t="s">
        <v>23</v>
      </c>
      <c r="B25" s="10">
        <v>1.1639999999999999</v>
      </c>
      <c r="C25" s="10">
        <v>0.65200000000000002</v>
      </c>
      <c r="D25" s="10">
        <v>0.5119999999999999</v>
      </c>
    </row>
    <row r="26" spans="1:4" ht="15.6" x14ac:dyDescent="0.3">
      <c r="A26" s="1" t="s">
        <v>24</v>
      </c>
      <c r="B26" s="10">
        <v>1.385</v>
      </c>
      <c r="C26" s="10">
        <v>0.75700000000000001</v>
      </c>
      <c r="D26" s="10">
        <v>0.628</v>
      </c>
    </row>
    <row r="27" spans="1:4" ht="15.6" x14ac:dyDescent="0.3">
      <c r="A27" s="1" t="s">
        <v>25</v>
      </c>
      <c r="B27" s="10">
        <v>0.68200000000000005</v>
      </c>
      <c r="C27" s="10">
        <v>0.27900000000000003</v>
      </c>
      <c r="D27" s="10">
        <v>0.40300000000000002</v>
      </c>
    </row>
    <row r="28" spans="1:4" ht="15.6" x14ac:dyDescent="0.3">
      <c r="A28" s="1" t="s">
        <v>26</v>
      </c>
      <c r="B28" s="10">
        <v>1.0089999999999999</v>
      </c>
      <c r="C28" s="10">
        <v>0.66800000000000004</v>
      </c>
      <c r="D28" s="10">
        <v>0.34099999999999986</v>
      </c>
    </row>
    <row r="29" spans="1:4" ht="15.6" x14ac:dyDescent="0.3">
      <c r="A29" s="1" t="s">
        <v>27</v>
      </c>
      <c r="B29" s="10">
        <v>0.65900000000000003</v>
      </c>
      <c r="C29" s="10">
        <v>0.39200000000000002</v>
      </c>
      <c r="D29" s="10">
        <v>0.26700000000000002</v>
      </c>
    </row>
    <row r="30" spans="1:4" ht="15.6" x14ac:dyDescent="0.3">
      <c r="A30" s="1" t="s">
        <v>28</v>
      </c>
      <c r="B30" s="10">
        <v>0.89500000000000002</v>
      </c>
      <c r="C30" s="10">
        <v>0.7</v>
      </c>
      <c r="D30" s="10">
        <v>0.19500000000000006</v>
      </c>
    </row>
    <row r="31" spans="1:4" ht="15.6" x14ac:dyDescent="0.3">
      <c r="A31" s="1" t="s">
        <v>29</v>
      </c>
      <c r="B31" s="10">
        <v>1.169</v>
      </c>
      <c r="C31" s="10">
        <v>1.052</v>
      </c>
      <c r="D31" s="10">
        <v>0.11699999999999999</v>
      </c>
    </row>
    <row r="32" spans="1:4" ht="15.6" x14ac:dyDescent="0.3">
      <c r="A32" s="1" t="s">
        <v>30</v>
      </c>
      <c r="B32" s="10">
        <v>1.2110000000000001</v>
      </c>
      <c r="C32" s="10">
        <v>1.103</v>
      </c>
      <c r="D32" s="10">
        <v>0.1080000000000001</v>
      </c>
    </row>
    <row r="33" spans="1:4" ht="15.6" x14ac:dyDescent="0.3">
      <c r="A33" s="1" t="s">
        <v>31</v>
      </c>
      <c r="B33" s="10">
        <v>0.61199999999999999</v>
      </c>
      <c r="C33" s="10">
        <v>0.498</v>
      </c>
      <c r="D33" s="10">
        <v>0.11399999999999999</v>
      </c>
    </row>
    <row r="34" spans="1:4" ht="15.6" x14ac:dyDescent="0.3">
      <c r="A34" s="1" t="s">
        <v>32</v>
      </c>
      <c r="B34" s="10">
        <v>0.61299999999999999</v>
      </c>
      <c r="C34" s="10">
        <v>0.42499999999999999</v>
      </c>
      <c r="D34" s="10">
        <v>0.188</v>
      </c>
    </row>
    <row r="35" spans="1:4" ht="15.6" x14ac:dyDescent="0.3">
      <c r="A35" s="1" t="s">
        <v>33</v>
      </c>
      <c r="B35" s="10">
        <v>0.73899999999999999</v>
      </c>
      <c r="C35" s="10">
        <v>0.48499999999999999</v>
      </c>
      <c r="D35" s="10">
        <v>0.254</v>
      </c>
    </row>
    <row r="36" spans="1:4" ht="15.6" x14ac:dyDescent="0.3">
      <c r="A36" s="1" t="s">
        <v>34</v>
      </c>
      <c r="B36" s="10">
        <v>0.63100000000000001</v>
      </c>
      <c r="C36" s="10">
        <v>0.21</v>
      </c>
      <c r="D36" s="10">
        <v>0.42100000000000004</v>
      </c>
    </row>
    <row r="37" spans="1:4" ht="15.6" x14ac:dyDescent="0.3">
      <c r="A37" s="1" t="s">
        <v>35</v>
      </c>
      <c r="B37" s="10">
        <v>1.1200000000000001</v>
      </c>
      <c r="C37" s="10">
        <v>0.59599999999999997</v>
      </c>
      <c r="D37" s="10">
        <v>0.52400000000000013</v>
      </c>
    </row>
    <row r="38" spans="1:4" ht="15.6" x14ac:dyDescent="0.3">
      <c r="A38" s="1" t="s">
        <v>36</v>
      </c>
      <c r="B38" s="10">
        <v>1.1359999999999999</v>
      </c>
      <c r="C38" s="10">
        <v>0.68500000000000005</v>
      </c>
      <c r="D38" s="10">
        <v>0.45099999999999985</v>
      </c>
    </row>
    <row r="39" spans="1:4" ht="15.6" x14ac:dyDescent="0.3">
      <c r="A39" s="1" t="s">
        <v>37</v>
      </c>
      <c r="B39" s="10">
        <v>0.89500000000000002</v>
      </c>
      <c r="C39" s="10">
        <v>0.38700000000000001</v>
      </c>
      <c r="D39" s="10">
        <v>0.50800000000000001</v>
      </c>
    </row>
    <row r="40" spans="1:4" ht="15.6" x14ac:dyDescent="0.3">
      <c r="A40" s="1" t="s">
        <v>38</v>
      </c>
      <c r="B40" s="10">
        <v>0.69099999999999995</v>
      </c>
      <c r="C40" s="10">
        <v>0.252</v>
      </c>
      <c r="D40" s="10">
        <v>0.43899999999999995</v>
      </c>
    </row>
    <row r="41" spans="1:4" ht="15.6" x14ac:dyDescent="0.3">
      <c r="A41" s="1" t="s">
        <v>39</v>
      </c>
      <c r="B41" s="10">
        <v>1.163</v>
      </c>
      <c r="C41" s="10">
        <v>0.94899999999999995</v>
      </c>
      <c r="D41" s="10">
        <v>0.21400000000000008</v>
      </c>
    </row>
    <row r="42" spans="1:4" ht="15.6" x14ac:dyDescent="0.3">
      <c r="A42" s="1" t="s">
        <v>40</v>
      </c>
      <c r="B42" s="10">
        <v>1.44</v>
      </c>
      <c r="C42" s="10">
        <v>1.268</v>
      </c>
      <c r="D42" s="10">
        <v>0.17199999999999993</v>
      </c>
    </row>
    <row r="43" spans="1:4" ht="15.6" x14ac:dyDescent="0.3">
      <c r="A43" s="1" t="s">
        <v>41</v>
      </c>
      <c r="B43" s="10">
        <v>1.151</v>
      </c>
      <c r="C43" s="10">
        <v>1.0309999999999999</v>
      </c>
      <c r="D43" s="10">
        <v>0.12000000000000011</v>
      </c>
    </row>
    <row r="44" spans="1:4" ht="15.6" x14ac:dyDescent="0.3">
      <c r="A44" s="1" t="s">
        <v>42</v>
      </c>
      <c r="B44" s="10">
        <v>0.89400000000000002</v>
      </c>
      <c r="C44" s="10">
        <v>0.79300000000000004</v>
      </c>
      <c r="D44" s="10">
        <v>0.10099999999999998</v>
      </c>
    </row>
    <row r="45" spans="1:4" ht="15.6" x14ac:dyDescent="0.3">
      <c r="A45" s="1" t="s">
        <v>43</v>
      </c>
      <c r="B45" s="10">
        <v>0.63400000000000001</v>
      </c>
      <c r="C45" s="10">
        <v>0.503</v>
      </c>
      <c r="D45" s="10">
        <v>0.13100000000000001</v>
      </c>
    </row>
    <row r="46" spans="1:4" ht="15.6" x14ac:dyDescent="0.3">
      <c r="A46" s="1" t="s">
        <v>44</v>
      </c>
      <c r="B46" s="10">
        <v>0.95599999999999996</v>
      </c>
      <c r="C46" s="10">
        <v>0.81100000000000005</v>
      </c>
      <c r="D46" s="10">
        <v>0.14499999999999991</v>
      </c>
    </row>
    <row r="47" spans="1:4" ht="15.6" x14ac:dyDescent="0.3">
      <c r="A47" s="1" t="s">
        <v>45</v>
      </c>
      <c r="B47" s="10">
        <v>0.78800000000000003</v>
      </c>
      <c r="C47" s="10">
        <v>0.52900000000000003</v>
      </c>
      <c r="D47" s="10">
        <v>0.25900000000000001</v>
      </c>
    </row>
    <row r="48" spans="1:4" ht="15.6" x14ac:dyDescent="0.3">
      <c r="A48" s="1" t="s">
        <v>46</v>
      </c>
      <c r="B48" s="10">
        <v>0.45800000000000002</v>
      </c>
      <c r="C48" s="10">
        <v>6.2E-2</v>
      </c>
      <c r="D48" s="10">
        <v>0.39600000000000002</v>
      </c>
    </row>
    <row r="49" spans="1:4" ht="15.6" x14ac:dyDescent="0.3">
      <c r="A49" s="1" t="s">
        <v>47</v>
      </c>
      <c r="B49" s="10">
        <v>0.80300000000000005</v>
      </c>
      <c r="C49" s="10">
        <v>0.34699999999999998</v>
      </c>
      <c r="D49" s="10">
        <v>0.45600000000000007</v>
      </c>
    </row>
    <row r="50" spans="1:4" ht="15.6" x14ac:dyDescent="0.3">
      <c r="A50" s="1" t="s">
        <v>48</v>
      </c>
      <c r="B50" s="10">
        <v>1.2030000000000001</v>
      </c>
      <c r="C50" s="10">
        <v>0.65400000000000003</v>
      </c>
      <c r="D50" s="10">
        <v>0.54900000000000004</v>
      </c>
    </row>
    <row r="51" spans="1:4" ht="15.6" x14ac:dyDescent="0.3">
      <c r="A51" s="1" t="s">
        <v>49</v>
      </c>
      <c r="B51" s="10">
        <v>1.1579999999999999</v>
      </c>
      <c r="C51" s="10">
        <v>0.73499999999999999</v>
      </c>
      <c r="D51" s="10">
        <v>0.42299999999999993</v>
      </c>
    </row>
    <row r="52" spans="1:4" ht="15.6" x14ac:dyDescent="0.3">
      <c r="A52" s="1" t="s">
        <v>50</v>
      </c>
      <c r="B52" s="10">
        <v>1.2589999999999999</v>
      </c>
      <c r="C52" s="10">
        <v>0.89700000000000002</v>
      </c>
      <c r="D52" s="10">
        <v>0.36199999999999988</v>
      </c>
    </row>
    <row r="53" spans="1:4" ht="15.6" x14ac:dyDescent="0.3">
      <c r="A53" s="1" t="s">
        <v>51</v>
      </c>
      <c r="B53" s="10">
        <v>1.56</v>
      </c>
      <c r="C53" s="10">
        <v>1.2929999999999999</v>
      </c>
      <c r="D53" s="10">
        <v>0.26700000000000013</v>
      </c>
    </row>
    <row r="54" spans="1:4" ht="15.6" x14ac:dyDescent="0.3">
      <c r="A54" s="1" t="s">
        <v>52</v>
      </c>
      <c r="B54" s="10">
        <v>1.3660000000000001</v>
      </c>
      <c r="C54" s="10">
        <v>1.127</v>
      </c>
      <c r="D54" s="10">
        <v>0.2390000000000001</v>
      </c>
    </row>
    <row r="55" spans="1:4" ht="15.6" x14ac:dyDescent="0.3">
      <c r="A55" s="1" t="s">
        <v>53</v>
      </c>
      <c r="B55" s="10">
        <v>1.425</v>
      </c>
      <c r="C55" s="10">
        <v>1.3120000000000001</v>
      </c>
      <c r="D55" s="10">
        <v>0.11299999999999999</v>
      </c>
    </row>
    <row r="56" spans="1:4" ht="15.6" x14ac:dyDescent="0.3">
      <c r="A56" s="1" t="s">
        <v>54</v>
      </c>
      <c r="B56" s="10">
        <v>1.4750000000000001</v>
      </c>
      <c r="C56" s="10">
        <v>1.377</v>
      </c>
      <c r="D56" s="10">
        <v>9.8000000000000087E-2</v>
      </c>
    </row>
    <row r="57" spans="1:4" ht="15.6" x14ac:dyDescent="0.3">
      <c r="A57" s="1" t="s">
        <v>55</v>
      </c>
      <c r="B57" s="10">
        <v>1.0449999999999999</v>
      </c>
      <c r="C57" s="10">
        <v>0.93500000000000005</v>
      </c>
      <c r="D57" s="10">
        <v>0.10999999999999988</v>
      </c>
    </row>
    <row r="58" spans="1:4" ht="15.6" x14ac:dyDescent="0.3">
      <c r="A58" s="1" t="s">
        <v>56</v>
      </c>
      <c r="B58" s="10">
        <v>0.745</v>
      </c>
      <c r="C58" s="10">
        <v>0.59399999999999997</v>
      </c>
      <c r="D58" s="10">
        <v>0.15100000000000002</v>
      </c>
    </row>
    <row r="59" spans="1:4" ht="15.6" x14ac:dyDescent="0.3">
      <c r="A59" s="1" t="s">
        <v>57</v>
      </c>
      <c r="B59" s="10">
        <v>1.4119999999999999</v>
      </c>
      <c r="C59" s="10">
        <v>1.163</v>
      </c>
      <c r="D59" s="10">
        <v>0.24899999999999989</v>
      </c>
    </row>
    <row r="60" spans="1:4" ht="15.6" x14ac:dyDescent="0.3">
      <c r="A60" s="1" t="s">
        <v>58</v>
      </c>
      <c r="B60" s="10">
        <v>0.85399999999999998</v>
      </c>
      <c r="C60" s="10">
        <v>0.45</v>
      </c>
      <c r="D60" s="10">
        <v>0.40399999999999997</v>
      </c>
    </row>
    <row r="61" spans="1:4" ht="15.6" x14ac:dyDescent="0.3">
      <c r="A61" s="1" t="s">
        <v>59</v>
      </c>
      <c r="B61" s="10">
        <v>0.90200000000000002</v>
      </c>
      <c r="C61" s="10">
        <v>0.434</v>
      </c>
      <c r="D61" s="10">
        <v>0.46800000000000003</v>
      </c>
    </row>
    <row r="62" spans="1:4" ht="15.6" x14ac:dyDescent="0.3">
      <c r="A62" s="1" t="s">
        <v>60</v>
      </c>
      <c r="B62" s="10">
        <v>1.631</v>
      </c>
      <c r="C62" s="10">
        <v>1.1220000000000001</v>
      </c>
      <c r="D62" s="10">
        <v>0.5089999999999999</v>
      </c>
    </row>
    <row r="63" spans="1:4" ht="15.6" x14ac:dyDescent="0.3">
      <c r="A63" s="1" t="s">
        <v>61</v>
      </c>
      <c r="B63" s="10">
        <v>1.33</v>
      </c>
      <c r="C63" s="10">
        <v>0.93700000000000006</v>
      </c>
      <c r="D63" s="10">
        <v>0.39300000000000002</v>
      </c>
    </row>
    <row r="64" spans="1:4" ht="15.6" x14ac:dyDescent="0.3">
      <c r="A64" s="1" t="s">
        <v>62</v>
      </c>
      <c r="B64" s="10">
        <v>1.3109999999999999</v>
      </c>
      <c r="C64" s="10">
        <v>0.92900000000000005</v>
      </c>
      <c r="D64" s="10">
        <v>0.3819999999999999</v>
      </c>
    </row>
    <row r="65" spans="1:4" ht="15.6" x14ac:dyDescent="0.3">
      <c r="A65" s="1" t="s">
        <v>63</v>
      </c>
      <c r="B65" s="10">
        <v>1.401</v>
      </c>
      <c r="C65" s="10">
        <v>1.196</v>
      </c>
      <c r="D65" s="10">
        <v>0.20500000000000007</v>
      </c>
    </row>
    <row r="66" spans="1:4" ht="15.6" x14ac:dyDescent="0.3">
      <c r="A66" s="1" t="s">
        <v>64</v>
      </c>
      <c r="B66" s="10">
        <v>1.534</v>
      </c>
      <c r="C66" s="10">
        <v>1.3640000000000001</v>
      </c>
      <c r="D66" s="10">
        <v>0.16999999999999993</v>
      </c>
    </row>
    <row r="67" spans="1:4" ht="15.6" x14ac:dyDescent="0.3">
      <c r="A67" s="1" t="s">
        <v>65</v>
      </c>
      <c r="B67" s="10">
        <v>1.0880000000000001</v>
      </c>
      <c r="C67" s="10">
        <v>0.95799999999999996</v>
      </c>
      <c r="D67" s="10">
        <v>0.13000000000000012</v>
      </c>
    </row>
    <row r="68" spans="1:4" ht="15.6" x14ac:dyDescent="0.3">
      <c r="A68" s="1" t="s">
        <v>66</v>
      </c>
      <c r="B68" s="10">
        <v>1.0580000000000001</v>
      </c>
      <c r="C68" s="10">
        <v>0.93100000000000005</v>
      </c>
      <c r="D68" s="10">
        <v>0.127</v>
      </c>
    </row>
    <row r="69" spans="1:4" ht="15.6" x14ac:dyDescent="0.3">
      <c r="A69" s="1" t="s">
        <v>67</v>
      </c>
      <c r="B69" s="10">
        <v>0.65300000000000002</v>
      </c>
      <c r="C69" s="10">
        <v>0.54400000000000004</v>
      </c>
      <c r="D69" s="10">
        <v>0.10899999999999999</v>
      </c>
    </row>
    <row r="70" spans="1:4" ht="15.6" x14ac:dyDescent="0.3">
      <c r="A70" s="1" t="s">
        <v>68</v>
      </c>
      <c r="B70" s="10">
        <v>0.55900000000000005</v>
      </c>
      <c r="C70" s="10">
        <v>0.40300000000000002</v>
      </c>
      <c r="D70" s="10">
        <v>0.15600000000000003</v>
      </c>
    </row>
    <row r="71" spans="1:4" ht="15.6" x14ac:dyDescent="0.3">
      <c r="A71" s="1" t="s">
        <v>69</v>
      </c>
      <c r="B71" s="10">
        <v>0.316</v>
      </c>
      <c r="C71" s="10">
        <v>8.9999999999999993E-3</v>
      </c>
      <c r="D71" s="10">
        <v>0.307</v>
      </c>
    </row>
    <row r="72" spans="1:4" ht="15.6" x14ac:dyDescent="0.3">
      <c r="A72" s="1" t="s">
        <v>70</v>
      </c>
      <c r="B72" s="10">
        <v>0.39100000000000001</v>
      </c>
      <c r="C72" s="10">
        <v>8.0000000000000002E-3</v>
      </c>
      <c r="D72" s="10">
        <v>0.38300000000000001</v>
      </c>
    </row>
    <row r="73" spans="1:4" ht="15.6" x14ac:dyDescent="0.3">
      <c r="A73" s="1" t="s">
        <v>71</v>
      </c>
      <c r="B73" s="10">
        <v>0.56299999999999994</v>
      </c>
      <c r="C73" s="10">
        <v>7.0000000000000007E-2</v>
      </c>
      <c r="D73" s="10">
        <v>0.49299999999999994</v>
      </c>
    </row>
    <row r="74" spans="1:4" ht="15.6" x14ac:dyDescent="0.3">
      <c r="A74" s="1" t="s">
        <v>72</v>
      </c>
      <c r="B74" s="10">
        <v>0.67300000000000004</v>
      </c>
      <c r="C74" s="10">
        <v>0.128</v>
      </c>
      <c r="D74" s="10">
        <v>0.54500000000000004</v>
      </c>
    </row>
    <row r="75" spans="1:4" ht="15.6" x14ac:dyDescent="0.3">
      <c r="A75" s="1" t="s">
        <v>73</v>
      </c>
      <c r="B75" s="10">
        <v>0.65500000000000003</v>
      </c>
      <c r="C75" s="10">
        <v>0.221</v>
      </c>
      <c r="D75" s="10">
        <v>0.43400000000000005</v>
      </c>
    </row>
    <row r="76" spans="1:4" ht="15.6" x14ac:dyDescent="0.3">
      <c r="A76" s="1" t="s">
        <v>74</v>
      </c>
      <c r="B76" s="10">
        <v>0.46899999999999997</v>
      </c>
      <c r="C76" s="10">
        <v>0.222</v>
      </c>
      <c r="D76" s="10">
        <v>0.24699999999999997</v>
      </c>
    </row>
    <row r="77" spans="1:4" ht="15.6" x14ac:dyDescent="0.3">
      <c r="A77" s="1" t="s">
        <v>75</v>
      </c>
      <c r="B77" s="10">
        <v>0.78200000000000003</v>
      </c>
      <c r="C77" s="10">
        <v>0.46800000000000003</v>
      </c>
      <c r="D77" s="10">
        <v>0.314</v>
      </c>
    </row>
    <row r="78" spans="1:4" ht="15.6" x14ac:dyDescent="0.3">
      <c r="A78" s="1" t="s">
        <v>76</v>
      </c>
      <c r="B78" s="10">
        <v>0.35699999999999998</v>
      </c>
      <c r="C78" s="10">
        <v>0.10299999999999999</v>
      </c>
      <c r="D78" s="10">
        <v>0.254</v>
      </c>
    </row>
    <row r="79" spans="1:4" ht="15.6" x14ac:dyDescent="0.3">
      <c r="A79" s="1" t="s">
        <v>77</v>
      </c>
      <c r="B79" s="10">
        <v>0.158</v>
      </c>
      <c r="C79" s="10">
        <v>4.2000000000000003E-2</v>
      </c>
      <c r="D79" s="10">
        <v>0.11599999999999999</v>
      </c>
    </row>
    <row r="80" spans="1:4" ht="15.6" x14ac:dyDescent="0.3">
      <c r="A80" s="1" t="s">
        <v>78</v>
      </c>
      <c r="B80" s="10">
        <v>0.11799999999999999</v>
      </c>
      <c r="C80" s="10">
        <v>7.0000000000000001E-3</v>
      </c>
      <c r="D80" s="10">
        <v>0.11099999999999999</v>
      </c>
    </row>
    <row r="81" spans="1:4" ht="15.6" x14ac:dyDescent="0.3">
      <c r="A81" s="1" t="s">
        <v>79</v>
      </c>
      <c r="B81" s="10">
        <v>0.17599999999999999</v>
      </c>
      <c r="C81" s="10">
        <v>5.5E-2</v>
      </c>
      <c r="D81" s="10">
        <v>0.121</v>
      </c>
    </row>
    <row r="82" spans="1:4" ht="15.6" x14ac:dyDescent="0.3">
      <c r="A82" s="1" t="s">
        <v>80</v>
      </c>
      <c r="B82" s="10">
        <v>0.30099999999999999</v>
      </c>
      <c r="C82" s="10">
        <v>0.152</v>
      </c>
      <c r="D82" s="10">
        <v>0.14899999999999999</v>
      </c>
    </row>
    <row r="83" spans="1:4" ht="15.6" x14ac:dyDescent="0.3">
      <c r="A83" s="1" t="s">
        <v>81</v>
      </c>
      <c r="B83" s="10">
        <v>0.32400000000000001</v>
      </c>
      <c r="C83" s="10">
        <v>2.4E-2</v>
      </c>
      <c r="D83" s="10">
        <v>0.3</v>
      </c>
    </row>
    <row r="84" spans="1:4" ht="15.6" x14ac:dyDescent="0.3">
      <c r="A84" s="1" t="s">
        <v>82</v>
      </c>
      <c r="B84" s="10">
        <v>0.44700000000000001</v>
      </c>
      <c r="C84" s="10">
        <v>1.9E-2</v>
      </c>
      <c r="D84" s="10">
        <v>0.42799999999999999</v>
      </c>
    </row>
    <row r="85" spans="1:4" ht="15.6" x14ac:dyDescent="0.3">
      <c r="A85" s="1" t="s">
        <v>83</v>
      </c>
      <c r="B85" s="10">
        <v>0.99099999999999999</v>
      </c>
      <c r="C85" s="10">
        <v>0.496</v>
      </c>
      <c r="D85" s="10">
        <v>0.495</v>
      </c>
    </row>
    <row r="86" spans="1:4" ht="15.6" x14ac:dyDescent="0.3">
      <c r="A86" s="1" t="s">
        <v>84</v>
      </c>
      <c r="B86" s="10">
        <v>1.345</v>
      </c>
      <c r="C86" s="10">
        <v>0.81100000000000005</v>
      </c>
      <c r="D86" s="10">
        <v>0.53399999999999992</v>
      </c>
    </row>
    <row r="87" spans="1:4" ht="15.6" x14ac:dyDescent="0.3">
      <c r="A87" s="1" t="s">
        <v>85</v>
      </c>
      <c r="B87" s="10">
        <v>0.96399999999999997</v>
      </c>
      <c r="C87" s="10">
        <v>0.55000000000000004</v>
      </c>
      <c r="D87" s="10">
        <v>0.41399999999999992</v>
      </c>
    </row>
    <row r="88" spans="1:4" ht="15.6" x14ac:dyDescent="0.3">
      <c r="A88" s="1" t="s">
        <v>86</v>
      </c>
      <c r="B88" s="10">
        <v>0.437</v>
      </c>
      <c r="C88" s="10">
        <v>6.6000000000000003E-2</v>
      </c>
      <c r="D88" s="10">
        <v>0.371</v>
      </c>
    </row>
    <row r="89" spans="1:4" ht="15.6" x14ac:dyDescent="0.3">
      <c r="A89" s="1" t="s">
        <v>87</v>
      </c>
      <c r="B89" s="10">
        <v>0.95599999999999996</v>
      </c>
      <c r="C89" s="10">
        <v>0.68200000000000005</v>
      </c>
      <c r="D89" s="10">
        <v>0.27399999999999991</v>
      </c>
    </row>
    <row r="90" spans="1:4" ht="15.6" x14ac:dyDescent="0.3">
      <c r="A90" s="1" t="s">
        <v>88</v>
      </c>
      <c r="B90" s="10">
        <v>1.0309999999999999</v>
      </c>
      <c r="C90" s="10">
        <v>0.88300000000000001</v>
      </c>
      <c r="D90" s="10">
        <v>0.14799999999999991</v>
      </c>
    </row>
    <row r="91" spans="1:4" ht="15.6" x14ac:dyDescent="0.3">
      <c r="A91" s="1" t="s">
        <v>89</v>
      </c>
      <c r="B91" s="10">
        <v>0.51200000000000001</v>
      </c>
      <c r="C91" s="10">
        <v>0.40100000000000002</v>
      </c>
      <c r="D91" s="10">
        <v>0.11099999999999999</v>
      </c>
    </row>
    <row r="92" spans="1:4" ht="15.6" x14ac:dyDescent="0.3">
      <c r="A92" s="1" t="s">
        <v>90</v>
      </c>
      <c r="B92" s="10">
        <v>1.472</v>
      </c>
      <c r="C92" s="10">
        <v>1.379</v>
      </c>
      <c r="D92" s="10">
        <v>9.2999999999999972E-2</v>
      </c>
    </row>
    <row r="93" spans="1:4" ht="15.6" x14ac:dyDescent="0.3">
      <c r="A93" s="1" t="s">
        <v>91</v>
      </c>
      <c r="B93" s="10">
        <v>0.77200000000000002</v>
      </c>
      <c r="C93" s="10">
        <v>0.68100000000000005</v>
      </c>
      <c r="D93" s="10">
        <v>9.099999999999997E-2</v>
      </c>
    </row>
    <row r="94" spans="1:4" ht="15.6" x14ac:dyDescent="0.3">
      <c r="A94" s="1" t="s">
        <v>92</v>
      </c>
      <c r="B94" s="10">
        <v>0.77</v>
      </c>
      <c r="C94" s="10">
        <v>0.61799999999999999</v>
      </c>
      <c r="D94" s="10">
        <v>0.15200000000000002</v>
      </c>
    </row>
    <row r="95" spans="1:4" ht="15.6" x14ac:dyDescent="0.3">
      <c r="A95" s="1" t="s">
        <v>93</v>
      </c>
      <c r="B95" s="10">
        <v>0.752</v>
      </c>
      <c r="C95" s="10">
        <v>0.57699999999999996</v>
      </c>
      <c r="D95" s="10">
        <v>0.17500000000000004</v>
      </c>
    </row>
    <row r="96" spans="1:4" ht="15.6" x14ac:dyDescent="0.3">
      <c r="A96" s="1" t="s">
        <v>94</v>
      </c>
      <c r="B96" s="10">
        <v>0.83299999999999996</v>
      </c>
      <c r="C96" s="10">
        <v>0.52700000000000002</v>
      </c>
      <c r="D96" s="10">
        <v>0.30599999999999994</v>
      </c>
    </row>
    <row r="97" spans="1:4" ht="15.6" x14ac:dyDescent="0.3">
      <c r="A97" s="1" t="s">
        <v>95</v>
      </c>
      <c r="B97" s="10">
        <v>0.85299999999999998</v>
      </c>
      <c r="C97" s="10">
        <v>0.42699999999999999</v>
      </c>
      <c r="D97" s="10">
        <v>0.42599999999999999</v>
      </c>
    </row>
    <row r="98" spans="1:4" ht="15.6" x14ac:dyDescent="0.3">
      <c r="A98" s="1" t="s">
        <v>96</v>
      </c>
      <c r="B98" s="10">
        <v>1.421</v>
      </c>
      <c r="C98" s="10">
        <v>0.95399999999999996</v>
      </c>
      <c r="D98" s="10">
        <v>0.46700000000000008</v>
      </c>
    </row>
    <row r="99" spans="1:4" ht="15.6" x14ac:dyDescent="0.3">
      <c r="A99" s="1" t="s">
        <v>97</v>
      </c>
      <c r="B99" s="10">
        <v>1.1919999999999999</v>
      </c>
      <c r="C99" s="10">
        <v>0.81599999999999995</v>
      </c>
      <c r="D99" s="10">
        <v>0.376</v>
      </c>
    </row>
    <row r="100" spans="1:4" ht="15.6" x14ac:dyDescent="0.3">
      <c r="A100" s="1" t="s">
        <v>98</v>
      </c>
      <c r="B100" s="10">
        <v>0.79500000000000004</v>
      </c>
      <c r="C100" s="10">
        <v>0.46300000000000002</v>
      </c>
      <c r="D100" s="10">
        <v>0.33200000000000002</v>
      </c>
    </row>
    <row r="101" spans="1:4" ht="15.6" x14ac:dyDescent="0.3">
      <c r="A101" s="1" t="s">
        <v>99</v>
      </c>
      <c r="B101" s="10">
        <v>0.749</v>
      </c>
      <c r="C101" s="10">
        <v>0.49099999999999999</v>
      </c>
      <c r="D101" s="10">
        <v>0.25800000000000001</v>
      </c>
    </row>
    <row r="102" spans="1:4" ht="15.6" x14ac:dyDescent="0.3">
      <c r="A102" s="1" t="s">
        <v>100</v>
      </c>
      <c r="B102" s="10">
        <v>1.048</v>
      </c>
      <c r="C102" s="10">
        <v>0.90700000000000003</v>
      </c>
      <c r="D102" s="10">
        <v>0.14100000000000001</v>
      </c>
    </row>
    <row r="103" spans="1:4" ht="15.6" x14ac:dyDescent="0.3">
      <c r="A103" s="1" t="s">
        <v>101</v>
      </c>
      <c r="B103" s="10">
        <v>0.60899999999999999</v>
      </c>
      <c r="C103" s="10">
        <v>0.51400000000000001</v>
      </c>
      <c r="D103" s="10">
        <v>9.4999999999999973E-2</v>
      </c>
    </row>
    <row r="104" spans="1:4" ht="15.6" x14ac:dyDescent="0.3">
      <c r="A104" s="1" t="s">
        <v>102</v>
      </c>
      <c r="B104" s="10">
        <v>0.71099999999999997</v>
      </c>
      <c r="C104" s="10">
        <v>0.628</v>
      </c>
      <c r="D104" s="10">
        <v>8.2999999999999963E-2</v>
      </c>
    </row>
    <row r="105" spans="1:4" ht="15.6" x14ac:dyDescent="0.3">
      <c r="A105" s="1" t="s">
        <v>103</v>
      </c>
      <c r="B105" s="10">
        <v>0.219</v>
      </c>
      <c r="C105" s="10">
        <v>0.114</v>
      </c>
      <c r="D105" s="10">
        <v>0.105</v>
      </c>
    </row>
    <row r="106" spans="1:4" ht="15.6" x14ac:dyDescent="0.3">
      <c r="A106" s="1" t="s">
        <v>104</v>
      </c>
      <c r="B106" s="10">
        <v>0.245</v>
      </c>
      <c r="C106" s="10">
        <v>0.109</v>
      </c>
      <c r="D106" s="10">
        <v>0.13600000000000001</v>
      </c>
    </row>
    <row r="107" spans="1:4" ht="15.6" x14ac:dyDescent="0.3">
      <c r="A107" s="1" t="s">
        <v>105</v>
      </c>
      <c r="B107" s="10">
        <v>0.65300000000000002</v>
      </c>
      <c r="C107" s="10">
        <v>0.47199999999999998</v>
      </c>
      <c r="D107" s="10">
        <v>0.18100000000000005</v>
      </c>
    </row>
    <row r="108" spans="1:4" ht="15.6" x14ac:dyDescent="0.3">
      <c r="A108" s="1" t="s">
        <v>106</v>
      </c>
      <c r="B108" s="10">
        <v>1.014</v>
      </c>
      <c r="C108" s="10">
        <v>0.46400000000000002</v>
      </c>
      <c r="D108" s="10">
        <v>0.55000000000000004</v>
      </c>
    </row>
    <row r="109" spans="1:4" ht="15.6" x14ac:dyDescent="0.3">
      <c r="A109" s="1" t="s">
        <v>107</v>
      </c>
      <c r="B109" s="10">
        <v>0.90800000000000003</v>
      </c>
      <c r="C109" s="10">
        <v>0.501</v>
      </c>
      <c r="D109" s="10">
        <v>0.40700000000000003</v>
      </c>
    </row>
    <row r="110" spans="1:4" ht="15.6" x14ac:dyDescent="0.3">
      <c r="A110" s="1" t="s">
        <v>108</v>
      </c>
      <c r="B110" s="10">
        <v>0.98499999999999999</v>
      </c>
      <c r="C110" s="10">
        <v>0.53</v>
      </c>
      <c r="D110" s="10">
        <v>0.45499999999999996</v>
      </c>
    </row>
    <row r="111" spans="1:4" ht="15.6" x14ac:dyDescent="0.3">
      <c r="A111" s="1" t="s">
        <v>109</v>
      </c>
      <c r="B111" s="10">
        <v>0.93500000000000005</v>
      </c>
      <c r="C111" s="10">
        <v>0.61299999999999999</v>
      </c>
      <c r="D111" s="10">
        <v>0.32200000000000006</v>
      </c>
    </row>
    <row r="112" spans="1:4" ht="15.6" x14ac:dyDescent="0.3">
      <c r="A112" s="1" t="s">
        <v>110</v>
      </c>
      <c r="B112" s="10">
        <v>0.92500000000000004</v>
      </c>
      <c r="C112" s="10">
        <v>0.623</v>
      </c>
      <c r="D112" s="10">
        <v>0.30200000000000005</v>
      </c>
    </row>
    <row r="113" spans="1:4" ht="15.6" x14ac:dyDescent="0.3">
      <c r="A113" s="1" t="s">
        <v>111</v>
      </c>
      <c r="B113" s="10">
        <v>0.45800000000000002</v>
      </c>
      <c r="C113" s="10">
        <v>0.21199999999999999</v>
      </c>
      <c r="D113" s="10">
        <v>0.24600000000000002</v>
      </c>
    </row>
    <row r="114" spans="1:4" ht="15.6" x14ac:dyDescent="0.3">
      <c r="A114" s="1" t="s">
        <v>112</v>
      </c>
      <c r="B114" s="10">
        <v>0.623</v>
      </c>
      <c r="C114" s="10">
        <v>0.46300000000000002</v>
      </c>
      <c r="D114" s="10">
        <v>0.15999999999999998</v>
      </c>
    </row>
    <row r="115" spans="1:4" ht="15.6" x14ac:dyDescent="0.3">
      <c r="A115" s="1" t="s">
        <v>113</v>
      </c>
      <c r="B115" s="10">
        <v>0.68200000000000005</v>
      </c>
      <c r="C115" s="10">
        <v>0.57299999999999995</v>
      </c>
      <c r="D115" s="10">
        <v>0.1090000000000001</v>
      </c>
    </row>
    <row r="116" spans="1:4" ht="15.6" x14ac:dyDescent="0.3">
      <c r="A116" s="1" t="s">
        <v>114</v>
      </c>
      <c r="B116" s="10">
        <v>0.54600000000000004</v>
      </c>
      <c r="C116" s="10">
        <v>0.46300000000000002</v>
      </c>
      <c r="D116" s="10">
        <v>8.3000000000000018E-2</v>
      </c>
    </row>
    <row r="117" spans="1:4" ht="15.6" x14ac:dyDescent="0.3">
      <c r="A117" s="1" t="s">
        <v>115</v>
      </c>
      <c r="B117" s="10">
        <v>0.65300000000000002</v>
      </c>
      <c r="C117" s="10">
        <v>0.57699999999999996</v>
      </c>
      <c r="D117" s="10">
        <v>7.6000000000000068E-2</v>
      </c>
    </row>
    <row r="118" spans="1:4" ht="15.6" x14ac:dyDescent="0.3">
      <c r="A118" s="1" t="s">
        <v>116</v>
      </c>
      <c r="B118" s="10">
        <v>0.74399999999999999</v>
      </c>
      <c r="C118" s="10">
        <v>0.59599999999999997</v>
      </c>
      <c r="D118" s="10">
        <v>0.14800000000000002</v>
      </c>
    </row>
    <row r="119" spans="1:4" ht="15.6" x14ac:dyDescent="0.3">
      <c r="A119" s="1" t="s">
        <v>117</v>
      </c>
      <c r="B119" s="10">
        <v>0.54100000000000004</v>
      </c>
      <c r="C119" s="10">
        <v>0.32500000000000001</v>
      </c>
      <c r="D119" s="10">
        <v>0.21600000000000003</v>
      </c>
    </row>
    <row r="120" spans="1:4" ht="15.6" x14ac:dyDescent="0.3">
      <c r="A120" s="1" t="s">
        <v>118</v>
      </c>
      <c r="B120" s="10">
        <v>0.73299999999999998</v>
      </c>
      <c r="C120" s="10">
        <v>0.38800000000000001</v>
      </c>
      <c r="D120" s="10">
        <v>0.34499999999999997</v>
      </c>
    </row>
    <row r="121" spans="1:4" ht="15.6" x14ac:dyDescent="0.3">
      <c r="A121" s="1" t="s">
        <v>119</v>
      </c>
      <c r="B121" s="10">
        <v>0.96699999999999997</v>
      </c>
      <c r="C121" s="10">
        <v>0.52400000000000002</v>
      </c>
      <c r="D121" s="10">
        <v>0.44299999999999995</v>
      </c>
    </row>
    <row r="122" spans="1:4" ht="15.6" x14ac:dyDescent="0.3">
      <c r="A122" s="1" t="s">
        <v>120</v>
      </c>
      <c r="B122" s="10">
        <v>0.98899999999999999</v>
      </c>
      <c r="C122" s="10">
        <v>0.53700000000000003</v>
      </c>
      <c r="D122" s="10">
        <v>0.45199999999999996</v>
      </c>
    </row>
    <row r="123" spans="1:4" ht="15.6" x14ac:dyDescent="0.3">
      <c r="A123" s="1" t="s">
        <v>121</v>
      </c>
      <c r="B123" s="10">
        <v>0.96399999999999997</v>
      </c>
      <c r="C123" s="10">
        <v>0.58099999999999996</v>
      </c>
      <c r="D123" s="10">
        <v>0.38300000000000001</v>
      </c>
    </row>
    <row r="124" spans="1:4" ht="15.6" x14ac:dyDescent="0.3">
      <c r="A124" s="1" t="s">
        <v>122</v>
      </c>
      <c r="B124" s="10">
        <v>0.72899999999999998</v>
      </c>
      <c r="C124" s="10">
        <v>0.42</v>
      </c>
      <c r="D124" s="10">
        <v>0.309</v>
      </c>
    </row>
    <row r="125" spans="1:4" ht="15.6" x14ac:dyDescent="0.3">
      <c r="A125" s="1" t="s">
        <v>123</v>
      </c>
      <c r="B125" s="10">
        <v>1.0089999999999999</v>
      </c>
      <c r="C125" s="10">
        <v>0.81100000000000005</v>
      </c>
      <c r="D125" s="10">
        <v>0.19799999999999984</v>
      </c>
    </row>
    <row r="126" spans="1:4" ht="15.6" x14ac:dyDescent="0.3">
      <c r="A126" s="1" t="s">
        <v>124</v>
      </c>
      <c r="B126" s="10">
        <v>0.99099999999999999</v>
      </c>
      <c r="C126" s="10">
        <v>0.83699999999999997</v>
      </c>
      <c r="D126" s="10">
        <v>0.15400000000000003</v>
      </c>
    </row>
    <row r="127" spans="1:4" ht="15.6" x14ac:dyDescent="0.3">
      <c r="A127" s="1" t="s">
        <v>125</v>
      </c>
      <c r="B127" s="10">
        <v>1.022</v>
      </c>
      <c r="C127" s="10">
        <v>0.93899999999999995</v>
      </c>
      <c r="D127" s="10">
        <v>8.3000000000000074E-2</v>
      </c>
    </row>
    <row r="128" spans="1:4" ht="15.6" x14ac:dyDescent="0.3">
      <c r="A128" s="1" t="s">
        <v>126</v>
      </c>
      <c r="B128" s="10">
        <v>1.2110000000000001</v>
      </c>
      <c r="C128" s="10">
        <v>1.123</v>
      </c>
      <c r="D128" s="10">
        <v>8.8000000000000078E-2</v>
      </c>
    </row>
    <row r="129" spans="1:4" ht="15.6" x14ac:dyDescent="0.3">
      <c r="A129" s="1" t="s">
        <v>127</v>
      </c>
      <c r="B129" s="10">
        <v>0.83099999999999996</v>
      </c>
      <c r="C129" s="10">
        <v>0.749</v>
      </c>
      <c r="D129" s="10">
        <v>8.1999999999999962E-2</v>
      </c>
    </row>
    <row r="130" spans="1:4" ht="15.6" x14ac:dyDescent="0.3">
      <c r="A130" s="1" t="s">
        <v>128</v>
      </c>
      <c r="B130" s="10">
        <v>0.627</v>
      </c>
      <c r="C130" s="10">
        <v>0.49399999999999999</v>
      </c>
      <c r="D130" s="10">
        <v>0.13300000000000001</v>
      </c>
    </row>
    <row r="131" spans="1:4" ht="15.6" x14ac:dyDescent="0.3">
      <c r="A131" s="1" t="s">
        <v>129</v>
      </c>
      <c r="B131" s="10">
        <v>0.82699999999999996</v>
      </c>
      <c r="C131" s="10">
        <v>0.58299999999999996</v>
      </c>
      <c r="D131" s="10">
        <v>0.24399999999999999</v>
      </c>
    </row>
    <row r="132" spans="1:4" ht="15.6" x14ac:dyDescent="0.3">
      <c r="A132" s="1" t="s">
        <v>130</v>
      </c>
      <c r="B132" s="10">
        <v>1.0049999999999999</v>
      </c>
      <c r="C132" s="10">
        <v>0.65</v>
      </c>
      <c r="D132" s="10">
        <v>0.35499999999999987</v>
      </c>
    </row>
    <row r="133" spans="1:4" ht="15.6" x14ac:dyDescent="0.3">
      <c r="A133" s="1" t="s">
        <v>131</v>
      </c>
      <c r="B133" s="10">
        <v>1.23</v>
      </c>
      <c r="C133" s="10">
        <v>0.81299999999999994</v>
      </c>
      <c r="D133" s="10">
        <v>0.41700000000000004</v>
      </c>
    </row>
    <row r="134" spans="1:4" ht="15.6" x14ac:dyDescent="0.3">
      <c r="A134" s="1" t="s">
        <v>132</v>
      </c>
      <c r="B134" s="10">
        <v>1.3049999999999999</v>
      </c>
      <c r="C134" s="10">
        <v>0.81200000000000006</v>
      </c>
      <c r="D134" s="10">
        <v>0.49299999999999988</v>
      </c>
    </row>
    <row r="135" spans="1:4" ht="15.6" x14ac:dyDescent="0.3">
      <c r="A135" s="1" t="s">
        <v>133</v>
      </c>
      <c r="B135" s="10">
        <v>0.88800000000000001</v>
      </c>
      <c r="C135" s="10">
        <v>0.54900000000000004</v>
      </c>
      <c r="D135" s="10">
        <v>0.33899999999999997</v>
      </c>
    </row>
    <row r="136" spans="1:4" ht="15.6" x14ac:dyDescent="0.3">
      <c r="A136" s="1" t="s">
        <v>134</v>
      </c>
      <c r="B136" s="10">
        <v>0.75800000000000001</v>
      </c>
      <c r="C136" s="10">
        <v>0.442</v>
      </c>
      <c r="D136" s="10">
        <v>0.316</v>
      </c>
    </row>
    <row r="137" spans="1:4" ht="15.6" x14ac:dyDescent="0.3">
      <c r="A137" s="1" t="s">
        <v>135</v>
      </c>
      <c r="B137" s="10">
        <v>0.74</v>
      </c>
      <c r="C137" s="10">
        <v>0.55200000000000005</v>
      </c>
      <c r="D137" s="10">
        <v>0.18799999999999994</v>
      </c>
    </row>
    <row r="138" spans="1:4" ht="15.6" x14ac:dyDescent="0.3">
      <c r="A138" s="1" t="s">
        <v>136</v>
      </c>
      <c r="B138" s="10">
        <v>0.50600000000000001</v>
      </c>
      <c r="C138" s="10">
        <v>0.36199999999999999</v>
      </c>
      <c r="D138" s="10">
        <v>0.14400000000000002</v>
      </c>
    </row>
    <row r="139" spans="1:4" x14ac:dyDescent="0.3">
      <c r="A13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6EA3-A496-453B-995F-952281F455A9}">
  <dimension ref="A1:D138"/>
  <sheetViews>
    <sheetView workbookViewId="0">
      <selection activeCell="A77" sqref="A1:D1048576"/>
    </sheetView>
  </sheetViews>
  <sheetFormatPr defaultRowHeight="14.4" x14ac:dyDescent="0.3"/>
  <sheetData>
    <row r="1" spans="1:4" x14ac:dyDescent="0.3">
      <c r="A1" s="2" t="s">
        <v>137</v>
      </c>
      <c r="B1" s="3" t="s">
        <v>142</v>
      </c>
      <c r="C1" s="3" t="s">
        <v>143</v>
      </c>
      <c r="D1" s="3" t="s">
        <v>144</v>
      </c>
    </row>
    <row r="2" spans="1:4" ht="15.6" x14ac:dyDescent="0.3">
      <c r="A2" s="1" t="s">
        <v>0</v>
      </c>
      <c r="B2" s="11">
        <f>B14</f>
        <v>0.307</v>
      </c>
      <c r="C2" s="11">
        <f t="shared" ref="C2:D2" si="0">C14</f>
        <v>0</v>
      </c>
      <c r="D2" s="11">
        <f t="shared" si="0"/>
        <v>0.307</v>
      </c>
    </row>
    <row r="3" spans="1:4" ht="15.6" x14ac:dyDescent="0.3">
      <c r="A3" s="1" t="s">
        <v>1</v>
      </c>
      <c r="B3" s="11">
        <f t="shared" ref="B3:D3" si="1">B15</f>
        <v>0.25700000000000001</v>
      </c>
      <c r="C3" s="11">
        <f t="shared" si="1"/>
        <v>0</v>
      </c>
      <c r="D3" s="11">
        <f t="shared" si="1"/>
        <v>0.25700000000000001</v>
      </c>
    </row>
    <row r="4" spans="1:4" ht="15.6" x14ac:dyDescent="0.3">
      <c r="A4" s="1" t="s">
        <v>2</v>
      </c>
      <c r="B4" s="11">
        <f t="shared" ref="B4:D4" si="2">B16</f>
        <v>0.21</v>
      </c>
      <c r="C4" s="11">
        <f t="shared" si="2"/>
        <v>0</v>
      </c>
      <c r="D4" s="11">
        <f t="shared" si="2"/>
        <v>0.21</v>
      </c>
    </row>
    <row r="5" spans="1:4" ht="15.6" x14ac:dyDescent="0.3">
      <c r="A5" s="1" t="s">
        <v>3</v>
      </c>
      <c r="B5" s="11">
        <f t="shared" ref="B5:D5" si="3">B17</f>
        <v>0.157</v>
      </c>
      <c r="C5" s="11">
        <f t="shared" si="3"/>
        <v>0</v>
      </c>
      <c r="D5" s="11">
        <f t="shared" si="3"/>
        <v>0.157</v>
      </c>
    </row>
    <row r="6" spans="1:4" ht="15.6" x14ac:dyDescent="0.3">
      <c r="A6" s="1" t="s">
        <v>4</v>
      </c>
      <c r="B6" s="11">
        <f t="shared" ref="B6:D6" si="4">B18</f>
        <v>0.17199999999999999</v>
      </c>
      <c r="C6" s="11">
        <f t="shared" si="4"/>
        <v>0</v>
      </c>
      <c r="D6" s="11">
        <f t="shared" si="4"/>
        <v>0.17199999999999999</v>
      </c>
    </row>
    <row r="7" spans="1:4" ht="15.6" x14ac:dyDescent="0.3">
      <c r="A7" s="1" t="s">
        <v>5</v>
      </c>
      <c r="B7" s="11">
        <f t="shared" ref="B7:D7" si="5">B19</f>
        <v>0.158</v>
      </c>
      <c r="C7" s="11">
        <f t="shared" si="5"/>
        <v>0</v>
      </c>
      <c r="D7" s="11">
        <f t="shared" si="5"/>
        <v>0.158</v>
      </c>
    </row>
    <row r="8" spans="1:4" ht="15.6" x14ac:dyDescent="0.3">
      <c r="A8" s="1" t="s">
        <v>6</v>
      </c>
      <c r="B8" s="11">
        <f t="shared" ref="B8:D8" si="6">B20</f>
        <v>0.16500000000000001</v>
      </c>
      <c r="C8" s="11">
        <f t="shared" si="6"/>
        <v>0</v>
      </c>
      <c r="D8" s="11">
        <f t="shared" si="6"/>
        <v>0.16500000000000001</v>
      </c>
    </row>
    <row r="9" spans="1:4" ht="15.6" x14ac:dyDescent="0.3">
      <c r="A9" s="1" t="s">
        <v>7</v>
      </c>
      <c r="B9" s="11">
        <f t="shared" ref="B9:D9" si="7">B21</f>
        <v>0.14699999999999999</v>
      </c>
      <c r="C9" s="11">
        <f t="shared" si="7"/>
        <v>0</v>
      </c>
      <c r="D9" s="11">
        <f t="shared" si="7"/>
        <v>0.14699999999999999</v>
      </c>
    </row>
    <row r="10" spans="1:4" ht="15.6" x14ac:dyDescent="0.3">
      <c r="A10" s="1" t="s">
        <v>8</v>
      </c>
      <c r="B10" s="11">
        <f t="shared" ref="B10:D10" si="8">B22</f>
        <v>0.14499999999999999</v>
      </c>
      <c r="C10" s="11">
        <f t="shared" si="8"/>
        <v>0</v>
      </c>
      <c r="D10" s="11">
        <f t="shared" si="8"/>
        <v>0.14499999999999999</v>
      </c>
    </row>
    <row r="11" spans="1:4" ht="15.6" x14ac:dyDescent="0.3">
      <c r="A11" s="1" t="s">
        <v>9</v>
      </c>
      <c r="B11" s="11">
        <f t="shared" ref="B11:D11" si="9">B23</f>
        <v>0.17399999999999999</v>
      </c>
      <c r="C11" s="11">
        <f t="shared" si="9"/>
        <v>0</v>
      </c>
      <c r="D11" s="11">
        <f t="shared" si="9"/>
        <v>0.17399999999999999</v>
      </c>
    </row>
    <row r="12" spans="1:4" ht="15.6" x14ac:dyDescent="0.3">
      <c r="A12" s="1" t="s">
        <v>10</v>
      </c>
      <c r="B12" s="11">
        <f t="shared" ref="B12:D12" si="10">B24</f>
        <v>0.26400000000000001</v>
      </c>
      <c r="C12" s="11">
        <f t="shared" si="10"/>
        <v>0</v>
      </c>
      <c r="D12" s="11">
        <f t="shared" si="10"/>
        <v>0.26400000000000001</v>
      </c>
    </row>
    <row r="13" spans="1:4" ht="15.6" x14ac:dyDescent="0.3">
      <c r="A13" s="1" t="s">
        <v>11</v>
      </c>
      <c r="B13" s="11">
        <f t="shared" ref="B13:D13" si="11">B25</f>
        <v>0.29099999999999998</v>
      </c>
      <c r="C13" s="11">
        <f t="shared" si="11"/>
        <v>0</v>
      </c>
      <c r="D13" s="11">
        <f t="shared" si="11"/>
        <v>0.29099999999999998</v>
      </c>
    </row>
    <row r="14" spans="1:4" ht="15.6" x14ac:dyDescent="0.3">
      <c r="A14" s="1" t="s">
        <v>12</v>
      </c>
      <c r="B14" s="11">
        <f t="shared" ref="B14:D14" si="12">B26</f>
        <v>0.307</v>
      </c>
      <c r="C14" s="11">
        <f t="shared" si="12"/>
        <v>0</v>
      </c>
      <c r="D14" s="11">
        <f t="shared" si="12"/>
        <v>0.307</v>
      </c>
    </row>
    <row r="15" spans="1:4" ht="15.6" x14ac:dyDescent="0.3">
      <c r="A15" s="1" t="s">
        <v>13</v>
      </c>
      <c r="B15" s="11">
        <f t="shared" ref="B15:D15" si="13">B27</f>
        <v>0.25700000000000001</v>
      </c>
      <c r="C15" s="11">
        <f t="shared" si="13"/>
        <v>0</v>
      </c>
      <c r="D15" s="11">
        <f t="shared" si="13"/>
        <v>0.25700000000000001</v>
      </c>
    </row>
    <row r="16" spans="1:4" ht="15.6" x14ac:dyDescent="0.3">
      <c r="A16" s="1" t="s">
        <v>14</v>
      </c>
      <c r="B16" s="11">
        <f t="shared" ref="B16:D16" si="14">B28</f>
        <v>0.21</v>
      </c>
      <c r="C16" s="11">
        <f t="shared" si="14"/>
        <v>0</v>
      </c>
      <c r="D16" s="11">
        <f t="shared" si="14"/>
        <v>0.21</v>
      </c>
    </row>
    <row r="17" spans="1:4" ht="15.6" x14ac:dyDescent="0.3">
      <c r="A17" s="1" t="s">
        <v>15</v>
      </c>
      <c r="B17" s="11">
        <f t="shared" ref="B17:D17" si="15">B29</f>
        <v>0.157</v>
      </c>
      <c r="C17" s="11">
        <f t="shared" si="15"/>
        <v>0</v>
      </c>
      <c r="D17" s="11">
        <f t="shared" si="15"/>
        <v>0.157</v>
      </c>
    </row>
    <row r="18" spans="1:4" ht="15.6" x14ac:dyDescent="0.3">
      <c r="A18" s="1" t="s">
        <v>16</v>
      </c>
      <c r="B18" s="11">
        <f t="shared" ref="B18:D18" si="16">B30</f>
        <v>0.17199999999999999</v>
      </c>
      <c r="C18" s="11">
        <f t="shared" si="16"/>
        <v>0</v>
      </c>
      <c r="D18" s="11">
        <f t="shared" si="16"/>
        <v>0.17199999999999999</v>
      </c>
    </row>
    <row r="19" spans="1:4" ht="15.6" x14ac:dyDescent="0.3">
      <c r="A19" s="1" t="s">
        <v>17</v>
      </c>
      <c r="B19" s="11">
        <f t="shared" ref="B19:D19" si="17">B31</f>
        <v>0.158</v>
      </c>
      <c r="C19" s="11">
        <f t="shared" si="17"/>
        <v>0</v>
      </c>
      <c r="D19" s="11">
        <f t="shared" si="17"/>
        <v>0.158</v>
      </c>
    </row>
    <row r="20" spans="1:4" ht="15.6" x14ac:dyDescent="0.3">
      <c r="A20" s="1" t="s">
        <v>18</v>
      </c>
      <c r="B20" s="11">
        <f t="shared" ref="B20:D20" si="18">B32</f>
        <v>0.16500000000000001</v>
      </c>
      <c r="C20" s="11">
        <f t="shared" si="18"/>
        <v>0</v>
      </c>
      <c r="D20" s="11">
        <f t="shared" si="18"/>
        <v>0.16500000000000001</v>
      </c>
    </row>
    <row r="21" spans="1:4" ht="15.6" x14ac:dyDescent="0.3">
      <c r="A21" s="1" t="s">
        <v>19</v>
      </c>
      <c r="B21" s="11">
        <f t="shared" ref="B21:D21" si="19">B33</f>
        <v>0.14699999999999999</v>
      </c>
      <c r="C21" s="11">
        <f t="shared" si="19"/>
        <v>0</v>
      </c>
      <c r="D21" s="11">
        <f t="shared" si="19"/>
        <v>0.14699999999999999</v>
      </c>
    </row>
    <row r="22" spans="1:4" ht="15.6" x14ac:dyDescent="0.3">
      <c r="A22" s="1" t="s">
        <v>20</v>
      </c>
      <c r="B22" s="11">
        <f t="shared" ref="B22:D22" si="20">B34</f>
        <v>0.14499999999999999</v>
      </c>
      <c r="C22" s="11">
        <f t="shared" si="20"/>
        <v>0</v>
      </c>
      <c r="D22" s="11">
        <f t="shared" si="20"/>
        <v>0.14499999999999999</v>
      </c>
    </row>
    <row r="23" spans="1:4" ht="15.6" x14ac:dyDescent="0.3">
      <c r="A23" s="1" t="s">
        <v>21</v>
      </c>
      <c r="B23" s="11">
        <f t="shared" ref="B23:D23" si="21">B35</f>
        <v>0.17399999999999999</v>
      </c>
      <c r="C23" s="11">
        <f t="shared" si="21"/>
        <v>0</v>
      </c>
      <c r="D23" s="11">
        <f t="shared" si="21"/>
        <v>0.17399999999999999</v>
      </c>
    </row>
    <row r="24" spans="1:4" ht="15.6" x14ac:dyDescent="0.3">
      <c r="A24" s="1" t="s">
        <v>22</v>
      </c>
      <c r="B24" s="11">
        <f t="shared" ref="B24:D24" si="22">B36</f>
        <v>0.26400000000000001</v>
      </c>
      <c r="C24" s="11">
        <f t="shared" si="22"/>
        <v>0</v>
      </c>
      <c r="D24" s="11">
        <f t="shared" si="22"/>
        <v>0.26400000000000001</v>
      </c>
    </row>
    <row r="25" spans="1:4" ht="15.6" x14ac:dyDescent="0.3">
      <c r="A25" s="1" t="s">
        <v>23</v>
      </c>
      <c r="B25" s="11">
        <f t="shared" ref="B25:D25" si="23">B37</f>
        <v>0.29099999999999998</v>
      </c>
      <c r="C25" s="11">
        <f t="shared" si="23"/>
        <v>0</v>
      </c>
      <c r="D25" s="11">
        <f t="shared" si="23"/>
        <v>0.29099999999999998</v>
      </c>
    </row>
    <row r="26" spans="1:4" ht="15.6" x14ac:dyDescent="0.3">
      <c r="A26" s="1" t="s">
        <v>24</v>
      </c>
      <c r="B26" s="10">
        <v>0.307</v>
      </c>
      <c r="C26" s="10">
        <f>E26/1000</f>
        <v>0</v>
      </c>
      <c r="D26" s="10">
        <f>B26-C26</f>
        <v>0.307</v>
      </c>
    </row>
    <row r="27" spans="1:4" ht="15.6" x14ac:dyDescent="0.3">
      <c r="A27" s="1" t="s">
        <v>25</v>
      </c>
      <c r="B27" s="10">
        <v>0.25700000000000001</v>
      </c>
      <c r="C27" s="10">
        <f t="shared" ref="C27:C90" si="24">E27/1000</f>
        <v>0</v>
      </c>
      <c r="D27" s="10">
        <f t="shared" ref="D27:D90" si="25">B27-C27</f>
        <v>0.25700000000000001</v>
      </c>
    </row>
    <row r="28" spans="1:4" ht="15.6" x14ac:dyDescent="0.3">
      <c r="A28" s="1" t="s">
        <v>26</v>
      </c>
      <c r="B28" s="10">
        <v>0.21</v>
      </c>
      <c r="C28" s="10">
        <f t="shared" si="24"/>
        <v>0</v>
      </c>
      <c r="D28" s="10">
        <f t="shared" si="25"/>
        <v>0.21</v>
      </c>
    </row>
    <row r="29" spans="1:4" ht="15.6" x14ac:dyDescent="0.3">
      <c r="A29" s="1" t="s">
        <v>27</v>
      </c>
      <c r="B29" s="10">
        <v>0.157</v>
      </c>
      <c r="C29" s="10">
        <f t="shared" si="24"/>
        <v>0</v>
      </c>
      <c r="D29" s="10">
        <f t="shared" si="25"/>
        <v>0.157</v>
      </c>
    </row>
    <row r="30" spans="1:4" ht="15.6" x14ac:dyDescent="0.3">
      <c r="A30" s="1" t="s">
        <v>28</v>
      </c>
      <c r="B30" s="10">
        <v>0.17199999999999999</v>
      </c>
      <c r="C30" s="10">
        <f t="shared" si="24"/>
        <v>0</v>
      </c>
      <c r="D30" s="10">
        <f t="shared" si="25"/>
        <v>0.17199999999999999</v>
      </c>
    </row>
    <row r="31" spans="1:4" ht="15.6" x14ac:dyDescent="0.3">
      <c r="A31" s="1" t="s">
        <v>29</v>
      </c>
      <c r="B31" s="10">
        <v>0.158</v>
      </c>
      <c r="C31" s="10">
        <f t="shared" si="24"/>
        <v>0</v>
      </c>
      <c r="D31" s="10">
        <f t="shared" si="25"/>
        <v>0.158</v>
      </c>
    </row>
    <row r="32" spans="1:4" ht="15.6" x14ac:dyDescent="0.3">
      <c r="A32" s="1" t="s">
        <v>30</v>
      </c>
      <c r="B32" s="10">
        <v>0.16500000000000001</v>
      </c>
      <c r="C32" s="10">
        <f t="shared" si="24"/>
        <v>0</v>
      </c>
      <c r="D32" s="10">
        <f t="shared" si="25"/>
        <v>0.16500000000000001</v>
      </c>
    </row>
    <row r="33" spans="1:4" ht="15.6" x14ac:dyDescent="0.3">
      <c r="A33" s="1" t="s">
        <v>31</v>
      </c>
      <c r="B33" s="10">
        <v>0.14699999999999999</v>
      </c>
      <c r="C33" s="10">
        <f t="shared" si="24"/>
        <v>0</v>
      </c>
      <c r="D33" s="10">
        <f t="shared" si="25"/>
        <v>0.14699999999999999</v>
      </c>
    </row>
    <row r="34" spans="1:4" ht="15.6" x14ac:dyDescent="0.3">
      <c r="A34" s="1" t="s">
        <v>32</v>
      </c>
      <c r="B34" s="10">
        <v>0.14499999999999999</v>
      </c>
      <c r="C34" s="10">
        <f t="shared" si="24"/>
        <v>0</v>
      </c>
      <c r="D34" s="10">
        <f t="shared" si="25"/>
        <v>0.14499999999999999</v>
      </c>
    </row>
    <row r="35" spans="1:4" ht="15.6" x14ac:dyDescent="0.3">
      <c r="A35" s="1" t="s">
        <v>33</v>
      </c>
      <c r="B35" s="10">
        <v>0.17399999999999999</v>
      </c>
      <c r="C35" s="10">
        <f t="shared" si="24"/>
        <v>0</v>
      </c>
      <c r="D35" s="10">
        <f t="shared" si="25"/>
        <v>0.17399999999999999</v>
      </c>
    </row>
    <row r="36" spans="1:4" ht="15.6" x14ac:dyDescent="0.3">
      <c r="A36" s="1" t="s">
        <v>34</v>
      </c>
      <c r="B36" s="10">
        <v>0.26400000000000001</v>
      </c>
      <c r="C36" s="10">
        <f t="shared" si="24"/>
        <v>0</v>
      </c>
      <c r="D36" s="10">
        <f t="shared" si="25"/>
        <v>0.26400000000000001</v>
      </c>
    </row>
    <row r="37" spans="1:4" ht="15.6" x14ac:dyDescent="0.3">
      <c r="A37" s="1" t="s">
        <v>35</v>
      </c>
      <c r="B37" s="10">
        <v>0.29099999999999998</v>
      </c>
      <c r="C37" s="10">
        <f t="shared" si="24"/>
        <v>0</v>
      </c>
      <c r="D37" s="10">
        <f t="shared" si="25"/>
        <v>0.29099999999999998</v>
      </c>
    </row>
    <row r="38" spans="1:4" ht="15.6" x14ac:dyDescent="0.3">
      <c r="A38" s="1" t="s">
        <v>36</v>
      </c>
      <c r="B38" s="10">
        <v>0.28499999999999998</v>
      </c>
      <c r="C38" s="10">
        <f t="shared" si="24"/>
        <v>0</v>
      </c>
      <c r="D38" s="10">
        <f t="shared" si="25"/>
        <v>0.28499999999999998</v>
      </c>
    </row>
    <row r="39" spans="1:4" ht="15.6" x14ac:dyDescent="0.3">
      <c r="A39" s="1" t="s">
        <v>37</v>
      </c>
      <c r="B39" s="10">
        <v>0.26600000000000001</v>
      </c>
      <c r="C39" s="10">
        <f t="shared" si="24"/>
        <v>0</v>
      </c>
      <c r="D39" s="10">
        <f t="shared" si="25"/>
        <v>0.26600000000000001</v>
      </c>
    </row>
    <row r="40" spans="1:4" ht="15.6" x14ac:dyDescent="0.3">
      <c r="A40" s="1" t="s">
        <v>38</v>
      </c>
      <c r="B40" s="10">
        <v>0.253</v>
      </c>
      <c r="C40" s="10">
        <f t="shared" si="24"/>
        <v>0</v>
      </c>
      <c r="D40" s="10">
        <f t="shared" si="25"/>
        <v>0.253</v>
      </c>
    </row>
    <row r="41" spans="1:4" ht="15.6" x14ac:dyDescent="0.3">
      <c r="A41" s="1" t="s">
        <v>39</v>
      </c>
      <c r="B41" s="10">
        <v>0.14099999999999999</v>
      </c>
      <c r="C41" s="10">
        <f t="shared" si="24"/>
        <v>0</v>
      </c>
      <c r="D41" s="10">
        <f t="shared" si="25"/>
        <v>0.14099999999999999</v>
      </c>
    </row>
    <row r="42" spans="1:4" ht="15.6" x14ac:dyDescent="0.3">
      <c r="A42" s="1" t="s">
        <v>40</v>
      </c>
      <c r="B42" s="10">
        <v>0.17</v>
      </c>
      <c r="C42" s="10">
        <f t="shared" si="24"/>
        <v>0</v>
      </c>
      <c r="D42" s="10">
        <f t="shared" si="25"/>
        <v>0.17</v>
      </c>
    </row>
    <row r="43" spans="1:4" ht="15.6" x14ac:dyDescent="0.3">
      <c r="A43" s="1" t="s">
        <v>41</v>
      </c>
      <c r="B43" s="10">
        <v>0.17199999999999999</v>
      </c>
      <c r="C43" s="10">
        <f t="shared" si="24"/>
        <v>0</v>
      </c>
      <c r="D43" s="10">
        <f t="shared" si="25"/>
        <v>0.17199999999999999</v>
      </c>
    </row>
    <row r="44" spans="1:4" ht="15.6" x14ac:dyDescent="0.3">
      <c r="A44" s="1" t="s">
        <v>42</v>
      </c>
      <c r="B44" s="10">
        <v>0.14199999999999999</v>
      </c>
      <c r="C44" s="10">
        <f t="shared" si="24"/>
        <v>0</v>
      </c>
      <c r="D44" s="10">
        <f t="shared" si="25"/>
        <v>0.14199999999999999</v>
      </c>
    </row>
    <row r="45" spans="1:4" ht="15.6" x14ac:dyDescent="0.3">
      <c r="A45" s="1" t="s">
        <v>43</v>
      </c>
      <c r="B45" s="10">
        <v>0.155</v>
      </c>
      <c r="C45" s="10">
        <f t="shared" si="24"/>
        <v>0</v>
      </c>
      <c r="D45" s="10">
        <f t="shared" si="25"/>
        <v>0.155</v>
      </c>
    </row>
    <row r="46" spans="1:4" ht="15.6" x14ac:dyDescent="0.3">
      <c r="A46" s="1" t="s">
        <v>44</v>
      </c>
      <c r="B46" s="10">
        <v>0.156</v>
      </c>
      <c r="C46" s="10">
        <f t="shared" si="24"/>
        <v>0</v>
      </c>
      <c r="D46" s="10">
        <f t="shared" si="25"/>
        <v>0.156</v>
      </c>
    </row>
    <row r="47" spans="1:4" ht="15.6" x14ac:dyDescent="0.3">
      <c r="A47" s="1" t="s">
        <v>45</v>
      </c>
      <c r="B47" s="10">
        <v>0.17499999999999999</v>
      </c>
      <c r="C47" s="10">
        <f t="shared" si="24"/>
        <v>0</v>
      </c>
      <c r="D47" s="10">
        <f t="shared" si="25"/>
        <v>0.17499999999999999</v>
      </c>
    </row>
    <row r="48" spans="1:4" ht="15.6" x14ac:dyDescent="0.3">
      <c r="A48" s="1" t="s">
        <v>46</v>
      </c>
      <c r="B48" s="10">
        <v>0.245</v>
      </c>
      <c r="C48" s="10">
        <f t="shared" si="24"/>
        <v>0</v>
      </c>
      <c r="D48" s="10">
        <f t="shared" si="25"/>
        <v>0.245</v>
      </c>
    </row>
    <row r="49" spans="1:4" ht="15.6" x14ac:dyDescent="0.3">
      <c r="A49" s="1" t="s">
        <v>47</v>
      </c>
      <c r="B49" s="10">
        <v>0.29099999999999998</v>
      </c>
      <c r="C49" s="10">
        <f t="shared" si="24"/>
        <v>0</v>
      </c>
      <c r="D49" s="10">
        <f t="shared" si="25"/>
        <v>0.29099999999999998</v>
      </c>
    </row>
    <row r="50" spans="1:4" ht="15.6" x14ac:dyDescent="0.3">
      <c r="A50" s="1" t="s">
        <v>48</v>
      </c>
      <c r="B50" s="10">
        <v>0.29899999999999999</v>
      </c>
      <c r="C50" s="10">
        <f t="shared" si="24"/>
        <v>0</v>
      </c>
      <c r="D50" s="10">
        <f t="shared" si="25"/>
        <v>0.29899999999999999</v>
      </c>
    </row>
    <row r="51" spans="1:4" ht="15.6" x14ac:dyDescent="0.3">
      <c r="A51" s="1" t="s">
        <v>49</v>
      </c>
      <c r="B51" s="10">
        <v>0.30199999999999999</v>
      </c>
      <c r="C51" s="10">
        <f t="shared" si="24"/>
        <v>0</v>
      </c>
      <c r="D51" s="10">
        <f t="shared" si="25"/>
        <v>0.30199999999999999</v>
      </c>
    </row>
    <row r="52" spans="1:4" ht="15.6" x14ac:dyDescent="0.3">
      <c r="A52" s="1" t="s">
        <v>50</v>
      </c>
      <c r="B52" s="10">
        <v>0.219</v>
      </c>
      <c r="C52" s="10">
        <f t="shared" si="24"/>
        <v>0</v>
      </c>
      <c r="D52" s="10">
        <f t="shared" si="25"/>
        <v>0.219</v>
      </c>
    </row>
    <row r="53" spans="1:4" ht="15.6" x14ac:dyDescent="0.3">
      <c r="A53" s="1" t="s">
        <v>51</v>
      </c>
      <c r="B53" s="10">
        <v>0.122</v>
      </c>
      <c r="C53" s="10">
        <f t="shared" si="24"/>
        <v>0</v>
      </c>
      <c r="D53" s="10">
        <f t="shared" si="25"/>
        <v>0.122</v>
      </c>
    </row>
    <row r="54" spans="1:4" ht="15.6" x14ac:dyDescent="0.3">
      <c r="A54" s="1" t="s">
        <v>52</v>
      </c>
      <c r="B54" s="10">
        <v>0.129</v>
      </c>
      <c r="C54" s="10">
        <f t="shared" si="24"/>
        <v>0</v>
      </c>
      <c r="D54" s="10">
        <f t="shared" si="25"/>
        <v>0.129</v>
      </c>
    </row>
    <row r="55" spans="1:4" ht="15.6" x14ac:dyDescent="0.3">
      <c r="A55" s="1" t="s">
        <v>53</v>
      </c>
      <c r="B55" s="10">
        <v>0.129</v>
      </c>
      <c r="C55" s="10">
        <f t="shared" si="24"/>
        <v>0</v>
      </c>
      <c r="D55" s="10">
        <f t="shared" si="25"/>
        <v>0.129</v>
      </c>
    </row>
    <row r="56" spans="1:4" ht="15.6" x14ac:dyDescent="0.3">
      <c r="A56" s="1" t="s">
        <v>54</v>
      </c>
      <c r="B56" s="10">
        <v>0.16200000000000001</v>
      </c>
      <c r="C56" s="10">
        <f t="shared" si="24"/>
        <v>0</v>
      </c>
      <c r="D56" s="10">
        <f t="shared" si="25"/>
        <v>0.16200000000000001</v>
      </c>
    </row>
    <row r="57" spans="1:4" ht="15.6" x14ac:dyDescent="0.3">
      <c r="A57" s="1" t="s">
        <v>55</v>
      </c>
      <c r="B57" s="10">
        <v>0.13700000000000001</v>
      </c>
      <c r="C57" s="10">
        <f t="shared" si="24"/>
        <v>0</v>
      </c>
      <c r="D57" s="10">
        <f t="shared" si="25"/>
        <v>0.13700000000000001</v>
      </c>
    </row>
    <row r="58" spans="1:4" ht="15.6" x14ac:dyDescent="0.3">
      <c r="A58" s="1" t="s">
        <v>56</v>
      </c>
      <c r="B58" s="10">
        <v>0.17499999999999999</v>
      </c>
      <c r="C58" s="10">
        <f t="shared" si="24"/>
        <v>0</v>
      </c>
      <c r="D58" s="10">
        <f t="shared" si="25"/>
        <v>0.17499999999999999</v>
      </c>
    </row>
    <row r="59" spans="1:4" ht="15.6" x14ac:dyDescent="0.3">
      <c r="A59" s="1" t="s">
        <v>57</v>
      </c>
      <c r="B59" s="10">
        <v>0.19800000000000001</v>
      </c>
      <c r="C59" s="10">
        <f t="shared" si="24"/>
        <v>0</v>
      </c>
      <c r="D59" s="10">
        <f t="shared" si="25"/>
        <v>0.19800000000000001</v>
      </c>
    </row>
    <row r="60" spans="1:4" ht="15.6" x14ac:dyDescent="0.3">
      <c r="A60" s="1" t="s">
        <v>58</v>
      </c>
      <c r="B60" s="10">
        <v>0.248</v>
      </c>
      <c r="C60" s="10">
        <f t="shared" si="24"/>
        <v>0</v>
      </c>
      <c r="D60" s="10">
        <f t="shared" si="25"/>
        <v>0.248</v>
      </c>
    </row>
    <row r="61" spans="1:4" ht="15.6" x14ac:dyDescent="0.3">
      <c r="A61" s="1" t="s">
        <v>59</v>
      </c>
      <c r="B61" s="10">
        <v>0.29399999999999998</v>
      </c>
      <c r="C61" s="10">
        <f t="shared" si="24"/>
        <v>0</v>
      </c>
      <c r="D61" s="10">
        <f t="shared" si="25"/>
        <v>0.29399999999999998</v>
      </c>
    </row>
    <row r="62" spans="1:4" ht="15.6" x14ac:dyDescent="0.3">
      <c r="A62" s="1" t="s">
        <v>60</v>
      </c>
      <c r="B62" s="10">
        <v>0.27800000000000002</v>
      </c>
      <c r="C62" s="10">
        <f t="shared" si="24"/>
        <v>0</v>
      </c>
      <c r="D62" s="10">
        <f t="shared" si="25"/>
        <v>0.27800000000000002</v>
      </c>
    </row>
    <row r="63" spans="1:4" ht="15.6" x14ac:dyDescent="0.3">
      <c r="A63" s="1" t="s">
        <v>61</v>
      </c>
      <c r="B63" s="10">
        <v>0.252</v>
      </c>
      <c r="C63" s="10">
        <f t="shared" si="24"/>
        <v>0</v>
      </c>
      <c r="D63" s="10">
        <f t="shared" si="25"/>
        <v>0.252</v>
      </c>
    </row>
    <row r="64" spans="1:4" ht="15.6" x14ac:dyDescent="0.3">
      <c r="A64" s="1" t="s">
        <v>62</v>
      </c>
      <c r="B64" s="10">
        <v>0.22600000000000001</v>
      </c>
      <c r="C64" s="10">
        <f t="shared" si="24"/>
        <v>0</v>
      </c>
      <c r="D64" s="10">
        <f t="shared" si="25"/>
        <v>0.22600000000000001</v>
      </c>
    </row>
    <row r="65" spans="1:4" ht="15.6" x14ac:dyDescent="0.3">
      <c r="A65" s="1" t="s">
        <v>63</v>
      </c>
      <c r="B65" s="10">
        <v>5.7000000000000002E-2</v>
      </c>
      <c r="C65" s="10">
        <f t="shared" si="24"/>
        <v>0</v>
      </c>
      <c r="D65" s="10">
        <f t="shared" si="25"/>
        <v>5.7000000000000002E-2</v>
      </c>
    </row>
    <row r="66" spans="1:4" ht="15.6" x14ac:dyDescent="0.3">
      <c r="A66" s="1" t="s">
        <v>64</v>
      </c>
      <c r="B66" s="10">
        <v>4.2000000000000003E-2</v>
      </c>
      <c r="C66" s="10">
        <f t="shared" si="24"/>
        <v>0</v>
      </c>
      <c r="D66" s="10">
        <f t="shared" si="25"/>
        <v>4.2000000000000003E-2</v>
      </c>
    </row>
    <row r="67" spans="1:4" ht="15.6" x14ac:dyDescent="0.3">
      <c r="A67" s="1" t="s">
        <v>65</v>
      </c>
      <c r="B67" s="10">
        <v>7.2999999999999995E-2</v>
      </c>
      <c r="C67" s="10">
        <f t="shared" si="24"/>
        <v>0</v>
      </c>
      <c r="D67" s="10">
        <f t="shared" si="25"/>
        <v>7.2999999999999995E-2</v>
      </c>
    </row>
    <row r="68" spans="1:4" ht="15.6" x14ac:dyDescent="0.3">
      <c r="A68" s="1" t="s">
        <v>66</v>
      </c>
      <c r="B68" s="10">
        <v>0.125</v>
      </c>
      <c r="C68" s="10">
        <f t="shared" si="24"/>
        <v>0</v>
      </c>
      <c r="D68" s="10">
        <f t="shared" si="25"/>
        <v>0.125</v>
      </c>
    </row>
    <row r="69" spans="1:4" ht="15.6" x14ac:dyDescent="0.3">
      <c r="A69" s="1" t="s">
        <v>67</v>
      </c>
      <c r="B69" s="10">
        <v>0.14099999999999999</v>
      </c>
      <c r="C69" s="10">
        <f t="shared" si="24"/>
        <v>0</v>
      </c>
      <c r="D69" s="10">
        <f t="shared" si="25"/>
        <v>0.14099999999999999</v>
      </c>
    </row>
    <row r="70" spans="1:4" ht="15.6" x14ac:dyDescent="0.3">
      <c r="A70" s="1" t="s">
        <v>68</v>
      </c>
      <c r="B70" s="10">
        <v>0.182</v>
      </c>
      <c r="C70" s="10">
        <f t="shared" si="24"/>
        <v>0</v>
      </c>
      <c r="D70" s="10">
        <f t="shared" si="25"/>
        <v>0.182</v>
      </c>
    </row>
    <row r="71" spans="1:4" ht="15.6" x14ac:dyDescent="0.3">
      <c r="A71" s="1" t="s">
        <v>69</v>
      </c>
      <c r="B71" s="10">
        <v>0.20200000000000001</v>
      </c>
      <c r="C71" s="10">
        <f t="shared" si="24"/>
        <v>0</v>
      </c>
      <c r="D71" s="10">
        <f t="shared" si="25"/>
        <v>0.20200000000000001</v>
      </c>
    </row>
    <row r="72" spans="1:4" ht="15.6" x14ac:dyDescent="0.3">
      <c r="A72" s="1" t="s">
        <v>70</v>
      </c>
      <c r="B72" s="10">
        <v>0.23799999999999999</v>
      </c>
      <c r="C72" s="10">
        <f t="shared" si="24"/>
        <v>0</v>
      </c>
      <c r="D72" s="10">
        <f t="shared" si="25"/>
        <v>0.23799999999999999</v>
      </c>
    </row>
    <row r="73" spans="1:4" ht="15.6" x14ac:dyDescent="0.3">
      <c r="A73" s="1" t="s">
        <v>71</v>
      </c>
      <c r="B73" s="10">
        <v>0.311</v>
      </c>
      <c r="C73" s="10">
        <f t="shared" si="24"/>
        <v>0</v>
      </c>
      <c r="D73" s="10">
        <f t="shared" si="25"/>
        <v>0.311</v>
      </c>
    </row>
    <row r="74" spans="1:4" ht="15.6" x14ac:dyDescent="0.3">
      <c r="A74" s="1" t="s">
        <v>72</v>
      </c>
      <c r="B74" s="10">
        <v>0.30299999999999999</v>
      </c>
      <c r="C74" s="10">
        <f t="shared" si="24"/>
        <v>0</v>
      </c>
      <c r="D74" s="10">
        <f t="shared" si="25"/>
        <v>0.30299999999999999</v>
      </c>
    </row>
    <row r="75" spans="1:4" ht="15.6" x14ac:dyDescent="0.3">
      <c r="A75" s="1" t="s">
        <v>73</v>
      </c>
      <c r="B75" s="10">
        <v>0.27500000000000002</v>
      </c>
      <c r="C75" s="10">
        <f t="shared" si="24"/>
        <v>0</v>
      </c>
      <c r="D75" s="10">
        <f t="shared" si="25"/>
        <v>0.27500000000000002</v>
      </c>
    </row>
    <row r="76" spans="1:4" ht="15.6" x14ac:dyDescent="0.3">
      <c r="A76" s="1" t="s">
        <v>74</v>
      </c>
      <c r="B76" s="10">
        <v>0.28899999999999998</v>
      </c>
      <c r="C76" s="10">
        <f t="shared" si="24"/>
        <v>0</v>
      </c>
      <c r="D76" s="10">
        <f t="shared" si="25"/>
        <v>0.28899999999999998</v>
      </c>
    </row>
    <row r="77" spans="1:4" ht="15.6" x14ac:dyDescent="0.3">
      <c r="A77" s="1" t="s">
        <v>75</v>
      </c>
      <c r="B77" s="10">
        <v>0.21099999999999999</v>
      </c>
      <c r="C77" s="10">
        <f t="shared" si="24"/>
        <v>0</v>
      </c>
      <c r="D77" s="10">
        <f t="shared" si="25"/>
        <v>0.21099999999999999</v>
      </c>
    </row>
    <row r="78" spans="1:4" ht="15.6" x14ac:dyDescent="0.3">
      <c r="A78" s="1" t="s">
        <v>76</v>
      </c>
      <c r="B78" s="10">
        <v>0.17399999999999999</v>
      </c>
      <c r="C78" s="10">
        <f t="shared" si="24"/>
        <v>0</v>
      </c>
      <c r="D78" s="10">
        <f t="shared" si="25"/>
        <v>0.17399999999999999</v>
      </c>
    </row>
    <row r="79" spans="1:4" ht="15.6" x14ac:dyDescent="0.3">
      <c r="A79" s="1" t="s">
        <v>77</v>
      </c>
      <c r="B79" s="10">
        <v>0.14599999999999999</v>
      </c>
      <c r="C79" s="10">
        <f t="shared" si="24"/>
        <v>0</v>
      </c>
      <c r="D79" s="10">
        <f t="shared" si="25"/>
        <v>0.14599999999999999</v>
      </c>
    </row>
    <row r="80" spans="1:4" ht="15.6" x14ac:dyDescent="0.3">
      <c r="A80" s="1" t="s">
        <v>78</v>
      </c>
      <c r="B80" s="10">
        <v>0.17100000000000001</v>
      </c>
      <c r="C80" s="10">
        <f t="shared" si="24"/>
        <v>0</v>
      </c>
      <c r="D80" s="10">
        <f t="shared" si="25"/>
        <v>0.17100000000000001</v>
      </c>
    </row>
    <row r="81" spans="1:4" ht="15.6" x14ac:dyDescent="0.3">
      <c r="A81" s="1" t="s">
        <v>79</v>
      </c>
      <c r="B81" s="10">
        <v>0.11700000000000001</v>
      </c>
      <c r="C81" s="10">
        <f t="shared" si="24"/>
        <v>0</v>
      </c>
      <c r="D81" s="10">
        <f t="shared" si="25"/>
        <v>0.11700000000000001</v>
      </c>
    </row>
    <row r="82" spans="1:4" ht="15.6" x14ac:dyDescent="0.3">
      <c r="A82" s="1" t="s">
        <v>80</v>
      </c>
      <c r="B82" s="10">
        <v>0.377</v>
      </c>
      <c r="C82" s="10">
        <f t="shared" si="24"/>
        <v>0</v>
      </c>
      <c r="D82" s="10">
        <f t="shared" si="25"/>
        <v>0.377</v>
      </c>
    </row>
    <row r="83" spans="1:4" ht="15.6" x14ac:dyDescent="0.3">
      <c r="A83" s="1" t="s">
        <v>81</v>
      </c>
      <c r="B83" s="10">
        <v>0.218</v>
      </c>
      <c r="C83" s="10">
        <f t="shared" si="24"/>
        <v>0</v>
      </c>
      <c r="D83" s="10">
        <f t="shared" si="25"/>
        <v>0.218</v>
      </c>
    </row>
    <row r="84" spans="1:4" ht="15.6" x14ac:dyDescent="0.3">
      <c r="A84" s="1" t="s">
        <v>82</v>
      </c>
      <c r="B84" s="10">
        <v>0.214</v>
      </c>
      <c r="C84" s="10">
        <f t="shared" si="24"/>
        <v>0</v>
      </c>
      <c r="D84" s="10">
        <f t="shared" si="25"/>
        <v>0.214</v>
      </c>
    </row>
    <row r="85" spans="1:4" ht="15.6" x14ac:dyDescent="0.3">
      <c r="A85" s="1" t="s">
        <v>83</v>
      </c>
      <c r="B85" s="10">
        <v>0.32500000000000001</v>
      </c>
      <c r="C85" s="10">
        <f t="shared" si="24"/>
        <v>0</v>
      </c>
      <c r="D85" s="10">
        <f t="shared" si="25"/>
        <v>0.32500000000000001</v>
      </c>
    </row>
    <row r="86" spans="1:4" ht="15.6" x14ac:dyDescent="0.3">
      <c r="A86" s="1" t="s">
        <v>84</v>
      </c>
      <c r="B86" s="10">
        <v>0.46800000000000003</v>
      </c>
      <c r="C86" s="10">
        <f t="shared" si="24"/>
        <v>0</v>
      </c>
      <c r="D86" s="10">
        <f t="shared" si="25"/>
        <v>0.46800000000000003</v>
      </c>
    </row>
    <row r="87" spans="1:4" ht="15.6" x14ac:dyDescent="0.3">
      <c r="A87" s="1" t="s">
        <v>85</v>
      </c>
      <c r="B87" s="10">
        <v>0.35799999999999998</v>
      </c>
      <c r="C87" s="10">
        <f t="shared" si="24"/>
        <v>0</v>
      </c>
      <c r="D87" s="10">
        <f t="shared" si="25"/>
        <v>0.35799999999999998</v>
      </c>
    </row>
    <row r="88" spans="1:4" ht="15.6" x14ac:dyDescent="0.3">
      <c r="A88" s="1" t="s">
        <v>86</v>
      </c>
      <c r="B88" s="10">
        <v>0.27800000000000002</v>
      </c>
      <c r="C88" s="10">
        <f t="shared" si="24"/>
        <v>0</v>
      </c>
      <c r="D88" s="10">
        <f t="shared" si="25"/>
        <v>0.27800000000000002</v>
      </c>
    </row>
    <row r="89" spans="1:4" ht="15.6" x14ac:dyDescent="0.3">
      <c r="A89" s="1" t="s">
        <v>87</v>
      </c>
      <c r="B89" s="10">
        <v>0.251</v>
      </c>
      <c r="C89" s="10">
        <f t="shared" si="24"/>
        <v>0</v>
      </c>
      <c r="D89" s="10">
        <f t="shared" si="25"/>
        <v>0.251</v>
      </c>
    </row>
    <row r="90" spans="1:4" ht="15.6" x14ac:dyDescent="0.3">
      <c r="A90" s="1" t="s">
        <v>88</v>
      </c>
      <c r="B90" s="10">
        <v>0.19</v>
      </c>
      <c r="C90" s="10">
        <f t="shared" si="24"/>
        <v>0</v>
      </c>
      <c r="D90" s="10">
        <f t="shared" si="25"/>
        <v>0.19</v>
      </c>
    </row>
    <row r="91" spans="1:4" ht="15.6" x14ac:dyDescent="0.3">
      <c r="A91" s="1" t="s">
        <v>89</v>
      </c>
      <c r="B91" s="10">
        <v>0.123</v>
      </c>
      <c r="C91" s="10">
        <f t="shared" ref="C91:C138" si="26">E91/1000</f>
        <v>0</v>
      </c>
      <c r="D91" s="10">
        <f t="shared" ref="D91:D138" si="27">B91-C91</f>
        <v>0.123</v>
      </c>
    </row>
    <row r="92" spans="1:4" ht="15.6" x14ac:dyDescent="0.3">
      <c r="A92" s="1" t="s">
        <v>90</v>
      </c>
      <c r="B92" s="10">
        <v>0.183</v>
      </c>
      <c r="C92" s="10">
        <f t="shared" si="26"/>
        <v>0</v>
      </c>
      <c r="D92" s="10">
        <f t="shared" si="27"/>
        <v>0.183</v>
      </c>
    </row>
    <row r="93" spans="1:4" ht="15.6" x14ac:dyDescent="0.3">
      <c r="A93" s="1" t="s">
        <v>91</v>
      </c>
      <c r="B93" s="10">
        <v>0.16400000000000001</v>
      </c>
      <c r="C93" s="10">
        <f t="shared" si="26"/>
        <v>0</v>
      </c>
      <c r="D93" s="10">
        <f t="shared" si="27"/>
        <v>0.16400000000000001</v>
      </c>
    </row>
    <row r="94" spans="1:4" ht="15.6" x14ac:dyDescent="0.3">
      <c r="A94" s="1" t="s">
        <v>92</v>
      </c>
      <c r="B94" s="10">
        <v>0.16900000000000001</v>
      </c>
      <c r="C94" s="10">
        <f t="shared" si="26"/>
        <v>0</v>
      </c>
      <c r="D94" s="10">
        <f t="shared" si="27"/>
        <v>0.16900000000000001</v>
      </c>
    </row>
    <row r="95" spans="1:4" ht="15.6" x14ac:dyDescent="0.3">
      <c r="A95" s="1" t="s">
        <v>93</v>
      </c>
      <c r="B95" s="10">
        <v>0.248</v>
      </c>
      <c r="C95" s="10">
        <f t="shared" si="26"/>
        <v>0</v>
      </c>
      <c r="D95" s="10">
        <f t="shared" si="27"/>
        <v>0.248</v>
      </c>
    </row>
    <row r="96" spans="1:4" ht="15.6" x14ac:dyDescent="0.3">
      <c r="A96" s="1" t="s">
        <v>94</v>
      </c>
      <c r="B96" s="10">
        <v>0.38600000000000001</v>
      </c>
      <c r="C96" s="10">
        <f t="shared" si="26"/>
        <v>0</v>
      </c>
      <c r="D96" s="10">
        <f t="shared" si="27"/>
        <v>0.38600000000000001</v>
      </c>
    </row>
    <row r="97" spans="1:4" ht="15.6" x14ac:dyDescent="0.3">
      <c r="A97" s="1" t="s">
        <v>95</v>
      </c>
      <c r="B97" s="10">
        <v>0.40500000000000003</v>
      </c>
      <c r="C97" s="10">
        <f t="shared" si="26"/>
        <v>0</v>
      </c>
      <c r="D97" s="10">
        <f t="shared" si="27"/>
        <v>0.40500000000000003</v>
      </c>
    </row>
    <row r="98" spans="1:4" ht="15.6" x14ac:dyDescent="0.3">
      <c r="A98" s="1" t="s">
        <v>96</v>
      </c>
      <c r="B98" s="10">
        <v>0.39100000000000001</v>
      </c>
      <c r="C98" s="10">
        <f t="shared" si="26"/>
        <v>0</v>
      </c>
      <c r="D98" s="10">
        <f t="shared" si="27"/>
        <v>0.39100000000000001</v>
      </c>
    </row>
    <row r="99" spans="1:4" ht="15.6" x14ac:dyDescent="0.3">
      <c r="A99" s="1" t="s">
        <v>97</v>
      </c>
      <c r="B99" s="10">
        <v>0.376</v>
      </c>
      <c r="C99" s="10">
        <f t="shared" si="26"/>
        <v>0</v>
      </c>
      <c r="D99" s="10">
        <f t="shared" si="27"/>
        <v>0.376</v>
      </c>
    </row>
    <row r="100" spans="1:4" ht="15.6" x14ac:dyDescent="0.3">
      <c r="A100" s="1" t="s">
        <v>98</v>
      </c>
      <c r="B100" s="10">
        <v>0.32200000000000001</v>
      </c>
      <c r="C100" s="10">
        <f t="shared" si="26"/>
        <v>0</v>
      </c>
      <c r="D100" s="10">
        <f t="shared" si="27"/>
        <v>0.32200000000000001</v>
      </c>
    </row>
    <row r="101" spans="1:4" ht="15.6" x14ac:dyDescent="0.3">
      <c r="A101" s="1" t="s">
        <v>99</v>
      </c>
      <c r="B101" s="10">
        <v>0.25</v>
      </c>
      <c r="C101" s="10">
        <f t="shared" si="26"/>
        <v>0</v>
      </c>
      <c r="D101" s="10">
        <f t="shared" si="27"/>
        <v>0.25</v>
      </c>
    </row>
    <row r="102" spans="1:4" ht="15.6" x14ac:dyDescent="0.3">
      <c r="A102" s="1" t="s">
        <v>100</v>
      </c>
      <c r="B102" s="10">
        <v>0.192</v>
      </c>
      <c r="C102" s="10">
        <f t="shared" si="26"/>
        <v>0</v>
      </c>
      <c r="D102" s="10">
        <f t="shared" si="27"/>
        <v>0.192</v>
      </c>
    </row>
    <row r="103" spans="1:4" ht="15.6" x14ac:dyDescent="0.3">
      <c r="A103" s="1" t="s">
        <v>101</v>
      </c>
      <c r="B103" s="10">
        <v>0.114</v>
      </c>
      <c r="C103" s="10">
        <f t="shared" si="26"/>
        <v>0</v>
      </c>
      <c r="D103" s="10">
        <f t="shared" si="27"/>
        <v>0.114</v>
      </c>
    </row>
    <row r="104" spans="1:4" ht="15.6" x14ac:dyDescent="0.3">
      <c r="A104" s="1" t="s">
        <v>102</v>
      </c>
      <c r="B104" s="10">
        <v>0.14299999999999999</v>
      </c>
      <c r="C104" s="10">
        <f t="shared" si="26"/>
        <v>0</v>
      </c>
      <c r="D104" s="10">
        <f t="shared" si="27"/>
        <v>0.14299999999999999</v>
      </c>
    </row>
    <row r="105" spans="1:4" ht="15.6" x14ac:dyDescent="0.3">
      <c r="A105" s="1" t="s">
        <v>103</v>
      </c>
      <c r="B105" s="10">
        <v>0.13900000000000001</v>
      </c>
      <c r="C105" s="10">
        <f t="shared" si="26"/>
        <v>0</v>
      </c>
      <c r="D105" s="10">
        <f t="shared" si="27"/>
        <v>0.13900000000000001</v>
      </c>
    </row>
    <row r="106" spans="1:4" ht="15.6" x14ac:dyDescent="0.3">
      <c r="A106" s="1" t="s">
        <v>104</v>
      </c>
      <c r="B106" s="10">
        <v>0.14299999999999999</v>
      </c>
      <c r="C106" s="10">
        <f t="shared" si="26"/>
        <v>0</v>
      </c>
      <c r="D106" s="10">
        <f t="shared" si="27"/>
        <v>0.14299999999999999</v>
      </c>
    </row>
    <row r="107" spans="1:4" ht="15.6" x14ac:dyDescent="0.3">
      <c r="A107" s="1" t="s">
        <v>105</v>
      </c>
      <c r="B107" s="10">
        <v>0.16200000000000001</v>
      </c>
      <c r="C107" s="10">
        <f t="shared" si="26"/>
        <v>0</v>
      </c>
      <c r="D107" s="10">
        <f t="shared" si="27"/>
        <v>0.16200000000000001</v>
      </c>
    </row>
    <row r="108" spans="1:4" ht="15.6" x14ac:dyDescent="0.3">
      <c r="A108" s="1" t="s">
        <v>106</v>
      </c>
      <c r="B108" s="10">
        <v>0.32600000000000001</v>
      </c>
      <c r="C108" s="10">
        <f t="shared" si="26"/>
        <v>0</v>
      </c>
      <c r="D108" s="10">
        <f t="shared" si="27"/>
        <v>0.32600000000000001</v>
      </c>
    </row>
    <row r="109" spans="1:4" ht="15.6" x14ac:dyDescent="0.3">
      <c r="A109" s="1" t="s">
        <v>107</v>
      </c>
      <c r="B109" s="10">
        <v>0.32600000000000001</v>
      </c>
      <c r="C109" s="10">
        <f t="shared" si="26"/>
        <v>0</v>
      </c>
      <c r="D109" s="10">
        <f t="shared" si="27"/>
        <v>0.32600000000000001</v>
      </c>
    </row>
    <row r="110" spans="1:4" ht="15.6" x14ac:dyDescent="0.3">
      <c r="A110" s="1" t="s">
        <v>108</v>
      </c>
      <c r="B110" s="10">
        <v>0.35599999999999998</v>
      </c>
      <c r="C110" s="10">
        <f t="shared" si="26"/>
        <v>0</v>
      </c>
      <c r="D110" s="10">
        <f t="shared" si="27"/>
        <v>0.35599999999999998</v>
      </c>
    </row>
    <row r="111" spans="1:4" ht="15.6" x14ac:dyDescent="0.3">
      <c r="A111" s="1" t="s">
        <v>109</v>
      </c>
      <c r="B111" s="10">
        <v>0.25</v>
      </c>
      <c r="C111" s="10">
        <f t="shared" si="26"/>
        <v>0</v>
      </c>
      <c r="D111" s="10">
        <f t="shared" si="27"/>
        <v>0.25</v>
      </c>
    </row>
    <row r="112" spans="1:4" ht="15.6" x14ac:dyDescent="0.3">
      <c r="A112" s="1" t="s">
        <v>110</v>
      </c>
      <c r="B112" s="10">
        <v>0.24299999999999999</v>
      </c>
      <c r="C112" s="10">
        <f t="shared" si="26"/>
        <v>0</v>
      </c>
      <c r="D112" s="10">
        <f t="shared" si="27"/>
        <v>0.24299999999999999</v>
      </c>
    </row>
    <row r="113" spans="1:4" ht="15.6" x14ac:dyDescent="0.3">
      <c r="A113" s="1" t="s">
        <v>111</v>
      </c>
      <c r="B113" s="10">
        <v>0.14299999999999999</v>
      </c>
      <c r="C113" s="10">
        <f t="shared" si="26"/>
        <v>0</v>
      </c>
      <c r="D113" s="10">
        <f t="shared" si="27"/>
        <v>0.14299999999999999</v>
      </c>
    </row>
    <row r="114" spans="1:4" ht="15.6" x14ac:dyDescent="0.3">
      <c r="A114" s="1" t="s">
        <v>112</v>
      </c>
      <c r="B114" s="10">
        <v>0.153</v>
      </c>
      <c r="C114" s="10">
        <f t="shared" si="26"/>
        <v>0</v>
      </c>
      <c r="D114" s="10">
        <f t="shared" si="27"/>
        <v>0.153</v>
      </c>
    </row>
    <row r="115" spans="1:4" ht="15.6" x14ac:dyDescent="0.3">
      <c r="A115" s="1" t="s">
        <v>113</v>
      </c>
      <c r="B115" s="10">
        <v>0.124</v>
      </c>
      <c r="C115" s="10">
        <f t="shared" si="26"/>
        <v>0</v>
      </c>
      <c r="D115" s="10">
        <f t="shared" si="27"/>
        <v>0.124</v>
      </c>
    </row>
    <row r="116" spans="1:4" ht="15.6" x14ac:dyDescent="0.3">
      <c r="A116" s="1" t="s">
        <v>114</v>
      </c>
      <c r="B116" s="10">
        <v>0.151</v>
      </c>
      <c r="C116" s="10">
        <f t="shared" si="26"/>
        <v>0</v>
      </c>
      <c r="D116" s="10">
        <f t="shared" si="27"/>
        <v>0.151</v>
      </c>
    </row>
    <row r="117" spans="1:4" ht="15.6" x14ac:dyDescent="0.3">
      <c r="A117" s="1" t="s">
        <v>115</v>
      </c>
      <c r="B117" s="10">
        <v>0.15</v>
      </c>
      <c r="C117" s="10">
        <f t="shared" si="26"/>
        <v>0</v>
      </c>
      <c r="D117" s="10">
        <f t="shared" si="27"/>
        <v>0.15</v>
      </c>
    </row>
    <row r="118" spans="1:4" ht="15.6" x14ac:dyDescent="0.3">
      <c r="A118" s="1" t="s">
        <v>116</v>
      </c>
      <c r="B118" s="10">
        <v>0.16200000000000001</v>
      </c>
      <c r="C118" s="10">
        <f t="shared" si="26"/>
        <v>0</v>
      </c>
      <c r="D118" s="10">
        <f t="shared" si="27"/>
        <v>0.16200000000000001</v>
      </c>
    </row>
    <row r="119" spans="1:4" ht="15.6" x14ac:dyDescent="0.3">
      <c r="A119" s="1" t="s">
        <v>117</v>
      </c>
      <c r="B119" s="10">
        <v>0.22500000000000001</v>
      </c>
      <c r="C119" s="10">
        <f t="shared" si="26"/>
        <v>0</v>
      </c>
      <c r="D119" s="10">
        <f t="shared" si="27"/>
        <v>0.22500000000000001</v>
      </c>
    </row>
    <row r="120" spans="1:4" ht="15.6" x14ac:dyDescent="0.3">
      <c r="A120" s="1" t="s">
        <v>118</v>
      </c>
      <c r="B120" s="10">
        <v>0.38</v>
      </c>
      <c r="C120" s="10">
        <f t="shared" si="26"/>
        <v>0</v>
      </c>
      <c r="D120" s="10">
        <f t="shared" si="27"/>
        <v>0.38</v>
      </c>
    </row>
    <row r="121" spans="1:4" ht="15.6" x14ac:dyDescent="0.3">
      <c r="A121" s="1" t="s">
        <v>119</v>
      </c>
      <c r="B121" s="10">
        <v>0.41</v>
      </c>
      <c r="C121" s="10">
        <f t="shared" si="26"/>
        <v>0</v>
      </c>
      <c r="D121" s="10">
        <f t="shared" si="27"/>
        <v>0.41</v>
      </c>
    </row>
    <row r="122" spans="1:4" ht="15.6" x14ac:dyDescent="0.3">
      <c r="A122" s="1" t="s">
        <v>120</v>
      </c>
      <c r="B122" s="10">
        <v>1.081</v>
      </c>
      <c r="C122" s="10">
        <f t="shared" si="26"/>
        <v>0</v>
      </c>
      <c r="D122" s="10">
        <f t="shared" si="27"/>
        <v>1.081</v>
      </c>
    </row>
    <row r="123" spans="1:4" ht="15.6" x14ac:dyDescent="0.3">
      <c r="A123" s="1" t="s">
        <v>121</v>
      </c>
      <c r="B123" s="10">
        <v>0.93899999999999995</v>
      </c>
      <c r="C123" s="10">
        <f t="shared" si="26"/>
        <v>0</v>
      </c>
      <c r="D123" s="10">
        <f t="shared" si="27"/>
        <v>0.93899999999999995</v>
      </c>
    </row>
    <row r="124" spans="1:4" ht="15.6" x14ac:dyDescent="0.3">
      <c r="A124" s="1" t="s">
        <v>122</v>
      </c>
      <c r="B124" s="10">
        <v>0.999</v>
      </c>
      <c r="C124" s="10">
        <f t="shared" si="26"/>
        <v>0</v>
      </c>
      <c r="D124" s="10">
        <f t="shared" si="27"/>
        <v>0.999</v>
      </c>
    </row>
    <row r="125" spans="1:4" ht="15.6" x14ac:dyDescent="0.3">
      <c r="A125" s="1" t="s">
        <v>123</v>
      </c>
      <c r="B125" s="10">
        <v>0.83199999999999996</v>
      </c>
      <c r="C125" s="10">
        <f t="shared" si="26"/>
        <v>0</v>
      </c>
      <c r="D125" s="10">
        <f t="shared" si="27"/>
        <v>0.83199999999999996</v>
      </c>
    </row>
    <row r="126" spans="1:4" ht="15.6" x14ac:dyDescent="0.3">
      <c r="A126" s="1" t="s">
        <v>124</v>
      </c>
      <c r="B126" s="10">
        <v>0.89600000000000002</v>
      </c>
      <c r="C126" s="10">
        <f t="shared" si="26"/>
        <v>0</v>
      </c>
      <c r="D126" s="10">
        <f t="shared" si="27"/>
        <v>0.89600000000000002</v>
      </c>
    </row>
    <row r="127" spans="1:4" ht="15.6" x14ac:dyDescent="0.3">
      <c r="A127" s="1" t="s">
        <v>125</v>
      </c>
      <c r="B127" s="10">
        <v>0.68200000000000005</v>
      </c>
      <c r="C127" s="10">
        <f t="shared" si="26"/>
        <v>0</v>
      </c>
      <c r="D127" s="10">
        <f t="shared" si="27"/>
        <v>0.68200000000000005</v>
      </c>
    </row>
    <row r="128" spans="1:4" ht="15.6" x14ac:dyDescent="0.3">
      <c r="A128" s="1" t="s">
        <v>126</v>
      </c>
      <c r="B128" s="10">
        <v>0.88400000000000001</v>
      </c>
      <c r="C128" s="10">
        <f t="shared" si="26"/>
        <v>0</v>
      </c>
      <c r="D128" s="10">
        <f t="shared" si="27"/>
        <v>0.88400000000000001</v>
      </c>
    </row>
    <row r="129" spans="1:4" ht="15.6" x14ac:dyDescent="0.3">
      <c r="A129" s="1" t="s">
        <v>127</v>
      </c>
      <c r="B129" s="10">
        <v>0.88200000000000001</v>
      </c>
      <c r="C129" s="10">
        <f t="shared" si="26"/>
        <v>0</v>
      </c>
      <c r="D129" s="10">
        <f t="shared" si="27"/>
        <v>0.88200000000000001</v>
      </c>
    </row>
    <row r="130" spans="1:4" ht="15.6" x14ac:dyDescent="0.3">
      <c r="A130" s="1" t="s">
        <v>128</v>
      </c>
      <c r="B130" s="10">
        <v>0.86499999999999999</v>
      </c>
      <c r="C130" s="10">
        <f t="shared" si="26"/>
        <v>0</v>
      </c>
      <c r="D130" s="10">
        <f t="shared" si="27"/>
        <v>0.86499999999999999</v>
      </c>
    </row>
    <row r="131" spans="1:4" ht="15.6" x14ac:dyDescent="0.3">
      <c r="A131" s="1" t="s">
        <v>129</v>
      </c>
      <c r="B131" s="10">
        <v>0.96199999999999997</v>
      </c>
      <c r="C131" s="10">
        <f t="shared" si="26"/>
        <v>0</v>
      </c>
      <c r="D131" s="10">
        <f t="shared" si="27"/>
        <v>0.96199999999999997</v>
      </c>
    </row>
    <row r="132" spans="1:4" ht="15.6" x14ac:dyDescent="0.3">
      <c r="A132" s="1" t="s">
        <v>130</v>
      </c>
      <c r="B132" s="10">
        <v>1.0109999999999999</v>
      </c>
      <c r="C132" s="10">
        <f t="shared" si="26"/>
        <v>0</v>
      </c>
      <c r="D132" s="10">
        <f t="shared" si="27"/>
        <v>1.0109999999999999</v>
      </c>
    </row>
    <row r="133" spans="1:4" ht="15.6" x14ac:dyDescent="0.3">
      <c r="A133" s="1" t="s">
        <v>131</v>
      </c>
      <c r="B133" s="10">
        <v>1.0169999999999999</v>
      </c>
      <c r="C133" s="10">
        <f t="shared" si="26"/>
        <v>0</v>
      </c>
      <c r="D133" s="10">
        <f t="shared" si="27"/>
        <v>1.0169999999999999</v>
      </c>
    </row>
    <row r="134" spans="1:4" ht="15.6" x14ac:dyDescent="0.3">
      <c r="A134" s="1" t="s">
        <v>132</v>
      </c>
      <c r="B134" s="10">
        <v>1.1100000000000001</v>
      </c>
      <c r="C134" s="10">
        <f t="shared" si="26"/>
        <v>0</v>
      </c>
      <c r="D134" s="10">
        <f t="shared" si="27"/>
        <v>1.1100000000000001</v>
      </c>
    </row>
    <row r="135" spans="1:4" ht="15.6" x14ac:dyDescent="0.3">
      <c r="A135" s="1" t="s">
        <v>133</v>
      </c>
      <c r="B135" s="10">
        <v>0.95199999999999996</v>
      </c>
      <c r="C135" s="10">
        <f t="shared" si="26"/>
        <v>0</v>
      </c>
      <c r="D135" s="10">
        <f t="shared" si="27"/>
        <v>0.95199999999999996</v>
      </c>
    </row>
    <row r="136" spans="1:4" ht="15.6" x14ac:dyDescent="0.3">
      <c r="A136" s="1" t="s">
        <v>134</v>
      </c>
      <c r="B136" s="10">
        <v>1.028</v>
      </c>
      <c r="C136" s="10">
        <f t="shared" si="26"/>
        <v>0</v>
      </c>
      <c r="D136" s="10">
        <f t="shared" si="27"/>
        <v>1.028</v>
      </c>
    </row>
    <row r="137" spans="1:4" ht="15.6" x14ac:dyDescent="0.3">
      <c r="A137" s="1" t="s">
        <v>135</v>
      </c>
      <c r="B137" s="10">
        <v>0.79800000000000004</v>
      </c>
      <c r="C137" s="10">
        <f t="shared" si="26"/>
        <v>0</v>
      </c>
      <c r="D137" s="10">
        <f t="shared" si="27"/>
        <v>0.79800000000000004</v>
      </c>
    </row>
    <row r="138" spans="1:4" ht="15.6" x14ac:dyDescent="0.3">
      <c r="A138" s="1" t="s">
        <v>136</v>
      </c>
      <c r="B138" s="10">
        <v>0.86699999999999999</v>
      </c>
      <c r="C138" s="10">
        <f t="shared" si="26"/>
        <v>0</v>
      </c>
      <c r="D138" s="10">
        <f t="shared" si="27"/>
        <v>0.86699999999999999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E7CB-741D-4732-9B96-04AB85F5690B}">
  <dimension ref="A1:B138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2" t="s">
        <v>137</v>
      </c>
      <c r="B1" s="12" t="s">
        <v>145</v>
      </c>
    </row>
    <row r="2" spans="1:2" ht="15.6" x14ac:dyDescent="0.3">
      <c r="A2" s="1" t="s">
        <v>0</v>
      </c>
      <c r="B2" s="10">
        <f>CH!D2+RS!D2</f>
        <v>0.80299999999999994</v>
      </c>
    </row>
    <row r="3" spans="1:2" ht="15.6" x14ac:dyDescent="0.3">
      <c r="A3" s="1" t="s">
        <v>1</v>
      </c>
      <c r="B3" s="10">
        <f>CH!D3+RS!D3</f>
        <v>0.751</v>
      </c>
    </row>
    <row r="4" spans="1:2" ht="15.6" x14ac:dyDescent="0.3">
      <c r="A4" s="1" t="s">
        <v>2</v>
      </c>
      <c r="B4" s="10">
        <f>CH!D4+RS!D4</f>
        <v>0.58299999999999996</v>
      </c>
    </row>
    <row r="5" spans="1:2" ht="15.6" x14ac:dyDescent="0.3">
      <c r="A5" s="1" t="s">
        <v>3</v>
      </c>
      <c r="B5" s="10">
        <f>CH!D5+RS!D5</f>
        <v>0.41800000000000004</v>
      </c>
    </row>
    <row r="6" spans="1:2" ht="15.6" x14ac:dyDescent="0.3">
      <c r="A6" s="1" t="s">
        <v>4</v>
      </c>
      <c r="B6" s="10">
        <f>CH!D6+RS!D6</f>
        <v>0.35000000000000003</v>
      </c>
    </row>
    <row r="7" spans="1:2" ht="15.6" x14ac:dyDescent="0.3">
      <c r="A7" s="1" t="s">
        <v>5</v>
      </c>
      <c r="B7" s="10">
        <f>CH!D7+RS!D7</f>
        <v>0.27800000000000002</v>
      </c>
    </row>
    <row r="8" spans="1:2" ht="15.6" x14ac:dyDescent="0.3">
      <c r="A8" s="1" t="s">
        <v>6</v>
      </c>
      <c r="B8" s="10">
        <f>CH!D8+RS!D8</f>
        <v>0.26200000000000001</v>
      </c>
    </row>
    <row r="9" spans="1:2" ht="15.6" x14ac:dyDescent="0.3">
      <c r="A9" s="1" t="s">
        <v>7</v>
      </c>
      <c r="B9" s="10">
        <f>CH!D9+RS!D9</f>
        <v>0.25600000000000001</v>
      </c>
    </row>
    <row r="10" spans="1:2" ht="15.6" x14ac:dyDescent="0.3">
      <c r="A10" s="1" t="s">
        <v>8</v>
      </c>
      <c r="B10" s="10">
        <f>CH!D10+RS!D10</f>
        <v>0.31300000000000006</v>
      </c>
    </row>
    <row r="11" spans="1:2" ht="15.6" x14ac:dyDescent="0.3">
      <c r="A11" s="1" t="s">
        <v>9</v>
      </c>
      <c r="B11" s="10">
        <f>CH!D11+RS!D11</f>
        <v>0.46300000000000002</v>
      </c>
    </row>
    <row r="12" spans="1:2" ht="15.6" x14ac:dyDescent="0.3">
      <c r="A12" s="1" t="s">
        <v>10</v>
      </c>
      <c r="B12" s="10">
        <f>CH!D12+RS!D12</f>
        <v>0.62400000000000011</v>
      </c>
    </row>
    <row r="13" spans="1:2" ht="15.6" x14ac:dyDescent="0.3">
      <c r="A13" s="1" t="s">
        <v>11</v>
      </c>
      <c r="B13" s="10">
        <f>CH!D13+RS!D13</f>
        <v>0.72699999999999987</v>
      </c>
    </row>
    <row r="14" spans="1:2" ht="15.6" x14ac:dyDescent="0.3">
      <c r="A14" s="1" t="s">
        <v>12</v>
      </c>
      <c r="B14" s="10">
        <f>CH!D14+RS!D14</f>
        <v>0.78100000000000014</v>
      </c>
    </row>
    <row r="15" spans="1:2" ht="15.6" x14ac:dyDescent="0.3">
      <c r="A15" s="1" t="s">
        <v>13</v>
      </c>
      <c r="B15" s="10">
        <f>CH!D15+RS!D15</f>
        <v>0.68</v>
      </c>
    </row>
    <row r="16" spans="1:2" ht="15.6" x14ac:dyDescent="0.3">
      <c r="A16" s="1" t="s">
        <v>14</v>
      </c>
      <c r="B16" s="10">
        <f>CH!D16+RS!D16</f>
        <v>0.628</v>
      </c>
    </row>
    <row r="17" spans="1:2" ht="15.6" x14ac:dyDescent="0.3">
      <c r="A17" s="1" t="s">
        <v>15</v>
      </c>
      <c r="B17" s="10">
        <f>CH!D17+RS!D17</f>
        <v>0.43600000000000005</v>
      </c>
    </row>
    <row r="18" spans="1:2" ht="15.6" x14ac:dyDescent="0.3">
      <c r="A18" s="1" t="s">
        <v>16</v>
      </c>
      <c r="B18" s="10">
        <f>CH!D18+RS!D18</f>
        <v>0.38099999999999995</v>
      </c>
    </row>
    <row r="19" spans="1:2" ht="15.6" x14ac:dyDescent="0.3">
      <c r="A19" s="1" t="s">
        <v>17</v>
      </c>
      <c r="B19" s="10">
        <f>CH!D19+RS!D19</f>
        <v>0.29500000000000004</v>
      </c>
    </row>
    <row r="20" spans="1:2" ht="15.6" x14ac:dyDescent="0.3">
      <c r="A20" s="1" t="s">
        <v>18</v>
      </c>
      <c r="B20" s="10">
        <f>CH!D20+RS!D20</f>
        <v>0.27100000000000002</v>
      </c>
    </row>
    <row r="21" spans="1:2" ht="15.6" x14ac:dyDescent="0.3">
      <c r="A21" s="1" t="s">
        <v>19</v>
      </c>
      <c r="B21" s="10">
        <f>CH!D21+RS!D21</f>
        <v>0.26900000000000002</v>
      </c>
    </row>
    <row r="22" spans="1:2" ht="15.6" x14ac:dyDescent="0.3">
      <c r="A22" s="1" t="s">
        <v>20</v>
      </c>
      <c r="B22" s="10">
        <f>CH!D22+RS!D22</f>
        <v>0.28800000000000003</v>
      </c>
    </row>
    <row r="23" spans="1:2" ht="15.6" x14ac:dyDescent="0.3">
      <c r="A23" s="1" t="s">
        <v>21</v>
      </c>
      <c r="B23" s="10">
        <f>CH!D23+RS!D23</f>
        <v>0.47799999999999992</v>
      </c>
    </row>
    <row r="24" spans="1:2" ht="15.6" x14ac:dyDescent="0.3">
      <c r="A24" s="1" t="s">
        <v>22</v>
      </c>
      <c r="B24" s="10">
        <f>CH!D24+RS!D24</f>
        <v>0.66600000000000004</v>
      </c>
    </row>
    <row r="25" spans="1:2" ht="15.6" x14ac:dyDescent="0.3">
      <c r="A25" s="1" t="s">
        <v>23</v>
      </c>
      <c r="B25" s="10">
        <f>CH!D25+RS!D25</f>
        <v>0.80299999999999994</v>
      </c>
    </row>
    <row r="26" spans="1:2" ht="15.6" x14ac:dyDescent="0.3">
      <c r="A26" s="1" t="s">
        <v>24</v>
      </c>
      <c r="B26" s="10">
        <f>CH!D26+RS!D26</f>
        <v>0.93500000000000005</v>
      </c>
    </row>
    <row r="27" spans="1:2" ht="15.6" x14ac:dyDescent="0.3">
      <c r="A27" s="1" t="s">
        <v>25</v>
      </c>
      <c r="B27" s="10">
        <f>CH!D27+RS!D27</f>
        <v>0.66</v>
      </c>
    </row>
    <row r="28" spans="1:2" ht="15.6" x14ac:dyDescent="0.3">
      <c r="A28" s="1" t="s">
        <v>26</v>
      </c>
      <c r="B28" s="10">
        <f>CH!D28+RS!D28</f>
        <v>0.55099999999999982</v>
      </c>
    </row>
    <row r="29" spans="1:2" ht="15.6" x14ac:dyDescent="0.3">
      <c r="A29" s="1" t="s">
        <v>27</v>
      </c>
      <c r="B29" s="10">
        <f>CH!D29+RS!D29</f>
        <v>0.42400000000000004</v>
      </c>
    </row>
    <row r="30" spans="1:2" ht="15.6" x14ac:dyDescent="0.3">
      <c r="A30" s="1" t="s">
        <v>28</v>
      </c>
      <c r="B30" s="10">
        <f>CH!D30+RS!D30</f>
        <v>0.36700000000000005</v>
      </c>
    </row>
    <row r="31" spans="1:2" ht="15.6" x14ac:dyDescent="0.3">
      <c r="A31" s="1" t="s">
        <v>29</v>
      </c>
      <c r="B31" s="10">
        <f>CH!D31+RS!D31</f>
        <v>0.27500000000000002</v>
      </c>
    </row>
    <row r="32" spans="1:2" ht="15.6" x14ac:dyDescent="0.3">
      <c r="A32" s="1" t="s">
        <v>30</v>
      </c>
      <c r="B32" s="10">
        <f>CH!D32+RS!D32</f>
        <v>0.27300000000000013</v>
      </c>
    </row>
    <row r="33" spans="1:2" ht="15.6" x14ac:dyDescent="0.3">
      <c r="A33" s="1" t="s">
        <v>31</v>
      </c>
      <c r="B33" s="10">
        <f>CH!D33+RS!D33</f>
        <v>0.26100000000000001</v>
      </c>
    </row>
    <row r="34" spans="1:2" ht="15.6" x14ac:dyDescent="0.3">
      <c r="A34" s="1" t="s">
        <v>32</v>
      </c>
      <c r="B34" s="10">
        <f>CH!D34+RS!D34</f>
        <v>0.33299999999999996</v>
      </c>
    </row>
    <row r="35" spans="1:2" ht="15.6" x14ac:dyDescent="0.3">
      <c r="A35" s="1" t="s">
        <v>33</v>
      </c>
      <c r="B35" s="10">
        <f>CH!D35+RS!D35</f>
        <v>0.42799999999999999</v>
      </c>
    </row>
    <row r="36" spans="1:2" ht="15.6" x14ac:dyDescent="0.3">
      <c r="A36" s="1" t="s">
        <v>34</v>
      </c>
      <c r="B36" s="10">
        <f>CH!D36+RS!D36</f>
        <v>0.68500000000000005</v>
      </c>
    </row>
    <row r="37" spans="1:2" ht="15.6" x14ac:dyDescent="0.3">
      <c r="A37" s="1" t="s">
        <v>35</v>
      </c>
      <c r="B37" s="10">
        <f>CH!D37+RS!D37</f>
        <v>0.81500000000000017</v>
      </c>
    </row>
    <row r="38" spans="1:2" ht="15.6" x14ac:dyDescent="0.3">
      <c r="A38" s="1" t="s">
        <v>36</v>
      </c>
      <c r="B38" s="10">
        <f>CH!D38+RS!D38</f>
        <v>0.73599999999999977</v>
      </c>
    </row>
    <row r="39" spans="1:2" ht="15.6" x14ac:dyDescent="0.3">
      <c r="A39" s="1" t="s">
        <v>37</v>
      </c>
      <c r="B39" s="10">
        <f>CH!D39+RS!D39</f>
        <v>0.77400000000000002</v>
      </c>
    </row>
    <row r="40" spans="1:2" ht="15.6" x14ac:dyDescent="0.3">
      <c r="A40" s="1" t="s">
        <v>38</v>
      </c>
      <c r="B40" s="10">
        <f>CH!D40+RS!D40</f>
        <v>0.69199999999999995</v>
      </c>
    </row>
    <row r="41" spans="1:2" ht="15.6" x14ac:dyDescent="0.3">
      <c r="A41" s="1" t="s">
        <v>39</v>
      </c>
      <c r="B41" s="10">
        <f>CH!D41+RS!D41</f>
        <v>0.35500000000000009</v>
      </c>
    </row>
    <row r="42" spans="1:2" ht="15.6" x14ac:dyDescent="0.3">
      <c r="A42" s="1" t="s">
        <v>40</v>
      </c>
      <c r="B42" s="10">
        <f>CH!D42+RS!D42</f>
        <v>0.34199999999999997</v>
      </c>
    </row>
    <row r="43" spans="1:2" ht="15.6" x14ac:dyDescent="0.3">
      <c r="A43" s="1" t="s">
        <v>41</v>
      </c>
      <c r="B43" s="10">
        <f>CH!D43+RS!D43</f>
        <v>0.29200000000000009</v>
      </c>
    </row>
    <row r="44" spans="1:2" ht="15.6" x14ac:dyDescent="0.3">
      <c r="A44" s="1" t="s">
        <v>42</v>
      </c>
      <c r="B44" s="10">
        <f>CH!D44+RS!D44</f>
        <v>0.24299999999999997</v>
      </c>
    </row>
    <row r="45" spans="1:2" ht="15.6" x14ac:dyDescent="0.3">
      <c r="A45" s="1" t="s">
        <v>43</v>
      </c>
      <c r="B45" s="10">
        <f>CH!D45+RS!D45</f>
        <v>0.28600000000000003</v>
      </c>
    </row>
    <row r="46" spans="1:2" ht="15.6" x14ac:dyDescent="0.3">
      <c r="A46" s="1" t="s">
        <v>44</v>
      </c>
      <c r="B46" s="10">
        <f>CH!D46+RS!D46</f>
        <v>0.30099999999999993</v>
      </c>
    </row>
    <row r="47" spans="1:2" ht="15.6" x14ac:dyDescent="0.3">
      <c r="A47" s="1" t="s">
        <v>45</v>
      </c>
      <c r="B47" s="10">
        <f>CH!D47+RS!D47</f>
        <v>0.434</v>
      </c>
    </row>
    <row r="48" spans="1:2" ht="15.6" x14ac:dyDescent="0.3">
      <c r="A48" s="1" t="s">
        <v>46</v>
      </c>
      <c r="B48" s="10">
        <f>CH!D48+RS!D48</f>
        <v>0.64100000000000001</v>
      </c>
    </row>
    <row r="49" spans="1:2" ht="15.6" x14ac:dyDescent="0.3">
      <c r="A49" s="1" t="s">
        <v>47</v>
      </c>
      <c r="B49" s="10">
        <f>CH!D49+RS!D49</f>
        <v>0.74700000000000011</v>
      </c>
    </row>
    <row r="50" spans="1:2" ht="15.6" x14ac:dyDescent="0.3">
      <c r="A50" s="1" t="s">
        <v>48</v>
      </c>
      <c r="B50" s="10">
        <f>CH!D50+RS!D50</f>
        <v>0.84800000000000009</v>
      </c>
    </row>
    <row r="51" spans="1:2" ht="15.6" x14ac:dyDescent="0.3">
      <c r="A51" s="1" t="s">
        <v>49</v>
      </c>
      <c r="B51" s="10">
        <f>CH!D51+RS!D51</f>
        <v>0.72499999999999987</v>
      </c>
    </row>
    <row r="52" spans="1:2" ht="15.6" x14ac:dyDescent="0.3">
      <c r="A52" s="1" t="s">
        <v>50</v>
      </c>
      <c r="B52" s="10">
        <f>CH!D52+RS!D52</f>
        <v>0.58099999999999985</v>
      </c>
    </row>
    <row r="53" spans="1:2" ht="15.6" x14ac:dyDescent="0.3">
      <c r="A53" s="1" t="s">
        <v>51</v>
      </c>
      <c r="B53" s="10">
        <f>CH!D53+RS!D53</f>
        <v>0.38900000000000012</v>
      </c>
    </row>
    <row r="54" spans="1:2" ht="15.6" x14ac:dyDescent="0.3">
      <c r="A54" s="1" t="s">
        <v>52</v>
      </c>
      <c r="B54" s="10">
        <f>CH!D54+RS!D54</f>
        <v>0.3680000000000001</v>
      </c>
    </row>
    <row r="55" spans="1:2" ht="15.6" x14ac:dyDescent="0.3">
      <c r="A55" s="1" t="s">
        <v>53</v>
      </c>
      <c r="B55" s="10">
        <f>CH!D55+RS!D55</f>
        <v>0.24199999999999999</v>
      </c>
    </row>
    <row r="56" spans="1:2" ht="15.6" x14ac:dyDescent="0.3">
      <c r="A56" s="1" t="s">
        <v>54</v>
      </c>
      <c r="B56" s="10">
        <f>CH!D56+RS!D56</f>
        <v>0.26000000000000012</v>
      </c>
    </row>
    <row r="57" spans="1:2" ht="15.6" x14ac:dyDescent="0.3">
      <c r="A57" s="1" t="s">
        <v>55</v>
      </c>
      <c r="B57" s="10">
        <f>CH!D57+RS!D57</f>
        <v>0.24699999999999989</v>
      </c>
    </row>
    <row r="58" spans="1:2" ht="15.6" x14ac:dyDescent="0.3">
      <c r="A58" s="1" t="s">
        <v>56</v>
      </c>
      <c r="B58" s="10">
        <f>CH!D58+RS!D58</f>
        <v>0.32600000000000001</v>
      </c>
    </row>
    <row r="59" spans="1:2" ht="15.6" x14ac:dyDescent="0.3">
      <c r="A59" s="1" t="s">
        <v>57</v>
      </c>
      <c r="B59" s="10">
        <f>CH!D59+RS!D59</f>
        <v>0.4469999999999999</v>
      </c>
    </row>
    <row r="60" spans="1:2" ht="15.6" x14ac:dyDescent="0.3">
      <c r="A60" s="1" t="s">
        <v>58</v>
      </c>
      <c r="B60" s="10">
        <f>CH!D60+RS!D60</f>
        <v>0.65199999999999991</v>
      </c>
    </row>
    <row r="61" spans="1:2" ht="15.6" x14ac:dyDescent="0.3">
      <c r="A61" s="1" t="s">
        <v>59</v>
      </c>
      <c r="B61" s="10">
        <f>CH!D61+RS!D61</f>
        <v>0.76200000000000001</v>
      </c>
    </row>
    <row r="62" spans="1:2" ht="15.6" x14ac:dyDescent="0.3">
      <c r="A62" s="1" t="s">
        <v>60</v>
      </c>
      <c r="B62" s="10">
        <f>CH!D62+RS!D62</f>
        <v>0.78699999999999992</v>
      </c>
    </row>
    <row r="63" spans="1:2" ht="15.6" x14ac:dyDescent="0.3">
      <c r="A63" s="1" t="s">
        <v>61</v>
      </c>
      <c r="B63" s="10">
        <f>CH!D63+RS!D63</f>
        <v>0.64500000000000002</v>
      </c>
    </row>
    <row r="64" spans="1:2" ht="15.6" x14ac:dyDescent="0.3">
      <c r="A64" s="1" t="s">
        <v>62</v>
      </c>
      <c r="B64" s="10">
        <f>CH!D64+RS!D64</f>
        <v>0.60799999999999987</v>
      </c>
    </row>
    <row r="65" spans="1:2" ht="15.6" x14ac:dyDescent="0.3">
      <c r="A65" s="1" t="s">
        <v>63</v>
      </c>
      <c r="B65" s="10">
        <f>CH!D65+RS!D65</f>
        <v>0.26200000000000007</v>
      </c>
    </row>
    <row r="66" spans="1:2" ht="15.6" x14ac:dyDescent="0.3">
      <c r="A66" s="1" t="s">
        <v>64</v>
      </c>
      <c r="B66" s="10">
        <f>CH!D66+RS!D66</f>
        <v>0.21199999999999994</v>
      </c>
    </row>
    <row r="67" spans="1:2" ht="15.6" x14ac:dyDescent="0.3">
      <c r="A67" s="1" t="s">
        <v>65</v>
      </c>
      <c r="B67" s="10">
        <f>CH!D67+RS!D67</f>
        <v>0.20300000000000012</v>
      </c>
    </row>
    <row r="68" spans="1:2" ht="15.6" x14ac:dyDescent="0.3">
      <c r="A68" s="1" t="s">
        <v>66</v>
      </c>
      <c r="B68" s="10">
        <f>CH!D68+RS!D68</f>
        <v>0.252</v>
      </c>
    </row>
    <row r="69" spans="1:2" ht="15.6" x14ac:dyDescent="0.3">
      <c r="A69" s="1" t="s">
        <v>67</v>
      </c>
      <c r="B69" s="10">
        <f>CH!D69+RS!D69</f>
        <v>0.24999999999999997</v>
      </c>
    </row>
    <row r="70" spans="1:2" ht="15.6" x14ac:dyDescent="0.3">
      <c r="A70" s="1" t="s">
        <v>68</v>
      </c>
      <c r="B70" s="10">
        <f>CH!D70+RS!D70</f>
        <v>0.33800000000000002</v>
      </c>
    </row>
    <row r="71" spans="1:2" ht="15.6" x14ac:dyDescent="0.3">
      <c r="A71" s="1" t="s">
        <v>69</v>
      </c>
      <c r="B71" s="10">
        <f>CH!D71+RS!D71</f>
        <v>0.50900000000000001</v>
      </c>
    </row>
    <row r="72" spans="1:2" ht="15.6" x14ac:dyDescent="0.3">
      <c r="A72" s="1" t="s">
        <v>70</v>
      </c>
      <c r="B72" s="10">
        <f>CH!D72+RS!D72</f>
        <v>0.621</v>
      </c>
    </row>
    <row r="73" spans="1:2" ht="15.6" x14ac:dyDescent="0.3">
      <c r="A73" s="1" t="s">
        <v>71</v>
      </c>
      <c r="B73" s="10">
        <f>CH!D73+RS!D73</f>
        <v>0.80399999999999994</v>
      </c>
    </row>
    <row r="74" spans="1:2" ht="15.6" x14ac:dyDescent="0.3">
      <c r="A74" s="1" t="s">
        <v>72</v>
      </c>
      <c r="B74" s="10">
        <f>CH!D74+RS!D74</f>
        <v>0.84800000000000009</v>
      </c>
    </row>
    <row r="75" spans="1:2" ht="15.6" x14ac:dyDescent="0.3">
      <c r="A75" s="1" t="s">
        <v>73</v>
      </c>
      <c r="B75" s="10">
        <f>CH!D75+RS!D75</f>
        <v>0.70900000000000007</v>
      </c>
    </row>
    <row r="76" spans="1:2" ht="15.6" x14ac:dyDescent="0.3">
      <c r="A76" s="1" t="s">
        <v>74</v>
      </c>
      <c r="B76" s="10">
        <f>CH!D76+RS!D76</f>
        <v>0.53599999999999992</v>
      </c>
    </row>
    <row r="77" spans="1:2" ht="15.6" x14ac:dyDescent="0.3">
      <c r="A77" s="1" t="s">
        <v>75</v>
      </c>
      <c r="B77" s="10">
        <f>CH!D77+RS!D77</f>
        <v>0.52500000000000002</v>
      </c>
    </row>
    <row r="78" spans="1:2" ht="15.6" x14ac:dyDescent="0.3">
      <c r="A78" s="1" t="s">
        <v>76</v>
      </c>
      <c r="B78" s="10">
        <f>CH!D78+RS!D78</f>
        <v>0.42799999999999999</v>
      </c>
    </row>
    <row r="79" spans="1:2" ht="15.6" x14ac:dyDescent="0.3">
      <c r="A79" s="1" t="s">
        <v>77</v>
      </c>
      <c r="B79" s="10">
        <f>CH!D79+RS!D79</f>
        <v>0.26200000000000001</v>
      </c>
    </row>
    <row r="80" spans="1:2" ht="15.6" x14ac:dyDescent="0.3">
      <c r="A80" s="1" t="s">
        <v>78</v>
      </c>
      <c r="B80" s="10">
        <f>CH!D80+RS!D80</f>
        <v>0.28200000000000003</v>
      </c>
    </row>
    <row r="81" spans="1:2" ht="15.6" x14ac:dyDescent="0.3">
      <c r="A81" s="1" t="s">
        <v>79</v>
      </c>
      <c r="B81" s="10">
        <f>CH!D81+RS!D81</f>
        <v>0.23799999999999999</v>
      </c>
    </row>
    <row r="82" spans="1:2" ht="15.6" x14ac:dyDescent="0.3">
      <c r="A82" s="1" t="s">
        <v>80</v>
      </c>
      <c r="B82" s="10">
        <f>CH!D82+RS!D82</f>
        <v>0.52600000000000002</v>
      </c>
    </row>
    <row r="83" spans="1:2" ht="15.6" x14ac:dyDescent="0.3">
      <c r="A83" s="1" t="s">
        <v>81</v>
      </c>
      <c r="B83" s="10">
        <f>CH!D83+RS!D83</f>
        <v>0.51800000000000002</v>
      </c>
    </row>
    <row r="84" spans="1:2" ht="15.6" x14ac:dyDescent="0.3">
      <c r="A84" s="1" t="s">
        <v>82</v>
      </c>
      <c r="B84" s="10">
        <f>CH!D84+RS!D84</f>
        <v>0.64200000000000002</v>
      </c>
    </row>
    <row r="85" spans="1:2" ht="15.6" x14ac:dyDescent="0.3">
      <c r="A85" s="1" t="s">
        <v>83</v>
      </c>
      <c r="B85" s="10">
        <f>CH!D85+RS!D85</f>
        <v>0.82000000000000006</v>
      </c>
    </row>
    <row r="86" spans="1:2" ht="15.6" x14ac:dyDescent="0.3">
      <c r="A86" s="1" t="s">
        <v>84</v>
      </c>
      <c r="B86" s="10">
        <f>CH!D86+RS!D86</f>
        <v>1.002</v>
      </c>
    </row>
    <row r="87" spans="1:2" ht="15.6" x14ac:dyDescent="0.3">
      <c r="A87" s="1" t="s">
        <v>85</v>
      </c>
      <c r="B87" s="10">
        <f>CH!D87+RS!D87</f>
        <v>0.77199999999999991</v>
      </c>
    </row>
    <row r="88" spans="1:2" ht="15.6" x14ac:dyDescent="0.3">
      <c r="A88" s="1" t="s">
        <v>86</v>
      </c>
      <c r="B88" s="10">
        <f>CH!D88+RS!D88</f>
        <v>0.64900000000000002</v>
      </c>
    </row>
    <row r="89" spans="1:2" ht="15.6" x14ac:dyDescent="0.3">
      <c r="A89" s="1" t="s">
        <v>87</v>
      </c>
      <c r="B89" s="10">
        <f>CH!D89+RS!D89</f>
        <v>0.52499999999999991</v>
      </c>
    </row>
    <row r="90" spans="1:2" ht="15.6" x14ac:dyDescent="0.3">
      <c r="A90" s="1" t="s">
        <v>88</v>
      </c>
      <c r="B90" s="10">
        <f>CH!D90+RS!D90</f>
        <v>0.33799999999999991</v>
      </c>
    </row>
    <row r="91" spans="1:2" ht="15.6" x14ac:dyDescent="0.3">
      <c r="A91" s="1" t="s">
        <v>89</v>
      </c>
      <c r="B91" s="10">
        <f>CH!D91+RS!D91</f>
        <v>0.23399999999999999</v>
      </c>
    </row>
    <row r="92" spans="1:2" ht="15.6" x14ac:dyDescent="0.3">
      <c r="A92" s="1" t="s">
        <v>90</v>
      </c>
      <c r="B92" s="10">
        <f>CH!D92+RS!D92</f>
        <v>0.27599999999999997</v>
      </c>
    </row>
    <row r="93" spans="1:2" ht="15.6" x14ac:dyDescent="0.3">
      <c r="A93" s="1" t="s">
        <v>91</v>
      </c>
      <c r="B93" s="10">
        <f>CH!D93+RS!D93</f>
        <v>0.255</v>
      </c>
    </row>
    <row r="94" spans="1:2" ht="15.6" x14ac:dyDescent="0.3">
      <c r="A94" s="1" t="s">
        <v>92</v>
      </c>
      <c r="B94" s="10">
        <f>CH!D94+RS!D94</f>
        <v>0.32100000000000006</v>
      </c>
    </row>
    <row r="95" spans="1:2" ht="15.6" x14ac:dyDescent="0.3">
      <c r="A95" s="1" t="s">
        <v>93</v>
      </c>
      <c r="B95" s="10">
        <f>CH!D95+RS!D95</f>
        <v>0.42300000000000004</v>
      </c>
    </row>
    <row r="96" spans="1:2" ht="15.6" x14ac:dyDescent="0.3">
      <c r="A96" s="1" t="s">
        <v>94</v>
      </c>
      <c r="B96" s="10">
        <f>CH!D96+RS!D96</f>
        <v>0.69199999999999995</v>
      </c>
    </row>
    <row r="97" spans="1:2" ht="15.6" x14ac:dyDescent="0.3">
      <c r="A97" s="1" t="s">
        <v>95</v>
      </c>
      <c r="B97" s="10">
        <f>CH!D97+RS!D97</f>
        <v>0.83099999999999996</v>
      </c>
    </row>
    <row r="98" spans="1:2" ht="15.6" x14ac:dyDescent="0.3">
      <c r="A98" s="1" t="s">
        <v>96</v>
      </c>
      <c r="B98" s="10">
        <f>CH!D98+RS!D98</f>
        <v>0.8580000000000001</v>
      </c>
    </row>
    <row r="99" spans="1:2" ht="15.6" x14ac:dyDescent="0.3">
      <c r="A99" s="1" t="s">
        <v>97</v>
      </c>
      <c r="B99" s="10">
        <f>CH!D99+RS!D99</f>
        <v>0.752</v>
      </c>
    </row>
    <row r="100" spans="1:2" ht="15.6" x14ac:dyDescent="0.3">
      <c r="A100" s="1" t="s">
        <v>98</v>
      </c>
      <c r="B100" s="10">
        <f>CH!D100+RS!D100</f>
        <v>0.65400000000000003</v>
      </c>
    </row>
    <row r="101" spans="1:2" ht="15.6" x14ac:dyDescent="0.3">
      <c r="A101" s="1" t="s">
        <v>99</v>
      </c>
      <c r="B101" s="10">
        <f>CH!D101+RS!D101</f>
        <v>0.50800000000000001</v>
      </c>
    </row>
    <row r="102" spans="1:2" ht="15.6" x14ac:dyDescent="0.3">
      <c r="A102" s="1" t="s">
        <v>100</v>
      </c>
      <c r="B102" s="10">
        <f>CH!D102+RS!D102</f>
        <v>0.33300000000000002</v>
      </c>
    </row>
    <row r="103" spans="1:2" ht="15.6" x14ac:dyDescent="0.3">
      <c r="A103" s="1" t="s">
        <v>101</v>
      </c>
      <c r="B103" s="10">
        <f>CH!D103+RS!D103</f>
        <v>0.20899999999999996</v>
      </c>
    </row>
    <row r="104" spans="1:2" ht="15.6" x14ac:dyDescent="0.3">
      <c r="A104" s="1" t="s">
        <v>102</v>
      </c>
      <c r="B104" s="10">
        <f>CH!D104+RS!D104</f>
        <v>0.22599999999999995</v>
      </c>
    </row>
    <row r="105" spans="1:2" ht="15.6" x14ac:dyDescent="0.3">
      <c r="A105" s="1" t="s">
        <v>103</v>
      </c>
      <c r="B105" s="10">
        <f>CH!D105+RS!D105</f>
        <v>0.24399999999999999</v>
      </c>
    </row>
    <row r="106" spans="1:2" ht="15.6" x14ac:dyDescent="0.3">
      <c r="A106" s="1" t="s">
        <v>104</v>
      </c>
      <c r="B106" s="10">
        <f>CH!D106+RS!D106</f>
        <v>0.27900000000000003</v>
      </c>
    </row>
    <row r="107" spans="1:2" ht="15.6" x14ac:dyDescent="0.3">
      <c r="A107" s="1" t="s">
        <v>105</v>
      </c>
      <c r="B107" s="10">
        <f>CH!D107+RS!D107</f>
        <v>0.34300000000000008</v>
      </c>
    </row>
    <row r="108" spans="1:2" ht="15.6" x14ac:dyDescent="0.3">
      <c r="A108" s="1" t="s">
        <v>106</v>
      </c>
      <c r="B108" s="10">
        <f>CH!D108+RS!D108</f>
        <v>0.87600000000000011</v>
      </c>
    </row>
    <row r="109" spans="1:2" ht="15.6" x14ac:dyDescent="0.3">
      <c r="A109" s="1" t="s">
        <v>107</v>
      </c>
      <c r="B109" s="10">
        <f>CH!D109+RS!D109</f>
        <v>0.7330000000000001</v>
      </c>
    </row>
    <row r="110" spans="1:2" ht="15.6" x14ac:dyDescent="0.3">
      <c r="A110" s="1" t="s">
        <v>108</v>
      </c>
      <c r="B110" s="10">
        <f>CH!D110+RS!D110</f>
        <v>0.81099999999999994</v>
      </c>
    </row>
    <row r="111" spans="1:2" ht="15.6" x14ac:dyDescent="0.3">
      <c r="A111" s="1" t="s">
        <v>109</v>
      </c>
      <c r="B111" s="10">
        <f>CH!D111+RS!D111</f>
        <v>0.57200000000000006</v>
      </c>
    </row>
    <row r="112" spans="1:2" ht="15.6" x14ac:dyDescent="0.3">
      <c r="A112" s="1" t="s">
        <v>110</v>
      </c>
      <c r="B112" s="10">
        <f>CH!D112+RS!D112</f>
        <v>0.54500000000000004</v>
      </c>
    </row>
    <row r="113" spans="1:2" ht="15.6" x14ac:dyDescent="0.3">
      <c r="A113" s="1" t="s">
        <v>111</v>
      </c>
      <c r="B113" s="10">
        <f>CH!D113+RS!D113</f>
        <v>0.38900000000000001</v>
      </c>
    </row>
    <row r="114" spans="1:2" ht="15.6" x14ac:dyDescent="0.3">
      <c r="A114" s="1" t="s">
        <v>112</v>
      </c>
      <c r="B114" s="10">
        <f>CH!D114+RS!D114</f>
        <v>0.31299999999999994</v>
      </c>
    </row>
    <row r="115" spans="1:2" ht="15.6" x14ac:dyDescent="0.3">
      <c r="A115" s="1" t="s">
        <v>113</v>
      </c>
      <c r="B115" s="10">
        <f>CH!D115+RS!D115</f>
        <v>0.2330000000000001</v>
      </c>
    </row>
    <row r="116" spans="1:2" ht="15.6" x14ac:dyDescent="0.3">
      <c r="A116" s="1" t="s">
        <v>114</v>
      </c>
      <c r="B116" s="10">
        <f>CH!D116+RS!D116</f>
        <v>0.23400000000000001</v>
      </c>
    </row>
    <row r="117" spans="1:2" ht="15.6" x14ac:dyDescent="0.3">
      <c r="A117" s="1" t="s">
        <v>115</v>
      </c>
      <c r="B117" s="10">
        <f>CH!D117+RS!D117</f>
        <v>0.22600000000000006</v>
      </c>
    </row>
    <row r="118" spans="1:2" ht="15.6" x14ac:dyDescent="0.3">
      <c r="A118" s="1" t="s">
        <v>116</v>
      </c>
      <c r="B118" s="10">
        <f>CH!D118+RS!D118</f>
        <v>0.31000000000000005</v>
      </c>
    </row>
    <row r="119" spans="1:2" ht="15.6" x14ac:dyDescent="0.3">
      <c r="A119" s="1" t="s">
        <v>117</v>
      </c>
      <c r="B119" s="10">
        <f>CH!D119+RS!D119</f>
        <v>0.44100000000000006</v>
      </c>
    </row>
    <row r="120" spans="1:2" ht="15.6" x14ac:dyDescent="0.3">
      <c r="A120" s="1" t="s">
        <v>118</v>
      </c>
      <c r="B120" s="10">
        <f>CH!D120+RS!D120</f>
        <v>0.72499999999999998</v>
      </c>
    </row>
    <row r="121" spans="1:2" ht="15.6" x14ac:dyDescent="0.3">
      <c r="A121" s="1" t="s">
        <v>119</v>
      </c>
      <c r="B121" s="10">
        <f>CH!D121+RS!D121</f>
        <v>0.85299999999999998</v>
      </c>
    </row>
    <row r="122" spans="1:2" ht="15.6" x14ac:dyDescent="0.3">
      <c r="A122" s="1" t="s">
        <v>120</v>
      </c>
      <c r="B122" s="10">
        <f>CH!D122+RS!D122</f>
        <v>1.5329999999999999</v>
      </c>
    </row>
    <row r="123" spans="1:2" ht="15.6" x14ac:dyDescent="0.3">
      <c r="A123" s="1" t="s">
        <v>121</v>
      </c>
      <c r="B123" s="10">
        <f>CH!D123+RS!D123</f>
        <v>1.3220000000000001</v>
      </c>
    </row>
    <row r="124" spans="1:2" ht="15.6" x14ac:dyDescent="0.3">
      <c r="A124" s="1" t="s">
        <v>122</v>
      </c>
      <c r="B124" s="10">
        <f>CH!D124+RS!D124</f>
        <v>1.3080000000000001</v>
      </c>
    </row>
    <row r="125" spans="1:2" ht="15.6" x14ac:dyDescent="0.3">
      <c r="A125" s="1" t="s">
        <v>123</v>
      </c>
      <c r="B125" s="10">
        <f>CH!D125+RS!D125</f>
        <v>1.0299999999999998</v>
      </c>
    </row>
    <row r="126" spans="1:2" ht="15.6" x14ac:dyDescent="0.3">
      <c r="A126" s="1" t="s">
        <v>124</v>
      </c>
      <c r="B126" s="10">
        <f>CH!D126+RS!D126</f>
        <v>1.05</v>
      </c>
    </row>
    <row r="127" spans="1:2" ht="15.6" x14ac:dyDescent="0.3">
      <c r="A127" s="1" t="s">
        <v>125</v>
      </c>
      <c r="B127" s="10">
        <f>CH!D127+RS!D127</f>
        <v>0.76500000000000012</v>
      </c>
    </row>
    <row r="128" spans="1:2" ht="15.6" x14ac:dyDescent="0.3">
      <c r="A128" s="1" t="s">
        <v>126</v>
      </c>
      <c r="B128" s="10">
        <f>CH!D128+RS!D128</f>
        <v>0.97200000000000009</v>
      </c>
    </row>
    <row r="129" spans="1:2" ht="15.6" x14ac:dyDescent="0.3">
      <c r="A129" s="1" t="s">
        <v>127</v>
      </c>
      <c r="B129" s="10">
        <f>CH!D129+RS!D129</f>
        <v>0.96399999999999997</v>
      </c>
    </row>
    <row r="130" spans="1:2" ht="15.6" x14ac:dyDescent="0.3">
      <c r="A130" s="1" t="s">
        <v>128</v>
      </c>
      <c r="B130" s="10">
        <f>CH!D130+RS!D130</f>
        <v>0.998</v>
      </c>
    </row>
    <row r="131" spans="1:2" ht="15.6" x14ac:dyDescent="0.3">
      <c r="A131" s="1" t="s">
        <v>129</v>
      </c>
      <c r="B131" s="10">
        <f>CH!D131+RS!D131</f>
        <v>1.206</v>
      </c>
    </row>
    <row r="132" spans="1:2" ht="15.6" x14ac:dyDescent="0.3">
      <c r="A132" s="1" t="s">
        <v>130</v>
      </c>
      <c r="B132" s="10">
        <f>CH!D132+RS!D132</f>
        <v>1.3659999999999997</v>
      </c>
    </row>
    <row r="133" spans="1:2" ht="15.6" x14ac:dyDescent="0.3">
      <c r="A133" s="1" t="s">
        <v>131</v>
      </c>
      <c r="B133" s="10">
        <f>CH!D133+RS!D133</f>
        <v>1.4339999999999999</v>
      </c>
    </row>
    <row r="134" spans="1:2" ht="15.6" x14ac:dyDescent="0.3">
      <c r="A134" s="1" t="s">
        <v>132</v>
      </c>
      <c r="B134" s="10">
        <f>CH!D134+RS!D134</f>
        <v>1.603</v>
      </c>
    </row>
    <row r="135" spans="1:2" ht="15.6" x14ac:dyDescent="0.3">
      <c r="A135" s="1" t="s">
        <v>133</v>
      </c>
      <c r="B135" s="10">
        <f>CH!D135+RS!D135</f>
        <v>1.2909999999999999</v>
      </c>
    </row>
    <row r="136" spans="1:2" ht="15.6" x14ac:dyDescent="0.3">
      <c r="A136" s="1" t="s">
        <v>134</v>
      </c>
      <c r="B136" s="10">
        <f>CH!D136+RS!D136</f>
        <v>1.3440000000000001</v>
      </c>
    </row>
    <row r="137" spans="1:2" ht="15.6" x14ac:dyDescent="0.3">
      <c r="A137" s="1" t="s">
        <v>135</v>
      </c>
      <c r="B137" s="10">
        <f>CH!D137+RS!D137</f>
        <v>0.98599999999999999</v>
      </c>
    </row>
    <row r="138" spans="1:2" ht="15.6" x14ac:dyDescent="0.3">
      <c r="A138" s="1" t="s">
        <v>136</v>
      </c>
      <c r="B138" s="10">
        <f>CH!D138+RS!D138</f>
        <v>1.0110000000000001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Transform</vt:lpstr>
      <vt:lpstr>EU</vt:lpstr>
      <vt:lpstr>UK</vt:lpstr>
      <vt:lpstr>CH</vt:lpstr>
      <vt:lpstr>RS</vt:lpstr>
      <vt:lpstr>CH+RS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G. K.</cp:lastModifiedBy>
  <dcterms:created xsi:type="dcterms:W3CDTF">2026-07-22T21:23:04Z</dcterms:created>
  <dcterms:modified xsi:type="dcterms:W3CDTF">2026-07-25T07:52:04Z</dcterms:modified>
</cp:coreProperties>
</file>