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2015-2026" sheetId="1" state="visible" r:id="rId1"/>
    <sheet xmlns:r="http://schemas.openxmlformats.org/officeDocument/2006/relationships" name="Chart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Sources" sheetId="4" state="visible" r:id="rId4"/>
  </sheets>
  <definedNames>
    <definedName name="_xlnm._FilterDatabase" localSheetId="0" hidden="1">'Monthly 2015-2026'!$A$1:$I$138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504D"/>
      <sz val="9"/>
    </font>
    <font>
      <name val="Arial"/>
      <color rgb="00595959"/>
      <sz val="9"/>
    </font>
    <font>
      <name val="Arial"/>
      <b val="1"/>
      <color rgb="001F4E5F"/>
      <sz val="12"/>
    </font>
    <font>
      <name val="Arial"/>
      <b val="1"/>
      <color rgb="00000000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BF3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Norwegian gas outages (Gassco) monthly mcm/d — 2015-21 estimated, 2022-26 REMIT-actual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2015-2026'!D1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2015-2026'!$A$2:$A$138</f>
            </numRef>
          </cat>
          <val>
            <numRef>
              <f>'Monthly 2015-2026'!$D$2:$D$138</f>
            </numRef>
          </val>
        </ser>
        <ser>
          <idx val="1"/>
          <order val="1"/>
          <tx>
            <strRef>
              <f>'Monthly 2015-2026'!E1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2015-2026'!$A$2:$A$138</f>
            </numRef>
          </cat>
          <val>
            <numRef>
              <f>'Monthly 2015-2026'!$E$2:$E$138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Outage (mcm/d)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2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7" customWidth="1" min="5" max="5"/>
    <col width="16" customWidth="1" min="6" max="6"/>
    <col width="12" customWidth="1" min="7" max="7"/>
    <col width="11" customWidth="1" min="8" max="8"/>
    <col width="70" customWidth="1" min="9" max="9"/>
  </cols>
  <sheetData>
    <row r="1">
      <c r="A1" s="1" t="inlineStr">
        <is>
          <t>Month</t>
        </is>
      </c>
      <c r="B1" s="1" t="inlineStr">
        <is>
          <t>NCS gas prod (mcm/d)</t>
        </is>
      </c>
      <c r="C1" s="1" t="inlineStr">
        <is>
          <t>Supply reduction (mcm/d)</t>
        </is>
      </c>
      <c r="D1" s="1" t="inlineStr">
        <is>
          <t>Planned outage est (mcm/d)</t>
        </is>
      </c>
      <c r="E1" s="1" t="inlineStr">
        <is>
          <t>Unplanned outage est (mcm/d)</t>
        </is>
      </c>
      <c r="F1" s="1" t="inlineStr">
        <is>
          <t>Total outage est (mcm/d)</t>
        </is>
      </c>
      <c r="G1" s="1" t="inlineStr">
        <is>
          <t>Basis</t>
        </is>
      </c>
      <c r="H1" s="1" t="inlineStr">
        <is>
          <t>Confidence</t>
        </is>
      </c>
      <c r="I1" s="1" t="inlineStr">
        <is>
          <t>Key events / notes</t>
        </is>
      </c>
    </row>
    <row r="2">
      <c r="A2" s="2" t="inlineStr">
        <is>
          <t>2015-01</t>
        </is>
      </c>
      <c r="B2" s="3" t="n">
        <v>330.9</v>
      </c>
      <c r="C2" s="3" t="n">
        <v>19.7</v>
      </c>
      <c r="D2" s="3" t="n">
        <v>17.6</v>
      </c>
      <c r="E2" s="3" t="n">
        <v>52.8</v>
      </c>
      <c r="F2" s="3" t="n">
        <v>70.40000000000001</v>
      </c>
      <c r="G2" s="2" t="inlineStr">
        <is>
          <t>Estimated</t>
        </is>
      </c>
      <c r="H2" s="4" t="inlineStr">
        <is>
          <t>Low</t>
        </is>
      </c>
      <c r="I2" s="2" t="inlineStr">
        <is>
          <t>Troll A emergency shutdown 13-14 Jan (switchboard smoke); exports fell ~29% for ~2 days [unplanned]</t>
        </is>
      </c>
    </row>
    <row r="3">
      <c r="A3" s="2" t="inlineStr">
        <is>
          <t>2015-02</t>
        </is>
      </c>
      <c r="B3" s="3" t="n">
        <v>358.4</v>
      </c>
      <c r="C3" s="3" t="n">
        <v>0</v>
      </c>
      <c r="D3" s="3" t="n">
        <v>0</v>
      </c>
      <c r="E3" s="3" t="n">
        <v>0</v>
      </c>
      <c r="F3" s="3" t="n">
        <v>0</v>
      </c>
      <c r="G3" s="2" t="inlineStr">
        <is>
          <t>Estimated</t>
        </is>
      </c>
      <c r="H3" s="4" t="inlineStr">
        <is>
          <t>Low</t>
        </is>
      </c>
      <c r="I3" s="2" t="inlineStr"/>
    </row>
    <row r="4">
      <c r="A4" s="2" t="inlineStr">
        <is>
          <t>2015-03</t>
        </is>
      </c>
      <c r="B4" s="3" t="n">
        <v>350.1</v>
      </c>
      <c r="C4" s="3" t="n">
        <v>0.5</v>
      </c>
      <c r="D4" s="3" t="n">
        <v>0.8</v>
      </c>
      <c r="E4" s="3" t="n">
        <v>0.8</v>
      </c>
      <c r="F4" s="3" t="n">
        <v>1.6</v>
      </c>
      <c r="G4" s="2" t="inlineStr">
        <is>
          <t>Estimated</t>
        </is>
      </c>
      <c r="H4" s="4" t="inlineStr">
        <is>
          <t>Low</t>
        </is>
      </c>
      <c r="I4" s="2" t="inlineStr">
        <is>
          <t>Minor unplanned Norwegian field outage (~23 Mar), little price impact</t>
        </is>
      </c>
    </row>
    <row r="5">
      <c r="A5" s="2" t="inlineStr">
        <is>
          <t>2015-04</t>
        </is>
      </c>
      <c r="B5" s="3" t="n">
        <v>260.8</v>
      </c>
      <c r="C5" s="3" t="n">
        <v>89.8</v>
      </c>
      <c r="D5" s="3" t="n">
        <v>265.2</v>
      </c>
      <c r="E5" s="3" t="n">
        <v>56.3</v>
      </c>
      <c r="F5" s="3" t="n">
        <v>321.5</v>
      </c>
      <c r="G5" s="2" t="inlineStr">
        <is>
          <t>Estimated</t>
        </is>
      </c>
      <c r="H5" s="4" t="inlineStr">
        <is>
          <t>Low</t>
        </is>
      </c>
      <c r="I5" s="2" t="inlineStr"/>
    </row>
    <row r="6">
      <c r="A6" s="2" t="inlineStr">
        <is>
          <t>2015-05</t>
        </is>
      </c>
      <c r="B6" s="3" t="n">
        <v>280.1</v>
      </c>
      <c r="C6" s="3" t="n">
        <v>70.5</v>
      </c>
      <c r="D6" s="3" t="n">
        <v>225.4</v>
      </c>
      <c r="E6" s="3" t="n">
        <v>27</v>
      </c>
      <c r="F6" s="3" t="n">
        <v>252.4</v>
      </c>
      <c r="G6" s="2" t="inlineStr">
        <is>
          <t>Estimated</t>
        </is>
      </c>
      <c r="H6" s="4" t="inlineStr">
        <is>
          <t>Low</t>
        </is>
      </c>
      <c r="I6" s="2" t="inlineStr"/>
    </row>
    <row r="7">
      <c r="A7" s="2" t="inlineStr">
        <is>
          <t>2015-06</t>
        </is>
      </c>
      <c r="B7" s="3" t="n">
        <v>275.5</v>
      </c>
      <c r="C7" s="3" t="n">
        <v>75.09999999999999</v>
      </c>
      <c r="D7" s="3" t="n">
        <v>238.5</v>
      </c>
      <c r="E7" s="3" t="n">
        <v>30.3</v>
      </c>
      <c r="F7" s="3" t="n">
        <v>268.8</v>
      </c>
      <c r="G7" s="2" t="inlineStr">
        <is>
          <t>Estimated</t>
        </is>
      </c>
      <c r="H7" s="4" t="inlineStr">
        <is>
          <t>Low</t>
        </is>
      </c>
      <c r="I7" s="2" t="inlineStr"/>
    </row>
    <row r="8">
      <c r="A8" s="2" t="inlineStr">
        <is>
          <t>2015-07</t>
        </is>
      </c>
      <c r="B8" s="3" t="n">
        <v>310.7</v>
      </c>
      <c r="C8" s="3" t="n">
        <v>39.8</v>
      </c>
      <c r="D8" s="3" t="n">
        <v>117.2</v>
      </c>
      <c r="E8" s="3" t="n">
        <v>25.4</v>
      </c>
      <c r="F8" s="3" t="n">
        <v>142.6</v>
      </c>
      <c r="G8" s="2" t="inlineStr">
        <is>
          <t>Estimated</t>
        </is>
      </c>
      <c r="H8" s="4" t="inlineStr">
        <is>
          <t>Low</t>
        </is>
      </c>
      <c r="I8" s="2" t="inlineStr"/>
    </row>
    <row r="9">
      <c r="A9" s="2" t="inlineStr">
        <is>
          <t>2015-08</t>
        </is>
      </c>
      <c r="B9" s="3" t="n">
        <v>310.8</v>
      </c>
      <c r="C9" s="3" t="n">
        <v>39.7</v>
      </c>
      <c r="D9" s="3" t="n">
        <v>133.3</v>
      </c>
      <c r="E9" s="3" t="n">
        <v>9</v>
      </c>
      <c r="F9" s="3" t="n">
        <v>142.3</v>
      </c>
      <c r="G9" s="2" t="inlineStr">
        <is>
          <t>Estimated</t>
        </is>
      </c>
      <c r="H9" s="4" t="inlineStr">
        <is>
          <t>Low</t>
        </is>
      </c>
      <c r="I9" s="2" t="inlineStr"/>
    </row>
    <row r="10">
      <c r="A10" s="2" t="inlineStr">
        <is>
          <t>2015-09</t>
        </is>
      </c>
      <c r="B10" s="3" t="n">
        <v>310</v>
      </c>
      <c r="C10" s="3" t="n">
        <v>40.5</v>
      </c>
      <c r="D10" s="3" t="n">
        <v>138.9</v>
      </c>
      <c r="E10" s="3" t="n">
        <v>6.2</v>
      </c>
      <c r="F10" s="3" t="n">
        <v>145.1</v>
      </c>
      <c r="G10" s="2" t="inlineStr">
        <is>
          <t>Estimated</t>
        </is>
      </c>
      <c r="H10" s="4" t="inlineStr">
        <is>
          <t>Low</t>
        </is>
      </c>
      <c r="I10" s="2" t="inlineStr"/>
    </row>
    <row r="11">
      <c r="A11" s="2" t="inlineStr">
        <is>
          <t>2015-10</t>
        </is>
      </c>
      <c r="B11" s="3" t="n">
        <v>347.5</v>
      </c>
      <c r="C11" s="3" t="n">
        <v>3</v>
      </c>
      <c r="D11" s="3" t="n">
        <v>9.300000000000001</v>
      </c>
      <c r="E11" s="3" t="n">
        <v>1.5</v>
      </c>
      <c r="F11" s="3" t="n">
        <v>10.8</v>
      </c>
      <c r="G11" s="2" t="inlineStr">
        <is>
          <t>Estimated</t>
        </is>
      </c>
      <c r="H11" s="4" t="inlineStr">
        <is>
          <t>Low</t>
        </is>
      </c>
      <c r="I11" s="2" t="inlineStr"/>
    </row>
    <row r="12">
      <c r="A12" s="2" t="inlineStr">
        <is>
          <t>2015-11</t>
        </is>
      </c>
      <c r="B12" s="3" t="n">
        <v>352.9</v>
      </c>
      <c r="C12" s="3" t="n">
        <v>0</v>
      </c>
      <c r="D12" s="3" t="n">
        <v>0</v>
      </c>
      <c r="E12" s="3" t="n">
        <v>0</v>
      </c>
      <c r="F12" s="3" t="n">
        <v>0</v>
      </c>
      <c r="G12" s="2" t="inlineStr">
        <is>
          <t>Estimated</t>
        </is>
      </c>
      <c r="H12" s="4" t="inlineStr">
        <is>
          <t>Low</t>
        </is>
      </c>
      <c r="I12" s="2" t="inlineStr"/>
    </row>
    <row r="13">
      <c r="A13" s="2" t="inlineStr">
        <is>
          <t>2015-12</t>
        </is>
      </c>
      <c r="B13" s="3" t="n">
        <v>360.1</v>
      </c>
      <c r="C13" s="3" t="n">
        <v>0</v>
      </c>
      <c r="D13" s="3" t="n">
        <v>0</v>
      </c>
      <c r="E13" s="3" t="n">
        <v>0</v>
      </c>
      <c r="F13" s="3" t="n">
        <v>0</v>
      </c>
      <c r="G13" s="2" t="inlineStr">
        <is>
          <t>Estimated</t>
        </is>
      </c>
      <c r="H13" s="4" t="inlineStr">
        <is>
          <t>Low</t>
        </is>
      </c>
      <c r="I13" s="2" t="inlineStr"/>
    </row>
    <row r="14">
      <c r="A14" s="2" t="inlineStr">
        <is>
          <t>2016-01</t>
        </is>
      </c>
      <c r="B14" s="3" t="n">
        <v>360.5</v>
      </c>
      <c r="C14" s="3" t="n">
        <v>0</v>
      </c>
      <c r="D14" s="3" t="n">
        <v>0</v>
      </c>
      <c r="E14" s="3" t="n">
        <v>0</v>
      </c>
      <c r="F14" s="3" t="n">
        <v>0</v>
      </c>
      <c r="G14" s="2" t="inlineStr">
        <is>
          <t>Estimated</t>
        </is>
      </c>
      <c r="H14" s="4" t="inlineStr">
        <is>
          <t>Low</t>
        </is>
      </c>
      <c r="I14" s="2" t="inlineStr"/>
    </row>
    <row r="15">
      <c r="A15" s="2" t="inlineStr">
        <is>
          <t>2016-02</t>
        </is>
      </c>
      <c r="B15" s="3" t="n">
        <v>364.1</v>
      </c>
      <c r="C15" s="3" t="n">
        <v>0</v>
      </c>
      <c r="D15" s="3" t="n">
        <v>0</v>
      </c>
      <c r="E15" s="3" t="n">
        <v>0</v>
      </c>
      <c r="F15" s="3" t="n">
        <v>0</v>
      </c>
      <c r="G15" s="2" t="inlineStr">
        <is>
          <t>Estimated</t>
        </is>
      </c>
      <c r="H15" s="4" t="inlineStr">
        <is>
          <t>Low</t>
        </is>
      </c>
      <c r="I15" s="2" t="inlineStr"/>
    </row>
    <row r="16">
      <c r="A16" s="2" t="inlineStr">
        <is>
          <t>2016-03</t>
        </is>
      </c>
      <c r="B16" s="3" t="n">
        <v>360.4</v>
      </c>
      <c r="C16" s="3" t="n">
        <v>0</v>
      </c>
      <c r="D16" s="3" t="n">
        <v>0</v>
      </c>
      <c r="E16" s="3" t="n">
        <v>0</v>
      </c>
      <c r="F16" s="3" t="n">
        <v>0</v>
      </c>
      <c r="G16" s="2" t="inlineStr">
        <is>
          <t>Estimated</t>
        </is>
      </c>
      <c r="H16" s="4" t="inlineStr">
        <is>
          <t>Low</t>
        </is>
      </c>
      <c r="I16" s="2" t="inlineStr"/>
    </row>
    <row r="17">
      <c r="A17" s="2" t="inlineStr">
        <is>
          <t>2016-04</t>
        </is>
      </c>
      <c r="B17" s="3" t="n">
        <v>347.7</v>
      </c>
      <c r="C17" s="3" t="n">
        <v>9.800000000000001</v>
      </c>
      <c r="D17" s="3" t="n">
        <v>29</v>
      </c>
      <c r="E17" s="3" t="n">
        <v>6.1</v>
      </c>
      <c r="F17" s="3" t="n">
        <v>35.1</v>
      </c>
      <c r="G17" s="2" t="inlineStr">
        <is>
          <t>Estimated</t>
        </is>
      </c>
      <c r="H17" s="4" t="inlineStr">
        <is>
          <t>Low</t>
        </is>
      </c>
      <c r="I17" s="2" t="inlineStr"/>
    </row>
    <row r="18">
      <c r="A18" s="2" t="inlineStr">
        <is>
          <t>2016-05</t>
        </is>
      </c>
      <c r="B18" s="3" t="n">
        <v>309.1</v>
      </c>
      <c r="C18" s="3" t="n">
        <v>48.4</v>
      </c>
      <c r="D18" s="3" t="n">
        <v>154.7</v>
      </c>
      <c r="E18" s="3" t="n">
        <v>18.5</v>
      </c>
      <c r="F18" s="3" t="n">
        <v>173.2</v>
      </c>
      <c r="G18" s="2" t="inlineStr">
        <is>
          <t>Estimated</t>
        </is>
      </c>
      <c r="H18" s="4" t="inlineStr">
        <is>
          <t>Low</t>
        </is>
      </c>
      <c r="I18" s="2" t="inlineStr"/>
    </row>
    <row r="19">
      <c r="A19" s="2" t="inlineStr">
        <is>
          <t>2016-06</t>
        </is>
      </c>
      <c r="B19" s="3" t="n">
        <v>273</v>
      </c>
      <c r="C19" s="3" t="n">
        <v>84.5</v>
      </c>
      <c r="D19" s="3" t="n">
        <v>136.1</v>
      </c>
      <c r="E19" s="3" t="n">
        <v>166.4</v>
      </c>
      <c r="F19" s="3" t="n">
        <v>302.5</v>
      </c>
      <c r="G19" s="2" t="inlineStr">
        <is>
          <t>Estimated</t>
        </is>
      </c>
      <c r="H19" s="4" t="inlineStr">
        <is>
          <t>Low</t>
        </is>
      </c>
      <c r="I19" s="2" t="inlineStr">
        <is>
          <t>Unplanned Kvitebjorn/Gullfaks early-mid June (minor, price-neutral)</t>
        </is>
      </c>
    </row>
    <row r="20">
      <c r="A20" s="2" t="inlineStr">
        <is>
          <t>2016-07</t>
        </is>
      </c>
      <c r="B20" s="3" t="n">
        <v>290.4</v>
      </c>
      <c r="C20" s="3" t="n">
        <v>67.09999999999999</v>
      </c>
      <c r="D20" s="3" t="n">
        <v>197.4</v>
      </c>
      <c r="E20" s="3" t="n">
        <v>42.7</v>
      </c>
      <c r="F20" s="3" t="n">
        <v>240.1</v>
      </c>
      <c r="G20" s="2" t="inlineStr">
        <is>
          <t>Estimated</t>
        </is>
      </c>
      <c r="H20" s="4" t="inlineStr">
        <is>
          <t>Low</t>
        </is>
      </c>
      <c r="I20" s="2" t="inlineStr"/>
    </row>
    <row r="21">
      <c r="A21" s="2" t="inlineStr">
        <is>
          <t>2016-08</t>
        </is>
      </c>
      <c r="B21" s="3" t="n">
        <v>259.1</v>
      </c>
      <c r="C21" s="3" t="n">
        <v>98.3</v>
      </c>
      <c r="D21" s="3" t="n">
        <v>329.7</v>
      </c>
      <c r="E21" s="3" t="n">
        <v>22.4</v>
      </c>
      <c r="F21" s="3" t="n">
        <v>352.1</v>
      </c>
      <c r="G21" s="2" t="inlineStr">
        <is>
          <t>Estimated</t>
        </is>
      </c>
      <c r="H21" s="4" t="inlineStr">
        <is>
          <t>Low</t>
        </is>
      </c>
      <c r="I21" s="2" t="inlineStr"/>
    </row>
    <row r="22">
      <c r="A22" s="2" t="inlineStr">
        <is>
          <t>2016-09</t>
        </is>
      </c>
      <c r="B22" s="3" t="n">
        <v>211.7</v>
      </c>
      <c r="C22" s="3" t="n">
        <v>145.8</v>
      </c>
      <c r="D22" s="3" t="n">
        <v>499.8</v>
      </c>
      <c r="E22" s="3" t="n">
        <v>22.2</v>
      </c>
      <c r="F22" s="3" t="n">
        <v>522</v>
      </c>
      <c r="G22" s="2" t="inlineStr">
        <is>
          <t>Estimated</t>
        </is>
      </c>
      <c r="H22" s="4" t="inlineStr">
        <is>
          <t>Low</t>
        </is>
      </c>
      <c r="I22" s="2" t="inlineStr">
        <is>
          <t>Deep production trough (6.35 bn Sm3) = very heavy Sept maintenance (heavier than 2017)</t>
        </is>
      </c>
    </row>
    <row r="23">
      <c r="A23" s="2" t="inlineStr">
        <is>
          <t>2016-10</t>
        </is>
      </c>
      <c r="B23" s="3" t="n">
        <v>347.3</v>
      </c>
      <c r="C23" s="3" t="n">
        <v>10.2</v>
      </c>
      <c r="D23" s="3" t="n">
        <v>31.4</v>
      </c>
      <c r="E23" s="3" t="n">
        <v>5.1</v>
      </c>
      <c r="F23" s="3" t="n">
        <v>36.5</v>
      </c>
      <c r="G23" s="2" t="inlineStr">
        <is>
          <t>Estimated</t>
        </is>
      </c>
      <c r="H23" s="4" t="inlineStr">
        <is>
          <t>Low</t>
        </is>
      </c>
      <c r="I23" s="2" t="inlineStr"/>
    </row>
    <row r="24">
      <c r="A24" s="2" t="inlineStr">
        <is>
          <t>2016-11</t>
        </is>
      </c>
      <c r="B24" s="3" t="n">
        <v>357.8</v>
      </c>
      <c r="C24" s="3" t="n">
        <v>0</v>
      </c>
      <c r="D24" s="3" t="n">
        <v>0</v>
      </c>
      <c r="E24" s="3" t="n">
        <v>0</v>
      </c>
      <c r="F24" s="3" t="n">
        <v>0</v>
      </c>
      <c r="G24" s="2" t="inlineStr">
        <is>
          <t>Estimated</t>
        </is>
      </c>
      <c r="H24" s="4" t="inlineStr">
        <is>
          <t>Low</t>
        </is>
      </c>
      <c r="I24" s="2" t="inlineStr"/>
    </row>
    <row r="25">
      <c r="A25" s="2" t="inlineStr">
        <is>
          <t>2016-12</t>
        </is>
      </c>
      <c r="B25" s="3" t="n">
        <v>347.5</v>
      </c>
      <c r="C25" s="3" t="n">
        <v>10</v>
      </c>
      <c r="D25" s="3" t="n">
        <v>26.4</v>
      </c>
      <c r="E25" s="3" t="n">
        <v>9.4</v>
      </c>
      <c r="F25" s="3" t="n">
        <v>35.8</v>
      </c>
      <c r="G25" s="2" t="inlineStr">
        <is>
          <t>Estimated</t>
        </is>
      </c>
      <c r="H25" s="4" t="inlineStr">
        <is>
          <t>Low</t>
        </is>
      </c>
      <c r="I25" s="2" t="inlineStr"/>
    </row>
    <row r="26">
      <c r="A26" s="2" t="inlineStr">
        <is>
          <t>2017-01</t>
        </is>
      </c>
      <c r="B26" s="3" t="n">
        <v>372.8</v>
      </c>
      <c r="C26" s="3" t="n">
        <v>0</v>
      </c>
      <c r="D26" s="3" t="n">
        <v>0</v>
      </c>
      <c r="E26" s="3" t="n">
        <v>0</v>
      </c>
      <c r="F26" s="3" t="n">
        <v>0</v>
      </c>
      <c r="G26" s="2" t="inlineStr">
        <is>
          <t>Estimated</t>
        </is>
      </c>
      <c r="H26" s="2" t="inlineStr">
        <is>
          <t>Medium</t>
        </is>
      </c>
      <c r="I26" s="2" t="inlineStr"/>
    </row>
    <row r="27">
      <c r="A27" s="2" t="inlineStr">
        <is>
          <t>2017-02</t>
        </is>
      </c>
      <c r="B27" s="3" t="n">
        <v>362.3</v>
      </c>
      <c r="C27" s="3" t="n">
        <v>2.8</v>
      </c>
      <c r="D27" s="3" t="n">
        <v>6.8</v>
      </c>
      <c r="E27" s="3" t="n">
        <v>3.1</v>
      </c>
      <c r="F27" s="3" t="n">
        <v>9.9</v>
      </c>
      <c r="G27" s="2" t="inlineStr">
        <is>
          <t>Estimated</t>
        </is>
      </c>
      <c r="H27" s="2" t="inlineStr">
        <is>
          <t>Medium</t>
        </is>
      </c>
      <c r="I27" s="2" t="inlineStr"/>
    </row>
    <row r="28">
      <c r="A28" s="2" t="inlineStr">
        <is>
          <t>2017-03</t>
        </is>
      </c>
      <c r="B28" s="3" t="n">
        <v>358.5</v>
      </c>
      <c r="C28" s="3" t="n">
        <v>6.5</v>
      </c>
      <c r="D28" s="3" t="n">
        <v>19.9</v>
      </c>
      <c r="E28" s="3" t="n">
        <v>3.5</v>
      </c>
      <c r="F28" s="3" t="n">
        <v>23.4</v>
      </c>
      <c r="G28" s="2" t="inlineStr">
        <is>
          <t>Estimated</t>
        </is>
      </c>
      <c r="H28" s="2" t="inlineStr">
        <is>
          <t>Medium</t>
        </is>
      </c>
      <c r="I28" s="2" t="inlineStr"/>
    </row>
    <row r="29">
      <c r="A29" s="2" t="inlineStr">
        <is>
          <t>2017-04</t>
        </is>
      </c>
      <c r="B29" s="3" t="n">
        <v>353.3</v>
      </c>
      <c r="C29" s="3" t="n">
        <v>11.8</v>
      </c>
      <c r="D29" s="3" t="n">
        <v>34.8</v>
      </c>
      <c r="E29" s="3" t="n">
        <v>7.4</v>
      </c>
      <c r="F29" s="3" t="n">
        <v>42.2</v>
      </c>
      <c r="G29" s="2" t="inlineStr">
        <is>
          <t>Estimated</t>
        </is>
      </c>
      <c r="H29" s="2" t="inlineStr">
        <is>
          <t>Medium</t>
        </is>
      </c>
      <c r="I29" s="2" t="inlineStr"/>
    </row>
    <row r="30">
      <c r="A30" s="2" t="inlineStr">
        <is>
          <t>2017-05</t>
        </is>
      </c>
      <c r="B30" s="3" t="n">
        <v>295.1</v>
      </c>
      <c r="C30" s="3" t="n">
        <v>70</v>
      </c>
      <c r="D30" s="3" t="n">
        <v>223.7</v>
      </c>
      <c r="E30" s="3" t="n">
        <v>26.8</v>
      </c>
      <c r="F30" s="3" t="n">
        <v>250.5</v>
      </c>
      <c r="G30" s="2" t="inlineStr">
        <is>
          <t>Estimated</t>
        </is>
      </c>
      <c r="H30" s="2" t="inlineStr">
        <is>
          <t>Medium</t>
        </is>
      </c>
      <c r="I30" s="2" t="inlineStr">
        <is>
          <t>Kollsnes planned ~-38.5 mcm/d (full shut ~15 May); Dornum/Emden terminal works</t>
        </is>
      </c>
    </row>
    <row r="31">
      <c r="A31" s="2" t="inlineStr">
        <is>
          <t>2017-06</t>
        </is>
      </c>
      <c r="B31" s="3" t="n">
        <v>288.2</v>
      </c>
      <c r="C31" s="3" t="n">
        <v>76.90000000000001</v>
      </c>
      <c r="D31" s="3" t="n">
        <v>244.1</v>
      </c>
      <c r="E31" s="3" t="n">
        <v>31.1</v>
      </c>
      <c r="F31" s="3" t="n">
        <v>275.2</v>
      </c>
      <c r="G31" s="2" t="inlineStr">
        <is>
          <t>Estimated</t>
        </is>
      </c>
      <c r="H31" s="2" t="inlineStr">
        <is>
          <t>Medium</t>
        </is>
      </c>
      <c r="I31" s="2" t="inlineStr"/>
    </row>
    <row r="32">
      <c r="A32" s="2" t="inlineStr">
        <is>
          <t>2017-07</t>
        </is>
      </c>
      <c r="B32" s="3" t="n">
        <v>341.5</v>
      </c>
      <c r="C32" s="3" t="n">
        <v>23.6</v>
      </c>
      <c r="D32" s="3" t="n">
        <v>69.59999999999999</v>
      </c>
      <c r="E32" s="3" t="n">
        <v>15</v>
      </c>
      <c r="F32" s="3" t="n">
        <v>84.59999999999999</v>
      </c>
      <c r="G32" s="2" t="inlineStr">
        <is>
          <t>Estimated</t>
        </is>
      </c>
      <c r="H32" s="2" t="inlineStr">
        <is>
          <t>Medium</t>
        </is>
      </c>
      <c r="I32" s="2" t="inlineStr"/>
    </row>
    <row r="33">
      <c r="A33" s="2" t="inlineStr">
        <is>
          <t>2017-08</t>
        </is>
      </c>
      <c r="B33" s="3" t="n">
        <v>336.1</v>
      </c>
      <c r="C33" s="3" t="n">
        <v>29</v>
      </c>
      <c r="D33" s="3" t="n">
        <v>97.2</v>
      </c>
      <c r="E33" s="3" t="n">
        <v>6.6</v>
      </c>
      <c r="F33" s="3" t="n">
        <v>103.8</v>
      </c>
      <c r="G33" s="2" t="inlineStr">
        <is>
          <t>Estimated</t>
        </is>
      </c>
      <c r="H33" s="2" t="inlineStr">
        <is>
          <t>Medium</t>
        </is>
      </c>
      <c r="I33" s="2" t="inlineStr"/>
    </row>
    <row r="34">
      <c r="A34" s="2" t="inlineStr">
        <is>
          <t>2017-09</t>
        </is>
      </c>
      <c r="B34" s="3" t="n">
        <v>316.5</v>
      </c>
      <c r="C34" s="3" t="n">
        <v>48.6</v>
      </c>
      <c r="D34" s="3" t="n">
        <v>166.7</v>
      </c>
      <c r="E34" s="3" t="n">
        <v>7.4</v>
      </c>
      <c r="F34" s="3" t="n">
        <v>174.1</v>
      </c>
      <c r="G34" s="2" t="inlineStr">
        <is>
          <t>Estimated</t>
        </is>
      </c>
      <c r="H34" s="2" t="inlineStr">
        <is>
          <t>Medium</t>
        </is>
      </c>
      <c r="I34" s="2" t="inlineStr">
        <is>
          <t>Kollsnes planned ~-38.5 mcm/d window; St Fergus long low-level cut</t>
        </is>
      </c>
    </row>
    <row r="35">
      <c r="A35" s="2" t="inlineStr">
        <is>
          <t>2017-10</t>
        </is>
      </c>
      <c r="B35" s="3" t="n">
        <v>350</v>
      </c>
      <c r="C35" s="3" t="n">
        <v>15.1</v>
      </c>
      <c r="D35" s="3" t="n">
        <v>46.3</v>
      </c>
      <c r="E35" s="3" t="n">
        <v>7.6</v>
      </c>
      <c r="F35" s="3" t="n">
        <v>53.9</v>
      </c>
      <c r="G35" s="2" t="inlineStr">
        <is>
          <t>Estimated</t>
        </is>
      </c>
      <c r="H35" s="2" t="inlineStr">
        <is>
          <t>Medium</t>
        </is>
      </c>
      <c r="I35" s="2" t="inlineStr"/>
    </row>
    <row r="36">
      <c r="A36" s="2" t="inlineStr">
        <is>
          <t>2017-11</t>
        </is>
      </c>
      <c r="B36" s="3" t="n">
        <v>364.8</v>
      </c>
      <c r="C36" s="3" t="n">
        <v>0.3</v>
      </c>
      <c r="D36" s="3" t="n">
        <v>0.9</v>
      </c>
      <c r="E36" s="3" t="n">
        <v>0.2</v>
      </c>
      <c r="F36" s="3" t="n">
        <v>1.1</v>
      </c>
      <c r="G36" s="2" t="inlineStr">
        <is>
          <t>Estimated</t>
        </is>
      </c>
      <c r="H36" s="2" t="inlineStr">
        <is>
          <t>Medium</t>
        </is>
      </c>
      <c r="I36" s="2" t="inlineStr"/>
    </row>
    <row r="37">
      <c r="A37" s="2" t="inlineStr">
        <is>
          <t>2017-12</t>
        </is>
      </c>
      <c r="B37" s="3" t="n">
        <v>360.4</v>
      </c>
      <c r="C37" s="3" t="n">
        <v>4.7</v>
      </c>
      <c r="D37" s="3" t="n">
        <v>12.3</v>
      </c>
      <c r="E37" s="3" t="n">
        <v>4.4</v>
      </c>
      <c r="F37" s="3" t="n">
        <v>16.7</v>
      </c>
      <c r="G37" s="2" t="inlineStr">
        <is>
          <t>Estimated</t>
        </is>
      </c>
      <c r="H37" s="2" t="inlineStr">
        <is>
          <t>Medium</t>
        </is>
      </c>
      <c r="I37" s="2" t="inlineStr"/>
    </row>
    <row r="38">
      <c r="A38" s="2" t="inlineStr">
        <is>
          <t>2018-01</t>
        </is>
      </c>
      <c r="B38" s="3" t="n">
        <v>364.2</v>
      </c>
      <c r="C38" s="3" t="n">
        <v>0</v>
      </c>
      <c r="D38" s="3" t="n">
        <v>0</v>
      </c>
      <c r="E38" s="3" t="n">
        <v>0</v>
      </c>
      <c r="F38" s="3" t="n">
        <v>0</v>
      </c>
      <c r="G38" s="2" t="inlineStr">
        <is>
          <t>Estimated</t>
        </is>
      </c>
      <c r="H38" s="2" t="inlineStr">
        <is>
          <t>Medium</t>
        </is>
      </c>
      <c r="I38" s="2" t="inlineStr"/>
    </row>
    <row r="39">
      <c r="A39" s="2" t="inlineStr">
        <is>
          <t>2018-02</t>
        </is>
      </c>
      <c r="B39" s="3" t="n">
        <v>358.4</v>
      </c>
      <c r="C39" s="3" t="n">
        <v>0</v>
      </c>
      <c r="D39" s="3" t="n">
        <v>0</v>
      </c>
      <c r="E39" s="3" t="n">
        <v>0</v>
      </c>
      <c r="F39" s="3" t="n">
        <v>0</v>
      </c>
      <c r="G39" s="2" t="inlineStr">
        <is>
          <t>Estimated</t>
        </is>
      </c>
      <c r="H39" s="2" t="inlineStr">
        <is>
          <t>Medium</t>
        </is>
      </c>
      <c r="I39" s="2" t="inlineStr"/>
    </row>
    <row r="40">
      <c r="A40" s="2" t="inlineStr">
        <is>
          <t>2018-03</t>
        </is>
      </c>
      <c r="B40" s="3" t="n">
        <v>349.7</v>
      </c>
      <c r="C40" s="3" t="n">
        <v>3</v>
      </c>
      <c r="D40" s="3" t="n">
        <v>9.199999999999999</v>
      </c>
      <c r="E40" s="3" t="n">
        <v>1.6</v>
      </c>
      <c r="F40" s="3" t="n">
        <v>10.8</v>
      </c>
      <c r="G40" s="2" t="inlineStr">
        <is>
          <t>Estimated</t>
        </is>
      </c>
      <c r="H40" s="2" t="inlineStr">
        <is>
          <t>Medium</t>
        </is>
      </c>
      <c r="I40" s="2" t="inlineStr"/>
    </row>
    <row r="41">
      <c r="A41" s="2" t="inlineStr">
        <is>
          <t>2018-04</t>
        </is>
      </c>
      <c r="B41" s="3" t="n">
        <v>335.4</v>
      </c>
      <c r="C41" s="3" t="n">
        <v>17.4</v>
      </c>
      <c r="D41" s="3" t="n">
        <v>28</v>
      </c>
      <c r="E41" s="3" t="n">
        <v>34.2</v>
      </c>
      <c r="F41" s="3" t="n">
        <v>62.2</v>
      </c>
      <c r="G41" s="2" t="inlineStr">
        <is>
          <t>Estimated</t>
        </is>
      </c>
      <c r="H41" s="2" t="inlineStr">
        <is>
          <t>Medium</t>
        </is>
      </c>
      <c r="I41" s="2" t="inlineStr"/>
    </row>
    <row r="42">
      <c r="A42" s="2" t="inlineStr">
        <is>
          <t>2018-05</t>
        </is>
      </c>
      <c r="B42" s="3" t="n">
        <v>305.9</v>
      </c>
      <c r="C42" s="3" t="n">
        <v>46.9</v>
      </c>
      <c r="D42" s="3" t="n">
        <v>149.8</v>
      </c>
      <c r="E42" s="3" t="n">
        <v>18</v>
      </c>
      <c r="F42" s="3" t="n">
        <v>167.8</v>
      </c>
      <c r="G42" s="2" t="inlineStr">
        <is>
          <t>Estimated</t>
        </is>
      </c>
      <c r="H42" s="2" t="inlineStr">
        <is>
          <t>Medium</t>
        </is>
      </c>
      <c r="I42" s="2" t="inlineStr"/>
    </row>
    <row r="43">
      <c r="A43" s="2" t="inlineStr">
        <is>
          <t>2018-06</t>
        </is>
      </c>
      <c r="B43" s="3" t="n">
        <v>307</v>
      </c>
      <c r="C43" s="3" t="n">
        <v>45.7</v>
      </c>
      <c r="D43" s="3" t="n">
        <v>145.1</v>
      </c>
      <c r="E43" s="3" t="n">
        <v>18.5</v>
      </c>
      <c r="F43" s="3" t="n">
        <v>163.6</v>
      </c>
      <c r="G43" s="2" t="inlineStr">
        <is>
          <t>Estimated</t>
        </is>
      </c>
      <c r="H43" s="2" t="inlineStr">
        <is>
          <t>Medium</t>
        </is>
      </c>
      <c r="I43" s="2" t="inlineStr"/>
    </row>
    <row r="44">
      <c r="A44" s="2" t="inlineStr">
        <is>
          <t>2018-07</t>
        </is>
      </c>
      <c r="B44" s="3" t="n">
        <v>340.8</v>
      </c>
      <c r="C44" s="3" t="n">
        <v>11.9</v>
      </c>
      <c r="D44" s="3" t="n">
        <v>25.6</v>
      </c>
      <c r="E44" s="3" t="n">
        <v>17.1</v>
      </c>
      <c r="F44" s="3" t="n">
        <v>42.7</v>
      </c>
      <c r="G44" s="2" t="inlineStr">
        <is>
          <t>Estimated</t>
        </is>
      </c>
      <c r="H44" s="2" t="inlineStr">
        <is>
          <t>Medium</t>
        </is>
      </c>
      <c r="I44" s="2" t="inlineStr"/>
    </row>
    <row r="45">
      <c r="A45" s="2" t="inlineStr">
        <is>
          <t>2018-08</t>
        </is>
      </c>
      <c r="B45" s="3" t="n">
        <v>328.3</v>
      </c>
      <c r="C45" s="3" t="n">
        <v>24.4</v>
      </c>
      <c r="D45" s="3" t="n">
        <v>61.2</v>
      </c>
      <c r="E45" s="3" t="n">
        <v>26.2</v>
      </c>
      <c r="F45" s="3" t="n">
        <v>87.40000000000001</v>
      </c>
      <c r="G45" s="2" t="inlineStr">
        <is>
          <t>Estimated</t>
        </is>
      </c>
      <c r="H45" s="2" t="inlineStr">
        <is>
          <t>Medium</t>
        </is>
      </c>
      <c r="I45" s="2" t="inlineStr">
        <is>
          <t>Asgard unplanned ~9.9 mcm/d; start of heavy H2-2018 unplanned wave</t>
        </is>
      </c>
    </row>
    <row r="46">
      <c r="A46" s="2" t="inlineStr">
        <is>
          <t>2018-09</t>
        </is>
      </c>
      <c r="B46" s="3" t="n">
        <v>300.7</v>
      </c>
      <c r="C46" s="3" t="n">
        <v>52</v>
      </c>
      <c r="D46" s="3" t="n">
        <v>130.3</v>
      </c>
      <c r="E46" s="3" t="n">
        <v>55.9</v>
      </c>
      <c r="F46" s="3" t="n">
        <v>186.2</v>
      </c>
      <c r="G46" s="2" t="inlineStr">
        <is>
          <t>Estimated</t>
        </is>
      </c>
      <c r="H46" s="2" t="inlineStr">
        <is>
          <t>Medium</t>
        </is>
      </c>
      <c r="I46" s="2" t="inlineStr"/>
    </row>
    <row r="47">
      <c r="A47" s="2" t="inlineStr">
        <is>
          <t>2018-10</t>
        </is>
      </c>
      <c r="B47" s="3" t="n">
        <v>340.7</v>
      </c>
      <c r="C47" s="3" t="n">
        <v>12</v>
      </c>
      <c r="D47" s="3" t="n">
        <v>19.3</v>
      </c>
      <c r="E47" s="3" t="n">
        <v>23.6</v>
      </c>
      <c r="F47" s="3" t="n">
        <v>42.9</v>
      </c>
      <c r="G47" s="2" t="inlineStr">
        <is>
          <t>Estimated</t>
        </is>
      </c>
      <c r="H47" s="2" t="inlineStr">
        <is>
          <t>Medium</t>
        </is>
      </c>
      <c r="I47" s="2" t="inlineStr">
        <is>
          <t>Unplanned pipeline works + Heimdal/Nyhamna/Kollsnes outages cut Oct flows</t>
        </is>
      </c>
    </row>
    <row r="48">
      <c r="A48" s="2" t="inlineStr">
        <is>
          <t>2018-11</t>
        </is>
      </c>
      <c r="B48" s="3" t="n">
        <v>341.3</v>
      </c>
      <c r="C48" s="3" t="n">
        <v>11.4</v>
      </c>
      <c r="D48" s="3" t="n">
        <v>14.3</v>
      </c>
      <c r="E48" s="3" t="n">
        <v>26.5</v>
      </c>
      <c r="F48" s="3" t="n">
        <v>40.8</v>
      </c>
      <c r="G48" s="2" t="inlineStr">
        <is>
          <t>Estimated</t>
        </is>
      </c>
      <c r="H48" s="2" t="inlineStr">
        <is>
          <t>Medium</t>
        </is>
      </c>
      <c r="I48" s="2" t="inlineStr">
        <is>
          <t>Peak unplanned: Kollsnes failure ~12 mcm (12 Nov), Troll outage (23 Nov)</t>
        </is>
      </c>
    </row>
    <row r="49">
      <c r="A49" s="2" t="inlineStr">
        <is>
          <t>2018-12</t>
        </is>
      </c>
      <c r="B49" s="3" t="n">
        <v>346.9</v>
      </c>
      <c r="C49" s="3" t="n">
        <v>5.8</v>
      </c>
      <c r="D49" s="3" t="n">
        <v>8.300000000000001</v>
      </c>
      <c r="E49" s="3" t="n">
        <v>12.5</v>
      </c>
      <c r="F49" s="3" t="n">
        <v>20.8</v>
      </c>
      <c r="G49" s="2" t="inlineStr">
        <is>
          <t>Estimated</t>
        </is>
      </c>
      <c r="H49" s="2" t="inlineStr">
        <is>
          <t>Medium</t>
        </is>
      </c>
      <c r="I49" s="2" t="inlineStr">
        <is>
          <t>Nyhamna unplanned (17 Dec); Kollsnes outage ran into Jan 2019</t>
        </is>
      </c>
    </row>
    <row r="50">
      <c r="A50" s="2" t="inlineStr">
        <is>
          <t>2019-01</t>
        </is>
      </c>
      <c r="B50" s="3" t="n">
        <v>359.7</v>
      </c>
      <c r="C50" s="3" t="n">
        <v>0</v>
      </c>
      <c r="D50" s="3" t="n">
        <v>0</v>
      </c>
      <c r="E50" s="3" t="n">
        <v>0</v>
      </c>
      <c r="F50" s="3" t="n">
        <v>0</v>
      </c>
      <c r="G50" s="2" t="inlineStr">
        <is>
          <t>Estimated</t>
        </is>
      </c>
      <c r="H50" s="2" t="inlineStr">
        <is>
          <t>Medium</t>
        </is>
      </c>
      <c r="I50" s="2" t="inlineStr"/>
    </row>
    <row r="51">
      <c r="A51" s="2" t="inlineStr">
        <is>
          <t>2019-02</t>
        </is>
      </c>
      <c r="B51" s="3" t="n">
        <v>361.5</v>
      </c>
      <c r="C51" s="3" t="n">
        <v>0</v>
      </c>
      <c r="D51" s="3" t="n">
        <v>0</v>
      </c>
      <c r="E51" s="3" t="n">
        <v>0</v>
      </c>
      <c r="F51" s="3" t="n">
        <v>0</v>
      </c>
      <c r="G51" s="2" t="inlineStr">
        <is>
          <t>Estimated</t>
        </is>
      </c>
      <c r="H51" s="2" t="inlineStr">
        <is>
          <t>Medium</t>
        </is>
      </c>
      <c r="I51" s="2" t="inlineStr"/>
    </row>
    <row r="52">
      <c r="A52" s="2" t="inlineStr">
        <is>
          <t>2019-03</t>
        </is>
      </c>
      <c r="B52" s="3" t="n">
        <v>351.6</v>
      </c>
      <c r="C52" s="3" t="n">
        <v>0</v>
      </c>
      <c r="D52" s="3" t="n">
        <v>0</v>
      </c>
      <c r="E52" s="3" t="n">
        <v>0</v>
      </c>
      <c r="F52" s="3" t="n">
        <v>0</v>
      </c>
      <c r="G52" s="2" t="inlineStr">
        <is>
          <t>Estimated</t>
        </is>
      </c>
      <c r="H52" s="2" t="inlineStr">
        <is>
          <t>Medium</t>
        </is>
      </c>
      <c r="I52" s="2" t="inlineStr"/>
    </row>
    <row r="53">
      <c r="A53" s="2" t="inlineStr">
        <is>
          <t>2019-04</t>
        </is>
      </c>
      <c r="B53" s="3" t="n">
        <v>336.6</v>
      </c>
      <c r="C53" s="3" t="n">
        <v>14.2</v>
      </c>
      <c r="D53" s="3" t="n">
        <v>41.9</v>
      </c>
      <c r="E53" s="3" t="n">
        <v>8.9</v>
      </c>
      <c r="F53" s="3" t="n">
        <v>50.8</v>
      </c>
      <c r="G53" s="2" t="inlineStr">
        <is>
          <t>Estimated</t>
        </is>
      </c>
      <c r="H53" s="2" t="inlineStr">
        <is>
          <t>Medium</t>
        </is>
      </c>
      <c r="I53" s="2" t="inlineStr"/>
    </row>
    <row r="54">
      <c r="A54" s="2" t="inlineStr">
        <is>
          <t>2019-05</t>
        </is>
      </c>
      <c r="B54" s="3" t="n">
        <v>314.5</v>
      </c>
      <c r="C54" s="3" t="n">
        <v>36.3</v>
      </c>
      <c r="D54" s="3" t="n">
        <v>116.2</v>
      </c>
      <c r="E54" s="3" t="n">
        <v>13.9</v>
      </c>
      <c r="F54" s="3" t="n">
        <v>130.1</v>
      </c>
      <c r="G54" s="2" t="inlineStr">
        <is>
          <t>Estimated</t>
        </is>
      </c>
      <c r="H54" s="2" t="inlineStr">
        <is>
          <t>Medium</t>
        </is>
      </c>
      <c r="I54" s="2" t="inlineStr"/>
    </row>
    <row r="55">
      <c r="A55" s="2" t="inlineStr">
        <is>
          <t>2019-06</t>
        </is>
      </c>
      <c r="B55" s="3" t="n">
        <v>311.3</v>
      </c>
      <c r="C55" s="3" t="n">
        <v>39.5</v>
      </c>
      <c r="D55" s="3" t="n">
        <v>125.5</v>
      </c>
      <c r="E55" s="3" t="n">
        <v>16</v>
      </c>
      <c r="F55" s="3" t="n">
        <v>141.5</v>
      </c>
      <c r="G55" s="2" t="inlineStr">
        <is>
          <t>Estimated</t>
        </is>
      </c>
      <c r="H55" s="2" t="inlineStr">
        <is>
          <t>Medium</t>
        </is>
      </c>
      <c r="I55" s="2" t="inlineStr"/>
    </row>
    <row r="56">
      <c r="A56" s="2" t="inlineStr">
        <is>
          <t>2019-07</t>
        </is>
      </c>
      <c r="B56" s="3" t="n">
        <v>309.1</v>
      </c>
      <c r="C56" s="3" t="n">
        <v>41.7</v>
      </c>
      <c r="D56" s="3" t="n">
        <v>122.8</v>
      </c>
      <c r="E56" s="3" t="n">
        <v>26.6</v>
      </c>
      <c r="F56" s="3" t="n">
        <v>149.4</v>
      </c>
      <c r="G56" s="2" t="inlineStr">
        <is>
          <t>Estimated</t>
        </is>
      </c>
      <c r="H56" s="2" t="inlineStr">
        <is>
          <t>Medium</t>
        </is>
      </c>
      <c r="I56" s="2" t="inlineStr"/>
    </row>
    <row r="57">
      <c r="A57" s="2" t="inlineStr">
        <is>
          <t>2019-08</t>
        </is>
      </c>
      <c r="B57" s="3" t="n">
        <v>264.1</v>
      </c>
      <c r="C57" s="3" t="n">
        <v>86.7</v>
      </c>
      <c r="D57" s="3" t="n">
        <v>290.8</v>
      </c>
      <c r="E57" s="3" t="n">
        <v>19.7</v>
      </c>
      <c r="F57" s="3" t="n">
        <v>310.5</v>
      </c>
      <c r="G57" s="2" t="inlineStr">
        <is>
          <t>Estimated</t>
        </is>
      </c>
      <c r="H57" s="2" t="inlineStr">
        <is>
          <t>Medium</t>
        </is>
      </c>
      <c r="I57" s="2" t="inlineStr"/>
    </row>
    <row r="58">
      <c r="A58" s="2" t="inlineStr">
        <is>
          <t>2019-09</t>
        </is>
      </c>
      <c r="B58" s="3" t="n">
        <v>197.6</v>
      </c>
      <c r="C58" s="3" t="n">
        <v>153.2</v>
      </c>
      <c r="D58" s="3" t="n">
        <v>493.8</v>
      </c>
      <c r="E58" s="3" t="n">
        <v>54.9</v>
      </c>
      <c r="F58" s="3" t="n">
        <v>548.7</v>
      </c>
      <c r="G58" s="2" t="inlineStr">
        <is>
          <t>Estimated</t>
        </is>
      </c>
      <c r="H58" s="2" t="inlineStr">
        <is>
          <t>Medium</t>
        </is>
      </c>
      <c r="I58" s="2" t="inlineStr">
        <is>
          <t>Exports 4.59 bcm = ~15-yr low; huge planned stack + commercial turndown; Gullfaks/Asgard also unplanned</t>
        </is>
      </c>
    </row>
    <row r="59">
      <c r="A59" s="2" t="inlineStr">
        <is>
          <t>2019-10</t>
        </is>
      </c>
      <c r="B59" s="3" t="n">
        <v>300.1</v>
      </c>
      <c r="C59" s="3" t="n">
        <v>50.7</v>
      </c>
      <c r="D59" s="3" t="n">
        <v>156</v>
      </c>
      <c r="E59" s="3" t="n">
        <v>25.4</v>
      </c>
      <c r="F59" s="3" t="n">
        <v>181.4</v>
      </c>
      <c r="G59" s="2" t="inlineStr">
        <is>
          <t>Estimated</t>
        </is>
      </c>
      <c r="H59" s="2" t="inlineStr">
        <is>
          <t>Medium</t>
        </is>
      </c>
      <c r="I59" s="2" t="inlineStr"/>
    </row>
    <row r="60">
      <c r="A60" s="2" t="inlineStr">
        <is>
          <t>2019-11</t>
        </is>
      </c>
      <c r="B60" s="3" t="n">
        <v>334.8</v>
      </c>
      <c r="C60" s="3" t="n">
        <v>16</v>
      </c>
      <c r="D60" s="3" t="n">
        <v>44.7</v>
      </c>
      <c r="E60" s="3" t="n">
        <v>12.6</v>
      </c>
      <c r="F60" s="3" t="n">
        <v>57.3</v>
      </c>
      <c r="G60" s="2" t="inlineStr">
        <is>
          <t>Estimated</t>
        </is>
      </c>
      <c r="H60" s="2" t="inlineStr">
        <is>
          <t>Medium</t>
        </is>
      </c>
      <c r="I60" s="2" t="inlineStr"/>
    </row>
    <row r="61">
      <c r="A61" s="2" t="inlineStr">
        <is>
          <t>2019-12</t>
        </is>
      </c>
      <c r="B61" s="3" t="n">
        <v>347.1</v>
      </c>
      <c r="C61" s="3" t="n">
        <v>3.7</v>
      </c>
      <c r="D61" s="3" t="n">
        <v>9.699999999999999</v>
      </c>
      <c r="E61" s="3" t="n">
        <v>3.4</v>
      </c>
      <c r="F61" s="3" t="n">
        <v>13.1</v>
      </c>
      <c r="G61" s="2" t="inlineStr">
        <is>
          <t>Estimated</t>
        </is>
      </c>
      <c r="H61" s="2" t="inlineStr">
        <is>
          <t>Medium</t>
        </is>
      </c>
      <c r="I61" s="2" t="inlineStr"/>
    </row>
    <row r="62">
      <c r="A62" s="2" t="inlineStr">
        <is>
          <t>2020-01</t>
        </is>
      </c>
      <c r="B62" s="3" t="n">
        <v>338.3</v>
      </c>
      <c r="C62" s="3" t="n">
        <v>0</v>
      </c>
      <c r="D62" s="3" t="n">
        <v>0</v>
      </c>
      <c r="E62" s="3" t="n">
        <v>0</v>
      </c>
      <c r="F62" s="3" t="n">
        <v>0</v>
      </c>
      <c r="G62" s="2" t="inlineStr">
        <is>
          <t>Estimated</t>
        </is>
      </c>
      <c r="H62" s="2" t="inlineStr">
        <is>
          <t>Medium</t>
        </is>
      </c>
      <c r="I62" s="2" t="inlineStr"/>
    </row>
    <row r="63">
      <c r="A63" s="2" t="inlineStr">
        <is>
          <t>2020-02</t>
        </is>
      </c>
      <c r="B63" s="3" t="n">
        <v>340.8</v>
      </c>
      <c r="C63" s="3" t="n">
        <v>0</v>
      </c>
      <c r="D63" s="3" t="n">
        <v>0</v>
      </c>
      <c r="E63" s="3" t="n">
        <v>0</v>
      </c>
      <c r="F63" s="3" t="n">
        <v>0</v>
      </c>
      <c r="G63" s="2" t="inlineStr">
        <is>
          <t>Estimated</t>
        </is>
      </c>
      <c r="H63" s="2" t="inlineStr">
        <is>
          <t>Medium</t>
        </is>
      </c>
      <c r="I63" s="2" t="inlineStr"/>
    </row>
    <row r="64">
      <c r="A64" s="2" t="inlineStr">
        <is>
          <t>2020-03</t>
        </is>
      </c>
      <c r="B64" s="3" t="n">
        <v>345.7</v>
      </c>
      <c r="C64" s="3" t="n">
        <v>0</v>
      </c>
      <c r="D64" s="3" t="n">
        <v>0</v>
      </c>
      <c r="E64" s="3" t="n">
        <v>0</v>
      </c>
      <c r="F64" s="3" t="n">
        <v>0</v>
      </c>
      <c r="G64" s="2" t="inlineStr">
        <is>
          <t>Estimated</t>
        </is>
      </c>
      <c r="H64" s="2" t="inlineStr">
        <is>
          <t>Medium</t>
        </is>
      </c>
      <c r="I64" s="2" t="inlineStr"/>
    </row>
    <row r="65">
      <c r="A65" s="2" t="inlineStr">
        <is>
          <t>2020-04</t>
        </is>
      </c>
      <c r="B65" s="3" t="n">
        <v>303.1</v>
      </c>
      <c r="C65" s="3" t="n">
        <v>29.9</v>
      </c>
      <c r="D65" s="3" t="n">
        <v>88.2</v>
      </c>
      <c r="E65" s="3" t="n">
        <v>18.7</v>
      </c>
      <c r="F65" s="3" t="n">
        <v>106.9</v>
      </c>
      <c r="G65" s="2" t="inlineStr">
        <is>
          <t>Estimated</t>
        </is>
      </c>
      <c r="H65" s="2" t="inlineStr">
        <is>
          <t>Medium</t>
        </is>
      </c>
      <c r="I65" s="2" t="inlineStr"/>
    </row>
    <row r="66">
      <c r="A66" s="2" t="inlineStr">
        <is>
          <t>2020-05</t>
        </is>
      </c>
      <c r="B66" s="3" t="n">
        <v>264.3</v>
      </c>
      <c r="C66" s="3" t="n">
        <v>68.7</v>
      </c>
      <c r="D66" s="3" t="n">
        <v>219.6</v>
      </c>
      <c r="E66" s="3" t="n">
        <v>26.3</v>
      </c>
      <c r="F66" s="3" t="n">
        <v>245.9</v>
      </c>
      <c r="G66" s="2" t="inlineStr">
        <is>
          <t>Estimated</t>
        </is>
      </c>
      <c r="H66" s="2" t="inlineStr">
        <is>
          <t>Medium</t>
        </is>
      </c>
      <c r="I66" s="2" t="inlineStr">
        <is>
          <t>Planned Troll/Kollsnes + Melkoya LNG offline 15 May-18 Jun (LNG); COVID commercial deferrals</t>
        </is>
      </c>
    </row>
    <row r="67">
      <c r="A67" s="2" t="inlineStr">
        <is>
          <t>2020-06</t>
        </is>
      </c>
      <c r="B67" s="3" t="n">
        <v>279.7</v>
      </c>
      <c r="C67" s="3" t="n">
        <v>53.2</v>
      </c>
      <c r="D67" s="3" t="n">
        <v>169.1</v>
      </c>
      <c r="E67" s="3" t="n">
        <v>21.5</v>
      </c>
      <c r="F67" s="3" t="n">
        <v>190.6</v>
      </c>
      <c r="G67" s="2" t="inlineStr">
        <is>
          <t>Estimated</t>
        </is>
      </c>
      <c r="H67" s="2" t="inlineStr">
        <is>
          <t>Medium</t>
        </is>
      </c>
      <c r="I67" s="2" t="inlineStr"/>
    </row>
    <row r="68">
      <c r="A68" s="2" t="inlineStr">
        <is>
          <t>2020-07</t>
        </is>
      </c>
      <c r="B68" s="3" t="n">
        <v>305.6</v>
      </c>
      <c r="C68" s="3" t="n">
        <v>27.3</v>
      </c>
      <c r="D68" s="3" t="n">
        <v>80.3</v>
      </c>
      <c r="E68" s="3" t="n">
        <v>17.4</v>
      </c>
      <c r="F68" s="3" t="n">
        <v>97.7</v>
      </c>
      <c r="G68" s="2" t="inlineStr">
        <is>
          <t>Estimated</t>
        </is>
      </c>
      <c r="H68" s="2" t="inlineStr">
        <is>
          <t>Medium</t>
        </is>
      </c>
      <c r="I68" s="2" t="inlineStr"/>
    </row>
    <row r="69">
      <c r="A69" s="2" t="inlineStr">
        <is>
          <t>2020-08</t>
        </is>
      </c>
      <c r="B69" s="3" t="n">
        <v>286.7</v>
      </c>
      <c r="C69" s="3" t="n">
        <v>46.2</v>
      </c>
      <c r="D69" s="3" t="n">
        <v>154.9</v>
      </c>
      <c r="E69" s="3" t="n">
        <v>10.5</v>
      </c>
      <c r="F69" s="3" t="n">
        <v>165.4</v>
      </c>
      <c r="G69" s="2" t="inlineStr">
        <is>
          <t>Estimated</t>
        </is>
      </c>
      <c r="H69" s="2" t="inlineStr">
        <is>
          <t>Medium</t>
        </is>
      </c>
      <c r="I69" s="2" t="inlineStr"/>
    </row>
    <row r="70">
      <c r="A70" s="2" t="inlineStr">
        <is>
          <t>2020-09</t>
        </is>
      </c>
      <c r="B70" s="3" t="n">
        <v>277.2</v>
      </c>
      <c r="C70" s="3" t="n">
        <v>55.8</v>
      </c>
      <c r="D70" s="3" t="n">
        <v>191.1</v>
      </c>
      <c r="E70" s="3" t="n">
        <v>8.5</v>
      </c>
      <c r="F70" s="3" t="n">
        <v>199.6</v>
      </c>
      <c r="G70" s="2" t="inlineStr">
        <is>
          <t>Estimated</t>
        </is>
      </c>
      <c r="H70" s="2" t="inlineStr">
        <is>
          <t>Medium</t>
        </is>
      </c>
      <c r="I70" s="2" t="inlineStr">
        <is>
          <t>Main planned window; Hammerfest LNG fire 28 Sep (LNG ~18 mcm/d, offline to mid-2022) - excluded from piped estimate</t>
        </is>
      </c>
    </row>
    <row r="71">
      <c r="A71" s="2" t="inlineStr">
        <is>
          <t>2020-10</t>
        </is>
      </c>
      <c r="B71" s="3" t="n">
        <v>289.5</v>
      </c>
      <c r="C71" s="3" t="n">
        <v>43.4</v>
      </c>
      <c r="D71" s="3" t="n">
        <v>133.7</v>
      </c>
      <c r="E71" s="3" t="n">
        <v>21.8</v>
      </c>
      <c r="F71" s="3" t="n">
        <v>155.5</v>
      </c>
      <c r="G71" s="2" t="inlineStr">
        <is>
          <t>Estimated</t>
        </is>
      </c>
      <c r="H71" s="2" t="inlineStr">
        <is>
          <t>Medium</t>
        </is>
      </c>
      <c r="I71" s="2" t="inlineStr"/>
    </row>
    <row r="72">
      <c r="A72" s="2" t="inlineStr">
        <is>
          <t>2020-11</t>
        </is>
      </c>
      <c r="B72" s="3" t="n">
        <v>320.7</v>
      </c>
      <c r="C72" s="3" t="n">
        <v>12.3</v>
      </c>
      <c r="D72" s="3" t="n">
        <v>34.2</v>
      </c>
      <c r="E72" s="3" t="n">
        <v>9.699999999999999</v>
      </c>
      <c r="F72" s="3" t="n">
        <v>43.9</v>
      </c>
      <c r="G72" s="2" t="inlineStr">
        <is>
          <t>Estimated</t>
        </is>
      </c>
      <c r="H72" s="2" t="inlineStr">
        <is>
          <t>Medium</t>
        </is>
      </c>
      <c r="I72" s="2" t="inlineStr"/>
    </row>
    <row r="73">
      <c r="A73" s="2" t="inlineStr">
        <is>
          <t>2020-12</t>
        </is>
      </c>
      <c r="B73" s="3" t="n">
        <v>332</v>
      </c>
      <c r="C73" s="3" t="n">
        <v>0.9</v>
      </c>
      <c r="D73" s="3" t="n">
        <v>2.4</v>
      </c>
      <c r="E73" s="3" t="n">
        <v>0.9</v>
      </c>
      <c r="F73" s="3" t="n">
        <v>3.3</v>
      </c>
      <c r="G73" s="2" t="inlineStr">
        <is>
          <t>Estimated</t>
        </is>
      </c>
      <c r="H73" s="2" t="inlineStr">
        <is>
          <t>Medium</t>
        </is>
      </c>
      <c r="I73" s="2" t="inlineStr"/>
    </row>
    <row r="74">
      <c r="A74" s="2" t="inlineStr">
        <is>
          <t>2021-01</t>
        </is>
      </c>
      <c r="B74" s="3" t="n">
        <v>330</v>
      </c>
      <c r="C74" s="3" t="n">
        <v>8.300000000000001</v>
      </c>
      <c r="D74" s="3" t="n">
        <v>18.4</v>
      </c>
      <c r="E74" s="3" t="n">
        <v>11.5</v>
      </c>
      <c r="F74" s="3" t="n">
        <v>29.9</v>
      </c>
      <c r="G74" s="2" t="inlineStr">
        <is>
          <t>Estimated</t>
        </is>
      </c>
      <c r="H74" s="2" t="inlineStr">
        <is>
          <t>Medium</t>
        </is>
      </c>
      <c r="I74" s="2" t="inlineStr"/>
    </row>
    <row r="75">
      <c r="A75" s="2" t="inlineStr">
        <is>
          <t>2021-02</t>
        </is>
      </c>
      <c r="B75" s="3" t="n">
        <v>321.2</v>
      </c>
      <c r="C75" s="3" t="n">
        <v>17.1</v>
      </c>
      <c r="D75" s="3" t="n">
        <v>42</v>
      </c>
      <c r="E75" s="3" t="n">
        <v>19.3</v>
      </c>
      <c r="F75" s="3" t="n">
        <v>61.3</v>
      </c>
      <c r="G75" s="2" t="inlineStr">
        <is>
          <t>Estimated</t>
        </is>
      </c>
      <c r="H75" s="2" t="inlineStr">
        <is>
          <t>Medium</t>
        </is>
      </c>
      <c r="I75" s="2" t="inlineStr"/>
    </row>
    <row r="76">
      <c r="A76" s="2" t="inlineStr">
        <is>
          <t>2021-03</t>
        </is>
      </c>
      <c r="B76" s="3" t="n">
        <v>318.2</v>
      </c>
      <c r="C76" s="3" t="n">
        <v>20.1</v>
      </c>
      <c r="D76" s="3" t="n">
        <v>61.3</v>
      </c>
      <c r="E76" s="3" t="n">
        <v>10.7</v>
      </c>
      <c r="F76" s="3" t="n">
        <v>72</v>
      </c>
      <c r="G76" s="2" t="inlineStr">
        <is>
          <t>Estimated</t>
        </is>
      </c>
      <c r="H76" s="2" t="inlineStr">
        <is>
          <t>Medium</t>
        </is>
      </c>
      <c r="I76" s="2" t="inlineStr"/>
    </row>
    <row r="77">
      <c r="A77" s="2" t="inlineStr">
        <is>
          <t>2021-04</t>
        </is>
      </c>
      <c r="B77" s="3" t="n">
        <v>309.4</v>
      </c>
      <c r="C77" s="3" t="n">
        <v>28.9</v>
      </c>
      <c r="D77" s="3" t="n">
        <v>85.3</v>
      </c>
      <c r="E77" s="3" t="n">
        <v>18.1</v>
      </c>
      <c r="F77" s="3" t="n">
        <v>103.4</v>
      </c>
      <c r="G77" s="2" t="inlineStr">
        <is>
          <t>Estimated</t>
        </is>
      </c>
      <c r="H77" s="2" t="inlineStr">
        <is>
          <t>Medium</t>
        </is>
      </c>
      <c r="I77" s="2" t="inlineStr"/>
    </row>
    <row r="78">
      <c r="A78" s="2" t="inlineStr">
        <is>
          <t>2021-05</t>
        </is>
      </c>
      <c r="B78" s="3" t="n">
        <v>280.3</v>
      </c>
      <c r="C78" s="3" t="n">
        <v>58.1</v>
      </c>
      <c r="D78" s="3" t="n">
        <v>185.7</v>
      </c>
      <c r="E78" s="3" t="n">
        <v>22.2</v>
      </c>
      <c r="F78" s="3" t="n">
        <v>207.9</v>
      </c>
      <c r="G78" s="2" t="inlineStr">
        <is>
          <t>Estimated</t>
        </is>
      </c>
      <c r="H78" s="2" t="inlineStr">
        <is>
          <t>Medium</t>
        </is>
      </c>
      <c r="I78" s="2" t="inlineStr"/>
    </row>
    <row r="79">
      <c r="A79" s="2" t="inlineStr">
        <is>
          <t>2021-06</t>
        </is>
      </c>
      <c r="B79" s="3" t="n">
        <v>261.6</v>
      </c>
      <c r="C79" s="3" t="n">
        <v>76.7</v>
      </c>
      <c r="D79" s="3" t="n">
        <v>243.7</v>
      </c>
      <c r="E79" s="3" t="n">
        <v>31</v>
      </c>
      <c r="F79" s="3" t="n">
        <v>274.7</v>
      </c>
      <c r="G79" s="2" t="inlineStr">
        <is>
          <t>Estimated</t>
        </is>
      </c>
      <c r="H79" s="2" t="inlineStr">
        <is>
          <t>Medium</t>
        </is>
      </c>
      <c r="I79" s="2" t="inlineStr">
        <is>
          <t>Front-loaded planned maintenance May-Jun (production trough 7.85 bn Sm3); July kept light around Nord Stream shutdown</t>
        </is>
      </c>
    </row>
    <row r="80">
      <c r="A80" s="2" t="inlineStr">
        <is>
          <t>2021-07</t>
        </is>
      </c>
      <c r="B80" s="3" t="n">
        <v>310.3</v>
      </c>
      <c r="C80" s="3" t="n">
        <v>28</v>
      </c>
      <c r="D80" s="3" t="n">
        <v>55.1</v>
      </c>
      <c r="E80" s="3" t="n">
        <v>45.1</v>
      </c>
      <c r="F80" s="3" t="n">
        <v>100.2</v>
      </c>
      <c r="G80" s="2" t="inlineStr">
        <is>
          <t>Estimated</t>
        </is>
      </c>
      <c r="H80" s="2" t="inlineStr">
        <is>
          <t>Medium</t>
        </is>
      </c>
      <c r="I80" s="2" t="inlineStr">
        <is>
          <t>Troll unplanned corrective maintenance ~27 mcm/d 27 Jul-5 Aug</t>
        </is>
      </c>
    </row>
    <row r="81">
      <c r="A81" s="2" t="inlineStr">
        <is>
          <t>2021-08</t>
        </is>
      </c>
      <c r="B81" s="3" t="n">
        <v>307.8</v>
      </c>
      <c r="C81" s="3" t="n">
        <v>30.5</v>
      </c>
      <c r="D81" s="3" t="n">
        <v>54.6</v>
      </c>
      <c r="E81" s="3" t="n">
        <v>54.6</v>
      </c>
      <c r="F81" s="3" t="n">
        <v>109.3</v>
      </c>
      <c r="G81" s="2" t="inlineStr">
        <is>
          <t>Estimated</t>
        </is>
      </c>
      <c r="H81" s="2" t="inlineStr">
        <is>
          <t>Medium</t>
        </is>
      </c>
      <c r="I81" s="2" t="inlineStr"/>
    </row>
    <row r="82">
      <c r="A82" s="2" t="inlineStr">
        <is>
          <t>2021-09</t>
        </is>
      </c>
      <c r="B82" s="3" t="n">
        <v>301.1</v>
      </c>
      <c r="C82" s="3" t="n">
        <v>37.2</v>
      </c>
      <c r="D82" s="3" t="n">
        <v>127.4</v>
      </c>
      <c r="E82" s="3" t="n">
        <v>5.7</v>
      </c>
      <c r="F82" s="3" t="n">
        <v>133.1</v>
      </c>
      <c r="G82" s="2" t="inlineStr">
        <is>
          <t>Estimated</t>
        </is>
      </c>
      <c r="H82" s="2" t="inlineStr">
        <is>
          <t>Medium</t>
        </is>
      </c>
      <c r="I82" s="2" t="inlineStr"/>
    </row>
    <row r="83">
      <c r="A83" s="2" t="inlineStr">
        <is>
          <t>2021-10</t>
        </is>
      </c>
      <c r="B83" s="3" t="n">
        <v>344.6</v>
      </c>
      <c r="C83" s="3" t="n">
        <v>0</v>
      </c>
      <c r="D83" s="3" t="n">
        <v>0</v>
      </c>
      <c r="E83" s="3" t="n">
        <v>0</v>
      </c>
      <c r="F83" s="3" t="n">
        <v>0</v>
      </c>
      <c r="G83" s="2" t="inlineStr">
        <is>
          <t>Estimated</t>
        </is>
      </c>
      <c r="H83" s="2" t="inlineStr">
        <is>
          <t>Medium</t>
        </is>
      </c>
      <c r="I83" s="2" t="inlineStr"/>
    </row>
    <row r="84">
      <c r="A84" s="2" t="inlineStr">
        <is>
          <t>2021-11</t>
        </is>
      </c>
      <c r="B84" s="3" t="n">
        <v>346.7</v>
      </c>
      <c r="C84" s="3" t="n">
        <v>0</v>
      </c>
      <c r="D84" s="3" t="n">
        <v>0</v>
      </c>
      <c r="E84" s="3" t="n">
        <v>0</v>
      </c>
      <c r="F84" s="3" t="n">
        <v>0</v>
      </c>
      <c r="G84" s="2" t="inlineStr">
        <is>
          <t>Estimated</t>
        </is>
      </c>
      <c r="H84" s="2" t="inlineStr">
        <is>
          <t>Medium</t>
        </is>
      </c>
      <c r="I84" s="2" t="inlineStr"/>
    </row>
    <row r="85">
      <c r="A85" s="2" t="inlineStr">
        <is>
          <t>2021-12</t>
        </is>
      </c>
      <c r="B85" s="3" t="n">
        <v>355.4</v>
      </c>
      <c r="C85" s="3" t="n">
        <v>0</v>
      </c>
      <c r="D85" s="3" t="n">
        <v>0</v>
      </c>
      <c r="E85" s="3" t="n">
        <v>0</v>
      </c>
      <c r="F85" s="3" t="n">
        <v>0</v>
      </c>
      <c r="G85" s="2" t="inlineStr">
        <is>
          <t>Estimated</t>
        </is>
      </c>
      <c r="H85" s="2" t="inlineStr">
        <is>
          <t>Medium</t>
        </is>
      </c>
      <c r="I85" s="2" t="inlineStr"/>
    </row>
    <row r="86">
      <c r="A86" s="5" t="inlineStr">
        <is>
          <t>2022-01</t>
        </is>
      </c>
      <c r="B86" s="6" t="n">
        <v>343.6</v>
      </c>
      <c r="C86" s="6" t="n">
        <v>6.9</v>
      </c>
      <c r="D86" s="6" t="n">
        <v>12.7</v>
      </c>
      <c r="E86" s="6" t="n">
        <v>44.3</v>
      </c>
      <c r="F86" s="6" t="n">
        <v>57</v>
      </c>
      <c r="G86" s="5" t="inlineStr">
        <is>
          <t>REMIT-actual</t>
        </is>
      </c>
      <c r="H86" s="5" t="inlineStr">
        <is>
          <t>High</t>
        </is>
      </c>
      <c r="I86" s="5" t="inlineStr"/>
    </row>
    <row r="87">
      <c r="A87" s="5" t="inlineStr">
        <is>
          <t>2022-02</t>
        </is>
      </c>
      <c r="B87" s="6" t="n">
        <v>348.6</v>
      </c>
      <c r="C87" s="6" t="n">
        <v>1.8</v>
      </c>
      <c r="D87" s="6" t="n">
        <v>22.5</v>
      </c>
      <c r="E87" s="6" t="n">
        <v>24.9</v>
      </c>
      <c r="F87" s="6" t="n">
        <v>47.4</v>
      </c>
      <c r="G87" s="5" t="inlineStr">
        <is>
          <t>REMIT-actual</t>
        </is>
      </c>
      <c r="H87" s="5" t="inlineStr">
        <is>
          <t>High</t>
        </is>
      </c>
      <c r="I87" s="5" t="inlineStr"/>
    </row>
    <row r="88">
      <c r="A88" s="5" t="inlineStr">
        <is>
          <t>2022-03</t>
        </is>
      </c>
      <c r="B88" s="6" t="n">
        <v>338.6</v>
      </c>
      <c r="C88" s="6" t="n">
        <v>11.8</v>
      </c>
      <c r="D88" s="6" t="n">
        <v>33.6</v>
      </c>
      <c r="E88" s="6" t="n">
        <v>23.2</v>
      </c>
      <c r="F88" s="6" t="n">
        <v>56.8</v>
      </c>
      <c r="G88" s="5" t="inlineStr">
        <is>
          <t>REMIT-actual</t>
        </is>
      </c>
      <c r="H88" s="5" t="inlineStr">
        <is>
          <t>High</t>
        </is>
      </c>
      <c r="I88" s="5" t="inlineStr"/>
    </row>
    <row r="89">
      <c r="A89" s="5" t="inlineStr">
        <is>
          <t>2022-04</t>
        </is>
      </c>
      <c r="B89" s="6" t="n">
        <v>329.2</v>
      </c>
      <c r="C89" s="6" t="n">
        <v>21.2</v>
      </c>
      <c r="D89" s="6" t="n">
        <v>46.4</v>
      </c>
      <c r="E89" s="6" t="n">
        <v>25.4</v>
      </c>
      <c r="F89" s="6" t="n">
        <v>71.8</v>
      </c>
      <c r="G89" s="5" t="inlineStr">
        <is>
          <t>REMIT-actual</t>
        </is>
      </c>
      <c r="H89" s="5" t="inlineStr">
        <is>
          <t>High</t>
        </is>
      </c>
      <c r="I89" s="5" t="inlineStr"/>
    </row>
    <row r="90">
      <c r="A90" s="5" t="inlineStr">
        <is>
          <t>2022-05</t>
        </is>
      </c>
      <c r="B90" s="6" t="n">
        <v>324.5</v>
      </c>
      <c r="C90" s="6" t="n">
        <v>26</v>
      </c>
      <c r="D90" s="6" t="n">
        <v>72.5</v>
      </c>
      <c r="E90" s="6" t="n">
        <v>24.6</v>
      </c>
      <c r="F90" s="6" t="n">
        <v>97</v>
      </c>
      <c r="G90" s="5" t="inlineStr">
        <is>
          <t>REMIT-actual</t>
        </is>
      </c>
      <c r="H90" s="5" t="inlineStr">
        <is>
          <t>High</t>
        </is>
      </c>
      <c r="I90" s="5" t="inlineStr"/>
    </row>
    <row r="91">
      <c r="A91" s="5" t="inlineStr">
        <is>
          <t>2022-06</t>
        </is>
      </c>
      <c r="B91" s="6" t="n">
        <v>333.5</v>
      </c>
      <c r="C91" s="6" t="n">
        <v>16.9</v>
      </c>
      <c r="D91" s="6" t="n">
        <v>70.09999999999999</v>
      </c>
      <c r="E91" s="6" t="n">
        <v>13.9</v>
      </c>
      <c r="F91" s="6" t="n">
        <v>84</v>
      </c>
      <c r="G91" s="5" t="inlineStr">
        <is>
          <t>REMIT-actual</t>
        </is>
      </c>
      <c r="H91" s="5" t="inlineStr">
        <is>
          <t>High</t>
        </is>
      </c>
      <c r="I91" s="5" t="inlineStr"/>
    </row>
    <row r="92">
      <c r="A92" s="5" t="inlineStr">
        <is>
          <t>2022-07</t>
        </is>
      </c>
      <c r="B92" s="6" t="n">
        <v>352.4</v>
      </c>
      <c r="C92" s="6" t="n">
        <v>0</v>
      </c>
      <c r="D92" s="6" t="n">
        <v>17.4</v>
      </c>
      <c r="E92" s="6" t="n">
        <v>22.6</v>
      </c>
      <c r="F92" s="6" t="n">
        <v>39.9</v>
      </c>
      <c r="G92" s="5" t="inlineStr">
        <is>
          <t>REMIT-actual</t>
        </is>
      </c>
      <c r="H92" s="5" t="inlineStr">
        <is>
          <t>High</t>
        </is>
      </c>
      <c r="I92" s="5" t="inlineStr"/>
    </row>
    <row r="93">
      <c r="A93" s="5" t="inlineStr">
        <is>
          <t>2022-08</t>
        </is>
      </c>
      <c r="B93" s="6" t="n">
        <v>346.6</v>
      </c>
      <c r="C93" s="6" t="n">
        <v>3.9</v>
      </c>
      <c r="D93" s="6" t="n">
        <v>58.9</v>
      </c>
      <c r="E93" s="6" t="n">
        <v>7.6</v>
      </c>
      <c r="F93" s="6" t="n">
        <v>66.5</v>
      </c>
      <c r="G93" s="5" t="inlineStr">
        <is>
          <t>REMIT-actual</t>
        </is>
      </c>
      <c r="H93" s="5" t="inlineStr">
        <is>
          <t>High</t>
        </is>
      </c>
      <c r="I93" s="5" t="inlineStr"/>
    </row>
    <row r="94">
      <c r="A94" s="5" t="inlineStr">
        <is>
          <t>2022-09</t>
        </is>
      </c>
      <c r="B94" s="6" t="n">
        <v>305.3</v>
      </c>
      <c r="C94" s="6" t="n">
        <v>45.2</v>
      </c>
      <c r="D94" s="6" t="n">
        <v>131.7</v>
      </c>
      <c r="E94" s="6" t="n">
        <v>3.3</v>
      </c>
      <c r="F94" s="6" t="n">
        <v>135</v>
      </c>
      <c r="G94" s="5" t="inlineStr">
        <is>
          <t>REMIT-actual</t>
        </is>
      </c>
      <c r="H94" s="5" t="inlineStr">
        <is>
          <t>High</t>
        </is>
      </c>
      <c r="I94" s="5" t="inlineStr"/>
    </row>
    <row r="95">
      <c r="A95" s="5" t="inlineStr">
        <is>
          <t>2022-10</t>
        </is>
      </c>
      <c r="B95" s="6" t="n">
        <v>351.1</v>
      </c>
      <c r="C95" s="6" t="n">
        <v>0</v>
      </c>
      <c r="D95" s="6" t="n">
        <v>36</v>
      </c>
      <c r="E95" s="6" t="n">
        <v>3.8</v>
      </c>
      <c r="F95" s="6" t="n">
        <v>39.8</v>
      </c>
      <c r="G95" s="5" t="inlineStr">
        <is>
          <t>REMIT-actual</t>
        </is>
      </c>
      <c r="H95" s="5" t="inlineStr">
        <is>
          <t>High</t>
        </is>
      </c>
      <c r="I95" s="5" t="inlineStr"/>
    </row>
    <row r="96">
      <c r="A96" s="5" t="inlineStr">
        <is>
          <t>2022-11</t>
        </is>
      </c>
      <c r="B96" s="6" t="n">
        <v>346.8</v>
      </c>
      <c r="C96" s="6" t="n">
        <v>3.6</v>
      </c>
      <c r="D96" s="6" t="n">
        <v>31.2</v>
      </c>
      <c r="E96" s="6" t="n">
        <v>11.7</v>
      </c>
      <c r="F96" s="6" t="n">
        <v>42.9</v>
      </c>
      <c r="G96" s="5" t="inlineStr">
        <is>
          <t>REMIT-actual</t>
        </is>
      </c>
      <c r="H96" s="5" t="inlineStr">
        <is>
          <t>High</t>
        </is>
      </c>
      <c r="I96" s="5" t="inlineStr"/>
    </row>
    <row r="97">
      <c r="A97" s="5" t="inlineStr">
        <is>
          <t>2022-12</t>
        </is>
      </c>
      <c r="B97" s="6" t="n">
        <v>362.7</v>
      </c>
      <c r="C97" s="6" t="n">
        <v>0</v>
      </c>
      <c r="D97" s="6" t="n">
        <v>42.1</v>
      </c>
      <c r="E97" s="6" t="n">
        <v>10.3</v>
      </c>
      <c r="F97" s="6" t="n">
        <v>52.4</v>
      </c>
      <c r="G97" s="5" t="inlineStr">
        <is>
          <t>REMIT-actual</t>
        </is>
      </c>
      <c r="H97" s="5" t="inlineStr">
        <is>
          <t>High</t>
        </is>
      </c>
      <c r="I97" s="5" t="inlineStr"/>
    </row>
    <row r="98">
      <c r="A98" s="5" t="inlineStr">
        <is>
          <t>2023-01</t>
        </is>
      </c>
      <c r="B98" s="6" t="n">
        <v>356.5</v>
      </c>
      <c r="C98" s="6" t="n">
        <v>8.4</v>
      </c>
      <c r="D98" s="6" t="n">
        <v>39.4</v>
      </c>
      <c r="E98" s="6" t="n">
        <v>1.5</v>
      </c>
      <c r="F98" s="6" t="n">
        <v>40.9</v>
      </c>
      <c r="G98" s="5" t="inlineStr">
        <is>
          <t>REMIT-actual</t>
        </is>
      </c>
      <c r="H98" s="5" t="inlineStr">
        <is>
          <t>High</t>
        </is>
      </c>
      <c r="I98" s="5" t="inlineStr"/>
    </row>
    <row r="99">
      <c r="A99" s="5" t="inlineStr">
        <is>
          <t>2023-02</t>
        </is>
      </c>
      <c r="B99" s="6" t="n">
        <v>356.3</v>
      </c>
      <c r="C99" s="6" t="n">
        <v>8.699999999999999</v>
      </c>
      <c r="D99" s="6" t="n">
        <v>20.8</v>
      </c>
      <c r="E99" s="6" t="n">
        <v>5.4</v>
      </c>
      <c r="F99" s="6" t="n">
        <v>26.2</v>
      </c>
      <c r="G99" s="5" t="inlineStr">
        <is>
          <t>REMIT-actual</t>
        </is>
      </c>
      <c r="H99" s="5" t="inlineStr">
        <is>
          <t>High</t>
        </is>
      </c>
      <c r="I99" s="5" t="inlineStr"/>
    </row>
    <row r="100">
      <c r="A100" s="5" t="inlineStr">
        <is>
          <t>2023-03</t>
        </is>
      </c>
      <c r="B100" s="6" t="n">
        <v>354.8</v>
      </c>
      <c r="C100" s="6" t="n">
        <v>10.2</v>
      </c>
      <c r="D100" s="6" t="n">
        <v>44.6</v>
      </c>
      <c r="E100" s="6" t="n">
        <v>4.2</v>
      </c>
      <c r="F100" s="6" t="n">
        <v>48.7</v>
      </c>
      <c r="G100" s="5" t="inlineStr">
        <is>
          <t>REMIT-actual</t>
        </is>
      </c>
      <c r="H100" s="5" t="inlineStr">
        <is>
          <t>High</t>
        </is>
      </c>
      <c r="I100" s="5" t="inlineStr"/>
    </row>
    <row r="101">
      <c r="A101" s="5" t="inlineStr">
        <is>
          <t>2023-04</t>
        </is>
      </c>
      <c r="B101" s="6" t="n">
        <v>342.3</v>
      </c>
      <c r="C101" s="6" t="n">
        <v>22.7</v>
      </c>
      <c r="D101" s="6" t="n">
        <v>70.8</v>
      </c>
      <c r="E101" s="6" t="n">
        <v>8.6</v>
      </c>
      <c r="F101" s="6" t="n">
        <v>79.40000000000001</v>
      </c>
      <c r="G101" s="5" t="inlineStr">
        <is>
          <t>REMIT-actual</t>
        </is>
      </c>
      <c r="H101" s="5" t="inlineStr">
        <is>
          <t>High</t>
        </is>
      </c>
      <c r="I101" s="5" t="inlineStr"/>
    </row>
    <row r="102">
      <c r="A102" s="5" t="inlineStr">
        <is>
          <t>2023-05</t>
        </is>
      </c>
      <c r="B102" s="6" t="n">
        <v>276.4</v>
      </c>
      <c r="C102" s="6" t="n">
        <v>88.59999999999999</v>
      </c>
      <c r="D102" s="6" t="n">
        <v>194.1</v>
      </c>
      <c r="E102" s="6" t="n">
        <v>21.4</v>
      </c>
      <c r="F102" s="6" t="n">
        <v>215.4</v>
      </c>
      <c r="G102" s="5" t="inlineStr">
        <is>
          <t>REMIT-actual</t>
        </is>
      </c>
      <c r="H102" s="5" t="inlineStr">
        <is>
          <t>High</t>
        </is>
      </c>
      <c r="I102" s="5" t="inlineStr"/>
    </row>
    <row r="103">
      <c r="A103" s="5" t="inlineStr">
        <is>
          <t>2023-06</t>
        </is>
      </c>
      <c r="B103" s="6" t="n">
        <v>253.1</v>
      </c>
      <c r="C103" s="6" t="n">
        <v>111.9</v>
      </c>
      <c r="D103" s="6" t="n">
        <v>254.8</v>
      </c>
      <c r="E103" s="6" t="n">
        <v>22.6</v>
      </c>
      <c r="F103" s="6" t="n">
        <v>277.4</v>
      </c>
      <c r="G103" s="5" t="inlineStr">
        <is>
          <t>REMIT-actual</t>
        </is>
      </c>
      <c r="H103" s="5" t="inlineStr">
        <is>
          <t>High</t>
        </is>
      </c>
      <c r="I103" s="5" t="inlineStr"/>
    </row>
    <row r="104">
      <c r="A104" s="5" t="inlineStr">
        <is>
          <t>2023-07</t>
        </is>
      </c>
      <c r="B104" s="6" t="n">
        <v>325</v>
      </c>
      <c r="C104" s="6" t="n">
        <v>40</v>
      </c>
      <c r="D104" s="6" t="n">
        <v>124.2</v>
      </c>
      <c r="E104" s="6" t="n">
        <v>10.5</v>
      </c>
      <c r="F104" s="6" t="n">
        <v>134.7</v>
      </c>
      <c r="G104" s="5" t="inlineStr">
        <is>
          <t>REMIT-actual</t>
        </is>
      </c>
      <c r="H104" s="5" t="inlineStr">
        <is>
          <t>High</t>
        </is>
      </c>
      <c r="I104" s="5" t="inlineStr"/>
    </row>
    <row r="105">
      <c r="A105" s="5" t="inlineStr">
        <is>
          <t>2023-08</t>
        </is>
      </c>
      <c r="B105" s="6" t="n">
        <v>314.1</v>
      </c>
      <c r="C105" s="6" t="n">
        <v>50.9</v>
      </c>
      <c r="D105" s="6" t="n">
        <v>146.1</v>
      </c>
      <c r="E105" s="6" t="n">
        <v>0.8</v>
      </c>
      <c r="F105" s="6" t="n">
        <v>146.8</v>
      </c>
      <c r="G105" s="5" t="inlineStr">
        <is>
          <t>REMIT-actual</t>
        </is>
      </c>
      <c r="H105" s="5" t="inlineStr">
        <is>
          <t>High</t>
        </is>
      </c>
      <c r="I105" s="5" t="inlineStr"/>
    </row>
    <row r="106">
      <c r="A106" s="5" t="inlineStr">
        <is>
          <t>2023-09</t>
        </is>
      </c>
      <c r="B106" s="6" t="n">
        <v>201.7</v>
      </c>
      <c r="C106" s="6" t="n">
        <v>163.3</v>
      </c>
      <c r="D106" s="6" t="n">
        <v>280.5</v>
      </c>
      <c r="E106" s="6" t="n">
        <v>19.4</v>
      </c>
      <c r="F106" s="6" t="n">
        <v>300</v>
      </c>
      <c r="G106" s="5" t="inlineStr">
        <is>
          <t>REMIT-actual</t>
        </is>
      </c>
      <c r="H106" s="5" t="inlineStr">
        <is>
          <t>High</t>
        </is>
      </c>
      <c r="I106" s="5" t="inlineStr"/>
    </row>
    <row r="107">
      <c r="A107" s="5" t="inlineStr">
        <is>
          <t>2023-10</t>
        </is>
      </c>
      <c r="B107" s="6" t="n">
        <v>329.2</v>
      </c>
      <c r="C107" s="6" t="n">
        <v>35.8</v>
      </c>
      <c r="D107" s="6" t="n">
        <v>85.7</v>
      </c>
      <c r="E107" s="6" t="n">
        <v>16.7</v>
      </c>
      <c r="F107" s="6" t="n">
        <v>102.3</v>
      </c>
      <c r="G107" s="5" t="inlineStr">
        <is>
          <t>REMIT-actual</t>
        </is>
      </c>
      <c r="H107" s="5" t="inlineStr">
        <is>
          <t>High</t>
        </is>
      </c>
      <c r="I107" s="5" t="inlineStr"/>
    </row>
    <row r="108">
      <c r="A108" s="5" t="inlineStr">
        <is>
          <t>2023-11</t>
        </is>
      </c>
      <c r="B108" s="6" t="n">
        <v>365</v>
      </c>
      <c r="C108" s="6" t="n">
        <v>0</v>
      </c>
      <c r="D108" s="6" t="n">
        <v>39.1</v>
      </c>
      <c r="E108" s="6" t="n">
        <v>10.1</v>
      </c>
      <c r="F108" s="6" t="n">
        <v>49.2</v>
      </c>
      <c r="G108" s="5" t="inlineStr">
        <is>
          <t>REMIT-actual</t>
        </is>
      </c>
      <c r="H108" s="5" t="inlineStr">
        <is>
          <t>High</t>
        </is>
      </c>
      <c r="I108" s="5" t="inlineStr"/>
    </row>
    <row r="109">
      <c r="A109" s="5" t="inlineStr">
        <is>
          <t>2023-12</t>
        </is>
      </c>
      <c r="B109" s="6" t="n">
        <v>382.2</v>
      </c>
      <c r="C109" s="6" t="n">
        <v>0</v>
      </c>
      <c r="D109" s="6" t="n">
        <v>12.2</v>
      </c>
      <c r="E109" s="6" t="n">
        <v>0</v>
      </c>
      <c r="F109" s="6" t="n">
        <v>12.2</v>
      </c>
      <c r="G109" s="5" t="inlineStr">
        <is>
          <t>REMIT-actual</t>
        </is>
      </c>
      <c r="H109" s="5" t="inlineStr">
        <is>
          <t>High</t>
        </is>
      </c>
      <c r="I109" s="5" t="inlineStr"/>
    </row>
    <row r="110">
      <c r="A110" s="5" t="inlineStr">
        <is>
          <t>2024-01</t>
        </is>
      </c>
      <c r="B110" s="6" t="n">
        <v>379.4</v>
      </c>
      <c r="C110" s="6" t="n">
        <v>0</v>
      </c>
      <c r="D110" s="6" t="n">
        <v>12.2</v>
      </c>
      <c r="E110" s="6" t="n">
        <v>4.6</v>
      </c>
      <c r="F110" s="6" t="n">
        <v>16.7</v>
      </c>
      <c r="G110" s="5" t="inlineStr">
        <is>
          <t>REMIT-actual</t>
        </is>
      </c>
      <c r="H110" s="5" t="inlineStr">
        <is>
          <t>High</t>
        </is>
      </c>
      <c r="I110" s="5" t="inlineStr"/>
    </row>
    <row r="111">
      <c r="A111" s="5" t="inlineStr">
        <is>
          <t>2024-02</t>
        </is>
      </c>
      <c r="B111" s="6" t="n">
        <v>360.4</v>
      </c>
      <c r="C111" s="6" t="n">
        <v>5.4</v>
      </c>
      <c r="D111" s="6" t="n">
        <v>28.1</v>
      </c>
      <c r="E111" s="6" t="n">
        <v>16.9</v>
      </c>
      <c r="F111" s="6" t="n">
        <v>45</v>
      </c>
      <c r="G111" s="5" t="inlineStr">
        <is>
          <t>REMIT-actual</t>
        </is>
      </c>
      <c r="H111" s="5" t="inlineStr">
        <is>
          <t>High</t>
        </is>
      </c>
      <c r="I111" s="5" t="inlineStr"/>
    </row>
    <row r="112">
      <c r="A112" s="5" t="inlineStr">
        <is>
          <t>2024-03</t>
        </is>
      </c>
      <c r="B112" s="6" t="n">
        <v>366.2</v>
      </c>
      <c r="C112" s="6" t="n">
        <v>0</v>
      </c>
      <c r="D112" s="6" t="n">
        <v>41.5</v>
      </c>
      <c r="E112" s="6" t="n">
        <v>8.800000000000001</v>
      </c>
      <c r="F112" s="6" t="n">
        <v>50.3</v>
      </c>
      <c r="G112" s="5" t="inlineStr">
        <is>
          <t>REMIT-actual</t>
        </is>
      </c>
      <c r="H112" s="5" t="inlineStr">
        <is>
          <t>High</t>
        </is>
      </c>
      <c r="I112" s="5" t="inlineStr"/>
    </row>
    <row r="113">
      <c r="A113" s="5" t="inlineStr">
        <is>
          <t>2024-04</t>
        </is>
      </c>
      <c r="B113" s="6" t="n">
        <v>346.8</v>
      </c>
      <c r="C113" s="6" t="n">
        <v>19</v>
      </c>
      <c r="D113" s="6" t="n">
        <v>82.90000000000001</v>
      </c>
      <c r="E113" s="6" t="n">
        <v>22.8</v>
      </c>
      <c r="F113" s="6" t="n">
        <v>105.7</v>
      </c>
      <c r="G113" s="5" t="inlineStr">
        <is>
          <t>REMIT-actual</t>
        </is>
      </c>
      <c r="H113" s="5" t="inlineStr">
        <is>
          <t>High</t>
        </is>
      </c>
      <c r="I113" s="5" t="inlineStr"/>
    </row>
    <row r="114">
      <c r="A114" s="5" t="inlineStr">
        <is>
          <t>2024-05</t>
        </is>
      </c>
      <c r="B114" s="6" t="n">
        <v>322.3</v>
      </c>
      <c r="C114" s="6" t="n">
        <v>43.5</v>
      </c>
      <c r="D114" s="6" t="n">
        <v>124.7</v>
      </c>
      <c r="E114" s="6" t="n">
        <v>6.9</v>
      </c>
      <c r="F114" s="6" t="n">
        <v>131.7</v>
      </c>
      <c r="G114" s="5" t="inlineStr">
        <is>
          <t>REMIT-actual</t>
        </is>
      </c>
      <c r="H114" s="5" t="inlineStr">
        <is>
          <t>High</t>
        </is>
      </c>
      <c r="I114" s="5" t="inlineStr"/>
    </row>
    <row r="115">
      <c r="A115" s="5" t="inlineStr">
        <is>
          <t>2024-06</t>
        </is>
      </c>
      <c r="B115" s="6" t="n">
        <v>345.9</v>
      </c>
      <c r="C115" s="6" t="n">
        <v>19.9</v>
      </c>
      <c r="D115" s="6" t="n">
        <v>98.2</v>
      </c>
      <c r="E115" s="6" t="n">
        <v>32.2</v>
      </c>
      <c r="F115" s="6" t="n">
        <v>130.4</v>
      </c>
      <c r="G115" s="5" t="inlineStr">
        <is>
          <t>REMIT-actual</t>
        </is>
      </c>
      <c r="H115" s="5" t="inlineStr">
        <is>
          <t>High</t>
        </is>
      </c>
      <c r="I115" s="5" t="inlineStr"/>
    </row>
    <row r="116">
      <c r="A116" s="5" t="inlineStr">
        <is>
          <t>2024-07</t>
        </is>
      </c>
      <c r="B116" s="6" t="n">
        <v>360.7</v>
      </c>
      <c r="C116" s="6" t="n">
        <v>5.1</v>
      </c>
      <c r="D116" s="6" t="n">
        <v>34.1</v>
      </c>
      <c r="E116" s="6" t="n">
        <v>3.5</v>
      </c>
      <c r="F116" s="6" t="n">
        <v>37.6</v>
      </c>
      <c r="G116" s="5" t="inlineStr">
        <is>
          <t>REMIT-actual</t>
        </is>
      </c>
      <c r="H116" s="5" t="inlineStr">
        <is>
          <t>High</t>
        </is>
      </c>
      <c r="I116" s="5" t="inlineStr"/>
    </row>
    <row r="117">
      <c r="A117" s="5" t="inlineStr">
        <is>
          <t>2024-08</t>
        </is>
      </c>
      <c r="B117" s="6" t="n">
        <v>348.9</v>
      </c>
      <c r="C117" s="6" t="n">
        <v>16.9</v>
      </c>
      <c r="D117" s="6" t="n">
        <v>81.3</v>
      </c>
      <c r="E117" s="6" t="n">
        <v>2.4</v>
      </c>
      <c r="F117" s="6" t="n">
        <v>83.7</v>
      </c>
      <c r="G117" s="5" t="inlineStr">
        <is>
          <t>REMIT-actual</t>
        </is>
      </c>
      <c r="H117" s="5" t="inlineStr">
        <is>
          <t>High</t>
        </is>
      </c>
      <c r="I117" s="5" t="inlineStr"/>
    </row>
    <row r="118">
      <c r="A118" s="5" t="inlineStr">
        <is>
          <t>2024-09</t>
        </is>
      </c>
      <c r="B118" s="6" t="n">
        <v>240.8</v>
      </c>
      <c r="C118" s="6" t="n">
        <v>125</v>
      </c>
      <c r="D118" s="6" t="n">
        <v>392.8</v>
      </c>
      <c r="E118" s="6" t="n">
        <v>13.3</v>
      </c>
      <c r="F118" s="6" t="n">
        <v>406.1</v>
      </c>
      <c r="G118" s="5" t="inlineStr">
        <is>
          <t>REMIT-actual</t>
        </is>
      </c>
      <c r="H118" s="5" t="inlineStr">
        <is>
          <t>High</t>
        </is>
      </c>
      <c r="I118" s="5" t="inlineStr"/>
    </row>
    <row r="119">
      <c r="A119" s="5" t="inlineStr">
        <is>
          <t>2024-10</t>
        </is>
      </c>
      <c r="B119" s="6" t="n">
        <v>342.7</v>
      </c>
      <c r="C119" s="6" t="n">
        <v>23.1</v>
      </c>
      <c r="D119" s="6" t="n">
        <v>75.59999999999999</v>
      </c>
      <c r="E119" s="6" t="n">
        <v>19.3</v>
      </c>
      <c r="F119" s="6" t="n">
        <v>94.90000000000001</v>
      </c>
      <c r="G119" s="5" t="inlineStr">
        <is>
          <t>REMIT-actual</t>
        </is>
      </c>
      <c r="H119" s="5" t="inlineStr">
        <is>
          <t>High</t>
        </is>
      </c>
      <c r="I119" s="5" t="inlineStr"/>
    </row>
    <row r="120">
      <c r="A120" s="5" t="inlineStr">
        <is>
          <t>2024-11</t>
        </is>
      </c>
      <c r="B120" s="6" t="n">
        <v>361.6</v>
      </c>
      <c r="C120" s="6" t="n">
        <v>4.2</v>
      </c>
      <c r="D120" s="6" t="n">
        <v>23.8</v>
      </c>
      <c r="E120" s="6" t="n">
        <v>7</v>
      </c>
      <c r="F120" s="6" t="n">
        <v>30.8</v>
      </c>
      <c r="G120" s="5" t="inlineStr">
        <is>
          <t>REMIT-actual</t>
        </is>
      </c>
      <c r="H120" s="5" t="inlineStr">
        <is>
          <t>High</t>
        </is>
      </c>
      <c r="I120" s="5" t="inlineStr"/>
    </row>
    <row r="121">
      <c r="A121" s="5" t="inlineStr">
        <is>
          <t>2024-12</t>
        </is>
      </c>
      <c r="B121" s="6" t="n">
        <v>361.9</v>
      </c>
      <c r="C121" s="6" t="n">
        <v>3.9</v>
      </c>
      <c r="D121" s="6" t="n">
        <v>20.2</v>
      </c>
      <c r="E121" s="6" t="n">
        <v>15.5</v>
      </c>
      <c r="F121" s="6" t="n">
        <v>35.7</v>
      </c>
      <c r="G121" s="5" t="inlineStr">
        <is>
          <t>REMIT-actual</t>
        </is>
      </c>
      <c r="H121" s="5" t="inlineStr">
        <is>
          <t>High</t>
        </is>
      </c>
      <c r="I121" s="5" t="inlineStr"/>
    </row>
    <row r="122">
      <c r="A122" s="5" t="inlineStr">
        <is>
          <t>2025-01</t>
        </is>
      </c>
      <c r="B122" s="6" t="n">
        <v>347.4</v>
      </c>
      <c r="C122" s="6" t="n">
        <v>11.2</v>
      </c>
      <c r="D122" s="6" t="n">
        <v>34.7</v>
      </c>
      <c r="E122" s="6" t="n">
        <v>21</v>
      </c>
      <c r="F122" s="6" t="n">
        <v>55.7</v>
      </c>
      <c r="G122" s="5" t="inlineStr">
        <is>
          <t>REMIT-actual</t>
        </is>
      </c>
      <c r="H122" s="5" t="inlineStr">
        <is>
          <t>High</t>
        </is>
      </c>
      <c r="I122" s="5" t="inlineStr"/>
    </row>
    <row r="123">
      <c r="A123" s="5" t="inlineStr">
        <is>
          <t>2025-02</t>
        </is>
      </c>
      <c r="B123" s="6" t="n">
        <v>356.4</v>
      </c>
      <c r="C123" s="6" t="n">
        <v>2.1</v>
      </c>
      <c r="D123" s="6" t="n">
        <v>15.3</v>
      </c>
      <c r="E123" s="6" t="n">
        <v>6.2</v>
      </c>
      <c r="F123" s="6" t="n">
        <v>21.5</v>
      </c>
      <c r="G123" s="5" t="inlineStr">
        <is>
          <t>REMIT-actual</t>
        </is>
      </c>
      <c r="H123" s="5" t="inlineStr">
        <is>
          <t>High</t>
        </is>
      </c>
      <c r="I123" s="5" t="inlineStr"/>
    </row>
    <row r="124">
      <c r="A124" s="5" t="inlineStr">
        <is>
          <t>2025-03</t>
        </is>
      </c>
      <c r="B124" s="6" t="n">
        <v>352.1</v>
      </c>
      <c r="C124" s="6" t="n">
        <v>6.4</v>
      </c>
      <c r="D124" s="6" t="n">
        <v>66.2</v>
      </c>
      <c r="E124" s="6" t="n">
        <v>3.5</v>
      </c>
      <c r="F124" s="6" t="n">
        <v>69.7</v>
      </c>
      <c r="G124" s="5" t="inlineStr">
        <is>
          <t>REMIT-actual</t>
        </is>
      </c>
      <c r="H124" s="5" t="inlineStr">
        <is>
          <t>High</t>
        </is>
      </c>
      <c r="I124" s="5" t="inlineStr"/>
    </row>
    <row r="125">
      <c r="A125" s="5" t="inlineStr">
        <is>
          <t>2025-04</t>
        </is>
      </c>
      <c r="B125" s="6" t="n">
        <v>342</v>
      </c>
      <c r="C125" s="6" t="n">
        <v>16.6</v>
      </c>
      <c r="D125" s="6" t="n">
        <v>77.90000000000001</v>
      </c>
      <c r="E125" s="6" t="n">
        <v>10.4</v>
      </c>
      <c r="F125" s="6" t="n">
        <v>88.2</v>
      </c>
      <c r="G125" s="5" t="inlineStr">
        <is>
          <t>REMIT-actual</t>
        </is>
      </c>
      <c r="H125" s="5" t="inlineStr">
        <is>
          <t>High</t>
        </is>
      </c>
      <c r="I125" s="5" t="inlineStr"/>
    </row>
    <row r="126">
      <c r="A126" s="5" t="inlineStr">
        <is>
          <t>2025-05</t>
        </is>
      </c>
      <c r="B126" s="6" t="n">
        <v>298.9</v>
      </c>
      <c r="C126" s="6" t="n">
        <v>59.6</v>
      </c>
      <c r="D126" s="6" t="n">
        <v>163</v>
      </c>
      <c r="E126" s="6" t="n">
        <v>19.2</v>
      </c>
      <c r="F126" s="6" t="n">
        <v>182.1</v>
      </c>
      <c r="G126" s="5" t="inlineStr">
        <is>
          <t>REMIT-actual</t>
        </is>
      </c>
      <c r="H126" s="5" t="inlineStr">
        <is>
          <t>High</t>
        </is>
      </c>
      <c r="I126" s="5" t="inlineStr"/>
    </row>
    <row r="127">
      <c r="A127" s="5" t="inlineStr">
        <is>
          <t>2025-06</t>
        </is>
      </c>
      <c r="B127" s="6" t="n">
        <v>293.5</v>
      </c>
      <c r="C127" s="6" t="n">
        <v>65.09999999999999</v>
      </c>
      <c r="D127" s="6" t="n">
        <v>128.6</v>
      </c>
      <c r="E127" s="6" t="n">
        <v>5.7</v>
      </c>
      <c r="F127" s="6" t="n">
        <v>134.3</v>
      </c>
      <c r="G127" s="5" t="inlineStr">
        <is>
          <t>REMIT-actual</t>
        </is>
      </c>
      <c r="H127" s="5" t="inlineStr">
        <is>
          <t>High</t>
        </is>
      </c>
      <c r="I127" s="5" t="inlineStr"/>
    </row>
    <row r="128">
      <c r="A128" s="5" t="inlineStr">
        <is>
          <t>2025-07</t>
        </is>
      </c>
      <c r="B128" s="6" t="n">
        <v>329.8</v>
      </c>
      <c r="C128" s="6" t="n">
        <v>28.8</v>
      </c>
      <c r="D128" s="6" t="n">
        <v>52.4</v>
      </c>
      <c r="E128" s="6" t="n">
        <v>16.7</v>
      </c>
      <c r="F128" s="6" t="n">
        <v>69.09999999999999</v>
      </c>
      <c r="G128" s="5" t="inlineStr">
        <is>
          <t>REMIT-actual</t>
        </is>
      </c>
      <c r="H128" s="5" t="inlineStr">
        <is>
          <t>High</t>
        </is>
      </c>
      <c r="I128" s="5" t="inlineStr"/>
    </row>
    <row r="129">
      <c r="A129" s="5" t="inlineStr">
        <is>
          <t>2025-08</t>
        </is>
      </c>
      <c r="B129" s="6" t="n">
        <v>334.1</v>
      </c>
      <c r="C129" s="6" t="n">
        <v>24.5</v>
      </c>
      <c r="D129" s="6" t="n">
        <v>80.5</v>
      </c>
      <c r="E129" s="6" t="n">
        <v>14.1</v>
      </c>
      <c r="F129" s="6" t="n">
        <v>94.59999999999999</v>
      </c>
      <c r="G129" s="5" t="inlineStr">
        <is>
          <t>REMIT-actual</t>
        </is>
      </c>
      <c r="H129" s="5" t="inlineStr">
        <is>
          <t>High</t>
        </is>
      </c>
      <c r="I129" s="5" t="inlineStr"/>
    </row>
    <row r="130">
      <c r="A130" s="5" t="inlineStr">
        <is>
          <t>2025-09</t>
        </is>
      </c>
      <c r="B130" s="6" t="n">
        <v>284.4</v>
      </c>
      <c r="C130" s="6" t="n">
        <v>74.2</v>
      </c>
      <c r="D130" s="6" t="n">
        <v>214.4</v>
      </c>
      <c r="E130" s="6" t="n">
        <v>9.300000000000001</v>
      </c>
      <c r="F130" s="6" t="n">
        <v>223.7</v>
      </c>
      <c r="G130" s="5" t="inlineStr">
        <is>
          <t>REMIT-actual</t>
        </is>
      </c>
      <c r="H130" s="5" t="inlineStr">
        <is>
          <t>High</t>
        </is>
      </c>
      <c r="I130" s="5" t="inlineStr"/>
    </row>
    <row r="131">
      <c r="A131" s="5" t="inlineStr">
        <is>
          <t>2025-10</t>
        </is>
      </c>
      <c r="B131" s="6" t="n">
        <v>337.4</v>
      </c>
      <c r="C131" s="6" t="n">
        <v>21.2</v>
      </c>
      <c r="D131" s="6" t="n">
        <v>76.90000000000001</v>
      </c>
      <c r="E131" s="6" t="n">
        <v>4.9</v>
      </c>
      <c r="F131" s="6" t="n">
        <v>81.8</v>
      </c>
      <c r="G131" s="5" t="inlineStr">
        <is>
          <t>REMIT-actual</t>
        </is>
      </c>
      <c r="H131" s="5" t="inlineStr">
        <is>
          <t>High</t>
        </is>
      </c>
      <c r="I131" s="5" t="inlineStr"/>
    </row>
    <row r="132">
      <c r="A132" s="5" t="inlineStr">
        <is>
          <t>2025-11</t>
        </is>
      </c>
      <c r="B132" s="6" t="n">
        <v>362.6</v>
      </c>
      <c r="C132" s="6" t="n">
        <v>0</v>
      </c>
      <c r="D132" s="6" t="n">
        <v>39.8</v>
      </c>
      <c r="E132" s="6" t="n">
        <v>9.199999999999999</v>
      </c>
      <c r="F132" s="6" t="n">
        <v>49</v>
      </c>
      <c r="G132" s="5" t="inlineStr">
        <is>
          <t>REMIT-actual</t>
        </is>
      </c>
      <c r="H132" s="5" t="inlineStr">
        <is>
          <t>High</t>
        </is>
      </c>
      <c r="I132" s="5" t="inlineStr"/>
    </row>
    <row r="133">
      <c r="A133" s="5" t="inlineStr">
        <is>
          <t>2025-12</t>
        </is>
      </c>
      <c r="B133" s="6" t="n">
        <v>367.8</v>
      </c>
      <c r="C133" s="6" t="n">
        <v>0</v>
      </c>
      <c r="D133" s="6" t="n">
        <v>19.1</v>
      </c>
      <c r="E133" s="6" t="n">
        <v>7.6</v>
      </c>
      <c r="F133" s="6" t="n">
        <v>26.7</v>
      </c>
      <c r="G133" s="5" t="inlineStr">
        <is>
          <t>REMIT-actual</t>
        </is>
      </c>
      <c r="H133" s="5" t="inlineStr">
        <is>
          <t>High</t>
        </is>
      </c>
      <c r="I133" s="5" t="inlineStr"/>
    </row>
    <row r="134">
      <c r="A134" s="5" t="inlineStr">
        <is>
          <t>2026-01</t>
        </is>
      </c>
      <c r="B134" s="6" t="n">
        <v>364.6</v>
      </c>
      <c r="C134" s="6" t="n">
        <v>0</v>
      </c>
      <c r="D134" s="6" t="n">
        <v>21.1</v>
      </c>
      <c r="E134" s="6" t="n">
        <v>3.9</v>
      </c>
      <c r="F134" s="6" t="n">
        <v>25</v>
      </c>
      <c r="G134" s="5" t="inlineStr">
        <is>
          <t>REMIT-actual</t>
        </is>
      </c>
      <c r="H134" s="5" t="inlineStr">
        <is>
          <t>High</t>
        </is>
      </c>
      <c r="I134" s="5" t="inlineStr"/>
    </row>
    <row r="135">
      <c r="A135" s="5" t="inlineStr">
        <is>
          <t>2026-02</t>
        </is>
      </c>
      <c r="B135" s="6" t="n">
        <v>354.8</v>
      </c>
      <c r="C135" s="6" t="n">
        <v>4.9</v>
      </c>
      <c r="D135" s="6" t="n">
        <v>39.3</v>
      </c>
      <c r="E135" s="6" t="n">
        <v>4.5</v>
      </c>
      <c r="F135" s="6" t="n">
        <v>43.8</v>
      </c>
      <c r="G135" s="5" t="inlineStr">
        <is>
          <t>REMIT-actual</t>
        </is>
      </c>
      <c r="H135" s="5" t="inlineStr">
        <is>
          <t>High</t>
        </is>
      </c>
      <c r="I135" s="5" t="inlineStr"/>
    </row>
    <row r="136">
      <c r="A136" s="5" t="inlineStr">
        <is>
          <t>2026-03</t>
        </is>
      </c>
      <c r="B136" s="6" t="n">
        <v>351</v>
      </c>
      <c r="C136" s="6" t="n">
        <v>8.800000000000001</v>
      </c>
      <c r="D136" s="6" t="n">
        <v>52.8</v>
      </c>
      <c r="E136" s="6" t="n">
        <v>2</v>
      </c>
      <c r="F136" s="6" t="n">
        <v>54.8</v>
      </c>
      <c r="G136" s="5" t="inlineStr">
        <is>
          <t>REMIT-actual</t>
        </is>
      </c>
      <c r="H136" s="5" t="inlineStr">
        <is>
          <t>High</t>
        </is>
      </c>
      <c r="I136" s="5" t="inlineStr"/>
    </row>
    <row r="137">
      <c r="A137" s="5" t="inlineStr">
        <is>
          <t>2026-04</t>
        </is>
      </c>
      <c r="B137" s="6" t="n">
        <v>340.4</v>
      </c>
      <c r="C137" s="6" t="n">
        <v>19.3</v>
      </c>
      <c r="D137" s="6" t="n">
        <v>64.3</v>
      </c>
      <c r="E137" s="6" t="n">
        <v>5.6</v>
      </c>
      <c r="F137" s="6" t="n">
        <v>69.90000000000001</v>
      </c>
      <c r="G137" s="5" t="inlineStr">
        <is>
          <t>REMIT-actual</t>
        </is>
      </c>
      <c r="H137" s="5" t="inlineStr">
        <is>
          <t>High</t>
        </is>
      </c>
      <c r="I137" s="5" t="inlineStr"/>
    </row>
    <row r="138">
      <c r="A138" s="5" t="inlineStr">
        <is>
          <t>2026-05</t>
        </is>
      </c>
      <c r="B138" s="6" t="n">
        <v>304.6</v>
      </c>
      <c r="C138" s="6" t="n">
        <v>55.2</v>
      </c>
      <c r="D138" s="6" t="n">
        <v>113.4</v>
      </c>
      <c r="E138" s="6" t="n">
        <v>7.9</v>
      </c>
      <c r="F138" s="6" t="n">
        <v>121.3</v>
      </c>
      <c r="G138" s="5" t="inlineStr">
        <is>
          <t>REMIT-actual</t>
        </is>
      </c>
      <c r="H138" s="5" t="inlineStr">
        <is>
          <t>High</t>
        </is>
      </c>
      <c r="I138" s="5" t="inlineStr"/>
    </row>
  </sheetData>
  <autoFilter ref="A1:I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4:B24"/>
  <sheetViews>
    <sheetView workbookViewId="0">
      <selection activeCell="A1" sqref="A1"/>
    </sheetView>
  </sheetViews>
  <sheetFormatPr baseColWidth="8" defaultRowHeight="15"/>
  <sheetData>
    <row r="24">
      <c r="B24" s="7" t="inlineStr">
        <is>
          <t>Planned = blue, Unplanned = orange. Pre-2022 (estimated) shaded on the data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20" customWidth="1" min="2" max="2"/>
    <col width="108" customWidth="1" min="4" max="4"/>
  </cols>
  <sheetData>
    <row r="2">
      <c r="B2" s="8" t="inlineStr">
        <is>
          <t>Monthly Norwegian gas outages 2015-2026 — reconstruction method</t>
        </is>
      </c>
    </row>
    <row r="4" ht="150" customHeight="1">
      <c r="B4" s="9" t="inlineStr">
        <is>
          <t>What this is</t>
        </is>
      </c>
      <c r="D4" s="10" t="inlineStr">
        <is>
          <t>2022-2026 are REMIT-ACTUAL outages (ACER/Gassco archive). 2015-2021 are ESTIMATES (shaded rows) reconstructed as below - indicative, not measured.</t>
        </is>
      </c>
    </row>
    <row r="5" ht="150" customHeight="1">
      <c r="B5" s="9" t="inlineStr">
        <is>
          <t>Backbone</t>
        </is>
      </c>
      <c r="D5" s="10" t="inlineStr">
        <is>
          <t>Monthly NCS net gas production (Norwegian Offshore Directorate / Sodir), Jan 2015-May 2026, in mcm/d. Summer production troughs reveal maintenance intensity.</t>
        </is>
      </c>
    </row>
    <row r="6" ht="150" customHeight="1">
      <c r="B6" s="9" t="inlineStr">
        <is>
          <t>Supply reduction</t>
        </is>
      </c>
      <c r="D6" s="10" t="inlineStr">
        <is>
          <t>Per year, winter capacity reference = mean production of Jan/Feb/Nov/Dec. Supply reduction = max(0, reference - monthly production). An actual, data-derived deficit.</t>
        </is>
      </c>
    </row>
    <row r="7" ht="150" customHeight="1">
      <c r="B7" s="9" t="inlineStr">
        <is>
          <t>Calibration</t>
        </is>
      </c>
      <c r="D7" s="10" t="inlineStr">
        <is>
          <t>Over 2022-2026, monthly supply-reduction correlates 0.95 with measured REMIT total outage; gross-REMIT = 3.58 x supply-reduction. 2015-2021 total outage = 3.58 x that month's supply reduction, calibrated to the same gross scale as 2022-2026 so the periods splice.</t>
        </is>
      </c>
    </row>
    <row r="8" ht="150" customHeight="1">
      <c r="B8" s="9" t="inlineStr">
        <is>
          <t>Planned vs unplanned</t>
        </is>
      </c>
      <c r="D8" s="10" t="inlineStr">
        <is>
          <t>Default split = the 2022-2026 seasonal planned-share by calendar month (summer ~90% planned, winter ~60-70%). Overridden for months with documented unplanned events (Jan 2015 Troll; Aug-Dec 2018 wave; Jul-Aug 2021 Troll).</t>
        </is>
      </c>
    </row>
    <row r="9" ht="150" customHeight="1">
      <c r="B9" s="9" t="inlineStr">
        <is>
          <t>Confidence</t>
        </is>
      </c>
      <c r="D9" s="10" t="inlineStr">
        <is>
          <t>2022-2026 High (measured). 2018-2021 Medium (news + production). 2015-2017 Low (thin news; magnitude from production, split is a seasonal prior).</t>
        </is>
      </c>
    </row>
    <row r="10" ht="150" customHeight="1">
      <c r="B10" s="9" t="inlineStr">
        <is>
          <t>Caveats</t>
        </is>
      </c>
      <c r="D10" s="10" t="inlineStr">
        <is>
          <t>(1) 2019-2020 production deficits partly reflect low-price/COVID commercial turndown, not only outages - may overstate those years. (2) Hammerfest LNG (Melkoya) is LNG not piped; its 2020-22 fire is noted but excluded from the piped estimate. (3) Trust the totals more than the planned/unplanned split for 2015-2021.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140" customWidth="1" min="2" max="2"/>
  </cols>
  <sheetData>
    <row r="2">
      <c r="B2" s="11" t="inlineStr">
        <is>
          <t>Key sources</t>
        </is>
      </c>
    </row>
    <row r="3">
      <c r="B3" s="5" t="inlineStr">
        <is>
          <t>Norwegian Offshore Directorate (Sodir) monthly NCS production: https://factpages.sodir.no/en/field/tableview/production/saleable/totalncsmonth</t>
        </is>
      </c>
    </row>
    <row r="4">
      <c r="B4" s="5" t="inlineStr">
        <is>
          <t>ACER REMIT Inside Information Access Point (2022-2026 actuals): https://remitportal.acer.europa.eu</t>
        </is>
      </c>
    </row>
    <row r="5">
      <c r="B5" s="5" t="inlineStr">
        <is>
          <t>Kollsnes planned shut May &amp; Sept 2017 (Reuters/Gassco): https://www.worldenergynews.com/news/kollsnes-gas-plant-partially-shut-may-and-655044</t>
        </is>
      </c>
    </row>
    <row r="6">
      <c r="B6" s="5" t="inlineStr">
        <is>
          <t>Norway flows 2 bcm below prior year on outages, Oct 2018 (S&amp;P): https://www.spglobal.com/commodityinsights/en/market-insights/latest-news/natural-gas/100318-analysis-norways-natural-gas-flows-to-europe-slip-2-bcm-below-last-year-on-outages</t>
        </is>
      </c>
    </row>
    <row r="7">
      <c r="B7" s="5" t="inlineStr">
        <is>
          <t>Norway exports plunge on heavy maintenance, Sept 2019 (OilPrice): https://oilprice.com/Latest-Energy-News/World-News/Norways-Gas-Exports-Plunge-On-Low-Prices-Heavy-Maintenance.html</t>
        </is>
      </c>
    </row>
    <row r="8">
      <c r="B8" s="5" t="inlineStr">
        <is>
          <t>Norway gas exports collapse to 15-yr low, Oct 2019 (S&amp;P): https://www.spglobal.com/commodityinsights/en/market-insights/latest-news/natural-gas/100419-analysis-norways-gas-exports-to-europe-collapse-to-15-year-low</t>
        </is>
      </c>
    </row>
    <row r="9">
      <c r="B9" s="5" t="inlineStr">
        <is>
          <t>Norwegian flows slide in May 2020 (S&amp;P): https://www.spglobal.com/commodity-insights/en/news-research/latest-news/natural-gas/060520-norwegian-gas-flows-to-europe-uk-slide-further-in-may</t>
        </is>
      </c>
    </row>
    <row r="10">
      <c r="B10" s="5" t="inlineStr">
        <is>
          <t>Norwegian exports jump July 2021, light maintenance (S&amp;P): https://www.spglobal.com/commodity-insights/en/news-research/latest-news/natural-gas/080321-norwegian-gas-exports-jump-in-july-to-highest-level-since-march</t>
        </is>
      </c>
    </row>
    <row r="11">
      <c r="B11" s="5" t="inlineStr">
        <is>
          <t>2015 Troll outage (Rigzone): https://www.rigzone.com/news/oil_gas/a/136749/Norways_Gas_Production_Hit_by_Massive_Outages</t>
        </is>
      </c>
    </row>
    <row r="12">
      <c r="B12" s="5" t="inlineStr">
        <is>
          <t>Hammerfest LNG 2020 fire &amp; extended outage (Offshore Energy): https://www.offshore-energy.biz/year-long-outage-of-hammerfest-lng-plant-to-affect-neptune-output/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2026-07-31T23:22:49Z</dcterms:created>
  <dcterms:modified xmlns:dcterms="http://purl.org/dc/terms/" xmlns:xsi="http://www.w3.org/2001/XMLSchema-instance" xsi:type="dcterms:W3CDTF">2026-07-31T23:22:49Z</dcterms:modified>
</cp:coreProperties>
</file>